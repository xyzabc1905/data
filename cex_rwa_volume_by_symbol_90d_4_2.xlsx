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nskar\Downloads\"/>
    </mc:Choice>
  </mc:AlternateContent>
  <xr:revisionPtr revIDLastSave="0" documentId="13_ncr:1_{4AB3A78D-1523-4B6B-8B46-C41590B1DE4E}" xr6:coauthVersionLast="47" xr6:coauthVersionMax="47" xr10:uidLastSave="{00000000-0000-0000-0000-000000000000}"/>
  <bookViews>
    <workbookView xWindow="-110" yWindow="-110" windowWidth="19420" windowHeight="10300" tabRatio="500" firstSheet="12" activeTab="13" xr2:uid="{00000000-000D-0000-FFFF-FFFF00000000}"/>
  </bookViews>
  <sheets>
    <sheet name="CEX (wide)" sheetId="1" r:id="rId1"/>
    <sheet name="Extended (wide)" sheetId="2" r:id="rId2"/>
    <sheet name="GRVT (wide)" sheetId="3" r:id="rId3"/>
    <sheet name="Pacifica (wide)" sheetId="4" r:id="rId4"/>
    <sheet name="CEX Indices" sheetId="15" r:id="rId5"/>
    <sheet name="Apex (wide)" sheetId="5" r:id="rId6"/>
    <sheet name="Aster (wide)" sheetId="6" r:id="rId7"/>
    <sheet name="EdgeX (wide)" sheetId="7" r:id="rId8"/>
    <sheet name="Avantis (wide)" sheetId="8" r:id="rId9"/>
    <sheet name="Ostium (wide)" sheetId="9" r:id="rId10"/>
    <sheet name="Lighter (wide)" sheetId="10" r:id="rId11"/>
    <sheet name="HIP-3 (wide)" sheetId="11" r:id="rId12"/>
    <sheet name="April 2026 Summary" sheetId="12" r:id="rId13"/>
    <sheet name="May 1-20 2026 Summary" sheetId="13" r:id="rId14"/>
    <sheet name="Sheet1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13" l="1"/>
  <c r="D26" i="13"/>
  <c r="D27" i="13"/>
  <c r="D28" i="13"/>
  <c r="D29" i="13"/>
  <c r="D30" i="13"/>
  <c r="D31" i="13"/>
  <c r="D25" i="13"/>
  <c r="E26" i="12"/>
  <c r="E27" i="12"/>
  <c r="E28" i="12"/>
  <c r="E29" i="12"/>
  <c r="E30" i="12"/>
  <c r="E31" i="12"/>
  <c r="E25" i="12"/>
  <c r="B31" i="12"/>
  <c r="B30" i="12"/>
  <c r="B29" i="12"/>
  <c r="B28" i="12"/>
  <c r="B27" i="12"/>
  <c r="B26" i="12"/>
  <c r="B25" i="12"/>
  <c r="C26" i="13"/>
  <c r="C27" i="13"/>
  <c r="C28" i="13"/>
  <c r="C29" i="13"/>
  <c r="C30" i="13"/>
  <c r="C31" i="13"/>
  <c r="C25" i="13"/>
  <c r="B31" i="13"/>
  <c r="B26" i="13"/>
  <c r="B27" i="13"/>
  <c r="B28" i="13"/>
  <c r="B29" i="13"/>
  <c r="B30" i="13"/>
  <c r="B25" i="13"/>
  <c r="K18" i="13"/>
  <c r="K21" i="13"/>
  <c r="J20" i="13"/>
  <c r="I19" i="13"/>
  <c r="H18" i="13"/>
  <c r="H15" i="13"/>
  <c r="E22" i="13"/>
  <c r="E16" i="13"/>
  <c r="E17" i="13"/>
  <c r="E18" i="13"/>
  <c r="E19" i="13"/>
  <c r="E20" i="13"/>
  <c r="E21" i="13"/>
  <c r="E15" i="13"/>
  <c r="J21" i="13"/>
  <c r="H21" i="13"/>
  <c r="K20" i="13"/>
  <c r="I20" i="13"/>
  <c r="H20" i="13"/>
  <c r="K19" i="13"/>
  <c r="J19" i="13"/>
  <c r="H19" i="13"/>
  <c r="J18" i="13"/>
  <c r="I18" i="13"/>
  <c r="K17" i="13"/>
  <c r="J17" i="13"/>
  <c r="I17" i="13"/>
  <c r="H17" i="13"/>
  <c r="K16" i="13"/>
  <c r="J16" i="13"/>
  <c r="I16" i="13"/>
  <c r="H16" i="13"/>
  <c r="K15" i="13"/>
  <c r="J15" i="13"/>
  <c r="I15" i="13"/>
  <c r="D22" i="13"/>
  <c r="B21" i="13"/>
  <c r="B16" i="13"/>
  <c r="J10" i="13"/>
  <c r="L9" i="13"/>
  <c r="K9" i="13"/>
  <c r="J9" i="13"/>
  <c r="I9" i="13"/>
  <c r="H9" i="13"/>
  <c r="G9" i="13"/>
  <c r="F9" i="13"/>
  <c r="E9" i="13"/>
  <c r="D9" i="13"/>
  <c r="C9" i="13"/>
  <c r="B9" i="13"/>
  <c r="L8" i="13"/>
  <c r="K8" i="13"/>
  <c r="G8" i="13"/>
  <c r="E8" i="13"/>
  <c r="B8" i="13"/>
  <c r="L7" i="13"/>
  <c r="K7" i="13"/>
  <c r="J7" i="13"/>
  <c r="I7" i="13"/>
  <c r="H7" i="13"/>
  <c r="G7" i="13"/>
  <c r="F7" i="13"/>
  <c r="E7" i="13"/>
  <c r="D7" i="13"/>
  <c r="C7" i="13"/>
  <c r="B7" i="13"/>
  <c r="L6" i="13"/>
  <c r="K6" i="13"/>
  <c r="J6" i="13"/>
  <c r="I6" i="13"/>
  <c r="E6" i="13"/>
  <c r="C6" i="13"/>
  <c r="B6" i="13"/>
  <c r="L5" i="13"/>
  <c r="K5" i="13"/>
  <c r="L4" i="13"/>
  <c r="K4" i="13"/>
  <c r="J4" i="13"/>
  <c r="I4" i="13"/>
  <c r="H4" i="13"/>
  <c r="G4" i="13"/>
  <c r="F4" i="13"/>
  <c r="E4" i="13"/>
  <c r="D4" i="13"/>
  <c r="C4" i="13"/>
  <c r="B4" i="13"/>
  <c r="D22" i="12"/>
  <c r="J21" i="12"/>
  <c r="B21" i="12"/>
  <c r="J20" i="12"/>
  <c r="J19" i="12"/>
  <c r="J18" i="12"/>
  <c r="J17" i="12"/>
  <c r="J16" i="12"/>
  <c r="B16" i="12"/>
  <c r="J15" i="12"/>
  <c r="J10" i="12"/>
  <c r="L9" i="12"/>
  <c r="K9" i="12"/>
  <c r="J9" i="12"/>
  <c r="I9" i="12"/>
  <c r="H9" i="12"/>
  <c r="G9" i="12"/>
  <c r="F9" i="12"/>
  <c r="E9" i="12"/>
  <c r="D9" i="12"/>
  <c r="C9" i="12"/>
  <c r="B9" i="12"/>
  <c r="L8" i="12"/>
  <c r="K8" i="12"/>
  <c r="G8" i="12"/>
  <c r="E8" i="12"/>
  <c r="B8" i="12"/>
  <c r="L7" i="12"/>
  <c r="K7" i="12"/>
  <c r="J7" i="12"/>
  <c r="I7" i="12"/>
  <c r="H7" i="12"/>
  <c r="G7" i="12"/>
  <c r="F7" i="12"/>
  <c r="E7" i="12"/>
  <c r="D7" i="12"/>
  <c r="C7" i="12"/>
  <c r="B7" i="12"/>
  <c r="L6" i="12"/>
  <c r="K6" i="12"/>
  <c r="J6" i="12"/>
  <c r="I6" i="12"/>
  <c r="E6" i="12"/>
  <c r="C6" i="12"/>
  <c r="B6" i="12"/>
  <c r="L5" i="12"/>
  <c r="K5" i="12"/>
  <c r="L4" i="12"/>
  <c r="K4" i="12"/>
  <c r="J4" i="12"/>
  <c r="I4" i="12"/>
  <c r="H4" i="12"/>
  <c r="G4" i="12"/>
  <c r="F4" i="12"/>
  <c r="E4" i="12"/>
  <c r="D4" i="12"/>
  <c r="C4" i="12"/>
  <c r="B4" i="12"/>
  <c r="C27" i="12" l="1"/>
  <c r="C31" i="12"/>
  <c r="C30" i="12"/>
  <c r="C29" i="12"/>
  <c r="C28" i="12"/>
  <c r="C26" i="12"/>
  <c r="C25" i="12"/>
  <c r="I21" i="13"/>
  <c r="C16" i="13"/>
  <c r="C17" i="13"/>
  <c r="C18" i="13"/>
  <c r="C19" i="13"/>
  <c r="C20" i="13"/>
  <c r="C21" i="13"/>
  <c r="C15" i="13"/>
  <c r="B17" i="13"/>
  <c r="I11" i="13"/>
  <c r="E11" i="13"/>
  <c r="B11" i="13"/>
  <c r="M9" i="13"/>
  <c r="M8" i="13"/>
  <c r="M6" i="13"/>
  <c r="M4" i="13"/>
  <c r="C21" i="12"/>
  <c r="E21" i="12" s="1"/>
  <c r="C20" i="12"/>
  <c r="E20" i="12" s="1"/>
  <c r="B20" i="12"/>
  <c r="C19" i="12"/>
  <c r="E19" i="12" s="1"/>
  <c r="B19" i="12"/>
  <c r="C18" i="12"/>
  <c r="E18" i="12" s="1"/>
  <c r="B18" i="12"/>
  <c r="C17" i="12"/>
  <c r="E17" i="12" s="1"/>
  <c r="B17" i="12"/>
  <c r="C16" i="12"/>
  <c r="E16" i="12" s="1"/>
  <c r="C15" i="12"/>
  <c r="B15" i="12"/>
  <c r="L11" i="12"/>
  <c r="K11" i="12"/>
  <c r="J11" i="12"/>
  <c r="I11" i="12"/>
  <c r="H11" i="12"/>
  <c r="G11" i="12"/>
  <c r="F11" i="12"/>
  <c r="E11" i="12"/>
  <c r="D11" i="12"/>
  <c r="C11" i="12"/>
  <c r="B11" i="12"/>
  <c r="M10" i="12"/>
  <c r="M8" i="12"/>
  <c r="M7" i="12"/>
  <c r="M4" i="12"/>
  <c r="M11" i="12" s="1"/>
  <c r="B19" i="13"/>
  <c r="C22" i="13"/>
  <c r="L11" i="13"/>
  <c r="J11" i="13"/>
  <c r="G11" i="13"/>
  <c r="D11" i="13"/>
  <c r="M10" i="13"/>
  <c r="M7" i="13"/>
  <c r="M5" i="13"/>
  <c r="M6" i="12"/>
  <c r="B20" i="13"/>
  <c r="B18" i="13"/>
  <c r="B15" i="13"/>
  <c r="K11" i="13"/>
  <c r="H11" i="13"/>
  <c r="F11" i="13"/>
  <c r="C11" i="13"/>
  <c r="M9" i="12"/>
  <c r="M5" i="12"/>
  <c r="E15" i="12" l="1"/>
  <c r="C22" i="12"/>
  <c r="E22" i="12" s="1"/>
  <c r="B22" i="12"/>
  <c r="M11" i="13"/>
  <c r="B22" i="13"/>
  <c r="I18" i="12" l="1"/>
  <c r="I21" i="12"/>
  <c r="I16" i="12"/>
  <c r="I17" i="12"/>
  <c r="I19" i="12"/>
  <c r="I20" i="12"/>
  <c r="H21" i="12"/>
  <c r="H16" i="12"/>
  <c r="H20" i="12"/>
  <c r="K20" i="12"/>
  <c r="H19" i="12"/>
  <c r="K19" i="12"/>
  <c r="H18" i="12"/>
  <c r="K18" i="12"/>
  <c r="H17" i="12"/>
  <c r="K17" i="12"/>
  <c r="K21" i="12"/>
  <c r="K16" i="12"/>
  <c r="I15" i="12"/>
  <c r="H15" i="12"/>
  <c r="K15" i="12"/>
</calcChain>
</file>

<file path=xl/sharedStrings.xml><?xml version="1.0" encoding="utf-8"?>
<sst xmlns="http://schemas.openxmlformats.org/spreadsheetml/2006/main" count="1427" uniqueCount="339">
  <si>
    <t>Category</t>
  </si>
  <si>
    <t>Commodities</t>
  </si>
  <si>
    <t>Stocks</t>
  </si>
  <si>
    <t>Indices</t>
  </si>
  <si>
    <t>Pre-IPO</t>
  </si>
  <si>
    <t>FX</t>
  </si>
  <si>
    <t>dt</t>
  </si>
  <si>
    <t>Total</t>
  </si>
  <si>
    <t>XAU</t>
  </si>
  <si>
    <t>XAG</t>
  </si>
  <si>
    <t>WTI</t>
  </si>
  <si>
    <t>BZ</t>
  </si>
  <si>
    <t>CRCL</t>
  </si>
  <si>
    <t>TSLA</t>
  </si>
  <si>
    <t>MU</t>
  </si>
  <si>
    <t>SNDK</t>
  </si>
  <si>
    <t>NVDA</t>
  </si>
  <si>
    <t>MSTR</t>
  </si>
  <si>
    <t>INTC</t>
  </si>
  <si>
    <t>COIN</t>
  </si>
  <si>
    <t>EWY</t>
  </si>
  <si>
    <t>HOOD</t>
  </si>
  <si>
    <t>NATGAS</t>
  </si>
  <si>
    <t>AAPL</t>
  </si>
  <si>
    <t>XPT</t>
  </si>
  <si>
    <t>PLTR</t>
  </si>
  <si>
    <t>AMZN</t>
  </si>
  <si>
    <t>GOOGL</t>
  </si>
  <si>
    <t>QQQ</t>
  </si>
  <si>
    <t>AMD</t>
  </si>
  <si>
    <t>SOXL</t>
  </si>
  <si>
    <t>META</t>
  </si>
  <si>
    <t>MSFT</t>
  </si>
  <si>
    <t>XCU</t>
  </si>
  <si>
    <t>SPY</t>
  </si>
  <si>
    <t>CBRS</t>
  </si>
  <si>
    <t>XPD</t>
  </si>
  <si>
    <t>TSM</t>
  </si>
  <si>
    <t>AIA</t>
  </si>
  <si>
    <t>ORCL</t>
  </si>
  <si>
    <t>PLAY</t>
  </si>
  <si>
    <t>BABA</t>
  </si>
  <si>
    <t>NG</t>
  </si>
  <si>
    <t>MRVL</t>
  </si>
  <si>
    <t>ARM</t>
  </si>
  <si>
    <t>RKLB</t>
  </si>
  <si>
    <t>DRAM</t>
  </si>
  <si>
    <t>QCOM</t>
  </si>
  <si>
    <t>AVGO</t>
  </si>
  <si>
    <t>LITE</t>
  </si>
  <si>
    <t>NFLX</t>
  </si>
  <si>
    <t>IP</t>
  </si>
  <si>
    <t>NAS100</t>
  </si>
  <si>
    <t>TQQQ</t>
  </si>
  <si>
    <t>PAYP</t>
  </si>
  <si>
    <t>EWJ</t>
  </si>
  <si>
    <t>FLY</t>
  </si>
  <si>
    <t>AAOI</t>
  </si>
  <si>
    <t>CFG</t>
  </si>
  <si>
    <t>APP</t>
  </si>
  <si>
    <t>LIT</t>
  </si>
  <si>
    <t>RDDT</t>
  </si>
  <si>
    <t>OPENAI</t>
  </si>
  <si>
    <t>ANTHROPIC</t>
  </si>
  <si>
    <t>ASML</t>
  </si>
  <si>
    <t>APLD</t>
  </si>
  <si>
    <t>USAR</t>
  </si>
  <si>
    <t>CRWV</t>
  </si>
  <si>
    <t>OXY</t>
  </si>
  <si>
    <t>FUTU</t>
  </si>
  <si>
    <t>STX</t>
  </si>
  <si>
    <t>SOXS</t>
  </si>
  <si>
    <t>JD</t>
  </si>
  <si>
    <t>IONQ</t>
  </si>
  <si>
    <t>NBIS</t>
  </si>
  <si>
    <t>MCD</t>
  </si>
  <si>
    <t>LLY</t>
  </si>
  <si>
    <t>WMT</t>
  </si>
  <si>
    <t>EDU</t>
  </si>
  <si>
    <t>SQQQ</t>
  </si>
  <si>
    <t>XOM</t>
  </si>
  <si>
    <t>MET</t>
  </si>
  <si>
    <t>COHR</t>
  </si>
  <si>
    <t>UNH</t>
  </si>
  <si>
    <t>BE</t>
  </si>
  <si>
    <t>COP</t>
  </si>
  <si>
    <t>TW88</t>
  </si>
  <si>
    <t>GE</t>
  </si>
  <si>
    <t>EWT</t>
  </si>
  <si>
    <t>GME</t>
  </si>
  <si>
    <t>CSCO</t>
  </si>
  <si>
    <t>KOPN</t>
  </si>
  <si>
    <t>IR</t>
  </si>
  <si>
    <t>COST</t>
  </si>
  <si>
    <t>CRDO</t>
  </si>
  <si>
    <t>AXTI</t>
  </si>
  <si>
    <t>LWLG</t>
  </si>
  <si>
    <t>GAS</t>
  </si>
  <si>
    <t>UK100</t>
  </si>
  <si>
    <t>OKLO</t>
  </si>
  <si>
    <t>AMAT</t>
  </si>
  <si>
    <t>MP</t>
  </si>
  <si>
    <t>KLAC</t>
  </si>
  <si>
    <t>KWEB</t>
  </si>
  <si>
    <t>BMNR</t>
  </si>
  <si>
    <t>GT</t>
  </si>
  <si>
    <t>WDC</t>
  </si>
  <si>
    <t>A</t>
  </si>
  <si>
    <t>VRT</t>
  </si>
  <si>
    <t>FLNC</t>
  </si>
  <si>
    <t>JPN225</t>
  </si>
  <si>
    <t>INFQ</t>
  </si>
  <si>
    <t>US30</t>
  </si>
  <si>
    <t>VIX</t>
  </si>
  <si>
    <t>DIS</t>
  </si>
  <si>
    <t>HK50</t>
  </si>
  <si>
    <t>XLE</t>
  </si>
  <si>
    <t>JPM</t>
  </si>
  <si>
    <t>TENCENT</t>
  </si>
  <si>
    <t>HD</t>
  </si>
  <si>
    <t>XIAOMI</t>
  </si>
  <si>
    <t>KO</t>
  </si>
  <si>
    <t>UBER</t>
  </si>
  <si>
    <t>AUS200</t>
  </si>
  <si>
    <t>V</t>
  </si>
  <si>
    <t>BA</t>
  </si>
  <si>
    <t>NIO</t>
  </si>
  <si>
    <t>IBM</t>
  </si>
  <si>
    <t>NOC</t>
  </si>
  <si>
    <t>LMT</t>
  </si>
  <si>
    <t>BRKB</t>
  </si>
  <si>
    <t>GLW</t>
  </si>
  <si>
    <t>ZHIPU</t>
  </si>
  <si>
    <t>IREN</t>
  </si>
  <si>
    <t>US2000</t>
  </si>
  <si>
    <t>ACN</t>
  </si>
  <si>
    <t>GLD</t>
  </si>
  <si>
    <t>IWM</t>
  </si>
  <si>
    <t>GER40</t>
  </si>
  <si>
    <t>EURUSD</t>
  </si>
  <si>
    <t>XUNCE</t>
  </si>
  <si>
    <t>GD</t>
  </si>
  <si>
    <t>KUAISHOU</t>
  </si>
  <si>
    <t>HSCHKD</t>
  </si>
  <si>
    <t>EWH</t>
  </si>
  <si>
    <t>ALL</t>
  </si>
  <si>
    <t>MEITUAN</t>
  </si>
  <si>
    <t>MINIMAX</t>
  </si>
  <si>
    <t>RTX</t>
  </si>
  <si>
    <t>SBP</t>
  </si>
  <si>
    <t>INDA</t>
  </si>
  <si>
    <t>SMCI</t>
  </si>
  <si>
    <t>LENOVO</t>
  </si>
  <si>
    <t>PG</t>
  </si>
  <si>
    <t>PEP</t>
  </si>
  <si>
    <t>GBPUSD</t>
  </si>
  <si>
    <t>ASTS</t>
  </si>
  <si>
    <t>EUR</t>
  </si>
  <si>
    <t>FN</t>
  </si>
  <si>
    <t>CARR</t>
  </si>
  <si>
    <t>CMI</t>
  </si>
  <si>
    <t>NXT</t>
  </si>
  <si>
    <t>ETN</t>
  </si>
  <si>
    <t>DELL</t>
  </si>
  <si>
    <t>GEELY</t>
  </si>
  <si>
    <t>SUNAC</t>
  </si>
  <si>
    <t>ANTA</t>
  </si>
  <si>
    <t>BWXT</t>
  </si>
  <si>
    <t>CEG</t>
  </si>
  <si>
    <t>AKESO</t>
  </si>
  <si>
    <t>CLS</t>
  </si>
  <si>
    <t>ABBV</t>
  </si>
  <si>
    <t>HPE</t>
  </si>
  <si>
    <t>DDOG</t>
  </si>
  <si>
    <t>FSLR</t>
  </si>
  <si>
    <t>CCJ</t>
  </si>
  <si>
    <t>CITIC</t>
  </si>
  <si>
    <t>JNJ</t>
  </si>
  <si>
    <t>POET</t>
  </si>
  <si>
    <t>ALB</t>
  </si>
  <si>
    <t>JCI</t>
  </si>
  <si>
    <t>HSBC</t>
  </si>
  <si>
    <t>MDB</t>
  </si>
  <si>
    <t>RDW</t>
  </si>
  <si>
    <t>APH</t>
  </si>
  <si>
    <t>SNOW</t>
  </si>
  <si>
    <t>ANET</t>
  </si>
  <si>
    <t>NOK</t>
  </si>
  <si>
    <t>GBP</t>
  </si>
  <si>
    <t>ONDS</t>
  </si>
  <si>
    <t>SHLD</t>
  </si>
  <si>
    <t>OUST</t>
  </si>
  <si>
    <t>CHF</t>
  </si>
  <si>
    <t>JPY</t>
  </si>
  <si>
    <t>AUD</t>
  </si>
  <si>
    <t>XNG</t>
  </si>
  <si>
    <t>SPX500</t>
  </si>
  <si>
    <t>GOOG</t>
  </si>
  <si>
    <t>BRENT</t>
  </si>
  <si>
    <t>USDJPY</t>
  </si>
  <si>
    <t>TECH100</t>
  </si>
  <si>
    <t>SPX</t>
  </si>
  <si>
    <t>SPACEX</t>
  </si>
  <si>
    <t>URNM</t>
  </si>
  <si>
    <t>USO</t>
  </si>
  <si>
    <t>BOTZ</t>
  </si>
  <si>
    <t>MRK</t>
  </si>
  <si>
    <t>BIRD</t>
  </si>
  <si>
    <t>CAR</t>
  </si>
  <si>
    <t>PDD</t>
  </si>
  <si>
    <t>POPMART</t>
  </si>
  <si>
    <t>IAU</t>
  </si>
  <si>
    <t>SLV</t>
  </si>
  <si>
    <t>USDCHF</t>
  </si>
  <si>
    <t>USDINR</t>
  </si>
  <si>
    <t>AUDUSD</t>
  </si>
  <si>
    <t>USOILSPOT</t>
  </si>
  <si>
    <t>USDCAD</t>
  </si>
  <si>
    <t>USDTRY</t>
  </si>
  <si>
    <t>USDIDR</t>
  </si>
  <si>
    <t>USDBRL</t>
  </si>
  <si>
    <t>NZDUSD</t>
  </si>
  <si>
    <t>USDTWD</t>
  </si>
  <si>
    <t>USDSGD</t>
  </si>
  <si>
    <t>USDZAR</t>
  </si>
  <si>
    <t>USDMXN</t>
  </si>
  <si>
    <t>Bonds</t>
  </si>
  <si>
    <t>NDX</t>
  </si>
  <si>
    <t>RIVN</t>
  </si>
  <si>
    <t>Nikkei 225</t>
  </si>
  <si>
    <t>HG</t>
  </si>
  <si>
    <t>GLXY</t>
  </si>
  <si>
    <t>KR2550</t>
  </si>
  <si>
    <t>CVX</t>
  </si>
  <si>
    <t>FTSEGBP</t>
  </si>
  <si>
    <t>SBET</t>
  </si>
  <si>
    <t>DJI</t>
  </si>
  <si>
    <t>DAXEUR</t>
  </si>
  <si>
    <t>GEV</t>
  </si>
  <si>
    <t>HYG</t>
  </si>
  <si>
    <t>URA</t>
  </si>
  <si>
    <t>BB</t>
  </si>
  <si>
    <t>TLT</t>
  </si>
  <si>
    <t>HSIHKD</t>
  </si>
  <si>
    <t>UNG</t>
  </si>
  <si>
    <t>SHEL</t>
  </si>
  <si>
    <t>CAT</t>
  </si>
  <si>
    <t>REMX</t>
  </si>
  <si>
    <t>Crypto</t>
  </si>
  <si>
    <t>BRENTOIL</t>
  </si>
  <si>
    <t>HYUNDAI</t>
  </si>
  <si>
    <t>USDKRW</t>
  </si>
  <si>
    <t>SAMSUNG</t>
  </si>
  <si>
    <t>CHIP</t>
  </si>
  <si>
    <t>SKHYNIX</t>
  </si>
  <si>
    <t>CC</t>
  </si>
  <si>
    <t>US100</t>
  </si>
  <si>
    <t>US500</t>
  </si>
  <si>
    <t>HANMI</t>
  </si>
  <si>
    <t>KRCOMP</t>
  </si>
  <si>
    <t>WHEAT</t>
  </si>
  <si>
    <t>SOXX</t>
  </si>
  <si>
    <t>BIO</t>
  </si>
  <si>
    <t>1000NOT</t>
  </si>
  <si>
    <t>CL</t>
  </si>
  <si>
    <t>SILVER</t>
  </si>
  <si>
    <t>XYZ100</t>
  </si>
  <si>
    <t>SP500</t>
  </si>
  <si>
    <t>GOLD</t>
  </si>
  <si>
    <t>COPPER</t>
  </si>
  <si>
    <t>SPCX</t>
  </si>
  <si>
    <t>SKHX</t>
  </si>
  <si>
    <t>PLATINUM</t>
  </si>
  <si>
    <t>OIL</t>
  </si>
  <si>
    <t>SMSN</t>
  </si>
  <si>
    <t>HIMS</t>
  </si>
  <si>
    <t>MAG7</t>
  </si>
  <si>
    <t>PURRDAT</t>
  </si>
  <si>
    <t>QNT</t>
  </si>
  <si>
    <t>XMR</t>
  </si>
  <si>
    <t>PALLADIUM</t>
  </si>
  <si>
    <t>SEMIS</t>
  </si>
  <si>
    <t>ENERGY</t>
  </si>
  <si>
    <t>JP225</t>
  </si>
  <si>
    <t>INFOTECH</t>
  </si>
  <si>
    <t>ROBOT</t>
  </si>
  <si>
    <t>DEFENSE</t>
  </si>
  <si>
    <t>NUCLEAR</t>
  </si>
  <si>
    <t>KR200</t>
  </si>
  <si>
    <t>USA500</t>
  </si>
  <si>
    <t>BIOTECH</t>
  </si>
  <si>
    <t>DKNG</t>
  </si>
  <si>
    <t>ZM</t>
  </si>
  <si>
    <t>USA100</t>
  </si>
  <si>
    <t>NOW</t>
  </si>
  <si>
    <t>SOY</t>
  </si>
  <si>
    <t>USDE</t>
  </si>
  <si>
    <t>EWZ</t>
  </si>
  <si>
    <t>BX</t>
  </si>
  <si>
    <t>EBAY</t>
  </si>
  <si>
    <t>KIOXIA</t>
  </si>
  <si>
    <t>GOLDJM</t>
  </si>
  <si>
    <t>IBOV</t>
  </si>
  <si>
    <t>VOL</t>
  </si>
  <si>
    <t>H100</t>
  </si>
  <si>
    <t>DXY</t>
  </si>
  <si>
    <t>TTF</t>
  </si>
  <si>
    <t>NIFTY</t>
  </si>
  <si>
    <t>URANIUM</t>
  </si>
  <si>
    <t>ALUMINIUM</t>
  </si>
  <si>
    <t>BTC</t>
  </si>
  <si>
    <t>CORN</t>
  </si>
  <si>
    <t>SOFTBANK</t>
  </si>
  <si>
    <t>SMH</t>
  </si>
  <si>
    <t>SILVERJM</t>
  </si>
  <si>
    <t>KRW</t>
  </si>
  <si>
    <t>April 2026 Volume by Category &amp; Platform</t>
  </si>
  <si>
    <t>CEX</t>
  </si>
  <si>
    <t>Extended</t>
  </si>
  <si>
    <t>GRVT</t>
  </si>
  <si>
    <t>Pacifica</t>
  </si>
  <si>
    <t>Apex</t>
  </si>
  <si>
    <t>Aster</t>
  </si>
  <si>
    <t>EdgeX</t>
  </si>
  <si>
    <t>Avantis</t>
  </si>
  <si>
    <t>Ostium</t>
  </si>
  <si>
    <t>Lighter</t>
  </si>
  <si>
    <t>HIP-3</t>
  </si>
  <si>
    <t>Grand Total</t>
  </si>
  <si>
    <t>CEX vs DEX Summary</t>
  </si>
  <si>
    <t>DEX (exlc HIP 3)</t>
  </si>
  <si>
    <t>DEX</t>
  </si>
  <si>
    <t>DEX - Total</t>
  </si>
  <si>
    <t>Hyperliquid</t>
  </si>
  <si>
    <t>May 1-20, 2026 Volume by Category &amp; Platform</t>
  </si>
  <si>
    <t>Avantis*</t>
  </si>
  <si>
    <t>Ostium*</t>
  </si>
  <si>
    <t>Hiperliquid</t>
  </si>
  <si>
    <t>DEX (excl HIP)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</si>
</sst>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"/>
    <numFmt numFmtId="166" formatCode="_(* #,##0.00_);_(* \(#,##0.00\);_(* \-??_);_(@_)"/>
    <numFmt numFmtId="167" formatCode="_ * #,##0_ ;_ * \-#,##0_ ;_ * \-??_ ;_ @_ "/>
    <numFmt numFmtId="169" formatCode="_(* #,##0_);_(* \(#,##0\);_(* \-??_);_(@_)"/>
  </numFmts>
  <fonts count="11" x14ac:knownFonts="1">
    <font>
      <sz val="11"/>
      <color theme="1"/>
      <name val="Calibri"/>
      <family val="2"/>
      <charset val="1"/>
    </font>
    <font>
      <b/>
      <sz val="9"/>
      <name val="Arial"/>
      <family val="2"/>
      <charset val="1"/>
    </font>
    <font>
      <b/>
      <sz val="11"/>
      <name val="Cambria"/>
      <family val="1"/>
      <charset val="1"/>
    </font>
    <font>
      <b/>
      <sz val="12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E4DFEC"/>
        <bgColor rgb="FFD6DCE4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6DCE4"/>
        <bgColor rgb="FFD9D9D9"/>
      </patternFill>
    </fill>
    <fill>
      <patternFill patternType="solid">
        <fgColor rgb="FFD9D9D9"/>
        <bgColor rgb="FFD6DCE4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4472C4"/>
        <bgColor rgb="FF6666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6" fontId="6" fillId="0" borderId="0"/>
    <xf numFmtId="9" fontId="6" fillId="0" borderId="0"/>
  </cellStyleXfs>
  <cellXfs count="4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64" fontId="0" fillId="0" borderId="0" xfId="0" applyNumberFormat="1"/>
    <xf numFmtId="3" fontId="2" fillId="2" borderId="0" xfId="0" applyNumberFormat="1" applyFont="1" applyFill="1"/>
    <xf numFmtId="3" fontId="0" fillId="0" borderId="0" xfId="0" applyNumberFormat="1"/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0" borderId="0" xfId="0" applyFont="1"/>
    <xf numFmtId="0" fontId="4" fillId="10" borderId="1" xfId="0" applyFont="1" applyFill="1" applyBorder="1" applyAlignment="1">
      <alignment horizontal="center" wrapText="1"/>
    </xf>
    <xf numFmtId="0" fontId="5" fillId="2" borderId="1" xfId="0" applyFont="1" applyFill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0" fontId="5" fillId="9" borderId="1" xfId="0" applyFont="1" applyFill="1" applyBorder="1"/>
    <xf numFmtId="0" fontId="5" fillId="6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3" borderId="1" xfId="0" applyFont="1" applyFill="1" applyBorder="1"/>
    <xf numFmtId="0" fontId="5" fillId="8" borderId="1" xfId="0" applyFont="1" applyFill="1" applyBorder="1"/>
    <xf numFmtId="0" fontId="5" fillId="0" borderId="1" xfId="0" applyFont="1" applyBorder="1"/>
    <xf numFmtId="0" fontId="4" fillId="10" borderId="2" xfId="0" applyFont="1" applyFill="1" applyBorder="1" applyAlignment="1">
      <alignment horizontal="center" wrapText="1"/>
    </xf>
    <xf numFmtId="167" fontId="6" fillId="0" borderId="0" xfId="1" applyNumberFormat="1"/>
    <xf numFmtId="165" fontId="0" fillId="0" borderId="0" xfId="0" applyNumberFormat="1"/>
    <xf numFmtId="9" fontId="6" fillId="0" borderId="0" xfId="2"/>
    <xf numFmtId="0" fontId="7" fillId="0" borderId="0" xfId="0" applyFont="1"/>
    <xf numFmtId="0" fontId="8" fillId="10" borderId="1" xfId="0" applyFont="1" applyFill="1" applyBorder="1" applyAlignment="1">
      <alignment horizontal="center" wrapText="1"/>
    </xf>
    <xf numFmtId="0" fontId="9" fillId="2" borderId="1" xfId="0" applyFont="1" applyFill="1" applyBorder="1"/>
    <xf numFmtId="165" fontId="10" fillId="0" borderId="1" xfId="0" applyNumberFormat="1" applyFont="1" applyBorder="1"/>
    <xf numFmtId="165" fontId="9" fillId="0" borderId="1" xfId="0" applyNumberFormat="1" applyFont="1" applyBorder="1"/>
    <xf numFmtId="0" fontId="9" fillId="9" borderId="1" xfId="0" applyFont="1" applyFill="1" applyBorder="1"/>
    <xf numFmtId="0" fontId="9" fillId="6" borderId="1" xfId="0" applyFont="1" applyFill="1" applyBorder="1"/>
    <xf numFmtId="0" fontId="9" fillId="4" borderId="1" xfId="0" applyFont="1" applyFill="1" applyBorder="1"/>
    <xf numFmtId="0" fontId="9" fillId="5" borderId="1" xfId="0" applyFont="1" applyFill="1" applyBorder="1"/>
    <xf numFmtId="0" fontId="9" fillId="3" borderId="1" xfId="0" applyFont="1" applyFill="1" applyBorder="1"/>
    <xf numFmtId="0" fontId="9" fillId="8" borderId="1" xfId="0" applyFont="1" applyFill="1" applyBorder="1"/>
    <xf numFmtId="0" fontId="9" fillId="0" borderId="1" xfId="0" applyFont="1" applyBorder="1"/>
    <xf numFmtId="0" fontId="8" fillId="10" borderId="2" xfId="0" applyFont="1" applyFill="1" applyBorder="1" applyAlignment="1">
      <alignment horizontal="center" wrapText="1"/>
    </xf>
    <xf numFmtId="169" fontId="6" fillId="0" borderId="0" xfId="1" applyNumberFormat="1"/>
    <xf numFmtId="0" fontId="4" fillId="0" borderId="0" xfId="0" applyFont="1" applyFill="1" applyBorder="1" applyAlignment="1">
      <alignment horizontal="center" wrapText="1"/>
    </xf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99CCFF"/>
      <rgbColor rgb="FFFF99CC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70"/>
  <sheetViews>
    <sheetView zoomScaleNormal="100" workbookViewId="0">
      <pane xSplit="1" ySplit="1" topLeftCell="GH2" activePane="bottomRight" state="frozen"/>
      <selection pane="topRight" activeCell="B1" sqref="B1"/>
      <selection pane="bottomLeft" activeCell="A2" sqref="A2"/>
      <selection pane="bottomRight" activeCell="EO1" activeCellId="27" sqref="A1:A1048576 O1:O1048576 W1:W1048576 Y1:Y1048576 AC1:AC1048576 AO1:AO1048576 AU1:AU1048576 AV1:AV1048576 AX1:AX1048576 BC1:BC1048576 BN1:BN1048576 BV1:BV1048576 CC1:CC1048576 CE1:CE1048576 CO1:CO1048576 CT1:CT1048576 DA1:DA1048576 DC1:DC1048576 DD1:DD1048576 DF1:DF1048576 DG1:DG1048576 DN1:DN1048576 DY1:DY1048576 EB1:EB1048576 EC1:EC1048576 EI1:EI1048576 EN1:EN1048576 EO1:EO1048576"/>
    </sheetView>
  </sheetViews>
  <sheetFormatPr defaultColWidth="8.6328125" defaultRowHeight="14.5" x14ac:dyDescent="0.35"/>
  <cols>
    <col min="1" max="1" width="12" customWidth="1"/>
    <col min="2" max="2" width="18" customWidth="1"/>
    <col min="3" max="189" width="14" customWidth="1"/>
  </cols>
  <sheetData>
    <row r="1" spans="1:189" x14ac:dyDescent="0.35">
      <c r="A1" s="1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3" t="s">
        <v>2</v>
      </c>
      <c r="H1" s="3" t="s">
        <v>2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4" t="s">
        <v>3</v>
      </c>
      <c r="P1" s="3" t="s">
        <v>2</v>
      </c>
      <c r="Q1" s="2" t="s">
        <v>1</v>
      </c>
      <c r="R1" s="3" t="s">
        <v>2</v>
      </c>
      <c r="S1" s="2" t="s">
        <v>1</v>
      </c>
      <c r="T1" s="3" t="s">
        <v>2</v>
      </c>
      <c r="U1" s="3" t="s">
        <v>2</v>
      </c>
      <c r="V1" s="3" t="s">
        <v>2</v>
      </c>
      <c r="W1" s="4" t="s">
        <v>3</v>
      </c>
      <c r="X1" s="3" t="s">
        <v>2</v>
      </c>
      <c r="Y1" s="4" t="s">
        <v>3</v>
      </c>
      <c r="Z1" s="3" t="s">
        <v>2</v>
      </c>
      <c r="AA1" s="3" t="s">
        <v>2</v>
      </c>
      <c r="AB1" s="2" t="s">
        <v>1</v>
      </c>
      <c r="AC1" s="4" t="s">
        <v>3</v>
      </c>
      <c r="AD1" s="5" t="s">
        <v>4</v>
      </c>
      <c r="AE1" s="2" t="s">
        <v>1</v>
      </c>
      <c r="AF1" s="3" t="s">
        <v>2</v>
      </c>
      <c r="AG1" s="3" t="s">
        <v>2</v>
      </c>
      <c r="AH1" s="3" t="s">
        <v>2</v>
      </c>
      <c r="AI1" s="3" t="s">
        <v>2</v>
      </c>
      <c r="AJ1" s="3" t="s">
        <v>2</v>
      </c>
      <c r="AK1" s="2" t="s">
        <v>1</v>
      </c>
      <c r="AL1" s="3" t="s">
        <v>2</v>
      </c>
      <c r="AM1" s="3" t="s">
        <v>2</v>
      </c>
      <c r="AN1" s="3" t="s">
        <v>2</v>
      </c>
      <c r="AO1" s="4" t="s">
        <v>3</v>
      </c>
      <c r="AP1" s="3" t="s">
        <v>2</v>
      </c>
      <c r="AQ1" s="3" t="s">
        <v>2</v>
      </c>
      <c r="AR1" s="3" t="s">
        <v>2</v>
      </c>
      <c r="AS1" s="3" t="s">
        <v>2</v>
      </c>
      <c r="AT1" s="3" t="s">
        <v>2</v>
      </c>
      <c r="AU1" s="4" t="s">
        <v>3</v>
      </c>
      <c r="AV1" s="4" t="s">
        <v>3</v>
      </c>
      <c r="AW1" s="3" t="s">
        <v>2</v>
      </c>
      <c r="AX1" s="4" t="s">
        <v>3</v>
      </c>
      <c r="AY1" s="3" t="s">
        <v>2</v>
      </c>
      <c r="AZ1" s="3" t="s">
        <v>2</v>
      </c>
      <c r="BA1" s="3" t="s">
        <v>2</v>
      </c>
      <c r="BB1" s="3" t="s">
        <v>2</v>
      </c>
      <c r="BC1" s="4" t="s">
        <v>3</v>
      </c>
      <c r="BD1" s="3" t="s">
        <v>2</v>
      </c>
      <c r="BE1" s="5" t="s">
        <v>4</v>
      </c>
      <c r="BF1" s="5" t="s">
        <v>4</v>
      </c>
      <c r="BG1" s="3" t="s">
        <v>2</v>
      </c>
      <c r="BH1" s="3" t="s">
        <v>2</v>
      </c>
      <c r="BI1" s="3" t="s">
        <v>2</v>
      </c>
      <c r="BJ1" s="3" t="s">
        <v>2</v>
      </c>
      <c r="BK1" s="3" t="s">
        <v>2</v>
      </c>
      <c r="BL1" s="3" t="s">
        <v>2</v>
      </c>
      <c r="BM1" s="3" t="s">
        <v>2</v>
      </c>
      <c r="BN1" s="4" t="s">
        <v>3</v>
      </c>
      <c r="BO1" s="3" t="s">
        <v>2</v>
      </c>
      <c r="BP1" s="3" t="s">
        <v>2</v>
      </c>
      <c r="BQ1" s="3" t="s">
        <v>2</v>
      </c>
      <c r="BR1" s="3" t="s">
        <v>2</v>
      </c>
      <c r="BS1" s="3" t="s">
        <v>2</v>
      </c>
      <c r="BT1" s="3" t="s">
        <v>2</v>
      </c>
      <c r="BU1" s="3" t="s">
        <v>2</v>
      </c>
      <c r="BV1" s="4" t="s">
        <v>3</v>
      </c>
      <c r="BW1" s="3" t="s">
        <v>2</v>
      </c>
      <c r="BX1" s="3" t="s">
        <v>2</v>
      </c>
      <c r="BY1" s="3" t="s">
        <v>2</v>
      </c>
      <c r="BZ1" s="3" t="s">
        <v>2</v>
      </c>
      <c r="CA1" s="3" t="s">
        <v>2</v>
      </c>
      <c r="CB1" s="3" t="s">
        <v>2</v>
      </c>
      <c r="CC1" s="4" t="s">
        <v>3</v>
      </c>
      <c r="CD1" s="3" t="s">
        <v>2</v>
      </c>
      <c r="CE1" s="4" t="s">
        <v>3</v>
      </c>
      <c r="CF1" s="3" t="s">
        <v>2</v>
      </c>
      <c r="CG1" s="3" t="s">
        <v>2</v>
      </c>
      <c r="CH1" s="3" t="s">
        <v>2</v>
      </c>
      <c r="CI1" s="3" t="s">
        <v>2</v>
      </c>
      <c r="CJ1" s="3" t="s">
        <v>2</v>
      </c>
      <c r="CK1" s="3" t="s">
        <v>2</v>
      </c>
      <c r="CL1" s="3" t="s">
        <v>2</v>
      </c>
      <c r="CM1" s="3" t="s">
        <v>2</v>
      </c>
      <c r="CN1" s="2" t="s">
        <v>1</v>
      </c>
      <c r="CO1" s="4" t="s">
        <v>3</v>
      </c>
      <c r="CP1" s="3" t="s">
        <v>2</v>
      </c>
      <c r="CQ1" s="3" t="s">
        <v>2</v>
      </c>
      <c r="CR1" s="3" t="s">
        <v>2</v>
      </c>
      <c r="CS1" s="3" t="s">
        <v>2</v>
      </c>
      <c r="CT1" s="4" t="s">
        <v>3</v>
      </c>
      <c r="CU1" s="3" t="s">
        <v>2</v>
      </c>
      <c r="CV1" s="3" t="s">
        <v>2</v>
      </c>
      <c r="CW1" s="3" t="s">
        <v>2</v>
      </c>
      <c r="CX1" s="3" t="s">
        <v>2</v>
      </c>
      <c r="CY1" s="3" t="s">
        <v>2</v>
      </c>
      <c r="CZ1" s="3" t="s">
        <v>2</v>
      </c>
      <c r="DA1" s="4" t="s">
        <v>3</v>
      </c>
      <c r="DB1" s="3" t="s">
        <v>2</v>
      </c>
      <c r="DC1" s="4" t="s">
        <v>3</v>
      </c>
      <c r="DD1" s="4" t="s">
        <v>3</v>
      </c>
      <c r="DE1" s="3" t="s">
        <v>2</v>
      </c>
      <c r="DF1" s="4" t="s">
        <v>3</v>
      </c>
      <c r="DG1" s="4" t="s">
        <v>3</v>
      </c>
      <c r="DH1" s="3" t="s">
        <v>2</v>
      </c>
      <c r="DI1" s="3" t="s">
        <v>2</v>
      </c>
      <c r="DJ1" s="3" t="s">
        <v>2</v>
      </c>
      <c r="DK1" s="3" t="s">
        <v>2</v>
      </c>
      <c r="DL1" s="3" t="s">
        <v>2</v>
      </c>
      <c r="DM1" s="3" t="s">
        <v>2</v>
      </c>
      <c r="DN1" s="4" t="s">
        <v>3</v>
      </c>
      <c r="DO1" s="3" t="s">
        <v>2</v>
      </c>
      <c r="DP1" s="3" t="s">
        <v>2</v>
      </c>
      <c r="DQ1" s="3" t="s">
        <v>2</v>
      </c>
      <c r="DR1" s="3" t="s">
        <v>2</v>
      </c>
      <c r="DS1" s="3" t="s">
        <v>2</v>
      </c>
      <c r="DT1" s="3" t="s">
        <v>2</v>
      </c>
      <c r="DU1" s="3" t="s">
        <v>2</v>
      </c>
      <c r="DV1" s="3" t="s">
        <v>2</v>
      </c>
      <c r="DW1" s="5" t="s">
        <v>4</v>
      </c>
      <c r="DX1" s="3" t="s">
        <v>2</v>
      </c>
      <c r="DY1" s="4" t="s">
        <v>3</v>
      </c>
      <c r="DZ1" s="3" t="s">
        <v>2</v>
      </c>
      <c r="EA1" s="2" t="s">
        <v>1</v>
      </c>
      <c r="EB1" s="4" t="s">
        <v>3</v>
      </c>
      <c r="EC1" s="4" t="s">
        <v>3</v>
      </c>
      <c r="ED1" s="6" t="s">
        <v>5</v>
      </c>
      <c r="EE1" s="2" t="s">
        <v>1</v>
      </c>
      <c r="EF1" s="3" t="s">
        <v>2</v>
      </c>
      <c r="EG1" s="3" t="s">
        <v>2</v>
      </c>
      <c r="EH1" s="6" t="s">
        <v>5</v>
      </c>
      <c r="EI1" s="4" t="s">
        <v>3</v>
      </c>
      <c r="EJ1" s="3" t="s">
        <v>2</v>
      </c>
      <c r="EK1" s="3" t="s">
        <v>2</v>
      </c>
      <c r="EL1" s="5" t="s">
        <v>4</v>
      </c>
      <c r="EM1" s="3" t="s">
        <v>2</v>
      </c>
      <c r="EN1" s="4" t="s">
        <v>3</v>
      </c>
      <c r="EO1" s="4" t="s">
        <v>3</v>
      </c>
      <c r="EP1" s="3" t="s">
        <v>2</v>
      </c>
      <c r="EQ1" s="3" t="s">
        <v>2</v>
      </c>
      <c r="ER1" s="3" t="s">
        <v>2</v>
      </c>
      <c r="ES1" s="3" t="s">
        <v>2</v>
      </c>
      <c r="ET1" s="6" t="s">
        <v>5</v>
      </c>
      <c r="EU1" s="3" t="s">
        <v>2</v>
      </c>
      <c r="EV1" s="6" t="s">
        <v>5</v>
      </c>
      <c r="EW1" s="3" t="s">
        <v>2</v>
      </c>
      <c r="EX1" s="3" t="s">
        <v>2</v>
      </c>
      <c r="EY1" s="3" t="s">
        <v>2</v>
      </c>
      <c r="EZ1" s="3" t="s">
        <v>2</v>
      </c>
      <c r="FA1" s="3" t="s">
        <v>2</v>
      </c>
      <c r="FB1" s="3" t="s">
        <v>2</v>
      </c>
      <c r="FC1" s="3" t="s">
        <v>2</v>
      </c>
      <c r="FD1" s="3" t="s">
        <v>2</v>
      </c>
      <c r="FE1" s="3" t="s">
        <v>2</v>
      </c>
      <c r="FF1" s="3" t="s">
        <v>2</v>
      </c>
      <c r="FG1" s="3" t="s">
        <v>2</v>
      </c>
      <c r="FH1" s="3" t="s">
        <v>2</v>
      </c>
      <c r="FI1" s="3" t="s">
        <v>2</v>
      </c>
      <c r="FJ1" s="3" t="s">
        <v>2</v>
      </c>
      <c r="FK1" s="3" t="s">
        <v>2</v>
      </c>
      <c r="FL1" s="3" t="s">
        <v>2</v>
      </c>
      <c r="FM1" s="3" t="s">
        <v>2</v>
      </c>
      <c r="FN1" s="3" t="s">
        <v>2</v>
      </c>
      <c r="FO1" s="3" t="s">
        <v>2</v>
      </c>
      <c r="FP1" s="3" t="s">
        <v>2</v>
      </c>
      <c r="FQ1" s="3" t="s">
        <v>2</v>
      </c>
      <c r="FR1" s="3" t="s">
        <v>2</v>
      </c>
      <c r="FS1" s="3" t="s">
        <v>2</v>
      </c>
      <c r="FT1" s="3" t="s">
        <v>2</v>
      </c>
      <c r="FU1" s="3" t="s">
        <v>2</v>
      </c>
      <c r="FV1" s="3" t="s">
        <v>2</v>
      </c>
      <c r="FW1" s="3" t="s">
        <v>2</v>
      </c>
      <c r="FX1" s="3" t="s">
        <v>2</v>
      </c>
      <c r="FY1" s="3" t="s">
        <v>2</v>
      </c>
      <c r="FZ1" s="3" t="s">
        <v>2</v>
      </c>
      <c r="GA1" s="6" t="s">
        <v>5</v>
      </c>
      <c r="GB1" s="3" t="s">
        <v>2</v>
      </c>
      <c r="GC1" s="3" t="s">
        <v>2</v>
      </c>
      <c r="GD1" s="3" t="s">
        <v>2</v>
      </c>
      <c r="GE1" s="6" t="s">
        <v>5</v>
      </c>
      <c r="GF1" s="6" t="s">
        <v>5</v>
      </c>
      <c r="GG1" s="6" t="s">
        <v>5</v>
      </c>
    </row>
    <row r="2" spans="1:189" x14ac:dyDescent="0.3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12</v>
      </c>
      <c r="H2" s="7" t="s">
        <v>13</v>
      </c>
      <c r="I2" s="7" t="s">
        <v>14</v>
      </c>
      <c r="J2" s="7" t="s">
        <v>15</v>
      </c>
      <c r="K2" s="7" t="s">
        <v>16</v>
      </c>
      <c r="L2" s="7" t="s">
        <v>17</v>
      </c>
      <c r="M2" s="7" t="s">
        <v>18</v>
      </c>
      <c r="N2" s="7" t="s">
        <v>19</v>
      </c>
      <c r="O2" s="7" t="s">
        <v>20</v>
      </c>
      <c r="P2" s="7" t="s">
        <v>21</v>
      </c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7" t="s">
        <v>32</v>
      </c>
      <c r="AB2" s="7" t="s">
        <v>33</v>
      </c>
      <c r="AC2" s="7" t="s">
        <v>34</v>
      </c>
      <c r="AD2" s="7" t="s">
        <v>35</v>
      </c>
      <c r="AE2" s="7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7" t="s">
        <v>55</v>
      </c>
      <c r="AY2" s="7" t="s">
        <v>56</v>
      </c>
      <c r="AZ2" s="7" t="s">
        <v>57</v>
      </c>
      <c r="BA2" s="7" t="s">
        <v>58</v>
      </c>
      <c r="BB2" s="7" t="s">
        <v>59</v>
      </c>
      <c r="BC2" s="7" t="s">
        <v>60</v>
      </c>
      <c r="BD2" s="7" t="s">
        <v>61</v>
      </c>
      <c r="BE2" s="7" t="s">
        <v>62</v>
      </c>
      <c r="BF2" s="7" t="s">
        <v>63</v>
      </c>
      <c r="BG2" s="7" t="s">
        <v>64</v>
      </c>
      <c r="BH2" s="7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7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7" t="s">
        <v>77</v>
      </c>
      <c r="BU2" s="7" t="s">
        <v>78</v>
      </c>
      <c r="BV2" s="7" t="s">
        <v>79</v>
      </c>
      <c r="BW2" s="7" t="s">
        <v>80</v>
      </c>
      <c r="BX2" s="7" t="s">
        <v>81</v>
      </c>
      <c r="BY2" s="7" t="s">
        <v>82</v>
      </c>
      <c r="BZ2" s="7" t="s">
        <v>83</v>
      </c>
      <c r="CA2" s="7" t="s">
        <v>84</v>
      </c>
      <c r="CB2" s="7" t="s">
        <v>85</v>
      </c>
      <c r="CC2" s="7" t="s">
        <v>86</v>
      </c>
      <c r="CD2" s="7" t="s">
        <v>87</v>
      </c>
      <c r="CE2" s="7" t="s">
        <v>88</v>
      </c>
      <c r="CF2" s="7" t="s">
        <v>89</v>
      </c>
      <c r="CG2" s="7" t="s">
        <v>90</v>
      </c>
      <c r="CH2" s="7" t="s">
        <v>91</v>
      </c>
      <c r="CI2" s="7" t="s">
        <v>92</v>
      </c>
      <c r="CJ2" s="7" t="s">
        <v>93</v>
      </c>
      <c r="CK2" s="7" t="s">
        <v>94</v>
      </c>
      <c r="CL2" s="7" t="s">
        <v>95</v>
      </c>
      <c r="CM2" s="7" t="s">
        <v>96</v>
      </c>
      <c r="CN2" s="7" t="s">
        <v>97</v>
      </c>
      <c r="CO2" s="7" t="s">
        <v>98</v>
      </c>
      <c r="CP2" s="7" t="s">
        <v>99</v>
      </c>
      <c r="CQ2" s="7" t="s">
        <v>100</v>
      </c>
      <c r="CR2" s="7" t="s">
        <v>101</v>
      </c>
      <c r="CS2" s="7" t="s">
        <v>102</v>
      </c>
      <c r="CT2" s="7" t="s">
        <v>103</v>
      </c>
      <c r="CU2" s="7" t="s">
        <v>104</v>
      </c>
      <c r="CV2" s="7" t="s">
        <v>105</v>
      </c>
      <c r="CW2" s="7" t="s">
        <v>106</v>
      </c>
      <c r="CX2" s="7" t="s">
        <v>107</v>
      </c>
      <c r="CY2" s="7" t="s">
        <v>108</v>
      </c>
      <c r="CZ2" s="7" t="s">
        <v>109</v>
      </c>
      <c r="DA2" s="7" t="s">
        <v>110</v>
      </c>
      <c r="DB2" s="7" t="s">
        <v>111</v>
      </c>
      <c r="DC2" s="7" t="s">
        <v>112</v>
      </c>
      <c r="DD2" s="7" t="s">
        <v>113</v>
      </c>
      <c r="DE2" s="7" t="s">
        <v>114</v>
      </c>
      <c r="DF2" s="7" t="s">
        <v>115</v>
      </c>
      <c r="DG2" s="7" t="s">
        <v>116</v>
      </c>
      <c r="DH2" s="7" t="s">
        <v>117</v>
      </c>
      <c r="DI2" s="7" t="s">
        <v>118</v>
      </c>
      <c r="DJ2" s="7" t="s">
        <v>119</v>
      </c>
      <c r="DK2" s="7" t="s">
        <v>120</v>
      </c>
      <c r="DL2" s="7" t="s">
        <v>121</v>
      </c>
      <c r="DM2" s="7" t="s">
        <v>122</v>
      </c>
      <c r="DN2" s="7" t="s">
        <v>123</v>
      </c>
      <c r="DO2" s="7" t="s">
        <v>124</v>
      </c>
      <c r="DP2" s="7" t="s">
        <v>125</v>
      </c>
      <c r="DQ2" s="7" t="s">
        <v>126</v>
      </c>
      <c r="DR2" s="7" t="s">
        <v>127</v>
      </c>
      <c r="DS2" s="7" t="s">
        <v>128</v>
      </c>
      <c r="DT2" s="7" t="s">
        <v>129</v>
      </c>
      <c r="DU2" s="7" t="s">
        <v>130</v>
      </c>
      <c r="DV2" s="7" t="s">
        <v>131</v>
      </c>
      <c r="DW2" s="7" t="s">
        <v>132</v>
      </c>
      <c r="DX2" s="7" t="s">
        <v>133</v>
      </c>
      <c r="DY2" s="7" t="s">
        <v>134</v>
      </c>
      <c r="DZ2" s="7" t="s">
        <v>135</v>
      </c>
      <c r="EA2" s="7" t="s">
        <v>136</v>
      </c>
      <c r="EB2" s="7" t="s">
        <v>137</v>
      </c>
      <c r="EC2" s="7" t="s">
        <v>138</v>
      </c>
      <c r="ED2" s="7" t="s">
        <v>139</v>
      </c>
      <c r="EE2" s="7" t="s">
        <v>140</v>
      </c>
      <c r="EF2" s="7" t="s">
        <v>141</v>
      </c>
      <c r="EG2" s="7" t="s">
        <v>142</v>
      </c>
      <c r="EH2" s="7" t="s">
        <v>143</v>
      </c>
      <c r="EI2" s="7" t="s">
        <v>144</v>
      </c>
      <c r="EJ2" s="7" t="s">
        <v>145</v>
      </c>
      <c r="EK2" s="7" t="s">
        <v>146</v>
      </c>
      <c r="EL2" s="7" t="s">
        <v>147</v>
      </c>
      <c r="EM2" s="7" t="s">
        <v>148</v>
      </c>
      <c r="EN2" s="7" t="s">
        <v>149</v>
      </c>
      <c r="EO2" s="7" t="s">
        <v>150</v>
      </c>
      <c r="EP2" s="7" t="s">
        <v>151</v>
      </c>
      <c r="EQ2" s="7" t="s">
        <v>152</v>
      </c>
      <c r="ER2" s="7" t="s">
        <v>153</v>
      </c>
      <c r="ES2" s="7" t="s">
        <v>154</v>
      </c>
      <c r="ET2" s="7" t="s">
        <v>155</v>
      </c>
      <c r="EU2" s="7" t="s">
        <v>156</v>
      </c>
      <c r="EV2" s="7" t="s">
        <v>157</v>
      </c>
      <c r="EW2" s="7" t="s">
        <v>158</v>
      </c>
      <c r="EX2" s="7" t="s">
        <v>159</v>
      </c>
      <c r="EY2" s="7" t="s">
        <v>160</v>
      </c>
      <c r="EZ2" s="7" t="s">
        <v>161</v>
      </c>
      <c r="FA2" s="7" t="s">
        <v>162</v>
      </c>
      <c r="FB2" s="7" t="s">
        <v>163</v>
      </c>
      <c r="FC2" s="7" t="s">
        <v>164</v>
      </c>
      <c r="FD2" s="7" t="s">
        <v>165</v>
      </c>
      <c r="FE2" s="7" t="s">
        <v>166</v>
      </c>
      <c r="FF2" s="7" t="s">
        <v>167</v>
      </c>
      <c r="FG2" s="7" t="s">
        <v>168</v>
      </c>
      <c r="FH2" s="7" t="s">
        <v>169</v>
      </c>
      <c r="FI2" s="7" t="s">
        <v>170</v>
      </c>
      <c r="FJ2" s="7" t="s">
        <v>171</v>
      </c>
      <c r="FK2" s="7" t="s">
        <v>172</v>
      </c>
      <c r="FL2" s="7" t="s">
        <v>173</v>
      </c>
      <c r="FM2" s="7" t="s">
        <v>174</v>
      </c>
      <c r="FN2" s="7" t="s">
        <v>175</v>
      </c>
      <c r="FO2" s="7" t="s">
        <v>176</v>
      </c>
      <c r="FP2" s="7" t="s">
        <v>177</v>
      </c>
      <c r="FQ2" s="7" t="s">
        <v>178</v>
      </c>
      <c r="FR2" s="7" t="s">
        <v>179</v>
      </c>
      <c r="FS2" s="7" t="s">
        <v>180</v>
      </c>
      <c r="FT2" s="7" t="s">
        <v>181</v>
      </c>
      <c r="FU2" s="7" t="s">
        <v>182</v>
      </c>
      <c r="FV2" s="7" t="s">
        <v>183</v>
      </c>
      <c r="FW2" s="7" t="s">
        <v>184</v>
      </c>
      <c r="FX2" s="7" t="s">
        <v>185</v>
      </c>
      <c r="FY2" s="7" t="s">
        <v>186</v>
      </c>
      <c r="FZ2" s="7" t="s">
        <v>187</v>
      </c>
      <c r="GA2" s="7" t="s">
        <v>188</v>
      </c>
      <c r="GB2" s="7" t="s">
        <v>189</v>
      </c>
      <c r="GC2" s="7" t="s">
        <v>190</v>
      </c>
      <c r="GD2" s="7" t="s">
        <v>191</v>
      </c>
      <c r="GE2" s="7" t="s">
        <v>192</v>
      </c>
      <c r="GF2" s="7" t="s">
        <v>193</v>
      </c>
      <c r="GG2" s="7" t="s">
        <v>194</v>
      </c>
    </row>
    <row r="3" spans="1:189" x14ac:dyDescent="0.35">
      <c r="A3" s="8">
        <v>46162</v>
      </c>
      <c r="B3" s="9">
        <v>8581448204.15242</v>
      </c>
      <c r="C3" s="10">
        <v>2229608409.8901</v>
      </c>
      <c r="D3" s="10">
        <v>1889778628.81972</v>
      </c>
      <c r="E3" s="10">
        <v>1783615513.87679</v>
      </c>
      <c r="F3" s="10">
        <v>407011649.68720001</v>
      </c>
      <c r="G3" s="10">
        <v>124795568.46709999</v>
      </c>
      <c r="H3" s="10">
        <v>73846648.560675606</v>
      </c>
      <c r="I3" s="10">
        <v>361497936.79938197</v>
      </c>
      <c r="J3" s="10">
        <v>343963005.35671598</v>
      </c>
      <c r="K3" s="10">
        <v>309026917.03956503</v>
      </c>
      <c r="L3" s="10">
        <v>62669403.3719</v>
      </c>
      <c r="M3" s="10">
        <v>174949092.10912499</v>
      </c>
      <c r="N3" s="10">
        <v>23160793.195300002</v>
      </c>
      <c r="O3" s="10">
        <v>122900536.5425</v>
      </c>
      <c r="P3" s="10">
        <v>7837966.0263999999</v>
      </c>
      <c r="Q3" s="10">
        <v>45744495.292499997</v>
      </c>
      <c r="R3" s="10">
        <v>11858737.7864547</v>
      </c>
      <c r="S3" s="10">
        <v>8472266.1382800005</v>
      </c>
      <c r="T3" s="10">
        <v>10372936.9343</v>
      </c>
      <c r="U3" s="10">
        <v>9371163.9288375005</v>
      </c>
      <c r="V3" s="10">
        <v>40062292.6744048</v>
      </c>
      <c r="W3" s="10">
        <v>42666898.426191099</v>
      </c>
      <c r="X3" s="10">
        <v>50333969.579913601</v>
      </c>
      <c r="Y3" s="10">
        <v>66269033.983999997</v>
      </c>
      <c r="Z3" s="10">
        <v>8291444.6300604502</v>
      </c>
      <c r="AA3" s="10">
        <v>14026733.258223901</v>
      </c>
      <c r="AB3" s="10">
        <v>7654506.3296999997</v>
      </c>
      <c r="AC3" s="10">
        <v>18907151.2019131</v>
      </c>
      <c r="AD3" s="10">
        <v>122854083.448615</v>
      </c>
      <c r="AE3" s="10">
        <v>4492061.05076</v>
      </c>
      <c r="AF3" s="10">
        <v>6382881.3479108503</v>
      </c>
      <c r="AG3" s="10">
        <v>3199934.8862999999</v>
      </c>
      <c r="AH3" s="10">
        <v>7400429.5826000003</v>
      </c>
      <c r="AI3" s="10">
        <v>12296697.204</v>
      </c>
      <c r="AJ3" s="10">
        <v>11969816.0209</v>
      </c>
      <c r="AK3" s="10">
        <v>4979870.0609999998</v>
      </c>
      <c r="AL3" s="10">
        <v>14561770.697799999</v>
      </c>
      <c r="AM3" s="10">
        <v>5013066.4780246997</v>
      </c>
      <c r="AN3" s="10">
        <v>16361389.1097</v>
      </c>
      <c r="AO3" s="10">
        <v>21024825.578400001</v>
      </c>
      <c r="AP3" s="10">
        <v>6197131.7385999998</v>
      </c>
      <c r="AQ3" s="10">
        <v>3421360.8092999998</v>
      </c>
      <c r="AR3" s="10">
        <v>9589269.6493999995</v>
      </c>
      <c r="AS3" s="10">
        <v>329131.81300000002</v>
      </c>
      <c r="AT3" s="10">
        <v>362770.55589999998</v>
      </c>
      <c r="AU3" s="10">
        <v>689583.64336900006</v>
      </c>
      <c r="AV3" s="10">
        <v>1714242.5708999999</v>
      </c>
      <c r="AW3" s="10">
        <v>497574.7965</v>
      </c>
      <c r="AX3" s="10">
        <v>1312523.4236999999</v>
      </c>
      <c r="AY3" s="10">
        <v>2868989.3689999999</v>
      </c>
      <c r="AZ3" s="10">
        <v>2821129.0954</v>
      </c>
      <c r="BA3" s="10">
        <v>383291.99190000002</v>
      </c>
      <c r="BB3" s="10">
        <v>405961.97029999999</v>
      </c>
      <c r="BC3" s="10">
        <v>6587671.9299999997</v>
      </c>
      <c r="BD3" s="10">
        <v>742594.25560000003</v>
      </c>
      <c r="BE3" s="10">
        <v>1624454.2560000001</v>
      </c>
      <c r="BF3" s="10">
        <v>2191286.1370000001</v>
      </c>
      <c r="BG3" s="10">
        <v>1021124.2561699999</v>
      </c>
      <c r="BH3" s="10">
        <v>7579301.9556999998</v>
      </c>
      <c r="BI3" s="10">
        <v>5520870.0283000004</v>
      </c>
      <c r="BJ3" s="10">
        <v>2247769.2744999998</v>
      </c>
      <c r="BK3" s="10">
        <v>1198538.8646</v>
      </c>
      <c r="BL3" s="10">
        <v>300950.98839999997</v>
      </c>
      <c r="BM3" s="10">
        <v>174468.4927</v>
      </c>
      <c r="BN3" s="10">
        <v>2256859.4915</v>
      </c>
      <c r="BO3" s="10">
        <v>111554.9863</v>
      </c>
      <c r="BP3" s="10">
        <v>1685284.7997999999</v>
      </c>
      <c r="BQ3" s="10">
        <v>2591550.8357811999</v>
      </c>
      <c r="BR3" s="10">
        <v>186452.04019999999</v>
      </c>
      <c r="BS3" s="10">
        <v>508485.34279000002</v>
      </c>
      <c r="BT3" s="10">
        <v>925131.21279999998</v>
      </c>
      <c r="BU3" s="10">
        <v>127111.67027</v>
      </c>
      <c r="BV3" s="10">
        <v>1470003.3319999999</v>
      </c>
      <c r="BW3" s="10">
        <v>281342.10509999999</v>
      </c>
      <c r="BX3" s="10">
        <v>60910.429900000003</v>
      </c>
      <c r="BY3" s="10">
        <v>1063532.8308999999</v>
      </c>
      <c r="BZ3" s="10">
        <v>189201.30480000001</v>
      </c>
      <c r="CA3" s="10">
        <v>3456721.5190062998</v>
      </c>
      <c r="CB3" s="10">
        <v>102181.05469999999</v>
      </c>
      <c r="CC3" s="10">
        <v>959143.27500999998</v>
      </c>
      <c r="CD3" s="10">
        <v>140247.769</v>
      </c>
      <c r="CE3" s="10">
        <v>542302.84420000005</v>
      </c>
      <c r="CF3" s="10">
        <v>130277.99589999999</v>
      </c>
      <c r="CG3" s="10">
        <v>2504613.3895999999</v>
      </c>
      <c r="CH3" s="10">
        <v>2111366.2795699998</v>
      </c>
      <c r="CI3" s="10">
        <v>14490.107</v>
      </c>
      <c r="CJ3" s="10">
        <v>345956.52327000001</v>
      </c>
      <c r="CK3" s="10">
        <v>1686650.2002000001</v>
      </c>
      <c r="CL3" s="10">
        <v>1877524.5382999999</v>
      </c>
      <c r="CM3" s="10">
        <v>1707317.00743</v>
      </c>
      <c r="CN3" s="10">
        <v>43381.536</v>
      </c>
      <c r="CO3" s="10">
        <v>81490.741670000003</v>
      </c>
      <c r="CP3" s="10">
        <v>505742.12949999998</v>
      </c>
      <c r="CQ3" s="10">
        <v>189951.45</v>
      </c>
      <c r="CR3" s="10">
        <v>1102830.9464</v>
      </c>
      <c r="CS3" s="10">
        <v>622576.53506000002</v>
      </c>
      <c r="CT3" s="10">
        <v>11921.964910000001</v>
      </c>
      <c r="CU3" s="10">
        <v>112429.97960000001</v>
      </c>
      <c r="CV3" s="10">
        <v>47799.256600000001</v>
      </c>
      <c r="CW3" s="10">
        <v>489528.44949999999</v>
      </c>
      <c r="CX3" s="10">
        <v>37123.17643</v>
      </c>
      <c r="CY3" s="10">
        <v>2047945.3943</v>
      </c>
      <c r="CZ3" s="10">
        <v>2038953.7324000001</v>
      </c>
      <c r="DA3" s="10">
        <v>26899.204099999999</v>
      </c>
      <c r="DB3" s="10">
        <v>623236.18750999996</v>
      </c>
      <c r="DC3" s="10">
        <v>106540.698645</v>
      </c>
      <c r="DD3" s="10">
        <v>56715.7359</v>
      </c>
      <c r="DE3" s="10">
        <v>314136.61700000003</v>
      </c>
      <c r="DF3" s="10">
        <v>25090.559730000001</v>
      </c>
      <c r="DG3" s="10">
        <v>133285.01</v>
      </c>
      <c r="DH3" s="10">
        <v>489879.6569</v>
      </c>
      <c r="DI3" s="10">
        <v>145187.117</v>
      </c>
      <c r="DJ3" s="10">
        <v>460884.19530000002</v>
      </c>
      <c r="DK3" s="10">
        <v>21558.859</v>
      </c>
      <c r="DL3" s="10">
        <v>17896.438999999998</v>
      </c>
      <c r="DM3" s="10">
        <v>367929.1825</v>
      </c>
      <c r="DN3" s="10">
        <v>11535.0337</v>
      </c>
      <c r="DO3" s="10">
        <v>692270.21939999994</v>
      </c>
      <c r="DP3" s="10">
        <v>19492.569599999999</v>
      </c>
      <c r="DQ3" s="10">
        <v>741324.22253999999</v>
      </c>
      <c r="DR3" s="10">
        <v>20799.644199999999</v>
      </c>
      <c r="DS3" s="10">
        <v>13145.359700000001</v>
      </c>
      <c r="DT3" s="10">
        <v>9456.7857000000004</v>
      </c>
      <c r="DU3" s="10">
        <v>847003.34349999996</v>
      </c>
      <c r="DV3" s="10">
        <v>183178.90229999999</v>
      </c>
      <c r="DW3" s="10">
        <v>11415.6926</v>
      </c>
      <c r="DX3" s="10">
        <v>89209.475000000006</v>
      </c>
      <c r="DY3" s="10">
        <v>8157.35347</v>
      </c>
      <c r="DZ3" s="10">
        <v>9164.3274999999994</v>
      </c>
      <c r="EA3" s="10">
        <v>599197.93740000005</v>
      </c>
      <c r="EB3" s="10">
        <v>20979.679499999998</v>
      </c>
      <c r="EC3" s="10">
        <v>20287.808518999998</v>
      </c>
      <c r="ED3" s="10">
        <v>18334.980899999999</v>
      </c>
      <c r="EE3" s="10">
        <v>8197.3320000000003</v>
      </c>
      <c r="EF3" s="10">
        <v>7686.8244000000004</v>
      </c>
      <c r="EG3" s="10">
        <v>16938.437999999998</v>
      </c>
      <c r="EH3" s="10">
        <v>3227.76512</v>
      </c>
      <c r="EI3" s="10">
        <v>4861.0847899999999</v>
      </c>
      <c r="EJ3" s="10">
        <v>19671.848600000001</v>
      </c>
      <c r="EK3" s="10">
        <v>7360.3434999999999</v>
      </c>
      <c r="EL3" s="10">
        <v>15696.891900000001</v>
      </c>
      <c r="EM3" s="10">
        <v>11453.437099999999</v>
      </c>
      <c r="EN3" s="10">
        <v>18886.043000000001</v>
      </c>
      <c r="EO3" s="10">
        <v>47052.648000000001</v>
      </c>
      <c r="EP3" s="10">
        <v>152064.08747</v>
      </c>
      <c r="EQ3" s="10">
        <v>5082.5389999999998</v>
      </c>
      <c r="ER3" s="10">
        <v>2534.5985000000001</v>
      </c>
      <c r="ES3" s="10">
        <v>6408.9701999999997</v>
      </c>
      <c r="ET3" s="10">
        <v>4618.3086999999996</v>
      </c>
      <c r="EU3" s="10">
        <v>622183.44880000001</v>
      </c>
      <c r="EV3" s="10">
        <v>33664.236720000001</v>
      </c>
      <c r="EW3" s="10">
        <v>13922.393</v>
      </c>
      <c r="EX3" s="10">
        <v>17533.154999999999</v>
      </c>
      <c r="EY3" s="10">
        <v>14092.584999999999</v>
      </c>
      <c r="EZ3" s="10">
        <v>2943.4216000000001</v>
      </c>
      <c r="FA3" s="10">
        <v>107181.6263</v>
      </c>
      <c r="FB3" s="10">
        <v>55745.5527</v>
      </c>
      <c r="FC3" s="10">
        <v>4563.4480000000003</v>
      </c>
      <c r="FD3" s="10">
        <v>2704.2114000000001</v>
      </c>
      <c r="FE3" s="10">
        <v>3006.1007</v>
      </c>
      <c r="FF3" s="10">
        <v>3609.2869999999998</v>
      </c>
      <c r="FG3" s="10">
        <v>19823.777999999998</v>
      </c>
      <c r="FH3" s="10">
        <v>3054.1264999999999</v>
      </c>
      <c r="FI3" s="10">
        <v>14314.763999999999</v>
      </c>
      <c r="FJ3" s="10">
        <v>5450.1980999999996</v>
      </c>
      <c r="FK3" s="10">
        <v>7601.8320000000003</v>
      </c>
      <c r="FL3" s="10">
        <v>6220.4768000000004</v>
      </c>
      <c r="FM3" s="10">
        <v>7657.3427000000001</v>
      </c>
      <c r="FN3" s="10">
        <v>9586.2885000000006</v>
      </c>
      <c r="FO3" s="10">
        <v>3688.1653000000001</v>
      </c>
      <c r="FP3" s="10">
        <v>4916.1994999999997</v>
      </c>
      <c r="FQ3" s="10">
        <v>246857.40059999999</v>
      </c>
      <c r="FR3" s="10">
        <v>3246.1727000000001</v>
      </c>
      <c r="FS3" s="10">
        <v>3439.0765999999999</v>
      </c>
      <c r="FT3" s="10">
        <v>2170.1372000000001</v>
      </c>
      <c r="FU3" s="10">
        <v>7206.8239999999996</v>
      </c>
      <c r="FV3" s="10">
        <v>213759.54074</v>
      </c>
      <c r="FW3" s="10">
        <v>3052.5553</v>
      </c>
      <c r="FX3" s="10">
        <v>5337.4340000000002</v>
      </c>
      <c r="FY3" s="10">
        <v>2784.5832</v>
      </c>
      <c r="FZ3" s="10">
        <v>98715.457120000006</v>
      </c>
      <c r="GA3" s="10">
        <v>0</v>
      </c>
      <c r="GB3" s="10">
        <v>48073.389640000001</v>
      </c>
      <c r="GC3" s="10">
        <v>16024.781000000001</v>
      </c>
      <c r="GD3" s="10">
        <v>17734.787100000001</v>
      </c>
      <c r="GE3" s="10">
        <v>0</v>
      </c>
      <c r="GF3" s="10">
        <v>0</v>
      </c>
      <c r="GG3" s="10">
        <v>0</v>
      </c>
    </row>
    <row r="4" spans="1:189" x14ac:dyDescent="0.35">
      <c r="A4" s="8">
        <v>46161</v>
      </c>
      <c r="B4" s="9">
        <v>7248799729.5798197</v>
      </c>
      <c r="C4" s="10">
        <v>2058457507.36868</v>
      </c>
      <c r="D4" s="10">
        <v>1892921010.98787</v>
      </c>
      <c r="E4" s="10">
        <v>808829026.25644004</v>
      </c>
      <c r="F4" s="10">
        <v>178275642.14789999</v>
      </c>
      <c r="G4" s="10">
        <v>181825279.46430001</v>
      </c>
      <c r="H4" s="10">
        <v>74338010.014058694</v>
      </c>
      <c r="I4" s="10">
        <v>525230859.12795699</v>
      </c>
      <c r="J4" s="10">
        <v>430147375.13063103</v>
      </c>
      <c r="K4" s="10">
        <v>189043750.93493599</v>
      </c>
      <c r="L4" s="10">
        <v>56791059.106600001</v>
      </c>
      <c r="M4" s="10">
        <v>131114081.464454</v>
      </c>
      <c r="N4" s="10">
        <v>25738088.729200002</v>
      </c>
      <c r="O4" s="10">
        <v>83937289.945500001</v>
      </c>
      <c r="P4" s="10">
        <v>9249524.3191999998</v>
      </c>
      <c r="Q4" s="10">
        <v>43589412.675999999</v>
      </c>
      <c r="R4" s="10">
        <v>7482620.9200887997</v>
      </c>
      <c r="S4" s="10">
        <v>9387224.2053900007</v>
      </c>
      <c r="T4" s="10">
        <v>9659250.3690000009</v>
      </c>
      <c r="U4" s="10">
        <v>7920141.8738540998</v>
      </c>
      <c r="V4" s="10">
        <v>29125723.818037901</v>
      </c>
      <c r="W4" s="10">
        <v>39120191.012571201</v>
      </c>
      <c r="X4" s="10">
        <v>33733036.006678902</v>
      </c>
      <c r="Y4" s="10">
        <v>78615380.967299998</v>
      </c>
      <c r="Z4" s="10">
        <v>9077104.8520034999</v>
      </c>
      <c r="AA4" s="10">
        <v>23341009.194226898</v>
      </c>
      <c r="AB4" s="10">
        <v>7372737.0674999999</v>
      </c>
      <c r="AC4" s="10">
        <v>13249008.4058704</v>
      </c>
      <c r="AD4" s="10">
        <v>103671906.57665201</v>
      </c>
      <c r="AE4" s="10">
        <v>4919705.4927099999</v>
      </c>
      <c r="AF4" s="10">
        <v>5899075.9319420997</v>
      </c>
      <c r="AG4" s="10">
        <v>9565179.0739999991</v>
      </c>
      <c r="AH4" s="10">
        <v>6882095.7242999999</v>
      </c>
      <c r="AI4" s="10">
        <v>3024254.8339999998</v>
      </c>
      <c r="AJ4" s="10">
        <v>7346290.3651000001</v>
      </c>
      <c r="AK4" s="10">
        <v>3163247.2719999999</v>
      </c>
      <c r="AL4" s="10">
        <v>8237113.2345000003</v>
      </c>
      <c r="AM4" s="10">
        <v>3192196.0895912</v>
      </c>
      <c r="AN4" s="10">
        <v>12456130.629000001</v>
      </c>
      <c r="AO4" s="10">
        <v>20589493.420400001</v>
      </c>
      <c r="AP4" s="10">
        <v>4759556.3805999998</v>
      </c>
      <c r="AQ4" s="10">
        <v>3861123.2008000002</v>
      </c>
      <c r="AR4" s="10">
        <v>8924113.2193999998</v>
      </c>
      <c r="AS4" s="10">
        <v>947878.85979999998</v>
      </c>
      <c r="AT4" s="10">
        <v>346073.5551</v>
      </c>
      <c r="AU4" s="10">
        <v>1007267.759384</v>
      </c>
      <c r="AV4" s="10">
        <v>2501705.0595999998</v>
      </c>
      <c r="AW4" s="10">
        <v>307512.22120000003</v>
      </c>
      <c r="AX4" s="10">
        <v>1173256.666</v>
      </c>
      <c r="AY4" s="10">
        <v>4273933.0407999996</v>
      </c>
      <c r="AZ4" s="10">
        <v>4575670.4494000003</v>
      </c>
      <c r="BA4" s="10">
        <v>476573.56589999999</v>
      </c>
      <c r="BB4" s="10">
        <v>525064.31059999997</v>
      </c>
      <c r="BC4" s="10">
        <v>1917406.584</v>
      </c>
      <c r="BD4" s="10">
        <v>310860.33240000001</v>
      </c>
      <c r="BE4" s="10">
        <v>9274948.2080000006</v>
      </c>
      <c r="BF4" s="10">
        <v>1039898.764</v>
      </c>
      <c r="BG4" s="10">
        <v>585124.00824</v>
      </c>
      <c r="BH4" s="10">
        <v>3732206.5584999998</v>
      </c>
      <c r="BI4" s="10">
        <v>3166948.4915</v>
      </c>
      <c r="BJ4" s="10">
        <v>3499590.5203</v>
      </c>
      <c r="BK4" s="10">
        <v>59216.8122</v>
      </c>
      <c r="BL4" s="10">
        <v>383941.9768</v>
      </c>
      <c r="BM4" s="10">
        <v>236094.56510000001</v>
      </c>
      <c r="BN4" s="10">
        <v>4719220.6256999997</v>
      </c>
      <c r="BO4" s="10">
        <v>101837.1378</v>
      </c>
      <c r="BP4" s="10">
        <v>2033379.1969999999</v>
      </c>
      <c r="BQ4" s="10">
        <v>4058027.4513989999</v>
      </c>
      <c r="BR4" s="10">
        <v>174011.136</v>
      </c>
      <c r="BS4" s="10">
        <v>556074.70663999999</v>
      </c>
      <c r="BT4" s="10">
        <v>1147257.1767</v>
      </c>
      <c r="BU4" s="10">
        <v>138706.66498999999</v>
      </c>
      <c r="BV4" s="10">
        <v>1999765.953</v>
      </c>
      <c r="BW4" s="10">
        <v>54532.614300000001</v>
      </c>
      <c r="BX4" s="10">
        <v>56868.299400000004</v>
      </c>
      <c r="BY4" s="10">
        <v>2788917.7557999999</v>
      </c>
      <c r="BZ4" s="10">
        <v>229756.43859999999</v>
      </c>
      <c r="CA4" s="10">
        <v>2657128.8319347999</v>
      </c>
      <c r="CB4" s="10">
        <v>57851.815999999999</v>
      </c>
      <c r="CC4" s="10">
        <v>32972.169580000002</v>
      </c>
      <c r="CD4" s="10">
        <v>66657.877999999997</v>
      </c>
      <c r="CE4" s="10">
        <v>709237.45539999998</v>
      </c>
      <c r="CF4" s="10">
        <v>99615.66</v>
      </c>
      <c r="CG4" s="10">
        <v>1768342.7635999999</v>
      </c>
      <c r="CH4" s="10">
        <v>1658871.72713</v>
      </c>
      <c r="CI4" s="10">
        <v>83313.139500000005</v>
      </c>
      <c r="CJ4" s="10">
        <v>304329.96995</v>
      </c>
      <c r="CK4" s="10">
        <v>1280672.7039999999</v>
      </c>
      <c r="CL4" s="10">
        <v>2985749.5748999999</v>
      </c>
      <c r="CM4" s="10">
        <v>1175746.02785</v>
      </c>
      <c r="CN4" s="10">
        <v>122589.37300000001</v>
      </c>
      <c r="CO4" s="10">
        <v>74525.236105000004</v>
      </c>
      <c r="CP4" s="10">
        <v>524790.45030000003</v>
      </c>
      <c r="CQ4" s="10">
        <v>190060.56349999999</v>
      </c>
      <c r="CR4" s="10">
        <v>1242971.8663000001</v>
      </c>
      <c r="CS4" s="10">
        <v>454520.04577999999</v>
      </c>
      <c r="CT4" s="10">
        <v>42269.882550000002</v>
      </c>
      <c r="CU4" s="10">
        <v>139546.25810000001</v>
      </c>
      <c r="CV4" s="10">
        <v>55878.179900000003</v>
      </c>
      <c r="CW4" s="10">
        <v>781258.70530000003</v>
      </c>
      <c r="CX4" s="10">
        <v>24512.606899999999</v>
      </c>
      <c r="CY4" s="10">
        <v>1604083.4619</v>
      </c>
      <c r="CZ4" s="10">
        <v>1755651.3223000001</v>
      </c>
      <c r="DA4" s="10">
        <v>55499.293400000002</v>
      </c>
      <c r="DB4" s="10">
        <v>244715.65161999999</v>
      </c>
      <c r="DC4" s="10">
        <v>95393.177205</v>
      </c>
      <c r="DD4" s="10">
        <v>50802.970300000001</v>
      </c>
      <c r="DE4" s="10">
        <v>435484.3124</v>
      </c>
      <c r="DF4" s="10">
        <v>67594.166559999998</v>
      </c>
      <c r="DG4" s="10">
        <v>233628.288</v>
      </c>
      <c r="DH4" s="10">
        <v>616889.23389999999</v>
      </c>
      <c r="DI4" s="10">
        <v>153937.50399999999</v>
      </c>
      <c r="DJ4" s="10">
        <v>921182.40280000004</v>
      </c>
      <c r="DK4" s="10">
        <v>23715.206999999999</v>
      </c>
      <c r="DL4" s="10">
        <v>16822.631000000001</v>
      </c>
      <c r="DM4" s="10">
        <v>299306.34090000001</v>
      </c>
      <c r="DN4" s="10">
        <v>14375.41172</v>
      </c>
      <c r="DO4" s="10">
        <v>476795.69050000003</v>
      </c>
      <c r="DP4" s="10">
        <v>57904.151899999997</v>
      </c>
      <c r="DQ4" s="10">
        <v>112222.68551</v>
      </c>
      <c r="DR4" s="10">
        <v>7441.1763000000001</v>
      </c>
      <c r="DS4" s="10">
        <v>10024.6008</v>
      </c>
      <c r="DT4" s="10">
        <v>9390.0633999999991</v>
      </c>
      <c r="DU4" s="10">
        <v>736738.47030000004</v>
      </c>
      <c r="DV4" s="10">
        <v>280394.64970000001</v>
      </c>
      <c r="DW4" s="10">
        <v>20042.0717</v>
      </c>
      <c r="DX4" s="10">
        <v>58451.773000000001</v>
      </c>
      <c r="DY4" s="10">
        <v>14002.70732</v>
      </c>
      <c r="DZ4" s="10">
        <v>62033.127800000002</v>
      </c>
      <c r="EA4" s="10">
        <v>1794.2126000000001</v>
      </c>
      <c r="EB4" s="10">
        <v>151189.75959999999</v>
      </c>
      <c r="EC4" s="10">
        <v>11239.492560000001</v>
      </c>
      <c r="ED4" s="10">
        <v>21171.006099999999</v>
      </c>
      <c r="EE4" s="10">
        <v>22502.503000000001</v>
      </c>
      <c r="EF4" s="10">
        <v>7452.2988999999998</v>
      </c>
      <c r="EG4" s="10">
        <v>15547.289000000001</v>
      </c>
      <c r="EH4" s="10">
        <v>27452.892329999999</v>
      </c>
      <c r="EI4" s="10">
        <v>19297.817490000001</v>
      </c>
      <c r="EJ4" s="10">
        <v>18902.820100000001</v>
      </c>
      <c r="EK4" s="10">
        <v>12589.204400000001</v>
      </c>
      <c r="EL4" s="10">
        <v>11293.2644</v>
      </c>
      <c r="EM4" s="10">
        <v>10671.175999999999</v>
      </c>
      <c r="EN4" s="10">
        <v>12606.328</v>
      </c>
      <c r="EO4" s="10">
        <v>5055.0877</v>
      </c>
      <c r="EP4" s="10">
        <v>19163.453890000001</v>
      </c>
      <c r="EQ4" s="10">
        <v>4215.4994999999999</v>
      </c>
      <c r="ER4" s="10">
        <v>3264.7406999999998</v>
      </c>
      <c r="ES4" s="10">
        <v>6512.1491999999998</v>
      </c>
      <c r="ET4" s="10">
        <v>6266.1796000000004</v>
      </c>
      <c r="EU4" s="10">
        <v>179757.91149999999</v>
      </c>
      <c r="EV4" s="10">
        <v>388424.48118</v>
      </c>
      <c r="EW4" s="10">
        <v>14259.513999999999</v>
      </c>
      <c r="EX4" s="10">
        <v>23260.044999999998</v>
      </c>
      <c r="EY4" s="10">
        <v>13535.539000000001</v>
      </c>
      <c r="EZ4" s="10">
        <v>6721.5316999999995</v>
      </c>
      <c r="FA4" s="10">
        <v>49889.192000000003</v>
      </c>
      <c r="FB4" s="10">
        <v>5518.3984</v>
      </c>
      <c r="FC4" s="10">
        <v>4513.03</v>
      </c>
      <c r="FD4" s="10">
        <v>2714.9306999999999</v>
      </c>
      <c r="FE4" s="10">
        <v>1713.009</v>
      </c>
      <c r="FF4" s="10">
        <v>3617.3290000000002</v>
      </c>
      <c r="FG4" s="10">
        <v>10914.857</v>
      </c>
      <c r="FH4" s="10">
        <v>2657.9416000000001</v>
      </c>
      <c r="FI4" s="10">
        <v>6113.4290000000001</v>
      </c>
      <c r="FJ4" s="10">
        <v>11282.3236</v>
      </c>
      <c r="FK4" s="10">
        <v>6412.4690000000001</v>
      </c>
      <c r="FL4" s="10">
        <v>8917.6812000000009</v>
      </c>
      <c r="FM4" s="10">
        <v>5829.6565000000001</v>
      </c>
      <c r="FN4" s="10">
        <v>2835.2179000000001</v>
      </c>
      <c r="FO4" s="10">
        <v>2997.4652000000001</v>
      </c>
      <c r="FP4" s="10">
        <v>4251.5088999999998</v>
      </c>
      <c r="FQ4" s="10">
        <v>71860.180959999998</v>
      </c>
      <c r="FR4" s="10">
        <v>4026.6948000000002</v>
      </c>
      <c r="FS4" s="10">
        <v>2834.8694999999998</v>
      </c>
      <c r="FT4" s="10">
        <v>2231.0646999999999</v>
      </c>
      <c r="FU4" s="10">
        <v>18335.538</v>
      </c>
      <c r="FV4" s="10">
        <v>26321.338080000001</v>
      </c>
      <c r="FW4" s="10">
        <v>3627.4974999999999</v>
      </c>
      <c r="FX4" s="10">
        <v>6455.5191999999997</v>
      </c>
      <c r="FY4" s="10">
        <v>3241.9169000000002</v>
      </c>
      <c r="FZ4" s="10">
        <v>34467.445200000002</v>
      </c>
      <c r="GA4" s="10">
        <v>210.14764</v>
      </c>
      <c r="GB4" s="10">
        <v>20139.45017</v>
      </c>
      <c r="GC4" s="10">
        <v>15236.285</v>
      </c>
      <c r="GD4" s="10">
        <v>16126.289500000001</v>
      </c>
      <c r="GE4" s="10">
        <v>0</v>
      </c>
      <c r="GF4" s="10">
        <v>0</v>
      </c>
      <c r="GG4" s="10">
        <v>0</v>
      </c>
    </row>
    <row r="5" spans="1:189" x14ac:dyDescent="0.35">
      <c r="A5" s="8">
        <v>46160</v>
      </c>
      <c r="B5" s="9">
        <v>9082364703.3107891</v>
      </c>
      <c r="C5" s="10">
        <v>2380818293.9918499</v>
      </c>
      <c r="D5" s="10">
        <v>2238788922.8118801</v>
      </c>
      <c r="E5" s="10">
        <v>1575268376.0183499</v>
      </c>
      <c r="F5" s="10">
        <v>473715973.102</v>
      </c>
      <c r="G5" s="10">
        <v>200121920.92269999</v>
      </c>
      <c r="H5" s="10">
        <v>86079129.561225697</v>
      </c>
      <c r="I5" s="10">
        <v>458731255.31336302</v>
      </c>
      <c r="J5" s="10">
        <v>455300812.57349402</v>
      </c>
      <c r="K5" s="10">
        <v>204593000.47182399</v>
      </c>
      <c r="L5" s="10">
        <v>111775193.93529999</v>
      </c>
      <c r="M5" s="10">
        <v>189789209.867309</v>
      </c>
      <c r="N5" s="10">
        <v>34046734.921899997</v>
      </c>
      <c r="O5" s="10">
        <v>118919236.06219999</v>
      </c>
      <c r="P5" s="10">
        <v>18254406.1831</v>
      </c>
      <c r="Q5" s="10">
        <v>49808120.4124</v>
      </c>
      <c r="R5" s="10">
        <v>10970465.9924614</v>
      </c>
      <c r="S5" s="10">
        <v>10358415.672180001</v>
      </c>
      <c r="T5" s="10">
        <v>10054111.773499999</v>
      </c>
      <c r="U5" s="10">
        <v>9205823.5334847607</v>
      </c>
      <c r="V5" s="10">
        <v>34155967.325332597</v>
      </c>
      <c r="W5" s="10">
        <v>34088815.136516899</v>
      </c>
      <c r="X5" s="10">
        <v>33388227.779206999</v>
      </c>
      <c r="Y5" s="10">
        <v>47828861.415700004</v>
      </c>
      <c r="Z5" s="10">
        <v>7907556.7420678101</v>
      </c>
      <c r="AA5" s="10">
        <v>17078739.682693399</v>
      </c>
      <c r="AB5" s="10">
        <v>8812488.6702999994</v>
      </c>
      <c r="AC5" s="10">
        <v>15515338.7715363</v>
      </c>
      <c r="AD5" s="10">
        <v>40678828.730271198</v>
      </c>
      <c r="AE5" s="10">
        <v>4771972.5135899996</v>
      </c>
      <c r="AF5" s="10">
        <v>8443002.8958483003</v>
      </c>
      <c r="AG5" s="10">
        <v>12227281.3015</v>
      </c>
      <c r="AH5" s="10">
        <v>8533352.3217999991</v>
      </c>
      <c r="AI5" s="10">
        <v>535573.01599999995</v>
      </c>
      <c r="AJ5" s="10">
        <v>10272233.000600001</v>
      </c>
      <c r="AK5" s="10">
        <v>3606360.8160000001</v>
      </c>
      <c r="AL5" s="10">
        <v>11349112.655099999</v>
      </c>
      <c r="AM5" s="10">
        <v>2967015.4916691198</v>
      </c>
      <c r="AN5" s="10">
        <v>20378595.731400002</v>
      </c>
      <c r="AO5" s="10">
        <v>12879218.3989</v>
      </c>
      <c r="AP5" s="10">
        <v>3843729.0496</v>
      </c>
      <c r="AQ5" s="10">
        <v>5535959.0780999996</v>
      </c>
      <c r="AR5" s="10">
        <v>10450719.4395</v>
      </c>
      <c r="AS5" s="10">
        <v>1008701.1044</v>
      </c>
      <c r="AT5" s="10">
        <v>612290.19660000002</v>
      </c>
      <c r="AU5" s="10">
        <v>1051507.971526</v>
      </c>
      <c r="AV5" s="10">
        <v>2900088.5589999999</v>
      </c>
      <c r="AW5" s="10">
        <v>806404.05</v>
      </c>
      <c r="AX5" s="10">
        <v>1579849.7801000001</v>
      </c>
      <c r="AY5" s="10">
        <v>6377349.6708000004</v>
      </c>
      <c r="AZ5" s="10">
        <v>5150824.5070000002</v>
      </c>
      <c r="BA5" s="10">
        <v>365824.72340000002</v>
      </c>
      <c r="BB5" s="10">
        <v>753575.27229999995</v>
      </c>
      <c r="BC5" s="10">
        <v>525935.06400000001</v>
      </c>
      <c r="BD5" s="10">
        <v>470290.02149999997</v>
      </c>
      <c r="BE5" s="10">
        <v>894359.08299999998</v>
      </c>
      <c r="BF5" s="10">
        <v>2856193.8360000001</v>
      </c>
      <c r="BG5" s="10">
        <v>623293.34667999996</v>
      </c>
      <c r="BH5" s="10">
        <v>3478584.3017000002</v>
      </c>
      <c r="BI5" s="10">
        <v>5609363.7877000002</v>
      </c>
      <c r="BJ5" s="10">
        <v>4910527.9620000003</v>
      </c>
      <c r="BK5" s="10">
        <v>197313.073</v>
      </c>
      <c r="BL5" s="10">
        <v>377441.511</v>
      </c>
      <c r="BM5" s="10">
        <v>583297.68420000002</v>
      </c>
      <c r="BN5" s="10">
        <v>5287664.6984999999</v>
      </c>
      <c r="BO5" s="10">
        <v>285845.75339999999</v>
      </c>
      <c r="BP5" s="10">
        <v>4503568.9198000003</v>
      </c>
      <c r="BQ5" s="10">
        <v>4214499.7562888004</v>
      </c>
      <c r="BR5" s="10">
        <v>300430.9265</v>
      </c>
      <c r="BS5" s="10">
        <v>1144698.9545400001</v>
      </c>
      <c r="BT5" s="10">
        <v>808333.95539999998</v>
      </c>
      <c r="BU5" s="10">
        <v>385506.80972000002</v>
      </c>
      <c r="BV5" s="10">
        <v>1813621.0702</v>
      </c>
      <c r="BW5" s="10">
        <v>187701.86360000001</v>
      </c>
      <c r="BX5" s="10">
        <v>83695.145099999994</v>
      </c>
      <c r="BY5" s="10">
        <v>1770206.8672</v>
      </c>
      <c r="BZ5" s="10">
        <v>1015179.1584</v>
      </c>
      <c r="CA5" s="10">
        <v>2063078.2573800001</v>
      </c>
      <c r="CB5" s="10">
        <v>43850.262499999997</v>
      </c>
      <c r="CC5" s="10">
        <v>69941.20177</v>
      </c>
      <c r="CD5" s="10">
        <v>230504.36189999999</v>
      </c>
      <c r="CE5" s="10">
        <v>582305.4007</v>
      </c>
      <c r="CF5" s="10">
        <v>201745.74950000001</v>
      </c>
      <c r="CG5" s="10">
        <v>3253497.4989</v>
      </c>
      <c r="CH5" s="10">
        <v>1789768.0953200001</v>
      </c>
      <c r="CI5" s="10">
        <v>228259.16209999999</v>
      </c>
      <c r="CJ5" s="10">
        <v>532932.46956</v>
      </c>
      <c r="CK5" s="10">
        <v>621390.84479999996</v>
      </c>
      <c r="CL5" s="10">
        <v>1738840.0001000001</v>
      </c>
      <c r="CM5" s="10">
        <v>1103862.65576</v>
      </c>
      <c r="CN5" s="10">
        <v>14562.81</v>
      </c>
      <c r="CO5" s="10">
        <v>80942.457299000002</v>
      </c>
      <c r="CP5" s="10">
        <v>796050.62419999996</v>
      </c>
      <c r="CQ5" s="10">
        <v>119206.8857</v>
      </c>
      <c r="CR5" s="10">
        <v>633068.54779999994</v>
      </c>
      <c r="CS5" s="10">
        <v>446640.53112</v>
      </c>
      <c r="CT5" s="10">
        <v>14127.419809999999</v>
      </c>
      <c r="CU5" s="10">
        <v>1709291.0141</v>
      </c>
      <c r="CV5" s="10">
        <v>75525.072</v>
      </c>
      <c r="CW5" s="10">
        <v>689855.30799999996</v>
      </c>
      <c r="CX5" s="10">
        <v>53715.628810000002</v>
      </c>
      <c r="CY5" s="10">
        <v>1153790.3629000001</v>
      </c>
      <c r="CZ5" s="10">
        <v>1103645.0307</v>
      </c>
      <c r="DA5" s="10">
        <v>100552.7825</v>
      </c>
      <c r="DB5" s="10">
        <v>907640.00659</v>
      </c>
      <c r="DC5" s="10">
        <v>49757.842223</v>
      </c>
      <c r="DD5" s="10">
        <v>30530.964199999999</v>
      </c>
      <c r="DE5" s="10">
        <v>1087123.5525</v>
      </c>
      <c r="DF5" s="10">
        <v>12323.19938</v>
      </c>
      <c r="DG5" s="10">
        <v>546385.65700000001</v>
      </c>
      <c r="DH5" s="10">
        <v>723102.94779999997</v>
      </c>
      <c r="DI5" s="10">
        <v>22524.447</v>
      </c>
      <c r="DJ5" s="10">
        <v>808696.22549999994</v>
      </c>
      <c r="DK5" s="10">
        <v>27751.345000000001</v>
      </c>
      <c r="DL5" s="10">
        <v>19322.902999999998</v>
      </c>
      <c r="DM5" s="10">
        <v>455408.6152</v>
      </c>
      <c r="DN5" s="10">
        <v>17597.101149999999</v>
      </c>
      <c r="DO5" s="10">
        <v>1230568.0220999999</v>
      </c>
      <c r="DP5" s="10">
        <v>20424.5802</v>
      </c>
      <c r="DQ5" s="10">
        <v>179971.02825</v>
      </c>
      <c r="DR5" s="10">
        <v>5712.0477000000001</v>
      </c>
      <c r="DS5" s="10">
        <v>10757.465099999999</v>
      </c>
      <c r="DT5" s="10">
        <v>10392.801299999999</v>
      </c>
      <c r="DU5" s="10">
        <v>673905.06680000003</v>
      </c>
      <c r="DV5" s="10">
        <v>211958.34969999999</v>
      </c>
      <c r="DW5" s="10">
        <v>35757.290099999998</v>
      </c>
      <c r="DX5" s="10">
        <v>70348.014999999999</v>
      </c>
      <c r="DY5" s="10">
        <v>7795.7230200000004</v>
      </c>
      <c r="DZ5" s="10">
        <v>18431.926200000002</v>
      </c>
      <c r="EA5" s="10">
        <v>24850.7778</v>
      </c>
      <c r="EB5" s="10">
        <v>81139.026599999997</v>
      </c>
      <c r="EC5" s="10">
        <v>28639.854601999999</v>
      </c>
      <c r="ED5" s="10">
        <v>130580.2974</v>
      </c>
      <c r="EE5" s="10">
        <v>6742.1549999999997</v>
      </c>
      <c r="EF5" s="10">
        <v>9826.8150999999998</v>
      </c>
      <c r="EG5" s="10">
        <v>24471.213</v>
      </c>
      <c r="EH5" s="10">
        <v>2961.43075</v>
      </c>
      <c r="EI5" s="10">
        <v>12429.72724</v>
      </c>
      <c r="EJ5" s="10">
        <v>28692.427199999998</v>
      </c>
      <c r="EK5" s="10">
        <v>35610.021099999998</v>
      </c>
      <c r="EL5" s="10">
        <v>13849.3806</v>
      </c>
      <c r="EM5" s="10">
        <v>61100.9663</v>
      </c>
      <c r="EN5" s="10">
        <v>11906.949000000001</v>
      </c>
      <c r="EO5" s="10">
        <v>15547.6939</v>
      </c>
      <c r="EP5" s="10">
        <v>11582.393</v>
      </c>
      <c r="EQ5" s="10">
        <v>3664.9989</v>
      </c>
      <c r="ER5" s="10">
        <v>2610.3688999999999</v>
      </c>
      <c r="ES5" s="10">
        <v>18668.3639</v>
      </c>
      <c r="ET5" s="10">
        <v>7271.9382999999998</v>
      </c>
      <c r="EU5" s="10"/>
      <c r="EV5" s="10">
        <v>1512.6076499999999</v>
      </c>
      <c r="EW5" s="10">
        <v>38930.767</v>
      </c>
      <c r="EX5" s="10">
        <v>11239.659</v>
      </c>
      <c r="EY5" s="10">
        <v>12997.209000000001</v>
      </c>
      <c r="EZ5" s="10">
        <v>15063.6052</v>
      </c>
      <c r="FA5" s="10">
        <v>114451.12880000001</v>
      </c>
      <c r="FB5" s="10">
        <v>56502.326000000001</v>
      </c>
      <c r="FC5" s="10">
        <v>5271.808</v>
      </c>
      <c r="FD5" s="10">
        <v>3573.0594000000001</v>
      </c>
      <c r="FE5" s="10">
        <v>5140.1992</v>
      </c>
      <c r="FF5" s="10">
        <v>3737.7310000000002</v>
      </c>
      <c r="FG5" s="10">
        <v>24634.375</v>
      </c>
      <c r="FH5" s="10">
        <v>3211.9762999999998</v>
      </c>
      <c r="FI5" s="10">
        <v>6373.5060000000003</v>
      </c>
      <c r="FJ5" s="10">
        <v>4819.7879000000003</v>
      </c>
      <c r="FK5" s="10">
        <v>7222.2209999999995</v>
      </c>
      <c r="FL5" s="10">
        <v>5046.2331999999997</v>
      </c>
      <c r="FM5" s="10">
        <v>9664.0691999999999</v>
      </c>
      <c r="FN5" s="10">
        <v>17105.534500000002</v>
      </c>
      <c r="FO5" s="10">
        <v>3301.6795000000002</v>
      </c>
      <c r="FP5" s="10">
        <v>4608.0536000000002</v>
      </c>
      <c r="FQ5" s="10"/>
      <c r="FR5" s="10">
        <v>3929.0293000000001</v>
      </c>
      <c r="FS5" s="10">
        <v>3323.0904999999998</v>
      </c>
      <c r="FT5" s="10">
        <v>5395.7480999999998</v>
      </c>
      <c r="FU5" s="10">
        <v>20771.838</v>
      </c>
      <c r="FV5" s="10"/>
      <c r="FW5" s="10">
        <v>4659.8651</v>
      </c>
      <c r="FX5" s="10">
        <v>4870.3207000000002</v>
      </c>
      <c r="FY5" s="10">
        <v>4251.9934999999996</v>
      </c>
      <c r="FZ5" s="10"/>
      <c r="GA5" s="10">
        <v>0</v>
      </c>
      <c r="GB5" s="10"/>
      <c r="GC5" s="10">
        <v>13487.065000000001</v>
      </c>
      <c r="GD5" s="10"/>
      <c r="GE5" s="10">
        <v>0</v>
      </c>
      <c r="GF5" s="10">
        <v>0</v>
      </c>
      <c r="GG5" s="10">
        <v>0</v>
      </c>
    </row>
    <row r="6" spans="1:189" x14ac:dyDescent="0.35">
      <c r="A6" s="8">
        <v>46159</v>
      </c>
      <c r="B6" s="9">
        <v>1305220428.52442</v>
      </c>
      <c r="C6" s="10">
        <v>409491116.66449702</v>
      </c>
      <c r="D6" s="10">
        <v>318410080.04285997</v>
      </c>
      <c r="E6" s="10">
        <v>201946886.61919001</v>
      </c>
      <c r="F6" s="10">
        <v>52992133.832599998</v>
      </c>
      <c r="G6" s="10">
        <v>16568780.7809</v>
      </c>
      <c r="H6" s="10">
        <v>8343979.7892965199</v>
      </c>
      <c r="I6" s="10">
        <v>33677617.6282176</v>
      </c>
      <c r="J6" s="10">
        <v>25892874.1305</v>
      </c>
      <c r="K6" s="10">
        <v>30462049.881202001</v>
      </c>
      <c r="L6" s="10">
        <v>12910500.740700001</v>
      </c>
      <c r="M6" s="10">
        <v>10370266.5733406</v>
      </c>
      <c r="N6" s="10">
        <v>3866355.7884999998</v>
      </c>
      <c r="O6" s="10">
        <v>15893609.8281</v>
      </c>
      <c r="P6" s="10">
        <v>1978419.4572000001</v>
      </c>
      <c r="Q6" s="10">
        <v>7897471.8771000002</v>
      </c>
      <c r="R6" s="10">
        <v>3653244.3046315401</v>
      </c>
      <c r="S6" s="10">
        <v>3266302.7709900001</v>
      </c>
      <c r="T6" s="10">
        <v>1426887.8122</v>
      </c>
      <c r="U6" s="10">
        <v>831899.30246052996</v>
      </c>
      <c r="V6" s="10">
        <v>7254391.83148841</v>
      </c>
      <c r="W6" s="10">
        <v>9290053.7739282493</v>
      </c>
      <c r="X6" s="10">
        <v>2950552.5860325</v>
      </c>
      <c r="Y6" s="10">
        <v>2310463.4349000002</v>
      </c>
      <c r="Z6" s="10">
        <v>1128617.22923678</v>
      </c>
      <c r="AA6" s="10">
        <v>1499639.0804999999</v>
      </c>
      <c r="AB6" s="10">
        <v>5606610.5983999996</v>
      </c>
      <c r="AC6" s="10">
        <v>6107491.0028802697</v>
      </c>
      <c r="AD6" s="10">
        <v>6596984.6268999996</v>
      </c>
      <c r="AE6" s="10">
        <v>1463772.1403999999</v>
      </c>
      <c r="AF6" s="10">
        <v>827607.12470000004</v>
      </c>
      <c r="AG6" s="10">
        <v>65725874.792000003</v>
      </c>
      <c r="AH6" s="10">
        <v>2045948.0133</v>
      </c>
      <c r="AI6" s="10">
        <v>1466963.1340000001</v>
      </c>
      <c r="AJ6" s="10">
        <v>549461.48880000005</v>
      </c>
      <c r="AK6" s="10">
        <v>879301.75100000005</v>
      </c>
      <c r="AL6" s="10">
        <v>4404383.1642000005</v>
      </c>
      <c r="AM6" s="10">
        <v>321634.24112982099</v>
      </c>
      <c r="AN6" s="10">
        <v>1155001.4162000001</v>
      </c>
      <c r="AO6" s="10">
        <v>2250833.7718000002</v>
      </c>
      <c r="AP6" s="10">
        <v>1410704.0157000001</v>
      </c>
      <c r="AQ6" s="10">
        <v>1120819.5256000001</v>
      </c>
      <c r="AR6" s="10">
        <v>1992469.0323999999</v>
      </c>
      <c r="AS6" s="10">
        <v>152868.78279999999</v>
      </c>
      <c r="AT6" s="10">
        <v>789602.647</v>
      </c>
      <c r="AU6" s="10">
        <v>558793.277657</v>
      </c>
      <c r="AV6" s="10">
        <v>306840.20240000001</v>
      </c>
      <c r="AW6" s="10">
        <v>321420.0871</v>
      </c>
      <c r="AX6" s="10">
        <v>1452181.4934</v>
      </c>
      <c r="AY6" s="10">
        <v>10235.5363</v>
      </c>
      <c r="AZ6" s="10">
        <v>54514.563099999999</v>
      </c>
      <c r="BA6" s="10">
        <v>142080.03769999999</v>
      </c>
      <c r="BB6" s="10">
        <v>8049.6307999999999</v>
      </c>
      <c r="BC6" s="10">
        <v>126884.93700000001</v>
      </c>
      <c r="BD6" s="10">
        <v>16707.5697</v>
      </c>
      <c r="BE6" s="10">
        <v>4626913.1189999999</v>
      </c>
      <c r="BF6" s="10">
        <v>622052.91099999996</v>
      </c>
      <c r="BG6" s="10">
        <v>142278.47495</v>
      </c>
      <c r="BH6" s="10">
        <v>163517.62160000001</v>
      </c>
      <c r="BI6" s="10">
        <v>440334.02750000003</v>
      </c>
      <c r="BJ6" s="10">
        <v>167999.90530000001</v>
      </c>
      <c r="BK6" s="10">
        <v>14086.212600000001</v>
      </c>
      <c r="BL6" s="10">
        <v>97668.399099999995</v>
      </c>
      <c r="BM6" s="10">
        <v>355140.50630000001</v>
      </c>
      <c r="BN6" s="10">
        <v>240309.94829999999</v>
      </c>
      <c r="BO6" s="10">
        <v>29025.662</v>
      </c>
      <c r="BP6" s="10">
        <v>112904.7678</v>
      </c>
      <c r="BQ6" s="10">
        <v>127107.05349999999</v>
      </c>
      <c r="BR6" s="10">
        <v>30988.1747</v>
      </c>
      <c r="BS6" s="10">
        <v>1240789.6290500001</v>
      </c>
      <c r="BT6" s="10">
        <v>16989.007600000001</v>
      </c>
      <c r="BU6" s="10">
        <v>139975.93948999999</v>
      </c>
      <c r="BV6" s="10">
        <v>81912.071200000006</v>
      </c>
      <c r="BW6" s="10">
        <v>71078.658100000001</v>
      </c>
      <c r="BX6" s="10">
        <v>73942.420199999993</v>
      </c>
      <c r="BY6" s="10">
        <v>160283.51089999999</v>
      </c>
      <c r="BZ6" s="10">
        <v>15626.455900000001</v>
      </c>
      <c r="CA6" s="10">
        <v>132782.57209999999</v>
      </c>
      <c r="CB6" s="10">
        <v>7106.3546999999999</v>
      </c>
      <c r="CC6" s="10">
        <v>47768.172229999996</v>
      </c>
      <c r="CD6" s="10">
        <v>17972.781299999999</v>
      </c>
      <c r="CE6" s="10">
        <v>14560.8099</v>
      </c>
      <c r="CF6" s="10">
        <v>55202.450100000002</v>
      </c>
      <c r="CG6" s="10">
        <v>424719.90019999997</v>
      </c>
      <c r="CH6" s="10">
        <v>27283.228719999999</v>
      </c>
      <c r="CI6" s="10">
        <v>30094.9859</v>
      </c>
      <c r="CJ6" s="10">
        <v>65298.938240000003</v>
      </c>
      <c r="CK6" s="10">
        <v>80510.843699999998</v>
      </c>
      <c r="CL6" s="10">
        <v>111009.89569999999</v>
      </c>
      <c r="CM6" s="10">
        <v>29096.080109999999</v>
      </c>
      <c r="CN6" s="10">
        <v>39623.237999999998</v>
      </c>
      <c r="CO6" s="10">
        <v>3367.984258</v>
      </c>
      <c r="CP6" s="10">
        <v>30743.2173</v>
      </c>
      <c r="CQ6" s="10">
        <v>29461.089599999999</v>
      </c>
      <c r="CR6" s="10">
        <v>22492.288100000002</v>
      </c>
      <c r="CS6" s="10">
        <v>21968.20579</v>
      </c>
      <c r="CT6" s="10">
        <v>4240.8561099999997</v>
      </c>
      <c r="CU6" s="10">
        <v>659264.33050000004</v>
      </c>
      <c r="CV6" s="10">
        <v>54316.337399999997</v>
      </c>
      <c r="CW6" s="10">
        <v>163958.541</v>
      </c>
      <c r="CX6" s="10">
        <v>101642.48536000001</v>
      </c>
      <c r="CY6" s="10">
        <v>41819.147199999999</v>
      </c>
      <c r="CZ6" s="10"/>
      <c r="DA6" s="10">
        <v>9096.3345000000008</v>
      </c>
      <c r="DB6" s="10">
        <v>108949.00018</v>
      </c>
      <c r="DC6" s="10">
        <v>17677.755774000001</v>
      </c>
      <c r="DD6" s="10">
        <v>33265.407500000001</v>
      </c>
      <c r="DE6" s="10">
        <v>631826.86</v>
      </c>
      <c r="DF6" s="10">
        <v>6056.5763999999999</v>
      </c>
      <c r="DG6" s="10">
        <v>187231.72200000001</v>
      </c>
      <c r="DH6" s="10">
        <v>7361.5874000000003</v>
      </c>
      <c r="DI6" s="10">
        <v>24098.506000000001</v>
      </c>
      <c r="DJ6" s="10">
        <v>94383.9758</v>
      </c>
      <c r="DK6" s="10">
        <v>23738.172999999999</v>
      </c>
      <c r="DL6" s="10">
        <v>14635.734</v>
      </c>
      <c r="DM6" s="10">
        <v>161734.17110000001</v>
      </c>
      <c r="DN6" s="10">
        <v>10875.39133</v>
      </c>
      <c r="DO6" s="10">
        <v>7012.9620000000004</v>
      </c>
      <c r="DP6" s="10">
        <v>13724.1528</v>
      </c>
      <c r="DQ6" s="10">
        <v>12492.24519</v>
      </c>
      <c r="DR6" s="10">
        <v>10206.7772</v>
      </c>
      <c r="DS6" s="10">
        <v>9655.1653000000006</v>
      </c>
      <c r="DT6" s="10">
        <v>9264.6198000000004</v>
      </c>
      <c r="DU6" s="10">
        <v>15343.547</v>
      </c>
      <c r="DV6" s="10">
        <v>49072.775399999999</v>
      </c>
      <c r="DW6" s="10">
        <v>3502.8807999999999</v>
      </c>
      <c r="DX6" s="10">
        <v>10258.224</v>
      </c>
      <c r="DY6" s="10">
        <v>5438.0560299999997</v>
      </c>
      <c r="DZ6" s="10">
        <v>4505.8154999999997</v>
      </c>
      <c r="EA6" s="10">
        <v>16.3293</v>
      </c>
      <c r="EB6" s="10">
        <v>58802.635000000002</v>
      </c>
      <c r="EC6" s="10">
        <v>5048.0316270000003</v>
      </c>
      <c r="ED6" s="10">
        <v>2457.0126</v>
      </c>
      <c r="EE6" s="10">
        <v>10439.669</v>
      </c>
      <c r="EF6" s="10">
        <v>6324.7183999999997</v>
      </c>
      <c r="EG6" s="10">
        <v>12347.72</v>
      </c>
      <c r="EH6" s="10">
        <v>2800.4154400000002</v>
      </c>
      <c r="EI6" s="10">
        <v>1820.9268</v>
      </c>
      <c r="EJ6" s="10">
        <v>14444.4233</v>
      </c>
      <c r="EK6" s="10">
        <v>14812.7943</v>
      </c>
      <c r="EL6" s="10">
        <v>4885.3314</v>
      </c>
      <c r="EM6" s="10">
        <v>36257.798699999999</v>
      </c>
      <c r="EN6" s="10">
        <v>11873.713</v>
      </c>
      <c r="EO6" s="10">
        <v>4527.1221999999998</v>
      </c>
      <c r="EP6" s="10">
        <v>5783.1270000000004</v>
      </c>
      <c r="EQ6" s="10">
        <v>3753.9434999999999</v>
      </c>
      <c r="ER6" s="10">
        <v>3488.9005999999999</v>
      </c>
      <c r="ES6" s="10">
        <v>2660.0774999999999</v>
      </c>
      <c r="ET6" s="10">
        <v>4587.9948999999997</v>
      </c>
      <c r="EU6" s="10"/>
      <c r="EV6" s="10">
        <v>35.549999999999997</v>
      </c>
      <c r="EW6" s="10">
        <v>12756.718000000001</v>
      </c>
      <c r="EX6" s="10">
        <v>11169.603999999999</v>
      </c>
      <c r="EY6" s="10">
        <v>12368.035</v>
      </c>
      <c r="EZ6" s="10">
        <v>3073.8580999999999</v>
      </c>
      <c r="FA6" s="10">
        <v>10739.481</v>
      </c>
      <c r="FB6" s="10">
        <v>4795.4485000000004</v>
      </c>
      <c r="FC6" s="10">
        <v>4715.4319999999998</v>
      </c>
      <c r="FD6" s="10">
        <v>7483.6018999999997</v>
      </c>
      <c r="FE6" s="10">
        <v>2590.8022000000001</v>
      </c>
      <c r="FF6" s="10">
        <v>5706.402</v>
      </c>
      <c r="FG6" s="10">
        <v>19505.458999999999</v>
      </c>
      <c r="FH6" s="10">
        <v>4084.79</v>
      </c>
      <c r="FI6" s="10">
        <v>6236.0709999999999</v>
      </c>
      <c r="FJ6" s="10">
        <v>7713.4178000000002</v>
      </c>
      <c r="FK6" s="10">
        <v>7536.1980000000003</v>
      </c>
      <c r="FL6" s="10">
        <v>5839.6763000000001</v>
      </c>
      <c r="FM6" s="10">
        <v>4525.8308999999999</v>
      </c>
      <c r="FN6" s="10">
        <v>1929.2053000000001</v>
      </c>
      <c r="FO6" s="10">
        <v>2967.9675000000002</v>
      </c>
      <c r="FP6" s="10">
        <v>4840.5658000000003</v>
      </c>
      <c r="FQ6" s="10"/>
      <c r="FR6" s="10">
        <v>3762.5713000000001</v>
      </c>
      <c r="FS6" s="10">
        <v>2574.6569</v>
      </c>
      <c r="FT6" s="10">
        <v>1610.0742</v>
      </c>
      <c r="FU6" s="10">
        <v>5736.67</v>
      </c>
      <c r="FV6" s="10"/>
      <c r="FW6" s="10">
        <v>2383.8112999999998</v>
      </c>
      <c r="FX6" s="10">
        <v>4461.9227000000001</v>
      </c>
      <c r="FY6" s="10">
        <v>3280.0286000000001</v>
      </c>
      <c r="FZ6" s="10"/>
      <c r="GA6" s="10">
        <v>0</v>
      </c>
      <c r="GB6" s="10"/>
      <c r="GC6" s="10"/>
      <c r="GD6" s="10"/>
      <c r="GE6" s="10">
        <v>0</v>
      </c>
      <c r="GF6" s="10">
        <v>0</v>
      </c>
      <c r="GG6" s="10">
        <v>0</v>
      </c>
    </row>
    <row r="7" spans="1:189" x14ac:dyDescent="0.35">
      <c r="A7" s="8">
        <v>46158</v>
      </c>
      <c r="B7" s="9">
        <v>871998530.20451701</v>
      </c>
      <c r="C7" s="10">
        <v>306461076.234712</v>
      </c>
      <c r="D7" s="10">
        <v>141564834.83219001</v>
      </c>
      <c r="E7" s="10">
        <v>166416084.63604</v>
      </c>
      <c r="F7" s="10">
        <v>36486730.753200002</v>
      </c>
      <c r="G7" s="10">
        <v>18898716.418699998</v>
      </c>
      <c r="H7" s="10">
        <v>6458215.6784251099</v>
      </c>
      <c r="I7" s="10">
        <v>25186414.689300001</v>
      </c>
      <c r="J7" s="10">
        <v>23906060.752939999</v>
      </c>
      <c r="K7" s="10">
        <v>24484452.916610699</v>
      </c>
      <c r="L7" s="10">
        <v>11194576.2434</v>
      </c>
      <c r="M7" s="10">
        <v>7831960.5162000004</v>
      </c>
      <c r="N7" s="10">
        <v>3793089.5630000001</v>
      </c>
      <c r="O7" s="10">
        <v>4798522.9645999996</v>
      </c>
      <c r="P7" s="10">
        <v>2729924.8481999999</v>
      </c>
      <c r="Q7" s="10">
        <v>4495347.0848000003</v>
      </c>
      <c r="R7" s="10">
        <v>4428255.9094926501</v>
      </c>
      <c r="S7" s="10">
        <v>4740886.0872099996</v>
      </c>
      <c r="T7" s="10">
        <v>1812628.9035</v>
      </c>
      <c r="U7" s="10">
        <v>1165737.6936687899</v>
      </c>
      <c r="V7" s="10">
        <v>7469464.4251233898</v>
      </c>
      <c r="W7" s="10">
        <v>9691168.8779265899</v>
      </c>
      <c r="X7" s="10">
        <v>2728453.3930000002</v>
      </c>
      <c r="Y7" s="10">
        <v>1786906.8566999999</v>
      </c>
      <c r="Z7" s="10">
        <v>1263166.2464849299</v>
      </c>
      <c r="AA7" s="10">
        <v>2448095.1834999998</v>
      </c>
      <c r="AB7" s="10">
        <v>1902176.3267000001</v>
      </c>
      <c r="AC7" s="10">
        <v>5914085.5052381596</v>
      </c>
      <c r="AD7" s="10">
        <v>5776992.5711000003</v>
      </c>
      <c r="AE7" s="10">
        <v>1245613.23334</v>
      </c>
      <c r="AF7" s="10">
        <v>1482138.3651000001</v>
      </c>
      <c r="AG7" s="10">
        <v>3196915.0888999999</v>
      </c>
      <c r="AH7" s="10">
        <v>1428227.1513</v>
      </c>
      <c r="AI7" s="10">
        <v>1479035.3219999999</v>
      </c>
      <c r="AJ7" s="10">
        <v>995974.4327</v>
      </c>
      <c r="AK7" s="10">
        <v>735633.96600000001</v>
      </c>
      <c r="AL7" s="10">
        <v>5267555.5188999996</v>
      </c>
      <c r="AM7" s="10">
        <v>603699.42229999998</v>
      </c>
      <c r="AN7" s="10">
        <v>952387.74899999995</v>
      </c>
      <c r="AO7" s="10">
        <v>1090718.0427999999</v>
      </c>
      <c r="AP7" s="10">
        <v>1131192.9395999999</v>
      </c>
      <c r="AQ7" s="10">
        <v>1535420.6727</v>
      </c>
      <c r="AR7" s="10">
        <v>1225517.7482</v>
      </c>
      <c r="AS7" s="10">
        <v>207561.91589999999</v>
      </c>
      <c r="AT7" s="10">
        <v>524461.95979999995</v>
      </c>
      <c r="AU7" s="10">
        <v>186546.90776599999</v>
      </c>
      <c r="AV7" s="10">
        <v>204524.2776</v>
      </c>
      <c r="AW7" s="10">
        <v>131664.3659</v>
      </c>
      <c r="AX7" s="10">
        <v>660870.99419999996</v>
      </c>
      <c r="AY7" s="10">
        <v>50117.396999999997</v>
      </c>
      <c r="AZ7" s="10">
        <v>101635.9979</v>
      </c>
      <c r="BA7" s="10">
        <v>134429.9883</v>
      </c>
      <c r="BB7" s="10">
        <v>34135.195200000002</v>
      </c>
      <c r="BC7" s="10">
        <v>131418.663</v>
      </c>
      <c r="BD7" s="10">
        <v>10035.449500000001</v>
      </c>
      <c r="BE7" s="10">
        <v>762652.76399999997</v>
      </c>
      <c r="BF7" s="10">
        <v>725497.49600000004</v>
      </c>
      <c r="BG7" s="10">
        <v>39550.736239999998</v>
      </c>
      <c r="BH7" s="10">
        <v>73892.471399999995</v>
      </c>
      <c r="BI7" s="10">
        <v>169436.09239999999</v>
      </c>
      <c r="BJ7" s="10">
        <v>626885.34530000004</v>
      </c>
      <c r="BK7" s="10">
        <v>58065.602500000001</v>
      </c>
      <c r="BL7" s="10">
        <v>10789.461799999999</v>
      </c>
      <c r="BM7" s="10">
        <v>211543.06719999999</v>
      </c>
      <c r="BN7" s="10">
        <v>136981.30619999999</v>
      </c>
      <c r="BO7" s="10">
        <v>34605.3963</v>
      </c>
      <c r="BP7" s="10">
        <v>575808.5281</v>
      </c>
      <c r="BQ7" s="10">
        <v>92290.381099999999</v>
      </c>
      <c r="BR7" s="10">
        <v>37933.400300000001</v>
      </c>
      <c r="BS7" s="10">
        <v>377101.57484999998</v>
      </c>
      <c r="BT7" s="10">
        <v>16459.876100000001</v>
      </c>
      <c r="BU7" s="10">
        <v>147084.93315</v>
      </c>
      <c r="BV7" s="10">
        <v>102470.89720000001</v>
      </c>
      <c r="BW7" s="10">
        <v>30170.9719</v>
      </c>
      <c r="BX7" s="10">
        <v>40877.133800000003</v>
      </c>
      <c r="BY7" s="10">
        <v>152154.0863</v>
      </c>
      <c r="BZ7" s="10">
        <v>108533.8762</v>
      </c>
      <c r="CA7" s="10">
        <v>137454.5833</v>
      </c>
      <c r="CB7" s="10">
        <v>4099.3414000000002</v>
      </c>
      <c r="CC7" s="10">
        <v>53848.862330000004</v>
      </c>
      <c r="CD7" s="10">
        <v>5747.4694</v>
      </c>
      <c r="CE7" s="10">
        <v>8263.4509999999991</v>
      </c>
      <c r="CF7" s="10">
        <v>34350.765800000001</v>
      </c>
      <c r="CG7" s="10">
        <v>1867651.0223999999</v>
      </c>
      <c r="CH7" s="10">
        <v>88769.080189999993</v>
      </c>
      <c r="CI7" s="10">
        <v>28928.486199999999</v>
      </c>
      <c r="CJ7" s="10">
        <v>90579.628970000005</v>
      </c>
      <c r="CK7" s="10">
        <v>19777.643400000001</v>
      </c>
      <c r="CL7" s="10">
        <v>223463.36319999999</v>
      </c>
      <c r="CM7" s="10">
        <v>19929.776760000001</v>
      </c>
      <c r="CN7" s="10">
        <v>36099.489000000001</v>
      </c>
      <c r="CO7" s="10">
        <v>3515.4357239999999</v>
      </c>
      <c r="CP7" s="10">
        <v>26965.938099999999</v>
      </c>
      <c r="CQ7" s="10">
        <v>32727.223900000001</v>
      </c>
      <c r="CR7" s="10">
        <v>9234.3971999999994</v>
      </c>
      <c r="CS7" s="10">
        <v>18403.73474</v>
      </c>
      <c r="CT7" s="10">
        <v>2913.7124100000001</v>
      </c>
      <c r="CU7" s="10">
        <v>1094219.2568999999</v>
      </c>
      <c r="CV7" s="10">
        <v>73104.103199999998</v>
      </c>
      <c r="CW7" s="10">
        <v>159657.99600000001</v>
      </c>
      <c r="CX7" s="10">
        <v>97608.806240000005</v>
      </c>
      <c r="CY7" s="10">
        <v>30262.634699999999</v>
      </c>
      <c r="CZ7" s="10"/>
      <c r="DA7" s="10">
        <v>12898.072700000001</v>
      </c>
      <c r="DB7" s="10">
        <v>11425.55205</v>
      </c>
      <c r="DC7" s="10">
        <v>20924.473029000001</v>
      </c>
      <c r="DD7" s="10">
        <v>146379.18290000001</v>
      </c>
      <c r="DE7" s="10">
        <v>245143.56899999999</v>
      </c>
      <c r="DF7" s="10">
        <v>5949.2687500000002</v>
      </c>
      <c r="DG7" s="10">
        <v>211920.065</v>
      </c>
      <c r="DH7" s="10">
        <v>10616.6255</v>
      </c>
      <c r="DI7" s="10">
        <v>12977.262000000001</v>
      </c>
      <c r="DJ7" s="10">
        <v>414874.40110000002</v>
      </c>
      <c r="DK7" s="10">
        <v>83144.548999999999</v>
      </c>
      <c r="DL7" s="10">
        <v>16251.511</v>
      </c>
      <c r="DM7" s="10">
        <v>409117.87410000002</v>
      </c>
      <c r="DN7" s="10">
        <v>10753.510689999999</v>
      </c>
      <c r="DO7" s="10">
        <v>5977.527</v>
      </c>
      <c r="DP7" s="10">
        <v>27787.956999999999</v>
      </c>
      <c r="DQ7" s="10">
        <v>97456.022150000004</v>
      </c>
      <c r="DR7" s="10">
        <v>3943.2928000000002</v>
      </c>
      <c r="DS7" s="10">
        <v>18330.729500000001</v>
      </c>
      <c r="DT7" s="10">
        <v>9120.7353000000003</v>
      </c>
      <c r="DU7" s="10">
        <v>8793.7829999999994</v>
      </c>
      <c r="DV7" s="10">
        <v>80130.050600000002</v>
      </c>
      <c r="DW7" s="10">
        <v>2887.2647999999999</v>
      </c>
      <c r="DX7" s="10">
        <v>14156.804</v>
      </c>
      <c r="DY7" s="10">
        <v>5717.8019700000004</v>
      </c>
      <c r="DZ7" s="10">
        <v>3859.9742000000001</v>
      </c>
      <c r="EA7" s="10">
        <v>418626.3088</v>
      </c>
      <c r="EB7" s="10">
        <v>102682.9513</v>
      </c>
      <c r="EC7" s="10">
        <v>5183.5412159999996</v>
      </c>
      <c r="ED7" s="10">
        <v>2335.3647999999998</v>
      </c>
      <c r="EE7" s="10">
        <v>10164.602999999999</v>
      </c>
      <c r="EF7" s="10">
        <v>7877.5081</v>
      </c>
      <c r="EG7" s="10">
        <v>10765.585999999999</v>
      </c>
      <c r="EH7" s="10">
        <v>2036.88346</v>
      </c>
      <c r="EI7" s="10">
        <v>2317.1799799999999</v>
      </c>
      <c r="EJ7" s="10">
        <v>16163.1358</v>
      </c>
      <c r="EK7" s="10">
        <v>6373.0420000000004</v>
      </c>
      <c r="EL7" s="10">
        <v>3795.2685999999999</v>
      </c>
      <c r="EM7" s="10">
        <v>3397.5052999999998</v>
      </c>
      <c r="EN7" s="10">
        <v>12376.017</v>
      </c>
      <c r="EO7" s="10">
        <v>2772.2827000000002</v>
      </c>
      <c r="EP7" s="10">
        <v>5593.8559999999998</v>
      </c>
      <c r="EQ7" s="10">
        <v>2801.8719000000001</v>
      </c>
      <c r="ER7" s="10">
        <v>2465.7280000000001</v>
      </c>
      <c r="ES7" s="10">
        <v>2625.3256000000001</v>
      </c>
      <c r="ET7" s="10">
        <v>2528.1759000000002</v>
      </c>
      <c r="EU7" s="10"/>
      <c r="EV7" s="10">
        <v>1960.50675</v>
      </c>
      <c r="EW7" s="10">
        <v>13712.83</v>
      </c>
      <c r="EX7" s="10">
        <v>11613.037</v>
      </c>
      <c r="EY7" s="10">
        <v>12425.842000000001</v>
      </c>
      <c r="EZ7" s="10">
        <v>2945.7449000000001</v>
      </c>
      <c r="FA7" s="10">
        <v>12814.757900000001</v>
      </c>
      <c r="FB7" s="10">
        <v>5028.2516999999998</v>
      </c>
      <c r="FC7" s="10">
        <v>4723.6279999999997</v>
      </c>
      <c r="FD7" s="10">
        <v>5482.8666000000003</v>
      </c>
      <c r="FE7" s="10">
        <v>3453.7800999999999</v>
      </c>
      <c r="FF7" s="10">
        <v>3654.7280000000001</v>
      </c>
      <c r="FG7" s="10">
        <v>30421.266</v>
      </c>
      <c r="FH7" s="10">
        <v>2717.9697000000001</v>
      </c>
      <c r="FI7" s="10">
        <v>6894.2669999999998</v>
      </c>
      <c r="FJ7" s="10">
        <v>3907.5401000000002</v>
      </c>
      <c r="FK7" s="10">
        <v>5736.9319999999998</v>
      </c>
      <c r="FL7" s="10">
        <v>9250.4670999999998</v>
      </c>
      <c r="FM7" s="10">
        <v>4267.6569</v>
      </c>
      <c r="FN7" s="10">
        <v>8644.3016000000007</v>
      </c>
      <c r="FO7" s="10">
        <v>2973.25</v>
      </c>
      <c r="FP7" s="10">
        <v>4103.3069999999998</v>
      </c>
      <c r="FQ7" s="10"/>
      <c r="FR7" s="10">
        <v>3156.0722000000001</v>
      </c>
      <c r="FS7" s="10">
        <v>2671.2498000000001</v>
      </c>
      <c r="FT7" s="10">
        <v>1668.7170000000001</v>
      </c>
      <c r="FU7" s="10">
        <v>5754.7240000000002</v>
      </c>
      <c r="FV7" s="10"/>
      <c r="FW7" s="10">
        <v>2495.8957</v>
      </c>
      <c r="FX7" s="10">
        <v>3466.3647999999998</v>
      </c>
      <c r="FY7" s="10">
        <v>29343.778399999999</v>
      </c>
      <c r="FZ7" s="10"/>
      <c r="GA7" s="10">
        <v>0</v>
      </c>
      <c r="GB7" s="10"/>
      <c r="GC7" s="10"/>
      <c r="GD7" s="10"/>
      <c r="GE7" s="10">
        <v>0</v>
      </c>
      <c r="GF7" s="10">
        <v>0</v>
      </c>
      <c r="GG7" s="10">
        <v>0</v>
      </c>
    </row>
    <row r="8" spans="1:189" x14ac:dyDescent="0.35">
      <c r="A8" s="8">
        <v>46157</v>
      </c>
      <c r="B8" s="9">
        <v>9771300020.4302902</v>
      </c>
      <c r="C8" s="10">
        <v>3172109692.23879</v>
      </c>
      <c r="D8" s="10">
        <v>2885712544.6922302</v>
      </c>
      <c r="E8" s="10">
        <v>1054549106.82514</v>
      </c>
      <c r="F8" s="10">
        <v>391784654.2367</v>
      </c>
      <c r="G8" s="10">
        <v>243773983.25749999</v>
      </c>
      <c r="H8" s="10">
        <v>85460428.494151801</v>
      </c>
      <c r="I8" s="10">
        <v>418476326.46256</v>
      </c>
      <c r="J8" s="10">
        <v>475266753.96292001</v>
      </c>
      <c r="K8" s="10">
        <v>256013662.71617499</v>
      </c>
      <c r="L8" s="10">
        <v>82229495.298700005</v>
      </c>
      <c r="M8" s="10">
        <v>122566047.322897</v>
      </c>
      <c r="N8" s="10">
        <v>29772650.170699999</v>
      </c>
      <c r="O8" s="10">
        <v>82057385.971399993</v>
      </c>
      <c r="P8" s="10">
        <v>14035706.338400001</v>
      </c>
      <c r="Q8" s="10">
        <v>36160422.480899997</v>
      </c>
      <c r="R8" s="10">
        <v>15918063.207976099</v>
      </c>
      <c r="S8" s="10">
        <v>13731860.02785</v>
      </c>
      <c r="T8" s="10">
        <v>13513308.6085</v>
      </c>
      <c r="U8" s="10">
        <v>9800491.4822726995</v>
      </c>
      <c r="V8" s="10">
        <v>19572085.992371898</v>
      </c>
      <c r="W8" s="10">
        <v>32799537.891042799</v>
      </c>
      <c r="X8" s="10">
        <v>32289615.923117001</v>
      </c>
      <c r="Y8" s="10">
        <v>26754786.862199999</v>
      </c>
      <c r="Z8" s="10">
        <v>12311209.3085906</v>
      </c>
      <c r="AA8" s="10">
        <v>20451683.958981201</v>
      </c>
      <c r="AB8" s="10">
        <v>18192424.0002</v>
      </c>
      <c r="AC8" s="10">
        <v>13228959.1624511</v>
      </c>
      <c r="AD8" s="10">
        <v>39727726.755900003</v>
      </c>
      <c r="AE8" s="10">
        <v>6742333.1691100001</v>
      </c>
      <c r="AF8" s="10">
        <v>9204873.6810999997</v>
      </c>
      <c r="AG8" s="10">
        <v>916119.78859999997</v>
      </c>
      <c r="AH8" s="10">
        <v>5881852.2880999995</v>
      </c>
      <c r="AI8" s="10">
        <v>4475403.1569999997</v>
      </c>
      <c r="AJ8" s="10">
        <v>7412987.0883999998</v>
      </c>
      <c r="AK8" s="10">
        <v>3177406.5550000002</v>
      </c>
      <c r="AL8" s="10">
        <v>6253723.8523000004</v>
      </c>
      <c r="AM8" s="10">
        <v>2429974.5683790999</v>
      </c>
      <c r="AN8" s="10">
        <v>4773461.6809999999</v>
      </c>
      <c r="AO8" s="10">
        <v>8735677.6727000009</v>
      </c>
      <c r="AP8" s="10">
        <v>6926201.5427000001</v>
      </c>
      <c r="AQ8" s="10">
        <v>5486704.1796000004</v>
      </c>
      <c r="AR8" s="10">
        <v>11133372.206800001</v>
      </c>
      <c r="AS8" s="10">
        <v>566834.88060000003</v>
      </c>
      <c r="AT8" s="10">
        <v>850660.53060000006</v>
      </c>
      <c r="AU8" s="10">
        <v>1001856.277702</v>
      </c>
      <c r="AV8" s="10">
        <v>2707235.2359000002</v>
      </c>
      <c r="AW8" s="10">
        <v>493986.55540000001</v>
      </c>
      <c r="AX8" s="10">
        <v>1798339.0377</v>
      </c>
      <c r="AY8" s="10">
        <v>5703354.8432</v>
      </c>
      <c r="AZ8" s="10">
        <v>2434871.7557999999</v>
      </c>
      <c r="BA8" s="10">
        <v>138634.6869</v>
      </c>
      <c r="BB8" s="10">
        <v>662190.47569999995</v>
      </c>
      <c r="BC8" s="10">
        <v>355880.37199999997</v>
      </c>
      <c r="BD8" s="10">
        <v>404947.00510000001</v>
      </c>
      <c r="BE8" s="10">
        <v>842790.95900000003</v>
      </c>
      <c r="BF8" s="10">
        <v>778571.21299999999</v>
      </c>
      <c r="BG8" s="10">
        <v>354338.61430000002</v>
      </c>
      <c r="BH8" s="10">
        <v>2763101.6721000001</v>
      </c>
      <c r="BI8" s="10">
        <v>2518098.7666000002</v>
      </c>
      <c r="BJ8" s="10">
        <v>1663616.3356000001</v>
      </c>
      <c r="BK8" s="10">
        <v>222990.5582</v>
      </c>
      <c r="BL8" s="10">
        <v>965736.26650000003</v>
      </c>
      <c r="BM8" s="10">
        <v>515577.57449999999</v>
      </c>
      <c r="BN8" s="10">
        <v>1819739.1333000001</v>
      </c>
      <c r="BO8" s="10">
        <v>416400.84019999998</v>
      </c>
      <c r="BP8" s="10">
        <v>4481661.7806000002</v>
      </c>
      <c r="BQ8" s="10">
        <v>3077120.7371</v>
      </c>
      <c r="BR8" s="10">
        <v>134193.0336</v>
      </c>
      <c r="BS8" s="10">
        <v>1785941.4145800001</v>
      </c>
      <c r="BT8" s="10">
        <v>268811.78370000003</v>
      </c>
      <c r="BU8" s="10">
        <v>264615.05508999998</v>
      </c>
      <c r="BV8" s="10">
        <v>1205098.2533</v>
      </c>
      <c r="BW8" s="10">
        <v>435316.11839999998</v>
      </c>
      <c r="BX8" s="10">
        <v>36675.485000000001</v>
      </c>
      <c r="BY8" s="10">
        <v>2066681.652</v>
      </c>
      <c r="BZ8" s="10">
        <v>473304.92019999999</v>
      </c>
      <c r="CA8" s="10">
        <v>2271585.2577999998</v>
      </c>
      <c r="CB8" s="10">
        <v>63236.247900000002</v>
      </c>
      <c r="CC8" s="10">
        <v>1432381.6298</v>
      </c>
      <c r="CD8" s="10">
        <v>234500.47320000001</v>
      </c>
      <c r="CE8" s="10">
        <v>1009118.2666</v>
      </c>
      <c r="CF8" s="10">
        <v>164733.64420000001</v>
      </c>
      <c r="CG8" s="10">
        <v>2834590.7104000002</v>
      </c>
      <c r="CH8" s="10">
        <v>1300626.19105</v>
      </c>
      <c r="CI8" s="10">
        <v>185824.81890000001</v>
      </c>
      <c r="CJ8" s="10">
        <v>625736.12751999998</v>
      </c>
      <c r="CK8" s="10">
        <v>816244.18640000001</v>
      </c>
      <c r="CL8" s="10">
        <v>2194944.9569000001</v>
      </c>
      <c r="CM8" s="10">
        <v>1358720.5202200001</v>
      </c>
      <c r="CN8" s="10">
        <v>94501.326000000001</v>
      </c>
      <c r="CO8" s="10">
        <v>27868.453127000001</v>
      </c>
      <c r="CP8" s="10">
        <v>568901.35010000004</v>
      </c>
      <c r="CQ8" s="10">
        <v>347972.62849999999</v>
      </c>
      <c r="CR8" s="10">
        <v>458346.67570000002</v>
      </c>
      <c r="CS8" s="10">
        <v>591405.89266000001</v>
      </c>
      <c r="CT8" s="10">
        <v>46402.37889</v>
      </c>
      <c r="CU8" s="10">
        <v>970969.66249999998</v>
      </c>
      <c r="CV8" s="10">
        <v>81150.965299999996</v>
      </c>
      <c r="CW8" s="10">
        <v>763763.60400000005</v>
      </c>
      <c r="CX8" s="10">
        <v>127223.44077</v>
      </c>
      <c r="CY8" s="10">
        <v>636101.07479999994</v>
      </c>
      <c r="CZ8" s="10"/>
      <c r="DA8" s="10">
        <v>57522.614500000003</v>
      </c>
      <c r="DB8" s="10">
        <v>1262394.5433799999</v>
      </c>
      <c r="DC8" s="10">
        <v>45848.691617999997</v>
      </c>
      <c r="DD8" s="10">
        <v>61495.358699999997</v>
      </c>
      <c r="DE8" s="10">
        <v>1025917.1813000001</v>
      </c>
      <c r="DF8" s="10">
        <v>23034.508620000001</v>
      </c>
      <c r="DG8" s="10">
        <v>244542.28599999999</v>
      </c>
      <c r="DH8" s="10">
        <v>7853.2043000000003</v>
      </c>
      <c r="DI8" s="10">
        <v>46962.711000000003</v>
      </c>
      <c r="DJ8" s="10">
        <v>451453.32270000002</v>
      </c>
      <c r="DK8" s="10">
        <v>90073.402000000002</v>
      </c>
      <c r="DL8" s="10">
        <v>18399.147000000001</v>
      </c>
      <c r="DM8" s="10">
        <v>1076162.1916</v>
      </c>
      <c r="DN8" s="10">
        <v>12509.677830000001</v>
      </c>
      <c r="DO8" s="10">
        <v>6321.1360000000004</v>
      </c>
      <c r="DP8" s="10">
        <v>222807.375</v>
      </c>
      <c r="DQ8" s="10">
        <v>125242.34221</v>
      </c>
      <c r="DR8" s="10">
        <v>8858.3960000000006</v>
      </c>
      <c r="DS8" s="10">
        <v>9793.2787000000008</v>
      </c>
      <c r="DT8" s="10">
        <v>14890.948</v>
      </c>
      <c r="DU8" s="10">
        <v>15326.849</v>
      </c>
      <c r="DV8" s="10">
        <v>37561.653899999998</v>
      </c>
      <c r="DW8" s="10">
        <v>21645.974600000001</v>
      </c>
      <c r="DX8" s="10">
        <v>208090.587</v>
      </c>
      <c r="DY8" s="10">
        <v>10065.780049999999</v>
      </c>
      <c r="DZ8" s="10">
        <v>4008.5273000000002</v>
      </c>
      <c r="EA8" s="10">
        <v>8600.7250000000004</v>
      </c>
      <c r="EB8" s="10">
        <v>448147.0821</v>
      </c>
      <c r="EC8" s="10">
        <v>18060.956645999999</v>
      </c>
      <c r="ED8" s="10">
        <v>15378.6186</v>
      </c>
      <c r="EE8" s="10">
        <v>11635.352999999999</v>
      </c>
      <c r="EF8" s="10">
        <v>7041.4438</v>
      </c>
      <c r="EG8" s="10">
        <v>16353.348</v>
      </c>
      <c r="EH8" s="10">
        <v>8134.36726</v>
      </c>
      <c r="EI8" s="10">
        <v>18634.828839999998</v>
      </c>
      <c r="EJ8" s="10">
        <v>12240.032800000001</v>
      </c>
      <c r="EK8" s="10">
        <v>2461.3357000000001</v>
      </c>
      <c r="EL8" s="10">
        <v>10744.8845</v>
      </c>
      <c r="EM8" s="10">
        <v>8428.0095999999994</v>
      </c>
      <c r="EN8" s="10">
        <v>14558.941000000001</v>
      </c>
      <c r="EO8" s="10">
        <v>10142.6715</v>
      </c>
      <c r="EP8" s="10">
        <v>7936.4539999999997</v>
      </c>
      <c r="EQ8" s="10">
        <v>28267.4241</v>
      </c>
      <c r="ER8" s="10">
        <v>4993.1049000000003</v>
      </c>
      <c r="ES8" s="10">
        <v>43571.3698</v>
      </c>
      <c r="ET8" s="10">
        <v>26526.808300000001</v>
      </c>
      <c r="EU8" s="10"/>
      <c r="EV8" s="10">
        <v>1118.96748</v>
      </c>
      <c r="EW8" s="10">
        <v>24865.42</v>
      </c>
      <c r="EX8" s="10">
        <v>11589.934999999999</v>
      </c>
      <c r="EY8" s="10">
        <v>18632.454000000002</v>
      </c>
      <c r="EZ8" s="10">
        <v>11402.131600000001</v>
      </c>
      <c r="FA8" s="10">
        <v>48785.515899999999</v>
      </c>
      <c r="FB8" s="10">
        <v>4853.0679</v>
      </c>
      <c r="FC8" s="10">
        <v>4902.3119999999999</v>
      </c>
      <c r="FD8" s="10">
        <v>3983.4971999999998</v>
      </c>
      <c r="FE8" s="10">
        <v>7928.2623999999996</v>
      </c>
      <c r="FF8" s="10">
        <v>5701.8890000000001</v>
      </c>
      <c r="FG8" s="10">
        <v>6435.0209999999997</v>
      </c>
      <c r="FH8" s="10">
        <v>3255.3566000000001</v>
      </c>
      <c r="FI8" s="10">
        <v>6593.098</v>
      </c>
      <c r="FJ8" s="10">
        <v>4322.2262000000001</v>
      </c>
      <c r="FK8" s="10">
        <v>6647.0929999999998</v>
      </c>
      <c r="FL8" s="10">
        <v>7299.7842000000001</v>
      </c>
      <c r="FM8" s="10">
        <v>6002.7834999999995</v>
      </c>
      <c r="FN8" s="10">
        <v>2290.7901000000002</v>
      </c>
      <c r="FO8" s="10">
        <v>3435.8314</v>
      </c>
      <c r="FP8" s="10">
        <v>5692.4089000000004</v>
      </c>
      <c r="FQ8" s="10"/>
      <c r="FR8" s="10">
        <v>10720.3801</v>
      </c>
      <c r="FS8" s="10">
        <v>6292.5252</v>
      </c>
      <c r="FT8" s="10">
        <v>3029.8535999999999</v>
      </c>
      <c r="FU8" s="10">
        <v>6799.9750000000004</v>
      </c>
      <c r="FV8" s="10"/>
      <c r="FW8" s="10">
        <v>7225.3468999999996</v>
      </c>
      <c r="FX8" s="10">
        <v>9558.8111000000008</v>
      </c>
      <c r="FY8" s="10">
        <v>2908.2680999999998</v>
      </c>
      <c r="FZ8" s="10"/>
      <c r="GA8" s="10">
        <v>378.58904000000001</v>
      </c>
      <c r="GB8" s="10"/>
      <c r="GC8" s="10"/>
      <c r="GD8" s="10"/>
      <c r="GE8" s="10">
        <v>0</v>
      </c>
      <c r="GF8" s="10">
        <v>0</v>
      </c>
      <c r="GG8" s="10">
        <v>0</v>
      </c>
    </row>
    <row r="9" spans="1:189" x14ac:dyDescent="0.35">
      <c r="A9" s="8">
        <v>46156</v>
      </c>
      <c r="B9" s="9">
        <v>7103366650.7493401</v>
      </c>
      <c r="C9" s="10">
        <v>1855872976.55387</v>
      </c>
      <c r="D9" s="10">
        <v>2127961786.5968101</v>
      </c>
      <c r="E9" s="10">
        <v>936782943.76311004</v>
      </c>
      <c r="F9" s="10">
        <v>252430520.82449999</v>
      </c>
      <c r="G9" s="10">
        <v>310146039.96939999</v>
      </c>
      <c r="H9" s="10">
        <v>81373254.961176902</v>
      </c>
      <c r="I9" s="10">
        <v>317957798.74466902</v>
      </c>
      <c r="J9" s="10">
        <v>249471671.371268</v>
      </c>
      <c r="K9" s="10">
        <v>249826849.92765</v>
      </c>
      <c r="L9" s="10">
        <v>103123980.18889999</v>
      </c>
      <c r="M9" s="10">
        <v>117566006.388613</v>
      </c>
      <c r="N9" s="10">
        <v>56260016.260200001</v>
      </c>
      <c r="O9" s="10">
        <v>33963063.467200004</v>
      </c>
      <c r="P9" s="10">
        <v>17640126.056600001</v>
      </c>
      <c r="Q9" s="10">
        <v>50989507.999499999</v>
      </c>
      <c r="R9" s="10">
        <v>11117196.3781836</v>
      </c>
      <c r="S9" s="10">
        <v>14788894.200820001</v>
      </c>
      <c r="T9" s="10">
        <v>10724683.7597</v>
      </c>
      <c r="U9" s="10">
        <v>8258428.2330807997</v>
      </c>
      <c r="V9" s="10">
        <v>18671122.1092089</v>
      </c>
      <c r="W9" s="10">
        <v>29480348.1177321</v>
      </c>
      <c r="X9" s="10">
        <v>32211031.4657472</v>
      </c>
      <c r="Y9" s="10">
        <v>10639363.368100001</v>
      </c>
      <c r="Z9" s="10">
        <v>9647292.8969481997</v>
      </c>
      <c r="AA9" s="10">
        <v>17805609.6489431</v>
      </c>
      <c r="AB9" s="10">
        <v>11254949.6273</v>
      </c>
      <c r="AC9" s="10">
        <v>10814120.9357602</v>
      </c>
      <c r="AD9" s="10">
        <v>13993150.5167</v>
      </c>
      <c r="AE9" s="10">
        <v>5784499.0350900004</v>
      </c>
      <c r="AF9" s="10">
        <v>11089035.6796</v>
      </c>
      <c r="AG9" s="10">
        <v>428338.46179999999</v>
      </c>
      <c r="AH9" s="10">
        <v>4534111.7377000004</v>
      </c>
      <c r="AI9" s="10">
        <v>3854921.5469999998</v>
      </c>
      <c r="AJ9" s="10">
        <v>13566577.3345</v>
      </c>
      <c r="AK9" s="10">
        <v>4700284.1950000003</v>
      </c>
      <c r="AL9" s="10">
        <v>3962213.1242</v>
      </c>
      <c r="AM9" s="10">
        <v>3461504.2777388999</v>
      </c>
      <c r="AN9" s="10">
        <v>5723052.6612999998</v>
      </c>
      <c r="AO9" s="10">
        <v>5219828.5947000002</v>
      </c>
      <c r="AP9" s="10">
        <v>9998809.4182999991</v>
      </c>
      <c r="AQ9" s="10">
        <v>8133153.6766999997</v>
      </c>
      <c r="AR9" s="10">
        <v>3961786.6669999999</v>
      </c>
      <c r="AS9" s="10">
        <v>493057.96049999999</v>
      </c>
      <c r="AT9" s="10">
        <v>717010.97490000003</v>
      </c>
      <c r="AU9" s="10">
        <v>1039413.989747</v>
      </c>
      <c r="AV9" s="10">
        <v>1245120.9793</v>
      </c>
      <c r="AW9" s="10">
        <v>773540.64229999995</v>
      </c>
      <c r="AX9" s="10">
        <v>2463877.8265999998</v>
      </c>
      <c r="AY9" s="10">
        <v>2582933.0199000002</v>
      </c>
      <c r="AZ9" s="10">
        <v>3888616.7642000001</v>
      </c>
      <c r="BA9" s="10">
        <v>151540.13690000001</v>
      </c>
      <c r="BB9" s="10">
        <v>525038.03590000002</v>
      </c>
      <c r="BC9" s="10">
        <v>227703.50399999999</v>
      </c>
      <c r="BD9" s="10">
        <v>277919.48509999999</v>
      </c>
      <c r="BE9" s="10">
        <v>1199240.477</v>
      </c>
      <c r="BF9" s="10">
        <v>1282886.5260000001</v>
      </c>
      <c r="BG9" s="10">
        <v>467337.64581999998</v>
      </c>
      <c r="BH9" s="10">
        <v>1848010.956</v>
      </c>
      <c r="BI9" s="10">
        <v>3353170.5238000001</v>
      </c>
      <c r="BJ9" s="10">
        <v>2328387.0491999998</v>
      </c>
      <c r="BK9" s="10">
        <v>84183.604800000001</v>
      </c>
      <c r="BL9" s="10">
        <v>696699.74</v>
      </c>
      <c r="BM9" s="10">
        <v>342511.43290000001</v>
      </c>
      <c r="BN9" s="10">
        <v>833594.55700000003</v>
      </c>
      <c r="BO9" s="10">
        <v>372871.3161</v>
      </c>
      <c r="BP9" s="10">
        <v>1409518.9317000001</v>
      </c>
      <c r="BQ9" s="10">
        <v>2155593.5537999999</v>
      </c>
      <c r="BR9" s="10">
        <v>83227.406900000002</v>
      </c>
      <c r="BS9" s="10">
        <v>2350960.4509100001</v>
      </c>
      <c r="BT9" s="10">
        <v>137429.9412</v>
      </c>
      <c r="BU9" s="10">
        <v>346454.65775000001</v>
      </c>
      <c r="BV9" s="10">
        <v>511465.54969999997</v>
      </c>
      <c r="BW9" s="10">
        <v>40720.578200000004</v>
      </c>
      <c r="BX9" s="10">
        <v>83219.103400000007</v>
      </c>
      <c r="BY9" s="10">
        <v>1933949.2549000001</v>
      </c>
      <c r="BZ9" s="10">
        <v>151997.97399999999</v>
      </c>
      <c r="CA9" s="10">
        <v>861042.19750000001</v>
      </c>
      <c r="CB9" s="10">
        <v>18746.305199999999</v>
      </c>
      <c r="CC9" s="10">
        <v>483531.33711000002</v>
      </c>
      <c r="CD9" s="10">
        <v>69037.115300000005</v>
      </c>
      <c r="CE9" s="10">
        <v>207598.23560000001</v>
      </c>
      <c r="CF9" s="10">
        <v>317829.99420000002</v>
      </c>
      <c r="CG9" s="10">
        <v>200751.443</v>
      </c>
      <c r="CH9" s="10">
        <v>3468014.4763000002</v>
      </c>
      <c r="CI9" s="10">
        <v>66831.858099999998</v>
      </c>
      <c r="CJ9" s="10">
        <v>319209.30715000001</v>
      </c>
      <c r="CK9" s="10">
        <v>1281112.7956000001</v>
      </c>
      <c r="CL9" s="10">
        <v>1327510.9384000001</v>
      </c>
      <c r="CM9" s="10">
        <v>2238889.3740500002</v>
      </c>
      <c r="CN9" s="10">
        <v>20159.519</v>
      </c>
      <c r="CO9" s="10">
        <v>134766.98718299999</v>
      </c>
      <c r="CP9" s="10">
        <v>1443545.0301999999</v>
      </c>
      <c r="CQ9" s="10">
        <v>1269674.3459999999</v>
      </c>
      <c r="CR9" s="10">
        <v>338852.89140000002</v>
      </c>
      <c r="CS9" s="10">
        <v>1114049.36439</v>
      </c>
      <c r="CT9" s="10">
        <v>144929.20611</v>
      </c>
      <c r="CU9" s="10">
        <v>1396881.0511</v>
      </c>
      <c r="CV9" s="10">
        <v>55335.157399999996</v>
      </c>
      <c r="CW9" s="10">
        <v>881521.50899999996</v>
      </c>
      <c r="CX9" s="10">
        <v>66449.012400000007</v>
      </c>
      <c r="CY9" s="10">
        <v>114288.92600000001</v>
      </c>
      <c r="CZ9" s="10"/>
      <c r="DA9" s="10">
        <v>26581.444299999999</v>
      </c>
      <c r="DB9" s="10">
        <v>579674.32443000004</v>
      </c>
      <c r="DC9" s="10">
        <v>32804.526853000003</v>
      </c>
      <c r="DD9" s="10">
        <v>23534.385300000002</v>
      </c>
      <c r="DE9" s="10">
        <v>6181.3882000000003</v>
      </c>
      <c r="DF9" s="10">
        <v>34377.527679999999</v>
      </c>
      <c r="DG9" s="10">
        <v>101060.408</v>
      </c>
      <c r="DH9" s="10">
        <v>7700.7464</v>
      </c>
      <c r="DI9" s="10">
        <v>121074.70299999999</v>
      </c>
      <c r="DJ9" s="10">
        <v>5506.1909999999998</v>
      </c>
      <c r="DK9" s="10">
        <v>84858.904999999999</v>
      </c>
      <c r="DL9" s="10">
        <v>14864.097</v>
      </c>
      <c r="DM9" s="10">
        <v>9870.9750000000004</v>
      </c>
      <c r="DN9" s="10">
        <v>12456.187749999999</v>
      </c>
      <c r="DO9" s="10">
        <v>10012.989</v>
      </c>
      <c r="DP9" s="10">
        <v>350896.47159999999</v>
      </c>
      <c r="DQ9" s="10">
        <v>368734.14567</v>
      </c>
      <c r="DR9" s="10">
        <v>17808.853200000001</v>
      </c>
      <c r="DS9" s="10">
        <v>13579.2237</v>
      </c>
      <c r="DT9" s="10">
        <v>12007.5316</v>
      </c>
      <c r="DU9" s="10">
        <v>24863.093000000001</v>
      </c>
      <c r="DV9" s="10">
        <v>58424.112500000003</v>
      </c>
      <c r="DW9" s="10">
        <v>140211.11009999999</v>
      </c>
      <c r="DX9" s="10">
        <v>271458.93300000002</v>
      </c>
      <c r="DY9" s="10">
        <v>8195.31394</v>
      </c>
      <c r="DZ9" s="10">
        <v>4624.8915999999999</v>
      </c>
      <c r="EA9" s="10">
        <v>7666.4404000000004</v>
      </c>
      <c r="EB9" s="10">
        <v>784227.55839999998</v>
      </c>
      <c r="EC9" s="10">
        <v>13828.521371999999</v>
      </c>
      <c r="ED9" s="10">
        <v>13512.1234</v>
      </c>
      <c r="EE9" s="10">
        <v>15132.75</v>
      </c>
      <c r="EF9" s="10">
        <v>7615.1620999999996</v>
      </c>
      <c r="EG9" s="10">
        <v>21411.385999999999</v>
      </c>
      <c r="EH9" s="10">
        <v>4202.3674300000002</v>
      </c>
      <c r="EI9" s="10">
        <v>60331.278079999996</v>
      </c>
      <c r="EJ9" s="10">
        <v>6510.8612999999996</v>
      </c>
      <c r="EK9" s="10">
        <v>7422.5828000000001</v>
      </c>
      <c r="EL9" s="10">
        <v>23011.074400000001</v>
      </c>
      <c r="EM9" s="10">
        <v>4169.1286</v>
      </c>
      <c r="EN9" s="10">
        <v>14488.069</v>
      </c>
      <c r="EO9" s="10">
        <v>11373.886</v>
      </c>
      <c r="EP9" s="10">
        <v>8006.15</v>
      </c>
      <c r="EQ9" s="10">
        <v>34630.628499999999</v>
      </c>
      <c r="ER9" s="10">
        <v>2510.7080000000001</v>
      </c>
      <c r="ES9" s="10">
        <v>3153.9906999999998</v>
      </c>
      <c r="ET9" s="10">
        <v>75461.289499999999</v>
      </c>
      <c r="EU9" s="10"/>
      <c r="EV9" s="10">
        <v>263.20049999999998</v>
      </c>
      <c r="EW9" s="10">
        <v>27089.08</v>
      </c>
      <c r="EX9" s="10">
        <v>11762.392</v>
      </c>
      <c r="EY9" s="10">
        <v>13386.424000000001</v>
      </c>
      <c r="EZ9" s="10">
        <v>235838.13039999999</v>
      </c>
      <c r="FA9" s="10">
        <v>34439.707699999999</v>
      </c>
      <c r="FB9" s="10">
        <v>24852.740300000001</v>
      </c>
      <c r="FC9" s="10">
        <v>12381.614</v>
      </c>
      <c r="FD9" s="10">
        <v>2534.9600999999998</v>
      </c>
      <c r="FE9" s="10">
        <v>1935.1228000000001</v>
      </c>
      <c r="FF9" s="10">
        <v>3933.7860000000001</v>
      </c>
      <c r="FG9" s="10">
        <v>7186.7839999999997</v>
      </c>
      <c r="FH9" s="10">
        <v>2879.3521000000001</v>
      </c>
      <c r="FI9" s="10">
        <v>9582.9629999999997</v>
      </c>
      <c r="FJ9" s="10">
        <v>4863.6612999999998</v>
      </c>
      <c r="FK9" s="10">
        <v>27479.151999999998</v>
      </c>
      <c r="FL9" s="10">
        <v>4100.5295999999998</v>
      </c>
      <c r="FM9" s="10">
        <v>4821.5753000000004</v>
      </c>
      <c r="FN9" s="10">
        <v>7486.5321999999996</v>
      </c>
      <c r="FO9" s="10">
        <v>3214.0409</v>
      </c>
      <c r="FP9" s="10">
        <v>4497.8166000000001</v>
      </c>
      <c r="FQ9" s="10"/>
      <c r="FR9" s="10">
        <v>5485.7821000000004</v>
      </c>
      <c r="FS9" s="10">
        <v>5631.0366999999997</v>
      </c>
      <c r="FT9" s="10">
        <v>1661.0410999999999</v>
      </c>
      <c r="FU9" s="10">
        <v>6395.3609999999999</v>
      </c>
      <c r="FV9" s="10"/>
      <c r="FW9" s="10">
        <v>2542.6376</v>
      </c>
      <c r="FX9" s="10">
        <v>5994.8841000000002</v>
      </c>
      <c r="FY9" s="10">
        <v>3768.3366999999998</v>
      </c>
      <c r="FZ9" s="10"/>
      <c r="GA9" s="10">
        <v>0</v>
      </c>
      <c r="GB9" s="10"/>
      <c r="GC9" s="10"/>
      <c r="GD9" s="10"/>
      <c r="GE9" s="10">
        <v>0</v>
      </c>
      <c r="GF9" s="10">
        <v>0</v>
      </c>
      <c r="GG9" s="10">
        <v>0</v>
      </c>
    </row>
    <row r="10" spans="1:189" x14ac:dyDescent="0.35">
      <c r="A10" s="8">
        <v>46155</v>
      </c>
      <c r="B10" s="9">
        <v>7080349764.9257002</v>
      </c>
      <c r="C10" s="10">
        <v>1404427170.1731</v>
      </c>
      <c r="D10" s="10">
        <v>2041177185.29826</v>
      </c>
      <c r="E10" s="10">
        <v>1109374023.4139199</v>
      </c>
      <c r="F10" s="10">
        <v>278810954.28530002</v>
      </c>
      <c r="G10" s="10">
        <v>251691940.11669999</v>
      </c>
      <c r="H10" s="10">
        <v>114479064.087084</v>
      </c>
      <c r="I10" s="10">
        <v>539356244.44182098</v>
      </c>
      <c r="J10" s="10">
        <v>408156977.78719097</v>
      </c>
      <c r="K10" s="10">
        <v>170713802.720339</v>
      </c>
      <c r="L10" s="10">
        <v>60465831.149800003</v>
      </c>
      <c r="M10" s="10">
        <v>183854443.01328599</v>
      </c>
      <c r="N10" s="10">
        <v>29241497.842300002</v>
      </c>
      <c r="O10" s="10">
        <v>62490336.866099998</v>
      </c>
      <c r="P10" s="10">
        <v>14644193.972100001</v>
      </c>
      <c r="Q10" s="10">
        <v>49004282.152800001</v>
      </c>
      <c r="R10" s="10">
        <v>9455167.7615876496</v>
      </c>
      <c r="S10" s="10">
        <v>15204094.80322</v>
      </c>
      <c r="T10" s="10">
        <v>13277481.4858</v>
      </c>
      <c r="U10" s="10">
        <v>7695239.1530647501</v>
      </c>
      <c r="V10" s="10">
        <v>26541162.648998499</v>
      </c>
      <c r="W10" s="10">
        <v>21501781.926466499</v>
      </c>
      <c r="X10" s="10">
        <v>49613293.838316701</v>
      </c>
      <c r="Y10" s="10">
        <v>11239631.918299999</v>
      </c>
      <c r="Z10" s="10">
        <v>12438768.2095121</v>
      </c>
      <c r="AA10" s="10">
        <v>9249905.4456551</v>
      </c>
      <c r="AB10" s="10">
        <v>21447575.372099999</v>
      </c>
      <c r="AC10" s="10">
        <v>10275301.801199799</v>
      </c>
      <c r="AD10" s="10">
        <v>882146.57010000001</v>
      </c>
      <c r="AE10" s="10">
        <v>5255223.6976100001</v>
      </c>
      <c r="AF10" s="10">
        <v>6934475.3699000003</v>
      </c>
      <c r="AG10" s="10">
        <v>469248.3002</v>
      </c>
      <c r="AH10" s="10">
        <v>3174012.7280999999</v>
      </c>
      <c r="AI10" s="10">
        <v>1333669.808</v>
      </c>
      <c r="AJ10" s="10">
        <v>26909961.806200001</v>
      </c>
      <c r="AK10" s="10">
        <v>3686286.1230000001</v>
      </c>
      <c r="AL10" s="10">
        <v>5519766.8600000003</v>
      </c>
      <c r="AM10" s="10">
        <v>2743900.9175807</v>
      </c>
      <c r="AN10" s="10">
        <v>4945694.0411999999</v>
      </c>
      <c r="AO10" s="10">
        <v>11407974.2292</v>
      </c>
      <c r="AP10" s="10">
        <v>13668975.782099999</v>
      </c>
      <c r="AQ10" s="10">
        <v>3403365.8051999998</v>
      </c>
      <c r="AR10" s="10">
        <v>5425484.1887999997</v>
      </c>
      <c r="AS10" s="10">
        <v>762877.99399999995</v>
      </c>
      <c r="AT10" s="10">
        <v>826280.04570000002</v>
      </c>
      <c r="AU10" s="10">
        <v>845010.49495600001</v>
      </c>
      <c r="AV10" s="10">
        <v>1534162.4236999999</v>
      </c>
      <c r="AW10" s="10">
        <v>706874.6997</v>
      </c>
      <c r="AX10" s="10">
        <v>1528712.0382999999</v>
      </c>
      <c r="AY10" s="10">
        <v>1238803.3829000001</v>
      </c>
      <c r="AZ10" s="10">
        <v>4167383.1801</v>
      </c>
      <c r="BA10" s="10">
        <v>259164.44779999999</v>
      </c>
      <c r="BB10" s="10">
        <v>322742.81270000001</v>
      </c>
      <c r="BC10" s="10">
        <v>342153.777</v>
      </c>
      <c r="BD10" s="10">
        <v>207225.84700000001</v>
      </c>
      <c r="BE10" s="10">
        <v>1553971.507</v>
      </c>
      <c r="BF10" s="10">
        <v>2499874.5520000001</v>
      </c>
      <c r="BG10" s="10">
        <v>511701.71772999997</v>
      </c>
      <c r="BH10" s="10">
        <v>1668287.5171999999</v>
      </c>
      <c r="BI10" s="10">
        <v>2605061.0274</v>
      </c>
      <c r="BJ10" s="10">
        <v>2109655.693</v>
      </c>
      <c r="BK10" s="10">
        <v>136633.37530000001</v>
      </c>
      <c r="BL10" s="10">
        <v>1074498.9517999999</v>
      </c>
      <c r="BM10" s="10">
        <v>1562248.3481000001</v>
      </c>
      <c r="BN10" s="10">
        <v>1334096.8581000001</v>
      </c>
      <c r="BO10" s="10">
        <v>1371716.9543999999</v>
      </c>
      <c r="BP10" s="10">
        <v>802225.93019999994</v>
      </c>
      <c r="BQ10" s="10">
        <v>3431570.0537</v>
      </c>
      <c r="BR10" s="10">
        <v>157365.9626</v>
      </c>
      <c r="BS10" s="10">
        <v>505487.73556</v>
      </c>
      <c r="BT10" s="10">
        <v>251264.66279999999</v>
      </c>
      <c r="BU10" s="10">
        <v>295414.42272999999</v>
      </c>
      <c r="BV10" s="10">
        <v>733129.32830000005</v>
      </c>
      <c r="BW10" s="10">
        <v>45721.474000000002</v>
      </c>
      <c r="BX10" s="10">
        <v>116898.4633</v>
      </c>
      <c r="BY10" s="10">
        <v>2483872.5872999998</v>
      </c>
      <c r="BZ10" s="10">
        <v>272477.44199999998</v>
      </c>
      <c r="CA10" s="10">
        <v>1156732.3885999999</v>
      </c>
      <c r="CB10" s="10">
        <v>80098.375100000005</v>
      </c>
      <c r="CC10" s="10">
        <v>266636.89974999998</v>
      </c>
      <c r="CD10" s="10">
        <v>100219.98609999999</v>
      </c>
      <c r="CE10" s="10">
        <v>306882.76770000003</v>
      </c>
      <c r="CF10" s="10">
        <v>242293.17389999999</v>
      </c>
      <c r="CG10" s="10">
        <v>483227.08899999998</v>
      </c>
      <c r="CH10" s="10">
        <v>2249200.3458699998</v>
      </c>
      <c r="CI10" s="10">
        <v>125036.958</v>
      </c>
      <c r="CJ10" s="10">
        <v>369712.75274999999</v>
      </c>
      <c r="CK10" s="10">
        <v>987724.32369999995</v>
      </c>
      <c r="CL10" s="10">
        <v>1992099.4783000001</v>
      </c>
      <c r="CM10" s="10">
        <v>3561192.1639100001</v>
      </c>
      <c r="CN10" s="10">
        <v>45578.748</v>
      </c>
      <c r="CO10" s="10">
        <v>608828.65025499999</v>
      </c>
      <c r="CP10" s="10">
        <v>1221675.3881000001</v>
      </c>
      <c r="CQ10" s="10">
        <v>269478.44559999998</v>
      </c>
      <c r="CR10" s="10">
        <v>410480.88329999999</v>
      </c>
      <c r="CS10" s="10">
        <v>250593.81117</v>
      </c>
      <c r="CT10" s="10">
        <v>334582.04817999998</v>
      </c>
      <c r="CU10" s="10">
        <v>86700.784</v>
      </c>
      <c r="CV10" s="10">
        <v>82787.133000000002</v>
      </c>
      <c r="CW10" s="10">
        <v>1333083.4469999999</v>
      </c>
      <c r="CX10" s="10">
        <v>76734.883040000001</v>
      </c>
      <c r="CY10" s="10">
        <v>322735.5048</v>
      </c>
      <c r="CZ10" s="10"/>
      <c r="DA10" s="10">
        <v>40596.861299999997</v>
      </c>
      <c r="DB10" s="10">
        <v>541335.64324999996</v>
      </c>
      <c r="DC10" s="10">
        <v>10925.258873000001</v>
      </c>
      <c r="DD10" s="10">
        <v>70291.6973</v>
      </c>
      <c r="DE10" s="10"/>
      <c r="DF10" s="10">
        <v>47305.561569999998</v>
      </c>
      <c r="DG10" s="10">
        <v>180614.61600000001</v>
      </c>
      <c r="DH10" s="10">
        <v>6248.1724999999997</v>
      </c>
      <c r="DI10" s="10">
        <v>67697.623999999996</v>
      </c>
      <c r="DJ10" s="10">
        <v>15727.522999999999</v>
      </c>
      <c r="DK10" s="10">
        <v>59769.966999999997</v>
      </c>
      <c r="DL10" s="10">
        <v>16295.761</v>
      </c>
      <c r="DM10" s="10">
        <v>8715.5010000000002</v>
      </c>
      <c r="DN10" s="10">
        <v>17232.545819999999</v>
      </c>
      <c r="DO10" s="10">
        <v>7368.5829999999996</v>
      </c>
      <c r="DP10" s="10">
        <v>107669.5857</v>
      </c>
      <c r="DQ10" s="10">
        <v>411006.15804000001</v>
      </c>
      <c r="DR10" s="10">
        <v>28153.603500000001</v>
      </c>
      <c r="DS10" s="10">
        <v>11856.841</v>
      </c>
      <c r="DT10" s="10">
        <v>15115.004499999999</v>
      </c>
      <c r="DU10" s="10"/>
      <c r="DV10" s="10">
        <v>218011.1171</v>
      </c>
      <c r="DW10" s="10">
        <v>639963.49609999999</v>
      </c>
      <c r="DX10" s="10">
        <v>148904.27799999999</v>
      </c>
      <c r="DY10" s="10">
        <v>9513.9206799999993</v>
      </c>
      <c r="DZ10" s="10">
        <v>6248.7258000000002</v>
      </c>
      <c r="EA10" s="10">
        <v>4316.616</v>
      </c>
      <c r="EB10" s="10"/>
      <c r="EC10" s="10">
        <v>15275.459038999999</v>
      </c>
      <c r="ED10" s="10">
        <v>37014.9447</v>
      </c>
      <c r="EE10" s="10">
        <v>75707.438999999998</v>
      </c>
      <c r="EF10" s="10">
        <v>9494.8968000000004</v>
      </c>
      <c r="EG10" s="10">
        <v>18904.331999999999</v>
      </c>
      <c r="EH10" s="10">
        <v>4504.1804000000002</v>
      </c>
      <c r="EI10" s="10">
        <v>19817.624309999999</v>
      </c>
      <c r="EJ10" s="10">
        <v>9921.3665999999994</v>
      </c>
      <c r="EK10" s="10">
        <v>10898.097400000001</v>
      </c>
      <c r="EL10" s="10">
        <v>36995.560700000002</v>
      </c>
      <c r="EM10" s="10">
        <v>3874.5178999999998</v>
      </c>
      <c r="EN10" s="10">
        <v>20073.382000000001</v>
      </c>
      <c r="EO10" s="10">
        <v>4950.2936</v>
      </c>
      <c r="EP10" s="10">
        <v>9089.7489999999998</v>
      </c>
      <c r="EQ10" s="10">
        <v>9288.4048000000003</v>
      </c>
      <c r="ER10" s="10">
        <v>33310.446900000003</v>
      </c>
      <c r="ES10" s="10">
        <v>3157.7345999999998</v>
      </c>
      <c r="ET10" s="10">
        <v>8598.3783000000003</v>
      </c>
      <c r="EU10" s="10"/>
      <c r="EV10" s="10">
        <v>0</v>
      </c>
      <c r="EW10" s="10">
        <v>20306.079000000002</v>
      </c>
      <c r="EX10" s="10">
        <v>11506.082</v>
      </c>
      <c r="EY10" s="10">
        <v>17522.731</v>
      </c>
      <c r="EZ10" s="10">
        <v>21457.7425</v>
      </c>
      <c r="FA10" s="10">
        <v>275871.16100000002</v>
      </c>
      <c r="FB10" s="10">
        <v>18748.563200000001</v>
      </c>
      <c r="FC10" s="10">
        <v>6927.9589999999998</v>
      </c>
      <c r="FD10" s="10">
        <v>2715.1444000000001</v>
      </c>
      <c r="FE10" s="10">
        <v>2779.915</v>
      </c>
      <c r="FF10" s="10">
        <v>4543.1419999999998</v>
      </c>
      <c r="FG10" s="10">
        <v>27028.429</v>
      </c>
      <c r="FH10" s="10">
        <v>3222.0832</v>
      </c>
      <c r="FI10" s="10">
        <v>8411.1299999999992</v>
      </c>
      <c r="FJ10" s="10">
        <v>7569.1548000000003</v>
      </c>
      <c r="FK10" s="10">
        <v>5830.8590000000004</v>
      </c>
      <c r="FL10" s="10">
        <v>11514.2606</v>
      </c>
      <c r="FM10" s="10">
        <v>4923.0309999999999</v>
      </c>
      <c r="FN10" s="10">
        <v>4546.0356000000002</v>
      </c>
      <c r="FO10" s="10">
        <v>3909.7094999999999</v>
      </c>
      <c r="FP10" s="10">
        <v>4030.7233999999999</v>
      </c>
      <c r="FQ10" s="10"/>
      <c r="FR10" s="10">
        <v>6464.2143999999998</v>
      </c>
      <c r="FS10" s="10">
        <v>3412.2613000000001</v>
      </c>
      <c r="FT10" s="10">
        <v>1641.6303</v>
      </c>
      <c r="FU10" s="10">
        <v>7399.2780000000002</v>
      </c>
      <c r="FV10" s="10"/>
      <c r="FW10" s="10">
        <v>14153.753000000001</v>
      </c>
      <c r="FX10" s="10">
        <v>5661.7695000000003</v>
      </c>
      <c r="FY10" s="10">
        <v>8868.6414999999997</v>
      </c>
      <c r="FZ10" s="10"/>
      <c r="GA10" s="10">
        <v>617.92340999999999</v>
      </c>
      <c r="GB10" s="10"/>
      <c r="GC10" s="10"/>
      <c r="GD10" s="10"/>
      <c r="GE10" s="10">
        <v>0</v>
      </c>
      <c r="GF10" s="10">
        <v>0</v>
      </c>
      <c r="GG10" s="10">
        <v>0</v>
      </c>
    </row>
    <row r="11" spans="1:189" x14ac:dyDescent="0.35">
      <c r="A11" s="8">
        <v>46154</v>
      </c>
      <c r="B11" s="9">
        <v>9180528424.1227703</v>
      </c>
      <c r="C11" s="10">
        <v>2636721870.64641</v>
      </c>
      <c r="D11" s="10">
        <v>2326362654.4984698</v>
      </c>
      <c r="E11" s="10">
        <v>1428122861.8593199</v>
      </c>
      <c r="F11" s="10">
        <v>394813674.94</v>
      </c>
      <c r="G11" s="10">
        <v>456863865.46600002</v>
      </c>
      <c r="H11" s="10">
        <v>121102642.553599</v>
      </c>
      <c r="I11" s="10">
        <v>417665303.36973703</v>
      </c>
      <c r="J11" s="10">
        <v>413354360.04401702</v>
      </c>
      <c r="K11" s="10">
        <v>142167064.24226999</v>
      </c>
      <c r="L11" s="10">
        <v>73105667.484699994</v>
      </c>
      <c r="M11" s="10">
        <v>203335297.99547401</v>
      </c>
      <c r="N11" s="10">
        <v>44503566.314199999</v>
      </c>
      <c r="O11" s="10">
        <v>95411534.125499994</v>
      </c>
      <c r="P11" s="10">
        <v>14777045.465299999</v>
      </c>
      <c r="Q11" s="10">
        <v>47936299.345100001</v>
      </c>
      <c r="R11" s="10">
        <v>8038245.1188025996</v>
      </c>
      <c r="S11" s="10">
        <v>13108360.959519999</v>
      </c>
      <c r="T11" s="10">
        <v>13743629.9712</v>
      </c>
      <c r="U11" s="10">
        <v>7854662.9613813004</v>
      </c>
      <c r="V11" s="10">
        <v>23277854.384807501</v>
      </c>
      <c r="W11" s="10">
        <v>29228988.786640599</v>
      </c>
      <c r="X11" s="10">
        <v>53021641.6546885</v>
      </c>
      <c r="Y11" s="10">
        <v>26755948.8543</v>
      </c>
      <c r="Z11" s="10">
        <v>7345844.8423220003</v>
      </c>
      <c r="AA11" s="10">
        <v>8931711.0344666</v>
      </c>
      <c r="AB11" s="10">
        <v>17544934.2599</v>
      </c>
      <c r="AC11" s="10">
        <v>6868820.3176605497</v>
      </c>
      <c r="AD11" s="10">
        <v>329014.7341</v>
      </c>
      <c r="AE11" s="10">
        <v>4510670.4100500001</v>
      </c>
      <c r="AF11" s="10">
        <v>8509329.8869000003</v>
      </c>
      <c r="AG11" s="10">
        <v>398004.76569999999</v>
      </c>
      <c r="AH11" s="10">
        <v>4037965.7222000002</v>
      </c>
      <c r="AI11" s="10">
        <v>1111298.098</v>
      </c>
      <c r="AJ11" s="10">
        <v>2902901.0539000002</v>
      </c>
      <c r="AK11" s="10">
        <v>4670860.0650000004</v>
      </c>
      <c r="AL11" s="10">
        <v>2691171.4434000002</v>
      </c>
      <c r="AM11" s="10">
        <v>2955714.8635193999</v>
      </c>
      <c r="AN11" s="10">
        <v>8108761.3170999996</v>
      </c>
      <c r="AO11" s="10">
        <v>10280473.473999999</v>
      </c>
      <c r="AP11" s="10">
        <v>16083602.1055</v>
      </c>
      <c r="AQ11" s="10">
        <v>3725440.56</v>
      </c>
      <c r="AR11" s="10">
        <v>10027356.6623</v>
      </c>
      <c r="AS11" s="10">
        <v>1142040.2890000001</v>
      </c>
      <c r="AT11" s="10">
        <v>1099892.1876000001</v>
      </c>
      <c r="AU11" s="10">
        <v>759638.97778399999</v>
      </c>
      <c r="AV11" s="10">
        <v>1846945.61</v>
      </c>
      <c r="AW11" s="10">
        <v>1124399.8947999999</v>
      </c>
      <c r="AX11" s="10">
        <v>1508465.3441000001</v>
      </c>
      <c r="AY11" s="10">
        <v>3753336.2729000002</v>
      </c>
      <c r="AZ11" s="10">
        <v>4095207.571</v>
      </c>
      <c r="BA11" s="10">
        <v>273542.88829999999</v>
      </c>
      <c r="BB11" s="10">
        <v>603799.76839999994</v>
      </c>
      <c r="BC11" s="10">
        <v>381603.54700000002</v>
      </c>
      <c r="BD11" s="10">
        <v>297695.18569999997</v>
      </c>
      <c r="BE11" s="10">
        <v>2182946.0320000001</v>
      </c>
      <c r="BF11" s="10">
        <v>2865400.2749999999</v>
      </c>
      <c r="BG11" s="10">
        <v>427663.19212000002</v>
      </c>
      <c r="BH11" s="10">
        <v>3592975.7494000001</v>
      </c>
      <c r="BI11" s="10">
        <v>2021717.0936</v>
      </c>
      <c r="BJ11" s="10">
        <v>4261029.8019000003</v>
      </c>
      <c r="BK11" s="10">
        <v>151515.64120000001</v>
      </c>
      <c r="BL11" s="10">
        <v>715943.40170000005</v>
      </c>
      <c r="BM11" s="10">
        <v>598580.10490000003</v>
      </c>
      <c r="BN11" s="10">
        <v>1231880.3032</v>
      </c>
      <c r="BO11" s="10">
        <v>1149098.6518000001</v>
      </c>
      <c r="BP11" s="10">
        <v>2895696.1957</v>
      </c>
      <c r="BQ11" s="10">
        <v>1490174.7849000001</v>
      </c>
      <c r="BR11" s="10">
        <v>193527.79699999999</v>
      </c>
      <c r="BS11" s="10">
        <v>440360.45672999998</v>
      </c>
      <c r="BT11" s="10">
        <v>80857.436199999996</v>
      </c>
      <c r="BU11" s="10">
        <v>546349.24609000003</v>
      </c>
      <c r="BV11" s="10">
        <v>693446.99179999996</v>
      </c>
      <c r="BW11" s="10">
        <v>146601.02410000001</v>
      </c>
      <c r="BX11" s="10">
        <v>88402.484899999996</v>
      </c>
      <c r="BY11" s="10">
        <v>2362904.9512999998</v>
      </c>
      <c r="BZ11" s="10">
        <v>357010.2892</v>
      </c>
      <c r="CA11" s="10">
        <v>1339223.703</v>
      </c>
      <c r="CB11" s="10">
        <v>114979.6308</v>
      </c>
      <c r="CC11" s="10">
        <v>505953.86861</v>
      </c>
      <c r="CD11" s="10">
        <v>142847.64309999999</v>
      </c>
      <c r="CE11" s="10">
        <v>751931.63060000003</v>
      </c>
      <c r="CF11" s="10">
        <v>979210.30440000002</v>
      </c>
      <c r="CG11" s="10">
        <v>173931.432</v>
      </c>
      <c r="CH11" s="10">
        <v>4424045.9850700004</v>
      </c>
      <c r="CI11" s="10">
        <v>444344.02539999998</v>
      </c>
      <c r="CJ11" s="10">
        <v>297899.30445</v>
      </c>
      <c r="CK11" s="10">
        <v>2959565.2620000001</v>
      </c>
      <c r="CL11" s="10">
        <v>1503544.7058999999</v>
      </c>
      <c r="CM11" s="10">
        <v>2159032.6196300001</v>
      </c>
      <c r="CN11" s="10">
        <v>23826.076000000001</v>
      </c>
      <c r="CO11" s="10">
        <v>410664.70026100002</v>
      </c>
      <c r="CP11" s="10">
        <v>1538132.1284</v>
      </c>
      <c r="CQ11" s="10">
        <v>299265.41710000002</v>
      </c>
      <c r="CR11" s="10">
        <v>226679.54149999999</v>
      </c>
      <c r="CS11" s="10">
        <v>180899.31262000001</v>
      </c>
      <c r="CT11" s="10">
        <v>47706.243029999998</v>
      </c>
      <c r="CU11" s="10">
        <v>49418.783000000003</v>
      </c>
      <c r="CV11" s="10">
        <v>102913.4135</v>
      </c>
      <c r="CW11" s="10">
        <v>2120779.1269999999</v>
      </c>
      <c r="CX11" s="10">
        <v>98100.348740000001</v>
      </c>
      <c r="CY11" s="10">
        <v>29835.272000000001</v>
      </c>
      <c r="CZ11" s="10"/>
      <c r="DA11" s="10">
        <v>61142.773300000001</v>
      </c>
      <c r="DB11" s="10"/>
      <c r="DC11" s="10">
        <v>21359.332173999999</v>
      </c>
      <c r="DD11" s="10">
        <v>26954.9686</v>
      </c>
      <c r="DE11" s="10"/>
      <c r="DF11" s="10">
        <v>12609.587939999999</v>
      </c>
      <c r="DG11" s="10">
        <v>370976.33799999999</v>
      </c>
      <c r="DH11" s="10">
        <v>17846.963100000001</v>
      </c>
      <c r="DI11" s="10">
        <v>40459.728999999999</v>
      </c>
      <c r="DJ11" s="10"/>
      <c r="DK11" s="10">
        <v>31848.165000000001</v>
      </c>
      <c r="DL11" s="10">
        <v>37000.442999999999</v>
      </c>
      <c r="DM11" s="10"/>
      <c r="DN11" s="10">
        <v>11355.732749999999</v>
      </c>
      <c r="DO11" s="10">
        <v>6224.2529999999997</v>
      </c>
      <c r="DP11" s="10">
        <v>137248.1777</v>
      </c>
      <c r="DQ11" s="10">
        <v>76499.41704</v>
      </c>
      <c r="DR11" s="10">
        <v>20060.878100000002</v>
      </c>
      <c r="DS11" s="10">
        <v>9951.8615000000009</v>
      </c>
      <c r="DT11" s="10">
        <v>11307.7526</v>
      </c>
      <c r="DU11" s="10"/>
      <c r="DV11" s="10">
        <v>233718.83350000001</v>
      </c>
      <c r="DW11" s="10">
        <v>30961.742699999999</v>
      </c>
      <c r="DX11" s="10">
        <v>256712.495</v>
      </c>
      <c r="DY11" s="10">
        <v>10124.613310000001</v>
      </c>
      <c r="DZ11" s="10">
        <v>13304.2634</v>
      </c>
      <c r="EA11" s="10">
        <v>2568.8883999999998</v>
      </c>
      <c r="EB11" s="10"/>
      <c r="EC11" s="10">
        <v>7839.0892809999996</v>
      </c>
      <c r="ED11" s="10">
        <v>6611.9933000000001</v>
      </c>
      <c r="EE11" s="10">
        <v>20566.170999999998</v>
      </c>
      <c r="EF11" s="10">
        <v>14219.983899999999</v>
      </c>
      <c r="EG11" s="10">
        <v>27772.984</v>
      </c>
      <c r="EH11" s="10">
        <v>3543.2826599999999</v>
      </c>
      <c r="EI11" s="10">
        <v>7452.0301200000004</v>
      </c>
      <c r="EJ11" s="10">
        <v>3951.3544999999999</v>
      </c>
      <c r="EK11" s="10">
        <v>3637.0009</v>
      </c>
      <c r="EL11" s="10">
        <v>26222.889599999999</v>
      </c>
      <c r="EM11" s="10">
        <v>14350.352199999999</v>
      </c>
      <c r="EN11" s="10">
        <v>19070.108</v>
      </c>
      <c r="EO11" s="10">
        <v>18768.9457</v>
      </c>
      <c r="EP11" s="10">
        <v>20156.21</v>
      </c>
      <c r="EQ11" s="10">
        <v>3297.0954999999999</v>
      </c>
      <c r="ER11" s="10">
        <v>4745.5713999999998</v>
      </c>
      <c r="ES11" s="10">
        <v>6521.2156999999997</v>
      </c>
      <c r="ET11" s="10">
        <v>7088.6656999999996</v>
      </c>
      <c r="EU11" s="10"/>
      <c r="EV11" s="10">
        <v>0</v>
      </c>
      <c r="EW11" s="10">
        <v>14081.341</v>
      </c>
      <c r="EX11" s="10">
        <v>12901.591</v>
      </c>
      <c r="EY11" s="10">
        <v>14258.596</v>
      </c>
      <c r="EZ11" s="10">
        <v>12378.3766</v>
      </c>
      <c r="FA11" s="10"/>
      <c r="FB11" s="10">
        <v>59952.260900000001</v>
      </c>
      <c r="FC11" s="10">
        <v>5372.107</v>
      </c>
      <c r="FD11" s="10">
        <v>3615.9744000000001</v>
      </c>
      <c r="FE11" s="10">
        <v>2796.0783999999999</v>
      </c>
      <c r="FF11" s="10">
        <v>3893.3159999999998</v>
      </c>
      <c r="FG11" s="10">
        <v>15416.200999999999</v>
      </c>
      <c r="FH11" s="10">
        <v>3689.0337</v>
      </c>
      <c r="FI11" s="10">
        <v>13756.804</v>
      </c>
      <c r="FJ11" s="10">
        <v>10548.470300000001</v>
      </c>
      <c r="FK11" s="10">
        <v>7056.3040000000001</v>
      </c>
      <c r="FL11" s="10">
        <v>9449.4706000000006</v>
      </c>
      <c r="FM11" s="10">
        <v>4372.7602999999999</v>
      </c>
      <c r="FN11" s="10">
        <v>10139.856599999999</v>
      </c>
      <c r="FO11" s="10">
        <v>3777.5558000000001</v>
      </c>
      <c r="FP11" s="10">
        <v>6629.8276999999998</v>
      </c>
      <c r="FQ11" s="10"/>
      <c r="FR11" s="10">
        <v>9586.1967000000004</v>
      </c>
      <c r="FS11" s="10">
        <v>6235.6782000000003</v>
      </c>
      <c r="FT11" s="10">
        <v>2607.8629000000001</v>
      </c>
      <c r="FU11" s="10">
        <v>11181.055</v>
      </c>
      <c r="FV11" s="10"/>
      <c r="FW11" s="10">
        <v>5727.0748000000003</v>
      </c>
      <c r="FX11" s="10">
        <v>6953.2039999999997</v>
      </c>
      <c r="FY11" s="10">
        <v>3080.0297</v>
      </c>
      <c r="FZ11" s="10"/>
      <c r="GA11" s="10">
        <v>618.36670000000004</v>
      </c>
      <c r="GB11" s="10"/>
      <c r="GC11" s="10"/>
      <c r="GD11" s="10"/>
      <c r="GE11" s="10">
        <v>0</v>
      </c>
      <c r="GF11" s="10">
        <v>0</v>
      </c>
      <c r="GG11" s="10">
        <v>0</v>
      </c>
    </row>
    <row r="12" spans="1:189" x14ac:dyDescent="0.35">
      <c r="A12" s="8">
        <v>46153</v>
      </c>
      <c r="B12" s="9">
        <v>8018564620.2467604</v>
      </c>
      <c r="C12" s="10">
        <v>2029449044.5383899</v>
      </c>
      <c r="D12" s="10">
        <v>2151684080.6371899</v>
      </c>
      <c r="E12" s="10">
        <v>1050755134.24538</v>
      </c>
      <c r="F12" s="10">
        <v>325968767.31900001</v>
      </c>
      <c r="G12" s="10">
        <v>625901645.88059998</v>
      </c>
      <c r="H12" s="10">
        <v>99695151.389471605</v>
      </c>
      <c r="I12" s="10">
        <v>367759526.17364299</v>
      </c>
      <c r="J12" s="10">
        <v>452389053.54534501</v>
      </c>
      <c r="K12" s="10">
        <v>125133032.90048499</v>
      </c>
      <c r="L12" s="10">
        <v>79636432.608500004</v>
      </c>
      <c r="M12" s="10">
        <v>211496890.64409301</v>
      </c>
      <c r="N12" s="10">
        <v>53876498.730800003</v>
      </c>
      <c r="O12" s="10">
        <v>43370162.646200001</v>
      </c>
      <c r="P12" s="10">
        <v>20582855.071400002</v>
      </c>
      <c r="Q12" s="10">
        <v>62158679.548500001</v>
      </c>
      <c r="R12" s="10">
        <v>6770254.3596860999</v>
      </c>
      <c r="S12" s="10">
        <v>14103276.30718</v>
      </c>
      <c r="T12" s="10">
        <v>12274645.003</v>
      </c>
      <c r="U12" s="10">
        <v>6439792.8593506897</v>
      </c>
      <c r="V12" s="10">
        <v>14642082.234002801</v>
      </c>
      <c r="W12" s="10">
        <v>20234638.019086</v>
      </c>
      <c r="X12" s="10">
        <v>50783632.3948652</v>
      </c>
      <c r="Y12" s="10">
        <v>22932358.760000002</v>
      </c>
      <c r="Z12" s="10">
        <v>5432191.8689465802</v>
      </c>
      <c r="AA12" s="10">
        <v>7058639.7135194596</v>
      </c>
      <c r="AB12" s="10">
        <v>16041029.3575</v>
      </c>
      <c r="AC12" s="10">
        <v>6387224.5762465103</v>
      </c>
      <c r="AD12" s="10"/>
      <c r="AE12" s="10">
        <v>5916998.36094</v>
      </c>
      <c r="AF12" s="10">
        <v>7057250.8485000003</v>
      </c>
      <c r="AG12" s="10">
        <v>773034.24820000003</v>
      </c>
      <c r="AH12" s="10">
        <v>3649892.4889000002</v>
      </c>
      <c r="AI12" s="10">
        <v>2201075.2510000002</v>
      </c>
      <c r="AJ12" s="10">
        <v>2691127.4978</v>
      </c>
      <c r="AK12" s="10">
        <v>5595362.4709999999</v>
      </c>
      <c r="AL12" s="10">
        <v>2745098.3354000002</v>
      </c>
      <c r="AM12" s="10">
        <v>3636020.2364962301</v>
      </c>
      <c r="AN12" s="10">
        <v>9499812.1700999998</v>
      </c>
      <c r="AO12" s="10">
        <v>11790749.8654</v>
      </c>
      <c r="AP12" s="10">
        <v>20669856.934</v>
      </c>
      <c r="AQ12" s="10">
        <v>2892478.7831999999</v>
      </c>
      <c r="AR12" s="10">
        <v>4625734.5889999997</v>
      </c>
      <c r="AS12" s="10">
        <v>1271554.8796999999</v>
      </c>
      <c r="AT12" s="10">
        <v>910793.81090000004</v>
      </c>
      <c r="AU12" s="10">
        <v>539459.39020400005</v>
      </c>
      <c r="AV12" s="10">
        <v>1430033.1455000001</v>
      </c>
      <c r="AW12" s="10">
        <v>793565.84790000005</v>
      </c>
      <c r="AX12" s="10">
        <v>1027749.8199</v>
      </c>
      <c r="AY12" s="10">
        <v>1408095.7737</v>
      </c>
      <c r="AZ12" s="10">
        <v>3569141.8245999999</v>
      </c>
      <c r="BA12" s="10">
        <v>389907.39610000001</v>
      </c>
      <c r="BB12" s="10">
        <v>353930.47220000002</v>
      </c>
      <c r="BC12" s="10">
        <v>568892.91299999994</v>
      </c>
      <c r="BD12" s="10">
        <v>337714.91629999998</v>
      </c>
      <c r="BE12" s="10">
        <v>3834672.9530000002</v>
      </c>
      <c r="BF12" s="10">
        <v>2938603.0690000001</v>
      </c>
      <c r="BG12" s="10">
        <v>651451.14870000002</v>
      </c>
      <c r="BH12" s="10">
        <v>2899744.0488999998</v>
      </c>
      <c r="BI12" s="10">
        <v>2926534.7093000002</v>
      </c>
      <c r="BJ12" s="10">
        <v>1603434.9613000001</v>
      </c>
      <c r="BK12" s="10">
        <v>225533.432</v>
      </c>
      <c r="BL12" s="10">
        <v>1037014.0284</v>
      </c>
      <c r="BM12" s="10">
        <v>868815.97250000003</v>
      </c>
      <c r="BN12" s="10">
        <v>619785.29539999994</v>
      </c>
      <c r="BO12" s="10">
        <v>184206.0246</v>
      </c>
      <c r="BP12" s="10">
        <v>2604773.0632000002</v>
      </c>
      <c r="BQ12" s="10">
        <v>969143.77359999996</v>
      </c>
      <c r="BR12" s="10">
        <v>457283.43290000001</v>
      </c>
      <c r="BS12" s="10">
        <v>409872.75442000001</v>
      </c>
      <c r="BT12" s="10">
        <v>160581.74530000001</v>
      </c>
      <c r="BU12" s="10">
        <v>414227.45947</v>
      </c>
      <c r="BV12" s="10">
        <v>295748.90960000001</v>
      </c>
      <c r="BW12" s="10">
        <v>69786.944300000003</v>
      </c>
      <c r="BX12" s="10">
        <v>76053.805699999997</v>
      </c>
      <c r="BY12" s="10">
        <v>673219.89950000006</v>
      </c>
      <c r="BZ12" s="10">
        <v>213373.13209999999</v>
      </c>
      <c r="CA12" s="10">
        <v>868968.37080000003</v>
      </c>
      <c r="CB12" s="10">
        <v>142477.19219999999</v>
      </c>
      <c r="CC12" s="10">
        <v>27895.880349999999</v>
      </c>
      <c r="CD12" s="10">
        <v>111954.4259</v>
      </c>
      <c r="CE12" s="10">
        <v>154607.42060000001</v>
      </c>
      <c r="CF12" s="10">
        <v>2081790.9907</v>
      </c>
      <c r="CG12" s="10">
        <v>29166.513999999999</v>
      </c>
      <c r="CH12" s="10">
        <v>828870.38286999997</v>
      </c>
      <c r="CI12" s="10">
        <v>701421.18119999999</v>
      </c>
      <c r="CJ12" s="10">
        <v>317634.26202000002</v>
      </c>
      <c r="CK12" s="10">
        <v>866631.80469999998</v>
      </c>
      <c r="CL12" s="10">
        <v>1605519.7265000001</v>
      </c>
      <c r="CM12" s="10">
        <v>1149027.90126</v>
      </c>
      <c r="CN12" s="10">
        <v>22966.677</v>
      </c>
      <c r="CO12" s="10">
        <v>284373.964538</v>
      </c>
      <c r="CP12" s="10">
        <v>910545.73750000005</v>
      </c>
      <c r="CQ12" s="10">
        <v>450074.79200000002</v>
      </c>
      <c r="CR12" s="10">
        <v>626275.61399999994</v>
      </c>
      <c r="CS12" s="10">
        <v>78140.620620000002</v>
      </c>
      <c r="CT12" s="10">
        <v>37002.549129999999</v>
      </c>
      <c r="CU12" s="10">
        <v>60408.294999999998</v>
      </c>
      <c r="CV12" s="10">
        <v>88593.059599999993</v>
      </c>
      <c r="CW12" s="10">
        <v>83471.540999999997</v>
      </c>
      <c r="CX12" s="10">
        <v>250701.92447999999</v>
      </c>
      <c r="CY12" s="10">
        <v>74000.284</v>
      </c>
      <c r="CZ12" s="10"/>
      <c r="DA12" s="10">
        <v>46602.724099999999</v>
      </c>
      <c r="DB12" s="10"/>
      <c r="DC12" s="10">
        <v>17817.936734999999</v>
      </c>
      <c r="DD12" s="10">
        <v>15780.4876</v>
      </c>
      <c r="DE12" s="10"/>
      <c r="DF12" s="10">
        <v>9402.1304700000001</v>
      </c>
      <c r="DG12" s="10">
        <v>1422582.2690000001</v>
      </c>
      <c r="DH12" s="10">
        <v>9348.8153000000002</v>
      </c>
      <c r="DI12" s="10">
        <v>51506.224000000002</v>
      </c>
      <c r="DJ12" s="10"/>
      <c r="DK12" s="10">
        <v>46203.716</v>
      </c>
      <c r="DL12" s="10">
        <v>15975.065000000001</v>
      </c>
      <c r="DM12" s="10"/>
      <c r="DN12" s="10">
        <v>12295.36959</v>
      </c>
      <c r="DO12" s="10">
        <v>12923.243</v>
      </c>
      <c r="DP12" s="10">
        <v>110729.2874</v>
      </c>
      <c r="DQ12" s="10">
        <v>448960.58009</v>
      </c>
      <c r="DR12" s="10">
        <v>10956.269700000001</v>
      </c>
      <c r="DS12" s="10">
        <v>10998.962100000001</v>
      </c>
      <c r="DT12" s="10">
        <v>18744.7412</v>
      </c>
      <c r="DU12" s="10"/>
      <c r="DV12" s="10">
        <v>244305.76809999999</v>
      </c>
      <c r="DW12" s="10">
        <v>3441.1849999999999</v>
      </c>
      <c r="DX12" s="10">
        <v>130041.265</v>
      </c>
      <c r="DY12" s="10">
        <v>6783.34033</v>
      </c>
      <c r="DZ12" s="10">
        <v>7065.1253999999999</v>
      </c>
      <c r="EA12" s="10">
        <v>4561.4250000000002</v>
      </c>
      <c r="EB12" s="10"/>
      <c r="EC12" s="10">
        <v>24973.894270000001</v>
      </c>
      <c r="ED12" s="10">
        <v>5843.5978999999998</v>
      </c>
      <c r="EE12" s="10">
        <v>9423.4879999999994</v>
      </c>
      <c r="EF12" s="10">
        <v>6412.2956000000004</v>
      </c>
      <c r="EG12" s="10">
        <v>38599.150999999998</v>
      </c>
      <c r="EH12" s="10">
        <v>3343.4796500000002</v>
      </c>
      <c r="EI12" s="10">
        <v>5022.72775</v>
      </c>
      <c r="EJ12" s="10">
        <v>4859.0663999999997</v>
      </c>
      <c r="EK12" s="10">
        <v>5290.7303000000002</v>
      </c>
      <c r="EL12" s="10">
        <v>15676.976500000001</v>
      </c>
      <c r="EM12" s="10">
        <v>6416.8453</v>
      </c>
      <c r="EN12" s="10">
        <v>23035.309000000001</v>
      </c>
      <c r="EO12" s="10">
        <v>17497.023300000001</v>
      </c>
      <c r="EP12" s="10">
        <v>17037.341</v>
      </c>
      <c r="EQ12" s="10">
        <v>7185.3995999999997</v>
      </c>
      <c r="ER12" s="10">
        <v>23077.4738</v>
      </c>
      <c r="ES12" s="10">
        <v>29315.005799999999</v>
      </c>
      <c r="ET12" s="10">
        <v>7928.8640999999998</v>
      </c>
      <c r="EU12" s="10"/>
      <c r="EV12" s="10">
        <v>0</v>
      </c>
      <c r="EW12" s="10">
        <v>12074.965</v>
      </c>
      <c r="EX12" s="10">
        <v>13936.647000000001</v>
      </c>
      <c r="EY12" s="10">
        <v>12477.975</v>
      </c>
      <c r="EZ12" s="10">
        <v>2394.4232000000002</v>
      </c>
      <c r="FA12" s="10"/>
      <c r="FB12" s="10">
        <v>83305.606100000005</v>
      </c>
      <c r="FC12" s="10">
        <v>5349.7780000000002</v>
      </c>
      <c r="FD12" s="10">
        <v>2698.9112</v>
      </c>
      <c r="FE12" s="10">
        <v>115425.9621</v>
      </c>
      <c r="FF12" s="10">
        <v>3792.8409999999999</v>
      </c>
      <c r="FG12" s="10">
        <v>37064.135999999999</v>
      </c>
      <c r="FH12" s="10">
        <v>3940.7856000000002</v>
      </c>
      <c r="FI12" s="10">
        <v>9564.0490000000009</v>
      </c>
      <c r="FJ12" s="10">
        <v>4820.4283999999998</v>
      </c>
      <c r="FK12" s="10">
        <v>5724.5150000000003</v>
      </c>
      <c r="FL12" s="10">
        <v>6120.2689</v>
      </c>
      <c r="FM12" s="10">
        <v>5436.8851999999997</v>
      </c>
      <c r="FN12" s="10">
        <v>3079.9416999999999</v>
      </c>
      <c r="FO12" s="10">
        <v>3087.5234999999998</v>
      </c>
      <c r="FP12" s="10">
        <v>4293.3918999999996</v>
      </c>
      <c r="FQ12" s="10"/>
      <c r="FR12" s="10">
        <v>4299.4475000000002</v>
      </c>
      <c r="FS12" s="10">
        <v>3319.3822</v>
      </c>
      <c r="FT12" s="10">
        <v>2684.0619000000002</v>
      </c>
      <c r="FU12" s="10">
        <v>8840.2520000000004</v>
      </c>
      <c r="FV12" s="10"/>
      <c r="FW12" s="10">
        <v>3101.8924999999999</v>
      </c>
      <c r="FX12" s="10">
        <v>8767.4838</v>
      </c>
      <c r="FY12" s="10">
        <v>2618.8162000000002</v>
      </c>
      <c r="FZ12" s="10"/>
      <c r="GA12" s="10">
        <v>0</v>
      </c>
      <c r="GB12" s="10"/>
      <c r="GC12" s="10"/>
      <c r="GD12" s="10"/>
      <c r="GE12" s="10">
        <v>0</v>
      </c>
      <c r="GF12" s="10">
        <v>0</v>
      </c>
      <c r="GG12" s="10">
        <v>0</v>
      </c>
    </row>
    <row r="13" spans="1:189" x14ac:dyDescent="0.35">
      <c r="A13" s="8">
        <v>46152</v>
      </c>
      <c r="B13" s="9">
        <v>1683809792.9174399</v>
      </c>
      <c r="C13" s="10">
        <v>428220093.35070598</v>
      </c>
      <c r="D13" s="10">
        <v>353985700.08914</v>
      </c>
      <c r="E13" s="10">
        <v>436958530.5758</v>
      </c>
      <c r="F13" s="10">
        <v>123519254.5099</v>
      </c>
      <c r="G13" s="10">
        <v>31604174.640900001</v>
      </c>
      <c r="H13" s="10">
        <v>16348586.791223001</v>
      </c>
      <c r="I13" s="10">
        <v>37347702.156069003</v>
      </c>
      <c r="J13" s="10">
        <v>24307631.280590501</v>
      </c>
      <c r="K13" s="10">
        <v>23363648.551831201</v>
      </c>
      <c r="L13" s="10">
        <v>25577759.937800001</v>
      </c>
      <c r="M13" s="10">
        <v>22130035.016600002</v>
      </c>
      <c r="N13" s="10">
        <v>6404008.0537999999</v>
      </c>
      <c r="O13" s="10">
        <v>13969448.9301</v>
      </c>
      <c r="P13" s="10">
        <v>3471868.6269</v>
      </c>
      <c r="Q13" s="10">
        <v>10604513.172900001</v>
      </c>
      <c r="R13" s="10">
        <v>2753580.4097064901</v>
      </c>
      <c r="S13" s="10">
        <v>3011945.8831000002</v>
      </c>
      <c r="T13" s="10">
        <v>2404590.2629999998</v>
      </c>
      <c r="U13" s="10">
        <v>3651585.6459430102</v>
      </c>
      <c r="V13" s="10">
        <v>5471797.7958813701</v>
      </c>
      <c r="W13" s="10">
        <v>14953396.9473786</v>
      </c>
      <c r="X13" s="10">
        <v>11302038.695699999</v>
      </c>
      <c r="Y13" s="10">
        <v>647187.55460000003</v>
      </c>
      <c r="Z13" s="10">
        <v>2548355.8673931099</v>
      </c>
      <c r="AA13" s="10">
        <v>2568218.3424</v>
      </c>
      <c r="AB13" s="10">
        <v>23618532.279100001</v>
      </c>
      <c r="AC13" s="10">
        <v>6345502.2297513904</v>
      </c>
      <c r="AD13" s="10"/>
      <c r="AE13" s="10">
        <v>1345990.43973</v>
      </c>
      <c r="AF13" s="10">
        <v>1349672.6385999999</v>
      </c>
      <c r="AG13" s="10">
        <v>907488.89879999997</v>
      </c>
      <c r="AH13" s="10">
        <v>992390.81920000003</v>
      </c>
      <c r="AI13" s="10">
        <v>9830135.4739999995</v>
      </c>
      <c r="AJ13" s="10">
        <v>1498733.6453</v>
      </c>
      <c r="AK13" s="10">
        <v>1127115.8219999999</v>
      </c>
      <c r="AL13" s="10">
        <v>291597.70169999998</v>
      </c>
      <c r="AM13" s="10">
        <v>373171.7194</v>
      </c>
      <c r="AN13" s="10">
        <v>1097733.2291000001</v>
      </c>
      <c r="AO13" s="10">
        <v>2939333.6540000001</v>
      </c>
      <c r="AP13" s="10">
        <v>3699556.5943</v>
      </c>
      <c r="AQ13" s="10">
        <v>1517692.8506</v>
      </c>
      <c r="AR13" s="10">
        <v>928057.19559999998</v>
      </c>
      <c r="AS13" s="10">
        <v>208041.5239</v>
      </c>
      <c r="AT13" s="10">
        <v>1525812.9842999999</v>
      </c>
      <c r="AU13" s="10">
        <v>587457.42606099998</v>
      </c>
      <c r="AV13" s="10">
        <v>450293.25050000002</v>
      </c>
      <c r="AW13" s="10">
        <v>108091.67539999999</v>
      </c>
      <c r="AX13" s="10">
        <v>478959.16889999999</v>
      </c>
      <c r="AY13" s="10">
        <v>52415.332799999996</v>
      </c>
      <c r="AZ13" s="10">
        <v>175311.03409999999</v>
      </c>
      <c r="BA13" s="10">
        <v>515786.47610000003</v>
      </c>
      <c r="BB13" s="10">
        <v>51709.786899999999</v>
      </c>
      <c r="BC13" s="10">
        <v>250304.65900000001</v>
      </c>
      <c r="BD13" s="10">
        <v>76388.195500000002</v>
      </c>
      <c r="BE13" s="10">
        <v>3660445.432</v>
      </c>
      <c r="BF13" s="10">
        <v>6191054.0889999997</v>
      </c>
      <c r="BG13" s="10">
        <v>86629.903590000002</v>
      </c>
      <c r="BH13" s="10">
        <v>24115.429400000001</v>
      </c>
      <c r="BI13" s="10">
        <v>709504.67689999996</v>
      </c>
      <c r="BJ13" s="10">
        <v>378929.76520000002</v>
      </c>
      <c r="BK13" s="10">
        <v>49038.753599999996</v>
      </c>
      <c r="BL13" s="10">
        <v>14358.135</v>
      </c>
      <c r="BM13" s="10">
        <v>272887.07319999998</v>
      </c>
      <c r="BN13" s="10">
        <v>78526.604200000002</v>
      </c>
      <c r="BO13" s="10">
        <v>8630.9082999999991</v>
      </c>
      <c r="BP13" s="10">
        <v>71810.112800000003</v>
      </c>
      <c r="BQ13" s="10">
        <v>36583.574399999998</v>
      </c>
      <c r="BR13" s="10">
        <v>40381.279199999997</v>
      </c>
      <c r="BS13" s="10">
        <v>134008.38359000001</v>
      </c>
      <c r="BT13" s="10">
        <v>43106.431900000003</v>
      </c>
      <c r="BU13" s="10">
        <v>493553.15703</v>
      </c>
      <c r="BV13" s="10">
        <v>131817.72709999999</v>
      </c>
      <c r="BW13" s="10">
        <v>12082.0708</v>
      </c>
      <c r="BX13" s="10">
        <v>160554.111</v>
      </c>
      <c r="BY13" s="10">
        <v>55694.9493</v>
      </c>
      <c r="BZ13" s="10">
        <v>53463.967100000002</v>
      </c>
      <c r="CA13" s="10">
        <v>58673.268400000001</v>
      </c>
      <c r="CB13" s="10">
        <v>40090.235699999997</v>
      </c>
      <c r="CC13" s="10">
        <v>10230.207050000001</v>
      </c>
      <c r="CD13" s="10">
        <v>2042.4282000000001</v>
      </c>
      <c r="CE13" s="10">
        <v>37886.964099999997</v>
      </c>
      <c r="CF13" s="10">
        <v>26301.906800000001</v>
      </c>
      <c r="CG13" s="10">
        <v>19329.387999999999</v>
      </c>
      <c r="CH13" s="10"/>
      <c r="CI13" s="10">
        <v>207787.73370000001</v>
      </c>
      <c r="CJ13" s="10">
        <v>22264.95263</v>
      </c>
      <c r="CK13" s="10">
        <v>6150.1018000000004</v>
      </c>
      <c r="CL13" s="10"/>
      <c r="CM13" s="10"/>
      <c r="CN13" s="10">
        <v>36478.656999999999</v>
      </c>
      <c r="CO13" s="10">
        <v>7756.3062179999997</v>
      </c>
      <c r="CP13" s="10">
        <v>120820.7118</v>
      </c>
      <c r="CQ13" s="10">
        <v>110898.0319</v>
      </c>
      <c r="CR13" s="10">
        <v>57692.809500000003</v>
      </c>
      <c r="CS13" s="10">
        <v>28577.51484</v>
      </c>
      <c r="CT13" s="10">
        <v>3636.9461799999999</v>
      </c>
      <c r="CU13" s="10">
        <v>27699.896000000001</v>
      </c>
      <c r="CV13" s="10">
        <v>61309.857600000003</v>
      </c>
      <c r="CW13" s="10">
        <v>12748.462</v>
      </c>
      <c r="CX13" s="10">
        <v>113861.8229</v>
      </c>
      <c r="CY13" s="10">
        <v>9482.7999999999993</v>
      </c>
      <c r="CZ13" s="10"/>
      <c r="DA13" s="10">
        <v>11709.3968</v>
      </c>
      <c r="DB13" s="10"/>
      <c r="DC13" s="10">
        <v>9117.5842730000004</v>
      </c>
      <c r="DD13" s="10">
        <v>14835.2168</v>
      </c>
      <c r="DE13" s="10"/>
      <c r="DF13" s="10">
        <v>6059.5964400000003</v>
      </c>
      <c r="DG13" s="10"/>
      <c r="DH13" s="10">
        <v>8317.3266000000003</v>
      </c>
      <c r="DI13" s="10">
        <v>15342.094999999999</v>
      </c>
      <c r="DJ13" s="10"/>
      <c r="DK13" s="10">
        <v>57791.345999999998</v>
      </c>
      <c r="DL13" s="10">
        <v>16554.559000000001</v>
      </c>
      <c r="DM13" s="10"/>
      <c r="DN13" s="10">
        <v>12050.42669</v>
      </c>
      <c r="DO13" s="10">
        <v>6205.0749999999998</v>
      </c>
      <c r="DP13" s="10">
        <v>12819.944799999999</v>
      </c>
      <c r="DQ13" s="10"/>
      <c r="DR13" s="10">
        <v>4869.2587000000003</v>
      </c>
      <c r="DS13" s="10">
        <v>13470.1317</v>
      </c>
      <c r="DT13" s="10">
        <v>9391.6409000000003</v>
      </c>
      <c r="DU13" s="10"/>
      <c r="DV13" s="10">
        <v>23515.918099999999</v>
      </c>
      <c r="DW13" s="10">
        <v>2352.5893999999998</v>
      </c>
      <c r="DX13" s="10">
        <v>49801.046000000002</v>
      </c>
      <c r="DY13" s="10">
        <v>8183.1272600000002</v>
      </c>
      <c r="DZ13" s="10">
        <v>7360.8971000000001</v>
      </c>
      <c r="EA13" s="10">
        <v>6334.3459999999995</v>
      </c>
      <c r="EB13" s="10"/>
      <c r="EC13" s="10">
        <v>5603.2166870000001</v>
      </c>
      <c r="ED13" s="10">
        <v>2499.7574</v>
      </c>
      <c r="EE13" s="10">
        <v>10338.807000000001</v>
      </c>
      <c r="EF13" s="10">
        <v>14630.8285</v>
      </c>
      <c r="EG13" s="10">
        <v>16768.824000000001</v>
      </c>
      <c r="EH13" s="10">
        <v>18183.462589999999</v>
      </c>
      <c r="EI13" s="10">
        <v>6275.5300699999998</v>
      </c>
      <c r="EJ13" s="10">
        <v>8920.0804000000007</v>
      </c>
      <c r="EK13" s="10">
        <v>2021.5963999999999</v>
      </c>
      <c r="EL13" s="10">
        <v>7915.7839999999997</v>
      </c>
      <c r="EM13" s="10">
        <v>4165.4448000000002</v>
      </c>
      <c r="EN13" s="10">
        <v>14503.445</v>
      </c>
      <c r="EO13" s="10">
        <v>3118.6797999999999</v>
      </c>
      <c r="EP13" s="10">
        <v>13400.984</v>
      </c>
      <c r="EQ13" s="10">
        <v>2995.4758000000002</v>
      </c>
      <c r="ER13" s="10">
        <v>3329.9648999999999</v>
      </c>
      <c r="ES13" s="10">
        <v>2744.7510000000002</v>
      </c>
      <c r="ET13" s="10">
        <v>3797.1572000000001</v>
      </c>
      <c r="EU13" s="10"/>
      <c r="EV13" s="10">
        <v>0</v>
      </c>
      <c r="EW13" s="10">
        <v>11135.002</v>
      </c>
      <c r="EX13" s="10">
        <v>12266.694</v>
      </c>
      <c r="EY13" s="10">
        <v>16043.052</v>
      </c>
      <c r="EZ13" s="10">
        <v>3330.7467000000001</v>
      </c>
      <c r="FA13" s="10"/>
      <c r="FB13" s="10">
        <v>22776.4866</v>
      </c>
      <c r="FC13" s="10">
        <v>7031.009</v>
      </c>
      <c r="FD13" s="10">
        <v>2721.8852999999999</v>
      </c>
      <c r="FE13" s="10">
        <v>1960.1576</v>
      </c>
      <c r="FF13" s="10">
        <v>4249.6490000000003</v>
      </c>
      <c r="FG13" s="10">
        <v>9809.5010000000002</v>
      </c>
      <c r="FH13" s="10">
        <v>4711.3681999999999</v>
      </c>
      <c r="FI13" s="10">
        <v>7031.8530000000001</v>
      </c>
      <c r="FJ13" s="10">
        <v>3729.6581000000001</v>
      </c>
      <c r="FK13" s="10">
        <v>5635.826</v>
      </c>
      <c r="FL13" s="10">
        <v>3872.7588000000001</v>
      </c>
      <c r="FM13" s="10">
        <v>3993.5421000000001</v>
      </c>
      <c r="FN13" s="10">
        <v>2906.4816999999998</v>
      </c>
      <c r="FO13" s="10">
        <v>3053.5837000000001</v>
      </c>
      <c r="FP13" s="10">
        <v>4240.2079000000003</v>
      </c>
      <c r="FQ13" s="10"/>
      <c r="FR13" s="10">
        <v>11034.3663</v>
      </c>
      <c r="FS13" s="10">
        <v>7891.3393999999998</v>
      </c>
      <c r="FT13" s="10">
        <v>8747.0084999999999</v>
      </c>
      <c r="FU13" s="10">
        <v>5575.0810000000001</v>
      </c>
      <c r="FV13" s="10"/>
      <c r="FW13" s="10">
        <v>2411.0426000000002</v>
      </c>
      <c r="FX13" s="10">
        <v>4379.5915000000005</v>
      </c>
      <c r="FY13" s="10">
        <v>4132.3824000000004</v>
      </c>
      <c r="FZ13" s="10"/>
      <c r="GA13" s="10">
        <v>0</v>
      </c>
      <c r="GB13" s="10"/>
      <c r="GC13" s="10"/>
      <c r="GD13" s="10"/>
      <c r="GE13" s="10">
        <v>0</v>
      </c>
      <c r="GF13" s="10">
        <v>0</v>
      </c>
      <c r="GG13" s="10">
        <v>0</v>
      </c>
    </row>
    <row r="14" spans="1:189" x14ac:dyDescent="0.35">
      <c r="A14" s="8">
        <v>46151</v>
      </c>
      <c r="B14" s="9">
        <v>562816533.68617797</v>
      </c>
      <c r="C14" s="10">
        <v>106829800.910597</v>
      </c>
      <c r="D14" s="10">
        <v>45100664.496150002</v>
      </c>
      <c r="E14" s="10">
        <v>132838415.75755</v>
      </c>
      <c r="F14" s="10">
        <v>36422298.944799997</v>
      </c>
      <c r="G14" s="10">
        <v>16172828.1404</v>
      </c>
      <c r="H14" s="10">
        <v>7191090.0182434097</v>
      </c>
      <c r="I14" s="10">
        <v>19549217.8761</v>
      </c>
      <c r="J14" s="10">
        <v>17310398.19816</v>
      </c>
      <c r="K14" s="10">
        <v>13471328.3576202</v>
      </c>
      <c r="L14" s="10">
        <v>8325706.0584000004</v>
      </c>
      <c r="M14" s="10">
        <v>9321589.8808999993</v>
      </c>
      <c r="N14" s="10">
        <v>3387931.9208</v>
      </c>
      <c r="O14" s="10">
        <v>8423073.7975999992</v>
      </c>
      <c r="P14" s="10">
        <v>1376349.4042</v>
      </c>
      <c r="Q14" s="10">
        <v>6706759.5843000002</v>
      </c>
      <c r="R14" s="10">
        <v>1484115.2551867401</v>
      </c>
      <c r="S14" s="10">
        <v>983558.94455000001</v>
      </c>
      <c r="T14" s="10">
        <v>904393.07369999995</v>
      </c>
      <c r="U14" s="10">
        <v>1142281.7827200501</v>
      </c>
      <c r="V14" s="10">
        <v>3180784.6007028301</v>
      </c>
      <c r="W14" s="10">
        <v>8593004.4496622998</v>
      </c>
      <c r="X14" s="10">
        <v>4354749.6410999997</v>
      </c>
      <c r="Y14" s="10">
        <v>244410.78539999999</v>
      </c>
      <c r="Z14" s="10">
        <v>1186376.5049660299</v>
      </c>
      <c r="AA14" s="10">
        <v>1767021.9155999999</v>
      </c>
      <c r="AB14" s="10">
        <v>4120753.6985999998</v>
      </c>
      <c r="AC14" s="10">
        <v>44806652.0725049</v>
      </c>
      <c r="AD14" s="10"/>
      <c r="AE14" s="10">
        <v>837209.83034999995</v>
      </c>
      <c r="AF14" s="10">
        <v>1370477.0806</v>
      </c>
      <c r="AG14" s="10">
        <v>1300826.4165000001</v>
      </c>
      <c r="AH14" s="10">
        <v>676846.96519999998</v>
      </c>
      <c r="AI14" s="10">
        <v>17807733.603999998</v>
      </c>
      <c r="AJ14" s="10">
        <v>499631.91499999998</v>
      </c>
      <c r="AK14" s="10">
        <v>852723.03200000001</v>
      </c>
      <c r="AL14" s="10">
        <v>165584.20970000001</v>
      </c>
      <c r="AM14" s="10">
        <v>126399.9094</v>
      </c>
      <c r="AN14" s="10">
        <v>881492.69440000004</v>
      </c>
      <c r="AO14" s="10">
        <v>5090425.9270000001</v>
      </c>
      <c r="AP14" s="10">
        <v>819538.18559999997</v>
      </c>
      <c r="AQ14" s="10">
        <v>880692.20519999997</v>
      </c>
      <c r="AR14" s="10">
        <v>1753877.612</v>
      </c>
      <c r="AS14" s="10">
        <v>247339.3548</v>
      </c>
      <c r="AT14" s="10">
        <v>2065158.5045</v>
      </c>
      <c r="AU14" s="10">
        <v>314591.124434</v>
      </c>
      <c r="AV14" s="10">
        <v>122737.2326</v>
      </c>
      <c r="AW14" s="10">
        <v>115470.679</v>
      </c>
      <c r="AX14" s="10">
        <v>467629.02010000002</v>
      </c>
      <c r="AY14" s="10">
        <v>47888.858500000002</v>
      </c>
      <c r="AZ14" s="10">
        <v>239229.01089999999</v>
      </c>
      <c r="BA14" s="10">
        <v>1679090.9538</v>
      </c>
      <c r="BB14" s="10">
        <v>17558.558400000002</v>
      </c>
      <c r="BC14" s="10">
        <v>535852.82900000003</v>
      </c>
      <c r="BD14" s="10">
        <v>42285.484100000001</v>
      </c>
      <c r="BE14" s="10">
        <v>4934304.8480000002</v>
      </c>
      <c r="BF14" s="10">
        <v>8898455.3509999998</v>
      </c>
      <c r="BG14" s="10">
        <v>54934.02274</v>
      </c>
      <c r="BH14" s="10">
        <v>90743.790999999997</v>
      </c>
      <c r="BI14" s="10">
        <v>623417.17689999996</v>
      </c>
      <c r="BJ14" s="10">
        <v>339090.37430000002</v>
      </c>
      <c r="BK14" s="10">
        <v>43284.186900000001</v>
      </c>
      <c r="BL14" s="10">
        <v>63847.051800000001</v>
      </c>
      <c r="BM14" s="10">
        <v>144680.18410000001</v>
      </c>
      <c r="BN14" s="10">
        <v>194373.10920000001</v>
      </c>
      <c r="BO14" s="10">
        <v>5764.43</v>
      </c>
      <c r="BP14" s="10">
        <v>40261.661399999997</v>
      </c>
      <c r="BQ14" s="10">
        <v>36203.052900000002</v>
      </c>
      <c r="BR14" s="10">
        <v>229431.41469999999</v>
      </c>
      <c r="BS14" s="10">
        <v>132072.47912999999</v>
      </c>
      <c r="BT14" s="10">
        <v>20237.4391</v>
      </c>
      <c r="BU14" s="10">
        <v>620995.26297000004</v>
      </c>
      <c r="BV14" s="10">
        <v>150665.17850000001</v>
      </c>
      <c r="BW14" s="10">
        <v>19453.9015</v>
      </c>
      <c r="BX14" s="10">
        <v>249085.26360000001</v>
      </c>
      <c r="BY14" s="10">
        <v>47022.467400000001</v>
      </c>
      <c r="BZ14" s="10">
        <v>11694.3933</v>
      </c>
      <c r="CA14" s="10">
        <v>33268.398099999999</v>
      </c>
      <c r="CB14" s="10">
        <v>16887.453399999999</v>
      </c>
      <c r="CC14" s="10">
        <v>14024.491</v>
      </c>
      <c r="CD14" s="10">
        <v>3399.9034999999999</v>
      </c>
      <c r="CE14" s="10">
        <v>12060.724099999999</v>
      </c>
      <c r="CF14" s="10">
        <v>251912.6385</v>
      </c>
      <c r="CG14" s="10">
        <v>16950.39</v>
      </c>
      <c r="CH14" s="10"/>
      <c r="CI14" s="10">
        <v>35367.810700000002</v>
      </c>
      <c r="CJ14" s="10">
        <v>48216.779750000002</v>
      </c>
      <c r="CK14" s="10">
        <v>48445.806600000004</v>
      </c>
      <c r="CL14" s="10"/>
      <c r="CM14" s="10"/>
      <c r="CN14" s="10">
        <v>30550.715</v>
      </c>
      <c r="CO14" s="10">
        <v>32531.228450999999</v>
      </c>
      <c r="CP14" s="10">
        <v>43834.882700000002</v>
      </c>
      <c r="CQ14" s="10">
        <v>22159.6986</v>
      </c>
      <c r="CR14" s="10">
        <v>117494.17260000001</v>
      </c>
      <c r="CS14" s="10">
        <v>4270.5758999999998</v>
      </c>
      <c r="CT14" s="10">
        <v>6419.4284799999996</v>
      </c>
      <c r="CU14" s="10">
        <v>24925.862000000001</v>
      </c>
      <c r="CV14" s="10">
        <v>76038.870800000004</v>
      </c>
      <c r="CW14" s="10">
        <v>16417.14</v>
      </c>
      <c r="CX14" s="10">
        <v>80493.815910000005</v>
      </c>
      <c r="CY14" s="10">
        <v>21585.555</v>
      </c>
      <c r="CZ14" s="10"/>
      <c r="DA14" s="10">
        <v>11685.3334</v>
      </c>
      <c r="DB14" s="10"/>
      <c r="DC14" s="10">
        <v>10676.258125</v>
      </c>
      <c r="DD14" s="10">
        <v>15346.8685</v>
      </c>
      <c r="DE14" s="10"/>
      <c r="DF14" s="10">
        <v>8835.7966099999994</v>
      </c>
      <c r="DG14" s="10"/>
      <c r="DH14" s="10">
        <v>9126.8080000000009</v>
      </c>
      <c r="DI14" s="10">
        <v>21141.186000000002</v>
      </c>
      <c r="DJ14" s="10"/>
      <c r="DK14" s="10">
        <v>38159.298999999999</v>
      </c>
      <c r="DL14" s="10">
        <v>22946.455999999998</v>
      </c>
      <c r="DM14" s="10"/>
      <c r="DN14" s="10">
        <v>12210.448490000001</v>
      </c>
      <c r="DO14" s="10">
        <v>6216.0680000000002</v>
      </c>
      <c r="DP14" s="10">
        <v>15475.3917</v>
      </c>
      <c r="DQ14" s="10"/>
      <c r="DR14" s="10">
        <v>5979.8113999999996</v>
      </c>
      <c r="DS14" s="10">
        <v>9661.9874999999993</v>
      </c>
      <c r="DT14" s="10">
        <v>9345.6710999999996</v>
      </c>
      <c r="DU14" s="10"/>
      <c r="DV14" s="10">
        <v>21841.038</v>
      </c>
      <c r="DW14" s="10">
        <v>2135.0311999999999</v>
      </c>
      <c r="DX14" s="10">
        <v>32953.271999999997</v>
      </c>
      <c r="DY14" s="10">
        <v>5644.5348299999996</v>
      </c>
      <c r="DZ14" s="10">
        <v>20158.1502</v>
      </c>
      <c r="EA14" s="10">
        <v>17.810400000000001</v>
      </c>
      <c r="EB14" s="10"/>
      <c r="EC14" s="10">
        <v>5779.1985450000002</v>
      </c>
      <c r="ED14" s="10">
        <v>2716.5544</v>
      </c>
      <c r="EE14" s="10">
        <v>6043.3249999999998</v>
      </c>
      <c r="EF14" s="10">
        <v>34866.090600000003</v>
      </c>
      <c r="EG14" s="10">
        <v>17841.359</v>
      </c>
      <c r="EH14" s="10">
        <v>16938.843379999998</v>
      </c>
      <c r="EI14" s="10">
        <v>1897.27127</v>
      </c>
      <c r="EJ14" s="10">
        <v>6991.4922999999999</v>
      </c>
      <c r="EK14" s="10">
        <v>2454.6925000000001</v>
      </c>
      <c r="EL14" s="10">
        <v>21964.176299999999</v>
      </c>
      <c r="EM14" s="10">
        <v>11622.3886</v>
      </c>
      <c r="EN14" s="10">
        <v>14210.608</v>
      </c>
      <c r="EO14" s="10">
        <v>4006.1016</v>
      </c>
      <c r="EP14" s="10">
        <v>14680.519</v>
      </c>
      <c r="EQ14" s="10">
        <v>4639.3504000000003</v>
      </c>
      <c r="ER14" s="10">
        <v>2679.2532999999999</v>
      </c>
      <c r="ES14" s="10">
        <v>4492.8620000000001</v>
      </c>
      <c r="ET14" s="10">
        <v>2890.8726999999999</v>
      </c>
      <c r="EU14" s="10"/>
      <c r="EV14" s="10">
        <v>0</v>
      </c>
      <c r="EW14" s="10">
        <v>15583.913</v>
      </c>
      <c r="EX14" s="10">
        <v>21651.223000000002</v>
      </c>
      <c r="EY14" s="10">
        <v>27455.794000000002</v>
      </c>
      <c r="EZ14" s="10">
        <v>3416.3296999999998</v>
      </c>
      <c r="FA14" s="10"/>
      <c r="FB14" s="10">
        <v>22240.341700000001</v>
      </c>
      <c r="FC14" s="10">
        <v>6298.5680000000002</v>
      </c>
      <c r="FD14" s="10">
        <v>3077.1887999999999</v>
      </c>
      <c r="FE14" s="10">
        <v>8781.5213000000003</v>
      </c>
      <c r="FF14" s="10">
        <v>12675.543</v>
      </c>
      <c r="FG14" s="10">
        <v>15933.129000000001</v>
      </c>
      <c r="FH14" s="10">
        <v>11311.928400000001</v>
      </c>
      <c r="FI14" s="10">
        <v>10702.861999999999</v>
      </c>
      <c r="FJ14" s="10">
        <v>5417.6866</v>
      </c>
      <c r="FK14" s="10">
        <v>6639.6170000000002</v>
      </c>
      <c r="FL14" s="10">
        <v>4907.7883000000002</v>
      </c>
      <c r="FM14" s="10">
        <v>4886.1212999999998</v>
      </c>
      <c r="FN14" s="10">
        <v>13994.8464</v>
      </c>
      <c r="FO14" s="10">
        <v>4981.5194000000001</v>
      </c>
      <c r="FP14" s="10">
        <v>32223.105800000001</v>
      </c>
      <c r="FQ14" s="10"/>
      <c r="FR14" s="10">
        <v>6631.7753000000002</v>
      </c>
      <c r="FS14" s="10">
        <v>9232.6538</v>
      </c>
      <c r="FT14" s="10">
        <v>4689.1927999999998</v>
      </c>
      <c r="FU14" s="10">
        <v>14260.411</v>
      </c>
      <c r="FV14" s="10"/>
      <c r="FW14" s="10">
        <v>2610.2363999999998</v>
      </c>
      <c r="FX14" s="10">
        <v>25599.6685</v>
      </c>
      <c r="FY14" s="10">
        <v>3937.8932</v>
      </c>
      <c r="FZ14" s="10"/>
      <c r="GA14" s="10">
        <v>0</v>
      </c>
      <c r="GB14" s="10"/>
      <c r="GC14" s="10"/>
      <c r="GD14" s="10"/>
      <c r="GE14" s="10">
        <v>0</v>
      </c>
      <c r="GF14" s="10">
        <v>0</v>
      </c>
      <c r="GG14" s="10">
        <v>0</v>
      </c>
    </row>
    <row r="15" spans="1:189" x14ac:dyDescent="0.35">
      <c r="A15" s="8">
        <v>46150</v>
      </c>
      <c r="B15" s="9">
        <v>5876639591.4651604</v>
      </c>
      <c r="C15" s="10">
        <v>1523166184.76091</v>
      </c>
      <c r="D15" s="10">
        <v>1222339867.38308</v>
      </c>
      <c r="E15" s="10">
        <v>1244535240.21703</v>
      </c>
      <c r="F15" s="10">
        <v>565901943.89979994</v>
      </c>
      <c r="G15" s="10">
        <v>103527189.09</v>
      </c>
      <c r="H15" s="10">
        <v>80783941.5039621</v>
      </c>
      <c r="I15" s="10">
        <v>118257705.710628</v>
      </c>
      <c r="J15" s="10">
        <v>205899821.35279801</v>
      </c>
      <c r="K15" s="10">
        <v>89571264.101881996</v>
      </c>
      <c r="L15" s="10">
        <v>57959959.282399997</v>
      </c>
      <c r="M15" s="10">
        <v>190950127.004161</v>
      </c>
      <c r="N15" s="10">
        <v>32094998.719300002</v>
      </c>
      <c r="O15" s="10">
        <v>29107246.2172</v>
      </c>
      <c r="P15" s="10">
        <v>16302871.195499999</v>
      </c>
      <c r="Q15" s="10">
        <v>113745278.237</v>
      </c>
      <c r="R15" s="10">
        <v>9017519.6818423495</v>
      </c>
      <c r="S15" s="10">
        <v>9001923.7596700005</v>
      </c>
      <c r="T15" s="10">
        <v>13326716.372400001</v>
      </c>
      <c r="U15" s="10">
        <v>6354095.4511746997</v>
      </c>
      <c r="V15" s="10">
        <v>10704389.180880699</v>
      </c>
      <c r="W15" s="10">
        <v>25885593.058385599</v>
      </c>
      <c r="X15" s="10">
        <v>28906496.046771601</v>
      </c>
      <c r="Y15" s="10">
        <v>8092508.8925999999</v>
      </c>
      <c r="Z15" s="10">
        <v>6816403.0627573999</v>
      </c>
      <c r="AA15" s="10">
        <v>9295992.8637533002</v>
      </c>
      <c r="AB15" s="10">
        <v>7912971.5025000004</v>
      </c>
      <c r="AC15" s="10">
        <v>8037547.0897158999</v>
      </c>
      <c r="AD15" s="10"/>
      <c r="AE15" s="10">
        <v>5944246.9467099998</v>
      </c>
      <c r="AF15" s="10">
        <v>7704419.2444000002</v>
      </c>
      <c r="AG15" s="10">
        <v>996707.18149999995</v>
      </c>
      <c r="AH15" s="10">
        <v>5178294.1206</v>
      </c>
      <c r="AI15" s="10">
        <v>22729876.204</v>
      </c>
      <c r="AJ15" s="10">
        <v>2323845.1638000002</v>
      </c>
      <c r="AK15" s="10">
        <v>6244291.2319999998</v>
      </c>
      <c r="AL15" s="10">
        <v>1284618.1669999999</v>
      </c>
      <c r="AM15" s="10">
        <v>3525582.2956233998</v>
      </c>
      <c r="AN15" s="10">
        <v>10221932.3156</v>
      </c>
      <c r="AO15" s="10">
        <v>3435655.051</v>
      </c>
      <c r="AP15" s="10">
        <v>9374455.2360999994</v>
      </c>
      <c r="AQ15" s="10">
        <v>4397669.4869999997</v>
      </c>
      <c r="AR15" s="10">
        <v>3178351.4766000002</v>
      </c>
      <c r="AS15" s="10">
        <v>357663.94130000001</v>
      </c>
      <c r="AT15" s="10">
        <v>940969.83010000002</v>
      </c>
      <c r="AU15" s="10">
        <v>1744412.6039839999</v>
      </c>
      <c r="AV15" s="10">
        <v>1695549.6140999999</v>
      </c>
      <c r="AW15" s="10">
        <v>1542288.8811999999</v>
      </c>
      <c r="AX15" s="10">
        <v>1408823.5752999999</v>
      </c>
      <c r="AY15" s="10">
        <v>4180665.0222</v>
      </c>
      <c r="AZ15" s="10">
        <v>4888696.5191000002</v>
      </c>
      <c r="BA15" s="10">
        <v>823035.45090000005</v>
      </c>
      <c r="BB15" s="10">
        <v>1308116.2420999999</v>
      </c>
      <c r="BC15" s="10">
        <v>418139.03</v>
      </c>
      <c r="BD15" s="10">
        <v>219340.30160000001</v>
      </c>
      <c r="BE15" s="10">
        <v>2490429.764</v>
      </c>
      <c r="BF15" s="10">
        <v>5633970.0760000004</v>
      </c>
      <c r="BG15" s="10">
        <v>569022.97556000005</v>
      </c>
      <c r="BH15" s="10">
        <v>2245251.2338</v>
      </c>
      <c r="BI15" s="10">
        <v>2014203.1646</v>
      </c>
      <c r="BJ15" s="10">
        <v>3856875.0973999999</v>
      </c>
      <c r="BK15" s="10">
        <v>261370.06690000001</v>
      </c>
      <c r="BL15" s="10">
        <v>1613306.0075000001</v>
      </c>
      <c r="BM15" s="10">
        <v>850868.65899999999</v>
      </c>
      <c r="BN15" s="10">
        <v>932697.84400000004</v>
      </c>
      <c r="BO15" s="10">
        <v>96469.550199999998</v>
      </c>
      <c r="BP15" s="10">
        <v>844030.93779999996</v>
      </c>
      <c r="BQ15" s="10">
        <v>665090.66740000003</v>
      </c>
      <c r="BR15" s="10">
        <v>412800.32689999999</v>
      </c>
      <c r="BS15" s="10">
        <v>382063.12026</v>
      </c>
      <c r="BT15" s="10">
        <v>76478.228799999997</v>
      </c>
      <c r="BU15" s="10">
        <v>426960.43248999998</v>
      </c>
      <c r="BV15" s="10">
        <v>763521.15659999999</v>
      </c>
      <c r="BW15" s="10">
        <v>94840.546700000006</v>
      </c>
      <c r="BX15" s="10">
        <v>182887.73809999999</v>
      </c>
      <c r="BY15" s="10">
        <v>704000.93240000005</v>
      </c>
      <c r="BZ15" s="10">
        <v>123002.2169</v>
      </c>
      <c r="CA15" s="10">
        <v>1102954.8513</v>
      </c>
      <c r="CB15" s="10">
        <v>190870.72020000001</v>
      </c>
      <c r="CC15" s="10">
        <v>113498.19559</v>
      </c>
      <c r="CD15" s="10">
        <v>122925.5557</v>
      </c>
      <c r="CE15" s="10">
        <v>370397.32780000003</v>
      </c>
      <c r="CF15" s="10">
        <v>191877.31589999999</v>
      </c>
      <c r="CG15" s="10">
        <v>54435.525999999998</v>
      </c>
      <c r="CH15" s="10"/>
      <c r="CI15" s="10">
        <v>49598.3577</v>
      </c>
      <c r="CJ15" s="10">
        <v>133094.42892000001</v>
      </c>
      <c r="CK15" s="10">
        <v>607481.85569999996</v>
      </c>
      <c r="CL15" s="10"/>
      <c r="CM15" s="10"/>
      <c r="CN15" s="10">
        <v>29616.728999999999</v>
      </c>
      <c r="CO15" s="10">
        <v>492762.22076200001</v>
      </c>
      <c r="CP15" s="10">
        <v>275204.5577</v>
      </c>
      <c r="CQ15" s="10">
        <v>230176.27009999999</v>
      </c>
      <c r="CR15" s="10">
        <v>1489645.6746</v>
      </c>
      <c r="CS15" s="10">
        <v>256086.19699</v>
      </c>
      <c r="CT15" s="10">
        <v>80586.319019999995</v>
      </c>
      <c r="CU15" s="10">
        <v>66704.502999999997</v>
      </c>
      <c r="CV15" s="10">
        <v>74730.157999999996</v>
      </c>
      <c r="CW15" s="10">
        <v>45041.675999999999</v>
      </c>
      <c r="CX15" s="10">
        <v>114487.47477</v>
      </c>
      <c r="CY15" s="10">
        <v>45810.311999999998</v>
      </c>
      <c r="CZ15" s="10"/>
      <c r="DA15" s="10">
        <v>49065.792300000001</v>
      </c>
      <c r="DB15" s="10"/>
      <c r="DC15" s="10">
        <v>30423.201540999999</v>
      </c>
      <c r="DD15" s="10">
        <v>20429.294600000001</v>
      </c>
      <c r="DE15" s="10"/>
      <c r="DF15" s="10">
        <v>10124.83337</v>
      </c>
      <c r="DG15" s="10"/>
      <c r="DH15" s="10">
        <v>16879.523799999999</v>
      </c>
      <c r="DI15" s="10">
        <v>117137.08100000001</v>
      </c>
      <c r="DJ15" s="10"/>
      <c r="DK15" s="10">
        <v>135078.19200000001</v>
      </c>
      <c r="DL15" s="10">
        <v>22004.786</v>
      </c>
      <c r="DM15" s="10"/>
      <c r="DN15" s="10">
        <v>12949.01467</v>
      </c>
      <c r="DO15" s="10">
        <v>6294.3519999999999</v>
      </c>
      <c r="DP15" s="10">
        <v>36845.109799999998</v>
      </c>
      <c r="DQ15" s="10"/>
      <c r="DR15" s="10">
        <v>19511.409299999999</v>
      </c>
      <c r="DS15" s="10">
        <v>9789.3405999999995</v>
      </c>
      <c r="DT15" s="10">
        <v>15679.521699999999</v>
      </c>
      <c r="DU15" s="10"/>
      <c r="DV15" s="10">
        <v>121028.5414</v>
      </c>
      <c r="DW15" s="10">
        <v>4683.3890000000001</v>
      </c>
      <c r="DX15" s="10">
        <v>169521.15</v>
      </c>
      <c r="DY15" s="10">
        <v>9897.1093199999996</v>
      </c>
      <c r="DZ15" s="10">
        <v>21750.818299999999</v>
      </c>
      <c r="EA15" s="10">
        <v>1500.2560000000001</v>
      </c>
      <c r="EB15" s="10"/>
      <c r="EC15" s="10">
        <v>17431.741353000001</v>
      </c>
      <c r="ED15" s="10">
        <v>11144.284900000001</v>
      </c>
      <c r="EE15" s="10">
        <v>19665.982</v>
      </c>
      <c r="EF15" s="10">
        <v>30328.101500000001</v>
      </c>
      <c r="EG15" s="10">
        <v>80447.407999999996</v>
      </c>
      <c r="EH15" s="10">
        <v>11319.60183</v>
      </c>
      <c r="EI15" s="10">
        <v>7798.8821900000003</v>
      </c>
      <c r="EJ15" s="10">
        <v>5052.7668000000003</v>
      </c>
      <c r="EK15" s="10">
        <v>27158.150300000001</v>
      </c>
      <c r="EL15" s="10">
        <v>44922.417800000003</v>
      </c>
      <c r="EM15" s="10">
        <v>53736.9058</v>
      </c>
      <c r="EN15" s="10">
        <v>22862.794000000002</v>
      </c>
      <c r="EO15" s="10">
        <v>4770.0721999999996</v>
      </c>
      <c r="EP15" s="10">
        <v>27269.171999999999</v>
      </c>
      <c r="EQ15" s="10">
        <v>11366.1142</v>
      </c>
      <c r="ER15" s="10">
        <v>4469.8948</v>
      </c>
      <c r="ES15" s="10">
        <v>3775.1489999999999</v>
      </c>
      <c r="ET15" s="10">
        <v>4916.2398999999996</v>
      </c>
      <c r="EU15" s="10"/>
      <c r="EV15" s="10">
        <v>0</v>
      </c>
      <c r="EW15" s="10">
        <v>17549.870999999999</v>
      </c>
      <c r="EX15" s="10">
        <v>22775.527999999998</v>
      </c>
      <c r="EY15" s="10">
        <v>16870.178</v>
      </c>
      <c r="EZ15" s="10">
        <v>5098.1912000000002</v>
      </c>
      <c r="FA15" s="10"/>
      <c r="FB15" s="10">
        <v>32390.593700000001</v>
      </c>
      <c r="FC15" s="10">
        <v>6957</v>
      </c>
      <c r="FD15" s="10">
        <v>22725.822100000001</v>
      </c>
      <c r="FE15" s="10">
        <v>8390.5434999999998</v>
      </c>
      <c r="FF15" s="10">
        <v>30008.306</v>
      </c>
      <c r="FG15" s="10">
        <v>49754.464999999997</v>
      </c>
      <c r="FH15" s="10">
        <v>19108.1849</v>
      </c>
      <c r="FI15" s="10">
        <v>22450.451000000001</v>
      </c>
      <c r="FJ15" s="10">
        <v>20740.182000000001</v>
      </c>
      <c r="FK15" s="10">
        <v>5920.37</v>
      </c>
      <c r="FL15" s="10">
        <v>52183.754200000003</v>
      </c>
      <c r="FM15" s="10">
        <v>5091.1370999999999</v>
      </c>
      <c r="FN15" s="10">
        <v>15777.9514</v>
      </c>
      <c r="FO15" s="10">
        <v>3849.1421</v>
      </c>
      <c r="FP15" s="10">
        <v>12771.7577</v>
      </c>
      <c r="FQ15" s="10"/>
      <c r="FR15" s="10">
        <v>38836.873200000002</v>
      </c>
      <c r="FS15" s="10">
        <v>4479.6118999999999</v>
      </c>
      <c r="FT15" s="10">
        <v>12145.3848</v>
      </c>
      <c r="FU15" s="10">
        <v>11660.227000000001</v>
      </c>
      <c r="FV15" s="10"/>
      <c r="FW15" s="10">
        <v>8869.0730999999996</v>
      </c>
      <c r="FX15" s="10">
        <v>25019.631399999998</v>
      </c>
      <c r="FY15" s="10">
        <v>7571.0976000000001</v>
      </c>
      <c r="FZ15" s="10"/>
      <c r="GA15" s="10">
        <v>0</v>
      </c>
      <c r="GB15" s="10"/>
      <c r="GC15" s="10"/>
      <c r="GD15" s="10"/>
      <c r="GE15" s="10">
        <v>0</v>
      </c>
      <c r="GF15" s="10">
        <v>0</v>
      </c>
      <c r="GG15" s="10">
        <v>0</v>
      </c>
    </row>
    <row r="16" spans="1:189" x14ac:dyDescent="0.35">
      <c r="A16" s="8">
        <v>46149</v>
      </c>
      <c r="B16" s="9">
        <v>8448654463.9235497</v>
      </c>
      <c r="C16" s="10">
        <v>2305012116.44803</v>
      </c>
      <c r="D16" s="10">
        <v>1757481999.9179399</v>
      </c>
      <c r="E16" s="10">
        <v>2163878844.44205</v>
      </c>
      <c r="F16" s="10">
        <v>955817265.87820005</v>
      </c>
      <c r="G16" s="10">
        <v>134292623.7647</v>
      </c>
      <c r="H16" s="10">
        <v>84312938.830428496</v>
      </c>
      <c r="I16" s="10">
        <v>95809535.159446999</v>
      </c>
      <c r="J16" s="10">
        <v>174947676.91338199</v>
      </c>
      <c r="K16" s="10">
        <v>156027071.287844</v>
      </c>
      <c r="L16" s="10">
        <v>56386424.477300003</v>
      </c>
      <c r="M16" s="10">
        <v>100045355.21841</v>
      </c>
      <c r="N16" s="10">
        <v>50420753.050300002</v>
      </c>
      <c r="O16" s="10">
        <v>31436364.296</v>
      </c>
      <c r="P16" s="10">
        <v>21192292.784899998</v>
      </c>
      <c r="Q16" s="10">
        <v>58491523.0634</v>
      </c>
      <c r="R16" s="10">
        <v>10288889.3674646</v>
      </c>
      <c r="S16" s="10">
        <v>11947688.38833</v>
      </c>
      <c r="T16" s="10">
        <v>19608199.579700001</v>
      </c>
      <c r="U16" s="10">
        <v>8233990.7694533998</v>
      </c>
      <c r="V16" s="10">
        <v>16746724.5976911</v>
      </c>
      <c r="W16" s="10">
        <v>20636179.580674</v>
      </c>
      <c r="X16" s="10">
        <v>27941493.338136099</v>
      </c>
      <c r="Y16" s="10">
        <v>24694906.254500002</v>
      </c>
      <c r="Z16" s="10">
        <v>7687246.1509140497</v>
      </c>
      <c r="AA16" s="10">
        <v>11400549.395756699</v>
      </c>
      <c r="AB16" s="10">
        <v>7955667.2412</v>
      </c>
      <c r="AC16" s="10">
        <v>9075087.6397832502</v>
      </c>
      <c r="AD16" s="10"/>
      <c r="AE16" s="10">
        <v>4049164.3421200002</v>
      </c>
      <c r="AF16" s="10">
        <v>8680719.6260000002</v>
      </c>
      <c r="AG16" s="10">
        <v>530161.35389999999</v>
      </c>
      <c r="AH16" s="10">
        <v>7523861.9320999999</v>
      </c>
      <c r="AI16" s="10">
        <v>5366609.55</v>
      </c>
      <c r="AJ16" s="10">
        <v>3388666.3506999998</v>
      </c>
      <c r="AK16" s="10">
        <v>7985932.7479999997</v>
      </c>
      <c r="AL16" s="10">
        <v>1983356.8887</v>
      </c>
      <c r="AM16" s="10">
        <v>7634879.8648894997</v>
      </c>
      <c r="AN16" s="10">
        <v>4212842.7328000003</v>
      </c>
      <c r="AO16" s="10"/>
      <c r="AP16" s="10">
        <v>7337428.1698000003</v>
      </c>
      <c r="AQ16" s="10">
        <v>4239724.4951999998</v>
      </c>
      <c r="AR16" s="10">
        <v>2910200.7264999999</v>
      </c>
      <c r="AS16" s="10">
        <v>604900.40859999997</v>
      </c>
      <c r="AT16" s="10">
        <v>1883115.5507</v>
      </c>
      <c r="AU16" s="10">
        <v>1283289.50211</v>
      </c>
      <c r="AV16" s="10">
        <v>2300528.3917</v>
      </c>
      <c r="AW16" s="10">
        <v>2407684.8920999998</v>
      </c>
      <c r="AX16" s="10">
        <v>1264471.4812</v>
      </c>
      <c r="AY16" s="10">
        <v>865737.41370000003</v>
      </c>
      <c r="AZ16" s="10">
        <v>4119001.4780999999</v>
      </c>
      <c r="BA16" s="10">
        <v>1512535.2816000001</v>
      </c>
      <c r="BB16" s="10">
        <v>3200696.9523999998</v>
      </c>
      <c r="BC16" s="10">
        <v>367486.44199999998</v>
      </c>
      <c r="BD16" s="10">
        <v>298867.02860000002</v>
      </c>
      <c r="BE16" s="10">
        <v>6414005.8339999998</v>
      </c>
      <c r="BF16" s="10">
        <v>4493516.3389999997</v>
      </c>
      <c r="BG16" s="10">
        <v>711820.35170999996</v>
      </c>
      <c r="BH16" s="10">
        <v>3377672.8753999998</v>
      </c>
      <c r="BI16" s="10">
        <v>2754010.9421000001</v>
      </c>
      <c r="BJ16" s="10">
        <v>3240559.8895</v>
      </c>
      <c r="BK16" s="10">
        <v>288501.69900000002</v>
      </c>
      <c r="BL16" s="10">
        <v>1254181.8592000001</v>
      </c>
      <c r="BM16" s="10">
        <v>1155608.8925000001</v>
      </c>
      <c r="BN16" s="10">
        <v>808644.39489999996</v>
      </c>
      <c r="BO16" s="10">
        <v>214000.5926</v>
      </c>
      <c r="BP16" s="10">
        <v>1501919.0393000001</v>
      </c>
      <c r="BQ16" s="10">
        <v>1568638.693</v>
      </c>
      <c r="BR16" s="10">
        <v>775157.45140000002</v>
      </c>
      <c r="BS16" s="10">
        <v>170430.85209999999</v>
      </c>
      <c r="BT16" s="10">
        <v>176364.74239999999</v>
      </c>
      <c r="BU16" s="10">
        <v>407807.58750999998</v>
      </c>
      <c r="BV16" s="10">
        <v>777202.53339999996</v>
      </c>
      <c r="BW16" s="10">
        <v>200203.32279999999</v>
      </c>
      <c r="BX16" s="10">
        <v>265054.04310000001</v>
      </c>
      <c r="BY16" s="10">
        <v>1157753.3252000001</v>
      </c>
      <c r="BZ16" s="10">
        <v>153969.11470000001</v>
      </c>
      <c r="CA16" s="10">
        <v>577102.43889999995</v>
      </c>
      <c r="CB16" s="10">
        <v>163982.06700000001</v>
      </c>
      <c r="CC16" s="10">
        <v>135602.20506000001</v>
      </c>
      <c r="CD16" s="10">
        <v>127000.5643</v>
      </c>
      <c r="CE16" s="10">
        <v>512412.56540000002</v>
      </c>
      <c r="CF16" s="10">
        <v>235945.69349999999</v>
      </c>
      <c r="CG16" s="10">
        <v>52098.408000000003</v>
      </c>
      <c r="CH16" s="10"/>
      <c r="CI16" s="10">
        <v>82363.1299</v>
      </c>
      <c r="CJ16" s="10">
        <v>192931.54618</v>
      </c>
      <c r="CK16" s="10">
        <v>1309128.2039999999</v>
      </c>
      <c r="CL16" s="10"/>
      <c r="CM16" s="10"/>
      <c r="CN16" s="10">
        <v>9366.7389999999996</v>
      </c>
      <c r="CO16" s="10">
        <v>123249.595887</v>
      </c>
      <c r="CP16" s="10">
        <v>630629.64069999999</v>
      </c>
      <c r="CQ16" s="10">
        <v>518249.38370000001</v>
      </c>
      <c r="CR16" s="10">
        <v>1139393.3058</v>
      </c>
      <c r="CS16" s="10">
        <v>202356.63183</v>
      </c>
      <c r="CT16" s="10">
        <v>55263.511530000003</v>
      </c>
      <c r="CU16" s="10">
        <v>175222.62400000001</v>
      </c>
      <c r="CV16" s="10">
        <v>169461.6116</v>
      </c>
      <c r="CW16" s="10">
        <v>51307.432999999997</v>
      </c>
      <c r="CX16" s="10">
        <v>116734.98759999999</v>
      </c>
      <c r="CY16" s="10">
        <v>13125.299000000001</v>
      </c>
      <c r="CZ16" s="10"/>
      <c r="DA16" s="10">
        <v>83126.198300000004</v>
      </c>
      <c r="DB16" s="10"/>
      <c r="DC16" s="10">
        <v>35056.573165000002</v>
      </c>
      <c r="DD16" s="10">
        <v>26849.884900000001</v>
      </c>
      <c r="DE16" s="10"/>
      <c r="DF16" s="10">
        <v>19508.892960000001</v>
      </c>
      <c r="DG16" s="10"/>
      <c r="DH16" s="10">
        <v>44093.570299999999</v>
      </c>
      <c r="DI16" s="10">
        <v>203966.394</v>
      </c>
      <c r="DJ16" s="10"/>
      <c r="DK16" s="10">
        <v>197467.826</v>
      </c>
      <c r="DL16" s="10">
        <v>45539.375999999997</v>
      </c>
      <c r="DM16" s="10"/>
      <c r="DN16" s="10">
        <v>35195.888729999999</v>
      </c>
      <c r="DO16" s="10">
        <v>9766.6090000000004</v>
      </c>
      <c r="DP16" s="10">
        <v>27935.593000000001</v>
      </c>
      <c r="DQ16" s="10"/>
      <c r="DR16" s="10">
        <v>20468.102999999999</v>
      </c>
      <c r="DS16" s="10">
        <v>20752.0638</v>
      </c>
      <c r="DT16" s="10">
        <v>13467.274799999999</v>
      </c>
      <c r="DU16" s="10"/>
      <c r="DV16" s="10">
        <v>128895.7061</v>
      </c>
      <c r="DW16" s="10">
        <v>7222.8729000000003</v>
      </c>
      <c r="DX16" s="10">
        <v>159653.285</v>
      </c>
      <c r="DY16" s="10">
        <v>9975.8834599999991</v>
      </c>
      <c r="DZ16" s="10">
        <v>7726.5412999999999</v>
      </c>
      <c r="EA16" s="10">
        <v>5926.25</v>
      </c>
      <c r="EB16" s="10"/>
      <c r="EC16" s="10">
        <v>17761.196849</v>
      </c>
      <c r="ED16" s="10">
        <v>4065.3946000000001</v>
      </c>
      <c r="EE16" s="10">
        <v>29556.154999999999</v>
      </c>
      <c r="EF16" s="10">
        <v>13028.2821</v>
      </c>
      <c r="EG16" s="10">
        <v>190859.378</v>
      </c>
      <c r="EH16" s="10">
        <v>29683.826639999999</v>
      </c>
      <c r="EI16" s="10">
        <v>6076.8381099999997</v>
      </c>
      <c r="EJ16" s="10">
        <v>11233.576300000001</v>
      </c>
      <c r="EK16" s="10">
        <v>59956.587899999999</v>
      </c>
      <c r="EL16" s="10">
        <v>75545.560500000007</v>
      </c>
      <c r="EM16" s="10">
        <v>26997.8069</v>
      </c>
      <c r="EN16" s="10">
        <v>31276.999</v>
      </c>
      <c r="EO16" s="10">
        <v>9141.7662999999993</v>
      </c>
      <c r="EP16" s="10">
        <v>42289.131000000001</v>
      </c>
      <c r="EQ16" s="10">
        <v>10451.760899999999</v>
      </c>
      <c r="ER16" s="10">
        <v>3776.1552000000001</v>
      </c>
      <c r="ES16" s="10">
        <v>4045.8164999999999</v>
      </c>
      <c r="ET16" s="10">
        <v>15146.748900000001</v>
      </c>
      <c r="EU16" s="10"/>
      <c r="EV16" s="10">
        <v>810.17677000000003</v>
      </c>
      <c r="EW16" s="10">
        <v>21259.635999999999</v>
      </c>
      <c r="EX16" s="10">
        <v>18699.463</v>
      </c>
      <c r="EY16" s="10">
        <v>22017.32</v>
      </c>
      <c r="EZ16" s="10">
        <v>18156.753700000001</v>
      </c>
      <c r="FA16" s="10"/>
      <c r="FB16" s="10">
        <v>20344.414499999999</v>
      </c>
      <c r="FC16" s="10">
        <v>8535.7369999999992</v>
      </c>
      <c r="FD16" s="10">
        <v>56940.677000000003</v>
      </c>
      <c r="FE16" s="10">
        <v>3952.5268000000001</v>
      </c>
      <c r="FF16" s="10">
        <v>37899.815999999999</v>
      </c>
      <c r="FG16" s="10">
        <v>57515.288</v>
      </c>
      <c r="FH16" s="10">
        <v>6852.8963999999996</v>
      </c>
      <c r="FI16" s="10">
        <v>58005.588000000003</v>
      </c>
      <c r="FJ16" s="10">
        <v>32138.240699999998</v>
      </c>
      <c r="FK16" s="10">
        <v>9097.5499999999993</v>
      </c>
      <c r="FL16" s="10">
        <v>168461.94750000001</v>
      </c>
      <c r="FM16" s="10">
        <v>10017.444799999999</v>
      </c>
      <c r="FN16" s="10">
        <v>14088.2071</v>
      </c>
      <c r="FO16" s="10">
        <v>11485.054400000001</v>
      </c>
      <c r="FP16" s="10">
        <v>6610.3009000000002</v>
      </c>
      <c r="FQ16" s="10"/>
      <c r="FR16" s="10">
        <v>87960.211500000005</v>
      </c>
      <c r="FS16" s="10">
        <v>7101.3325999999997</v>
      </c>
      <c r="FT16" s="10">
        <v>37799.218699999998</v>
      </c>
      <c r="FU16" s="10">
        <v>19681.907999999999</v>
      </c>
      <c r="FV16" s="10"/>
      <c r="FW16" s="10">
        <v>11220.437</v>
      </c>
      <c r="FX16" s="10">
        <v>36294.534</v>
      </c>
      <c r="FY16" s="10">
        <v>6806.0756000000001</v>
      </c>
      <c r="FZ16" s="10"/>
      <c r="GA16" s="10">
        <v>0</v>
      </c>
      <c r="GB16" s="10"/>
      <c r="GC16" s="10"/>
      <c r="GD16" s="10"/>
      <c r="GE16" s="10">
        <v>0</v>
      </c>
      <c r="GF16" s="10">
        <v>0</v>
      </c>
      <c r="GG16" s="10">
        <v>0</v>
      </c>
    </row>
    <row r="17" spans="1:189" x14ac:dyDescent="0.35">
      <c r="A17" s="8">
        <v>46148</v>
      </c>
      <c r="B17" s="9">
        <v>8688240913.2157898</v>
      </c>
      <c r="C17" s="10">
        <v>2625933894.43293</v>
      </c>
      <c r="D17" s="10">
        <v>1323882060.21012</v>
      </c>
      <c r="E17" s="10">
        <v>2570633130.9868798</v>
      </c>
      <c r="F17" s="10">
        <v>915070696.36969995</v>
      </c>
      <c r="G17" s="10">
        <v>158721604.6539</v>
      </c>
      <c r="H17" s="10">
        <v>62021241.626591399</v>
      </c>
      <c r="I17" s="10">
        <v>93896959.564573094</v>
      </c>
      <c r="J17" s="10">
        <v>168854192.429212</v>
      </c>
      <c r="K17" s="10">
        <v>136428717.789262</v>
      </c>
      <c r="L17" s="10">
        <v>93439282.013600007</v>
      </c>
      <c r="M17" s="10">
        <v>115953488.83664399</v>
      </c>
      <c r="N17" s="10">
        <v>26858212.019299999</v>
      </c>
      <c r="O17" s="10">
        <v>34326231.273800001</v>
      </c>
      <c r="P17" s="10">
        <v>19457999.306200001</v>
      </c>
      <c r="Q17" s="10">
        <v>34062872.791299999</v>
      </c>
      <c r="R17" s="10">
        <v>7421945.3074775003</v>
      </c>
      <c r="S17" s="10">
        <v>13699504.156239999</v>
      </c>
      <c r="T17" s="10">
        <v>16841557.7491</v>
      </c>
      <c r="U17" s="10">
        <v>12609409.8165024</v>
      </c>
      <c r="V17" s="10">
        <v>19677550.101203099</v>
      </c>
      <c r="W17" s="10">
        <v>21283931.278073199</v>
      </c>
      <c r="X17" s="10">
        <v>53758348.136240698</v>
      </c>
      <c r="Y17" s="10">
        <v>23286327.2722</v>
      </c>
      <c r="Z17" s="10">
        <v>10494991.339348599</v>
      </c>
      <c r="AA17" s="10">
        <v>11130165.507463001</v>
      </c>
      <c r="AB17" s="10">
        <v>9056138.0809000004</v>
      </c>
      <c r="AC17" s="10">
        <v>7132989.8908257503</v>
      </c>
      <c r="AD17" s="10"/>
      <c r="AE17" s="10">
        <v>4952632.27654</v>
      </c>
      <c r="AF17" s="10">
        <v>10749784.717499999</v>
      </c>
      <c r="AG17" s="10">
        <v>498432.52830000001</v>
      </c>
      <c r="AH17" s="10">
        <v>5627254.2845000001</v>
      </c>
      <c r="AI17" s="10">
        <v>2623133.2940000002</v>
      </c>
      <c r="AJ17" s="10">
        <v>5001616.0817</v>
      </c>
      <c r="AK17" s="10">
        <v>2775659.889</v>
      </c>
      <c r="AL17" s="10">
        <v>1835666.9040000001</v>
      </c>
      <c r="AM17" s="10">
        <v>11414309.842324199</v>
      </c>
      <c r="AN17" s="10">
        <v>1984486.4325000001</v>
      </c>
      <c r="AO17" s="10"/>
      <c r="AP17" s="10">
        <v>3610831.3106</v>
      </c>
      <c r="AQ17" s="10">
        <v>3258243.6195999999</v>
      </c>
      <c r="AR17" s="10">
        <v>4493939.5564000001</v>
      </c>
      <c r="AS17" s="10">
        <v>1030090.8409</v>
      </c>
      <c r="AT17" s="10">
        <v>1370070.4097</v>
      </c>
      <c r="AU17" s="10">
        <v>1001548.0946139999</v>
      </c>
      <c r="AV17" s="10">
        <v>1967893.8289000001</v>
      </c>
      <c r="AW17" s="10">
        <v>1835369.4694999999</v>
      </c>
      <c r="AX17" s="10">
        <v>673835.05989999999</v>
      </c>
      <c r="AY17" s="10">
        <v>1355448.2956999999</v>
      </c>
      <c r="AZ17" s="10">
        <v>1976967.6272</v>
      </c>
      <c r="BA17" s="10">
        <v>591076.11679999996</v>
      </c>
      <c r="BB17" s="10">
        <v>3972481.7187000001</v>
      </c>
      <c r="BC17" s="10">
        <v>277604.212</v>
      </c>
      <c r="BD17" s="10">
        <v>428113.50199999998</v>
      </c>
      <c r="BE17" s="10"/>
      <c r="BF17" s="10"/>
      <c r="BG17" s="10">
        <v>850418.96137000003</v>
      </c>
      <c r="BH17" s="10">
        <v>994709.06149999995</v>
      </c>
      <c r="BI17" s="10">
        <v>3074757.83</v>
      </c>
      <c r="BJ17" s="10">
        <v>949754.82389999996</v>
      </c>
      <c r="BK17" s="10">
        <v>963941.20790000004</v>
      </c>
      <c r="BL17" s="10">
        <v>191422.95170000001</v>
      </c>
      <c r="BM17" s="10">
        <v>1982458.8396999999</v>
      </c>
      <c r="BN17" s="10">
        <v>1183498.1322999999</v>
      </c>
      <c r="BO17" s="10">
        <v>180411.75049999999</v>
      </c>
      <c r="BP17" s="10">
        <v>3169479.5236</v>
      </c>
      <c r="BQ17" s="10">
        <v>512898.97029999999</v>
      </c>
      <c r="BR17" s="10">
        <v>251149.84</v>
      </c>
      <c r="BS17" s="10">
        <v>243602.92225999999</v>
      </c>
      <c r="BT17" s="10">
        <v>260255.71520000001</v>
      </c>
      <c r="BU17" s="10">
        <v>120788.89684</v>
      </c>
      <c r="BV17" s="10">
        <v>838757.83629999997</v>
      </c>
      <c r="BW17" s="10">
        <v>180503.1379</v>
      </c>
      <c r="BX17" s="10">
        <v>107899.628</v>
      </c>
      <c r="BY17" s="10">
        <v>1121564.9717999999</v>
      </c>
      <c r="BZ17" s="10">
        <v>310064.09090000001</v>
      </c>
      <c r="CA17" s="10">
        <v>377451.95500000002</v>
      </c>
      <c r="CB17" s="10">
        <v>395175.24359999999</v>
      </c>
      <c r="CC17" s="10">
        <v>103556.60057</v>
      </c>
      <c r="CD17" s="10">
        <v>485754.08189999999</v>
      </c>
      <c r="CE17" s="10">
        <v>451220.37660000002</v>
      </c>
      <c r="CF17" s="10">
        <v>474629.53249999997</v>
      </c>
      <c r="CG17" s="10">
        <v>44632.896000000001</v>
      </c>
      <c r="CH17" s="10"/>
      <c r="CI17" s="10">
        <v>344056.6434</v>
      </c>
      <c r="CJ17" s="10">
        <v>128172.01342</v>
      </c>
      <c r="CK17" s="10">
        <v>907308.23270000005</v>
      </c>
      <c r="CL17" s="10"/>
      <c r="CM17" s="10"/>
      <c r="CN17" s="10">
        <v>20586.319</v>
      </c>
      <c r="CO17" s="10">
        <v>144727.23063100001</v>
      </c>
      <c r="CP17" s="10">
        <v>959560.652</v>
      </c>
      <c r="CQ17" s="10">
        <v>847622.97180000006</v>
      </c>
      <c r="CR17" s="10">
        <v>514251.87410000002</v>
      </c>
      <c r="CS17" s="10">
        <v>152439.93742</v>
      </c>
      <c r="CT17" s="10">
        <v>6866.68289</v>
      </c>
      <c r="CU17" s="10">
        <v>35164.824999999997</v>
      </c>
      <c r="CV17" s="10">
        <v>229690.10070000001</v>
      </c>
      <c r="CW17" s="10">
        <v>73411.171000000002</v>
      </c>
      <c r="CX17" s="10">
        <v>94886.193769999998</v>
      </c>
      <c r="CY17" s="10">
        <v>69125.926000000007</v>
      </c>
      <c r="CZ17" s="10"/>
      <c r="DA17" s="10">
        <v>100890.1532</v>
      </c>
      <c r="DB17" s="10"/>
      <c r="DC17" s="10">
        <v>128046.64507699999</v>
      </c>
      <c r="DD17" s="10">
        <v>33481.289199999999</v>
      </c>
      <c r="DE17" s="10"/>
      <c r="DF17" s="10">
        <v>28725.544300000001</v>
      </c>
      <c r="DG17" s="10"/>
      <c r="DH17" s="10">
        <v>63095.471299999997</v>
      </c>
      <c r="DI17" s="10">
        <v>142280.95199999999</v>
      </c>
      <c r="DJ17" s="10"/>
      <c r="DK17" s="10">
        <v>156366.92000000001</v>
      </c>
      <c r="DL17" s="10">
        <v>53972.591</v>
      </c>
      <c r="DM17" s="10"/>
      <c r="DN17" s="10">
        <v>39614.950140000001</v>
      </c>
      <c r="DO17" s="10">
        <v>12093.027</v>
      </c>
      <c r="DP17" s="10">
        <v>14674.8195</v>
      </c>
      <c r="DQ17" s="10"/>
      <c r="DR17" s="10">
        <v>18083.724200000001</v>
      </c>
      <c r="DS17" s="10">
        <v>19920.3541</v>
      </c>
      <c r="DT17" s="10">
        <v>41673.487699999998</v>
      </c>
      <c r="DU17" s="10"/>
      <c r="DV17" s="10">
        <v>164300.3787</v>
      </c>
      <c r="DW17" s="10">
        <v>5335.3294999999998</v>
      </c>
      <c r="DX17" s="10">
        <v>95442.417000000001</v>
      </c>
      <c r="DY17" s="10">
        <v>19630.90583</v>
      </c>
      <c r="DZ17" s="10">
        <v>13004.170700000001</v>
      </c>
      <c r="EA17" s="10">
        <v>1194.566</v>
      </c>
      <c r="EB17" s="10"/>
      <c r="EC17" s="10">
        <v>47059.131943</v>
      </c>
      <c r="ED17" s="10">
        <v>65305.902800000003</v>
      </c>
      <c r="EE17" s="10">
        <v>112550.031</v>
      </c>
      <c r="EF17" s="10">
        <v>21150.970700000002</v>
      </c>
      <c r="EG17" s="10">
        <v>181443.98499999999</v>
      </c>
      <c r="EH17" s="10">
        <v>12222.54132</v>
      </c>
      <c r="EI17" s="10">
        <v>16810.86404</v>
      </c>
      <c r="EJ17" s="10">
        <v>13705.4735</v>
      </c>
      <c r="EK17" s="10">
        <v>31367.4532</v>
      </c>
      <c r="EL17" s="10">
        <v>51977.317799999997</v>
      </c>
      <c r="EM17" s="10">
        <v>13068.328100000001</v>
      </c>
      <c r="EN17" s="10">
        <v>31855.360000000001</v>
      </c>
      <c r="EO17" s="10">
        <v>8521.0622999999996</v>
      </c>
      <c r="EP17" s="10">
        <v>247406.97099999999</v>
      </c>
      <c r="EQ17" s="10">
        <v>14861.1981</v>
      </c>
      <c r="ER17" s="10">
        <v>4544.8478999999998</v>
      </c>
      <c r="ES17" s="10">
        <v>6174.3733000000002</v>
      </c>
      <c r="ET17" s="10">
        <v>10519.4339</v>
      </c>
      <c r="EU17" s="10"/>
      <c r="EV17" s="10">
        <v>0</v>
      </c>
      <c r="EW17" s="10">
        <v>35171.423999999999</v>
      </c>
      <c r="EX17" s="10">
        <v>20750.125</v>
      </c>
      <c r="EY17" s="10">
        <v>25262.794999999998</v>
      </c>
      <c r="EZ17" s="10">
        <v>21172.392899999999</v>
      </c>
      <c r="FA17" s="10"/>
      <c r="FB17" s="10">
        <v>70258.523499999996</v>
      </c>
      <c r="FC17" s="10">
        <v>13693.679</v>
      </c>
      <c r="FD17" s="10">
        <v>30769.5488</v>
      </c>
      <c r="FE17" s="10">
        <v>3772.7269999999999</v>
      </c>
      <c r="FF17" s="10">
        <v>50412.129000000001</v>
      </c>
      <c r="FG17" s="10">
        <v>30798.991000000002</v>
      </c>
      <c r="FH17" s="10">
        <v>23532.811699999998</v>
      </c>
      <c r="FI17" s="10">
        <v>28763.556</v>
      </c>
      <c r="FJ17" s="10">
        <v>79184.671400000007</v>
      </c>
      <c r="FK17" s="10">
        <v>16367.098</v>
      </c>
      <c r="FL17" s="10">
        <v>17065.265100000001</v>
      </c>
      <c r="FM17" s="10">
        <v>11530.730100000001</v>
      </c>
      <c r="FN17" s="10">
        <v>16287.049000000001</v>
      </c>
      <c r="FO17" s="10">
        <v>6118.9387999999999</v>
      </c>
      <c r="FP17" s="10">
        <v>7617.5707000000002</v>
      </c>
      <c r="FQ17" s="10"/>
      <c r="FR17" s="10">
        <v>18464.014299999999</v>
      </c>
      <c r="FS17" s="10">
        <v>7489.6831000000002</v>
      </c>
      <c r="FT17" s="10">
        <v>24977.2582</v>
      </c>
      <c r="FU17" s="10">
        <v>11790.018</v>
      </c>
      <c r="FV17" s="10"/>
      <c r="FW17" s="10">
        <v>11396.829299999999</v>
      </c>
      <c r="FX17" s="10">
        <v>10149.376899999999</v>
      </c>
      <c r="FY17" s="10">
        <v>17179.663199999999</v>
      </c>
      <c r="FZ17" s="10"/>
      <c r="GA17" s="10">
        <v>0</v>
      </c>
      <c r="GB17" s="10"/>
      <c r="GC17" s="10"/>
      <c r="GD17" s="10"/>
      <c r="GE17" s="10">
        <v>0</v>
      </c>
      <c r="GF17" s="10">
        <v>0</v>
      </c>
      <c r="GG17" s="10">
        <v>0</v>
      </c>
    </row>
    <row r="18" spans="1:189" x14ac:dyDescent="0.35">
      <c r="A18" s="8">
        <v>46147</v>
      </c>
      <c r="B18" s="9">
        <v>5585218080.9929104</v>
      </c>
      <c r="C18" s="10">
        <v>1749012036.8501501</v>
      </c>
      <c r="D18" s="10">
        <v>821316352.34019005</v>
      </c>
      <c r="E18" s="10">
        <v>1551799384.70976</v>
      </c>
      <c r="F18" s="10">
        <v>403029213.60170001</v>
      </c>
      <c r="G18" s="10">
        <v>256618841.97029999</v>
      </c>
      <c r="H18" s="10">
        <v>64519351.122318499</v>
      </c>
      <c r="I18" s="10">
        <v>62933879.369116001</v>
      </c>
      <c r="J18" s="10">
        <v>72559822.806428105</v>
      </c>
      <c r="K18" s="10">
        <v>66786341.746007703</v>
      </c>
      <c r="L18" s="10">
        <v>78913579.731800005</v>
      </c>
      <c r="M18" s="10">
        <v>120385372.19988599</v>
      </c>
      <c r="N18" s="10">
        <v>35365946.165200002</v>
      </c>
      <c r="O18" s="10">
        <v>20231975.114</v>
      </c>
      <c r="P18" s="10">
        <v>31196789.868500002</v>
      </c>
      <c r="Q18" s="10">
        <v>33641225.045199998</v>
      </c>
      <c r="R18" s="10">
        <v>8355242.0555545501</v>
      </c>
      <c r="S18" s="10">
        <v>8112912.7336299997</v>
      </c>
      <c r="T18" s="10">
        <v>32680770.903000001</v>
      </c>
      <c r="U18" s="10">
        <v>17825875.154383399</v>
      </c>
      <c r="V18" s="10">
        <v>20325924.647226602</v>
      </c>
      <c r="W18" s="10">
        <v>14848998.920776499</v>
      </c>
      <c r="X18" s="10">
        <v>15822472.3167859</v>
      </c>
      <c r="Y18" s="10">
        <v>14050234.4498</v>
      </c>
      <c r="Z18" s="10">
        <v>6677742.6464636996</v>
      </c>
      <c r="AA18" s="10">
        <v>6401033.8063594</v>
      </c>
      <c r="AB18" s="10">
        <v>2937835.7705000001</v>
      </c>
      <c r="AC18" s="10">
        <v>4697982.8374081003</v>
      </c>
      <c r="AD18" s="10"/>
      <c r="AE18" s="10">
        <v>2172342.46527</v>
      </c>
      <c r="AF18" s="10">
        <v>6525775.1507000001</v>
      </c>
      <c r="AG18" s="10">
        <v>527372.94669999997</v>
      </c>
      <c r="AH18" s="10">
        <v>4142699.7437999998</v>
      </c>
      <c r="AI18" s="10">
        <v>349792.74900000001</v>
      </c>
      <c r="AJ18" s="10">
        <v>1423732.7520999999</v>
      </c>
      <c r="AK18" s="10">
        <v>2054325.8</v>
      </c>
      <c r="AL18" s="10">
        <v>1569032.8905</v>
      </c>
      <c r="AM18" s="10">
        <v>4038597.1711877999</v>
      </c>
      <c r="AN18" s="10">
        <v>2923909.4774000002</v>
      </c>
      <c r="AO18" s="10"/>
      <c r="AP18" s="10">
        <v>48429.603499999997</v>
      </c>
      <c r="AQ18" s="10">
        <v>2498930.5606</v>
      </c>
      <c r="AR18" s="10">
        <v>3541390.2557000001</v>
      </c>
      <c r="AS18" s="10">
        <v>1063213.3214</v>
      </c>
      <c r="AT18" s="10">
        <v>1089735.2267</v>
      </c>
      <c r="AU18" s="10">
        <v>876098.61795400002</v>
      </c>
      <c r="AV18" s="10">
        <v>2385356.9844999998</v>
      </c>
      <c r="AW18" s="10">
        <v>505885.26949999999</v>
      </c>
      <c r="AX18" s="10">
        <v>450613.07030000002</v>
      </c>
      <c r="AY18" s="10">
        <v>3072785.1880999999</v>
      </c>
      <c r="AZ18" s="10">
        <v>2399139.443</v>
      </c>
      <c r="BA18" s="10">
        <v>1547837.8626999999</v>
      </c>
      <c r="BB18" s="10">
        <v>152300.0993</v>
      </c>
      <c r="BC18" s="10">
        <v>642882.38600000006</v>
      </c>
      <c r="BD18" s="10">
        <v>424428.39740000002</v>
      </c>
      <c r="BE18" s="10"/>
      <c r="BF18" s="10"/>
      <c r="BG18" s="10">
        <v>504632.88079000002</v>
      </c>
      <c r="BH18" s="10">
        <v>1033963.2229000001</v>
      </c>
      <c r="BI18" s="10"/>
      <c r="BJ18" s="10">
        <v>451206.4423</v>
      </c>
      <c r="BK18" s="10">
        <v>211390.12940000001</v>
      </c>
      <c r="BL18" s="10">
        <v>80066.674899999998</v>
      </c>
      <c r="BM18" s="10">
        <v>4533916.1100000003</v>
      </c>
      <c r="BN18" s="10">
        <v>999172.22389999998</v>
      </c>
      <c r="BO18" s="10">
        <v>184194.734</v>
      </c>
      <c r="BP18" s="10">
        <v>609692.70200000005</v>
      </c>
      <c r="BQ18" s="10">
        <v>565327.09450000001</v>
      </c>
      <c r="BR18" s="10">
        <v>349241.98229999997</v>
      </c>
      <c r="BS18" s="10">
        <v>209584.61699000001</v>
      </c>
      <c r="BT18" s="10">
        <v>152292.25200000001</v>
      </c>
      <c r="BU18" s="10">
        <v>113566.81789000001</v>
      </c>
      <c r="BV18" s="10">
        <v>414486.68060000002</v>
      </c>
      <c r="BW18" s="10">
        <v>76629.585000000006</v>
      </c>
      <c r="BX18" s="10">
        <v>99644.295199999993</v>
      </c>
      <c r="BY18" s="10">
        <v>621747.35109999997</v>
      </c>
      <c r="BZ18" s="10">
        <v>135133.16519999999</v>
      </c>
      <c r="CA18" s="10">
        <v>541154.90910000005</v>
      </c>
      <c r="CB18" s="10">
        <v>39483.1558</v>
      </c>
      <c r="CC18" s="10">
        <v>107923.42350999999</v>
      </c>
      <c r="CD18" s="10">
        <v>87115.528699999995</v>
      </c>
      <c r="CE18" s="10">
        <v>591593.21120000002</v>
      </c>
      <c r="CF18" s="10">
        <v>632771.41680000001</v>
      </c>
      <c r="CG18" s="10">
        <v>42113.322999999997</v>
      </c>
      <c r="CH18" s="10"/>
      <c r="CI18" s="10">
        <v>235406.9008</v>
      </c>
      <c r="CJ18" s="10">
        <v>135804.63939999999</v>
      </c>
      <c r="CK18" s="10">
        <v>573906.65890000004</v>
      </c>
      <c r="CL18" s="10"/>
      <c r="CM18" s="10"/>
      <c r="CN18" s="10">
        <v>18424.428</v>
      </c>
      <c r="CO18" s="10">
        <v>129105.42542299999</v>
      </c>
      <c r="CP18" s="10">
        <v>229079.7824</v>
      </c>
      <c r="CQ18" s="10">
        <v>598410.5135</v>
      </c>
      <c r="CR18" s="10">
        <v>232296.41200000001</v>
      </c>
      <c r="CS18" s="10">
        <v>110952.60106</v>
      </c>
      <c r="CT18" s="10">
        <v>57413.991880000001</v>
      </c>
      <c r="CU18" s="10">
        <v>26422.735000000001</v>
      </c>
      <c r="CV18" s="10">
        <v>379550.39610000001</v>
      </c>
      <c r="CW18" s="10">
        <v>45622.358</v>
      </c>
      <c r="CX18" s="10">
        <v>47679.392200000002</v>
      </c>
      <c r="CY18" s="10">
        <v>12764.675999999999</v>
      </c>
      <c r="CZ18" s="10"/>
      <c r="DA18" s="10">
        <v>40704.962500000001</v>
      </c>
      <c r="DB18" s="10"/>
      <c r="DC18" s="10">
        <v>57308.713734999998</v>
      </c>
      <c r="DD18" s="10">
        <v>17586.5877</v>
      </c>
      <c r="DE18" s="10"/>
      <c r="DF18" s="10">
        <v>21282.466270000001</v>
      </c>
      <c r="DG18" s="10"/>
      <c r="DH18" s="10">
        <v>9374.2340999999997</v>
      </c>
      <c r="DI18" s="10">
        <v>30337.466</v>
      </c>
      <c r="DJ18" s="10"/>
      <c r="DK18" s="10">
        <v>77103.732000000004</v>
      </c>
      <c r="DL18" s="10">
        <v>37522.256999999998</v>
      </c>
      <c r="DM18" s="10"/>
      <c r="DN18" s="10">
        <v>18522.939419999999</v>
      </c>
      <c r="DO18" s="10">
        <v>11507.805</v>
      </c>
      <c r="DP18" s="10">
        <v>11574.8505</v>
      </c>
      <c r="DQ18" s="10"/>
      <c r="DR18" s="10">
        <v>15540.536400000001</v>
      </c>
      <c r="DS18" s="10">
        <v>16577.646100000002</v>
      </c>
      <c r="DT18" s="10">
        <v>23972.3966</v>
      </c>
      <c r="DU18" s="10"/>
      <c r="DV18" s="10">
        <v>9034.3906999999999</v>
      </c>
      <c r="DW18" s="10">
        <v>5580.0339999999997</v>
      </c>
      <c r="DX18" s="10">
        <v>49469.495000000003</v>
      </c>
      <c r="DY18" s="10">
        <v>10170.01989</v>
      </c>
      <c r="DZ18" s="10">
        <v>11712.832</v>
      </c>
      <c r="EA18" s="10">
        <v>1127.2244000000001</v>
      </c>
      <c r="EB18" s="10"/>
      <c r="EC18" s="10">
        <v>27491.665908999999</v>
      </c>
      <c r="ED18" s="10">
        <v>39711.189700000003</v>
      </c>
      <c r="EE18" s="10">
        <v>76151.009000000005</v>
      </c>
      <c r="EF18" s="10">
        <v>20775.385200000001</v>
      </c>
      <c r="EG18" s="10">
        <v>37921.11</v>
      </c>
      <c r="EH18" s="10">
        <v>11557.725469999999</v>
      </c>
      <c r="EI18" s="10">
        <v>3112.6466099999998</v>
      </c>
      <c r="EJ18" s="10">
        <v>6323.6328000000003</v>
      </c>
      <c r="EK18" s="10">
        <v>16042.8994</v>
      </c>
      <c r="EL18" s="10">
        <v>36738.295400000003</v>
      </c>
      <c r="EM18" s="10">
        <v>5336.0284000000001</v>
      </c>
      <c r="EN18" s="10">
        <v>22269.067999999999</v>
      </c>
      <c r="EO18" s="10">
        <v>8253.7312000000002</v>
      </c>
      <c r="EP18" s="10">
        <v>167658.277</v>
      </c>
      <c r="EQ18" s="10">
        <v>4350.9902000000002</v>
      </c>
      <c r="ER18" s="10">
        <v>86086.972899999993</v>
      </c>
      <c r="ES18" s="10">
        <v>5906.5245000000004</v>
      </c>
      <c r="ET18" s="10">
        <v>20756.009300000002</v>
      </c>
      <c r="EU18" s="10"/>
      <c r="EV18" s="10">
        <v>0</v>
      </c>
      <c r="EW18" s="10">
        <v>75448.301000000007</v>
      </c>
      <c r="EX18" s="10">
        <v>26622.960999999999</v>
      </c>
      <c r="EY18" s="10">
        <v>36296.381000000001</v>
      </c>
      <c r="EZ18" s="10">
        <v>27748.351299999998</v>
      </c>
      <c r="FA18" s="10"/>
      <c r="FB18" s="10">
        <v>14108.716399999999</v>
      </c>
      <c r="FC18" s="10">
        <v>11391.663</v>
      </c>
      <c r="FD18" s="10">
        <v>4636.0128000000004</v>
      </c>
      <c r="FE18" s="10">
        <v>7892.7523000000001</v>
      </c>
      <c r="FF18" s="10">
        <v>10393.882</v>
      </c>
      <c r="FG18" s="10">
        <v>17873.475999999999</v>
      </c>
      <c r="FH18" s="10">
        <v>6618.0330999999996</v>
      </c>
      <c r="FI18" s="10">
        <v>13120.117</v>
      </c>
      <c r="FJ18" s="10">
        <v>9063.8086000000003</v>
      </c>
      <c r="FK18" s="10">
        <v>30215.327000000001</v>
      </c>
      <c r="FL18" s="10">
        <v>6533.9422999999997</v>
      </c>
      <c r="FM18" s="10">
        <v>24434.111199999999</v>
      </c>
      <c r="FN18" s="10">
        <v>28721.614300000001</v>
      </c>
      <c r="FO18" s="10">
        <v>4885.4097000000002</v>
      </c>
      <c r="FP18" s="10">
        <v>6603.9129000000003</v>
      </c>
      <c r="FQ18" s="10"/>
      <c r="FR18" s="10">
        <v>27497.112499999999</v>
      </c>
      <c r="FS18" s="10">
        <v>9015.1628000000001</v>
      </c>
      <c r="FT18" s="10">
        <v>4439.6756999999998</v>
      </c>
      <c r="FU18" s="10">
        <v>12353.147000000001</v>
      </c>
      <c r="FV18" s="10"/>
      <c r="FW18" s="10">
        <v>6858.4530000000004</v>
      </c>
      <c r="FX18" s="10">
        <v>4628.7003999999997</v>
      </c>
      <c r="FY18" s="10">
        <v>23595.0628</v>
      </c>
      <c r="FZ18" s="10"/>
      <c r="GA18" s="10">
        <v>0</v>
      </c>
      <c r="GB18" s="10"/>
      <c r="GC18" s="10"/>
      <c r="GD18" s="10"/>
      <c r="GE18" s="10">
        <v>0</v>
      </c>
      <c r="GF18" s="10">
        <v>0</v>
      </c>
      <c r="GG18" s="10">
        <v>0</v>
      </c>
    </row>
    <row r="19" spans="1:189" x14ac:dyDescent="0.35">
      <c r="A19" s="8">
        <v>46146</v>
      </c>
      <c r="B19" s="9">
        <v>7155966363.2057199</v>
      </c>
      <c r="C19" s="10">
        <v>2218710098.9573898</v>
      </c>
      <c r="D19" s="10">
        <v>1387894107.3460801</v>
      </c>
      <c r="E19" s="10">
        <v>1821391317.37357</v>
      </c>
      <c r="F19" s="10">
        <v>618452284.69669998</v>
      </c>
      <c r="G19" s="10">
        <v>242853582.01089999</v>
      </c>
      <c r="H19" s="10">
        <v>70763141.1365522</v>
      </c>
      <c r="I19" s="10">
        <v>39451237.373648196</v>
      </c>
      <c r="J19" s="10">
        <v>53840473.215510599</v>
      </c>
      <c r="K19" s="10">
        <v>93802343.096732199</v>
      </c>
      <c r="L19" s="10">
        <v>104664457.44149999</v>
      </c>
      <c r="M19" s="10">
        <v>77588388.424595207</v>
      </c>
      <c r="N19" s="10">
        <v>33378294.7711</v>
      </c>
      <c r="O19" s="10">
        <v>97395456.823200002</v>
      </c>
      <c r="P19" s="10">
        <v>35046721.997199997</v>
      </c>
      <c r="Q19" s="10">
        <v>30526015.3719</v>
      </c>
      <c r="R19" s="10">
        <v>9179397.7858602703</v>
      </c>
      <c r="S19" s="10">
        <v>9616841.1225000005</v>
      </c>
      <c r="T19" s="10">
        <v>33388414.503899999</v>
      </c>
      <c r="U19" s="10">
        <v>17321004.526891202</v>
      </c>
      <c r="V19" s="10">
        <v>17733701.370838601</v>
      </c>
      <c r="W19" s="10">
        <v>16651487.8850812</v>
      </c>
      <c r="X19" s="10">
        <v>6028441.5698605096</v>
      </c>
      <c r="Y19" s="10">
        <v>12940898.920600001</v>
      </c>
      <c r="Z19" s="10">
        <v>9048941.3227774706</v>
      </c>
      <c r="AA19" s="10">
        <v>8505879.5540763605</v>
      </c>
      <c r="AB19" s="10">
        <v>4290151.1404999997</v>
      </c>
      <c r="AC19" s="10">
        <v>7771652.1792349704</v>
      </c>
      <c r="AD19" s="10"/>
      <c r="AE19" s="10">
        <v>4689506.0579000004</v>
      </c>
      <c r="AF19" s="10">
        <v>26382055.342500001</v>
      </c>
      <c r="AG19" s="10">
        <v>995193.41749999998</v>
      </c>
      <c r="AH19" s="10">
        <v>5240011.4802000001</v>
      </c>
      <c r="AI19" s="10">
        <v>691514.995</v>
      </c>
      <c r="AJ19" s="10">
        <v>2275093.4287999999</v>
      </c>
      <c r="AK19" s="10">
        <v>1857881.916</v>
      </c>
      <c r="AL19" s="10">
        <v>1274238.5554</v>
      </c>
      <c r="AM19" s="10">
        <v>1024918.2402246</v>
      </c>
      <c r="AN19" s="10">
        <v>2147506.6422000001</v>
      </c>
      <c r="AO19" s="10"/>
      <c r="AP19" s="10">
        <v>44800.8632</v>
      </c>
      <c r="AQ19" s="10">
        <v>1721115.3421</v>
      </c>
      <c r="AR19" s="10">
        <v>1744032.7975000001</v>
      </c>
      <c r="AS19" s="10">
        <v>498138.61859999999</v>
      </c>
      <c r="AT19" s="10">
        <v>1802689.8314</v>
      </c>
      <c r="AU19" s="10">
        <v>973638.72229599999</v>
      </c>
      <c r="AV19" s="10">
        <v>1216595.4306999999</v>
      </c>
      <c r="AW19" s="10">
        <v>897807.66960000002</v>
      </c>
      <c r="AX19" s="10">
        <v>393983.08140000002</v>
      </c>
      <c r="AY19" s="10">
        <v>1294608.9526</v>
      </c>
      <c r="AZ19" s="10">
        <v>1119283.3155</v>
      </c>
      <c r="BA19" s="10">
        <v>275195.50209999998</v>
      </c>
      <c r="BB19" s="10">
        <v>342518.38370000001</v>
      </c>
      <c r="BC19" s="10">
        <v>495436.85</v>
      </c>
      <c r="BD19" s="10">
        <v>488003.77510000003</v>
      </c>
      <c r="BE19" s="10"/>
      <c r="BF19" s="10"/>
      <c r="BG19" s="10">
        <v>264980.42387</v>
      </c>
      <c r="BH19" s="10">
        <v>984610.0736</v>
      </c>
      <c r="BI19" s="10"/>
      <c r="BJ19" s="10">
        <v>891146.75950000004</v>
      </c>
      <c r="BK19" s="10">
        <v>559559.12069999997</v>
      </c>
      <c r="BL19" s="10">
        <v>307922.05219999998</v>
      </c>
      <c r="BM19" s="10">
        <v>713160.87959999999</v>
      </c>
      <c r="BN19" s="10">
        <v>863469.92929999996</v>
      </c>
      <c r="BO19" s="10">
        <v>180708.7414</v>
      </c>
      <c r="BP19" s="10">
        <v>865025.55359999998</v>
      </c>
      <c r="BQ19" s="10">
        <v>1629621.2141</v>
      </c>
      <c r="BR19" s="10">
        <v>375916.00459999999</v>
      </c>
      <c r="BS19" s="10">
        <v>310268.63367000001</v>
      </c>
      <c r="BT19" s="10">
        <v>183805.92879999999</v>
      </c>
      <c r="BU19" s="10">
        <v>195851.55455</v>
      </c>
      <c r="BV19" s="10">
        <v>467325.32770000002</v>
      </c>
      <c r="BW19" s="10">
        <v>144214.08859999999</v>
      </c>
      <c r="BX19" s="10">
        <v>280045.46720000001</v>
      </c>
      <c r="BY19" s="10">
        <v>681125.52269999997</v>
      </c>
      <c r="BZ19" s="10">
        <v>106128.4653</v>
      </c>
      <c r="CA19" s="10">
        <v>309989.2316</v>
      </c>
      <c r="CB19" s="10">
        <v>121953.9224</v>
      </c>
      <c r="CC19" s="10">
        <v>222176.18956</v>
      </c>
      <c r="CD19" s="10">
        <v>44698.025300000001</v>
      </c>
      <c r="CE19" s="10">
        <v>564901.82790000003</v>
      </c>
      <c r="CF19" s="10">
        <v>2105450.0570999999</v>
      </c>
      <c r="CG19" s="10">
        <v>36145.796000000002</v>
      </c>
      <c r="CH19" s="10"/>
      <c r="CI19" s="10">
        <v>60668.745600000002</v>
      </c>
      <c r="CJ19" s="10">
        <v>185591.55119999999</v>
      </c>
      <c r="CK19" s="10">
        <v>294534.04719999997</v>
      </c>
      <c r="CL19" s="10"/>
      <c r="CM19" s="10"/>
      <c r="CN19" s="10">
        <v>17685.98</v>
      </c>
      <c r="CO19" s="10">
        <v>33107.592396</v>
      </c>
      <c r="CP19" s="10">
        <v>230377.7403</v>
      </c>
      <c r="CQ19" s="10">
        <v>367564.6005</v>
      </c>
      <c r="CR19" s="10">
        <v>320147.7991</v>
      </c>
      <c r="CS19" s="10">
        <v>214963.69839999999</v>
      </c>
      <c r="CT19" s="10">
        <v>86425.037450000003</v>
      </c>
      <c r="CU19" s="10">
        <v>35847.644999999997</v>
      </c>
      <c r="CV19" s="10">
        <v>120795.8965</v>
      </c>
      <c r="CW19" s="10">
        <v>52564.447999999997</v>
      </c>
      <c r="CX19" s="10">
        <v>46075.566050000001</v>
      </c>
      <c r="CY19" s="10">
        <v>17610.080000000002</v>
      </c>
      <c r="CZ19" s="10"/>
      <c r="DA19" s="10">
        <v>78860.012199999997</v>
      </c>
      <c r="DB19" s="10"/>
      <c r="DC19" s="10">
        <v>51717.721397000001</v>
      </c>
      <c r="DD19" s="10">
        <v>24424.0592</v>
      </c>
      <c r="DE19" s="10"/>
      <c r="DF19" s="10">
        <v>33850.43015</v>
      </c>
      <c r="DG19" s="10"/>
      <c r="DH19" s="10">
        <v>40644.722500000003</v>
      </c>
      <c r="DI19" s="10">
        <v>180957.057</v>
      </c>
      <c r="DJ19" s="10"/>
      <c r="DK19" s="10">
        <v>263231.299</v>
      </c>
      <c r="DL19" s="10">
        <v>44516.822</v>
      </c>
      <c r="DM19" s="10"/>
      <c r="DN19" s="10">
        <v>19599.097590000001</v>
      </c>
      <c r="DO19" s="10">
        <v>10978.273999999999</v>
      </c>
      <c r="DP19" s="10">
        <v>14724.7364</v>
      </c>
      <c r="DQ19" s="10"/>
      <c r="DR19" s="10">
        <v>14238.6353</v>
      </c>
      <c r="DS19" s="10">
        <v>18018.207999999999</v>
      </c>
      <c r="DT19" s="10">
        <v>21146.713100000001</v>
      </c>
      <c r="DU19" s="10"/>
      <c r="DV19" s="10">
        <v>15947.5398</v>
      </c>
      <c r="DW19" s="10">
        <v>9465.0512999999992</v>
      </c>
      <c r="DX19" s="10">
        <v>38521.284</v>
      </c>
      <c r="DY19" s="10">
        <v>48003.105940000001</v>
      </c>
      <c r="DZ19" s="10">
        <v>7984.7473</v>
      </c>
      <c r="EA19" s="10">
        <v>134.84880000000001</v>
      </c>
      <c r="EB19" s="10"/>
      <c r="EC19" s="10">
        <v>30515.743665000002</v>
      </c>
      <c r="ED19" s="10">
        <v>15848.0987</v>
      </c>
      <c r="EE19" s="10">
        <v>92021.562000000005</v>
      </c>
      <c r="EF19" s="10">
        <v>82869.184699999998</v>
      </c>
      <c r="EG19" s="10">
        <v>116357.35400000001</v>
      </c>
      <c r="EH19" s="10">
        <v>10984.41936</v>
      </c>
      <c r="EI19" s="10">
        <v>5445.2057599999998</v>
      </c>
      <c r="EJ19" s="10">
        <v>8768.0907000000007</v>
      </c>
      <c r="EK19" s="10">
        <v>133810.38459999999</v>
      </c>
      <c r="EL19" s="10">
        <v>57157.5173</v>
      </c>
      <c r="EM19" s="10">
        <v>6033.7858999999999</v>
      </c>
      <c r="EN19" s="10">
        <v>22652.901000000002</v>
      </c>
      <c r="EO19" s="10">
        <v>7633.0046000000002</v>
      </c>
      <c r="EP19" s="10">
        <v>26228.02</v>
      </c>
      <c r="EQ19" s="10">
        <v>82060.705900000001</v>
      </c>
      <c r="ER19" s="10">
        <v>4830.9254000000001</v>
      </c>
      <c r="ES19" s="10">
        <v>6519.9916000000003</v>
      </c>
      <c r="ET19" s="10">
        <v>5643.8382000000001</v>
      </c>
      <c r="EU19" s="10"/>
      <c r="EV19" s="10">
        <v>0</v>
      </c>
      <c r="EW19" s="10">
        <v>99241.831000000006</v>
      </c>
      <c r="EX19" s="10">
        <v>41887.963000000003</v>
      </c>
      <c r="EY19" s="10">
        <v>32026.305</v>
      </c>
      <c r="EZ19" s="10">
        <v>28414.467700000001</v>
      </c>
      <c r="FA19" s="10"/>
      <c r="FB19" s="10">
        <v>8194.9671999999991</v>
      </c>
      <c r="FC19" s="10">
        <v>28363.107</v>
      </c>
      <c r="FD19" s="10">
        <v>22207.6289</v>
      </c>
      <c r="FE19" s="10">
        <v>4382.8253999999997</v>
      </c>
      <c r="FF19" s="10">
        <v>60256.781000000003</v>
      </c>
      <c r="FG19" s="10">
        <v>25693.21</v>
      </c>
      <c r="FH19" s="10">
        <v>20443.3505</v>
      </c>
      <c r="FI19" s="10">
        <v>53480.968999999997</v>
      </c>
      <c r="FJ19" s="10">
        <v>65131.834499999997</v>
      </c>
      <c r="FK19" s="10">
        <v>20678.758000000002</v>
      </c>
      <c r="FL19" s="10">
        <v>6143.5681000000004</v>
      </c>
      <c r="FM19" s="10">
        <v>9592.8762999999999</v>
      </c>
      <c r="FN19" s="10">
        <v>11185.656000000001</v>
      </c>
      <c r="FO19" s="10">
        <v>5170.6378000000004</v>
      </c>
      <c r="FP19" s="10">
        <v>54956.314899999998</v>
      </c>
      <c r="FQ19" s="10"/>
      <c r="FR19" s="10">
        <v>5705.6668</v>
      </c>
      <c r="FS19" s="10">
        <v>15070.5625</v>
      </c>
      <c r="FT19" s="10">
        <v>27654.850399999999</v>
      </c>
      <c r="FU19" s="10">
        <v>22994.636999999999</v>
      </c>
      <c r="FV19" s="10"/>
      <c r="FW19" s="10">
        <v>17773.628199999999</v>
      </c>
      <c r="FX19" s="10">
        <v>5257.4660999999996</v>
      </c>
      <c r="FY19" s="10">
        <v>6807.2861999999996</v>
      </c>
      <c r="FZ19" s="10"/>
      <c r="GA19" s="10">
        <v>0</v>
      </c>
      <c r="GB19" s="10"/>
      <c r="GC19" s="10"/>
      <c r="GD19" s="10"/>
      <c r="GE19" s="10">
        <v>0</v>
      </c>
      <c r="GF19" s="10">
        <v>638.61009999999999</v>
      </c>
      <c r="GG19" s="10">
        <v>0</v>
      </c>
    </row>
    <row r="20" spans="1:189" x14ac:dyDescent="0.35">
      <c r="A20" s="8">
        <v>46145</v>
      </c>
      <c r="B20" s="9">
        <v>1471726610.58056</v>
      </c>
      <c r="C20" s="10">
        <v>368827044.08296603</v>
      </c>
      <c r="D20" s="10">
        <v>276800686.03103</v>
      </c>
      <c r="E20" s="10">
        <v>528014385.29716003</v>
      </c>
      <c r="F20" s="10">
        <v>156885928.69549999</v>
      </c>
      <c r="G20" s="10">
        <v>9662004.7045000009</v>
      </c>
      <c r="H20" s="10">
        <v>11995604.561526</v>
      </c>
      <c r="I20" s="10">
        <v>5575639.8167840196</v>
      </c>
      <c r="J20" s="10">
        <v>9041998.5538770203</v>
      </c>
      <c r="K20" s="10">
        <v>14543913.2781657</v>
      </c>
      <c r="L20" s="10">
        <v>10171052.018300001</v>
      </c>
      <c r="M20" s="10">
        <v>8650537.6131999996</v>
      </c>
      <c r="N20" s="10">
        <v>3054623.0998</v>
      </c>
      <c r="O20" s="10">
        <v>3698862.9123</v>
      </c>
      <c r="P20" s="10">
        <v>3463120.1697999998</v>
      </c>
      <c r="Q20" s="10">
        <v>8436698.7544999998</v>
      </c>
      <c r="R20" s="10">
        <v>2478908.8672787198</v>
      </c>
      <c r="S20" s="10">
        <v>2132915.78682</v>
      </c>
      <c r="T20" s="10">
        <v>1566853.3817</v>
      </c>
      <c r="U20" s="10">
        <v>2648016.1579040899</v>
      </c>
      <c r="V20" s="10">
        <v>4285683.7033947604</v>
      </c>
      <c r="W20" s="10">
        <v>5057509.2885391396</v>
      </c>
      <c r="X20" s="10">
        <v>1300202.7253</v>
      </c>
      <c r="Y20" s="10">
        <v>238504.2727</v>
      </c>
      <c r="Z20" s="10">
        <v>3583026.1605252801</v>
      </c>
      <c r="AA20" s="10">
        <v>2340418.2719000001</v>
      </c>
      <c r="AB20" s="10">
        <v>1956681.5112000001</v>
      </c>
      <c r="AC20" s="10">
        <v>3606431.17358127</v>
      </c>
      <c r="AD20" s="10"/>
      <c r="AE20" s="10">
        <v>1559052.65011</v>
      </c>
      <c r="AF20" s="10">
        <v>2000999.0976</v>
      </c>
      <c r="AG20" s="10">
        <v>424283.64250000002</v>
      </c>
      <c r="AH20" s="10">
        <v>325299.23</v>
      </c>
      <c r="AI20" s="10">
        <v>254509.929</v>
      </c>
      <c r="AJ20" s="10">
        <v>346585.29749999999</v>
      </c>
      <c r="AK20" s="10">
        <v>807499.06499999994</v>
      </c>
      <c r="AL20" s="10">
        <v>282370.73959999997</v>
      </c>
      <c r="AM20" s="10">
        <v>7773064.8299000002</v>
      </c>
      <c r="AN20" s="10">
        <v>33868.084000000003</v>
      </c>
      <c r="AO20" s="10"/>
      <c r="AP20" s="10"/>
      <c r="AQ20" s="10">
        <v>1529569.6843000001</v>
      </c>
      <c r="AR20" s="10">
        <v>139667.07949999999</v>
      </c>
      <c r="AS20" s="10">
        <v>93612.409700000004</v>
      </c>
      <c r="AT20" s="10">
        <v>653590.66339999996</v>
      </c>
      <c r="AU20" s="10">
        <v>352549.37538899999</v>
      </c>
      <c r="AV20" s="10">
        <v>309159.1936</v>
      </c>
      <c r="AW20" s="10">
        <v>158493.27410000001</v>
      </c>
      <c r="AX20" s="10">
        <v>165812.10159999999</v>
      </c>
      <c r="AY20" s="10">
        <v>62827.078800000003</v>
      </c>
      <c r="AZ20" s="10">
        <v>36683.217700000001</v>
      </c>
      <c r="BA20" s="10">
        <v>108931.6165</v>
      </c>
      <c r="BB20" s="10">
        <v>32490.104200000002</v>
      </c>
      <c r="BC20" s="10">
        <v>453822.09499999997</v>
      </c>
      <c r="BD20" s="10">
        <v>164524.26610000001</v>
      </c>
      <c r="BE20" s="10"/>
      <c r="BF20" s="10"/>
      <c r="BG20" s="10">
        <v>166712.07711000001</v>
      </c>
      <c r="BH20" s="10">
        <v>8980.7142000000003</v>
      </c>
      <c r="BI20" s="10"/>
      <c r="BJ20" s="10">
        <v>122930.5631</v>
      </c>
      <c r="BK20" s="10">
        <v>76966.311900000001</v>
      </c>
      <c r="BL20" s="10">
        <v>35369.303699999997</v>
      </c>
      <c r="BM20" s="10">
        <v>160970.85949999999</v>
      </c>
      <c r="BN20" s="10">
        <v>34957.423900000002</v>
      </c>
      <c r="BO20" s="10">
        <v>21461.1132</v>
      </c>
      <c r="BP20" s="10">
        <v>10239.8801</v>
      </c>
      <c r="BQ20" s="10">
        <v>98234.006099999999</v>
      </c>
      <c r="BR20" s="10">
        <v>38818.739699999998</v>
      </c>
      <c r="BS20" s="10">
        <v>54022.8459</v>
      </c>
      <c r="BT20" s="10">
        <v>15939.92</v>
      </c>
      <c r="BU20" s="10">
        <v>197644.07733</v>
      </c>
      <c r="BV20" s="10">
        <v>43162.279499999997</v>
      </c>
      <c r="BW20" s="10">
        <v>27973.486099999998</v>
      </c>
      <c r="BX20" s="10">
        <v>283147.17050000001</v>
      </c>
      <c r="BY20" s="10">
        <v>46905.1921</v>
      </c>
      <c r="BZ20" s="10">
        <v>74177.506200000003</v>
      </c>
      <c r="CA20" s="10">
        <v>45200.527600000001</v>
      </c>
      <c r="CB20" s="10">
        <v>2770.5010000000002</v>
      </c>
      <c r="CC20" s="10">
        <v>24846.985410000001</v>
      </c>
      <c r="CD20" s="10">
        <v>4467.9573</v>
      </c>
      <c r="CE20" s="10">
        <v>14139.6978</v>
      </c>
      <c r="CF20" s="10">
        <v>97752.954899999997</v>
      </c>
      <c r="CG20" s="10">
        <v>26826.54</v>
      </c>
      <c r="CH20" s="10"/>
      <c r="CI20" s="10">
        <v>75349.258499999996</v>
      </c>
      <c r="CJ20" s="10">
        <v>21147.074410000001</v>
      </c>
      <c r="CK20" s="10">
        <v>31232.554800000002</v>
      </c>
      <c r="CL20" s="10"/>
      <c r="CM20" s="10"/>
      <c r="CN20" s="10">
        <v>35538.627999999997</v>
      </c>
      <c r="CO20" s="10">
        <v>30833.033315000001</v>
      </c>
      <c r="CP20" s="10">
        <v>55575.6227</v>
      </c>
      <c r="CQ20" s="10">
        <v>4664.9116999999997</v>
      </c>
      <c r="CR20" s="10">
        <v>15679.886699999999</v>
      </c>
      <c r="CS20" s="10">
        <v>6974.2755699999998</v>
      </c>
      <c r="CT20" s="10">
        <v>3315.2395000000001</v>
      </c>
      <c r="CU20" s="10">
        <v>23877.859</v>
      </c>
      <c r="CV20" s="10">
        <v>91867.330799999996</v>
      </c>
      <c r="CW20" s="10">
        <v>39124.563000000002</v>
      </c>
      <c r="CX20" s="10">
        <v>38437.622929999998</v>
      </c>
      <c r="CY20" s="10">
        <v>9799.94</v>
      </c>
      <c r="CZ20" s="10"/>
      <c r="DA20" s="10">
        <v>49600.509700000002</v>
      </c>
      <c r="DB20" s="10"/>
      <c r="DC20" s="10">
        <v>24308.232112000002</v>
      </c>
      <c r="DD20" s="10">
        <v>7780.0066999999999</v>
      </c>
      <c r="DE20" s="10"/>
      <c r="DF20" s="10">
        <v>10391.41577</v>
      </c>
      <c r="DG20" s="10"/>
      <c r="DH20" s="10">
        <v>47990.392</v>
      </c>
      <c r="DI20" s="10">
        <v>64032.957000000002</v>
      </c>
      <c r="DJ20" s="10"/>
      <c r="DK20" s="10">
        <v>84034.585999999996</v>
      </c>
      <c r="DL20" s="10">
        <v>24442.178</v>
      </c>
      <c r="DM20" s="10"/>
      <c r="DN20" s="10">
        <v>18349.30241</v>
      </c>
      <c r="DO20" s="10">
        <v>10797.513999999999</v>
      </c>
      <c r="DP20" s="10">
        <v>36738.853000000003</v>
      </c>
      <c r="DQ20" s="10"/>
      <c r="DR20" s="10">
        <v>7821.3222999999998</v>
      </c>
      <c r="DS20" s="10">
        <v>18663.456099999999</v>
      </c>
      <c r="DT20" s="10">
        <v>16055.2827</v>
      </c>
      <c r="DU20" s="10"/>
      <c r="DV20" s="10">
        <v>8757.7296999999999</v>
      </c>
      <c r="DW20" s="10">
        <v>5086.2830999999996</v>
      </c>
      <c r="DX20" s="10">
        <v>13282.655000000001</v>
      </c>
      <c r="DY20" s="10">
        <v>12405.03138</v>
      </c>
      <c r="DZ20" s="10">
        <v>8021.1634000000004</v>
      </c>
      <c r="EA20" s="10">
        <v>1041.4546</v>
      </c>
      <c r="EB20" s="10"/>
      <c r="EC20" s="10">
        <v>8898.4703539999991</v>
      </c>
      <c r="ED20" s="10">
        <v>5342.5481</v>
      </c>
      <c r="EE20" s="10">
        <v>45284.934000000001</v>
      </c>
      <c r="EF20" s="10">
        <v>54603.108899999999</v>
      </c>
      <c r="EG20" s="10">
        <v>15781.286</v>
      </c>
      <c r="EH20" s="10">
        <v>12479.275900000001</v>
      </c>
      <c r="EI20" s="10">
        <v>2055.9477099999999</v>
      </c>
      <c r="EJ20" s="10">
        <v>13067.9005</v>
      </c>
      <c r="EK20" s="10">
        <v>52879.566700000003</v>
      </c>
      <c r="EL20" s="10">
        <v>63311.721299999997</v>
      </c>
      <c r="EM20" s="10">
        <v>5869.5208000000002</v>
      </c>
      <c r="EN20" s="10">
        <v>64395.411999999997</v>
      </c>
      <c r="EO20" s="10">
        <v>1827.4407000000001</v>
      </c>
      <c r="EP20" s="10">
        <v>13347.312</v>
      </c>
      <c r="EQ20" s="10">
        <v>40918.433900000004</v>
      </c>
      <c r="ER20" s="10">
        <v>4284.6769000000004</v>
      </c>
      <c r="ES20" s="10">
        <v>4648.4452000000001</v>
      </c>
      <c r="ET20" s="10">
        <v>3893.6257999999998</v>
      </c>
      <c r="EU20" s="10"/>
      <c r="EV20" s="10">
        <v>0</v>
      </c>
      <c r="EW20" s="10">
        <v>23808.965</v>
      </c>
      <c r="EX20" s="10">
        <v>83231.304999999993</v>
      </c>
      <c r="EY20" s="10">
        <v>85832.369000000006</v>
      </c>
      <c r="EZ20" s="10">
        <v>9083.5310000000009</v>
      </c>
      <c r="FA20" s="10"/>
      <c r="FB20" s="10">
        <v>7967.2617</v>
      </c>
      <c r="FC20" s="10">
        <v>8374.7980000000007</v>
      </c>
      <c r="FD20" s="10">
        <v>26335.0183</v>
      </c>
      <c r="FE20" s="10">
        <v>9019.1229999999996</v>
      </c>
      <c r="FF20" s="10">
        <v>17243.268</v>
      </c>
      <c r="FG20" s="10">
        <v>9798.2430000000004</v>
      </c>
      <c r="FH20" s="10">
        <v>5023.8811999999998</v>
      </c>
      <c r="FI20" s="10">
        <v>24159.368999999999</v>
      </c>
      <c r="FJ20" s="10">
        <v>10294.875700000001</v>
      </c>
      <c r="FK20" s="10">
        <v>70181.070000000007</v>
      </c>
      <c r="FL20" s="10">
        <v>9237.3973999999998</v>
      </c>
      <c r="FM20" s="10">
        <v>7676.8041000000003</v>
      </c>
      <c r="FN20" s="10">
        <v>9617.2513999999992</v>
      </c>
      <c r="FO20" s="10">
        <v>11368.7785</v>
      </c>
      <c r="FP20" s="10">
        <v>60087.671499999997</v>
      </c>
      <c r="FQ20" s="10"/>
      <c r="FR20" s="10">
        <v>5729.8109000000004</v>
      </c>
      <c r="FS20" s="10">
        <v>13196.3856</v>
      </c>
      <c r="FT20" s="10">
        <v>8904.2564000000002</v>
      </c>
      <c r="FU20" s="10">
        <v>9002.8670000000002</v>
      </c>
      <c r="FV20" s="10"/>
      <c r="FW20" s="10">
        <v>4882.0027</v>
      </c>
      <c r="FX20" s="10">
        <v>4043.5140000000001</v>
      </c>
      <c r="FY20" s="10">
        <v>5467.518</v>
      </c>
      <c r="FZ20" s="10"/>
      <c r="GA20" s="10">
        <v>0</v>
      </c>
      <c r="GB20" s="10"/>
      <c r="GC20" s="10"/>
      <c r="GD20" s="10"/>
      <c r="GE20" s="10">
        <v>1.2430000000000001</v>
      </c>
      <c r="GF20" s="10">
        <v>0</v>
      </c>
      <c r="GG20" s="10">
        <v>0</v>
      </c>
    </row>
    <row r="21" spans="1:189" x14ac:dyDescent="0.35">
      <c r="A21" s="8">
        <v>46144</v>
      </c>
      <c r="B21" s="9">
        <v>341791330.567756</v>
      </c>
      <c r="C21" s="10">
        <v>98391215.444464698</v>
      </c>
      <c r="D21" s="10">
        <v>29185553.534639999</v>
      </c>
      <c r="E21" s="10">
        <v>102638962.007</v>
      </c>
      <c r="F21" s="10">
        <v>30731949.722199999</v>
      </c>
      <c r="G21" s="10">
        <v>6586310.8435000004</v>
      </c>
      <c r="H21" s="10">
        <v>3912368.9588578101</v>
      </c>
      <c r="I21" s="10">
        <v>4116797.9972000001</v>
      </c>
      <c r="J21" s="10">
        <v>6609029.9679199997</v>
      </c>
      <c r="K21" s="10">
        <v>5852616.8016962102</v>
      </c>
      <c r="L21" s="10">
        <v>6499548.5410000002</v>
      </c>
      <c r="M21" s="10">
        <v>9753940.0068999995</v>
      </c>
      <c r="N21" s="10">
        <v>5729204.2994999997</v>
      </c>
      <c r="O21" s="10">
        <v>905744.07380000001</v>
      </c>
      <c r="P21" s="10">
        <v>1102378.1413</v>
      </c>
      <c r="Q21" s="10">
        <v>872439.39870000002</v>
      </c>
      <c r="R21" s="10">
        <v>1404686.0021520399</v>
      </c>
      <c r="S21" s="10">
        <v>1163546.7096599999</v>
      </c>
      <c r="T21" s="10">
        <v>692454.60389999999</v>
      </c>
      <c r="U21" s="10">
        <v>1518881.37910934</v>
      </c>
      <c r="V21" s="10">
        <v>1919618.9347151499</v>
      </c>
      <c r="W21" s="10">
        <v>4246317.5605215896</v>
      </c>
      <c r="X21" s="10">
        <v>742961.40639999998</v>
      </c>
      <c r="Y21" s="10">
        <v>154882.66709999999</v>
      </c>
      <c r="Z21" s="10">
        <v>2378821.7211306002</v>
      </c>
      <c r="AA21" s="10">
        <v>1073891.9853999999</v>
      </c>
      <c r="AB21" s="10">
        <v>1747477.2651</v>
      </c>
      <c r="AC21" s="10">
        <v>2119290.7851698101</v>
      </c>
      <c r="AD21" s="10"/>
      <c r="AE21" s="10">
        <v>456458.08604000002</v>
      </c>
      <c r="AF21" s="10">
        <v>748554.08019999997</v>
      </c>
      <c r="AG21" s="10">
        <v>636776.18680000002</v>
      </c>
      <c r="AH21" s="10">
        <v>268887.00799999997</v>
      </c>
      <c r="AI21" s="10">
        <v>739045.93500000006</v>
      </c>
      <c r="AJ21" s="10">
        <v>151583.94219999999</v>
      </c>
      <c r="AK21" s="10">
        <v>237014.99400000001</v>
      </c>
      <c r="AL21" s="10">
        <v>133957.93520000001</v>
      </c>
      <c r="AM21" s="10">
        <v>112792.16220000001</v>
      </c>
      <c r="AN21" s="10">
        <v>103878.55439999999</v>
      </c>
      <c r="AO21" s="10"/>
      <c r="AP21" s="10"/>
      <c r="AQ21" s="10">
        <v>513949.07500000001</v>
      </c>
      <c r="AR21" s="10">
        <v>57268.179600000003</v>
      </c>
      <c r="AS21" s="10">
        <v>225975.4087</v>
      </c>
      <c r="AT21" s="10">
        <v>644579.09389999998</v>
      </c>
      <c r="AU21" s="10">
        <v>120537.707369</v>
      </c>
      <c r="AV21" s="10">
        <v>99384.279899999994</v>
      </c>
      <c r="AW21" s="10">
        <v>142563.2144</v>
      </c>
      <c r="AX21" s="10">
        <v>151458.20970000001</v>
      </c>
      <c r="AY21" s="10">
        <v>161483.33790000001</v>
      </c>
      <c r="AZ21" s="10">
        <v>27733.100999999999</v>
      </c>
      <c r="BA21" s="10">
        <v>134322.81229999999</v>
      </c>
      <c r="BB21" s="10">
        <v>7679.9957999999997</v>
      </c>
      <c r="BC21" s="10">
        <v>169405.06700000001</v>
      </c>
      <c r="BD21" s="10">
        <v>17768.5756</v>
      </c>
      <c r="BE21" s="10"/>
      <c r="BF21" s="10"/>
      <c r="BG21" s="10">
        <v>9492.1597000000002</v>
      </c>
      <c r="BH21" s="10">
        <v>11026.1191</v>
      </c>
      <c r="BI21" s="10"/>
      <c r="BJ21" s="10">
        <v>109732.8714</v>
      </c>
      <c r="BK21" s="10">
        <v>14884.063599999999</v>
      </c>
      <c r="BL21" s="10">
        <v>13867.715700000001</v>
      </c>
      <c r="BM21" s="10">
        <v>197350.62270000001</v>
      </c>
      <c r="BN21" s="10">
        <v>30331.437300000001</v>
      </c>
      <c r="BO21" s="10">
        <v>4814.9291000000003</v>
      </c>
      <c r="BP21" s="10">
        <v>14452.154</v>
      </c>
      <c r="BQ21" s="10">
        <v>37912.875599999999</v>
      </c>
      <c r="BR21" s="10">
        <v>58501.949800000002</v>
      </c>
      <c r="BS21" s="10">
        <v>57085.94584</v>
      </c>
      <c r="BT21" s="10">
        <v>10468.028700000001</v>
      </c>
      <c r="BU21" s="10">
        <v>162062.25317000001</v>
      </c>
      <c r="BV21" s="10">
        <v>49936.934699999998</v>
      </c>
      <c r="BW21" s="10">
        <v>9609.1046000000006</v>
      </c>
      <c r="BX21" s="10">
        <v>77816.956200000001</v>
      </c>
      <c r="BY21" s="10">
        <v>25795.7719</v>
      </c>
      <c r="BZ21" s="10">
        <v>38780.017999999996</v>
      </c>
      <c r="CA21" s="10">
        <v>16039.1677</v>
      </c>
      <c r="CB21" s="10">
        <v>22128.782299999999</v>
      </c>
      <c r="CC21" s="10">
        <v>17731.883559999998</v>
      </c>
      <c r="CD21" s="10">
        <v>3674.5947999999999</v>
      </c>
      <c r="CE21" s="10">
        <v>20086.117399999999</v>
      </c>
      <c r="CF21" s="10">
        <v>47234.012699999999</v>
      </c>
      <c r="CG21" s="10">
        <v>26767.151999999998</v>
      </c>
      <c r="CH21" s="10"/>
      <c r="CI21" s="10">
        <v>125743.9727</v>
      </c>
      <c r="CJ21" s="10">
        <v>87778.337580000007</v>
      </c>
      <c r="CK21" s="10">
        <v>91583.238700000002</v>
      </c>
      <c r="CL21" s="10"/>
      <c r="CM21" s="10"/>
      <c r="CN21" s="10">
        <v>43446.317999999999</v>
      </c>
      <c r="CO21" s="10">
        <v>18944.615646999999</v>
      </c>
      <c r="CP21" s="10">
        <v>19667.549299999999</v>
      </c>
      <c r="CQ21" s="10">
        <v>4566.9641000000001</v>
      </c>
      <c r="CR21" s="10">
        <v>135923.8676</v>
      </c>
      <c r="CS21" s="10">
        <v>7765.0647200000003</v>
      </c>
      <c r="CT21" s="10">
        <v>4533.3208299999997</v>
      </c>
      <c r="CU21" s="10">
        <v>8731.9089999999997</v>
      </c>
      <c r="CV21" s="10">
        <v>44748.750999999997</v>
      </c>
      <c r="CW21" s="10">
        <v>17236.804</v>
      </c>
      <c r="CX21" s="10">
        <v>51147.837090000001</v>
      </c>
      <c r="CY21" s="10">
        <v>10188.797</v>
      </c>
      <c r="CZ21" s="10"/>
      <c r="DA21" s="10">
        <v>11502.6523</v>
      </c>
      <c r="DB21" s="10"/>
      <c r="DC21" s="10">
        <v>47953.359288</v>
      </c>
      <c r="DD21" s="10">
        <v>7945.6871000000001</v>
      </c>
      <c r="DE21" s="10"/>
      <c r="DF21" s="10">
        <v>10373.86241</v>
      </c>
      <c r="DG21" s="10"/>
      <c r="DH21" s="10">
        <v>26605.858</v>
      </c>
      <c r="DI21" s="10">
        <v>17587.146000000001</v>
      </c>
      <c r="DJ21" s="10"/>
      <c r="DK21" s="10">
        <v>328285.174</v>
      </c>
      <c r="DL21" s="10">
        <v>24479.745999999999</v>
      </c>
      <c r="DM21" s="10"/>
      <c r="DN21" s="10">
        <v>19124.819390000001</v>
      </c>
      <c r="DO21" s="10">
        <v>26849.806</v>
      </c>
      <c r="DP21" s="10">
        <v>89125.212599999999</v>
      </c>
      <c r="DQ21" s="10"/>
      <c r="DR21" s="10">
        <v>17694.131700000002</v>
      </c>
      <c r="DS21" s="10">
        <v>18601.373</v>
      </c>
      <c r="DT21" s="10">
        <v>15293.3379</v>
      </c>
      <c r="DU21" s="10"/>
      <c r="DV21" s="10">
        <v>23897.804400000001</v>
      </c>
      <c r="DW21" s="10">
        <v>7909.5370999999996</v>
      </c>
      <c r="DX21" s="10">
        <v>13288.493</v>
      </c>
      <c r="DY21" s="10">
        <v>14221.07267</v>
      </c>
      <c r="DZ21" s="10">
        <v>10187.7444</v>
      </c>
      <c r="EA21" s="10">
        <v>2068.3555000000001</v>
      </c>
      <c r="EB21" s="10"/>
      <c r="EC21" s="10">
        <v>12304.137124999999</v>
      </c>
      <c r="ED21" s="10">
        <v>4431.8708999999999</v>
      </c>
      <c r="EE21" s="10">
        <v>27807.566999999999</v>
      </c>
      <c r="EF21" s="10">
        <v>13761.450800000001</v>
      </c>
      <c r="EG21" s="10">
        <v>16819.234</v>
      </c>
      <c r="EH21" s="10">
        <v>6780.71648</v>
      </c>
      <c r="EI21" s="10">
        <v>2078.0774099999999</v>
      </c>
      <c r="EJ21" s="10">
        <v>8969.6054000000004</v>
      </c>
      <c r="EK21" s="10">
        <v>37031.003499999999</v>
      </c>
      <c r="EL21" s="10">
        <v>108986.36870000001</v>
      </c>
      <c r="EM21" s="10">
        <v>39799.468800000002</v>
      </c>
      <c r="EN21" s="10">
        <v>51689.612999999998</v>
      </c>
      <c r="EO21" s="10">
        <v>2681.7847999999999</v>
      </c>
      <c r="EP21" s="10">
        <v>119393.61900000001</v>
      </c>
      <c r="EQ21" s="10">
        <v>35546.8197</v>
      </c>
      <c r="ER21" s="10">
        <v>4481.2676000000001</v>
      </c>
      <c r="ES21" s="10">
        <v>4613.5751</v>
      </c>
      <c r="ET21" s="10">
        <v>3977.3917999999999</v>
      </c>
      <c r="EU21" s="10"/>
      <c r="EV21" s="10">
        <v>0</v>
      </c>
      <c r="EW21" s="10">
        <v>93154.441999999995</v>
      </c>
      <c r="EX21" s="10">
        <v>53408.01</v>
      </c>
      <c r="EY21" s="10">
        <v>130974.921</v>
      </c>
      <c r="EZ21" s="10">
        <v>4752.8298999999997</v>
      </c>
      <c r="FA21" s="10"/>
      <c r="FB21" s="10">
        <v>7597.2829000000002</v>
      </c>
      <c r="FC21" s="10">
        <v>9497.4240000000009</v>
      </c>
      <c r="FD21" s="10">
        <v>70418.076700000005</v>
      </c>
      <c r="FE21" s="10">
        <v>47883.738599999997</v>
      </c>
      <c r="FF21" s="10">
        <v>26389.019</v>
      </c>
      <c r="FG21" s="10">
        <v>9104.2459999999992</v>
      </c>
      <c r="FH21" s="10">
        <v>5186.4679999999998</v>
      </c>
      <c r="FI21" s="10">
        <v>13341.066999999999</v>
      </c>
      <c r="FJ21" s="10">
        <v>6204.4879000000001</v>
      </c>
      <c r="FK21" s="10">
        <v>65902.183000000005</v>
      </c>
      <c r="FL21" s="10">
        <v>8130.3725000000004</v>
      </c>
      <c r="FM21" s="10">
        <v>17108.988099999999</v>
      </c>
      <c r="FN21" s="10">
        <v>3749.4892</v>
      </c>
      <c r="FO21" s="10">
        <v>5477.5596999999998</v>
      </c>
      <c r="FP21" s="10">
        <v>51718.717199999999</v>
      </c>
      <c r="FQ21" s="10"/>
      <c r="FR21" s="10">
        <v>6180.1346000000003</v>
      </c>
      <c r="FS21" s="10">
        <v>21667.894</v>
      </c>
      <c r="FT21" s="10">
        <v>3536.7253999999998</v>
      </c>
      <c r="FU21" s="10">
        <v>8529.7430000000004</v>
      </c>
      <c r="FV21" s="10"/>
      <c r="FW21" s="10">
        <v>4651.7566999999999</v>
      </c>
      <c r="FX21" s="10">
        <v>4079.1206999999999</v>
      </c>
      <c r="FY21" s="10">
        <v>4998.4566999999997</v>
      </c>
      <c r="FZ21" s="10"/>
      <c r="GA21" s="10">
        <v>0</v>
      </c>
      <c r="GB21" s="10"/>
      <c r="GC21" s="10"/>
      <c r="GD21" s="10"/>
      <c r="GE21" s="10">
        <v>0</v>
      </c>
      <c r="GF21" s="10">
        <v>0</v>
      </c>
      <c r="GG21" s="10">
        <v>0</v>
      </c>
    </row>
    <row r="22" spans="1:189" x14ac:dyDescent="0.35">
      <c r="A22" s="8">
        <v>46143</v>
      </c>
      <c r="B22" s="9">
        <v>6025181348.7154598</v>
      </c>
      <c r="C22" s="10">
        <v>2030518950.0850799</v>
      </c>
      <c r="D22" s="10">
        <v>1073414132.92286</v>
      </c>
      <c r="E22" s="10">
        <v>1689896510.13517</v>
      </c>
      <c r="F22" s="10">
        <v>414120564.31819999</v>
      </c>
      <c r="G22" s="10">
        <v>104231254.75560001</v>
      </c>
      <c r="H22" s="10">
        <v>73001073.852517098</v>
      </c>
      <c r="I22" s="10">
        <v>25017405.437676098</v>
      </c>
      <c r="J22" s="10">
        <v>72115287.716187105</v>
      </c>
      <c r="K22" s="10">
        <v>87697046.963920996</v>
      </c>
      <c r="L22" s="10">
        <v>94236373.2817</v>
      </c>
      <c r="M22" s="10">
        <v>57652345.1764737</v>
      </c>
      <c r="N22" s="10">
        <v>26339225.819899999</v>
      </c>
      <c r="O22" s="10">
        <v>9749898.3907999992</v>
      </c>
      <c r="P22" s="10">
        <v>30669914.020199999</v>
      </c>
      <c r="Q22" s="10">
        <v>32791697.729699999</v>
      </c>
      <c r="R22" s="10">
        <v>19738701.5884545</v>
      </c>
      <c r="S22" s="10">
        <v>7727753.0859099999</v>
      </c>
      <c r="T22" s="10">
        <v>10338025.4728</v>
      </c>
      <c r="U22" s="10">
        <v>21622715.941831999</v>
      </c>
      <c r="V22" s="10">
        <v>28104275.003194202</v>
      </c>
      <c r="W22" s="10">
        <v>20972070.2145865</v>
      </c>
      <c r="X22" s="10">
        <v>3736321.4197601001</v>
      </c>
      <c r="Y22" s="10">
        <v>6585701.4349999996</v>
      </c>
      <c r="Z22" s="10">
        <v>11813883.1674008</v>
      </c>
      <c r="AA22" s="10">
        <v>10483555.0919156</v>
      </c>
      <c r="AB22" s="10">
        <v>3058117.6666000001</v>
      </c>
      <c r="AC22" s="10">
        <v>7062679.1043245997</v>
      </c>
      <c r="AD22" s="10"/>
      <c r="AE22" s="10">
        <v>3009151.2334400001</v>
      </c>
      <c r="AF22" s="10">
        <v>5651412.5093</v>
      </c>
      <c r="AG22" s="10">
        <v>469509.29889999999</v>
      </c>
      <c r="AH22" s="10">
        <v>3573142.9775999999</v>
      </c>
      <c r="AI22" s="10">
        <v>614469.94200000004</v>
      </c>
      <c r="AJ22" s="10">
        <v>1516358.2043999999</v>
      </c>
      <c r="AK22" s="10">
        <v>2291008.84</v>
      </c>
      <c r="AL22" s="10">
        <v>929869.30980000005</v>
      </c>
      <c r="AM22" s="10">
        <v>806246.58399890002</v>
      </c>
      <c r="AN22" s="10">
        <v>3268283.5628</v>
      </c>
      <c r="AO22" s="10"/>
      <c r="AP22" s="10"/>
      <c r="AQ22" s="10">
        <v>1661429.6168</v>
      </c>
      <c r="AR22" s="10">
        <v>2727568.287</v>
      </c>
      <c r="AS22" s="10">
        <v>374774.29450000002</v>
      </c>
      <c r="AT22" s="10">
        <v>438824.13189999998</v>
      </c>
      <c r="AU22" s="10">
        <v>720751.20224699995</v>
      </c>
      <c r="AV22" s="10">
        <v>1651591.9637</v>
      </c>
      <c r="AW22" s="10">
        <v>955130.57790000003</v>
      </c>
      <c r="AX22" s="10">
        <v>528939.31469999999</v>
      </c>
      <c r="AY22" s="10">
        <v>1700014.6839999999</v>
      </c>
      <c r="AZ22" s="10">
        <v>1374190.8644999999</v>
      </c>
      <c r="BA22" s="10">
        <v>131270.95809999999</v>
      </c>
      <c r="BB22" s="10">
        <v>436355.45880000002</v>
      </c>
      <c r="BC22" s="10">
        <v>208390.02499999999</v>
      </c>
      <c r="BD22" s="10">
        <v>1643592.1174999999</v>
      </c>
      <c r="BE22" s="10"/>
      <c r="BF22" s="10"/>
      <c r="BG22" s="10">
        <v>148784.46275999999</v>
      </c>
      <c r="BH22" s="10">
        <v>407884.3628</v>
      </c>
      <c r="BI22" s="10"/>
      <c r="BJ22" s="10">
        <v>879921.98540000001</v>
      </c>
      <c r="BK22" s="10">
        <v>331222.9437</v>
      </c>
      <c r="BL22" s="10">
        <v>113890.4711</v>
      </c>
      <c r="BM22" s="10">
        <v>588082.6605</v>
      </c>
      <c r="BN22" s="10">
        <v>734338.42449999996</v>
      </c>
      <c r="BO22" s="10">
        <v>95557.212700000004</v>
      </c>
      <c r="BP22" s="10">
        <v>473983.77069999999</v>
      </c>
      <c r="BQ22" s="10">
        <v>684947.12910000002</v>
      </c>
      <c r="BR22" s="10">
        <v>341493.13799999998</v>
      </c>
      <c r="BS22" s="10">
        <v>537612.47790000006</v>
      </c>
      <c r="BT22" s="10">
        <v>176091.0827</v>
      </c>
      <c r="BU22" s="10">
        <v>709883.58840000001</v>
      </c>
      <c r="BV22" s="10">
        <v>1144231.5249999999</v>
      </c>
      <c r="BW22" s="10">
        <v>669309.1825</v>
      </c>
      <c r="BX22" s="10">
        <v>82466.415200000003</v>
      </c>
      <c r="BY22" s="10">
        <v>569897.85649999999</v>
      </c>
      <c r="BZ22" s="10">
        <v>164265.5037</v>
      </c>
      <c r="CA22" s="10">
        <v>384947.21419999999</v>
      </c>
      <c r="CB22" s="10">
        <v>189020.42629999999</v>
      </c>
      <c r="CC22" s="10">
        <v>45978.103430000003</v>
      </c>
      <c r="CD22" s="10">
        <v>37322.3361</v>
      </c>
      <c r="CE22" s="10">
        <v>223264.0791</v>
      </c>
      <c r="CF22" s="10">
        <v>2089852.1625000001</v>
      </c>
      <c r="CG22" s="10">
        <v>29114.357</v>
      </c>
      <c r="CH22" s="10"/>
      <c r="CI22" s="10">
        <v>40383.118399999999</v>
      </c>
      <c r="CJ22" s="10">
        <v>109353.83047</v>
      </c>
      <c r="CK22" s="10">
        <v>394865.12929999997</v>
      </c>
      <c r="CL22" s="10"/>
      <c r="CM22" s="10"/>
      <c r="CN22" s="10">
        <v>33474.794999999998</v>
      </c>
      <c r="CO22" s="10">
        <v>104337.545271</v>
      </c>
      <c r="CP22" s="10">
        <v>250892.45550000001</v>
      </c>
      <c r="CQ22" s="10">
        <v>261756.83600000001</v>
      </c>
      <c r="CR22" s="10">
        <v>165340.9099</v>
      </c>
      <c r="CS22" s="10">
        <v>327813.72661999997</v>
      </c>
      <c r="CT22" s="10">
        <v>54360.552009999999</v>
      </c>
      <c r="CU22" s="10">
        <v>42306.536</v>
      </c>
      <c r="CV22" s="10">
        <v>201812.5577</v>
      </c>
      <c r="CW22" s="10">
        <v>55514.697999999997</v>
      </c>
      <c r="CX22" s="10">
        <v>66777.712379999997</v>
      </c>
      <c r="CY22" s="10">
        <v>9508.7189999999991</v>
      </c>
      <c r="CZ22" s="10"/>
      <c r="DA22" s="10">
        <v>24154.5743</v>
      </c>
      <c r="DB22" s="10"/>
      <c r="DC22" s="10">
        <v>48057.665408000001</v>
      </c>
      <c r="DD22" s="10">
        <v>37013.504800000002</v>
      </c>
      <c r="DE22" s="10"/>
      <c r="DF22" s="10">
        <v>22882.500110000001</v>
      </c>
      <c r="DG22" s="10"/>
      <c r="DH22" s="10">
        <v>54203.518700000001</v>
      </c>
      <c r="DI22" s="10">
        <v>18650.232</v>
      </c>
      <c r="DJ22" s="10"/>
      <c r="DK22" s="10">
        <v>16920.330999999998</v>
      </c>
      <c r="DL22" s="10">
        <v>23355.030999999999</v>
      </c>
      <c r="DM22" s="10"/>
      <c r="DN22" s="10">
        <v>19218.372889999999</v>
      </c>
      <c r="DO22" s="10">
        <v>83632.097999999998</v>
      </c>
      <c r="DP22" s="10">
        <v>13206.529500000001</v>
      </c>
      <c r="DQ22" s="10"/>
      <c r="DR22" s="10">
        <v>32818.606699999997</v>
      </c>
      <c r="DS22" s="10">
        <v>19224.929100000001</v>
      </c>
      <c r="DT22" s="10">
        <v>18804.808099999998</v>
      </c>
      <c r="DU22" s="10"/>
      <c r="DV22" s="10">
        <v>11557.404</v>
      </c>
      <c r="DW22" s="10">
        <v>3567.8325</v>
      </c>
      <c r="DX22" s="10">
        <v>68042.876999999993</v>
      </c>
      <c r="DY22" s="10">
        <v>9470.5360000000001</v>
      </c>
      <c r="DZ22" s="10">
        <v>8621.0396000000001</v>
      </c>
      <c r="EA22" s="10">
        <v>0</v>
      </c>
      <c r="EB22" s="10"/>
      <c r="EC22" s="10">
        <v>10203.853298</v>
      </c>
      <c r="ED22" s="10">
        <v>15859.2268</v>
      </c>
      <c r="EE22" s="10">
        <v>107641.436</v>
      </c>
      <c r="EF22" s="10">
        <v>11884.7932</v>
      </c>
      <c r="EG22" s="10">
        <v>16271.495000000001</v>
      </c>
      <c r="EH22" s="10">
        <v>5441.6596300000001</v>
      </c>
      <c r="EI22" s="10">
        <v>8669.4555600000003</v>
      </c>
      <c r="EJ22" s="10">
        <v>3706.9854999999998</v>
      </c>
      <c r="EK22" s="10">
        <v>24923.046399999999</v>
      </c>
      <c r="EL22" s="10">
        <v>17167.846000000001</v>
      </c>
      <c r="EM22" s="10">
        <v>9051.8006999999998</v>
      </c>
      <c r="EN22" s="10">
        <v>81891.816999999995</v>
      </c>
      <c r="EO22" s="10">
        <v>27860.772099999998</v>
      </c>
      <c r="EP22" s="10">
        <v>12258.075999999999</v>
      </c>
      <c r="EQ22" s="10">
        <v>54715.472999999998</v>
      </c>
      <c r="ER22" s="10">
        <v>6927.2419</v>
      </c>
      <c r="ES22" s="10">
        <v>4595.2251999999999</v>
      </c>
      <c r="ET22" s="10">
        <v>6628.1724999999997</v>
      </c>
      <c r="EU22" s="10"/>
      <c r="EV22" s="10">
        <v>6983.7292799999996</v>
      </c>
      <c r="EW22" s="10">
        <v>53656.497000000003</v>
      </c>
      <c r="EX22" s="10">
        <v>96510.409</v>
      </c>
      <c r="EY22" s="10">
        <v>28568.485000000001</v>
      </c>
      <c r="EZ22" s="10">
        <v>119173.4025</v>
      </c>
      <c r="FA22" s="10"/>
      <c r="FB22" s="10">
        <v>11464.2451</v>
      </c>
      <c r="FC22" s="10">
        <v>8496.0139999999992</v>
      </c>
      <c r="FD22" s="10">
        <v>90631.143700000001</v>
      </c>
      <c r="FE22" s="10">
        <v>85289.899300000005</v>
      </c>
      <c r="FF22" s="10">
        <v>12427.608</v>
      </c>
      <c r="FG22" s="10">
        <v>9040.9470000000001</v>
      </c>
      <c r="FH22" s="10">
        <v>5112.9530000000004</v>
      </c>
      <c r="FI22" s="10">
        <v>39219.877999999997</v>
      </c>
      <c r="FJ22" s="10">
        <v>12720.595600000001</v>
      </c>
      <c r="FK22" s="10">
        <v>19682.113000000001</v>
      </c>
      <c r="FL22" s="10">
        <v>5137.7780000000002</v>
      </c>
      <c r="FM22" s="10">
        <v>78207.897299999997</v>
      </c>
      <c r="FN22" s="10">
        <v>4391.9422000000004</v>
      </c>
      <c r="FO22" s="10">
        <v>34082.500099999997</v>
      </c>
      <c r="FP22" s="10">
        <v>19069.378199999999</v>
      </c>
      <c r="FQ22" s="10"/>
      <c r="FR22" s="10">
        <v>11541.168900000001</v>
      </c>
      <c r="FS22" s="10">
        <v>68503.510899999994</v>
      </c>
      <c r="FT22" s="10">
        <v>14687.950199999999</v>
      </c>
      <c r="FU22" s="10">
        <v>18735.166000000001</v>
      </c>
      <c r="FV22" s="10"/>
      <c r="FW22" s="10">
        <v>5218.8068999999996</v>
      </c>
      <c r="FX22" s="10">
        <v>5364.5573999999997</v>
      </c>
      <c r="FY22" s="10">
        <v>8069.6419999999998</v>
      </c>
      <c r="FZ22" s="10"/>
      <c r="GA22" s="10">
        <v>0</v>
      </c>
      <c r="GB22" s="10"/>
      <c r="GC22" s="10"/>
      <c r="GD22" s="10"/>
      <c r="GE22" s="10">
        <v>0</v>
      </c>
      <c r="GF22" s="10">
        <v>641.98140000000001</v>
      </c>
      <c r="GG22" s="10">
        <v>0</v>
      </c>
    </row>
    <row r="23" spans="1:189" x14ac:dyDescent="0.35">
      <c r="A23" s="8">
        <v>46142</v>
      </c>
      <c r="B23" s="9">
        <v>6874363613.6390104</v>
      </c>
      <c r="C23" s="10">
        <v>2225092963.7908502</v>
      </c>
      <c r="D23" s="10">
        <v>1119330198.0117199</v>
      </c>
      <c r="E23" s="10">
        <v>2156131676.3219399</v>
      </c>
      <c r="F23" s="10">
        <v>481238379.47460002</v>
      </c>
      <c r="G23" s="10">
        <v>82337424.6884</v>
      </c>
      <c r="H23" s="10">
        <v>61770116.619161099</v>
      </c>
      <c r="I23" s="10">
        <v>25811215.011549201</v>
      </c>
      <c r="J23" s="10">
        <v>67076967.989872403</v>
      </c>
      <c r="K23" s="10">
        <v>102494483.566948</v>
      </c>
      <c r="L23" s="10">
        <v>54237106.690099999</v>
      </c>
      <c r="M23" s="10">
        <v>89457251.591721505</v>
      </c>
      <c r="N23" s="10">
        <v>17198676.2566</v>
      </c>
      <c r="O23" s="10">
        <v>15109537.4582</v>
      </c>
      <c r="P23" s="10">
        <v>29590417.476399999</v>
      </c>
      <c r="Q23" s="10">
        <v>33702973.260899998</v>
      </c>
      <c r="R23" s="10">
        <v>37951513.191567101</v>
      </c>
      <c r="S23" s="10">
        <v>9376824.1931299996</v>
      </c>
      <c r="T23" s="10">
        <v>13475827.869899999</v>
      </c>
      <c r="U23" s="10">
        <v>47965491.300240099</v>
      </c>
      <c r="V23" s="10">
        <v>52935848.691222198</v>
      </c>
      <c r="W23" s="10">
        <v>14790371.8127959</v>
      </c>
      <c r="X23" s="10">
        <v>4832447.0559357004</v>
      </c>
      <c r="Y23" s="10">
        <v>7651343.9078000002</v>
      </c>
      <c r="Z23" s="10">
        <v>27491988.776655901</v>
      </c>
      <c r="AA23" s="10">
        <v>20731644.372153599</v>
      </c>
      <c r="AB23" s="10">
        <v>4398712.6914999997</v>
      </c>
      <c r="AC23" s="10">
        <v>6142733.3594809501</v>
      </c>
      <c r="AD23" s="10"/>
      <c r="AE23" s="10">
        <v>4402607.2923800005</v>
      </c>
      <c r="AF23" s="10">
        <v>7745986.4038000004</v>
      </c>
      <c r="AG23" s="10">
        <v>448744.30180000002</v>
      </c>
      <c r="AH23" s="10">
        <v>2770578.0721999998</v>
      </c>
      <c r="AI23" s="10">
        <v>539761.75100000005</v>
      </c>
      <c r="AJ23" s="10">
        <v>1869535.7923000001</v>
      </c>
      <c r="AK23" s="10">
        <v>3226628.74</v>
      </c>
      <c r="AL23" s="10">
        <v>1560273.8230000001</v>
      </c>
      <c r="AM23" s="10">
        <v>3641674.1138593</v>
      </c>
      <c r="AN23" s="10">
        <v>1779283.6314999999</v>
      </c>
      <c r="AO23" s="10"/>
      <c r="AP23" s="10"/>
      <c r="AQ23" s="10">
        <v>3201281.5317000002</v>
      </c>
      <c r="AR23" s="10">
        <v>2894124.7392000002</v>
      </c>
      <c r="AS23" s="10">
        <v>483201.27630000003</v>
      </c>
      <c r="AT23" s="10">
        <v>568692.43969999999</v>
      </c>
      <c r="AU23" s="10">
        <v>621002.13462400006</v>
      </c>
      <c r="AV23" s="10">
        <v>1327359.2851</v>
      </c>
      <c r="AW23" s="10">
        <v>2526305.4071999998</v>
      </c>
      <c r="AX23" s="10">
        <v>519759.63010000001</v>
      </c>
      <c r="AY23" s="10">
        <v>2809517.4588000001</v>
      </c>
      <c r="AZ23" s="10">
        <v>1740351.2392</v>
      </c>
      <c r="BA23" s="10">
        <v>133568.87049999999</v>
      </c>
      <c r="BB23" s="10">
        <v>294644.46970000002</v>
      </c>
      <c r="BC23" s="10">
        <v>290442.56699999998</v>
      </c>
      <c r="BD23" s="10">
        <v>1691116.2127</v>
      </c>
      <c r="BE23" s="10"/>
      <c r="BF23" s="10"/>
      <c r="BG23" s="10">
        <v>489687.88413999998</v>
      </c>
      <c r="BH23" s="10">
        <v>384607.75300000003</v>
      </c>
      <c r="BI23" s="10"/>
      <c r="BJ23" s="10">
        <v>807349.51260000002</v>
      </c>
      <c r="BK23" s="10">
        <v>449516.57539999997</v>
      </c>
      <c r="BL23" s="10">
        <v>142186.63279999999</v>
      </c>
      <c r="BM23" s="10">
        <v>916134.52170000004</v>
      </c>
      <c r="BN23" s="10">
        <v>829137.63769999996</v>
      </c>
      <c r="BO23" s="10">
        <v>86830.132700000002</v>
      </c>
      <c r="BP23" s="10">
        <v>536484.60069999995</v>
      </c>
      <c r="BQ23" s="10">
        <v>1046818.5088</v>
      </c>
      <c r="BR23" s="10">
        <v>168884.7574</v>
      </c>
      <c r="BS23" s="10">
        <v>1810329.2686099999</v>
      </c>
      <c r="BT23" s="10">
        <v>374489.65360000002</v>
      </c>
      <c r="BU23" s="10">
        <v>406714.70705000003</v>
      </c>
      <c r="BV23" s="10">
        <v>854184.85419999994</v>
      </c>
      <c r="BW23" s="10">
        <v>247304.77600000001</v>
      </c>
      <c r="BX23" s="10">
        <v>146164.5546</v>
      </c>
      <c r="BY23" s="10">
        <v>591053.90529999998</v>
      </c>
      <c r="BZ23" s="10">
        <v>205403.4056</v>
      </c>
      <c r="CA23" s="10">
        <v>755296.48199999996</v>
      </c>
      <c r="CB23" s="10">
        <v>646580.01170000003</v>
      </c>
      <c r="CC23" s="10">
        <v>827207.83103999996</v>
      </c>
      <c r="CD23" s="10">
        <v>131240.37119999999</v>
      </c>
      <c r="CE23" s="10">
        <v>287688.42589999997</v>
      </c>
      <c r="CF23" s="10">
        <v>19627.6823</v>
      </c>
      <c r="CG23" s="10">
        <v>32938.432999999997</v>
      </c>
      <c r="CH23" s="10"/>
      <c r="CI23" s="10">
        <v>114724.1038</v>
      </c>
      <c r="CJ23" s="10">
        <v>87095.087280000007</v>
      </c>
      <c r="CK23" s="10">
        <v>429780.50679999997</v>
      </c>
      <c r="CL23" s="10"/>
      <c r="CM23" s="10"/>
      <c r="CN23" s="10">
        <v>21534.827000000001</v>
      </c>
      <c r="CO23" s="10">
        <v>212217.04832</v>
      </c>
      <c r="CP23" s="10">
        <v>336585.48830000003</v>
      </c>
      <c r="CQ23" s="10">
        <v>708964.99210000003</v>
      </c>
      <c r="CR23" s="10">
        <v>180230.88459999999</v>
      </c>
      <c r="CS23" s="10">
        <v>1739119.37989</v>
      </c>
      <c r="CT23" s="10">
        <v>56060.96067</v>
      </c>
      <c r="CU23" s="10">
        <v>15202.075999999999</v>
      </c>
      <c r="CV23" s="10">
        <v>83742.364499999996</v>
      </c>
      <c r="CW23" s="10">
        <v>95844.448999999993</v>
      </c>
      <c r="CX23" s="10">
        <v>80877.906589999999</v>
      </c>
      <c r="CY23" s="10">
        <v>12405.246999999999</v>
      </c>
      <c r="CZ23" s="10"/>
      <c r="DA23" s="10">
        <v>72449.414199999999</v>
      </c>
      <c r="DB23" s="10"/>
      <c r="DC23" s="10">
        <v>60626.465303999998</v>
      </c>
      <c r="DD23" s="10">
        <v>22299.010900000001</v>
      </c>
      <c r="DE23" s="10"/>
      <c r="DF23" s="10">
        <v>23312.86765</v>
      </c>
      <c r="DG23" s="10"/>
      <c r="DH23" s="10">
        <v>48096.015800000001</v>
      </c>
      <c r="DI23" s="10">
        <v>62482.731</v>
      </c>
      <c r="DJ23" s="10"/>
      <c r="DK23" s="10">
        <v>171509.25899999999</v>
      </c>
      <c r="DL23" s="10">
        <v>23288.723000000002</v>
      </c>
      <c r="DM23" s="10"/>
      <c r="DN23" s="10">
        <v>25132.533459999999</v>
      </c>
      <c r="DO23" s="10">
        <v>35403.593999999997</v>
      </c>
      <c r="DP23" s="10">
        <v>18546.865600000001</v>
      </c>
      <c r="DQ23" s="10"/>
      <c r="DR23" s="10">
        <v>21396.07</v>
      </c>
      <c r="DS23" s="10">
        <v>19329.870500000001</v>
      </c>
      <c r="DT23" s="10">
        <v>20929.140299999999</v>
      </c>
      <c r="DU23" s="10"/>
      <c r="DV23" s="10">
        <v>23340.9951</v>
      </c>
      <c r="DW23" s="10">
        <v>13407.045</v>
      </c>
      <c r="DX23" s="10">
        <v>17041.508000000002</v>
      </c>
      <c r="DY23" s="10">
        <v>15291.78998</v>
      </c>
      <c r="DZ23" s="10">
        <v>20454.9257</v>
      </c>
      <c r="EA23" s="10">
        <v>0</v>
      </c>
      <c r="EB23" s="10"/>
      <c r="EC23" s="10">
        <v>49237.615682000003</v>
      </c>
      <c r="ED23" s="10">
        <v>15384.245199999999</v>
      </c>
      <c r="EE23" s="10">
        <v>53591.017</v>
      </c>
      <c r="EF23" s="10">
        <v>13044.973</v>
      </c>
      <c r="EG23" s="10">
        <v>25922.985000000001</v>
      </c>
      <c r="EH23" s="10">
        <v>14155.85865</v>
      </c>
      <c r="EI23" s="10">
        <v>15379.22669</v>
      </c>
      <c r="EJ23" s="10">
        <v>6093.2327999999998</v>
      </c>
      <c r="EK23" s="10">
        <v>20890.744200000001</v>
      </c>
      <c r="EL23" s="10">
        <v>11963.0964</v>
      </c>
      <c r="EM23" s="10">
        <v>4991.0019000000002</v>
      </c>
      <c r="EN23" s="10">
        <v>28328.13</v>
      </c>
      <c r="EO23" s="10">
        <v>2916.0770000000002</v>
      </c>
      <c r="EP23" s="10">
        <v>13489.701999999999</v>
      </c>
      <c r="EQ23" s="10">
        <v>18316.790199999999</v>
      </c>
      <c r="ER23" s="10">
        <v>4335.1873999999998</v>
      </c>
      <c r="ES23" s="10">
        <v>10174.1924</v>
      </c>
      <c r="ET23" s="10">
        <v>6973.5123999999996</v>
      </c>
      <c r="EU23" s="10"/>
      <c r="EV23" s="10">
        <v>0</v>
      </c>
      <c r="EW23" s="10">
        <v>27296.647000000001</v>
      </c>
      <c r="EX23" s="10">
        <v>62484.788999999997</v>
      </c>
      <c r="EY23" s="10">
        <v>39545.862999999998</v>
      </c>
      <c r="EZ23" s="10">
        <v>16760.881300000001</v>
      </c>
      <c r="FA23" s="10"/>
      <c r="FB23" s="10">
        <v>6667.1338999999998</v>
      </c>
      <c r="FC23" s="10">
        <v>27237.366999999998</v>
      </c>
      <c r="FD23" s="10">
        <v>11539.8305</v>
      </c>
      <c r="FE23" s="10">
        <v>8377.4056</v>
      </c>
      <c r="FF23" s="10">
        <v>38634.673999999999</v>
      </c>
      <c r="FG23" s="10">
        <v>8890.5789999999997</v>
      </c>
      <c r="FH23" s="10">
        <v>16209.6618</v>
      </c>
      <c r="FI23" s="10">
        <v>15999.357</v>
      </c>
      <c r="FJ23" s="10">
        <v>15860.77</v>
      </c>
      <c r="FK23" s="10">
        <v>9989.7309999999998</v>
      </c>
      <c r="FL23" s="10">
        <v>12990.0718</v>
      </c>
      <c r="FM23" s="10">
        <v>63772.913999999997</v>
      </c>
      <c r="FN23" s="10">
        <v>5623.0370000000003</v>
      </c>
      <c r="FO23" s="10">
        <v>31388.095099999999</v>
      </c>
      <c r="FP23" s="10">
        <v>6775.5901000000003</v>
      </c>
      <c r="FQ23" s="10"/>
      <c r="FR23" s="10">
        <v>12619.5512</v>
      </c>
      <c r="FS23" s="10">
        <v>68642.869200000001</v>
      </c>
      <c r="FT23" s="10">
        <v>2694.0717</v>
      </c>
      <c r="FU23" s="10">
        <v>8282.8680000000004</v>
      </c>
      <c r="FV23" s="10"/>
      <c r="FW23" s="10">
        <v>15521.5088</v>
      </c>
      <c r="FX23" s="10">
        <v>6293.6669000000002</v>
      </c>
      <c r="FY23" s="10">
        <v>13248.8388</v>
      </c>
      <c r="FZ23" s="10"/>
      <c r="GA23" s="10">
        <v>0</v>
      </c>
      <c r="GB23" s="10"/>
      <c r="GC23" s="10"/>
      <c r="GD23" s="10"/>
      <c r="GE23" s="10">
        <v>0</v>
      </c>
      <c r="GF23" s="10">
        <v>1914.6379999999999</v>
      </c>
      <c r="GG23" s="10">
        <v>0</v>
      </c>
    </row>
    <row r="24" spans="1:189" x14ac:dyDescent="0.35">
      <c r="A24" s="8">
        <v>46141</v>
      </c>
      <c r="B24" s="9">
        <v>6785451074.1668701</v>
      </c>
      <c r="C24" s="10">
        <v>2514598036.7169199</v>
      </c>
      <c r="D24" s="10">
        <v>1261546637.4275999</v>
      </c>
      <c r="E24" s="10">
        <v>1662861103.07184</v>
      </c>
      <c r="F24" s="10">
        <v>461433500.33670002</v>
      </c>
      <c r="G24" s="10">
        <v>113660518.2976</v>
      </c>
      <c r="H24" s="10">
        <v>52812695.555014603</v>
      </c>
      <c r="I24" s="10">
        <v>22418965.936799999</v>
      </c>
      <c r="J24" s="10">
        <v>31755922.017093599</v>
      </c>
      <c r="K24" s="10">
        <v>75086686.142781094</v>
      </c>
      <c r="L24" s="10">
        <v>56842465.6602</v>
      </c>
      <c r="M24" s="10">
        <v>109723733.218996</v>
      </c>
      <c r="N24" s="10">
        <v>31880675.848999999</v>
      </c>
      <c r="O24" s="10">
        <v>12780068.8562</v>
      </c>
      <c r="P24" s="10">
        <v>58818607.701099999</v>
      </c>
      <c r="Q24" s="10">
        <v>28671915.2993</v>
      </c>
      <c r="R24" s="10">
        <v>6475536.0780756501</v>
      </c>
      <c r="S24" s="10">
        <v>11673565.552650001</v>
      </c>
      <c r="T24" s="10">
        <v>12133813.5702</v>
      </c>
      <c r="U24" s="10">
        <v>53310568.9891771</v>
      </c>
      <c r="V24" s="10">
        <v>45575452.293336697</v>
      </c>
      <c r="W24" s="10">
        <v>17005478.008473001</v>
      </c>
      <c r="X24" s="10">
        <v>5130165.4420959996</v>
      </c>
      <c r="Y24" s="10">
        <v>8115985.8201000001</v>
      </c>
      <c r="Z24" s="10">
        <v>27578701.112735</v>
      </c>
      <c r="AA24" s="10">
        <v>32408236.023016799</v>
      </c>
      <c r="AB24" s="10">
        <v>3932580.2629999998</v>
      </c>
      <c r="AC24" s="10">
        <v>5539801.2847613497</v>
      </c>
      <c r="AD24" s="10"/>
      <c r="AE24" s="10">
        <v>2852457.1495099999</v>
      </c>
      <c r="AF24" s="10">
        <v>7776272.9628999997</v>
      </c>
      <c r="AG24" s="10">
        <v>938017.53489999997</v>
      </c>
      <c r="AH24" s="10">
        <v>4386265.6968</v>
      </c>
      <c r="AI24" s="10">
        <v>918735.45400000003</v>
      </c>
      <c r="AJ24" s="10">
        <v>1961859.2516999999</v>
      </c>
      <c r="AK24" s="10">
        <v>1364569.1510000001</v>
      </c>
      <c r="AL24" s="10">
        <v>1382082.7109000001</v>
      </c>
      <c r="AM24" s="10">
        <v>1163999.2588140001</v>
      </c>
      <c r="AN24" s="10">
        <v>2215140.3429</v>
      </c>
      <c r="AO24" s="10"/>
      <c r="AP24" s="10"/>
      <c r="AQ24" s="10">
        <v>3284866.5732</v>
      </c>
      <c r="AR24" s="10">
        <v>1561694.5001999999</v>
      </c>
      <c r="AS24" s="10">
        <v>588727.33070000005</v>
      </c>
      <c r="AT24" s="10">
        <v>848963.29379999998</v>
      </c>
      <c r="AU24" s="10">
        <v>701896.68613299995</v>
      </c>
      <c r="AV24" s="10">
        <v>2044478.28</v>
      </c>
      <c r="AW24" s="10">
        <v>1080077.2378</v>
      </c>
      <c r="AX24" s="10">
        <v>564511.73239999998</v>
      </c>
      <c r="AY24" s="10">
        <v>2589175.3292999999</v>
      </c>
      <c r="AZ24" s="10">
        <v>1957403.0519999999</v>
      </c>
      <c r="BA24" s="10">
        <v>247552.0423</v>
      </c>
      <c r="BB24" s="10">
        <v>325701.11940000003</v>
      </c>
      <c r="BC24" s="10">
        <v>1214231.7579999999</v>
      </c>
      <c r="BD24" s="10">
        <v>337146.23149999999</v>
      </c>
      <c r="BE24" s="10"/>
      <c r="BF24" s="10"/>
      <c r="BG24" s="10">
        <v>232645.50982000001</v>
      </c>
      <c r="BH24" s="10">
        <v>334129.71090000001</v>
      </c>
      <c r="BI24" s="10"/>
      <c r="BJ24" s="10">
        <v>550371.59629999998</v>
      </c>
      <c r="BK24" s="10">
        <v>351098.27730000002</v>
      </c>
      <c r="BL24" s="10">
        <v>355321.30410000001</v>
      </c>
      <c r="BM24" s="10">
        <v>2110489.5995</v>
      </c>
      <c r="BN24" s="10">
        <v>882767.40130000003</v>
      </c>
      <c r="BO24" s="10">
        <v>97068.8033</v>
      </c>
      <c r="BP24" s="10">
        <v>607503.72409999999</v>
      </c>
      <c r="BQ24" s="10">
        <v>541425.1899</v>
      </c>
      <c r="BR24" s="10">
        <v>701440.80169999995</v>
      </c>
      <c r="BS24" s="10">
        <v>265558.90581999999</v>
      </c>
      <c r="BT24" s="10">
        <v>294995.25630000001</v>
      </c>
      <c r="BU24" s="10">
        <v>277626.04953999998</v>
      </c>
      <c r="BV24" s="10">
        <v>831003.49849999999</v>
      </c>
      <c r="BW24" s="10">
        <v>111308.64569999999</v>
      </c>
      <c r="BX24" s="10">
        <v>303976.71889999998</v>
      </c>
      <c r="BY24" s="10">
        <v>404415.30180000002</v>
      </c>
      <c r="BZ24" s="10">
        <v>217607.2482</v>
      </c>
      <c r="CA24" s="10">
        <v>1596412.0449000001</v>
      </c>
      <c r="CB24" s="10">
        <v>55161.662499999999</v>
      </c>
      <c r="CC24" s="10">
        <v>135415.02557</v>
      </c>
      <c r="CD24" s="10">
        <v>112416.6088</v>
      </c>
      <c r="CE24" s="10">
        <v>91300.078599999993</v>
      </c>
      <c r="CF24" s="10">
        <v>133493.42739999999</v>
      </c>
      <c r="CG24" s="10">
        <v>56571.803</v>
      </c>
      <c r="CH24" s="10"/>
      <c r="CI24" s="10">
        <v>2329749.9071999998</v>
      </c>
      <c r="CJ24" s="10">
        <v>97022.457049999997</v>
      </c>
      <c r="CK24" s="10">
        <v>285522.04820000002</v>
      </c>
      <c r="CL24" s="10"/>
      <c r="CM24" s="10"/>
      <c r="CN24" s="10">
        <v>45316.057999999997</v>
      </c>
      <c r="CO24" s="10">
        <v>185262.71490200001</v>
      </c>
      <c r="CP24" s="10">
        <v>152032.23850000001</v>
      </c>
      <c r="CQ24" s="10">
        <v>394266.76309999998</v>
      </c>
      <c r="CR24" s="10">
        <v>249761.8394</v>
      </c>
      <c r="CS24" s="10">
        <v>2062288.83136</v>
      </c>
      <c r="CT24" s="10">
        <v>85542.660399999993</v>
      </c>
      <c r="CU24" s="10">
        <v>35424.786999999997</v>
      </c>
      <c r="CV24" s="10">
        <v>115416.1624</v>
      </c>
      <c r="CW24" s="10">
        <v>39248.360999999997</v>
      </c>
      <c r="CX24" s="10">
        <v>175478.91329</v>
      </c>
      <c r="CY24" s="10">
        <v>22163.864000000001</v>
      </c>
      <c r="CZ24" s="10"/>
      <c r="DA24" s="10">
        <v>36635.282200000001</v>
      </c>
      <c r="DB24" s="10"/>
      <c r="DC24" s="10">
        <v>64540.809008999997</v>
      </c>
      <c r="DD24" s="10">
        <v>31305.123899999999</v>
      </c>
      <c r="DE24" s="10"/>
      <c r="DF24" s="10">
        <v>15623.071260000001</v>
      </c>
      <c r="DG24" s="10"/>
      <c r="DH24" s="10">
        <v>97996.733200000002</v>
      </c>
      <c r="DI24" s="10">
        <v>45202.798000000003</v>
      </c>
      <c r="DJ24" s="10"/>
      <c r="DK24" s="10">
        <v>39053.4</v>
      </c>
      <c r="DL24" s="10">
        <v>23302.886999999999</v>
      </c>
      <c r="DM24" s="10"/>
      <c r="DN24" s="10">
        <v>18149.412639999999</v>
      </c>
      <c r="DO24" s="10">
        <v>10519.299000000001</v>
      </c>
      <c r="DP24" s="10">
        <v>14200.679099999999</v>
      </c>
      <c r="DQ24" s="10"/>
      <c r="DR24" s="10">
        <v>78515.061199999996</v>
      </c>
      <c r="DS24" s="10">
        <v>23828.455099999999</v>
      </c>
      <c r="DT24" s="10">
        <v>15564.8591</v>
      </c>
      <c r="DU24" s="10"/>
      <c r="DV24" s="10">
        <v>17287.669099999999</v>
      </c>
      <c r="DW24" s="10">
        <v>24100.8092</v>
      </c>
      <c r="DX24" s="10">
        <v>17305.727999999999</v>
      </c>
      <c r="DY24" s="10">
        <v>24755.58124</v>
      </c>
      <c r="DZ24" s="10">
        <v>25118.684300000001</v>
      </c>
      <c r="EA24" s="10">
        <v>0</v>
      </c>
      <c r="EB24" s="10"/>
      <c r="EC24" s="10">
        <v>9868.1186190000008</v>
      </c>
      <c r="ED24" s="10">
        <v>15581.3429</v>
      </c>
      <c r="EE24" s="10">
        <v>35550.561000000002</v>
      </c>
      <c r="EF24" s="10">
        <v>37131.878299999997</v>
      </c>
      <c r="EG24" s="10">
        <v>29191.021000000001</v>
      </c>
      <c r="EH24" s="10">
        <v>7258.7158200000003</v>
      </c>
      <c r="EI24" s="10">
        <v>4209.6471499999998</v>
      </c>
      <c r="EJ24" s="10">
        <v>7852.5627999999997</v>
      </c>
      <c r="EK24" s="10">
        <v>12899.7495</v>
      </c>
      <c r="EL24" s="10">
        <v>29840.8956</v>
      </c>
      <c r="EM24" s="10">
        <v>6235.4687999999996</v>
      </c>
      <c r="EN24" s="10">
        <v>36113.993000000002</v>
      </c>
      <c r="EO24" s="10">
        <v>24257.3498</v>
      </c>
      <c r="EP24" s="10">
        <v>20472.850999999999</v>
      </c>
      <c r="EQ24" s="10">
        <v>43748.862000000001</v>
      </c>
      <c r="ER24" s="10">
        <v>4581.8972000000003</v>
      </c>
      <c r="ES24" s="10">
        <v>9708.7795999999998</v>
      </c>
      <c r="ET24" s="10">
        <v>3960.1345000000001</v>
      </c>
      <c r="EU24" s="10"/>
      <c r="EV24" s="10">
        <v>2503.2131599999998</v>
      </c>
      <c r="EW24" s="10">
        <v>34575.864999999998</v>
      </c>
      <c r="EX24" s="10">
        <v>27923.866999999998</v>
      </c>
      <c r="EY24" s="10">
        <v>34420.942000000003</v>
      </c>
      <c r="EZ24" s="10">
        <v>37378.983099999998</v>
      </c>
      <c r="FA24" s="10"/>
      <c r="FB24" s="10">
        <v>28333.4306</v>
      </c>
      <c r="FC24" s="10">
        <v>12819.594999999999</v>
      </c>
      <c r="FD24" s="10">
        <v>11413.9184</v>
      </c>
      <c r="FE24" s="10">
        <v>5141.6683000000003</v>
      </c>
      <c r="FF24" s="10">
        <v>7539.3040000000001</v>
      </c>
      <c r="FG24" s="10">
        <v>8731.9439999999995</v>
      </c>
      <c r="FH24" s="10">
        <v>9884.9022999999997</v>
      </c>
      <c r="FI24" s="10">
        <v>50530.805</v>
      </c>
      <c r="FJ24" s="10">
        <v>22323.587500000001</v>
      </c>
      <c r="FK24" s="10">
        <v>35542.656000000003</v>
      </c>
      <c r="FL24" s="10">
        <v>21109.082200000001</v>
      </c>
      <c r="FM24" s="10">
        <v>8839.7947000000004</v>
      </c>
      <c r="FN24" s="10">
        <v>12391.2101</v>
      </c>
      <c r="FO24" s="10">
        <v>5102.7221</v>
      </c>
      <c r="FP24" s="10">
        <v>6570.7013999999999</v>
      </c>
      <c r="FQ24" s="10"/>
      <c r="FR24" s="10">
        <v>6361.1439</v>
      </c>
      <c r="FS24" s="10">
        <v>17326.5746</v>
      </c>
      <c r="FT24" s="10">
        <v>4800.8801000000003</v>
      </c>
      <c r="FU24" s="10">
        <v>14404.254999999999</v>
      </c>
      <c r="FV24" s="10"/>
      <c r="FW24" s="10">
        <v>44719.633800000003</v>
      </c>
      <c r="FX24" s="10">
        <v>3270.4852999999998</v>
      </c>
      <c r="FY24" s="10">
        <v>12223.8267</v>
      </c>
      <c r="FZ24" s="10"/>
      <c r="GA24" s="10">
        <v>0</v>
      </c>
      <c r="GB24" s="10"/>
      <c r="GC24" s="10"/>
      <c r="GD24" s="10"/>
      <c r="GE24" s="10">
        <v>0</v>
      </c>
      <c r="GF24" s="10">
        <v>156</v>
      </c>
      <c r="GG24" s="10">
        <v>0</v>
      </c>
    </row>
    <row r="25" spans="1:189" x14ac:dyDescent="0.35">
      <c r="A25" s="8">
        <v>46140</v>
      </c>
      <c r="B25" s="9">
        <v>7613644249.4504099</v>
      </c>
      <c r="C25" s="10">
        <v>2918601038.03192</v>
      </c>
      <c r="D25" s="10">
        <v>2003090110.91962</v>
      </c>
      <c r="E25" s="10">
        <v>1567328778.3703101</v>
      </c>
      <c r="F25" s="10">
        <v>284486855.12620002</v>
      </c>
      <c r="G25" s="10">
        <v>104134503.228</v>
      </c>
      <c r="H25" s="10">
        <v>71272813.905430496</v>
      </c>
      <c r="I25" s="10">
        <v>19017277.681600001</v>
      </c>
      <c r="J25" s="10">
        <v>26486014.564300001</v>
      </c>
      <c r="K25" s="10">
        <v>164845661.874538</v>
      </c>
      <c r="L25" s="10">
        <v>64533866.244400002</v>
      </c>
      <c r="M25" s="10">
        <v>57697359.457900003</v>
      </c>
      <c r="N25" s="10">
        <v>33601000.304099999</v>
      </c>
      <c r="O25" s="10">
        <v>15061186.872300001</v>
      </c>
      <c r="P25" s="10">
        <v>55890313.6941</v>
      </c>
      <c r="Q25" s="10">
        <v>27019449.9496</v>
      </c>
      <c r="R25" s="10">
        <v>10073240.508318</v>
      </c>
      <c r="S25" s="10">
        <v>14225542.46305</v>
      </c>
      <c r="T25" s="10">
        <v>18093450.041999999</v>
      </c>
      <c r="U25" s="10">
        <v>14874419.4152929</v>
      </c>
      <c r="V25" s="10">
        <v>18621181.736860901</v>
      </c>
      <c r="W25" s="10">
        <v>14584176.250476999</v>
      </c>
      <c r="X25" s="10">
        <v>4660413.5911999997</v>
      </c>
      <c r="Y25" s="10">
        <v>8959243.4660999998</v>
      </c>
      <c r="Z25" s="10">
        <v>8972717.5049974993</v>
      </c>
      <c r="AA25" s="10">
        <v>7130104.0543306004</v>
      </c>
      <c r="AB25" s="10">
        <v>9873369.5600000005</v>
      </c>
      <c r="AC25" s="10">
        <v>5101377.8967052503</v>
      </c>
      <c r="AD25" s="10"/>
      <c r="AE25" s="10">
        <v>4318192.2112199999</v>
      </c>
      <c r="AF25" s="10">
        <v>10856767.195499999</v>
      </c>
      <c r="AG25" s="10">
        <v>793861.00020000001</v>
      </c>
      <c r="AH25" s="10">
        <v>7627679.1720000003</v>
      </c>
      <c r="AI25" s="10">
        <v>384492.85</v>
      </c>
      <c r="AJ25" s="10">
        <v>3992992.3591999998</v>
      </c>
      <c r="AK25" s="10">
        <v>967333.39899999998</v>
      </c>
      <c r="AL25" s="10">
        <v>1653027.1121</v>
      </c>
      <c r="AM25" s="10">
        <v>1158633.4724999999</v>
      </c>
      <c r="AN25" s="10">
        <v>764700.38870000001</v>
      </c>
      <c r="AO25" s="10"/>
      <c r="AP25" s="10"/>
      <c r="AQ25" s="10">
        <v>2128832.8451999999</v>
      </c>
      <c r="AR25" s="10">
        <v>947737.08459999994</v>
      </c>
      <c r="AS25" s="10">
        <v>918639.62300000002</v>
      </c>
      <c r="AT25" s="10">
        <v>799109.74179999996</v>
      </c>
      <c r="AU25" s="10">
        <v>937116.32500900002</v>
      </c>
      <c r="AV25" s="10">
        <v>1557379.5774999999</v>
      </c>
      <c r="AW25" s="10">
        <v>872186.2071</v>
      </c>
      <c r="AX25" s="10">
        <v>299884.67540000001</v>
      </c>
      <c r="AY25" s="10">
        <v>531413.85809999995</v>
      </c>
      <c r="AZ25" s="10">
        <v>560257.57539999997</v>
      </c>
      <c r="BA25" s="10">
        <v>431346.70400000003</v>
      </c>
      <c r="BB25" s="10">
        <v>256322.71230000001</v>
      </c>
      <c r="BC25" s="10">
        <v>610977.39500000002</v>
      </c>
      <c r="BD25" s="10">
        <v>797381.15430000005</v>
      </c>
      <c r="BE25" s="10"/>
      <c r="BF25" s="10"/>
      <c r="BG25" s="10">
        <v>530865.19567000004</v>
      </c>
      <c r="BH25" s="10">
        <v>256431.1649</v>
      </c>
      <c r="BI25" s="10"/>
      <c r="BJ25" s="10">
        <v>359111.64569999999</v>
      </c>
      <c r="BK25" s="10">
        <v>383604.37680000003</v>
      </c>
      <c r="BL25" s="10">
        <v>400297.58549999999</v>
      </c>
      <c r="BM25" s="10">
        <v>1651919.9369000001</v>
      </c>
      <c r="BN25" s="10">
        <v>1569894.6742</v>
      </c>
      <c r="BO25" s="10">
        <v>118474.29300000001</v>
      </c>
      <c r="BP25" s="10">
        <v>736512.01859999995</v>
      </c>
      <c r="BQ25" s="10">
        <v>798333.51029999997</v>
      </c>
      <c r="BR25" s="10">
        <v>705814.43530000001</v>
      </c>
      <c r="BS25" s="10">
        <v>159160.31795</v>
      </c>
      <c r="BT25" s="10">
        <v>449994.30410000001</v>
      </c>
      <c r="BU25" s="10">
        <v>362988.73531999998</v>
      </c>
      <c r="BV25" s="10">
        <v>410489.54190000001</v>
      </c>
      <c r="BW25" s="10">
        <v>119537.1105</v>
      </c>
      <c r="BX25" s="10">
        <v>119525.8548</v>
      </c>
      <c r="BY25" s="10">
        <v>772490.13840000005</v>
      </c>
      <c r="BZ25" s="10">
        <v>328397.36259999999</v>
      </c>
      <c r="CA25" s="10">
        <v>1651339.1455999999</v>
      </c>
      <c r="CB25" s="10">
        <v>49729.460899999998</v>
      </c>
      <c r="CC25" s="10">
        <v>111898.70159</v>
      </c>
      <c r="CD25" s="10">
        <v>51641.679199999999</v>
      </c>
      <c r="CE25" s="10">
        <v>184523.5208</v>
      </c>
      <c r="CF25" s="10">
        <v>92374.473599999998</v>
      </c>
      <c r="CG25" s="10">
        <v>100674.254</v>
      </c>
      <c r="CH25" s="10"/>
      <c r="CI25" s="10">
        <v>4497478.0661000004</v>
      </c>
      <c r="CJ25" s="10">
        <v>134614.48405</v>
      </c>
      <c r="CK25" s="10">
        <v>491008.64539999998</v>
      </c>
      <c r="CL25" s="10"/>
      <c r="CM25" s="10"/>
      <c r="CN25" s="10">
        <v>27757.842000000001</v>
      </c>
      <c r="CO25" s="10">
        <v>247110.239944</v>
      </c>
      <c r="CP25" s="10">
        <v>398211.65039999998</v>
      </c>
      <c r="CQ25" s="10">
        <v>975385.64069999999</v>
      </c>
      <c r="CR25" s="10">
        <v>119321.155</v>
      </c>
      <c r="CS25" s="10">
        <v>297730.98126999999</v>
      </c>
      <c r="CT25" s="10">
        <v>34752.497459999999</v>
      </c>
      <c r="CU25" s="10">
        <v>42751.377</v>
      </c>
      <c r="CV25" s="10">
        <v>33613.509899999997</v>
      </c>
      <c r="CW25" s="10">
        <v>45912.428</v>
      </c>
      <c r="CX25" s="10">
        <v>80315.010840000003</v>
      </c>
      <c r="CY25" s="10">
        <v>14682.59</v>
      </c>
      <c r="CZ25" s="10"/>
      <c r="DA25" s="10">
        <v>58859.252999999997</v>
      </c>
      <c r="DB25" s="10"/>
      <c r="DC25" s="10">
        <v>31458.497993000001</v>
      </c>
      <c r="DD25" s="10">
        <v>28316.064299999998</v>
      </c>
      <c r="DE25" s="10"/>
      <c r="DF25" s="10">
        <v>33399.143340000002</v>
      </c>
      <c r="DG25" s="10"/>
      <c r="DH25" s="10">
        <v>103914.7445</v>
      </c>
      <c r="DI25" s="10">
        <v>40163.927000000003</v>
      </c>
      <c r="DJ25" s="10"/>
      <c r="DK25" s="10">
        <v>35076.521000000001</v>
      </c>
      <c r="DL25" s="10">
        <v>51449.33</v>
      </c>
      <c r="DM25" s="10"/>
      <c r="DN25" s="10">
        <v>18053.134279999998</v>
      </c>
      <c r="DO25" s="10">
        <v>19284.518</v>
      </c>
      <c r="DP25" s="10">
        <v>45097.2071</v>
      </c>
      <c r="DQ25" s="10"/>
      <c r="DR25" s="10">
        <v>57526.434999999998</v>
      </c>
      <c r="DS25" s="10">
        <v>16602.575700000001</v>
      </c>
      <c r="DT25" s="10">
        <v>16428.2343</v>
      </c>
      <c r="DU25" s="10"/>
      <c r="DV25" s="10">
        <v>6779.8959000000004</v>
      </c>
      <c r="DW25" s="10">
        <v>20272.705300000001</v>
      </c>
      <c r="DX25" s="10"/>
      <c r="DY25" s="10">
        <v>13439.922689999999</v>
      </c>
      <c r="DZ25" s="10">
        <v>15207.038500000001</v>
      </c>
      <c r="EA25" s="10">
        <v>0</v>
      </c>
      <c r="EB25" s="10"/>
      <c r="EC25" s="10">
        <v>13683.366586</v>
      </c>
      <c r="ED25" s="10">
        <v>39134.008500000004</v>
      </c>
      <c r="EE25" s="10">
        <v>74174.626000000004</v>
      </c>
      <c r="EF25" s="10">
        <v>18955.208699999999</v>
      </c>
      <c r="EG25" s="10">
        <v>20529.976999999999</v>
      </c>
      <c r="EH25" s="10">
        <v>19296.376619999999</v>
      </c>
      <c r="EI25" s="10">
        <v>3678.58592</v>
      </c>
      <c r="EJ25" s="10">
        <v>2911.6435999999999</v>
      </c>
      <c r="EK25" s="10">
        <v>26920.327799999999</v>
      </c>
      <c r="EL25" s="10">
        <v>17898.075700000001</v>
      </c>
      <c r="EM25" s="10">
        <v>10745.349</v>
      </c>
      <c r="EN25" s="10">
        <v>72279.005999999994</v>
      </c>
      <c r="EO25" s="10">
        <v>9135.2652999999991</v>
      </c>
      <c r="EP25" s="10">
        <v>10555.011</v>
      </c>
      <c r="EQ25" s="10">
        <v>41019.057099999998</v>
      </c>
      <c r="ER25" s="10">
        <v>4524.7649000000001</v>
      </c>
      <c r="ES25" s="10">
        <v>4520.3179</v>
      </c>
      <c r="ET25" s="10">
        <v>12312.9288</v>
      </c>
      <c r="EU25" s="10"/>
      <c r="EV25" s="10">
        <v>6726.5549000000001</v>
      </c>
      <c r="EW25" s="10">
        <v>19450.145</v>
      </c>
      <c r="EX25" s="10">
        <v>46469.527000000002</v>
      </c>
      <c r="EY25" s="10">
        <v>35764.720999999998</v>
      </c>
      <c r="EZ25" s="10">
        <v>15225.8699</v>
      </c>
      <c r="FA25" s="10"/>
      <c r="FB25" s="10">
        <v>20060.480200000002</v>
      </c>
      <c r="FC25" s="10">
        <v>10678.405000000001</v>
      </c>
      <c r="FD25" s="10">
        <v>14997.504199999999</v>
      </c>
      <c r="FE25" s="10">
        <v>15987.845600000001</v>
      </c>
      <c r="FF25" s="10">
        <v>8192.7099999999991</v>
      </c>
      <c r="FG25" s="10">
        <v>10200.841</v>
      </c>
      <c r="FH25" s="10">
        <v>10441.165300000001</v>
      </c>
      <c r="FI25" s="10"/>
      <c r="FJ25" s="10">
        <v>34382.556799999998</v>
      </c>
      <c r="FK25" s="10">
        <v>7797.0649999999996</v>
      </c>
      <c r="FL25" s="10"/>
      <c r="FM25" s="10">
        <v>6494.5955000000004</v>
      </c>
      <c r="FN25" s="10">
        <v>3688.7402999999999</v>
      </c>
      <c r="FO25" s="10">
        <v>4714.7430999999997</v>
      </c>
      <c r="FP25" s="10">
        <v>6843.8897999999999</v>
      </c>
      <c r="FQ25" s="10"/>
      <c r="FR25" s="10">
        <v>9823.0563999999995</v>
      </c>
      <c r="FS25" s="10">
        <v>5306.9133000000002</v>
      </c>
      <c r="FT25" s="10">
        <v>4428.1342999999997</v>
      </c>
      <c r="FU25" s="10"/>
      <c r="FV25" s="10"/>
      <c r="FW25" s="10">
        <v>11446.265100000001</v>
      </c>
      <c r="FX25" s="10"/>
      <c r="FY25" s="10"/>
      <c r="FZ25" s="10"/>
      <c r="GA25" s="10">
        <v>3123.7683999999999</v>
      </c>
      <c r="GB25" s="10"/>
      <c r="GC25" s="10"/>
      <c r="GD25" s="10"/>
      <c r="GE25" s="10">
        <v>0</v>
      </c>
      <c r="GF25" s="10">
        <v>0</v>
      </c>
      <c r="GG25" s="10">
        <v>0</v>
      </c>
    </row>
    <row r="26" spans="1:189" x14ac:dyDescent="0.35">
      <c r="A26" s="8">
        <v>46139</v>
      </c>
      <c r="B26" s="9">
        <v>3605350093.0925298</v>
      </c>
      <c r="C26" s="10">
        <v>1279734125.0870299</v>
      </c>
      <c r="D26" s="10">
        <v>853528638.30548</v>
      </c>
      <c r="E26" s="10">
        <v>652267561.78606999</v>
      </c>
      <c r="F26" s="10">
        <v>162285168.48379999</v>
      </c>
      <c r="G26" s="10">
        <v>96102980.739299998</v>
      </c>
      <c r="H26" s="10">
        <v>77052488.412135899</v>
      </c>
      <c r="I26" s="10">
        <v>20155989.568100002</v>
      </c>
      <c r="J26" s="10">
        <v>22204371.5491</v>
      </c>
      <c r="K26" s="10">
        <v>64917114.3739831</v>
      </c>
      <c r="L26" s="10">
        <v>69031298.243399993</v>
      </c>
      <c r="M26" s="10">
        <v>86790433.714300007</v>
      </c>
      <c r="N26" s="10">
        <v>22397152.000399999</v>
      </c>
      <c r="O26" s="10">
        <v>10818065.573799999</v>
      </c>
      <c r="P26" s="10">
        <v>21280330.949299999</v>
      </c>
      <c r="Q26" s="10">
        <v>13565263.131999999</v>
      </c>
      <c r="R26" s="10">
        <v>7195026.4231378203</v>
      </c>
      <c r="S26" s="10">
        <v>8190692.9868599996</v>
      </c>
      <c r="T26" s="10">
        <v>10455739.584799999</v>
      </c>
      <c r="U26" s="10">
        <v>14675507.845945301</v>
      </c>
      <c r="V26" s="10">
        <v>16964472.342976999</v>
      </c>
      <c r="W26" s="10">
        <v>10994533.610511599</v>
      </c>
      <c r="X26" s="10">
        <v>6547967.6306999996</v>
      </c>
      <c r="Y26" s="10">
        <v>3566988.7270999998</v>
      </c>
      <c r="Z26" s="10">
        <v>6410665.6983997999</v>
      </c>
      <c r="AA26" s="10">
        <v>10609678.320428099</v>
      </c>
      <c r="AB26" s="10">
        <v>3782630.3450000002</v>
      </c>
      <c r="AC26" s="10">
        <v>7217450.6501940396</v>
      </c>
      <c r="AD26" s="10"/>
      <c r="AE26" s="10">
        <v>2753325.6993100001</v>
      </c>
      <c r="AF26" s="10">
        <v>14964212.1822</v>
      </c>
      <c r="AG26" s="10">
        <v>1003682.7075</v>
      </c>
      <c r="AH26" s="10">
        <v>1889242.0667000001</v>
      </c>
      <c r="AI26" s="10">
        <v>323571.22100000002</v>
      </c>
      <c r="AJ26" s="10">
        <v>1878780.1938</v>
      </c>
      <c r="AK26" s="10">
        <v>1566222.166</v>
      </c>
      <c r="AL26" s="10">
        <v>1966581.5223000001</v>
      </c>
      <c r="AM26" s="10">
        <v>992995.36230000004</v>
      </c>
      <c r="AN26" s="10">
        <v>839255.21959999995</v>
      </c>
      <c r="AO26" s="10"/>
      <c r="AP26" s="10"/>
      <c r="AQ26" s="10">
        <v>2060532.6632000001</v>
      </c>
      <c r="AR26" s="10">
        <v>923805.00430000003</v>
      </c>
      <c r="AS26" s="10">
        <v>490539.19400000002</v>
      </c>
      <c r="AT26" s="10">
        <v>1182239.4465000001</v>
      </c>
      <c r="AU26" s="10">
        <v>642847.49462200003</v>
      </c>
      <c r="AV26" s="10">
        <v>946526.59129999997</v>
      </c>
      <c r="AW26" s="10">
        <v>627233.99040000001</v>
      </c>
      <c r="AX26" s="10">
        <v>502488.96620000002</v>
      </c>
      <c r="AY26" s="10">
        <v>1299099.5659</v>
      </c>
      <c r="AZ26" s="10">
        <v>567771.72580000001</v>
      </c>
      <c r="BA26" s="10">
        <v>441797.16310000001</v>
      </c>
      <c r="BB26" s="10">
        <v>286972.45199999999</v>
      </c>
      <c r="BC26" s="10">
        <v>417387.18599999999</v>
      </c>
      <c r="BD26" s="10">
        <v>309251.81579999998</v>
      </c>
      <c r="BE26" s="10"/>
      <c r="BF26" s="10"/>
      <c r="BG26" s="10">
        <v>259289.43212000001</v>
      </c>
      <c r="BH26" s="10"/>
      <c r="BI26" s="10"/>
      <c r="BJ26" s="10"/>
      <c r="BK26" s="10">
        <v>100478.32</v>
      </c>
      <c r="BL26" s="10">
        <v>271261.72369999997</v>
      </c>
      <c r="BM26" s="10">
        <v>160164.34390000001</v>
      </c>
      <c r="BN26" s="10">
        <v>305235.4779</v>
      </c>
      <c r="BO26" s="10">
        <v>98408.250100000005</v>
      </c>
      <c r="BP26" s="10">
        <v>348890.59279999998</v>
      </c>
      <c r="BQ26" s="10">
        <v>239308.7421</v>
      </c>
      <c r="BR26" s="10">
        <v>309411.38089999999</v>
      </c>
      <c r="BS26" s="10">
        <v>260510.32337999999</v>
      </c>
      <c r="BT26" s="10">
        <v>223785.7611</v>
      </c>
      <c r="BU26" s="10">
        <v>227867.27835000001</v>
      </c>
      <c r="BV26" s="10">
        <v>469354.69669999997</v>
      </c>
      <c r="BW26" s="10">
        <v>102646.299</v>
      </c>
      <c r="BX26" s="10">
        <v>153246.22169999999</v>
      </c>
      <c r="BY26" s="10">
        <v>479733.09879999998</v>
      </c>
      <c r="BZ26" s="10">
        <v>148073.5154</v>
      </c>
      <c r="CA26" s="10">
        <v>215237.53099999999</v>
      </c>
      <c r="CB26" s="10">
        <v>31447.486000000001</v>
      </c>
      <c r="CC26" s="10">
        <v>552242.20271999994</v>
      </c>
      <c r="CD26" s="10">
        <v>79073.462499999994</v>
      </c>
      <c r="CE26" s="10">
        <v>121146.57580000001</v>
      </c>
      <c r="CF26" s="10">
        <v>154172.25039999999</v>
      </c>
      <c r="CG26" s="10">
        <v>30573.819</v>
      </c>
      <c r="CH26" s="10"/>
      <c r="CI26" s="10">
        <v>401317.43030000001</v>
      </c>
      <c r="CJ26" s="10">
        <v>204920.44151</v>
      </c>
      <c r="CK26" s="10"/>
      <c r="CL26" s="10"/>
      <c r="CM26" s="10"/>
      <c r="CN26" s="10">
        <v>28449.513999999999</v>
      </c>
      <c r="CO26" s="10">
        <v>59972.610793</v>
      </c>
      <c r="CP26" s="10"/>
      <c r="CQ26" s="10">
        <v>257503.21369999999</v>
      </c>
      <c r="CR26" s="10"/>
      <c r="CS26" s="10"/>
      <c r="CT26" s="10">
        <v>9340.4126300000007</v>
      </c>
      <c r="CU26" s="10">
        <v>60430.976000000002</v>
      </c>
      <c r="CV26" s="10">
        <v>159559.62359999999</v>
      </c>
      <c r="CW26" s="10">
        <v>16841.325000000001</v>
      </c>
      <c r="CX26" s="10">
        <v>131515.04003</v>
      </c>
      <c r="CY26" s="10">
        <v>16413.111000000001</v>
      </c>
      <c r="CZ26" s="10"/>
      <c r="DA26" s="10">
        <v>22832.061000000002</v>
      </c>
      <c r="DB26" s="10"/>
      <c r="DC26" s="10">
        <v>39524.901360000003</v>
      </c>
      <c r="DD26" s="10">
        <v>26839.569200000002</v>
      </c>
      <c r="DE26" s="10"/>
      <c r="DF26" s="10">
        <v>11659.27052</v>
      </c>
      <c r="DG26" s="10"/>
      <c r="DH26" s="10">
        <v>63380.543899999997</v>
      </c>
      <c r="DI26" s="10">
        <v>68346.633000000002</v>
      </c>
      <c r="DJ26" s="10"/>
      <c r="DK26" s="10">
        <v>22283.179</v>
      </c>
      <c r="DL26" s="10">
        <v>30563.958999999999</v>
      </c>
      <c r="DM26" s="10"/>
      <c r="DN26" s="10">
        <v>18955.467659999998</v>
      </c>
      <c r="DO26" s="10">
        <v>11581.802</v>
      </c>
      <c r="DP26" s="10">
        <v>17876.533200000002</v>
      </c>
      <c r="DQ26" s="10"/>
      <c r="DR26" s="10">
        <v>23861.064600000002</v>
      </c>
      <c r="DS26" s="10">
        <v>33611.217199999999</v>
      </c>
      <c r="DT26" s="10">
        <v>16171.554599999999</v>
      </c>
      <c r="DU26" s="10"/>
      <c r="DV26" s="10"/>
      <c r="DW26" s="10">
        <v>15366.664699999999</v>
      </c>
      <c r="DX26" s="10"/>
      <c r="DY26" s="10">
        <v>31320.059089999999</v>
      </c>
      <c r="DZ26" s="10">
        <v>26147.3838</v>
      </c>
      <c r="EA26" s="10">
        <v>10810.3375</v>
      </c>
      <c r="EB26" s="10"/>
      <c r="EC26" s="10">
        <v>18470.177339999998</v>
      </c>
      <c r="ED26" s="10">
        <v>26157.9928</v>
      </c>
      <c r="EE26" s="10">
        <v>24170.760999999999</v>
      </c>
      <c r="EF26" s="10">
        <v>10058.693300000001</v>
      </c>
      <c r="EG26" s="10">
        <v>17124.903999999999</v>
      </c>
      <c r="EH26" s="10">
        <v>9030.9615799999992</v>
      </c>
      <c r="EI26" s="10">
        <v>7246.3904599999996</v>
      </c>
      <c r="EJ26" s="10">
        <v>8598.0611000000008</v>
      </c>
      <c r="EK26" s="10">
        <v>11874.9683</v>
      </c>
      <c r="EL26" s="10">
        <v>8878.2937000000002</v>
      </c>
      <c r="EM26" s="10">
        <v>12591.932699999999</v>
      </c>
      <c r="EN26" s="10">
        <v>31641.284</v>
      </c>
      <c r="EO26" s="10">
        <v>15364.239</v>
      </c>
      <c r="EP26" s="10"/>
      <c r="EQ26" s="10">
        <v>113846.5983</v>
      </c>
      <c r="ER26" s="10">
        <v>4359.6023999999998</v>
      </c>
      <c r="ES26" s="10">
        <v>5604.7223000000004</v>
      </c>
      <c r="ET26" s="10">
        <v>9556.9833999999992</v>
      </c>
      <c r="EU26" s="10"/>
      <c r="EV26" s="10">
        <v>0</v>
      </c>
      <c r="EW26" s="10"/>
      <c r="EX26" s="10">
        <v>19346.179</v>
      </c>
      <c r="EY26" s="10"/>
      <c r="EZ26" s="10">
        <v>7339.2879000000003</v>
      </c>
      <c r="FA26" s="10"/>
      <c r="FB26" s="10"/>
      <c r="FC26" s="10">
        <v>24614.639999999999</v>
      </c>
      <c r="FD26" s="10">
        <v>15174.4601</v>
      </c>
      <c r="FE26" s="10">
        <v>3110.4668999999999</v>
      </c>
      <c r="FF26" s="10">
        <v>7945.2939999999999</v>
      </c>
      <c r="FG26" s="10">
        <v>10788.504999999999</v>
      </c>
      <c r="FH26" s="10">
        <v>13061.9977</v>
      </c>
      <c r="FI26" s="10"/>
      <c r="FJ26" s="10">
        <v>11289.393099999999</v>
      </c>
      <c r="FK26" s="10"/>
      <c r="FL26" s="10"/>
      <c r="FM26" s="10">
        <v>7536.9630999999999</v>
      </c>
      <c r="FN26" s="10">
        <v>6198.6365999999998</v>
      </c>
      <c r="FO26" s="10">
        <v>4720.8145000000004</v>
      </c>
      <c r="FP26" s="10">
        <v>5555.0645000000004</v>
      </c>
      <c r="FQ26" s="10"/>
      <c r="FR26" s="10"/>
      <c r="FS26" s="10">
        <v>4030.5774999999999</v>
      </c>
      <c r="FT26" s="10">
        <v>74019.404800000004</v>
      </c>
      <c r="FU26" s="10"/>
      <c r="FV26" s="10"/>
      <c r="FW26" s="10"/>
      <c r="FX26" s="10"/>
      <c r="FY26" s="10"/>
      <c r="FZ26" s="10"/>
      <c r="GA26" s="10">
        <v>3132.4728</v>
      </c>
      <c r="GB26" s="10"/>
      <c r="GC26" s="10"/>
      <c r="GD26" s="10"/>
      <c r="GE26" s="10">
        <v>0</v>
      </c>
      <c r="GF26" s="10">
        <v>0</v>
      </c>
      <c r="GG26" s="10">
        <v>0</v>
      </c>
    </row>
    <row r="27" spans="1:189" x14ac:dyDescent="0.35">
      <c r="A27" s="8">
        <v>46138</v>
      </c>
      <c r="B27" s="9">
        <v>1078293237.6902101</v>
      </c>
      <c r="C27" s="10">
        <v>452944998.598674</v>
      </c>
      <c r="D27" s="10">
        <v>238803671.40182999</v>
      </c>
      <c r="E27" s="10">
        <v>219611691.82183</v>
      </c>
      <c r="F27" s="10">
        <v>64731203.341300003</v>
      </c>
      <c r="G27" s="10">
        <v>11994787.7766</v>
      </c>
      <c r="H27" s="10">
        <v>8427546.6897938792</v>
      </c>
      <c r="I27" s="10">
        <v>1699749.6136</v>
      </c>
      <c r="J27" s="10">
        <v>945082.9571</v>
      </c>
      <c r="K27" s="10">
        <v>8128459.1883627698</v>
      </c>
      <c r="L27" s="10">
        <v>14923423.447699999</v>
      </c>
      <c r="M27" s="10">
        <v>6544577.5784999998</v>
      </c>
      <c r="N27" s="10">
        <v>2542320.1748000002</v>
      </c>
      <c r="O27" s="10">
        <v>2208093.2644000002</v>
      </c>
      <c r="P27" s="10">
        <v>1975351.0582000001</v>
      </c>
      <c r="Q27" s="10">
        <v>2437401.821</v>
      </c>
      <c r="R27" s="10">
        <v>1347886.7416872999</v>
      </c>
      <c r="S27" s="10">
        <v>2024098.2861899999</v>
      </c>
      <c r="T27" s="10">
        <v>1701926.8706</v>
      </c>
      <c r="U27" s="10">
        <v>3170264.8463173499</v>
      </c>
      <c r="V27" s="10">
        <v>1466122.4930223899</v>
      </c>
      <c r="W27" s="10">
        <v>4922175.0782483499</v>
      </c>
      <c r="X27" s="10">
        <v>1078706.4516</v>
      </c>
      <c r="Y27" s="10">
        <v>109318.50440000001</v>
      </c>
      <c r="Z27" s="10">
        <v>1623984.88069017</v>
      </c>
      <c r="AA27" s="10">
        <v>1357170.2854740201</v>
      </c>
      <c r="AB27" s="10">
        <v>3055305.5233999998</v>
      </c>
      <c r="AC27" s="10">
        <v>2711693.2122059599</v>
      </c>
      <c r="AD27" s="10"/>
      <c r="AE27" s="10">
        <v>367435.77938000002</v>
      </c>
      <c r="AF27" s="10">
        <v>6603962.9345000004</v>
      </c>
      <c r="AG27" s="10">
        <v>414593.62290000002</v>
      </c>
      <c r="AH27" s="10">
        <v>265139.46580000001</v>
      </c>
      <c r="AI27" s="10">
        <v>298280.10499999998</v>
      </c>
      <c r="AJ27" s="10">
        <v>693082.00549999997</v>
      </c>
      <c r="AK27" s="10">
        <v>351368.011</v>
      </c>
      <c r="AL27" s="10">
        <v>170950.6697</v>
      </c>
      <c r="AM27" s="10">
        <v>63571.724499999997</v>
      </c>
      <c r="AN27" s="10">
        <v>6921.5011000000004</v>
      </c>
      <c r="AO27" s="10"/>
      <c r="AP27" s="10"/>
      <c r="AQ27" s="10">
        <v>363950.7182</v>
      </c>
      <c r="AR27" s="10">
        <v>19099.627100000002</v>
      </c>
      <c r="AS27" s="10">
        <v>148297.7531</v>
      </c>
      <c r="AT27" s="10">
        <v>886813.89309999999</v>
      </c>
      <c r="AU27" s="10">
        <v>73962.538425000006</v>
      </c>
      <c r="AV27" s="10">
        <v>131241.36069999999</v>
      </c>
      <c r="AW27" s="10">
        <v>326169.45020000002</v>
      </c>
      <c r="AX27" s="10">
        <v>123059.48420000001</v>
      </c>
      <c r="AY27" s="10">
        <v>6655.3279000000002</v>
      </c>
      <c r="AZ27" s="10">
        <v>42298.547200000001</v>
      </c>
      <c r="BA27" s="10">
        <v>326445.5992</v>
      </c>
      <c r="BB27" s="10">
        <v>2879.5879</v>
      </c>
      <c r="BC27" s="10">
        <v>82821.142999999996</v>
      </c>
      <c r="BD27" s="10">
        <v>45511.316099999996</v>
      </c>
      <c r="BE27" s="10"/>
      <c r="BF27" s="10"/>
      <c r="BG27" s="10">
        <v>26468.9935</v>
      </c>
      <c r="BH27" s="10"/>
      <c r="BI27" s="10"/>
      <c r="BJ27" s="10"/>
      <c r="BK27" s="10">
        <v>13331.0005</v>
      </c>
      <c r="BL27" s="10">
        <v>2851.5354000000002</v>
      </c>
      <c r="BM27" s="10">
        <v>110694.9829</v>
      </c>
      <c r="BN27" s="10">
        <v>43241.620600000002</v>
      </c>
      <c r="BO27" s="10">
        <v>6295.1003000000001</v>
      </c>
      <c r="BP27" s="10">
        <v>374892.1778</v>
      </c>
      <c r="BQ27" s="10">
        <v>9195.0589</v>
      </c>
      <c r="BR27" s="10">
        <v>30687.563099999999</v>
      </c>
      <c r="BS27" s="10">
        <v>54508.871800000001</v>
      </c>
      <c r="BT27" s="10">
        <v>12139.8223</v>
      </c>
      <c r="BU27" s="10">
        <v>263885.72201000003</v>
      </c>
      <c r="BV27" s="10">
        <v>52622.720800000003</v>
      </c>
      <c r="BW27" s="10">
        <v>5180.4139999999998</v>
      </c>
      <c r="BX27" s="10">
        <v>186853.8652</v>
      </c>
      <c r="BY27" s="10">
        <v>288997.7279</v>
      </c>
      <c r="BZ27" s="10">
        <v>16116.297500000001</v>
      </c>
      <c r="CA27" s="10">
        <v>39559.436099999999</v>
      </c>
      <c r="CB27" s="10">
        <v>5795.8414000000002</v>
      </c>
      <c r="CC27" s="10">
        <v>1589398.33032</v>
      </c>
      <c r="CD27" s="10">
        <v>15291.5278</v>
      </c>
      <c r="CE27" s="10">
        <v>3834.0965999999999</v>
      </c>
      <c r="CF27" s="10">
        <v>10681.6296</v>
      </c>
      <c r="CG27" s="10">
        <v>30014.018</v>
      </c>
      <c r="CH27" s="10"/>
      <c r="CI27" s="10">
        <v>46702.934600000001</v>
      </c>
      <c r="CJ27" s="10">
        <v>8837.9828199999993</v>
      </c>
      <c r="CK27" s="10"/>
      <c r="CL27" s="10"/>
      <c r="CM27" s="10"/>
      <c r="CN27" s="10">
        <v>47882.044999999998</v>
      </c>
      <c r="CO27" s="10">
        <v>16393.810290000001</v>
      </c>
      <c r="CP27" s="10"/>
      <c r="CQ27" s="10">
        <v>69899.656799999997</v>
      </c>
      <c r="CR27" s="10"/>
      <c r="CS27" s="10"/>
      <c r="CT27" s="10">
        <v>2290.06095</v>
      </c>
      <c r="CU27" s="10">
        <v>31580.018</v>
      </c>
      <c r="CV27" s="10">
        <v>33413.944799999997</v>
      </c>
      <c r="CW27" s="10">
        <v>368.91800000000001</v>
      </c>
      <c r="CX27" s="10">
        <v>43641.13162</v>
      </c>
      <c r="CY27" s="10"/>
      <c r="CZ27" s="10"/>
      <c r="DA27" s="10">
        <v>12393.0435</v>
      </c>
      <c r="DB27" s="10"/>
      <c r="DC27" s="10">
        <v>16294.932164</v>
      </c>
      <c r="DD27" s="10">
        <v>10336.1633</v>
      </c>
      <c r="DE27" s="10"/>
      <c r="DF27" s="10">
        <v>11078.024590000001</v>
      </c>
      <c r="DG27" s="10"/>
      <c r="DH27" s="10">
        <v>9023.5</v>
      </c>
      <c r="DI27" s="10">
        <v>29753.755000000001</v>
      </c>
      <c r="DJ27" s="10"/>
      <c r="DK27" s="10">
        <v>16017.636</v>
      </c>
      <c r="DL27" s="10">
        <v>34354.421000000002</v>
      </c>
      <c r="DM27" s="10"/>
      <c r="DN27" s="10">
        <v>18038.56136</v>
      </c>
      <c r="DO27" s="10"/>
      <c r="DP27" s="10">
        <v>19371.489799999999</v>
      </c>
      <c r="DQ27" s="10"/>
      <c r="DR27" s="10">
        <v>8454.8685000000005</v>
      </c>
      <c r="DS27" s="10">
        <v>58285.150500000003</v>
      </c>
      <c r="DT27" s="10">
        <v>15196.5047</v>
      </c>
      <c r="DU27" s="10"/>
      <c r="DV27" s="10"/>
      <c r="DW27" s="10">
        <v>3680.1457</v>
      </c>
      <c r="DX27" s="10"/>
      <c r="DY27" s="10">
        <v>14098.23141</v>
      </c>
      <c r="DZ27" s="10">
        <v>5130.2542000000003</v>
      </c>
      <c r="EA27" s="10">
        <v>1302</v>
      </c>
      <c r="EB27" s="10"/>
      <c r="EC27" s="10">
        <v>12204.704099</v>
      </c>
      <c r="ED27" s="10">
        <v>7442.0388000000003</v>
      </c>
      <c r="EE27" s="10">
        <v>12405.993</v>
      </c>
      <c r="EF27" s="10">
        <v>9013.4704999999994</v>
      </c>
      <c r="EG27" s="10">
        <v>16265.261</v>
      </c>
      <c r="EH27" s="10">
        <v>3900.6351800000002</v>
      </c>
      <c r="EI27" s="10">
        <v>2130.7627699999998</v>
      </c>
      <c r="EJ27" s="10">
        <v>8433.7207999999991</v>
      </c>
      <c r="EK27" s="10">
        <v>3433.6415999999999</v>
      </c>
      <c r="EL27" s="10">
        <v>6073.6022999999996</v>
      </c>
      <c r="EM27" s="10">
        <v>5093.3768</v>
      </c>
      <c r="EN27" s="10">
        <v>21690.683000000001</v>
      </c>
      <c r="EO27" s="10">
        <v>3400.9735000000001</v>
      </c>
      <c r="EP27" s="10"/>
      <c r="EQ27" s="10">
        <v>11551.568799999999</v>
      </c>
      <c r="ER27" s="10">
        <v>14862.384899999999</v>
      </c>
      <c r="ES27" s="10">
        <v>4878.2831999999999</v>
      </c>
      <c r="ET27" s="10">
        <v>4061.8631999999998</v>
      </c>
      <c r="EU27" s="10"/>
      <c r="EV27" s="10">
        <v>0</v>
      </c>
      <c r="EW27" s="10"/>
      <c r="EX27" s="10">
        <v>5171.6760000000004</v>
      </c>
      <c r="EY27" s="10"/>
      <c r="EZ27" s="10">
        <v>5909.067</v>
      </c>
      <c r="FA27" s="10"/>
      <c r="FB27" s="10"/>
      <c r="FC27" s="10">
        <v>12045.733</v>
      </c>
      <c r="FD27" s="10">
        <v>7886.1581999999999</v>
      </c>
      <c r="FE27" s="10">
        <v>3103.9924000000001</v>
      </c>
      <c r="FF27" s="10">
        <v>5142.1009999999997</v>
      </c>
      <c r="FG27" s="10">
        <v>299.74799999999999</v>
      </c>
      <c r="FH27" s="10">
        <v>6086.4763999999996</v>
      </c>
      <c r="FI27" s="10"/>
      <c r="FJ27" s="10"/>
      <c r="FK27" s="10"/>
      <c r="FL27" s="10"/>
      <c r="FM27" s="10">
        <v>8741.3040999999994</v>
      </c>
      <c r="FN27" s="10">
        <v>8703.4123</v>
      </c>
      <c r="FO27" s="10">
        <v>5423.4462000000003</v>
      </c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>
        <v>0</v>
      </c>
      <c r="GB27" s="10"/>
      <c r="GC27" s="10"/>
      <c r="GD27" s="10"/>
      <c r="GE27" s="10">
        <v>0</v>
      </c>
      <c r="GF27" s="10">
        <v>0</v>
      </c>
      <c r="GG27" s="10">
        <v>0</v>
      </c>
    </row>
    <row r="28" spans="1:189" x14ac:dyDescent="0.35">
      <c r="A28" s="8">
        <v>46137</v>
      </c>
      <c r="B28" s="9">
        <v>471334496.71368003</v>
      </c>
      <c r="C28" s="10">
        <v>138267384.620152</v>
      </c>
      <c r="D28" s="10">
        <v>23633727.407620002</v>
      </c>
      <c r="E28" s="10">
        <v>182570561.33033001</v>
      </c>
      <c r="F28" s="10">
        <v>40245563.433399998</v>
      </c>
      <c r="G28" s="10">
        <v>5679119.0624000002</v>
      </c>
      <c r="H28" s="10">
        <v>11389398.605620099</v>
      </c>
      <c r="I28" s="10">
        <v>1330581.1858999999</v>
      </c>
      <c r="J28" s="10">
        <v>1181710.5464000001</v>
      </c>
      <c r="K28" s="10">
        <v>7240094.9002940198</v>
      </c>
      <c r="L28" s="10">
        <v>6772571.7428000001</v>
      </c>
      <c r="M28" s="10">
        <v>4972647.9727999996</v>
      </c>
      <c r="N28" s="10">
        <v>1618422.2472999999</v>
      </c>
      <c r="O28" s="10">
        <v>1415057.3573</v>
      </c>
      <c r="P28" s="10">
        <v>1726767.6532999999</v>
      </c>
      <c r="Q28" s="10">
        <v>4676316.3402000004</v>
      </c>
      <c r="R28" s="10">
        <v>2106754.0752932299</v>
      </c>
      <c r="S28" s="10">
        <v>2136391.8782799998</v>
      </c>
      <c r="T28" s="10">
        <v>1325732.0978999999</v>
      </c>
      <c r="U28" s="10">
        <v>2370891.6028908798</v>
      </c>
      <c r="V28" s="10">
        <v>1122449.8258338601</v>
      </c>
      <c r="W28" s="10">
        <v>5135154.5632591303</v>
      </c>
      <c r="X28" s="10">
        <v>1115870.2271</v>
      </c>
      <c r="Y28" s="10">
        <v>112659.7586</v>
      </c>
      <c r="Z28" s="10">
        <v>1296477.46555354</v>
      </c>
      <c r="AA28" s="10">
        <v>1283395.7683180501</v>
      </c>
      <c r="AB28" s="10">
        <v>684001.23540000001</v>
      </c>
      <c r="AC28" s="10">
        <v>1878013.67780106</v>
      </c>
      <c r="AD28" s="10"/>
      <c r="AE28" s="10">
        <v>2908709.4232600001</v>
      </c>
      <c r="AF28" s="10">
        <v>2208986.0247</v>
      </c>
      <c r="AG28" s="10">
        <v>520582.94829999999</v>
      </c>
      <c r="AH28" s="10">
        <v>363952.56219999999</v>
      </c>
      <c r="AI28" s="10">
        <v>2091561.922</v>
      </c>
      <c r="AJ28" s="10">
        <v>295329.63</v>
      </c>
      <c r="AK28" s="10">
        <v>184590.74799999999</v>
      </c>
      <c r="AL28" s="10">
        <v>149498.89120000001</v>
      </c>
      <c r="AM28" s="10">
        <v>1881287.8518000001</v>
      </c>
      <c r="AN28" s="10">
        <v>39501.789700000001</v>
      </c>
      <c r="AO28" s="10"/>
      <c r="AP28" s="10"/>
      <c r="AQ28" s="10">
        <v>1619926.4025000001</v>
      </c>
      <c r="AR28" s="10">
        <v>67253.190799999997</v>
      </c>
      <c r="AS28" s="10">
        <v>335494.50040000002</v>
      </c>
      <c r="AT28" s="10">
        <v>1303169.9306000001</v>
      </c>
      <c r="AU28" s="10">
        <v>299771.95653600001</v>
      </c>
      <c r="AV28" s="10">
        <v>120908.8241</v>
      </c>
      <c r="AW28" s="10">
        <v>210598.29800000001</v>
      </c>
      <c r="AX28" s="10">
        <v>182914.76800000001</v>
      </c>
      <c r="AY28" s="10">
        <v>6798.5695999999998</v>
      </c>
      <c r="AZ28" s="10">
        <v>75365.438099999999</v>
      </c>
      <c r="BA28" s="10">
        <v>387503.40610000002</v>
      </c>
      <c r="BB28" s="10">
        <v>13703.4789</v>
      </c>
      <c r="BC28" s="10">
        <v>163131.24799999999</v>
      </c>
      <c r="BD28" s="10">
        <v>14465.972</v>
      </c>
      <c r="BE28" s="10"/>
      <c r="BF28" s="10"/>
      <c r="BG28" s="10">
        <v>27780.564910000001</v>
      </c>
      <c r="BH28" s="10"/>
      <c r="BI28" s="10"/>
      <c r="BJ28" s="10"/>
      <c r="BK28" s="10">
        <v>11641.6258</v>
      </c>
      <c r="BL28" s="10">
        <v>2999.2833000000001</v>
      </c>
      <c r="BM28" s="10">
        <v>153120.6825</v>
      </c>
      <c r="BN28" s="10">
        <v>58501.034500000002</v>
      </c>
      <c r="BO28" s="10">
        <v>8368.9249999999993</v>
      </c>
      <c r="BP28" s="10">
        <v>39491.636200000001</v>
      </c>
      <c r="BQ28" s="10">
        <v>15937.704599999999</v>
      </c>
      <c r="BR28" s="10">
        <v>20205.143400000001</v>
      </c>
      <c r="BS28" s="10">
        <v>40021.249360000002</v>
      </c>
      <c r="BT28" s="10">
        <v>6919.5564000000004</v>
      </c>
      <c r="BU28" s="10">
        <v>221643.37755999999</v>
      </c>
      <c r="BV28" s="10">
        <v>96777.180300000007</v>
      </c>
      <c r="BW28" s="10">
        <v>19015.469300000001</v>
      </c>
      <c r="BX28" s="10">
        <v>230394.16329999999</v>
      </c>
      <c r="BY28" s="10">
        <v>7319.0191999999997</v>
      </c>
      <c r="BZ28" s="10">
        <v>20187.0134</v>
      </c>
      <c r="CA28" s="10">
        <v>13331.796899999999</v>
      </c>
      <c r="CB28" s="10">
        <v>11431.527</v>
      </c>
      <c r="CC28" s="10">
        <v>529626.49916999997</v>
      </c>
      <c r="CD28" s="10">
        <v>7218.3721999999998</v>
      </c>
      <c r="CE28" s="10">
        <v>6703.9549999999999</v>
      </c>
      <c r="CF28" s="10">
        <v>4642.7075999999997</v>
      </c>
      <c r="CG28" s="10">
        <v>72982.861999999994</v>
      </c>
      <c r="CH28" s="10"/>
      <c r="CI28" s="10">
        <v>136823.2139</v>
      </c>
      <c r="CJ28" s="10">
        <v>7588.8107799999998</v>
      </c>
      <c r="CK28" s="10"/>
      <c r="CL28" s="10"/>
      <c r="CM28" s="10"/>
      <c r="CN28" s="10">
        <v>35604.294000000002</v>
      </c>
      <c r="CO28" s="10">
        <v>15288.602666999999</v>
      </c>
      <c r="CP28" s="10"/>
      <c r="CQ28" s="10">
        <v>6169.3280999999997</v>
      </c>
      <c r="CR28" s="10"/>
      <c r="CS28" s="10"/>
      <c r="CT28" s="10">
        <v>3256.35275</v>
      </c>
      <c r="CU28" s="10">
        <v>7682.7070000000003</v>
      </c>
      <c r="CV28" s="10">
        <v>44114.472699999998</v>
      </c>
      <c r="CW28" s="10">
        <v>68.738</v>
      </c>
      <c r="CX28" s="10">
        <v>119262.24879</v>
      </c>
      <c r="CY28" s="10"/>
      <c r="CZ28" s="10"/>
      <c r="DA28" s="10">
        <v>14048.286400000001</v>
      </c>
      <c r="DB28" s="10"/>
      <c r="DC28" s="10">
        <v>17675.089163000001</v>
      </c>
      <c r="DD28" s="10">
        <v>6372.0992999999999</v>
      </c>
      <c r="DE28" s="10"/>
      <c r="DF28" s="10">
        <v>12130.482840000001</v>
      </c>
      <c r="DG28" s="10"/>
      <c r="DH28" s="10">
        <v>9306.1106999999993</v>
      </c>
      <c r="DI28" s="10">
        <v>19076.258999999998</v>
      </c>
      <c r="DJ28" s="10"/>
      <c r="DK28" s="10">
        <v>15801.895</v>
      </c>
      <c r="DL28" s="10">
        <v>22144.245999999999</v>
      </c>
      <c r="DM28" s="10"/>
      <c r="DN28" s="10">
        <v>18011.187620000001</v>
      </c>
      <c r="DO28" s="10"/>
      <c r="DP28" s="10">
        <v>11534.634099999999</v>
      </c>
      <c r="DQ28" s="10"/>
      <c r="DR28" s="10">
        <v>16333.236800000001</v>
      </c>
      <c r="DS28" s="10">
        <v>23943.963599999999</v>
      </c>
      <c r="DT28" s="10">
        <v>17993.287499999999</v>
      </c>
      <c r="DU28" s="10"/>
      <c r="DV28" s="10"/>
      <c r="DW28" s="10">
        <v>4525.3801999999996</v>
      </c>
      <c r="DX28" s="10"/>
      <c r="DY28" s="10">
        <v>8597.4485499999992</v>
      </c>
      <c r="DZ28" s="10">
        <v>5419.9153999999999</v>
      </c>
      <c r="EA28" s="10">
        <v>9.9658999999999995</v>
      </c>
      <c r="EB28" s="10"/>
      <c r="EC28" s="10">
        <v>9420.1023280000009</v>
      </c>
      <c r="ED28" s="10">
        <v>7757.6985000000004</v>
      </c>
      <c r="EE28" s="10">
        <v>14470.326999999999</v>
      </c>
      <c r="EF28" s="10">
        <v>9107.2070999999996</v>
      </c>
      <c r="EG28" s="10">
        <v>16409.034</v>
      </c>
      <c r="EH28" s="10">
        <v>3221.9813100000001</v>
      </c>
      <c r="EI28" s="10">
        <v>2431.66104</v>
      </c>
      <c r="EJ28" s="10">
        <v>28850.808099999998</v>
      </c>
      <c r="EK28" s="10">
        <v>3470.2743</v>
      </c>
      <c r="EL28" s="10">
        <v>31561.807100000002</v>
      </c>
      <c r="EM28" s="10">
        <v>8355.9991000000009</v>
      </c>
      <c r="EN28" s="10">
        <v>24844.580999999998</v>
      </c>
      <c r="EO28" s="10">
        <v>48628.502399999998</v>
      </c>
      <c r="EP28" s="10"/>
      <c r="EQ28" s="10">
        <v>12844.9866</v>
      </c>
      <c r="ER28" s="10">
        <v>8383.5431000000008</v>
      </c>
      <c r="ES28" s="10">
        <v>4456.7509</v>
      </c>
      <c r="ET28" s="10">
        <v>4377.6925000000001</v>
      </c>
      <c r="EU28" s="10"/>
      <c r="EV28" s="10">
        <v>0</v>
      </c>
      <c r="EW28" s="10"/>
      <c r="EX28" s="10">
        <v>914.21900000000005</v>
      </c>
      <c r="EY28" s="10"/>
      <c r="EZ28" s="10">
        <v>12205.563700000001</v>
      </c>
      <c r="FA28" s="10"/>
      <c r="FB28" s="10"/>
      <c r="FC28" s="10">
        <v>16577.767</v>
      </c>
      <c r="FD28" s="10">
        <v>10248.1734</v>
      </c>
      <c r="FE28" s="10">
        <v>3165.4241000000002</v>
      </c>
      <c r="FF28" s="10">
        <v>47056.557000000001</v>
      </c>
      <c r="FG28" s="10">
        <v>545.83500000000004</v>
      </c>
      <c r="FH28" s="10">
        <v>15318.7572</v>
      </c>
      <c r="FI28" s="10"/>
      <c r="FJ28" s="10"/>
      <c r="FK28" s="10"/>
      <c r="FL28" s="10"/>
      <c r="FM28" s="10">
        <v>16854.393800000002</v>
      </c>
      <c r="FN28" s="10">
        <v>10486.378699999999</v>
      </c>
      <c r="FO28" s="10">
        <v>4741.0699000000004</v>
      </c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>
        <v>21.655999999999999</v>
      </c>
      <c r="GB28" s="10"/>
      <c r="GC28" s="10"/>
      <c r="GD28" s="10"/>
      <c r="GE28" s="10">
        <v>0</v>
      </c>
      <c r="GF28" s="10">
        <v>0</v>
      </c>
      <c r="GG28" s="10">
        <v>0</v>
      </c>
    </row>
    <row r="29" spans="1:189" x14ac:dyDescent="0.35">
      <c r="A29" s="8">
        <v>46136</v>
      </c>
      <c r="B29" s="9">
        <v>5155090259.2104197</v>
      </c>
      <c r="C29" s="10">
        <v>1761472790.5246201</v>
      </c>
      <c r="D29" s="10">
        <v>1251165304.1644399</v>
      </c>
      <c r="E29" s="10">
        <v>1166239560.0792899</v>
      </c>
      <c r="F29" s="10">
        <v>285809620.21539998</v>
      </c>
      <c r="G29" s="10">
        <v>64255472.198899999</v>
      </c>
      <c r="H29" s="10">
        <v>86509028.597380295</v>
      </c>
      <c r="I29" s="10">
        <v>18152553.706</v>
      </c>
      <c r="J29" s="10">
        <v>26945084.545899998</v>
      </c>
      <c r="K29" s="10">
        <v>64069995.251561299</v>
      </c>
      <c r="L29" s="10">
        <v>51130804.6668</v>
      </c>
      <c r="M29" s="10">
        <v>148720668.23379999</v>
      </c>
      <c r="N29" s="10">
        <v>19972140.629999999</v>
      </c>
      <c r="O29" s="10">
        <v>12636886.7853</v>
      </c>
      <c r="P29" s="10">
        <v>25759733.288400002</v>
      </c>
      <c r="Q29" s="10">
        <v>15969348.0821</v>
      </c>
      <c r="R29" s="10">
        <v>6332881.7372578001</v>
      </c>
      <c r="S29" s="10">
        <v>14743033.15109</v>
      </c>
      <c r="T29" s="10">
        <v>8873814.5472999997</v>
      </c>
      <c r="U29" s="10">
        <v>12337670.767882099</v>
      </c>
      <c r="V29" s="10">
        <v>12292092.9387445</v>
      </c>
      <c r="W29" s="10">
        <v>13474425.9729358</v>
      </c>
      <c r="X29" s="10">
        <v>6504812.5421000002</v>
      </c>
      <c r="Y29" s="10">
        <v>5594049.6721000001</v>
      </c>
      <c r="Z29" s="10">
        <v>6078227.7646238999</v>
      </c>
      <c r="AA29" s="10">
        <v>6946027.2462493498</v>
      </c>
      <c r="AB29" s="10">
        <v>3334065.5276000001</v>
      </c>
      <c r="AC29" s="10">
        <v>5071689.5258913003</v>
      </c>
      <c r="AD29" s="10"/>
      <c r="AE29" s="10">
        <v>5484332.1357300002</v>
      </c>
      <c r="AF29" s="10">
        <v>7987789.2141000004</v>
      </c>
      <c r="AG29" s="10">
        <v>1580684.3248000001</v>
      </c>
      <c r="AH29" s="10">
        <v>2860877.1960999998</v>
      </c>
      <c r="AI29" s="10">
        <v>1353310.209</v>
      </c>
      <c r="AJ29" s="10">
        <v>2967547.4158000001</v>
      </c>
      <c r="AK29" s="10">
        <v>1572877.017</v>
      </c>
      <c r="AL29" s="10">
        <v>3115541.0917000002</v>
      </c>
      <c r="AM29" s="10">
        <v>1984779.2838000001</v>
      </c>
      <c r="AN29" s="10">
        <v>1194912.3599</v>
      </c>
      <c r="AO29" s="10"/>
      <c r="AP29" s="10"/>
      <c r="AQ29" s="10">
        <v>3381712.3388999999</v>
      </c>
      <c r="AR29" s="10">
        <v>934742.5736</v>
      </c>
      <c r="AS29" s="10">
        <v>337183.90389999998</v>
      </c>
      <c r="AT29" s="10">
        <v>1021179.1481</v>
      </c>
      <c r="AU29" s="10">
        <v>1249682.7932190001</v>
      </c>
      <c r="AV29" s="10">
        <v>947307.28460000001</v>
      </c>
      <c r="AW29" s="10">
        <v>597489.50179999997</v>
      </c>
      <c r="AX29" s="10">
        <v>343639.37060000002</v>
      </c>
      <c r="AY29" s="10">
        <v>812409.92579999997</v>
      </c>
      <c r="AZ29" s="10">
        <v>1813345.2574</v>
      </c>
      <c r="BA29" s="10">
        <v>384748.44500000001</v>
      </c>
      <c r="BB29" s="10">
        <v>223720.32509999999</v>
      </c>
      <c r="BC29" s="10">
        <v>255740.791</v>
      </c>
      <c r="BD29" s="10">
        <v>704212.25080000004</v>
      </c>
      <c r="BE29" s="10"/>
      <c r="BF29" s="10"/>
      <c r="BG29" s="10">
        <v>445321.88926999999</v>
      </c>
      <c r="BH29" s="10"/>
      <c r="BI29" s="10"/>
      <c r="BJ29" s="10"/>
      <c r="BK29" s="10">
        <v>240892.51639999999</v>
      </c>
      <c r="BL29" s="10">
        <v>867012.88710000005</v>
      </c>
      <c r="BM29" s="10">
        <v>71017.685200000007</v>
      </c>
      <c r="BN29" s="10">
        <v>1031865.9791999999</v>
      </c>
      <c r="BO29" s="10">
        <v>84977.349700000006</v>
      </c>
      <c r="BP29" s="10">
        <v>403920.49530000001</v>
      </c>
      <c r="BQ29" s="10">
        <v>400354.23580000002</v>
      </c>
      <c r="BR29" s="10">
        <v>161934.77470000001</v>
      </c>
      <c r="BS29" s="10">
        <v>465026.45111999998</v>
      </c>
      <c r="BT29" s="10">
        <v>228656.4921</v>
      </c>
      <c r="BU29" s="10">
        <v>423722.41347000003</v>
      </c>
      <c r="BV29" s="10">
        <v>869121.28460000001</v>
      </c>
      <c r="BW29" s="10">
        <v>137474.74729999999</v>
      </c>
      <c r="BX29" s="10">
        <v>430894.41239999997</v>
      </c>
      <c r="BY29" s="10">
        <v>477804.12790000002</v>
      </c>
      <c r="BZ29" s="10">
        <v>248415.8002</v>
      </c>
      <c r="CA29" s="10">
        <v>151593.924</v>
      </c>
      <c r="CB29" s="10">
        <v>92328.710800000001</v>
      </c>
      <c r="CC29" s="10">
        <v>938608.93628000002</v>
      </c>
      <c r="CD29" s="10">
        <v>221453.21290000001</v>
      </c>
      <c r="CE29" s="10">
        <v>428685.07329999999</v>
      </c>
      <c r="CF29" s="10">
        <v>20331.988300000001</v>
      </c>
      <c r="CG29" s="10">
        <v>46616.286</v>
      </c>
      <c r="CH29" s="10"/>
      <c r="CI29" s="10">
        <v>565712.12390000001</v>
      </c>
      <c r="CJ29" s="10">
        <v>16480.87528</v>
      </c>
      <c r="CK29" s="10"/>
      <c r="CL29" s="10"/>
      <c r="CM29" s="10"/>
      <c r="CN29" s="10">
        <v>22249.664000000001</v>
      </c>
      <c r="CO29" s="10">
        <v>188606.15832399999</v>
      </c>
      <c r="CP29" s="10"/>
      <c r="CQ29" s="10">
        <v>182326.9417</v>
      </c>
      <c r="CR29" s="10"/>
      <c r="CS29" s="10"/>
      <c r="CT29" s="10">
        <v>10648.994559999999</v>
      </c>
      <c r="CU29" s="10">
        <v>14382.705</v>
      </c>
      <c r="CV29" s="10">
        <v>82817.406499999997</v>
      </c>
      <c r="CW29" s="10">
        <v>8529.0110000000004</v>
      </c>
      <c r="CX29" s="10">
        <v>250425.65864000001</v>
      </c>
      <c r="CY29" s="10"/>
      <c r="CZ29" s="10"/>
      <c r="DA29" s="10">
        <v>17403.7022</v>
      </c>
      <c r="DB29" s="10"/>
      <c r="DC29" s="10">
        <v>20856.403480000001</v>
      </c>
      <c r="DD29" s="10">
        <v>8147.6152000000002</v>
      </c>
      <c r="DE29" s="10"/>
      <c r="DF29" s="10">
        <v>12182.3356</v>
      </c>
      <c r="DG29" s="10"/>
      <c r="DH29" s="10">
        <v>50410.4444</v>
      </c>
      <c r="DI29" s="10">
        <v>24087.852999999999</v>
      </c>
      <c r="DJ29" s="10"/>
      <c r="DK29" s="10">
        <v>29922.213</v>
      </c>
      <c r="DL29" s="10">
        <v>83949.824999999997</v>
      </c>
      <c r="DM29" s="10"/>
      <c r="DN29" s="10">
        <v>18521.704239999999</v>
      </c>
      <c r="DO29" s="10"/>
      <c r="DP29" s="10">
        <v>17104.787199999999</v>
      </c>
      <c r="DQ29" s="10"/>
      <c r="DR29" s="10">
        <v>33937.776599999997</v>
      </c>
      <c r="DS29" s="10">
        <v>17857.7425</v>
      </c>
      <c r="DT29" s="10">
        <v>19033</v>
      </c>
      <c r="DU29" s="10"/>
      <c r="DV29" s="10"/>
      <c r="DW29" s="10">
        <v>278953.61040000001</v>
      </c>
      <c r="DX29" s="10"/>
      <c r="DY29" s="10">
        <v>9030.7752</v>
      </c>
      <c r="DZ29" s="10">
        <v>32771.8387</v>
      </c>
      <c r="EA29" s="10">
        <v>9.9773999999999994</v>
      </c>
      <c r="EB29" s="10"/>
      <c r="EC29" s="10">
        <v>53293.944791000002</v>
      </c>
      <c r="ED29" s="10">
        <v>11415.772300000001</v>
      </c>
      <c r="EE29" s="10">
        <v>80264.248999999996</v>
      </c>
      <c r="EF29" s="10">
        <v>9920.0195000000003</v>
      </c>
      <c r="EG29" s="10">
        <v>16105.494000000001</v>
      </c>
      <c r="EH29" s="10">
        <v>20056.16905</v>
      </c>
      <c r="EI29" s="10">
        <v>11832.42157</v>
      </c>
      <c r="EJ29" s="10">
        <v>34704.4879</v>
      </c>
      <c r="EK29" s="10">
        <v>22612.745599999998</v>
      </c>
      <c r="EL29" s="10">
        <v>25475.256099999999</v>
      </c>
      <c r="EM29" s="10">
        <v>6227.7840999999999</v>
      </c>
      <c r="EN29" s="10">
        <v>31250.146000000001</v>
      </c>
      <c r="EO29" s="10">
        <v>5556.9908999999998</v>
      </c>
      <c r="EP29" s="10"/>
      <c r="EQ29" s="10">
        <v>13587.1432</v>
      </c>
      <c r="ER29" s="10">
        <v>13867.3022</v>
      </c>
      <c r="ES29" s="10">
        <v>5722.9117999999999</v>
      </c>
      <c r="ET29" s="10">
        <v>3975.6498999999999</v>
      </c>
      <c r="EU29" s="10"/>
      <c r="EV29" s="10">
        <v>3137.7790799999998</v>
      </c>
      <c r="EW29" s="10"/>
      <c r="EX29" s="10">
        <v>3990.96</v>
      </c>
      <c r="EY29" s="10"/>
      <c r="EZ29" s="10">
        <v>11112.536</v>
      </c>
      <c r="FA29" s="10"/>
      <c r="FB29" s="10"/>
      <c r="FC29" s="10">
        <v>16161.294</v>
      </c>
      <c r="FD29" s="10">
        <v>6619.9234999999999</v>
      </c>
      <c r="FE29" s="10">
        <v>7915.9854999999998</v>
      </c>
      <c r="FF29" s="10">
        <v>90487.57</v>
      </c>
      <c r="FG29" s="10">
        <v>6593.7060000000001</v>
      </c>
      <c r="FH29" s="10">
        <v>11915.9265</v>
      </c>
      <c r="FI29" s="10"/>
      <c r="FJ29" s="10"/>
      <c r="FK29" s="10"/>
      <c r="FL29" s="10"/>
      <c r="FM29" s="10">
        <v>25965.470399999998</v>
      </c>
      <c r="FN29" s="10">
        <v>129668.80989999999</v>
      </c>
      <c r="FO29" s="10">
        <v>4859.8144000000002</v>
      </c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>
        <v>21.609439999999999</v>
      </c>
      <c r="GB29" s="10"/>
      <c r="GC29" s="10"/>
      <c r="GD29" s="10"/>
      <c r="GE29" s="10">
        <v>0</v>
      </c>
      <c r="GF29" s="10">
        <v>0</v>
      </c>
      <c r="GG29" s="10">
        <v>0</v>
      </c>
    </row>
    <row r="30" spans="1:189" x14ac:dyDescent="0.35">
      <c r="A30" s="8">
        <v>46135</v>
      </c>
      <c r="B30" s="9">
        <v>7185336789.4327803</v>
      </c>
      <c r="C30" s="10">
        <v>2687628274.6723499</v>
      </c>
      <c r="D30" s="10">
        <v>1736708843.5126901</v>
      </c>
      <c r="E30" s="10">
        <v>1576757957.7670701</v>
      </c>
      <c r="F30" s="10">
        <v>360993398.03109998</v>
      </c>
      <c r="G30" s="10">
        <v>76522563.090499997</v>
      </c>
      <c r="H30" s="10">
        <v>209705492.20521101</v>
      </c>
      <c r="I30" s="10">
        <v>12593844.209899999</v>
      </c>
      <c r="J30" s="10">
        <v>18889216.0601</v>
      </c>
      <c r="K30" s="10">
        <v>40537826.329197302</v>
      </c>
      <c r="L30" s="10">
        <v>94710135.816599995</v>
      </c>
      <c r="M30" s="10">
        <v>82174759.015699998</v>
      </c>
      <c r="N30" s="10">
        <v>22299643.416999999</v>
      </c>
      <c r="O30" s="10">
        <v>24125210.6701</v>
      </c>
      <c r="P30" s="10">
        <v>41223537.045299999</v>
      </c>
      <c r="Q30" s="10">
        <v>29585147.3935</v>
      </c>
      <c r="R30" s="10">
        <v>8446399.5723522995</v>
      </c>
      <c r="S30" s="10">
        <v>14105558.16099</v>
      </c>
      <c r="T30" s="10">
        <v>17538413.9738</v>
      </c>
      <c r="U30" s="10">
        <v>9778562.6192074008</v>
      </c>
      <c r="V30" s="10">
        <v>9554895.4536268003</v>
      </c>
      <c r="W30" s="10">
        <v>19268389.667681001</v>
      </c>
      <c r="X30" s="10">
        <v>4343924.6442</v>
      </c>
      <c r="Y30" s="10">
        <v>7722211.3705000002</v>
      </c>
      <c r="Z30" s="10">
        <v>6994789.8802487496</v>
      </c>
      <c r="AA30" s="10">
        <v>10882716.549830399</v>
      </c>
      <c r="AB30" s="10">
        <v>5086689.6534000002</v>
      </c>
      <c r="AC30" s="10">
        <v>6697668.0456088502</v>
      </c>
      <c r="AD30" s="10"/>
      <c r="AE30" s="10">
        <v>6261241.1144099999</v>
      </c>
      <c r="AF30" s="10">
        <v>5449159.9594999999</v>
      </c>
      <c r="AG30" s="10">
        <v>798540.85660000006</v>
      </c>
      <c r="AH30" s="10">
        <v>4104417.6118999999</v>
      </c>
      <c r="AI30" s="10">
        <v>784217.83499999996</v>
      </c>
      <c r="AJ30" s="10">
        <v>1545637.3265</v>
      </c>
      <c r="AK30" s="10">
        <v>1619902.8</v>
      </c>
      <c r="AL30" s="10">
        <v>2839294.5095000002</v>
      </c>
      <c r="AM30" s="10">
        <v>1364238.3585999999</v>
      </c>
      <c r="AN30" s="10">
        <v>1164743.9419</v>
      </c>
      <c r="AO30" s="10"/>
      <c r="AP30" s="10"/>
      <c r="AQ30" s="10">
        <v>1941215.9332000001</v>
      </c>
      <c r="AR30" s="10">
        <v>980202.50730000006</v>
      </c>
      <c r="AS30" s="10">
        <v>783347.79350000003</v>
      </c>
      <c r="AT30" s="10">
        <v>1485849.1566999999</v>
      </c>
      <c r="AU30" s="10">
        <v>1211945.5282149999</v>
      </c>
      <c r="AV30" s="10">
        <v>1395537.4842999999</v>
      </c>
      <c r="AW30" s="10">
        <v>847818.97349999996</v>
      </c>
      <c r="AX30" s="10">
        <v>424108.95649999997</v>
      </c>
      <c r="AY30" s="10">
        <v>962479.76749999996</v>
      </c>
      <c r="AZ30" s="10">
        <v>603588.47100000002</v>
      </c>
      <c r="BA30" s="10">
        <v>259578.7647</v>
      </c>
      <c r="BB30" s="10">
        <v>730653.48840000003</v>
      </c>
      <c r="BC30" s="10">
        <v>316122.60200000001</v>
      </c>
      <c r="BD30" s="10">
        <v>369539.52</v>
      </c>
      <c r="BE30" s="10"/>
      <c r="BF30" s="10"/>
      <c r="BG30" s="10">
        <v>301360.80479999998</v>
      </c>
      <c r="BH30" s="10"/>
      <c r="BI30" s="10"/>
      <c r="BJ30" s="10"/>
      <c r="BK30" s="10">
        <v>370795.57209999999</v>
      </c>
      <c r="BL30" s="10">
        <v>187573.35490000001</v>
      </c>
      <c r="BM30" s="10">
        <v>205857.658</v>
      </c>
      <c r="BN30" s="10">
        <v>994114.52610000002</v>
      </c>
      <c r="BO30" s="10">
        <v>138694.37779999999</v>
      </c>
      <c r="BP30" s="10">
        <v>440789.50219999999</v>
      </c>
      <c r="BQ30" s="10">
        <v>399803.26049999997</v>
      </c>
      <c r="BR30" s="10">
        <v>138537.4192</v>
      </c>
      <c r="BS30" s="10">
        <v>113791.68693</v>
      </c>
      <c r="BT30" s="10">
        <v>215690.67230000001</v>
      </c>
      <c r="BU30" s="10">
        <v>528823.65754000004</v>
      </c>
      <c r="BV30" s="10">
        <v>1171600.3123999999</v>
      </c>
      <c r="BW30" s="10">
        <v>329036.67719999998</v>
      </c>
      <c r="BX30" s="10">
        <v>1307745.6581999999</v>
      </c>
      <c r="BY30" s="10">
        <v>292580.9632</v>
      </c>
      <c r="BZ30" s="10">
        <v>217649.63959999999</v>
      </c>
      <c r="CA30" s="10">
        <v>297442.17959999997</v>
      </c>
      <c r="CB30" s="10">
        <v>100651.8855</v>
      </c>
      <c r="CC30" s="10">
        <v>159833.03711999999</v>
      </c>
      <c r="CD30" s="10">
        <v>128644.2887</v>
      </c>
      <c r="CE30" s="10">
        <v>273047.44280000002</v>
      </c>
      <c r="CF30" s="10">
        <v>195551.5612</v>
      </c>
      <c r="CG30" s="10">
        <v>35001.747000000003</v>
      </c>
      <c r="CH30" s="10"/>
      <c r="CI30" s="10">
        <v>786200.81339999998</v>
      </c>
      <c r="CJ30" s="10">
        <v>63085.124589999999</v>
      </c>
      <c r="CK30" s="10"/>
      <c r="CL30" s="10"/>
      <c r="CM30" s="10"/>
      <c r="CN30" s="10">
        <v>31854.744999999999</v>
      </c>
      <c r="CO30" s="10">
        <v>640279.99216999998</v>
      </c>
      <c r="CP30" s="10"/>
      <c r="CQ30" s="10">
        <v>403297.04700000002</v>
      </c>
      <c r="CR30" s="10"/>
      <c r="CS30" s="10"/>
      <c r="CT30" s="10">
        <v>95199.316690000007</v>
      </c>
      <c r="CU30" s="10">
        <v>11285.973</v>
      </c>
      <c r="CV30" s="10">
        <v>78872.159700000004</v>
      </c>
      <c r="CW30" s="10"/>
      <c r="CX30" s="10">
        <v>73046.531059999994</v>
      </c>
      <c r="CY30" s="10"/>
      <c r="CZ30" s="10"/>
      <c r="DA30" s="10">
        <v>56490.461600000002</v>
      </c>
      <c r="DB30" s="10"/>
      <c r="DC30" s="10">
        <v>31577.159796</v>
      </c>
      <c r="DD30" s="10">
        <v>8165.9638999999997</v>
      </c>
      <c r="DE30" s="10"/>
      <c r="DF30" s="10">
        <v>14309.439679999999</v>
      </c>
      <c r="DG30" s="10"/>
      <c r="DH30" s="10">
        <v>8996.7013999999999</v>
      </c>
      <c r="DI30" s="10">
        <v>68137.55</v>
      </c>
      <c r="DJ30" s="10"/>
      <c r="DK30" s="10">
        <v>64539.796000000002</v>
      </c>
      <c r="DL30" s="10">
        <v>54561.072</v>
      </c>
      <c r="DM30" s="10"/>
      <c r="DN30" s="10">
        <v>35539.484349999999</v>
      </c>
      <c r="DO30" s="10"/>
      <c r="DP30" s="10">
        <v>26847.262200000001</v>
      </c>
      <c r="DQ30" s="10"/>
      <c r="DR30" s="10">
        <v>62636.904900000001</v>
      </c>
      <c r="DS30" s="10">
        <v>20355.779399999999</v>
      </c>
      <c r="DT30" s="10">
        <v>25681.856500000002</v>
      </c>
      <c r="DU30" s="10"/>
      <c r="DV30" s="10"/>
      <c r="DW30" s="10">
        <v>330741.89850000001</v>
      </c>
      <c r="DX30" s="10"/>
      <c r="DY30" s="10">
        <v>8979.5810500000007</v>
      </c>
      <c r="DZ30" s="10">
        <v>63005.375500000002</v>
      </c>
      <c r="EA30" s="10">
        <v>10859.893</v>
      </c>
      <c r="EB30" s="10"/>
      <c r="EC30" s="10">
        <v>17547.359666</v>
      </c>
      <c r="ED30" s="10">
        <v>8499.9495000000006</v>
      </c>
      <c r="EE30" s="10">
        <v>82151.519</v>
      </c>
      <c r="EF30" s="10">
        <v>17298.6319</v>
      </c>
      <c r="EG30" s="10">
        <v>20066.921999999999</v>
      </c>
      <c r="EH30" s="10">
        <v>5414.8246900000004</v>
      </c>
      <c r="EI30" s="10">
        <v>9510.56286</v>
      </c>
      <c r="EJ30" s="10">
        <v>5752.4323999999997</v>
      </c>
      <c r="EK30" s="10">
        <v>13339.5119</v>
      </c>
      <c r="EL30" s="10">
        <v>60439.458700000003</v>
      </c>
      <c r="EM30" s="10">
        <v>13081.8488</v>
      </c>
      <c r="EN30" s="10">
        <v>21313.006000000001</v>
      </c>
      <c r="EO30" s="10">
        <v>3505.6115</v>
      </c>
      <c r="EP30" s="10"/>
      <c r="EQ30" s="10">
        <v>74207.615399999995</v>
      </c>
      <c r="ER30" s="10">
        <v>25676.262900000002</v>
      </c>
      <c r="ES30" s="10">
        <v>9897.2988000000005</v>
      </c>
      <c r="ET30" s="10">
        <v>4143.6535999999996</v>
      </c>
      <c r="EU30" s="10"/>
      <c r="EV30" s="10">
        <v>0</v>
      </c>
      <c r="EW30" s="10"/>
      <c r="EX30" s="10"/>
      <c r="EY30" s="10"/>
      <c r="EZ30" s="10"/>
      <c r="FA30" s="10"/>
      <c r="FB30" s="10"/>
      <c r="FC30" s="10">
        <v>25502.873</v>
      </c>
      <c r="FD30" s="10">
        <v>18523.488399999998</v>
      </c>
      <c r="FE30" s="10">
        <v>84427.941900000005</v>
      </c>
      <c r="FF30" s="10"/>
      <c r="FG30" s="10"/>
      <c r="FH30" s="10">
        <v>53045.637699999999</v>
      </c>
      <c r="FI30" s="10"/>
      <c r="FJ30" s="10"/>
      <c r="FK30" s="10"/>
      <c r="FL30" s="10"/>
      <c r="FM30" s="10"/>
      <c r="FN30" s="10"/>
      <c r="FO30" s="10">
        <v>24345.501199999999</v>
      </c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>
        <v>0</v>
      </c>
      <c r="GB30" s="10"/>
      <c r="GC30" s="10"/>
      <c r="GD30" s="10"/>
      <c r="GE30" s="10">
        <v>10.1652</v>
      </c>
      <c r="GF30" s="10">
        <v>469.5</v>
      </c>
      <c r="GG30" s="10">
        <v>0</v>
      </c>
    </row>
    <row r="31" spans="1:189" x14ac:dyDescent="0.35">
      <c r="A31" s="8">
        <v>46134</v>
      </c>
      <c r="B31" s="9">
        <v>4768507836.36203</v>
      </c>
      <c r="C31" s="10">
        <v>1742388661.9467001</v>
      </c>
      <c r="D31" s="10">
        <v>746848589.13543999</v>
      </c>
      <c r="E31" s="10">
        <v>1335285176.99611</v>
      </c>
      <c r="F31" s="10">
        <v>226747023.18059999</v>
      </c>
      <c r="G31" s="10">
        <v>114434569.2862</v>
      </c>
      <c r="H31" s="10">
        <v>197079302.29938999</v>
      </c>
      <c r="I31" s="10">
        <v>16728535.6853</v>
      </c>
      <c r="J31" s="10">
        <v>16188066.701099999</v>
      </c>
      <c r="K31" s="10">
        <v>23542175.450246301</v>
      </c>
      <c r="L31" s="10">
        <v>104680630.73980001</v>
      </c>
      <c r="M31" s="10">
        <v>26116029.9133</v>
      </c>
      <c r="N31" s="10">
        <v>29082281.8466</v>
      </c>
      <c r="O31" s="10">
        <v>12578672.5725</v>
      </c>
      <c r="P31" s="10">
        <v>31884533.993999999</v>
      </c>
      <c r="Q31" s="10">
        <v>15172605.0374</v>
      </c>
      <c r="R31" s="10">
        <v>7653573.3551760996</v>
      </c>
      <c r="S31" s="10">
        <v>9794261.3099799994</v>
      </c>
      <c r="T31" s="10">
        <v>14493275.3585</v>
      </c>
      <c r="U31" s="10">
        <v>6896374.8298044</v>
      </c>
      <c r="V31" s="10">
        <v>8756130.6304730996</v>
      </c>
      <c r="W31" s="10">
        <v>10619154.1546703</v>
      </c>
      <c r="X31" s="10">
        <v>2020788.6991999999</v>
      </c>
      <c r="Y31" s="10">
        <v>1798006.1754999999</v>
      </c>
      <c r="Z31" s="10">
        <v>2647677.4763055998</v>
      </c>
      <c r="AA31" s="10">
        <v>6543123.2114321496</v>
      </c>
      <c r="AB31" s="10">
        <v>4379151.1601</v>
      </c>
      <c r="AC31" s="10">
        <v>4533173.2293805499</v>
      </c>
      <c r="AD31" s="10"/>
      <c r="AE31" s="10">
        <v>3111896.9941699998</v>
      </c>
      <c r="AF31" s="10">
        <v>3360256.0474</v>
      </c>
      <c r="AG31" s="10">
        <v>770558.52280000004</v>
      </c>
      <c r="AH31" s="10">
        <v>3820294.4308000002</v>
      </c>
      <c r="AI31" s="10">
        <v>521298.08100000001</v>
      </c>
      <c r="AJ31" s="10">
        <v>2131620.7034999998</v>
      </c>
      <c r="AK31" s="10">
        <v>558715.98899999994</v>
      </c>
      <c r="AL31" s="10">
        <v>1127505.6947999999</v>
      </c>
      <c r="AM31" s="10">
        <v>896428.72450000001</v>
      </c>
      <c r="AN31" s="10">
        <v>702982.95180000004</v>
      </c>
      <c r="AO31" s="10"/>
      <c r="AP31" s="10"/>
      <c r="AQ31" s="10">
        <v>2770502.1669000001</v>
      </c>
      <c r="AR31" s="10">
        <v>902519.60179999995</v>
      </c>
      <c r="AS31" s="10">
        <v>490760.75270000001</v>
      </c>
      <c r="AT31" s="10">
        <v>1367394.2309999999</v>
      </c>
      <c r="AU31" s="10">
        <v>1057779.09663</v>
      </c>
      <c r="AV31" s="10">
        <v>640862.69920000003</v>
      </c>
      <c r="AW31" s="10">
        <v>1134796.7098000001</v>
      </c>
      <c r="AX31" s="10">
        <v>544924.2034</v>
      </c>
      <c r="AY31" s="10">
        <v>1652352.112</v>
      </c>
      <c r="AZ31" s="10">
        <v>589097.91590000002</v>
      </c>
      <c r="BA31" s="10">
        <v>586765.22199999995</v>
      </c>
      <c r="BB31" s="10">
        <v>331435.17709999997</v>
      </c>
      <c r="BC31" s="10">
        <v>443183.82500000001</v>
      </c>
      <c r="BD31" s="10">
        <v>303665.75569999998</v>
      </c>
      <c r="BE31" s="10"/>
      <c r="BF31" s="10"/>
      <c r="BG31" s="10">
        <v>630426.35898000002</v>
      </c>
      <c r="BH31" s="10"/>
      <c r="BI31" s="10"/>
      <c r="BJ31" s="10"/>
      <c r="BK31" s="10">
        <v>298091.42090000003</v>
      </c>
      <c r="BL31" s="10">
        <v>137016.39360000001</v>
      </c>
      <c r="BM31" s="10">
        <v>173043.30720000001</v>
      </c>
      <c r="BN31" s="10">
        <v>584863.26410000003</v>
      </c>
      <c r="BO31" s="10">
        <v>88394.622799999997</v>
      </c>
      <c r="BP31" s="10">
        <v>371291.63630000001</v>
      </c>
      <c r="BQ31" s="10">
        <v>374404.45500000002</v>
      </c>
      <c r="BR31" s="10">
        <v>223747.87299999999</v>
      </c>
      <c r="BS31" s="10">
        <v>146082.36929999999</v>
      </c>
      <c r="BT31" s="10">
        <v>219908.17230000001</v>
      </c>
      <c r="BU31" s="10">
        <v>1501153.65279</v>
      </c>
      <c r="BV31" s="10">
        <v>392916.179</v>
      </c>
      <c r="BW31" s="10">
        <v>192443.94699999999</v>
      </c>
      <c r="BX31" s="10">
        <v>10505318.251800001</v>
      </c>
      <c r="BY31" s="10">
        <v>134802.16450000001</v>
      </c>
      <c r="BZ31" s="10">
        <v>263435.9325</v>
      </c>
      <c r="CA31" s="10">
        <v>120422.48149999999</v>
      </c>
      <c r="CB31" s="10">
        <v>210111.39490000001</v>
      </c>
      <c r="CC31" s="10">
        <v>155263.43591999999</v>
      </c>
      <c r="CD31" s="10">
        <v>218614.3964</v>
      </c>
      <c r="CE31" s="10">
        <v>146894.4228</v>
      </c>
      <c r="CF31" s="10">
        <v>266421.06199999998</v>
      </c>
      <c r="CG31" s="10">
        <v>32922.245000000003</v>
      </c>
      <c r="CH31" s="10"/>
      <c r="CI31" s="10">
        <v>156718.2193</v>
      </c>
      <c r="CJ31" s="10">
        <v>60599.584340000001</v>
      </c>
      <c r="CK31" s="10"/>
      <c r="CL31" s="10"/>
      <c r="CM31" s="10"/>
      <c r="CN31" s="10">
        <v>5622.6710000000003</v>
      </c>
      <c r="CO31" s="10">
        <v>104667.740554</v>
      </c>
      <c r="CP31" s="10"/>
      <c r="CQ31" s="10">
        <v>455396.19329999998</v>
      </c>
      <c r="CR31" s="10"/>
      <c r="CS31" s="10"/>
      <c r="CT31" s="10">
        <v>9238.8761799999993</v>
      </c>
      <c r="CU31" s="10">
        <v>19784.205999999998</v>
      </c>
      <c r="CV31" s="10">
        <v>106556.65180000001</v>
      </c>
      <c r="CW31" s="10"/>
      <c r="CX31" s="10">
        <v>85545.03585</v>
      </c>
      <c r="CY31" s="10"/>
      <c r="CZ31" s="10"/>
      <c r="DA31" s="10">
        <v>32239.911499999998</v>
      </c>
      <c r="DB31" s="10"/>
      <c r="DC31" s="10">
        <v>29563.938803000001</v>
      </c>
      <c r="DD31" s="10">
        <v>9807.9693000000007</v>
      </c>
      <c r="DE31" s="10"/>
      <c r="DF31" s="10">
        <v>45866.553950000001</v>
      </c>
      <c r="DG31" s="10"/>
      <c r="DH31" s="10">
        <v>15088.3213</v>
      </c>
      <c r="DI31" s="10">
        <v>103745.56</v>
      </c>
      <c r="DJ31" s="10"/>
      <c r="DK31" s="10">
        <v>64580.252</v>
      </c>
      <c r="DL31" s="10">
        <v>26689.294000000002</v>
      </c>
      <c r="DM31" s="10"/>
      <c r="DN31" s="10">
        <v>18176.15352</v>
      </c>
      <c r="DO31" s="10"/>
      <c r="DP31" s="10">
        <v>175151.28630000001</v>
      </c>
      <c r="DQ31" s="10"/>
      <c r="DR31" s="10">
        <v>133230.06409999999</v>
      </c>
      <c r="DS31" s="10">
        <v>28794.817899999998</v>
      </c>
      <c r="DT31" s="10">
        <v>49224.4611</v>
      </c>
      <c r="DU31" s="10"/>
      <c r="DV31" s="10"/>
      <c r="DW31" s="10">
        <v>21957.2016</v>
      </c>
      <c r="DX31" s="10"/>
      <c r="DY31" s="10">
        <v>9537.9369000000006</v>
      </c>
      <c r="DZ31" s="10">
        <v>21692.322700000001</v>
      </c>
      <c r="EA31" s="10">
        <v>10864.891799999999</v>
      </c>
      <c r="EB31" s="10"/>
      <c r="EC31" s="10">
        <v>28475.824457999999</v>
      </c>
      <c r="ED31" s="10">
        <v>46429.814400000003</v>
      </c>
      <c r="EE31" s="10">
        <v>25027.378000000001</v>
      </c>
      <c r="EF31" s="10">
        <v>29986.115900000001</v>
      </c>
      <c r="EG31" s="10">
        <v>33198.476000000002</v>
      </c>
      <c r="EH31" s="10">
        <v>12949.38198</v>
      </c>
      <c r="EI31" s="10">
        <v>14775.80035</v>
      </c>
      <c r="EJ31" s="10">
        <v>24580.0946</v>
      </c>
      <c r="EK31" s="10">
        <v>26575.902699999999</v>
      </c>
      <c r="EL31" s="10">
        <v>82831.561100000006</v>
      </c>
      <c r="EM31" s="10">
        <v>25900.576700000001</v>
      </c>
      <c r="EN31" s="10">
        <v>25146.733</v>
      </c>
      <c r="EO31" s="10">
        <v>25124.456600000001</v>
      </c>
      <c r="EP31" s="10"/>
      <c r="EQ31" s="10">
        <v>86443.180600000007</v>
      </c>
      <c r="ER31" s="10">
        <v>7618.8549999999996</v>
      </c>
      <c r="ES31" s="10">
        <v>9140.3104000000003</v>
      </c>
      <c r="ET31" s="10">
        <v>4884.9246999999996</v>
      </c>
      <c r="EU31" s="10"/>
      <c r="EV31" s="10">
        <v>838.15288999999996</v>
      </c>
      <c r="EW31" s="10"/>
      <c r="EX31" s="10"/>
      <c r="EY31" s="10"/>
      <c r="EZ31" s="10"/>
      <c r="FA31" s="10"/>
      <c r="FB31" s="10"/>
      <c r="FC31" s="10">
        <v>19542.829000000002</v>
      </c>
      <c r="FD31" s="10">
        <v>8070.1860999999999</v>
      </c>
      <c r="FE31" s="10">
        <v>38361.183199999999</v>
      </c>
      <c r="FF31" s="10"/>
      <c r="FG31" s="10"/>
      <c r="FH31" s="10">
        <v>21199.974999999999</v>
      </c>
      <c r="FI31" s="10"/>
      <c r="FJ31" s="10"/>
      <c r="FK31" s="10"/>
      <c r="FL31" s="10"/>
      <c r="FM31" s="10"/>
      <c r="FN31" s="10"/>
      <c r="FO31" s="10">
        <v>13252.9064</v>
      </c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>
        <v>0</v>
      </c>
      <c r="GB31" s="10"/>
      <c r="GC31" s="10"/>
      <c r="GD31" s="10"/>
      <c r="GE31" s="10">
        <v>10.20416</v>
      </c>
      <c r="GF31" s="10">
        <v>0</v>
      </c>
      <c r="GG31" s="10">
        <v>0</v>
      </c>
    </row>
    <row r="32" spans="1:189" x14ac:dyDescent="0.35">
      <c r="A32" s="8">
        <v>46133</v>
      </c>
      <c r="B32" s="9">
        <v>6720087648.5492401</v>
      </c>
      <c r="C32" s="10">
        <v>2670108012.4903998</v>
      </c>
      <c r="D32" s="10">
        <v>1372037892.9895301</v>
      </c>
      <c r="E32" s="10">
        <v>1589125533.7594299</v>
      </c>
      <c r="F32" s="10">
        <v>401882519.56379998</v>
      </c>
      <c r="G32" s="10">
        <v>115426379.81659999</v>
      </c>
      <c r="H32" s="10">
        <v>133429401.856558</v>
      </c>
      <c r="I32" s="10">
        <v>8272791.5043000001</v>
      </c>
      <c r="J32" s="10">
        <v>9862840.3939999994</v>
      </c>
      <c r="K32" s="10">
        <v>35477594.919255003</v>
      </c>
      <c r="L32" s="10">
        <v>96476951.061199993</v>
      </c>
      <c r="M32" s="10">
        <v>26835635.068500001</v>
      </c>
      <c r="N32" s="10">
        <v>34508472.646200001</v>
      </c>
      <c r="O32" s="10">
        <v>19522426.914700001</v>
      </c>
      <c r="P32" s="10">
        <v>43454448.974600002</v>
      </c>
      <c r="Q32" s="10">
        <v>15210214.021400001</v>
      </c>
      <c r="R32" s="10">
        <v>9676457.1376482006</v>
      </c>
      <c r="S32" s="10">
        <v>15728304.779100001</v>
      </c>
      <c r="T32" s="10">
        <v>15744908.0208</v>
      </c>
      <c r="U32" s="10">
        <v>15645846.249644101</v>
      </c>
      <c r="V32" s="10">
        <v>8549287.1443387493</v>
      </c>
      <c r="W32" s="10">
        <v>12559300.1659005</v>
      </c>
      <c r="X32" s="10">
        <v>1835575.6746</v>
      </c>
      <c r="Y32" s="10">
        <v>1414710.0637000001</v>
      </c>
      <c r="Z32" s="10">
        <v>3759396.4925774499</v>
      </c>
      <c r="AA32" s="10">
        <v>5965539.6735800495</v>
      </c>
      <c r="AB32" s="10">
        <v>3358960.5353000001</v>
      </c>
      <c r="AC32" s="10">
        <v>6527824.4109260496</v>
      </c>
      <c r="AD32" s="10"/>
      <c r="AE32" s="10">
        <v>3275373.3119000001</v>
      </c>
      <c r="AF32" s="10">
        <v>1864442.8681000001</v>
      </c>
      <c r="AG32" s="10">
        <v>1518806.3691</v>
      </c>
      <c r="AH32" s="10">
        <v>3224325.2167000002</v>
      </c>
      <c r="AI32" s="10">
        <v>438910.10100000002</v>
      </c>
      <c r="AJ32" s="10">
        <v>2311046.9081999999</v>
      </c>
      <c r="AK32" s="10">
        <v>554162.47900000005</v>
      </c>
      <c r="AL32" s="10">
        <v>1447273.9791999999</v>
      </c>
      <c r="AM32" s="10">
        <v>683447.40130000003</v>
      </c>
      <c r="AN32" s="10">
        <v>1747516.3621</v>
      </c>
      <c r="AO32" s="10"/>
      <c r="AP32" s="10"/>
      <c r="AQ32" s="10">
        <v>1881562.081</v>
      </c>
      <c r="AR32" s="10">
        <v>988328.44160000002</v>
      </c>
      <c r="AS32" s="10">
        <v>655763.52919999999</v>
      </c>
      <c r="AT32" s="10">
        <v>1800429.2052</v>
      </c>
      <c r="AU32" s="10">
        <v>820839.519631</v>
      </c>
      <c r="AV32" s="10">
        <v>1079729.4175</v>
      </c>
      <c r="AW32" s="10">
        <v>870678.03670000006</v>
      </c>
      <c r="AX32" s="10">
        <v>537470.42039999994</v>
      </c>
      <c r="AY32" s="10">
        <v>1606932.4950999999</v>
      </c>
      <c r="AZ32" s="10"/>
      <c r="BA32" s="10">
        <v>819033.96950000001</v>
      </c>
      <c r="BB32" s="10">
        <v>587830.30420000001</v>
      </c>
      <c r="BC32" s="10">
        <v>313940.978</v>
      </c>
      <c r="BD32" s="10">
        <v>590082.54579999996</v>
      </c>
      <c r="BE32" s="10"/>
      <c r="BF32" s="10"/>
      <c r="BG32" s="10">
        <v>199678.87547999999</v>
      </c>
      <c r="BH32" s="10"/>
      <c r="BI32" s="10"/>
      <c r="BJ32" s="10"/>
      <c r="BK32" s="10">
        <v>720331.05660000001</v>
      </c>
      <c r="BL32" s="10">
        <v>166707.473</v>
      </c>
      <c r="BM32" s="10">
        <v>123230.7745</v>
      </c>
      <c r="BN32" s="10">
        <v>562462.09069999994</v>
      </c>
      <c r="BO32" s="10">
        <v>245504.8603</v>
      </c>
      <c r="BP32" s="10"/>
      <c r="BQ32" s="10"/>
      <c r="BR32" s="10">
        <v>258245.3499</v>
      </c>
      <c r="BS32" s="10">
        <v>382736.05158999999</v>
      </c>
      <c r="BT32" s="10">
        <v>135389.3933</v>
      </c>
      <c r="BU32" s="10">
        <v>8240056.7792999996</v>
      </c>
      <c r="BV32" s="10">
        <v>844009.17749999999</v>
      </c>
      <c r="BW32" s="10">
        <v>359119.5722</v>
      </c>
      <c r="BX32" s="10">
        <v>539340.76450000005</v>
      </c>
      <c r="BY32" s="10"/>
      <c r="BZ32" s="10">
        <v>1208901.426</v>
      </c>
      <c r="CA32" s="10"/>
      <c r="CB32" s="10">
        <v>30380.711599999999</v>
      </c>
      <c r="CC32" s="10">
        <v>734225.54946000001</v>
      </c>
      <c r="CD32" s="10">
        <v>1056027.2572000001</v>
      </c>
      <c r="CE32" s="10">
        <v>268756.84250000003</v>
      </c>
      <c r="CF32" s="10">
        <v>167376.0442</v>
      </c>
      <c r="CG32" s="10">
        <v>197490.68</v>
      </c>
      <c r="CH32" s="10"/>
      <c r="CI32" s="10">
        <v>112770.77099999999</v>
      </c>
      <c r="CJ32" s="10">
        <v>27672.698789999999</v>
      </c>
      <c r="CK32" s="10"/>
      <c r="CL32" s="10"/>
      <c r="CM32" s="10"/>
      <c r="CN32" s="10">
        <v>15119.795</v>
      </c>
      <c r="CO32" s="10">
        <v>200235.33228199999</v>
      </c>
      <c r="CP32" s="10"/>
      <c r="CQ32" s="10">
        <v>147518.7329</v>
      </c>
      <c r="CR32" s="10"/>
      <c r="CS32" s="10"/>
      <c r="CT32" s="10">
        <v>64566.715049999999</v>
      </c>
      <c r="CU32" s="10">
        <v>56718.517999999996</v>
      </c>
      <c r="CV32" s="10">
        <v>85947.731799999994</v>
      </c>
      <c r="CW32" s="10"/>
      <c r="CX32" s="10">
        <v>27568.37369</v>
      </c>
      <c r="CY32" s="10"/>
      <c r="CZ32" s="10"/>
      <c r="DA32" s="10">
        <v>21514.909599999999</v>
      </c>
      <c r="DB32" s="10"/>
      <c r="DC32" s="10">
        <v>87372.141017999995</v>
      </c>
      <c r="DD32" s="10">
        <v>24327.483199999999</v>
      </c>
      <c r="DE32" s="10"/>
      <c r="DF32" s="10">
        <v>26257.672729999998</v>
      </c>
      <c r="DG32" s="10"/>
      <c r="DH32" s="10">
        <v>11556.306200000001</v>
      </c>
      <c r="DI32" s="10">
        <v>85512.478000000003</v>
      </c>
      <c r="DJ32" s="10"/>
      <c r="DK32" s="10">
        <v>59056.38</v>
      </c>
      <c r="DL32" s="10">
        <v>26325.266</v>
      </c>
      <c r="DM32" s="10"/>
      <c r="DN32" s="10">
        <v>19921.576249999998</v>
      </c>
      <c r="DO32" s="10"/>
      <c r="DP32" s="10">
        <v>43537.972900000001</v>
      </c>
      <c r="DQ32" s="10"/>
      <c r="DR32" s="10">
        <v>76150.115699999995</v>
      </c>
      <c r="DS32" s="10">
        <v>19877.700199999999</v>
      </c>
      <c r="DT32" s="10">
        <v>20376.464899999999</v>
      </c>
      <c r="DU32" s="10"/>
      <c r="DV32" s="10"/>
      <c r="DW32" s="10">
        <v>10251.570599999999</v>
      </c>
      <c r="DX32" s="10"/>
      <c r="DY32" s="10">
        <v>11591.10399</v>
      </c>
      <c r="DZ32" s="10">
        <v>11445.7904</v>
      </c>
      <c r="EA32" s="10">
        <v>6658.56</v>
      </c>
      <c r="EB32" s="10"/>
      <c r="EC32" s="10">
        <v>11411.859864</v>
      </c>
      <c r="ED32" s="10">
        <v>29891.300500000001</v>
      </c>
      <c r="EE32" s="10">
        <v>16635.404999999999</v>
      </c>
      <c r="EF32" s="10">
        <v>12410.4681</v>
      </c>
      <c r="EG32" s="10">
        <v>33507.737999999998</v>
      </c>
      <c r="EH32" s="10">
        <v>3699.4559599999998</v>
      </c>
      <c r="EI32" s="10">
        <v>6819.2495699999999</v>
      </c>
      <c r="EJ32" s="10">
        <v>45012.669800000003</v>
      </c>
      <c r="EK32" s="10">
        <v>45743.659800000001</v>
      </c>
      <c r="EL32" s="10">
        <v>4641.6246000000001</v>
      </c>
      <c r="EM32" s="10">
        <v>22594.505499999999</v>
      </c>
      <c r="EN32" s="10">
        <v>21657.931</v>
      </c>
      <c r="EO32" s="10">
        <v>7252.9952000000003</v>
      </c>
      <c r="EP32" s="10"/>
      <c r="EQ32" s="10">
        <v>4208.6917999999996</v>
      </c>
      <c r="ER32" s="10">
        <v>13466.1127</v>
      </c>
      <c r="ES32" s="10">
        <v>4531.37</v>
      </c>
      <c r="ET32" s="10">
        <v>12878.288399999999</v>
      </c>
      <c r="EU32" s="10"/>
      <c r="EV32" s="10">
        <v>0</v>
      </c>
      <c r="EW32" s="10"/>
      <c r="EX32" s="10"/>
      <c r="EY32" s="10"/>
      <c r="EZ32" s="10"/>
      <c r="FA32" s="10"/>
      <c r="FB32" s="10"/>
      <c r="FC32" s="10">
        <v>12634.263000000001</v>
      </c>
      <c r="FD32" s="10">
        <v>5276.8091999999997</v>
      </c>
      <c r="FE32" s="10">
        <v>3853.0572999999999</v>
      </c>
      <c r="FF32" s="10"/>
      <c r="FG32" s="10"/>
      <c r="FH32" s="10">
        <v>9476.0193999999992</v>
      </c>
      <c r="FI32" s="10"/>
      <c r="FJ32" s="10"/>
      <c r="FK32" s="10"/>
      <c r="FL32" s="10"/>
      <c r="FM32" s="10"/>
      <c r="FN32" s="10"/>
      <c r="FO32" s="10">
        <v>5069.9155000000001</v>
      </c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>
        <v>0</v>
      </c>
      <c r="GB32" s="10"/>
      <c r="GC32" s="10"/>
      <c r="GD32" s="10"/>
      <c r="GE32" s="10">
        <v>0</v>
      </c>
      <c r="GF32" s="10">
        <v>0</v>
      </c>
      <c r="GG32" s="10">
        <v>0</v>
      </c>
    </row>
    <row r="33" spans="1:189" x14ac:dyDescent="0.35">
      <c r="A33" s="8">
        <v>46132</v>
      </c>
      <c r="B33" s="9">
        <v>4469598153.1828804</v>
      </c>
      <c r="C33" s="10">
        <v>1508555386.64992</v>
      </c>
      <c r="D33" s="10">
        <v>943094220.30803001</v>
      </c>
      <c r="E33" s="10">
        <v>994973171.82142997</v>
      </c>
      <c r="F33" s="10">
        <v>296229805.58020002</v>
      </c>
      <c r="G33" s="10">
        <v>130083720.3343</v>
      </c>
      <c r="H33" s="10">
        <v>142626287.242955</v>
      </c>
      <c r="I33" s="10">
        <v>12361161.5349</v>
      </c>
      <c r="J33" s="10">
        <v>10484317.532600001</v>
      </c>
      <c r="K33" s="10">
        <v>29474686.262787499</v>
      </c>
      <c r="L33" s="10">
        <v>119356644.6434</v>
      </c>
      <c r="M33" s="10">
        <v>32154497.248399999</v>
      </c>
      <c r="N33" s="10">
        <v>39960002.742299996</v>
      </c>
      <c r="O33" s="10">
        <v>11174838.2115</v>
      </c>
      <c r="P33" s="10">
        <v>45959295.104599997</v>
      </c>
      <c r="Q33" s="10">
        <v>12894544.703500001</v>
      </c>
      <c r="R33" s="10">
        <v>13338842.508743299</v>
      </c>
      <c r="S33" s="10">
        <v>10113630.66573</v>
      </c>
      <c r="T33" s="10">
        <v>15192796.915100001</v>
      </c>
      <c r="U33" s="10">
        <v>11792751.3586688</v>
      </c>
      <c r="V33" s="10">
        <v>9978908.3861944601</v>
      </c>
      <c r="W33" s="10">
        <v>11531409.0818941</v>
      </c>
      <c r="X33" s="10">
        <v>2187844.2672000001</v>
      </c>
      <c r="Y33" s="10">
        <v>1120331.2856000001</v>
      </c>
      <c r="Z33" s="10">
        <v>6203529.7939575603</v>
      </c>
      <c r="AA33" s="10">
        <v>6839181.6391483499</v>
      </c>
      <c r="AB33" s="10">
        <v>4904245.4132000003</v>
      </c>
      <c r="AC33" s="10">
        <v>5986742.1033595297</v>
      </c>
      <c r="AD33" s="10"/>
      <c r="AE33" s="10">
        <v>4441080.6949300002</v>
      </c>
      <c r="AF33" s="10">
        <v>2644055.4945999999</v>
      </c>
      <c r="AG33" s="10">
        <v>602386.522</v>
      </c>
      <c r="AH33" s="10">
        <v>2048206.0126</v>
      </c>
      <c r="AI33" s="10">
        <v>485906.386</v>
      </c>
      <c r="AJ33" s="10">
        <v>3179895.4208</v>
      </c>
      <c r="AK33" s="10">
        <v>621753.48100000003</v>
      </c>
      <c r="AL33" s="10">
        <v>3134253.7118000002</v>
      </c>
      <c r="AM33" s="10">
        <v>767226.93180000002</v>
      </c>
      <c r="AN33" s="10">
        <v>1036236.8136</v>
      </c>
      <c r="AO33" s="10"/>
      <c r="AP33" s="10"/>
      <c r="AQ33" s="10">
        <v>3079711.7302000001</v>
      </c>
      <c r="AR33" s="10">
        <v>471639.99680000002</v>
      </c>
      <c r="AS33" s="10">
        <v>1043425.5014</v>
      </c>
      <c r="AT33" s="10">
        <v>616117.04070000001</v>
      </c>
      <c r="AU33" s="10">
        <v>914860.94901500002</v>
      </c>
      <c r="AV33" s="10">
        <v>850794.1936</v>
      </c>
      <c r="AW33" s="10">
        <v>827406.5577</v>
      </c>
      <c r="AX33" s="10">
        <v>317990.60619999998</v>
      </c>
      <c r="AY33" s="10">
        <v>509434.05849999998</v>
      </c>
      <c r="AZ33" s="10"/>
      <c r="BA33" s="10">
        <v>2029802.2947</v>
      </c>
      <c r="BB33" s="10">
        <v>303484.43</v>
      </c>
      <c r="BC33" s="10">
        <v>288484.95899999997</v>
      </c>
      <c r="BD33" s="10">
        <v>446131.40919999999</v>
      </c>
      <c r="BE33" s="10"/>
      <c r="BF33" s="10"/>
      <c r="BG33" s="10">
        <v>240268.20314</v>
      </c>
      <c r="BH33" s="10"/>
      <c r="BI33" s="10"/>
      <c r="BJ33" s="10"/>
      <c r="BK33" s="10">
        <v>411756.83059999999</v>
      </c>
      <c r="BL33" s="10">
        <v>356079.13689999998</v>
      </c>
      <c r="BM33" s="10">
        <v>227390.97700000001</v>
      </c>
      <c r="BN33" s="10">
        <v>244904.58720000001</v>
      </c>
      <c r="BO33" s="10">
        <v>242883.90770000001</v>
      </c>
      <c r="BP33" s="10"/>
      <c r="BQ33" s="10"/>
      <c r="BR33" s="10">
        <v>212576.78750000001</v>
      </c>
      <c r="BS33" s="10">
        <v>102351.31109</v>
      </c>
      <c r="BT33" s="10">
        <v>150347.77230000001</v>
      </c>
      <c r="BU33" s="10">
        <v>2494215.66028</v>
      </c>
      <c r="BV33" s="10">
        <v>622258.16969999997</v>
      </c>
      <c r="BW33" s="10">
        <v>426842.38890000002</v>
      </c>
      <c r="BX33" s="10">
        <v>39306.772100000002</v>
      </c>
      <c r="BY33" s="10"/>
      <c r="BZ33" s="10">
        <v>194004.95120000001</v>
      </c>
      <c r="CA33" s="10"/>
      <c r="CB33" s="10">
        <v>168965.60029999999</v>
      </c>
      <c r="CC33" s="10">
        <v>1325986.0860900001</v>
      </c>
      <c r="CD33" s="10">
        <v>151624.5673</v>
      </c>
      <c r="CE33" s="10">
        <v>86937.102499999994</v>
      </c>
      <c r="CF33" s="10">
        <v>107229.276</v>
      </c>
      <c r="CG33" s="10">
        <v>74993.335000000006</v>
      </c>
      <c r="CH33" s="10"/>
      <c r="CI33" s="10">
        <v>68970.897400000002</v>
      </c>
      <c r="CJ33" s="10">
        <v>77420.331109999999</v>
      </c>
      <c r="CK33" s="10"/>
      <c r="CL33" s="10"/>
      <c r="CM33" s="10"/>
      <c r="CN33" s="10">
        <v>10252.130999999999</v>
      </c>
      <c r="CO33" s="10">
        <v>241339.603627</v>
      </c>
      <c r="CP33" s="10"/>
      <c r="CQ33" s="10">
        <v>33654.629300000001</v>
      </c>
      <c r="CR33" s="10"/>
      <c r="CS33" s="10"/>
      <c r="CT33" s="10">
        <v>11974.496349999999</v>
      </c>
      <c r="CU33" s="10">
        <v>152066.56899999999</v>
      </c>
      <c r="CV33" s="10">
        <v>128776.1311</v>
      </c>
      <c r="CW33" s="10"/>
      <c r="CX33" s="10">
        <v>57928.801850000003</v>
      </c>
      <c r="CY33" s="10"/>
      <c r="CZ33" s="10"/>
      <c r="DA33" s="10">
        <v>40381.184999999998</v>
      </c>
      <c r="DB33" s="10"/>
      <c r="DC33" s="10">
        <v>44437.671912999998</v>
      </c>
      <c r="DD33" s="10">
        <v>37335.4666</v>
      </c>
      <c r="DE33" s="10"/>
      <c r="DF33" s="10">
        <v>29711.966929999999</v>
      </c>
      <c r="DG33" s="10"/>
      <c r="DH33" s="10">
        <v>9787.5923999999995</v>
      </c>
      <c r="DI33" s="10">
        <v>59317.139000000003</v>
      </c>
      <c r="DJ33" s="10"/>
      <c r="DK33" s="10">
        <v>32249.200000000001</v>
      </c>
      <c r="DL33" s="10">
        <v>25949.376</v>
      </c>
      <c r="DM33" s="10"/>
      <c r="DN33" s="10">
        <v>20143.48532</v>
      </c>
      <c r="DO33" s="10"/>
      <c r="DP33" s="10">
        <v>20415.534800000001</v>
      </c>
      <c r="DQ33" s="10"/>
      <c r="DR33" s="10">
        <v>744931.61959999998</v>
      </c>
      <c r="DS33" s="10">
        <v>21197.456999999999</v>
      </c>
      <c r="DT33" s="10">
        <v>19519.6574</v>
      </c>
      <c r="DU33" s="10"/>
      <c r="DV33" s="10"/>
      <c r="DW33" s="10">
        <v>15660.5357</v>
      </c>
      <c r="DX33" s="10"/>
      <c r="DY33" s="10">
        <v>46070.019439999996</v>
      </c>
      <c r="DZ33" s="10">
        <v>20685.8609</v>
      </c>
      <c r="EA33" s="10">
        <v>11017.3552</v>
      </c>
      <c r="EB33" s="10"/>
      <c r="EC33" s="10">
        <v>15551.401793000001</v>
      </c>
      <c r="ED33" s="10">
        <v>66620.034700000004</v>
      </c>
      <c r="EE33" s="10">
        <v>19688.991999999998</v>
      </c>
      <c r="EF33" s="10">
        <v>10048.1162</v>
      </c>
      <c r="EG33" s="10">
        <v>54585.453999999998</v>
      </c>
      <c r="EH33" s="10">
        <v>49630.312830000003</v>
      </c>
      <c r="EI33" s="10">
        <v>19765.448499999999</v>
      </c>
      <c r="EJ33" s="10">
        <v>13952.0129</v>
      </c>
      <c r="EK33" s="10">
        <v>55759.554300000003</v>
      </c>
      <c r="EL33" s="10">
        <v>15625.4202</v>
      </c>
      <c r="EM33" s="10">
        <v>6542.2565000000004</v>
      </c>
      <c r="EN33" s="10">
        <v>26698.178</v>
      </c>
      <c r="EO33" s="10">
        <v>3816.4958999999999</v>
      </c>
      <c r="EP33" s="10"/>
      <c r="EQ33" s="10">
        <v>6336.8609999999999</v>
      </c>
      <c r="ER33" s="10">
        <v>45424.8151</v>
      </c>
      <c r="ES33" s="10">
        <v>4985.6386000000002</v>
      </c>
      <c r="ET33" s="10">
        <v>27619.178500000002</v>
      </c>
      <c r="EU33" s="10"/>
      <c r="EV33" s="10">
        <v>11056.332560000001</v>
      </c>
      <c r="EW33" s="10"/>
      <c r="EX33" s="10"/>
      <c r="EY33" s="10"/>
      <c r="EZ33" s="10"/>
      <c r="FA33" s="10"/>
      <c r="FB33" s="10"/>
      <c r="FC33" s="10">
        <v>14341.450999999999</v>
      </c>
      <c r="FD33" s="10">
        <v>6686</v>
      </c>
      <c r="FE33" s="10">
        <v>3148.2586000000001</v>
      </c>
      <c r="FF33" s="10"/>
      <c r="FG33" s="10"/>
      <c r="FH33" s="10">
        <v>17730.4107</v>
      </c>
      <c r="FI33" s="10"/>
      <c r="FJ33" s="10"/>
      <c r="FK33" s="10"/>
      <c r="FL33" s="10"/>
      <c r="FM33" s="10"/>
      <c r="FN33" s="10"/>
      <c r="FO33" s="10">
        <v>7343.8864999999996</v>
      </c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>
        <v>0</v>
      </c>
      <c r="GB33" s="10"/>
      <c r="GC33" s="10"/>
      <c r="GD33" s="10"/>
      <c r="GE33" s="10">
        <v>0</v>
      </c>
      <c r="GF33" s="10">
        <v>0</v>
      </c>
      <c r="GG33" s="10">
        <v>0</v>
      </c>
    </row>
    <row r="34" spans="1:189" x14ac:dyDescent="0.35">
      <c r="A34" s="8">
        <v>46131</v>
      </c>
      <c r="B34" s="9">
        <v>2308814796.7472401</v>
      </c>
      <c r="C34" s="10">
        <v>766898220.45001101</v>
      </c>
      <c r="D34" s="10">
        <v>428291624.90998</v>
      </c>
      <c r="E34" s="10">
        <v>700572713.54439998</v>
      </c>
      <c r="F34" s="10">
        <v>228474522.05790001</v>
      </c>
      <c r="G34" s="10">
        <v>22344011.538699999</v>
      </c>
      <c r="H34" s="10">
        <v>21036894.506406602</v>
      </c>
      <c r="I34" s="10">
        <v>1982784.0662</v>
      </c>
      <c r="J34" s="10">
        <v>3464192.2039999999</v>
      </c>
      <c r="K34" s="10">
        <v>10131150.9106998</v>
      </c>
      <c r="L34" s="10">
        <v>36362161.868699998</v>
      </c>
      <c r="M34" s="10">
        <v>3785990.3934999998</v>
      </c>
      <c r="N34" s="10">
        <v>16600729.636399999</v>
      </c>
      <c r="O34" s="10">
        <v>4271651.6250999998</v>
      </c>
      <c r="P34" s="10">
        <v>6659579.8572000004</v>
      </c>
      <c r="Q34" s="10">
        <v>3197137.2223999999</v>
      </c>
      <c r="R34" s="10">
        <v>2594477.8441437301</v>
      </c>
      <c r="S34" s="10">
        <v>5199417.0650199996</v>
      </c>
      <c r="T34" s="10">
        <v>2309230.0542000001</v>
      </c>
      <c r="U34" s="10">
        <v>2488281.8390593301</v>
      </c>
      <c r="V34" s="10">
        <v>2792104.4696615399</v>
      </c>
      <c r="W34" s="10">
        <v>7650487.7081746599</v>
      </c>
      <c r="X34" s="10">
        <v>624165.66079999995</v>
      </c>
      <c r="Y34" s="10">
        <v>63766.504500000003</v>
      </c>
      <c r="Z34" s="10">
        <v>2332192.38871969</v>
      </c>
      <c r="AA34" s="10">
        <v>1032754.8980642901</v>
      </c>
      <c r="AB34" s="10">
        <v>3252579.378</v>
      </c>
      <c r="AC34" s="10">
        <v>2974285.0408967598</v>
      </c>
      <c r="AD34" s="10"/>
      <c r="AE34" s="10">
        <v>2888167.39053</v>
      </c>
      <c r="AF34" s="10">
        <v>1692037.852</v>
      </c>
      <c r="AG34" s="10">
        <v>1183463.2111</v>
      </c>
      <c r="AH34" s="10">
        <v>588418.24029999995</v>
      </c>
      <c r="AI34" s="10">
        <v>541028.902</v>
      </c>
      <c r="AJ34" s="10">
        <v>2482534.1636999999</v>
      </c>
      <c r="AK34" s="10">
        <v>408089.98700000002</v>
      </c>
      <c r="AL34" s="10">
        <v>215661.58749999999</v>
      </c>
      <c r="AM34" s="10">
        <v>16789.3233</v>
      </c>
      <c r="AN34" s="10">
        <v>37992.498399999997</v>
      </c>
      <c r="AO34" s="10"/>
      <c r="AP34" s="10"/>
      <c r="AQ34" s="10">
        <v>231890.3695</v>
      </c>
      <c r="AR34" s="10">
        <v>34639.399799999999</v>
      </c>
      <c r="AS34" s="10">
        <v>333729.85350000003</v>
      </c>
      <c r="AT34" s="10">
        <v>1604251.0055</v>
      </c>
      <c r="AU34" s="10">
        <v>1197433.4074039999</v>
      </c>
      <c r="AV34" s="10">
        <v>507751.23759999999</v>
      </c>
      <c r="AW34" s="10">
        <v>139327.5056</v>
      </c>
      <c r="AX34" s="10">
        <v>417189.21309999999</v>
      </c>
      <c r="AY34" s="10">
        <v>68536.0052</v>
      </c>
      <c r="AZ34" s="10"/>
      <c r="BA34" s="10">
        <v>2773570.4320999999</v>
      </c>
      <c r="BB34" s="10">
        <v>42448.032500000001</v>
      </c>
      <c r="BC34" s="10">
        <v>480653.74</v>
      </c>
      <c r="BD34" s="10">
        <v>89808.090500000006</v>
      </c>
      <c r="BE34" s="10"/>
      <c r="BF34" s="10"/>
      <c r="BG34" s="10">
        <v>118007.21657999999</v>
      </c>
      <c r="BH34" s="10"/>
      <c r="BI34" s="10"/>
      <c r="BJ34" s="10"/>
      <c r="BK34" s="10">
        <v>184242.9051</v>
      </c>
      <c r="BL34" s="10">
        <v>34302.022100000002</v>
      </c>
      <c r="BM34" s="10">
        <v>145987.606</v>
      </c>
      <c r="BN34" s="10">
        <v>51436.356299999999</v>
      </c>
      <c r="BO34" s="10">
        <v>12401.696</v>
      </c>
      <c r="BP34" s="10"/>
      <c r="BQ34" s="10"/>
      <c r="BR34" s="10">
        <v>39155.145100000002</v>
      </c>
      <c r="BS34" s="10">
        <v>25409.445469999999</v>
      </c>
      <c r="BT34" s="10">
        <v>24315.987300000001</v>
      </c>
      <c r="BU34" s="10">
        <v>194981.46283</v>
      </c>
      <c r="BV34" s="10">
        <v>262227.06449999998</v>
      </c>
      <c r="BW34" s="10">
        <v>107297.36199999999</v>
      </c>
      <c r="BX34" s="10">
        <v>39921.749000000003</v>
      </c>
      <c r="BY34" s="10"/>
      <c r="BZ34" s="10">
        <v>25998.8253</v>
      </c>
      <c r="CA34" s="10"/>
      <c r="CB34" s="10">
        <v>67608.6011</v>
      </c>
      <c r="CC34" s="10">
        <v>478003.30846999999</v>
      </c>
      <c r="CD34" s="10">
        <v>2471.1327000000001</v>
      </c>
      <c r="CE34" s="10">
        <v>13907.559499999999</v>
      </c>
      <c r="CF34" s="10">
        <v>4199.5519999999997</v>
      </c>
      <c r="CG34" s="10">
        <v>26466.108</v>
      </c>
      <c r="CH34" s="10"/>
      <c r="CI34" s="10">
        <v>111561.6376</v>
      </c>
      <c r="CJ34" s="10">
        <v>8817.9300199999998</v>
      </c>
      <c r="CK34" s="10"/>
      <c r="CL34" s="10"/>
      <c r="CM34" s="10"/>
      <c r="CN34" s="10">
        <v>11022.249</v>
      </c>
      <c r="CO34" s="10">
        <v>14514.350796000001</v>
      </c>
      <c r="CP34" s="10"/>
      <c r="CQ34" s="10">
        <v>5381.7034999999996</v>
      </c>
      <c r="CR34" s="10"/>
      <c r="CS34" s="10"/>
      <c r="CT34" s="10">
        <v>3150.2022299999999</v>
      </c>
      <c r="CU34" s="10">
        <v>387219.03200000001</v>
      </c>
      <c r="CV34" s="10">
        <v>60453.507700000002</v>
      </c>
      <c r="CW34" s="10"/>
      <c r="CX34" s="10">
        <v>34256.852220000001</v>
      </c>
      <c r="CY34" s="10"/>
      <c r="CZ34" s="10"/>
      <c r="DA34" s="10">
        <v>148099.9852</v>
      </c>
      <c r="DB34" s="10"/>
      <c r="DC34" s="10">
        <v>26349.466378000001</v>
      </c>
      <c r="DD34" s="10">
        <v>19882.288799999998</v>
      </c>
      <c r="DE34" s="10"/>
      <c r="DF34" s="10">
        <v>30391.609759999999</v>
      </c>
      <c r="DG34" s="10"/>
      <c r="DH34" s="10">
        <v>10713.7076</v>
      </c>
      <c r="DI34" s="10">
        <v>50722.588000000003</v>
      </c>
      <c r="DJ34" s="10"/>
      <c r="DK34" s="10">
        <v>62428.932000000001</v>
      </c>
      <c r="DL34" s="10">
        <v>33865.012999999999</v>
      </c>
      <c r="DM34" s="10"/>
      <c r="DN34" s="10">
        <v>33558.424789999997</v>
      </c>
      <c r="DO34" s="10"/>
      <c r="DP34" s="10">
        <v>12321.5954</v>
      </c>
      <c r="DQ34" s="10"/>
      <c r="DR34" s="10">
        <v>13363.4987</v>
      </c>
      <c r="DS34" s="10">
        <v>19872.813399999999</v>
      </c>
      <c r="DT34" s="10">
        <v>17962.552800000001</v>
      </c>
      <c r="DU34" s="10"/>
      <c r="DV34" s="10"/>
      <c r="DW34" s="10">
        <v>5584.6212999999998</v>
      </c>
      <c r="DX34" s="10"/>
      <c r="DY34" s="10">
        <v>39421.550669999997</v>
      </c>
      <c r="DZ34" s="10">
        <v>9125.1717000000008</v>
      </c>
      <c r="EA34" s="10">
        <v>0</v>
      </c>
      <c r="EB34" s="10"/>
      <c r="EC34" s="10">
        <v>11102.871848999999</v>
      </c>
      <c r="ED34" s="10">
        <v>71774.528000000006</v>
      </c>
      <c r="EE34" s="10">
        <v>29318.345000000001</v>
      </c>
      <c r="EF34" s="10">
        <v>9780.2407999999996</v>
      </c>
      <c r="EG34" s="10">
        <v>17234.558000000001</v>
      </c>
      <c r="EH34" s="10">
        <v>4683.6494400000001</v>
      </c>
      <c r="EI34" s="10">
        <v>57014.631159999997</v>
      </c>
      <c r="EJ34" s="10">
        <v>105013.4923</v>
      </c>
      <c r="EK34" s="10">
        <v>8204.2857999999997</v>
      </c>
      <c r="EL34" s="10">
        <v>4232.8589000000002</v>
      </c>
      <c r="EM34" s="10">
        <v>5750.8941999999997</v>
      </c>
      <c r="EN34" s="10">
        <v>28942.59</v>
      </c>
      <c r="EO34" s="10">
        <v>3059.0713999999998</v>
      </c>
      <c r="EP34" s="10"/>
      <c r="EQ34" s="10">
        <v>4515.7551999999996</v>
      </c>
      <c r="ER34" s="10">
        <v>9299.2212999999992</v>
      </c>
      <c r="ES34" s="10">
        <v>4761.9030000000002</v>
      </c>
      <c r="ET34" s="10">
        <v>4224.4520000000002</v>
      </c>
      <c r="EU34" s="10"/>
      <c r="EV34" s="10">
        <v>3101.3527100000001</v>
      </c>
      <c r="EW34" s="10"/>
      <c r="EX34" s="10"/>
      <c r="EY34" s="10"/>
      <c r="EZ34" s="10"/>
      <c r="FA34" s="10"/>
      <c r="FB34" s="10"/>
      <c r="FC34" s="10">
        <v>12277.56</v>
      </c>
      <c r="FD34" s="10">
        <v>4738.7579999999998</v>
      </c>
      <c r="FE34" s="10">
        <v>5197.1809000000003</v>
      </c>
      <c r="FF34" s="10"/>
      <c r="FG34" s="10"/>
      <c r="FH34" s="10">
        <v>7799.5904</v>
      </c>
      <c r="FI34" s="10"/>
      <c r="FJ34" s="10"/>
      <c r="FK34" s="10"/>
      <c r="FL34" s="10"/>
      <c r="FM34" s="10"/>
      <c r="FN34" s="10"/>
      <c r="FO34" s="10">
        <v>5535.2560000000003</v>
      </c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>
        <v>0</v>
      </c>
      <c r="GB34" s="10"/>
      <c r="GC34" s="10"/>
      <c r="GD34" s="10"/>
      <c r="GE34" s="10">
        <v>6332.22</v>
      </c>
      <c r="GF34" s="10">
        <v>0</v>
      </c>
      <c r="GG34" s="10">
        <v>0</v>
      </c>
    </row>
    <row r="35" spans="1:189" x14ac:dyDescent="0.35">
      <c r="A35" s="8">
        <v>46130</v>
      </c>
      <c r="B35" s="9">
        <v>1051351731.34647</v>
      </c>
      <c r="C35" s="10">
        <v>277403792.16935802</v>
      </c>
      <c r="D35" s="10">
        <v>76425203.252379999</v>
      </c>
      <c r="E35" s="10">
        <v>448934022.02657998</v>
      </c>
      <c r="F35" s="10">
        <v>110130434.0249</v>
      </c>
      <c r="G35" s="10">
        <v>17357686.247699998</v>
      </c>
      <c r="H35" s="10">
        <v>18376720.661157802</v>
      </c>
      <c r="I35" s="10">
        <v>2944992.3481000001</v>
      </c>
      <c r="J35" s="10">
        <v>2122994.9589999998</v>
      </c>
      <c r="K35" s="10">
        <v>8384978.4462910099</v>
      </c>
      <c r="L35" s="10">
        <v>16633678.7118</v>
      </c>
      <c r="M35" s="10">
        <v>4134955.8456000001</v>
      </c>
      <c r="N35" s="10">
        <v>5726251.1639999999</v>
      </c>
      <c r="O35" s="10">
        <v>2700256.0411999999</v>
      </c>
      <c r="P35" s="10">
        <v>7440034.0554</v>
      </c>
      <c r="Q35" s="10">
        <v>750387.26399999997</v>
      </c>
      <c r="R35" s="10">
        <v>4519857.0674398402</v>
      </c>
      <c r="S35" s="10">
        <v>1901221.6520100001</v>
      </c>
      <c r="T35" s="10">
        <v>3234270.1647000001</v>
      </c>
      <c r="U35" s="10">
        <v>2813805.4408295699</v>
      </c>
      <c r="V35" s="10">
        <v>2645461.1988048502</v>
      </c>
      <c r="W35" s="10">
        <v>7779314.11381895</v>
      </c>
      <c r="X35" s="10">
        <v>479761.92570000002</v>
      </c>
      <c r="Y35" s="10">
        <v>95507.907600000006</v>
      </c>
      <c r="Z35" s="10">
        <v>2327110.4117990001</v>
      </c>
      <c r="AA35" s="10">
        <v>1511031.8458438099</v>
      </c>
      <c r="AB35" s="10">
        <v>1172326.0552000001</v>
      </c>
      <c r="AC35" s="10">
        <v>4515902.7272164896</v>
      </c>
      <c r="AD35" s="10"/>
      <c r="AE35" s="10">
        <v>1858138.03198</v>
      </c>
      <c r="AF35" s="10">
        <v>688206.82369999995</v>
      </c>
      <c r="AG35" s="10">
        <v>1037123.4131</v>
      </c>
      <c r="AH35" s="10">
        <v>467829.61489999999</v>
      </c>
      <c r="AI35" s="10">
        <v>1216139.659</v>
      </c>
      <c r="AJ35" s="10">
        <v>125716.60219999999</v>
      </c>
      <c r="AK35" s="10">
        <v>1127392.317</v>
      </c>
      <c r="AL35" s="10">
        <v>207046.00529999999</v>
      </c>
      <c r="AM35" s="10">
        <v>65481.430099999998</v>
      </c>
      <c r="AN35" s="10">
        <v>71718.794299999994</v>
      </c>
      <c r="AO35" s="10"/>
      <c r="AP35" s="10"/>
      <c r="AQ35" s="10">
        <v>202293.02119999999</v>
      </c>
      <c r="AR35" s="10">
        <v>52562.341200000003</v>
      </c>
      <c r="AS35" s="10">
        <v>506668.9325</v>
      </c>
      <c r="AT35" s="10">
        <v>4002789.9293</v>
      </c>
      <c r="AU35" s="10">
        <v>889181.73872899998</v>
      </c>
      <c r="AV35" s="10">
        <v>389747.375</v>
      </c>
      <c r="AW35" s="10">
        <v>306618.23430000001</v>
      </c>
      <c r="AX35" s="10">
        <v>215094.75510000001</v>
      </c>
      <c r="AY35" s="10">
        <v>46876.251499999998</v>
      </c>
      <c r="AZ35" s="10"/>
      <c r="BA35" s="10">
        <v>933437.56469999999</v>
      </c>
      <c r="BB35" s="10">
        <v>9323.2582000000002</v>
      </c>
      <c r="BC35" s="10">
        <v>388620.86099999998</v>
      </c>
      <c r="BD35" s="10">
        <v>44613.809500000003</v>
      </c>
      <c r="BE35" s="10"/>
      <c r="BF35" s="10"/>
      <c r="BG35" s="10">
        <v>144376.84299999999</v>
      </c>
      <c r="BH35" s="10"/>
      <c r="BI35" s="10"/>
      <c r="BJ35" s="10"/>
      <c r="BK35" s="10">
        <v>37314.519099999998</v>
      </c>
      <c r="BL35" s="10">
        <v>9148.0041999999994</v>
      </c>
      <c r="BM35" s="10">
        <v>120840.18550000001</v>
      </c>
      <c r="BN35" s="10">
        <v>88806.269799999995</v>
      </c>
      <c r="BO35" s="10">
        <v>31588.905599999998</v>
      </c>
      <c r="BP35" s="10"/>
      <c r="BQ35" s="10"/>
      <c r="BR35" s="10">
        <v>67061.968200000003</v>
      </c>
      <c r="BS35" s="10">
        <v>8288.4772900000007</v>
      </c>
      <c r="BT35" s="10">
        <v>632689.12919999997</v>
      </c>
      <c r="BU35" s="10">
        <v>210386.05632</v>
      </c>
      <c r="BV35" s="10">
        <v>286896.89919999999</v>
      </c>
      <c r="BW35" s="10">
        <v>84587.168399999995</v>
      </c>
      <c r="BX35" s="10">
        <v>137500.50719999999</v>
      </c>
      <c r="BY35" s="10"/>
      <c r="BZ35" s="10">
        <v>17593.238499999999</v>
      </c>
      <c r="CA35" s="10"/>
      <c r="CB35" s="10">
        <v>30537.585299999999</v>
      </c>
      <c r="CC35" s="10">
        <v>765454.92211000004</v>
      </c>
      <c r="CD35" s="10">
        <v>5080.8020999999999</v>
      </c>
      <c r="CE35" s="10">
        <v>13506.3289</v>
      </c>
      <c r="CF35" s="10">
        <v>8007.1422000000002</v>
      </c>
      <c r="CG35" s="10">
        <v>37653.724000000002</v>
      </c>
      <c r="CH35" s="10"/>
      <c r="CI35" s="10">
        <v>117536.9996</v>
      </c>
      <c r="CJ35" s="10">
        <v>21856.342120000001</v>
      </c>
      <c r="CK35" s="10"/>
      <c r="CL35" s="10"/>
      <c r="CM35" s="10"/>
      <c r="CN35" s="10">
        <v>35677.78</v>
      </c>
      <c r="CO35" s="10">
        <v>21928.362926999998</v>
      </c>
      <c r="CP35" s="10"/>
      <c r="CQ35" s="10">
        <v>8409.2508999999991</v>
      </c>
      <c r="CR35" s="10"/>
      <c r="CS35" s="10"/>
      <c r="CT35" s="10">
        <v>20818.302899999999</v>
      </c>
      <c r="CU35" s="10">
        <v>7899.835</v>
      </c>
      <c r="CV35" s="10">
        <v>215527.99619999999</v>
      </c>
      <c r="CW35" s="10"/>
      <c r="CX35" s="10">
        <v>97369.661640000006</v>
      </c>
      <c r="CY35" s="10"/>
      <c r="CZ35" s="10"/>
      <c r="DA35" s="10">
        <v>16490.476900000001</v>
      </c>
      <c r="DB35" s="10"/>
      <c r="DC35" s="10">
        <v>18015.877466999998</v>
      </c>
      <c r="DD35" s="10">
        <v>19250.349600000001</v>
      </c>
      <c r="DE35" s="10"/>
      <c r="DF35" s="10">
        <v>9838.4795200000008</v>
      </c>
      <c r="DG35" s="10"/>
      <c r="DH35" s="10">
        <v>9500.3639999999996</v>
      </c>
      <c r="DI35" s="10">
        <v>28007.989000000001</v>
      </c>
      <c r="DJ35" s="10"/>
      <c r="DK35" s="10">
        <v>18352.787</v>
      </c>
      <c r="DL35" s="10">
        <v>23372.534</v>
      </c>
      <c r="DM35" s="10"/>
      <c r="DN35" s="10">
        <v>19273.42079</v>
      </c>
      <c r="DO35" s="10"/>
      <c r="DP35" s="10">
        <v>17191.374899999999</v>
      </c>
      <c r="DQ35" s="10"/>
      <c r="DR35" s="10">
        <v>116888.4706</v>
      </c>
      <c r="DS35" s="10">
        <v>51771.168400000002</v>
      </c>
      <c r="DT35" s="10">
        <v>18235.3573</v>
      </c>
      <c r="DU35" s="10"/>
      <c r="DV35" s="10"/>
      <c r="DW35" s="10">
        <v>4166.817</v>
      </c>
      <c r="DX35" s="10"/>
      <c r="DY35" s="10">
        <v>8068.7144600000001</v>
      </c>
      <c r="DZ35" s="10">
        <v>29995.565299999998</v>
      </c>
      <c r="EA35" s="10">
        <v>0</v>
      </c>
      <c r="EB35" s="10"/>
      <c r="EC35" s="10">
        <v>12646.258728000001</v>
      </c>
      <c r="ED35" s="10">
        <v>3871.7916</v>
      </c>
      <c r="EE35" s="10">
        <v>30256.828000000001</v>
      </c>
      <c r="EF35" s="10">
        <v>10426.836799999999</v>
      </c>
      <c r="EG35" s="10">
        <v>18077.82</v>
      </c>
      <c r="EH35" s="10">
        <v>6335.6959399999996</v>
      </c>
      <c r="EI35" s="10">
        <v>4082.7364200000002</v>
      </c>
      <c r="EJ35" s="10">
        <v>167678.5117</v>
      </c>
      <c r="EK35" s="10">
        <v>3571.4072999999999</v>
      </c>
      <c r="EL35" s="10">
        <v>7195.9129999999996</v>
      </c>
      <c r="EM35" s="10">
        <v>6004.1507000000001</v>
      </c>
      <c r="EN35" s="10">
        <v>21976.54</v>
      </c>
      <c r="EO35" s="10">
        <v>1443.5261</v>
      </c>
      <c r="EP35" s="10"/>
      <c r="EQ35" s="10">
        <v>4401.6198000000004</v>
      </c>
      <c r="ER35" s="10">
        <v>7249.3868000000002</v>
      </c>
      <c r="ES35" s="10">
        <v>4535.6814999999997</v>
      </c>
      <c r="ET35" s="10">
        <v>3982.6025</v>
      </c>
      <c r="EU35" s="10"/>
      <c r="EV35" s="10">
        <v>0</v>
      </c>
      <c r="EW35" s="10"/>
      <c r="EX35" s="10"/>
      <c r="EY35" s="10"/>
      <c r="EZ35" s="10"/>
      <c r="FA35" s="10"/>
      <c r="FB35" s="10"/>
      <c r="FC35" s="10">
        <v>10746.85</v>
      </c>
      <c r="FD35" s="10">
        <v>4836.4531999999999</v>
      </c>
      <c r="FE35" s="10">
        <v>3210.2253000000001</v>
      </c>
      <c r="FF35" s="10"/>
      <c r="FG35" s="10"/>
      <c r="FH35" s="10">
        <v>6993.0343000000003</v>
      </c>
      <c r="FI35" s="10"/>
      <c r="FJ35" s="10"/>
      <c r="FK35" s="10"/>
      <c r="FL35" s="10"/>
      <c r="FM35" s="10"/>
      <c r="FN35" s="10"/>
      <c r="FO35" s="10">
        <v>4866.0308999999997</v>
      </c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>
        <v>0</v>
      </c>
      <c r="GB35" s="10"/>
      <c r="GC35" s="10"/>
      <c r="GD35" s="10"/>
      <c r="GE35" s="10">
        <v>0</v>
      </c>
      <c r="GF35" s="10">
        <v>0</v>
      </c>
      <c r="GG35" s="10">
        <v>0</v>
      </c>
    </row>
    <row r="36" spans="1:189" x14ac:dyDescent="0.35">
      <c r="A36" s="8">
        <v>46129</v>
      </c>
      <c r="B36" s="9">
        <v>6422976632.2786798</v>
      </c>
      <c r="C36" s="10">
        <v>1907811020.5513501</v>
      </c>
      <c r="D36" s="10">
        <v>1418417336.56687</v>
      </c>
      <c r="E36" s="10">
        <v>1718069162.57303</v>
      </c>
      <c r="F36" s="10">
        <v>467868868.87059999</v>
      </c>
      <c r="G36" s="10">
        <v>177288499.7369</v>
      </c>
      <c r="H36" s="10">
        <v>213005492.59294</v>
      </c>
      <c r="I36" s="10">
        <v>11615376.9922</v>
      </c>
      <c r="J36" s="10">
        <v>14479401.8323</v>
      </c>
      <c r="K36" s="10">
        <v>36699162.718129203</v>
      </c>
      <c r="L36" s="10">
        <v>120540214.65700001</v>
      </c>
      <c r="M36" s="10">
        <v>36646329.829899997</v>
      </c>
      <c r="N36" s="10">
        <v>42657053.413599998</v>
      </c>
      <c r="O36" s="10">
        <v>12853136.9651</v>
      </c>
      <c r="P36" s="10">
        <v>55918470.000500001</v>
      </c>
      <c r="Q36" s="10">
        <v>17690678.140099999</v>
      </c>
      <c r="R36" s="10">
        <v>17193879.425148901</v>
      </c>
      <c r="S36" s="10">
        <v>14218403.85657</v>
      </c>
      <c r="T36" s="10">
        <v>18493790.5495</v>
      </c>
      <c r="U36" s="10">
        <v>12794525.564984901</v>
      </c>
      <c r="V36" s="10">
        <v>11491535.0708046</v>
      </c>
      <c r="W36" s="10">
        <v>13650886.055195</v>
      </c>
      <c r="X36" s="10">
        <v>1832073.8602</v>
      </c>
      <c r="Y36" s="10">
        <v>728419.27300000004</v>
      </c>
      <c r="Z36" s="10">
        <v>6370072.09490145</v>
      </c>
      <c r="AA36" s="10">
        <v>16837664.872688498</v>
      </c>
      <c r="AB36" s="10">
        <v>5952796.1778999995</v>
      </c>
      <c r="AC36" s="10">
        <v>7493927.13866485</v>
      </c>
      <c r="AD36" s="10"/>
      <c r="AE36" s="10">
        <v>4299537.7146399999</v>
      </c>
      <c r="AF36" s="10">
        <v>3394856.2566999998</v>
      </c>
      <c r="AG36" s="10">
        <v>1500991.88</v>
      </c>
      <c r="AH36" s="10">
        <v>3653883.9981</v>
      </c>
      <c r="AI36" s="10">
        <v>811830.48899999994</v>
      </c>
      <c r="AJ36" s="10">
        <v>1107686.7319</v>
      </c>
      <c r="AK36" s="10">
        <v>826066.35199999996</v>
      </c>
      <c r="AL36" s="10">
        <v>811879.78899999999</v>
      </c>
      <c r="AM36" s="10">
        <v>461971.83380000002</v>
      </c>
      <c r="AN36" s="10">
        <v>710865.24430000002</v>
      </c>
      <c r="AO36" s="10"/>
      <c r="AP36" s="10"/>
      <c r="AQ36" s="10">
        <v>371870.4008</v>
      </c>
      <c r="AR36" s="10">
        <v>568424.00120000006</v>
      </c>
      <c r="AS36" s="10">
        <v>1862833.5373</v>
      </c>
      <c r="AT36" s="10">
        <v>8242434.5727000004</v>
      </c>
      <c r="AU36" s="10">
        <v>1346631.0025869999</v>
      </c>
      <c r="AV36" s="10">
        <v>1200683.567</v>
      </c>
      <c r="AW36" s="10">
        <v>1104288.3777999999</v>
      </c>
      <c r="AX36" s="10">
        <v>573417.30279999995</v>
      </c>
      <c r="AY36" s="10">
        <v>982185.74490000005</v>
      </c>
      <c r="AZ36" s="10"/>
      <c r="BA36" s="10">
        <v>812215.65659999999</v>
      </c>
      <c r="BB36" s="10">
        <v>427489.76770000003</v>
      </c>
      <c r="BC36" s="10">
        <v>604278.97</v>
      </c>
      <c r="BD36" s="10">
        <v>205758.46109999999</v>
      </c>
      <c r="BE36" s="10"/>
      <c r="BF36" s="10"/>
      <c r="BG36" s="10">
        <v>272602.50735999999</v>
      </c>
      <c r="BH36" s="10"/>
      <c r="BI36" s="10"/>
      <c r="BJ36" s="10"/>
      <c r="BK36" s="10">
        <v>398201.1153</v>
      </c>
      <c r="BL36" s="10">
        <v>413151.2782</v>
      </c>
      <c r="BM36" s="10">
        <v>564390.22089999996</v>
      </c>
      <c r="BN36" s="10">
        <v>373104.24729999999</v>
      </c>
      <c r="BO36" s="10">
        <v>105442.3596</v>
      </c>
      <c r="BP36" s="10"/>
      <c r="BQ36" s="10"/>
      <c r="BR36" s="10">
        <v>128254.5922</v>
      </c>
      <c r="BS36" s="10">
        <v>479236.25255999999</v>
      </c>
      <c r="BT36" s="10">
        <v>122295.68180000001</v>
      </c>
      <c r="BU36" s="10">
        <v>298874.93595000001</v>
      </c>
      <c r="BV36" s="10">
        <v>705304.85140000004</v>
      </c>
      <c r="BW36" s="10">
        <v>167229.42079999999</v>
      </c>
      <c r="BX36" s="10">
        <v>99849.644899999999</v>
      </c>
      <c r="BY36" s="10"/>
      <c r="BZ36" s="10">
        <v>73057.838799999998</v>
      </c>
      <c r="CA36" s="10"/>
      <c r="CB36" s="10">
        <v>593717.75710000005</v>
      </c>
      <c r="CC36" s="10">
        <v>209970.76866</v>
      </c>
      <c r="CD36" s="10">
        <v>192489.69500000001</v>
      </c>
      <c r="CE36" s="10">
        <v>199494.77540000001</v>
      </c>
      <c r="CF36" s="10">
        <v>69211.361999999994</v>
      </c>
      <c r="CG36" s="10">
        <v>29807.232</v>
      </c>
      <c r="CH36" s="10"/>
      <c r="CI36" s="10">
        <v>452897.49900000001</v>
      </c>
      <c r="CJ36" s="10">
        <v>48902.571190000002</v>
      </c>
      <c r="CK36" s="10"/>
      <c r="CL36" s="10"/>
      <c r="CM36" s="10"/>
      <c r="CN36" s="10">
        <v>43068.271999999997</v>
      </c>
      <c r="CO36" s="10">
        <v>189665.52239500001</v>
      </c>
      <c r="CP36" s="10"/>
      <c r="CQ36" s="10">
        <v>82014.505499999999</v>
      </c>
      <c r="CR36" s="10"/>
      <c r="CS36" s="10"/>
      <c r="CT36" s="10">
        <v>148225.92428000001</v>
      </c>
      <c r="CU36" s="10">
        <v>65523.635999999999</v>
      </c>
      <c r="CV36" s="10">
        <v>175653.0343</v>
      </c>
      <c r="CW36" s="10"/>
      <c r="CX36" s="10">
        <v>116546.53608999999</v>
      </c>
      <c r="CY36" s="10"/>
      <c r="CZ36" s="10"/>
      <c r="DA36" s="10">
        <v>63516.6685</v>
      </c>
      <c r="DB36" s="10"/>
      <c r="DC36" s="10">
        <v>30953.264735000001</v>
      </c>
      <c r="DD36" s="10">
        <v>27141.078699999998</v>
      </c>
      <c r="DE36" s="10"/>
      <c r="DF36" s="10">
        <v>14142.821819999999</v>
      </c>
      <c r="DG36" s="10"/>
      <c r="DH36" s="10">
        <v>9171.0403999999999</v>
      </c>
      <c r="DI36" s="10">
        <v>115875.97500000001</v>
      </c>
      <c r="DJ36" s="10"/>
      <c r="DK36" s="10">
        <v>128391.149</v>
      </c>
      <c r="DL36" s="10">
        <v>47883.464</v>
      </c>
      <c r="DM36" s="10"/>
      <c r="DN36" s="10">
        <v>29316.2035</v>
      </c>
      <c r="DO36" s="10"/>
      <c r="DP36" s="10">
        <v>42885.091699999997</v>
      </c>
      <c r="DQ36" s="10"/>
      <c r="DR36" s="10">
        <v>9703.4346000000005</v>
      </c>
      <c r="DS36" s="10">
        <v>21524.095399999998</v>
      </c>
      <c r="DT36" s="10">
        <v>22419.887900000002</v>
      </c>
      <c r="DU36" s="10"/>
      <c r="DV36" s="10"/>
      <c r="DW36" s="10">
        <v>24947.082999999999</v>
      </c>
      <c r="DX36" s="10"/>
      <c r="DY36" s="10">
        <v>10747.184509999999</v>
      </c>
      <c r="DZ36" s="10">
        <v>39555.307399999998</v>
      </c>
      <c r="EA36" s="10">
        <v>11012.356400000001</v>
      </c>
      <c r="EB36" s="10"/>
      <c r="EC36" s="10">
        <v>22152.437383</v>
      </c>
      <c r="ED36" s="10">
        <v>6926.5843999999997</v>
      </c>
      <c r="EE36" s="10">
        <v>138800.81200000001</v>
      </c>
      <c r="EF36" s="10">
        <v>10786.3375</v>
      </c>
      <c r="EG36" s="10">
        <v>52523.605000000003</v>
      </c>
      <c r="EH36" s="10">
        <v>4102.8561600000003</v>
      </c>
      <c r="EI36" s="10">
        <v>91089.358479999995</v>
      </c>
      <c r="EJ36" s="10">
        <v>267839.48</v>
      </c>
      <c r="EK36" s="10">
        <v>58360.8364</v>
      </c>
      <c r="EL36" s="10">
        <v>8190.7723999999998</v>
      </c>
      <c r="EM36" s="10">
        <v>7005.2550000000001</v>
      </c>
      <c r="EN36" s="10">
        <v>22136.708999999999</v>
      </c>
      <c r="EO36" s="10">
        <v>78435.123800000001</v>
      </c>
      <c r="EP36" s="10"/>
      <c r="EQ36" s="10">
        <v>22147.578399999999</v>
      </c>
      <c r="ER36" s="10">
        <v>16764.673500000001</v>
      </c>
      <c r="ES36" s="10">
        <v>9452.1237000000001</v>
      </c>
      <c r="ET36" s="10">
        <v>5228.7708000000002</v>
      </c>
      <c r="EU36" s="10"/>
      <c r="EV36" s="10">
        <v>1339.4259999999999</v>
      </c>
      <c r="EW36" s="10"/>
      <c r="EX36" s="10"/>
      <c r="EY36" s="10"/>
      <c r="EZ36" s="10"/>
      <c r="FA36" s="10"/>
      <c r="FB36" s="10"/>
      <c r="FC36" s="10">
        <v>11379.057000000001</v>
      </c>
      <c r="FD36" s="10">
        <v>11170.1994</v>
      </c>
      <c r="FE36" s="10">
        <v>3242.4014999999999</v>
      </c>
      <c r="FF36" s="10"/>
      <c r="FG36" s="10"/>
      <c r="FH36" s="10">
        <v>72443.136700000003</v>
      </c>
      <c r="FI36" s="10"/>
      <c r="FJ36" s="10"/>
      <c r="FK36" s="10"/>
      <c r="FL36" s="10"/>
      <c r="FM36" s="10"/>
      <c r="FN36" s="10"/>
      <c r="FO36" s="10">
        <v>87483.567599999995</v>
      </c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>
        <v>0</v>
      </c>
      <c r="GB36" s="10"/>
      <c r="GC36" s="10"/>
      <c r="GD36" s="10"/>
      <c r="GE36" s="10">
        <v>0</v>
      </c>
      <c r="GF36" s="10">
        <v>0</v>
      </c>
      <c r="GG36" s="10">
        <v>0</v>
      </c>
    </row>
    <row r="37" spans="1:189" x14ac:dyDescent="0.35">
      <c r="A37" s="8">
        <v>46128</v>
      </c>
      <c r="B37" s="9">
        <v>4244293681.30374</v>
      </c>
      <c r="C37" s="10">
        <v>1499799683.9421599</v>
      </c>
      <c r="D37" s="10">
        <v>1113724793.0590401</v>
      </c>
      <c r="E37" s="10">
        <v>731581458.90100002</v>
      </c>
      <c r="F37" s="10">
        <v>153601720.3168</v>
      </c>
      <c r="G37" s="10">
        <v>112789062.8343</v>
      </c>
      <c r="H37" s="10">
        <v>175143620.34431699</v>
      </c>
      <c r="I37" s="10">
        <v>12939685.6011</v>
      </c>
      <c r="J37" s="10">
        <v>19915424.0836</v>
      </c>
      <c r="K37" s="10">
        <v>39683304.244484402</v>
      </c>
      <c r="L37" s="10">
        <v>63727908.410599999</v>
      </c>
      <c r="M37" s="10">
        <v>32802882.506200001</v>
      </c>
      <c r="N37" s="10">
        <v>28844730.5559</v>
      </c>
      <c r="O37" s="10">
        <v>17850177.826900002</v>
      </c>
      <c r="P37" s="10">
        <v>48360674.162299998</v>
      </c>
      <c r="Q37" s="10">
        <v>15548360.1196</v>
      </c>
      <c r="R37" s="10">
        <v>33253647.851904601</v>
      </c>
      <c r="S37" s="10">
        <v>12683009.729320001</v>
      </c>
      <c r="T37" s="10">
        <v>19114198.851599999</v>
      </c>
      <c r="U37" s="10">
        <v>9985432.5497620497</v>
      </c>
      <c r="V37" s="10">
        <v>9186148.4435478002</v>
      </c>
      <c r="W37" s="10">
        <v>11847389.3722838</v>
      </c>
      <c r="X37" s="10">
        <v>1683993.4731000001</v>
      </c>
      <c r="Y37" s="10">
        <v>1964772.5366</v>
      </c>
      <c r="Z37" s="10">
        <v>6080403.2927783998</v>
      </c>
      <c r="AA37" s="10">
        <v>11771721.792783801</v>
      </c>
      <c r="AB37" s="10">
        <v>4257480.7948000003</v>
      </c>
      <c r="AC37" s="10">
        <v>5980364.9815160502</v>
      </c>
      <c r="AD37" s="10"/>
      <c r="AE37" s="10">
        <v>2762109.8594</v>
      </c>
      <c r="AF37" s="10">
        <v>10420798.318</v>
      </c>
      <c r="AG37" s="10">
        <v>2361269.8004999999</v>
      </c>
      <c r="AH37" s="10">
        <v>4423296.9205999998</v>
      </c>
      <c r="AI37" s="10">
        <v>6359991.3310000002</v>
      </c>
      <c r="AJ37" s="10">
        <v>1096138.4864000001</v>
      </c>
      <c r="AK37" s="10">
        <v>769231.19499999995</v>
      </c>
      <c r="AL37" s="10">
        <v>713584.37049999996</v>
      </c>
      <c r="AM37" s="10">
        <v>299495.16930000001</v>
      </c>
      <c r="AN37" s="10">
        <v>441867.22450000001</v>
      </c>
      <c r="AO37" s="10"/>
      <c r="AP37" s="10"/>
      <c r="AQ37" s="10">
        <v>554615.05330000003</v>
      </c>
      <c r="AR37" s="10">
        <v>580460.38219999999</v>
      </c>
      <c r="AS37" s="10">
        <v>2511088.3539999998</v>
      </c>
      <c r="AT37" s="10">
        <v>2773714.9519000002</v>
      </c>
      <c r="AU37" s="10">
        <v>1020577.586444</v>
      </c>
      <c r="AV37" s="10">
        <v>1214855.4842000001</v>
      </c>
      <c r="AW37" s="10">
        <v>942807.19420000003</v>
      </c>
      <c r="AX37" s="10">
        <v>407449.49050000001</v>
      </c>
      <c r="AY37" s="10">
        <v>201837.80110000001</v>
      </c>
      <c r="AZ37" s="10"/>
      <c r="BA37" s="10">
        <v>1347153.3637000001</v>
      </c>
      <c r="BB37" s="10">
        <v>698116.24879999994</v>
      </c>
      <c r="BC37" s="10">
        <v>424593.36099999998</v>
      </c>
      <c r="BD37" s="10">
        <v>264658.6789</v>
      </c>
      <c r="BE37" s="10"/>
      <c r="BF37" s="10"/>
      <c r="BG37" s="10">
        <v>640566.32924999995</v>
      </c>
      <c r="BH37" s="10"/>
      <c r="BI37" s="10"/>
      <c r="BJ37" s="10"/>
      <c r="BK37" s="10">
        <v>186299.4798</v>
      </c>
      <c r="BL37" s="10">
        <v>883985.07990000001</v>
      </c>
      <c r="BM37" s="10">
        <v>416214.8664</v>
      </c>
      <c r="BN37" s="10">
        <v>302505.5796</v>
      </c>
      <c r="BO37" s="10">
        <v>130003.49280000001</v>
      </c>
      <c r="BP37" s="10"/>
      <c r="BQ37" s="10"/>
      <c r="BR37" s="10">
        <v>80199.401899999997</v>
      </c>
      <c r="BS37" s="10">
        <v>138863.27922999999</v>
      </c>
      <c r="BT37" s="10">
        <v>235946.7211</v>
      </c>
      <c r="BU37" s="10">
        <v>241423.31568</v>
      </c>
      <c r="BV37" s="10">
        <v>634707.42359999998</v>
      </c>
      <c r="BW37" s="10">
        <v>99160.642099999997</v>
      </c>
      <c r="BX37" s="10">
        <v>108483.3412</v>
      </c>
      <c r="BY37" s="10"/>
      <c r="BZ37" s="10">
        <v>126461.8936</v>
      </c>
      <c r="CA37" s="10"/>
      <c r="CB37" s="10">
        <v>37387.120499999997</v>
      </c>
      <c r="CC37" s="10">
        <v>193887.48770999999</v>
      </c>
      <c r="CD37" s="10">
        <v>73964.814599999998</v>
      </c>
      <c r="CE37" s="10">
        <v>90285.778999999995</v>
      </c>
      <c r="CF37" s="10">
        <v>110265.7357</v>
      </c>
      <c r="CG37" s="10">
        <v>37008.792000000001</v>
      </c>
      <c r="CH37" s="10"/>
      <c r="CI37" s="10">
        <v>184555.2371</v>
      </c>
      <c r="CJ37" s="10">
        <v>77770.52377</v>
      </c>
      <c r="CK37" s="10"/>
      <c r="CL37" s="10"/>
      <c r="CM37" s="10"/>
      <c r="CN37" s="10">
        <v>19898.054</v>
      </c>
      <c r="CO37" s="10">
        <v>196408.70463399999</v>
      </c>
      <c r="CP37" s="10"/>
      <c r="CQ37" s="10">
        <v>301243.93359999999</v>
      </c>
      <c r="CR37" s="10"/>
      <c r="CS37" s="10"/>
      <c r="CT37" s="10">
        <v>94426.502080000006</v>
      </c>
      <c r="CU37" s="10">
        <v>17794.606</v>
      </c>
      <c r="CV37" s="10">
        <v>358714.7512</v>
      </c>
      <c r="CW37" s="10"/>
      <c r="CX37" s="10">
        <v>136039.12323</v>
      </c>
      <c r="CY37" s="10"/>
      <c r="CZ37" s="10"/>
      <c r="DA37" s="10">
        <v>39668.754200000003</v>
      </c>
      <c r="DB37" s="10"/>
      <c r="DC37" s="10">
        <v>22280.808583999999</v>
      </c>
      <c r="DD37" s="10">
        <v>14949.9107</v>
      </c>
      <c r="DE37" s="10"/>
      <c r="DF37" s="10">
        <v>16635.4254</v>
      </c>
      <c r="DG37" s="10"/>
      <c r="DH37" s="10">
        <v>9429.7332999999999</v>
      </c>
      <c r="DI37" s="10">
        <v>313520.71100000001</v>
      </c>
      <c r="DJ37" s="10"/>
      <c r="DK37" s="10">
        <v>81376.391000000003</v>
      </c>
      <c r="DL37" s="10">
        <v>42943.68</v>
      </c>
      <c r="DM37" s="10"/>
      <c r="DN37" s="10">
        <v>19825.575550000001</v>
      </c>
      <c r="DO37" s="10"/>
      <c r="DP37" s="10">
        <v>27676.3233</v>
      </c>
      <c r="DQ37" s="10"/>
      <c r="DR37" s="10">
        <v>16154.2052</v>
      </c>
      <c r="DS37" s="10">
        <v>19598.554</v>
      </c>
      <c r="DT37" s="10">
        <v>18953.2575</v>
      </c>
      <c r="DU37" s="10"/>
      <c r="DV37" s="10"/>
      <c r="DW37" s="10">
        <v>8391.5954999999994</v>
      </c>
      <c r="DX37" s="10"/>
      <c r="DY37" s="10">
        <v>8194.5879399999994</v>
      </c>
      <c r="DZ37" s="10">
        <v>16816.174900000002</v>
      </c>
      <c r="EA37" s="10">
        <v>0</v>
      </c>
      <c r="EB37" s="10"/>
      <c r="EC37" s="10">
        <v>15448.376555999999</v>
      </c>
      <c r="ED37" s="10">
        <v>41223.568599999999</v>
      </c>
      <c r="EE37" s="10">
        <v>46457.038</v>
      </c>
      <c r="EF37" s="10">
        <v>9901.3302999999996</v>
      </c>
      <c r="EG37" s="10">
        <v>132702.117</v>
      </c>
      <c r="EH37" s="10">
        <v>4952.0861199999999</v>
      </c>
      <c r="EI37" s="10">
        <v>23984.759330000001</v>
      </c>
      <c r="EJ37" s="10">
        <v>112107.9834</v>
      </c>
      <c r="EK37" s="10">
        <v>84218.543399999995</v>
      </c>
      <c r="EL37" s="10">
        <v>14793.405199999999</v>
      </c>
      <c r="EM37" s="10">
        <v>6330.8347999999996</v>
      </c>
      <c r="EN37" s="10">
        <v>23695.494999999999</v>
      </c>
      <c r="EO37" s="10">
        <v>125601.10030000001</v>
      </c>
      <c r="EP37" s="10"/>
      <c r="EQ37" s="10">
        <v>35450.021000000001</v>
      </c>
      <c r="ER37" s="10">
        <v>17979.383399999999</v>
      </c>
      <c r="ES37" s="10">
        <v>7999.0716000000002</v>
      </c>
      <c r="ET37" s="10">
        <v>3886.2620999999999</v>
      </c>
      <c r="EU37" s="10"/>
      <c r="EV37" s="10">
        <v>881.85013000000004</v>
      </c>
      <c r="EW37" s="10"/>
      <c r="EX37" s="10"/>
      <c r="EY37" s="10"/>
      <c r="EZ37" s="10"/>
      <c r="FA37" s="10"/>
      <c r="FB37" s="10"/>
      <c r="FC37" s="10">
        <v>11660.42</v>
      </c>
      <c r="FD37" s="10">
        <v>13773.670700000001</v>
      </c>
      <c r="FE37" s="10">
        <v>3416.9034000000001</v>
      </c>
      <c r="FF37" s="10"/>
      <c r="FG37" s="10"/>
      <c r="FH37" s="10">
        <v>7332.3257000000003</v>
      </c>
      <c r="FI37" s="10"/>
      <c r="FJ37" s="10"/>
      <c r="FK37" s="10"/>
      <c r="FL37" s="10"/>
      <c r="FM37" s="10"/>
      <c r="FN37" s="10"/>
      <c r="FO37" s="10">
        <v>7235.8545999999997</v>
      </c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>
        <v>0</v>
      </c>
      <c r="GB37" s="10"/>
      <c r="GC37" s="10"/>
      <c r="GD37" s="10"/>
      <c r="GE37" s="10">
        <v>0</v>
      </c>
      <c r="GF37" s="10">
        <v>0</v>
      </c>
      <c r="GG37" s="10">
        <v>0</v>
      </c>
    </row>
    <row r="38" spans="1:189" x14ac:dyDescent="0.35">
      <c r="A38" s="8">
        <v>46127</v>
      </c>
      <c r="B38" s="9">
        <v>4960950362.6451702</v>
      </c>
      <c r="C38" s="10">
        <v>1731123068.5985601</v>
      </c>
      <c r="D38" s="10">
        <v>1532956740.89275</v>
      </c>
      <c r="E38" s="10">
        <v>668758593.93601</v>
      </c>
      <c r="F38" s="10">
        <v>186105963.78130001</v>
      </c>
      <c r="G38" s="10">
        <v>141598817.2198</v>
      </c>
      <c r="H38" s="10">
        <v>230190011.26098901</v>
      </c>
      <c r="I38" s="10">
        <v>9729935.8590999991</v>
      </c>
      <c r="J38" s="10">
        <v>18424993.136300001</v>
      </c>
      <c r="K38" s="10">
        <v>48838337.956331</v>
      </c>
      <c r="L38" s="10">
        <v>47340122.774999999</v>
      </c>
      <c r="M38" s="10">
        <v>32155623.646400001</v>
      </c>
      <c r="N38" s="10">
        <v>27923849.122099999</v>
      </c>
      <c r="O38" s="10">
        <v>14775266.6623</v>
      </c>
      <c r="P38" s="10">
        <v>88788591.476300001</v>
      </c>
      <c r="Q38" s="10">
        <v>17037900.160799999</v>
      </c>
      <c r="R38" s="10">
        <v>27973920.610196002</v>
      </c>
      <c r="S38" s="10">
        <v>11858115.70707</v>
      </c>
      <c r="T38" s="10">
        <v>20492070.0658</v>
      </c>
      <c r="U38" s="10">
        <v>12319730.162775099</v>
      </c>
      <c r="V38" s="10">
        <v>11491385.4286472</v>
      </c>
      <c r="W38" s="10">
        <v>9149094.7489524502</v>
      </c>
      <c r="X38" s="10">
        <v>553013.77379999997</v>
      </c>
      <c r="Y38" s="10">
        <v>1209234.4136000001</v>
      </c>
      <c r="Z38" s="10">
        <v>7024751.6000081496</v>
      </c>
      <c r="AA38" s="10">
        <v>10181707.526653901</v>
      </c>
      <c r="AB38" s="10">
        <v>4222919.3671000004</v>
      </c>
      <c r="AC38" s="10">
        <v>6751003.0794102</v>
      </c>
      <c r="AD38" s="10"/>
      <c r="AE38" s="10">
        <v>3907191.9348399998</v>
      </c>
      <c r="AF38" s="10">
        <v>4375572.4457</v>
      </c>
      <c r="AG38" s="10">
        <v>1127674.3537999999</v>
      </c>
      <c r="AH38" s="10">
        <v>5000555.1289999997</v>
      </c>
      <c r="AI38" s="10">
        <v>7032403.2280000001</v>
      </c>
      <c r="AJ38" s="10">
        <v>678379.94110000005</v>
      </c>
      <c r="AK38" s="10">
        <v>1720410.5453000001</v>
      </c>
      <c r="AL38" s="10">
        <v>776513.46120000002</v>
      </c>
      <c r="AM38" s="10">
        <v>246610.9314</v>
      </c>
      <c r="AN38" s="10">
        <v>296978.02679999999</v>
      </c>
      <c r="AO38" s="10"/>
      <c r="AP38" s="10"/>
      <c r="AQ38" s="10">
        <v>876029.18169999996</v>
      </c>
      <c r="AR38" s="10">
        <v>463717.23129999998</v>
      </c>
      <c r="AS38" s="10">
        <v>455808.7035</v>
      </c>
      <c r="AT38" s="10">
        <v>358085.88780000003</v>
      </c>
      <c r="AU38" s="10">
        <v>1079755.6939409999</v>
      </c>
      <c r="AV38" s="10">
        <v>991027.11860000005</v>
      </c>
      <c r="AW38" s="10">
        <v>1211052.0360000001</v>
      </c>
      <c r="AX38" s="10">
        <v>523638.7709</v>
      </c>
      <c r="AY38" s="10">
        <v>135468.24549999999</v>
      </c>
      <c r="AZ38" s="10"/>
      <c r="BA38" s="10">
        <v>287369.31900000002</v>
      </c>
      <c r="BB38" s="10">
        <v>554402.82200000004</v>
      </c>
      <c r="BC38" s="10">
        <v>779814.58600000001</v>
      </c>
      <c r="BD38" s="10">
        <v>403880.06170000002</v>
      </c>
      <c r="BE38" s="10"/>
      <c r="BF38" s="10"/>
      <c r="BG38" s="10">
        <v>1330037.8858099999</v>
      </c>
      <c r="BH38" s="10"/>
      <c r="BI38" s="10"/>
      <c r="BJ38" s="10"/>
      <c r="BK38" s="10">
        <v>121785.1274</v>
      </c>
      <c r="BL38" s="10">
        <v>615319.8774</v>
      </c>
      <c r="BM38" s="10">
        <v>347278.33990000002</v>
      </c>
      <c r="BN38" s="10">
        <v>143707.97469999999</v>
      </c>
      <c r="BO38" s="10">
        <v>492478.27490000002</v>
      </c>
      <c r="BP38" s="10"/>
      <c r="BQ38" s="10"/>
      <c r="BR38" s="10">
        <v>93350.241599999994</v>
      </c>
      <c r="BS38" s="10">
        <v>330762.91459</v>
      </c>
      <c r="BT38" s="10">
        <v>35386.896500000003</v>
      </c>
      <c r="BU38" s="10">
        <v>130615.08792999999</v>
      </c>
      <c r="BV38" s="10">
        <v>388110.77120000002</v>
      </c>
      <c r="BW38" s="10">
        <v>97111.978600000002</v>
      </c>
      <c r="BX38" s="10">
        <v>50659.132599999997</v>
      </c>
      <c r="BY38" s="10"/>
      <c r="BZ38" s="10">
        <v>212621.4975</v>
      </c>
      <c r="CA38" s="10"/>
      <c r="CB38" s="10">
        <v>49603.3992</v>
      </c>
      <c r="CC38" s="10">
        <v>296810.88439000002</v>
      </c>
      <c r="CD38" s="10">
        <v>56823.951099999998</v>
      </c>
      <c r="CE38" s="10">
        <v>70660.631699999998</v>
      </c>
      <c r="CF38" s="10">
        <v>132269.71479999999</v>
      </c>
      <c r="CG38" s="10">
        <v>29660.884999999998</v>
      </c>
      <c r="CH38" s="10"/>
      <c r="CI38" s="10">
        <v>156217.4216</v>
      </c>
      <c r="CJ38" s="10">
        <v>69471.454299999998</v>
      </c>
      <c r="CK38" s="10"/>
      <c r="CL38" s="10"/>
      <c r="CM38" s="10"/>
      <c r="CN38" s="10">
        <v>19081.71</v>
      </c>
      <c r="CO38" s="10">
        <v>243730.38181399999</v>
      </c>
      <c r="CP38" s="10"/>
      <c r="CQ38" s="10">
        <v>213675.1349</v>
      </c>
      <c r="CR38" s="10"/>
      <c r="CS38" s="10"/>
      <c r="CT38" s="10">
        <v>100790.69636</v>
      </c>
      <c r="CU38" s="10">
        <v>21662.334999999999</v>
      </c>
      <c r="CV38" s="10">
        <v>744440.61470000003</v>
      </c>
      <c r="CW38" s="10"/>
      <c r="CX38" s="10">
        <v>86040.062909999993</v>
      </c>
      <c r="CY38" s="10"/>
      <c r="CZ38" s="10"/>
      <c r="DA38" s="10">
        <v>38332.763099999996</v>
      </c>
      <c r="DB38" s="10"/>
      <c r="DC38" s="10">
        <v>129279.593953</v>
      </c>
      <c r="DD38" s="10">
        <v>15141.1651</v>
      </c>
      <c r="DE38" s="10"/>
      <c r="DF38" s="10">
        <v>15156.47732</v>
      </c>
      <c r="DG38" s="10"/>
      <c r="DH38" s="10">
        <v>12579.3511</v>
      </c>
      <c r="DI38" s="10">
        <v>315342.88199999998</v>
      </c>
      <c r="DJ38" s="10"/>
      <c r="DK38" s="10">
        <v>214221.78599999999</v>
      </c>
      <c r="DL38" s="10">
        <v>50933.946000000004</v>
      </c>
      <c r="DM38" s="10"/>
      <c r="DN38" s="10">
        <v>18522.156599999998</v>
      </c>
      <c r="DO38" s="10"/>
      <c r="DP38" s="10">
        <v>17008.7091</v>
      </c>
      <c r="DQ38" s="10"/>
      <c r="DR38" s="10">
        <v>15863.7443</v>
      </c>
      <c r="DS38" s="10">
        <v>25054.871800000001</v>
      </c>
      <c r="DT38" s="10">
        <v>18541.028200000001</v>
      </c>
      <c r="DU38" s="10"/>
      <c r="DV38" s="10"/>
      <c r="DW38" s="10">
        <v>227328.91680000001</v>
      </c>
      <c r="DX38" s="10"/>
      <c r="DY38" s="10">
        <v>8644.9599099999996</v>
      </c>
      <c r="DZ38" s="10">
        <v>11419.474399999999</v>
      </c>
      <c r="EA38" s="10">
        <v>22191.448799999998</v>
      </c>
      <c r="EB38" s="10"/>
      <c r="EC38" s="10">
        <v>26756.977427999998</v>
      </c>
      <c r="ED38" s="10">
        <v>8517.2795000000006</v>
      </c>
      <c r="EE38" s="10">
        <v>57401.239000000001</v>
      </c>
      <c r="EF38" s="10">
        <v>10318.4697</v>
      </c>
      <c r="EG38" s="10">
        <v>32359.553</v>
      </c>
      <c r="EH38" s="10">
        <v>3247.0502499999998</v>
      </c>
      <c r="EI38" s="10">
        <v>16468.146250000002</v>
      </c>
      <c r="EJ38" s="10">
        <v>749.7242</v>
      </c>
      <c r="EK38" s="10">
        <v>61419.483500000002</v>
      </c>
      <c r="EL38" s="10">
        <v>118068.86960000001</v>
      </c>
      <c r="EM38" s="10">
        <v>6140.6374999999998</v>
      </c>
      <c r="EN38" s="10">
        <v>34017.167000000001</v>
      </c>
      <c r="EO38" s="10">
        <v>285415.27909999999</v>
      </c>
      <c r="EP38" s="10"/>
      <c r="EQ38" s="10">
        <v>97469.154999999999</v>
      </c>
      <c r="ER38" s="10">
        <v>6793.8900999999996</v>
      </c>
      <c r="ES38" s="10">
        <v>7045.4829</v>
      </c>
      <c r="ET38" s="10">
        <v>4019.4585000000002</v>
      </c>
      <c r="EU38" s="10"/>
      <c r="EV38" s="10">
        <v>2499.3181199999999</v>
      </c>
      <c r="EW38" s="10"/>
      <c r="EX38" s="10"/>
      <c r="EY38" s="10"/>
      <c r="EZ38" s="10"/>
      <c r="FA38" s="10"/>
      <c r="FB38" s="10"/>
      <c r="FC38" s="10">
        <v>16746.255000000001</v>
      </c>
      <c r="FD38" s="10">
        <v>15878.6381</v>
      </c>
      <c r="FE38" s="10">
        <v>3809.1469000000002</v>
      </c>
      <c r="FF38" s="10"/>
      <c r="FG38" s="10"/>
      <c r="FH38" s="10">
        <v>33034.875800000002</v>
      </c>
      <c r="FI38" s="10"/>
      <c r="FJ38" s="10"/>
      <c r="FK38" s="10"/>
      <c r="FL38" s="10"/>
      <c r="FM38" s="10"/>
      <c r="FN38" s="10"/>
      <c r="FO38" s="10">
        <v>8075.0527000000002</v>
      </c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>
        <v>0</v>
      </c>
      <c r="GB38" s="10"/>
      <c r="GC38" s="10"/>
      <c r="GD38" s="10"/>
      <c r="GE38" s="10">
        <v>1280.32</v>
      </c>
      <c r="GF38" s="10">
        <v>0</v>
      </c>
      <c r="GG38" s="10">
        <v>0</v>
      </c>
    </row>
    <row r="39" spans="1:189" x14ac:dyDescent="0.35">
      <c r="A39" s="8">
        <v>46126</v>
      </c>
      <c r="B39" s="9">
        <v>5780432902.2915897</v>
      </c>
      <c r="C39" s="10">
        <v>1845086741.35849</v>
      </c>
      <c r="D39" s="10">
        <v>1608747900.44646</v>
      </c>
      <c r="E39" s="10">
        <v>1219765266.2239101</v>
      </c>
      <c r="F39" s="10">
        <v>336715055.03289998</v>
      </c>
      <c r="G39" s="10">
        <v>206153972.9659</v>
      </c>
      <c r="H39" s="10">
        <v>136093686.222691</v>
      </c>
      <c r="I39" s="10">
        <v>13515410.8695</v>
      </c>
      <c r="J39" s="10">
        <v>16187229.6467</v>
      </c>
      <c r="K39" s="10">
        <v>35627584.1745198</v>
      </c>
      <c r="L39" s="10">
        <v>57157678.841799997</v>
      </c>
      <c r="M39" s="10">
        <v>37703410.615099996</v>
      </c>
      <c r="N39" s="10">
        <v>30354809.125399999</v>
      </c>
      <c r="O39" s="10">
        <v>13312041.911599999</v>
      </c>
      <c r="P39" s="10">
        <v>48138126.965499997</v>
      </c>
      <c r="Q39" s="10">
        <v>24220769.234299999</v>
      </c>
      <c r="R39" s="10">
        <v>16356426.894533699</v>
      </c>
      <c r="S39" s="10">
        <v>9220444.0433799997</v>
      </c>
      <c r="T39" s="10">
        <v>17698349.6184</v>
      </c>
      <c r="U39" s="10">
        <v>19474727.497738499</v>
      </c>
      <c r="V39" s="10">
        <v>15159718.3026291</v>
      </c>
      <c r="W39" s="10">
        <v>7585926.590504</v>
      </c>
      <c r="X39" s="10">
        <v>445947.58929999999</v>
      </c>
      <c r="Y39" s="10">
        <v>633457.4987</v>
      </c>
      <c r="Z39" s="10">
        <v>7756572.6685375003</v>
      </c>
      <c r="AA39" s="10">
        <v>9518256.7572604995</v>
      </c>
      <c r="AB39" s="10">
        <v>5970498.3585000001</v>
      </c>
      <c r="AC39" s="10">
        <v>5541215.1893517496</v>
      </c>
      <c r="AD39" s="10"/>
      <c r="AE39" s="10">
        <v>3511057.0865500001</v>
      </c>
      <c r="AF39" s="10">
        <v>2501452.2944999998</v>
      </c>
      <c r="AG39" s="10">
        <v>3148424.7434999999</v>
      </c>
      <c r="AH39" s="10">
        <v>4093018.6775000002</v>
      </c>
      <c r="AI39" s="10">
        <v>301566.95699999999</v>
      </c>
      <c r="AJ39" s="10">
        <v>689909.26190000004</v>
      </c>
      <c r="AK39" s="10">
        <v>2416117.2294999999</v>
      </c>
      <c r="AL39" s="10">
        <v>1204843.5419000001</v>
      </c>
      <c r="AM39" s="10">
        <v>3038961.693</v>
      </c>
      <c r="AN39" s="10">
        <v>217666.92069999999</v>
      </c>
      <c r="AO39" s="10"/>
      <c r="AP39" s="10"/>
      <c r="AQ39" s="10">
        <v>1023076.1737</v>
      </c>
      <c r="AR39" s="10"/>
      <c r="AS39" s="10">
        <v>599849.53850000002</v>
      </c>
      <c r="AT39" s="10">
        <v>719394.67429999996</v>
      </c>
      <c r="AU39" s="10">
        <v>763503.12235299998</v>
      </c>
      <c r="AV39" s="10">
        <v>1069105.1987999999</v>
      </c>
      <c r="AW39" s="10">
        <v>1068874.5552999999</v>
      </c>
      <c r="AX39" s="10">
        <v>710833.05839999998</v>
      </c>
      <c r="AY39" s="10"/>
      <c r="AZ39" s="10"/>
      <c r="BA39" s="10">
        <v>457683.00719999999</v>
      </c>
      <c r="BB39" s="10">
        <v>233499.6844</v>
      </c>
      <c r="BC39" s="10">
        <v>841471.68500000006</v>
      </c>
      <c r="BD39" s="10">
        <v>396734.84370000003</v>
      </c>
      <c r="BE39" s="10"/>
      <c r="BF39" s="10"/>
      <c r="BG39" s="10">
        <v>314442.34830999997</v>
      </c>
      <c r="BH39" s="10"/>
      <c r="BI39" s="10"/>
      <c r="BJ39" s="10"/>
      <c r="BK39" s="10">
        <v>277321.12569999998</v>
      </c>
      <c r="BL39" s="10">
        <v>485543.55859999999</v>
      </c>
      <c r="BM39" s="10">
        <v>311277.94939999998</v>
      </c>
      <c r="BN39" s="10">
        <v>79694.492499999993</v>
      </c>
      <c r="BO39" s="10">
        <v>466601.57069999998</v>
      </c>
      <c r="BP39" s="10"/>
      <c r="BQ39" s="10"/>
      <c r="BR39" s="10">
        <v>112722.74249999999</v>
      </c>
      <c r="BS39" s="10">
        <v>177253.44252000001</v>
      </c>
      <c r="BT39" s="10">
        <v>136803.48050000001</v>
      </c>
      <c r="BU39" s="10">
        <v>225253.58962000001</v>
      </c>
      <c r="BV39" s="10">
        <v>468641.96480000002</v>
      </c>
      <c r="BW39" s="10">
        <v>214289.3273</v>
      </c>
      <c r="BX39" s="10">
        <v>68734.057000000001</v>
      </c>
      <c r="BY39" s="10"/>
      <c r="BZ39" s="10">
        <v>308503.7721</v>
      </c>
      <c r="CA39" s="10"/>
      <c r="CB39" s="10">
        <v>74572.464999999997</v>
      </c>
      <c r="CC39" s="10">
        <v>222078.74939000001</v>
      </c>
      <c r="CD39" s="10">
        <v>137830.90779999999</v>
      </c>
      <c r="CE39" s="10">
        <v>58669.290099999998</v>
      </c>
      <c r="CF39" s="10">
        <v>92291.207500000004</v>
      </c>
      <c r="CG39" s="10">
        <v>37593.942000000003</v>
      </c>
      <c r="CH39" s="10"/>
      <c r="CI39" s="10">
        <v>51510.884899999997</v>
      </c>
      <c r="CJ39" s="10">
        <v>300222.51137000002</v>
      </c>
      <c r="CK39" s="10"/>
      <c r="CL39" s="10"/>
      <c r="CM39" s="10"/>
      <c r="CN39" s="10">
        <v>22972.041000000001</v>
      </c>
      <c r="CO39" s="10">
        <v>166405.820572</v>
      </c>
      <c r="CP39" s="10"/>
      <c r="CQ39" s="10"/>
      <c r="CR39" s="10"/>
      <c r="CS39" s="10"/>
      <c r="CT39" s="10">
        <v>64557.027719999998</v>
      </c>
      <c r="CU39" s="10">
        <v>24907.241000000002</v>
      </c>
      <c r="CV39" s="10">
        <v>92576.196800000005</v>
      </c>
      <c r="CW39" s="10"/>
      <c r="CX39" s="10">
        <v>107029.54044</v>
      </c>
      <c r="CY39" s="10"/>
      <c r="CZ39" s="10"/>
      <c r="DA39" s="10">
        <v>233199.7059</v>
      </c>
      <c r="DB39" s="10"/>
      <c r="DC39" s="10">
        <v>125803.275089</v>
      </c>
      <c r="DD39" s="10">
        <v>55263.014199999998</v>
      </c>
      <c r="DE39" s="10"/>
      <c r="DF39" s="10">
        <v>116379.70518</v>
      </c>
      <c r="DG39" s="10"/>
      <c r="DH39" s="10">
        <v>35716.042300000001</v>
      </c>
      <c r="DI39" s="10">
        <v>290434.99</v>
      </c>
      <c r="DJ39" s="10"/>
      <c r="DK39" s="10">
        <v>199206.234</v>
      </c>
      <c r="DL39" s="10">
        <v>36015.279000000002</v>
      </c>
      <c r="DM39" s="10"/>
      <c r="DN39" s="10">
        <v>18384.522499999999</v>
      </c>
      <c r="DO39" s="10"/>
      <c r="DP39" s="10">
        <v>24096.572800000002</v>
      </c>
      <c r="DQ39" s="10"/>
      <c r="DR39" s="10">
        <v>14871.7628</v>
      </c>
      <c r="DS39" s="10">
        <v>21807.509900000001</v>
      </c>
      <c r="DT39" s="10">
        <v>19921.585299999999</v>
      </c>
      <c r="DU39" s="10"/>
      <c r="DV39" s="10"/>
      <c r="DW39" s="10">
        <v>8196.9184999999998</v>
      </c>
      <c r="DX39" s="10"/>
      <c r="DY39" s="10">
        <v>11494.424139999999</v>
      </c>
      <c r="DZ39" s="10">
        <v>10793.5641</v>
      </c>
      <c r="EA39" s="10">
        <v>0</v>
      </c>
      <c r="EB39" s="10"/>
      <c r="EC39" s="10">
        <v>10109.178973</v>
      </c>
      <c r="ED39" s="10">
        <v>17328.204900000001</v>
      </c>
      <c r="EE39" s="10">
        <v>97475.755000000005</v>
      </c>
      <c r="EF39" s="10">
        <v>9961.4267999999993</v>
      </c>
      <c r="EG39" s="10">
        <v>50561.919999999998</v>
      </c>
      <c r="EH39" s="10">
        <v>3548.5998399999999</v>
      </c>
      <c r="EI39" s="10">
        <v>443878.62631000002</v>
      </c>
      <c r="EJ39" s="10">
        <v>934.33609999999999</v>
      </c>
      <c r="EK39" s="10">
        <v>128674.8029</v>
      </c>
      <c r="EL39" s="10">
        <v>8767.9712</v>
      </c>
      <c r="EM39" s="10">
        <v>5901.7184999999999</v>
      </c>
      <c r="EN39" s="10">
        <v>16403.323</v>
      </c>
      <c r="EO39" s="10">
        <v>23906.080099999999</v>
      </c>
      <c r="EP39" s="10"/>
      <c r="EQ39" s="10">
        <v>16943.028999999999</v>
      </c>
      <c r="ER39" s="10">
        <v>18706.002899999999</v>
      </c>
      <c r="ES39" s="10">
        <v>5431.4964</v>
      </c>
      <c r="ET39" s="10">
        <v>11707.8179</v>
      </c>
      <c r="EU39" s="10"/>
      <c r="EV39" s="10">
        <v>5184.92</v>
      </c>
      <c r="EW39" s="10"/>
      <c r="EX39" s="10"/>
      <c r="EY39" s="10"/>
      <c r="EZ39" s="10"/>
      <c r="FA39" s="10"/>
      <c r="FB39" s="10"/>
      <c r="FC39" s="10">
        <v>55313.476999999999</v>
      </c>
      <c r="FD39" s="10">
        <v>9586.8485999999994</v>
      </c>
      <c r="FE39" s="10">
        <v>4022.9721</v>
      </c>
      <c r="FF39" s="10"/>
      <c r="FG39" s="10"/>
      <c r="FH39" s="10">
        <v>7491.7322000000004</v>
      </c>
      <c r="FI39" s="10"/>
      <c r="FJ39" s="10"/>
      <c r="FK39" s="10"/>
      <c r="FL39" s="10"/>
      <c r="FM39" s="10"/>
      <c r="FN39" s="10"/>
      <c r="FO39" s="10">
        <v>10907.1077</v>
      </c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>
        <v>0</v>
      </c>
      <c r="GB39" s="10"/>
      <c r="GC39" s="10"/>
      <c r="GD39" s="10"/>
      <c r="GE39" s="10">
        <v>0</v>
      </c>
      <c r="GF39" s="10">
        <v>0</v>
      </c>
      <c r="GG39" s="10">
        <v>0</v>
      </c>
    </row>
    <row r="40" spans="1:189" x14ac:dyDescent="0.35">
      <c r="A40" s="8">
        <v>46125</v>
      </c>
      <c r="B40" s="9">
        <v>6084775624.7760801</v>
      </c>
      <c r="C40" s="10">
        <v>1865057904.31671</v>
      </c>
      <c r="D40" s="10">
        <v>1387829342.23456</v>
      </c>
      <c r="E40" s="10">
        <v>1647401518.7321601</v>
      </c>
      <c r="F40" s="10">
        <v>399939777.36849999</v>
      </c>
      <c r="G40" s="10">
        <v>149719358.70269999</v>
      </c>
      <c r="H40" s="10">
        <v>167174804.93968201</v>
      </c>
      <c r="I40" s="10">
        <v>10948577.669199999</v>
      </c>
      <c r="J40" s="10">
        <v>16985096.588199999</v>
      </c>
      <c r="K40" s="10">
        <v>33772432.410008401</v>
      </c>
      <c r="L40" s="10">
        <v>60667043.811700001</v>
      </c>
      <c r="M40" s="10">
        <v>43247226.705200002</v>
      </c>
      <c r="N40" s="10">
        <v>38850051.154899999</v>
      </c>
      <c r="O40" s="10">
        <v>17055107.191199999</v>
      </c>
      <c r="P40" s="10">
        <v>36208788.803499997</v>
      </c>
      <c r="Q40" s="10">
        <v>25870637.453699999</v>
      </c>
      <c r="R40" s="10">
        <v>18328175.042866498</v>
      </c>
      <c r="S40" s="10">
        <v>11811103.678479999</v>
      </c>
      <c r="T40" s="10">
        <v>40582387.648199998</v>
      </c>
      <c r="U40" s="10">
        <v>19488531.632034998</v>
      </c>
      <c r="V40" s="10">
        <v>13817824.407879099</v>
      </c>
      <c r="W40" s="10">
        <v>13585055.9206759</v>
      </c>
      <c r="X40" s="10">
        <v>380640.11839999998</v>
      </c>
      <c r="Y40" s="10">
        <v>963630.68819999998</v>
      </c>
      <c r="Z40" s="10">
        <v>8533632.5975364391</v>
      </c>
      <c r="AA40" s="10">
        <v>6804957.8908625599</v>
      </c>
      <c r="AB40" s="10">
        <v>5827347.6375000002</v>
      </c>
      <c r="AC40" s="10">
        <v>9551348.4735829402</v>
      </c>
      <c r="AD40" s="10"/>
      <c r="AE40" s="10">
        <v>5935910.16524</v>
      </c>
      <c r="AF40" s="10">
        <v>2475634.4252999998</v>
      </c>
      <c r="AG40" s="10">
        <v>1636466.4165000001</v>
      </c>
      <c r="AH40" s="10">
        <v>2536042.1024000002</v>
      </c>
      <c r="AI40" s="10">
        <v>422609.83799999999</v>
      </c>
      <c r="AJ40" s="10">
        <v>538684.75710000005</v>
      </c>
      <c r="AK40" s="10">
        <v>2626210.3983999998</v>
      </c>
      <c r="AL40" s="10">
        <v>1454387.7727000001</v>
      </c>
      <c r="AM40" s="10">
        <v>271757.05619999999</v>
      </c>
      <c r="AN40" s="10">
        <v>111971.47470000001</v>
      </c>
      <c r="AO40" s="10"/>
      <c r="AP40" s="10"/>
      <c r="AQ40" s="10">
        <v>1041222.0220999999</v>
      </c>
      <c r="AR40" s="10"/>
      <c r="AS40" s="10">
        <v>1046535.2689</v>
      </c>
      <c r="AT40" s="10">
        <v>1011404.111</v>
      </c>
      <c r="AU40" s="10">
        <v>1497837.9195010001</v>
      </c>
      <c r="AV40" s="10">
        <v>1120415.3543</v>
      </c>
      <c r="AW40" s="10">
        <v>1033234.5996</v>
      </c>
      <c r="AX40" s="10">
        <v>577810.47309999994</v>
      </c>
      <c r="AY40" s="10"/>
      <c r="AZ40" s="10"/>
      <c r="BA40" s="10">
        <v>497615.84460000001</v>
      </c>
      <c r="BB40" s="10">
        <v>499031.41869999998</v>
      </c>
      <c r="BC40" s="10">
        <v>886531.89</v>
      </c>
      <c r="BD40" s="10">
        <v>392903.01429999998</v>
      </c>
      <c r="BE40" s="10"/>
      <c r="BF40" s="10"/>
      <c r="BG40" s="10">
        <v>506198.31014000002</v>
      </c>
      <c r="BH40" s="10"/>
      <c r="BI40" s="10"/>
      <c r="BJ40" s="10"/>
      <c r="BK40" s="10">
        <v>826785.40870000003</v>
      </c>
      <c r="BL40" s="10">
        <v>554608.98109999998</v>
      </c>
      <c r="BM40" s="10">
        <v>124108.9014</v>
      </c>
      <c r="BN40" s="10">
        <v>197832.49129999999</v>
      </c>
      <c r="BO40" s="10">
        <v>389042.66609999997</v>
      </c>
      <c r="BP40" s="10"/>
      <c r="BQ40" s="10"/>
      <c r="BR40" s="10">
        <v>94979.406499999997</v>
      </c>
      <c r="BS40" s="10">
        <v>89719.794930000004</v>
      </c>
      <c r="BT40" s="10">
        <v>99767.244999999995</v>
      </c>
      <c r="BU40" s="10">
        <v>346949.01049000002</v>
      </c>
      <c r="BV40" s="10">
        <v>357691.5148</v>
      </c>
      <c r="BW40" s="10">
        <v>164193.65400000001</v>
      </c>
      <c r="BX40" s="10">
        <v>99801.067500000005</v>
      </c>
      <c r="BY40" s="10"/>
      <c r="BZ40" s="10">
        <v>146812.03690000001</v>
      </c>
      <c r="CA40" s="10"/>
      <c r="CB40" s="10">
        <v>188422.2996</v>
      </c>
      <c r="CC40" s="10">
        <v>156570.76658</v>
      </c>
      <c r="CD40" s="10">
        <v>160181.82089999999</v>
      </c>
      <c r="CE40" s="10">
        <v>109901.70879999999</v>
      </c>
      <c r="CF40" s="10">
        <v>59676.416499999999</v>
      </c>
      <c r="CG40" s="10">
        <v>30823.595000000001</v>
      </c>
      <c r="CH40" s="10"/>
      <c r="CI40" s="10">
        <v>171752.6813</v>
      </c>
      <c r="CJ40" s="10">
        <v>140954.91287</v>
      </c>
      <c r="CK40" s="10"/>
      <c r="CL40" s="10"/>
      <c r="CM40" s="10"/>
      <c r="CN40" s="10">
        <v>104804.838</v>
      </c>
      <c r="CO40" s="10">
        <v>27987.569062999999</v>
      </c>
      <c r="CP40" s="10"/>
      <c r="CQ40" s="10"/>
      <c r="CR40" s="10"/>
      <c r="CS40" s="10"/>
      <c r="CT40" s="10">
        <v>71293.944000000003</v>
      </c>
      <c r="CU40" s="10">
        <v>31310.36</v>
      </c>
      <c r="CV40" s="10">
        <v>186345.37899999999</v>
      </c>
      <c r="CW40" s="10"/>
      <c r="CX40" s="10">
        <v>101941.11960000001</v>
      </c>
      <c r="CY40" s="10"/>
      <c r="CZ40" s="10"/>
      <c r="DA40" s="10">
        <v>90619.346000000005</v>
      </c>
      <c r="DB40" s="10"/>
      <c r="DC40" s="10">
        <v>29807.096591000001</v>
      </c>
      <c r="DD40" s="10">
        <v>58086.644099999998</v>
      </c>
      <c r="DE40" s="10"/>
      <c r="DF40" s="10">
        <v>188606.11032000001</v>
      </c>
      <c r="DG40" s="10"/>
      <c r="DH40" s="10">
        <v>17230.900000000001</v>
      </c>
      <c r="DI40" s="10">
        <v>89182.44</v>
      </c>
      <c r="DJ40" s="10"/>
      <c r="DK40" s="10">
        <v>39967.171999999999</v>
      </c>
      <c r="DL40" s="10">
        <v>27233.749</v>
      </c>
      <c r="DM40" s="10"/>
      <c r="DN40" s="10">
        <v>31627.65883</v>
      </c>
      <c r="DO40" s="10"/>
      <c r="DP40" s="10">
        <v>27510.615399999999</v>
      </c>
      <c r="DQ40" s="10"/>
      <c r="DR40" s="10">
        <v>12455.170599999999</v>
      </c>
      <c r="DS40" s="10">
        <v>22589.714100000001</v>
      </c>
      <c r="DT40" s="10">
        <v>21137.72</v>
      </c>
      <c r="DU40" s="10"/>
      <c r="DV40" s="10"/>
      <c r="DW40" s="10">
        <v>20139.038799999998</v>
      </c>
      <c r="DX40" s="10"/>
      <c r="DY40" s="10">
        <v>65509.917609999997</v>
      </c>
      <c r="DZ40" s="10">
        <v>19246.420900000001</v>
      </c>
      <c r="EA40" s="10">
        <v>48990.097000000002</v>
      </c>
      <c r="EB40" s="10"/>
      <c r="EC40" s="10">
        <v>50421.450487000002</v>
      </c>
      <c r="ED40" s="10">
        <v>9814.4879000000001</v>
      </c>
      <c r="EE40" s="10">
        <v>37515.533000000003</v>
      </c>
      <c r="EF40" s="10">
        <v>11535.203799999999</v>
      </c>
      <c r="EG40" s="10">
        <v>36294.36</v>
      </c>
      <c r="EH40" s="10">
        <v>5045.1216199999999</v>
      </c>
      <c r="EI40" s="10">
        <v>20673.280419999999</v>
      </c>
      <c r="EJ40" s="10">
        <v>8696.7386000000006</v>
      </c>
      <c r="EK40" s="10">
        <v>65530.112300000001</v>
      </c>
      <c r="EL40" s="10"/>
      <c r="EM40" s="10">
        <v>7600.7511000000004</v>
      </c>
      <c r="EN40" s="10"/>
      <c r="EO40" s="10">
        <v>14285.034</v>
      </c>
      <c r="EP40" s="10"/>
      <c r="EQ40" s="10"/>
      <c r="ER40" s="10">
        <v>6268.4269000000004</v>
      </c>
      <c r="ES40" s="10">
        <v>6105.5366999999997</v>
      </c>
      <c r="ET40" s="10">
        <v>6062.4624999999996</v>
      </c>
      <c r="EU40" s="10"/>
      <c r="EV40" s="10">
        <v>36373.32864</v>
      </c>
      <c r="EW40" s="10"/>
      <c r="EX40" s="10"/>
      <c r="EY40" s="10"/>
      <c r="EZ40" s="10"/>
      <c r="FA40" s="10"/>
      <c r="FB40" s="10"/>
      <c r="FC40" s="10">
        <v>86485.096000000005</v>
      </c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>
        <v>0</v>
      </c>
      <c r="GB40" s="10"/>
      <c r="GC40" s="10"/>
      <c r="GD40" s="10"/>
      <c r="GE40" s="10">
        <v>0</v>
      </c>
      <c r="GF40" s="10">
        <v>0</v>
      </c>
      <c r="GG40" s="10">
        <v>0</v>
      </c>
    </row>
    <row r="41" spans="1:189" x14ac:dyDescent="0.35">
      <c r="A41" s="8">
        <v>46124</v>
      </c>
      <c r="B41" s="9">
        <v>3667871912.4062099</v>
      </c>
      <c r="C41" s="10">
        <v>954617642.789765</v>
      </c>
      <c r="D41" s="10">
        <v>478016711.64485002</v>
      </c>
      <c r="E41" s="10">
        <v>1599339499.4523799</v>
      </c>
      <c r="F41" s="10">
        <v>337634143.72299999</v>
      </c>
      <c r="G41" s="10">
        <v>32886150.523699999</v>
      </c>
      <c r="H41" s="10">
        <v>38213574.211001299</v>
      </c>
      <c r="I41" s="10">
        <v>8417728.0429999996</v>
      </c>
      <c r="J41" s="10">
        <v>4183579.6740000001</v>
      </c>
      <c r="K41" s="10">
        <v>25973045.0091081</v>
      </c>
      <c r="L41" s="10">
        <v>25294050.8585</v>
      </c>
      <c r="M41" s="10">
        <v>12096686.383300001</v>
      </c>
      <c r="N41" s="10">
        <v>14252893.3116</v>
      </c>
      <c r="O41" s="10">
        <v>14611703.1482</v>
      </c>
      <c r="P41" s="10">
        <v>8880788.9020000007</v>
      </c>
      <c r="Q41" s="10">
        <v>13788111.869999999</v>
      </c>
      <c r="R41" s="10">
        <v>14951746.023832999</v>
      </c>
      <c r="S41" s="10">
        <v>7970818.7240000004</v>
      </c>
      <c r="T41" s="10">
        <v>7300497.7357999999</v>
      </c>
      <c r="U41" s="10">
        <v>9920058.8224410508</v>
      </c>
      <c r="V41" s="10">
        <v>4871816.6649492504</v>
      </c>
      <c r="W41" s="10">
        <v>10272638.163486101</v>
      </c>
      <c r="X41" s="10">
        <v>288074.60060000001</v>
      </c>
      <c r="Y41" s="10">
        <v>156648.52859999999</v>
      </c>
      <c r="Z41" s="10">
        <v>6777573.2235052995</v>
      </c>
      <c r="AA41" s="10">
        <v>2490896.4297000002</v>
      </c>
      <c r="AB41" s="10">
        <v>5255865.6836999999</v>
      </c>
      <c r="AC41" s="10">
        <v>4953733.1900794003</v>
      </c>
      <c r="AD41" s="10"/>
      <c r="AE41" s="10">
        <v>3843680.2154199998</v>
      </c>
      <c r="AF41" s="10">
        <v>1700809.3751999999</v>
      </c>
      <c r="AG41" s="10">
        <v>811434.78819999995</v>
      </c>
      <c r="AH41" s="10">
        <v>700265.375</v>
      </c>
      <c r="AI41" s="10">
        <v>1375504.1569999999</v>
      </c>
      <c r="AJ41" s="10">
        <v>366198.45329999999</v>
      </c>
      <c r="AK41" s="10">
        <v>2417636.9394999999</v>
      </c>
      <c r="AL41" s="10">
        <v>577205.07510000002</v>
      </c>
      <c r="AM41" s="10">
        <v>244869.45559999999</v>
      </c>
      <c r="AN41" s="10">
        <v>13304.3583</v>
      </c>
      <c r="AO41" s="10"/>
      <c r="AP41" s="10"/>
      <c r="AQ41" s="10">
        <v>915702.57409999997</v>
      </c>
      <c r="AR41" s="10"/>
      <c r="AS41" s="10">
        <v>1277576.628</v>
      </c>
      <c r="AT41" s="10">
        <v>903408.55070000002</v>
      </c>
      <c r="AU41" s="10">
        <v>1252172.3982220001</v>
      </c>
      <c r="AV41" s="10">
        <v>832747.52220000001</v>
      </c>
      <c r="AW41" s="10">
        <v>228105.92619999999</v>
      </c>
      <c r="AX41" s="10">
        <v>670841.08319999999</v>
      </c>
      <c r="AY41" s="10"/>
      <c r="AZ41" s="10"/>
      <c r="BA41" s="10">
        <v>789341.35829999996</v>
      </c>
      <c r="BB41" s="10">
        <v>31616.505099999998</v>
      </c>
      <c r="BC41" s="10">
        <v>954848.71499999997</v>
      </c>
      <c r="BD41" s="10">
        <v>138764.36619999999</v>
      </c>
      <c r="BE41" s="10"/>
      <c r="BF41" s="10"/>
      <c r="BG41" s="10">
        <v>240609.03414999999</v>
      </c>
      <c r="BH41" s="10"/>
      <c r="BI41" s="10"/>
      <c r="BJ41" s="10"/>
      <c r="BK41" s="10">
        <v>248005.571</v>
      </c>
      <c r="BL41" s="10">
        <v>121587.51639999999</v>
      </c>
      <c r="BM41" s="10">
        <v>250088.829</v>
      </c>
      <c r="BN41" s="10">
        <v>61576.1921</v>
      </c>
      <c r="BO41" s="10">
        <v>250184.61780000001</v>
      </c>
      <c r="BP41" s="10"/>
      <c r="BQ41" s="10"/>
      <c r="BR41" s="10">
        <v>30899.4031</v>
      </c>
      <c r="BS41" s="10">
        <v>45073.329700000002</v>
      </c>
      <c r="BT41" s="10">
        <v>27751.418300000001</v>
      </c>
      <c r="BU41" s="10">
        <v>282539.38406000001</v>
      </c>
      <c r="BV41" s="10">
        <v>278938.41649999999</v>
      </c>
      <c r="BW41" s="10">
        <v>90012.622700000007</v>
      </c>
      <c r="BX41" s="10">
        <v>164137.63990000001</v>
      </c>
      <c r="BY41" s="10"/>
      <c r="BZ41" s="10">
        <v>15739.9941</v>
      </c>
      <c r="CA41" s="10"/>
      <c r="CB41" s="10">
        <v>74441.667400000006</v>
      </c>
      <c r="CC41" s="10">
        <v>299952.54472000001</v>
      </c>
      <c r="CD41" s="10">
        <v>36589.515099999997</v>
      </c>
      <c r="CE41" s="10">
        <v>25630.5939</v>
      </c>
      <c r="CF41" s="10">
        <v>8775.1923999999999</v>
      </c>
      <c r="CG41" s="10">
        <v>35469.152999999998</v>
      </c>
      <c r="CH41" s="10"/>
      <c r="CI41" s="10">
        <v>488451.65049999999</v>
      </c>
      <c r="CJ41" s="10">
        <v>6999.6422599999996</v>
      </c>
      <c r="CK41" s="10"/>
      <c r="CL41" s="10"/>
      <c r="CM41" s="10"/>
      <c r="CN41" s="10">
        <v>42659.472000000002</v>
      </c>
      <c r="CO41" s="10">
        <v>25623.44688</v>
      </c>
      <c r="CP41" s="10"/>
      <c r="CQ41" s="10"/>
      <c r="CR41" s="10"/>
      <c r="CS41" s="10"/>
      <c r="CT41" s="10">
        <v>12652.1258</v>
      </c>
      <c r="CU41" s="10">
        <v>35342.315999999999</v>
      </c>
      <c r="CV41" s="10">
        <v>125415.10309999999</v>
      </c>
      <c r="CW41" s="10"/>
      <c r="CX41" s="10">
        <v>69666.180309999996</v>
      </c>
      <c r="CY41" s="10"/>
      <c r="CZ41" s="10"/>
      <c r="DA41" s="10">
        <v>299420.03340000001</v>
      </c>
      <c r="DB41" s="10"/>
      <c r="DC41" s="10">
        <v>21371.883418000001</v>
      </c>
      <c r="DD41" s="10">
        <v>43912.169399999999</v>
      </c>
      <c r="DE41" s="10"/>
      <c r="DF41" s="10">
        <v>107216.76645</v>
      </c>
      <c r="DG41" s="10"/>
      <c r="DH41" s="10">
        <v>12312.641</v>
      </c>
      <c r="DI41" s="10"/>
      <c r="DJ41" s="10"/>
      <c r="DK41" s="10"/>
      <c r="DL41" s="10">
        <v>23315.656999999999</v>
      </c>
      <c r="DM41" s="10"/>
      <c r="DN41" s="10">
        <v>75012.950540000005</v>
      </c>
      <c r="DO41" s="10"/>
      <c r="DP41" s="10">
        <v>33385.321100000001</v>
      </c>
      <c r="DQ41" s="10"/>
      <c r="DR41" s="10">
        <v>18010.5121</v>
      </c>
      <c r="DS41" s="10">
        <v>31312.5324</v>
      </c>
      <c r="DT41" s="10">
        <v>26526.926299999999</v>
      </c>
      <c r="DU41" s="10"/>
      <c r="DV41" s="10"/>
      <c r="DW41" s="10"/>
      <c r="DX41" s="10"/>
      <c r="DY41" s="10">
        <v>48758.069389999997</v>
      </c>
      <c r="DZ41" s="10">
        <v>5750.7075000000004</v>
      </c>
      <c r="EA41" s="10">
        <v>60103.105600000003</v>
      </c>
      <c r="EB41" s="10"/>
      <c r="EC41" s="10">
        <v>72239.361466999995</v>
      </c>
      <c r="ED41" s="10">
        <v>30818.882099999999</v>
      </c>
      <c r="EE41" s="10"/>
      <c r="EF41" s="10">
        <v>9737.1666999999998</v>
      </c>
      <c r="EG41" s="10"/>
      <c r="EH41" s="10">
        <v>3468.98956</v>
      </c>
      <c r="EI41" s="10">
        <v>8546.0131099999999</v>
      </c>
      <c r="EJ41" s="10">
        <v>2423.3553000000002</v>
      </c>
      <c r="EK41" s="10"/>
      <c r="EL41" s="10"/>
      <c r="EM41" s="10">
        <v>7785.9219999999996</v>
      </c>
      <c r="EN41" s="10"/>
      <c r="EO41" s="10">
        <v>11837.328600000001</v>
      </c>
      <c r="EP41" s="10"/>
      <c r="EQ41" s="10"/>
      <c r="ER41" s="10">
        <v>4349.8910999999998</v>
      </c>
      <c r="ES41" s="10">
        <v>7180.4525000000003</v>
      </c>
      <c r="ET41" s="10">
        <v>13391.0229</v>
      </c>
      <c r="EU41" s="10"/>
      <c r="EV41" s="10">
        <v>36201.018150000004</v>
      </c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>
        <v>0</v>
      </c>
      <c r="GB41" s="10"/>
      <c r="GC41" s="10"/>
      <c r="GD41" s="10"/>
      <c r="GE41" s="10">
        <v>0</v>
      </c>
      <c r="GF41" s="10">
        <v>0</v>
      </c>
      <c r="GG41" s="10">
        <v>0</v>
      </c>
    </row>
    <row r="42" spans="1:189" x14ac:dyDescent="0.35">
      <c r="A42" s="8">
        <v>46123</v>
      </c>
      <c r="B42" s="9">
        <v>789436327.493644</v>
      </c>
      <c r="C42" s="10">
        <v>151067036.002545</v>
      </c>
      <c r="D42" s="10">
        <v>48489634.792499997</v>
      </c>
      <c r="E42" s="10">
        <v>390100526.60991001</v>
      </c>
      <c r="F42" s="10">
        <v>75991074.865400001</v>
      </c>
      <c r="G42" s="10">
        <v>12008569.985099999</v>
      </c>
      <c r="H42" s="10">
        <v>24694180.521966901</v>
      </c>
      <c r="I42" s="10">
        <v>3198927.2532000002</v>
      </c>
      <c r="J42" s="10">
        <v>1802722.7563</v>
      </c>
      <c r="K42" s="10">
        <v>7797246.99494527</v>
      </c>
      <c r="L42" s="10">
        <v>8329328.6083000004</v>
      </c>
      <c r="M42" s="10">
        <v>2148065.9042000002</v>
      </c>
      <c r="N42" s="10">
        <v>4669684.2509000003</v>
      </c>
      <c r="O42" s="10">
        <v>3684808.5734999999</v>
      </c>
      <c r="P42" s="10">
        <v>3021866.7374</v>
      </c>
      <c r="Q42" s="10">
        <v>5310995.9177999999</v>
      </c>
      <c r="R42" s="10">
        <v>12199137.687779101</v>
      </c>
      <c r="S42" s="10">
        <v>1108895.3841599999</v>
      </c>
      <c r="T42" s="10">
        <v>2332409.3358999998</v>
      </c>
      <c r="U42" s="10">
        <v>2599672.7275029998</v>
      </c>
      <c r="V42" s="10">
        <v>3076048.0648618601</v>
      </c>
      <c r="W42" s="10">
        <v>5399083.64750122</v>
      </c>
      <c r="X42" s="10">
        <v>209471.47649999999</v>
      </c>
      <c r="Y42" s="10">
        <v>26064.6816</v>
      </c>
      <c r="Z42" s="10">
        <v>2078382.75625373</v>
      </c>
      <c r="AA42" s="10">
        <v>1090229.0486999999</v>
      </c>
      <c r="AB42" s="10">
        <v>1937965.5584</v>
      </c>
      <c r="AC42" s="10">
        <v>1926867.7880371499</v>
      </c>
      <c r="AD42" s="10"/>
      <c r="AE42" s="10">
        <v>766874.49945</v>
      </c>
      <c r="AF42" s="10">
        <v>530400.33169999998</v>
      </c>
      <c r="AG42" s="10">
        <v>1147571.9632000001</v>
      </c>
      <c r="AH42" s="10">
        <v>207947.95209999999</v>
      </c>
      <c r="AI42" s="10">
        <v>430486.60100000002</v>
      </c>
      <c r="AJ42" s="10">
        <v>73525.409</v>
      </c>
      <c r="AK42" s="10">
        <v>1127979.0526999999</v>
      </c>
      <c r="AL42" s="10">
        <v>650280.45440000005</v>
      </c>
      <c r="AM42" s="10">
        <v>3631.4989</v>
      </c>
      <c r="AN42" s="10">
        <v>132404.5814</v>
      </c>
      <c r="AO42" s="10"/>
      <c r="AP42" s="10"/>
      <c r="AQ42" s="10">
        <v>127874.4779</v>
      </c>
      <c r="AR42" s="10"/>
      <c r="AS42" s="10">
        <v>1402246.6569999999</v>
      </c>
      <c r="AT42" s="10">
        <v>451796.03759999998</v>
      </c>
      <c r="AU42" s="10">
        <v>249012.750115</v>
      </c>
      <c r="AV42" s="10">
        <v>232705.86360000001</v>
      </c>
      <c r="AW42" s="10">
        <v>167949.53659999999</v>
      </c>
      <c r="AX42" s="10">
        <v>252918.24609999999</v>
      </c>
      <c r="AY42" s="10"/>
      <c r="AZ42" s="10"/>
      <c r="BA42" s="10">
        <v>837438.1703</v>
      </c>
      <c r="BB42" s="10">
        <v>15812.562099999999</v>
      </c>
      <c r="BC42" s="10">
        <v>1128855.9909999999</v>
      </c>
      <c r="BD42" s="10">
        <v>20823.695100000001</v>
      </c>
      <c r="BE42" s="10"/>
      <c r="BF42" s="10"/>
      <c r="BG42" s="10">
        <v>52172.283609999999</v>
      </c>
      <c r="BH42" s="10"/>
      <c r="BI42" s="10"/>
      <c r="BJ42" s="10"/>
      <c r="BK42" s="10">
        <v>104200.08440000001</v>
      </c>
      <c r="BL42" s="10">
        <v>20753.843700000001</v>
      </c>
      <c r="BM42" s="10">
        <v>163371.46100000001</v>
      </c>
      <c r="BN42" s="10">
        <v>15114.9511</v>
      </c>
      <c r="BO42" s="10">
        <v>58254.454100000003</v>
      </c>
      <c r="BP42" s="10"/>
      <c r="BQ42" s="10"/>
      <c r="BR42" s="10">
        <v>37580.318399999996</v>
      </c>
      <c r="BS42" s="10">
        <v>7083.98801</v>
      </c>
      <c r="BT42" s="10">
        <v>85557.508900000001</v>
      </c>
      <c r="BU42" s="10">
        <v>141175.84250999999</v>
      </c>
      <c r="BV42" s="10">
        <v>99083.446100000001</v>
      </c>
      <c r="BW42" s="10">
        <v>458865.08689999999</v>
      </c>
      <c r="BX42" s="10">
        <v>1018703.4105</v>
      </c>
      <c r="BY42" s="10"/>
      <c r="BZ42" s="10">
        <v>13998.0915</v>
      </c>
      <c r="CA42" s="10"/>
      <c r="CB42" s="10">
        <v>20588.070100000001</v>
      </c>
      <c r="CC42" s="10">
        <v>122643.93438999999</v>
      </c>
      <c r="CD42" s="10">
        <v>3038.8957</v>
      </c>
      <c r="CE42" s="10">
        <v>7739.5637999999999</v>
      </c>
      <c r="CF42" s="10">
        <v>10742.5476</v>
      </c>
      <c r="CG42" s="10">
        <v>24254.268</v>
      </c>
      <c r="CH42" s="10"/>
      <c r="CI42" s="10">
        <v>25089.587500000001</v>
      </c>
      <c r="CJ42" s="10">
        <v>8266.9405399999996</v>
      </c>
      <c r="CK42" s="10"/>
      <c r="CL42" s="10"/>
      <c r="CM42" s="10"/>
      <c r="CN42" s="10">
        <v>112627.647</v>
      </c>
      <c r="CO42" s="10">
        <v>34505.648798000002</v>
      </c>
      <c r="CP42" s="10"/>
      <c r="CQ42" s="10"/>
      <c r="CR42" s="10"/>
      <c r="CS42" s="10"/>
      <c r="CT42" s="10">
        <v>4259.9589599999999</v>
      </c>
      <c r="CU42" s="10">
        <v>9538.5130000000008</v>
      </c>
      <c r="CV42" s="10">
        <v>169193.48050000001</v>
      </c>
      <c r="CW42" s="10"/>
      <c r="CX42" s="10">
        <v>69776.241240000003</v>
      </c>
      <c r="CY42" s="10"/>
      <c r="CZ42" s="10"/>
      <c r="DA42" s="10">
        <v>23706.702300000001</v>
      </c>
      <c r="DB42" s="10"/>
      <c r="DC42" s="10">
        <v>16817.593779999999</v>
      </c>
      <c r="DD42" s="10">
        <v>9017.4653999999991</v>
      </c>
      <c r="DE42" s="10"/>
      <c r="DF42" s="10">
        <v>10938.034180000001</v>
      </c>
      <c r="DG42" s="10"/>
      <c r="DH42" s="10">
        <v>8958.1380000000008</v>
      </c>
      <c r="DI42" s="10"/>
      <c r="DJ42" s="10"/>
      <c r="DK42" s="10"/>
      <c r="DL42" s="10">
        <v>22374.234</v>
      </c>
      <c r="DM42" s="10"/>
      <c r="DN42" s="10">
        <v>19071.34967</v>
      </c>
      <c r="DO42" s="10"/>
      <c r="DP42" s="10">
        <v>24020.334200000001</v>
      </c>
      <c r="DQ42" s="10"/>
      <c r="DR42" s="10">
        <v>7198.0406999999996</v>
      </c>
      <c r="DS42" s="10">
        <v>21045.7955</v>
      </c>
      <c r="DT42" s="10">
        <v>18255.907599999999</v>
      </c>
      <c r="DU42" s="10"/>
      <c r="DV42" s="10"/>
      <c r="DW42" s="10"/>
      <c r="DX42" s="10"/>
      <c r="DY42" s="10">
        <v>17704.36074</v>
      </c>
      <c r="DZ42" s="10">
        <v>5865.9894999999997</v>
      </c>
      <c r="EA42" s="10">
        <v>0</v>
      </c>
      <c r="EB42" s="10"/>
      <c r="EC42" s="10">
        <v>8852.2424979999996</v>
      </c>
      <c r="ED42" s="10">
        <v>3788.4834000000001</v>
      </c>
      <c r="EE42" s="10"/>
      <c r="EF42" s="10">
        <v>9717.0113000000001</v>
      </c>
      <c r="EG42" s="10"/>
      <c r="EH42" s="10">
        <v>3384.4902099999999</v>
      </c>
      <c r="EI42" s="10">
        <v>6113.8411800000003</v>
      </c>
      <c r="EJ42" s="10">
        <v>4102.0349999999999</v>
      </c>
      <c r="EK42" s="10"/>
      <c r="EL42" s="10"/>
      <c r="EM42" s="10">
        <v>7143.4183000000003</v>
      </c>
      <c r="EN42" s="10"/>
      <c r="EO42" s="10">
        <v>12580.2394</v>
      </c>
      <c r="EP42" s="10"/>
      <c r="EQ42" s="10"/>
      <c r="ER42" s="10">
        <v>11415.179899999999</v>
      </c>
      <c r="ES42" s="10">
        <v>4511.7897999999996</v>
      </c>
      <c r="ET42" s="10">
        <v>4130.4867999999997</v>
      </c>
      <c r="EU42" s="10"/>
      <c r="EV42" s="10">
        <v>0</v>
      </c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>
        <v>0</v>
      </c>
      <c r="GB42" s="10"/>
      <c r="GC42" s="10"/>
      <c r="GD42" s="10"/>
      <c r="GE42" s="10">
        <v>0</v>
      </c>
      <c r="GF42" s="10">
        <v>0</v>
      </c>
      <c r="GG42" s="10">
        <v>0</v>
      </c>
    </row>
    <row r="43" spans="1:189" x14ac:dyDescent="0.35">
      <c r="A43" s="8">
        <v>46122</v>
      </c>
      <c r="B43" s="9">
        <v>5138123065.5633602</v>
      </c>
      <c r="C43" s="10">
        <v>1651716665.7651899</v>
      </c>
      <c r="D43" s="10">
        <v>1325074407.2841101</v>
      </c>
      <c r="E43" s="10">
        <v>1208577254.3847599</v>
      </c>
      <c r="F43" s="10">
        <v>290849332.7877</v>
      </c>
      <c r="G43" s="10">
        <v>146069460.20500001</v>
      </c>
      <c r="H43" s="10">
        <v>135475611.00223199</v>
      </c>
      <c r="I43" s="10">
        <v>8162853.2878</v>
      </c>
      <c r="J43" s="10">
        <v>12044343.660599999</v>
      </c>
      <c r="K43" s="10">
        <v>34535299.309859298</v>
      </c>
      <c r="L43" s="10">
        <v>47933594.717600003</v>
      </c>
      <c r="M43" s="10">
        <v>35263255.210000001</v>
      </c>
      <c r="N43" s="10">
        <v>38710061.733099997</v>
      </c>
      <c r="O43" s="10">
        <v>9514075.3925000001</v>
      </c>
      <c r="P43" s="10">
        <v>25745988.665399998</v>
      </c>
      <c r="Q43" s="10">
        <v>22539573.784200002</v>
      </c>
      <c r="R43" s="10">
        <v>5878327.1097660996</v>
      </c>
      <c r="S43" s="10">
        <v>16820828.980080001</v>
      </c>
      <c r="T43" s="10">
        <v>42599414.983499996</v>
      </c>
      <c r="U43" s="10">
        <v>17648503.777560599</v>
      </c>
      <c r="V43" s="10">
        <v>6746109.7748466004</v>
      </c>
      <c r="W43" s="10">
        <v>6454182.2766120499</v>
      </c>
      <c r="X43" s="10">
        <v>437577.5356</v>
      </c>
      <c r="Y43" s="10">
        <v>813647.25650000002</v>
      </c>
      <c r="Z43" s="10">
        <v>4134079.9089961499</v>
      </c>
      <c r="AA43" s="10">
        <v>2857980.89070745</v>
      </c>
      <c r="AB43" s="10">
        <v>7164367.7697999999</v>
      </c>
      <c r="AC43" s="10">
        <v>3441279.8673097501</v>
      </c>
      <c r="AD43" s="10"/>
      <c r="AE43" s="10">
        <v>4321761.0879899999</v>
      </c>
      <c r="AF43" s="10">
        <v>3115479.8977000001</v>
      </c>
      <c r="AG43" s="10">
        <v>1650109.9010999999</v>
      </c>
      <c r="AH43" s="10">
        <v>1284386.7538999999</v>
      </c>
      <c r="AI43" s="10">
        <v>417301.77</v>
      </c>
      <c r="AJ43" s="10">
        <v>689080.18559999997</v>
      </c>
      <c r="AK43" s="10">
        <v>2757930.1390999998</v>
      </c>
      <c r="AL43" s="10">
        <v>1337526.4768999999</v>
      </c>
      <c r="AM43" s="10">
        <v>353083.89150000003</v>
      </c>
      <c r="AN43" s="10">
        <v>16998.926299999999</v>
      </c>
      <c r="AO43" s="10"/>
      <c r="AP43" s="10"/>
      <c r="AQ43" s="10">
        <v>608016.67689999996</v>
      </c>
      <c r="AR43" s="10"/>
      <c r="AS43" s="10">
        <v>557410.79650000005</v>
      </c>
      <c r="AT43" s="10">
        <v>413132.10690000001</v>
      </c>
      <c r="AU43" s="10">
        <v>925611.78368500003</v>
      </c>
      <c r="AV43" s="10">
        <v>723753.86159999995</v>
      </c>
      <c r="AW43" s="10">
        <v>669681.07279999997</v>
      </c>
      <c r="AX43" s="10">
        <v>529243.94369999995</v>
      </c>
      <c r="AY43" s="10"/>
      <c r="AZ43" s="10"/>
      <c r="BA43" s="10">
        <v>1662327.5301999999</v>
      </c>
      <c r="BB43" s="10">
        <v>495580.93219999998</v>
      </c>
      <c r="BC43" s="10">
        <v>1511761.83</v>
      </c>
      <c r="BD43" s="10">
        <v>426457.04790000001</v>
      </c>
      <c r="BE43" s="10"/>
      <c r="BF43" s="10"/>
      <c r="BG43" s="10">
        <v>397899.89296999999</v>
      </c>
      <c r="BH43" s="10"/>
      <c r="BI43" s="10"/>
      <c r="BJ43" s="10"/>
      <c r="BK43" s="10">
        <v>132145.4154</v>
      </c>
      <c r="BL43" s="10">
        <v>379295.2831</v>
      </c>
      <c r="BM43" s="10">
        <v>460992.96799999999</v>
      </c>
      <c r="BN43" s="10">
        <v>133446.2977</v>
      </c>
      <c r="BO43" s="10">
        <v>962765.20120000001</v>
      </c>
      <c r="BP43" s="10"/>
      <c r="BQ43" s="10"/>
      <c r="BR43" s="10">
        <v>300922.46990000003</v>
      </c>
      <c r="BS43" s="10">
        <v>107783.90785</v>
      </c>
      <c r="BT43" s="10">
        <v>140986.003</v>
      </c>
      <c r="BU43" s="10">
        <v>235076.86227000001</v>
      </c>
      <c r="BV43" s="10">
        <v>297867.90590000001</v>
      </c>
      <c r="BW43" s="10">
        <v>52635.082499999997</v>
      </c>
      <c r="BX43" s="10">
        <v>132125.27970000001</v>
      </c>
      <c r="BY43" s="10"/>
      <c r="BZ43" s="10">
        <v>101446.3924</v>
      </c>
      <c r="CA43" s="10"/>
      <c r="CB43" s="10">
        <v>242612.658</v>
      </c>
      <c r="CC43" s="10">
        <v>439073.34860999999</v>
      </c>
      <c r="CD43" s="10">
        <v>70886.989100000006</v>
      </c>
      <c r="CE43" s="10">
        <v>51419.273999999998</v>
      </c>
      <c r="CF43" s="10">
        <v>109980.8894</v>
      </c>
      <c r="CG43" s="10">
        <v>32165.687000000002</v>
      </c>
      <c r="CH43" s="10"/>
      <c r="CI43" s="10">
        <v>30813.656299999999</v>
      </c>
      <c r="CJ43" s="10">
        <v>247877.37698</v>
      </c>
      <c r="CK43" s="10"/>
      <c r="CL43" s="10"/>
      <c r="CM43" s="10"/>
      <c r="CN43" s="10">
        <v>355979.80900000001</v>
      </c>
      <c r="CO43" s="10">
        <v>79717.361866000007</v>
      </c>
      <c r="CP43" s="10"/>
      <c r="CQ43" s="10"/>
      <c r="CR43" s="10"/>
      <c r="CS43" s="10"/>
      <c r="CT43" s="10">
        <v>23113.78932</v>
      </c>
      <c r="CU43" s="10">
        <v>13064.183999999999</v>
      </c>
      <c r="CV43" s="10">
        <v>68681.080199999997</v>
      </c>
      <c r="CW43" s="10"/>
      <c r="CX43" s="10">
        <v>254918.32376</v>
      </c>
      <c r="CY43" s="10"/>
      <c r="CZ43" s="10"/>
      <c r="DA43" s="10">
        <v>40181.701500000003</v>
      </c>
      <c r="DB43" s="10"/>
      <c r="DC43" s="10">
        <v>37922.215443000001</v>
      </c>
      <c r="DD43" s="10">
        <v>36987.042800000003</v>
      </c>
      <c r="DE43" s="10"/>
      <c r="DF43" s="10">
        <v>92721.04565</v>
      </c>
      <c r="DG43" s="10"/>
      <c r="DH43" s="10">
        <v>10006.223</v>
      </c>
      <c r="DI43" s="10"/>
      <c r="DJ43" s="10"/>
      <c r="DK43" s="10"/>
      <c r="DL43" s="10">
        <v>23900.162</v>
      </c>
      <c r="DM43" s="10"/>
      <c r="DN43" s="10">
        <v>26683.515749999999</v>
      </c>
      <c r="DO43" s="10"/>
      <c r="DP43" s="10">
        <v>18699.060399999998</v>
      </c>
      <c r="DQ43" s="10"/>
      <c r="DR43" s="10">
        <v>44887.236900000004</v>
      </c>
      <c r="DS43" s="10">
        <v>21126.785199999998</v>
      </c>
      <c r="DT43" s="10">
        <v>25686.955900000001</v>
      </c>
      <c r="DU43" s="10"/>
      <c r="DV43" s="10"/>
      <c r="DW43" s="10"/>
      <c r="DX43" s="10"/>
      <c r="DY43" s="10">
        <v>9082.6130900000007</v>
      </c>
      <c r="DZ43" s="10">
        <v>11820.6502</v>
      </c>
      <c r="EA43" s="10">
        <v>0</v>
      </c>
      <c r="EB43" s="10"/>
      <c r="EC43" s="10">
        <v>13515.763677000001</v>
      </c>
      <c r="ED43" s="10">
        <v>48190.971400000002</v>
      </c>
      <c r="EE43" s="10"/>
      <c r="EF43" s="10">
        <v>18366.665099999998</v>
      </c>
      <c r="EG43" s="10"/>
      <c r="EH43" s="10">
        <v>3792.5952499999999</v>
      </c>
      <c r="EI43" s="10">
        <v>22134.42525</v>
      </c>
      <c r="EJ43" s="10">
        <v>5340.0128000000004</v>
      </c>
      <c r="EK43" s="10"/>
      <c r="EL43" s="10"/>
      <c r="EM43" s="10">
        <v>8108.8525</v>
      </c>
      <c r="EN43" s="10"/>
      <c r="EO43" s="10">
        <v>28046.354599999999</v>
      </c>
      <c r="EP43" s="10"/>
      <c r="EQ43" s="10"/>
      <c r="ER43" s="10">
        <v>11073.1229</v>
      </c>
      <c r="ES43" s="10">
        <v>11467.820299999999</v>
      </c>
      <c r="ET43" s="10">
        <v>9071.7729999999992</v>
      </c>
      <c r="EU43" s="10"/>
      <c r="EV43" s="10">
        <v>13844.675520000001</v>
      </c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>
        <v>0</v>
      </c>
      <c r="GB43" s="10"/>
      <c r="GC43" s="10"/>
      <c r="GD43" s="10"/>
      <c r="GE43" s="10">
        <v>0</v>
      </c>
      <c r="GF43" s="10">
        <v>0</v>
      </c>
      <c r="GG43" s="10">
        <v>0</v>
      </c>
    </row>
    <row r="44" spans="1:189" x14ac:dyDescent="0.35">
      <c r="A44" s="8">
        <v>46121</v>
      </c>
      <c r="B44" s="9">
        <v>7124829683.9520903</v>
      </c>
      <c r="C44" s="10">
        <v>2088817339.2452099</v>
      </c>
      <c r="D44" s="10">
        <v>1489258468.3771601</v>
      </c>
      <c r="E44" s="10">
        <v>2287824420.4028201</v>
      </c>
      <c r="F44" s="10">
        <v>448802709.31779999</v>
      </c>
      <c r="G44" s="10">
        <v>172855599.62779999</v>
      </c>
      <c r="H44" s="10">
        <v>207582606.53424901</v>
      </c>
      <c r="I44" s="10">
        <v>11970683.7863</v>
      </c>
      <c r="J44" s="10">
        <v>10829895.705800001</v>
      </c>
      <c r="K44" s="10">
        <v>24736120.863686498</v>
      </c>
      <c r="L44" s="10">
        <v>58346180.419100001</v>
      </c>
      <c r="M44" s="10">
        <v>62073724.489500001</v>
      </c>
      <c r="N44" s="10">
        <v>46340411.012599997</v>
      </c>
      <c r="O44" s="10">
        <v>23690714.813499998</v>
      </c>
      <c r="P44" s="10">
        <v>28251702.762600001</v>
      </c>
      <c r="Q44" s="10">
        <v>22956669.0418</v>
      </c>
      <c r="R44" s="10">
        <v>5062565.3171295002</v>
      </c>
      <c r="S44" s="10">
        <v>19983591.28861</v>
      </c>
      <c r="T44" s="10">
        <v>31309417.559</v>
      </c>
      <c r="U44" s="10">
        <v>18732827.550372999</v>
      </c>
      <c r="V44" s="10">
        <v>11035975.527176101</v>
      </c>
      <c r="W44" s="10">
        <v>6882612.4518202003</v>
      </c>
      <c r="X44" s="10">
        <v>342341.93320000003</v>
      </c>
      <c r="Y44" s="10">
        <v>221063.33480000001</v>
      </c>
      <c r="Z44" s="10">
        <v>8254061.4590848498</v>
      </c>
      <c r="AA44" s="10">
        <v>1790020.8497231</v>
      </c>
      <c r="AB44" s="10">
        <v>2087205.0464000001</v>
      </c>
      <c r="AC44" s="10">
        <v>3747625.0983382501</v>
      </c>
      <c r="AD44" s="10"/>
      <c r="AE44" s="10">
        <v>5383951.4646300003</v>
      </c>
      <c r="AF44" s="10">
        <v>1576546.1351999999</v>
      </c>
      <c r="AG44" s="10">
        <v>1426127.0872</v>
      </c>
      <c r="AH44" s="10">
        <v>1697827.5438999999</v>
      </c>
      <c r="AI44" s="10">
        <v>631350.41299999994</v>
      </c>
      <c r="AJ44" s="10">
        <v>915897.01820000005</v>
      </c>
      <c r="AK44" s="10">
        <v>2083489.9158999999</v>
      </c>
      <c r="AL44" s="10">
        <v>1591327.6910000001</v>
      </c>
      <c r="AM44" s="10">
        <v>93733.449500000002</v>
      </c>
      <c r="AN44" s="10">
        <v>111244.68580000001</v>
      </c>
      <c r="AO44" s="10"/>
      <c r="AP44" s="10"/>
      <c r="AQ44" s="10">
        <v>419638.74469999998</v>
      </c>
      <c r="AR44" s="10"/>
      <c r="AS44" s="10">
        <v>488950.42849999998</v>
      </c>
      <c r="AT44" s="10">
        <v>559540.90789999999</v>
      </c>
      <c r="AU44" s="10">
        <v>701195.50515500002</v>
      </c>
      <c r="AV44" s="10">
        <v>1023567.8005</v>
      </c>
      <c r="AW44" s="10">
        <v>1037037.269</v>
      </c>
      <c r="AX44" s="10">
        <v>607452.44660000002</v>
      </c>
      <c r="AY44" s="10"/>
      <c r="AZ44" s="10"/>
      <c r="BA44" s="10">
        <v>579442.76069999998</v>
      </c>
      <c r="BB44" s="10">
        <v>420498.34379999997</v>
      </c>
      <c r="BC44" s="10">
        <v>552809.86800000002</v>
      </c>
      <c r="BD44" s="10">
        <v>495850.34139999998</v>
      </c>
      <c r="BE44" s="10"/>
      <c r="BF44" s="10"/>
      <c r="BG44" s="10">
        <v>493057.87400000001</v>
      </c>
      <c r="BH44" s="10"/>
      <c r="BI44" s="10"/>
      <c r="BJ44" s="10"/>
      <c r="BK44" s="10">
        <v>199339.08600000001</v>
      </c>
      <c r="BL44" s="10">
        <v>378125.84620000003</v>
      </c>
      <c r="BM44" s="10">
        <v>190771.0062</v>
      </c>
      <c r="BN44" s="10">
        <v>186201.52470000001</v>
      </c>
      <c r="BO44" s="10">
        <v>2544939.8629999999</v>
      </c>
      <c r="BP44" s="10"/>
      <c r="BQ44" s="10"/>
      <c r="BR44" s="10">
        <v>100070.1246</v>
      </c>
      <c r="BS44" s="10">
        <v>132985.97339999999</v>
      </c>
      <c r="BT44" s="10">
        <v>325639.24050000001</v>
      </c>
      <c r="BU44" s="10">
        <v>400497.29187000002</v>
      </c>
      <c r="BV44" s="10">
        <v>507701.77250000002</v>
      </c>
      <c r="BW44" s="10">
        <v>132201.40349999999</v>
      </c>
      <c r="BX44" s="10">
        <v>118318.24709999999</v>
      </c>
      <c r="BY44" s="10"/>
      <c r="BZ44" s="10">
        <v>130068.4385</v>
      </c>
      <c r="CA44" s="10"/>
      <c r="CB44" s="10">
        <v>79844.481599999999</v>
      </c>
      <c r="CC44" s="10">
        <v>431113.84417</v>
      </c>
      <c r="CD44" s="10">
        <v>116895.1676</v>
      </c>
      <c r="CE44" s="10">
        <v>109903.46460000001</v>
      </c>
      <c r="CF44" s="10">
        <v>89884.582500000004</v>
      </c>
      <c r="CG44" s="10">
        <v>53223.127</v>
      </c>
      <c r="CH44" s="10"/>
      <c r="CI44" s="10">
        <v>5254.7912999999999</v>
      </c>
      <c r="CJ44" s="10">
        <v>199774.52330999999</v>
      </c>
      <c r="CK44" s="10"/>
      <c r="CL44" s="10"/>
      <c r="CM44" s="10"/>
      <c r="CN44" s="10">
        <v>316937.36499999999</v>
      </c>
      <c r="CO44" s="10">
        <v>192743.706022</v>
      </c>
      <c r="CP44" s="10"/>
      <c r="CQ44" s="10"/>
      <c r="CR44" s="10"/>
      <c r="CS44" s="10"/>
      <c r="CT44" s="10">
        <v>40897.817840000003</v>
      </c>
      <c r="CU44" s="10">
        <v>27751.306</v>
      </c>
      <c r="CV44" s="10">
        <v>43047.851799999997</v>
      </c>
      <c r="CW44" s="10"/>
      <c r="CX44" s="10">
        <v>93014.755860000005</v>
      </c>
      <c r="CY44" s="10"/>
      <c r="CZ44" s="10"/>
      <c r="DA44" s="10">
        <v>81711.3609</v>
      </c>
      <c r="DB44" s="10"/>
      <c r="DC44" s="10">
        <v>137892.413589</v>
      </c>
      <c r="DD44" s="10">
        <v>105191.14840000001</v>
      </c>
      <c r="DE44" s="10"/>
      <c r="DF44" s="10">
        <v>30598.548839999999</v>
      </c>
      <c r="DG44" s="10"/>
      <c r="DH44" s="10">
        <v>9403.5375000000004</v>
      </c>
      <c r="DI44" s="10"/>
      <c r="DJ44" s="10"/>
      <c r="DK44" s="10"/>
      <c r="DL44" s="10">
        <v>34295.232000000004</v>
      </c>
      <c r="DM44" s="10"/>
      <c r="DN44" s="10">
        <v>18535.615559999998</v>
      </c>
      <c r="DO44" s="10"/>
      <c r="DP44" s="10">
        <v>56231.578699999998</v>
      </c>
      <c r="DQ44" s="10"/>
      <c r="DR44" s="10">
        <v>14412.1032</v>
      </c>
      <c r="DS44" s="10">
        <v>19903.5936</v>
      </c>
      <c r="DT44" s="10">
        <v>22407.189299999998</v>
      </c>
      <c r="DU44" s="10"/>
      <c r="DV44" s="10"/>
      <c r="DW44" s="10"/>
      <c r="DX44" s="10"/>
      <c r="DY44" s="10">
        <v>25267.994449999998</v>
      </c>
      <c r="DZ44" s="10">
        <v>18197.1659</v>
      </c>
      <c r="EA44" s="10">
        <v>0</v>
      </c>
      <c r="EB44" s="10"/>
      <c r="EC44" s="10">
        <v>13462.327542000001</v>
      </c>
      <c r="ED44" s="10">
        <v>45551.215700000001</v>
      </c>
      <c r="EE44" s="10"/>
      <c r="EF44" s="10">
        <v>13324.6273</v>
      </c>
      <c r="EG44" s="10"/>
      <c r="EH44" s="10">
        <v>4124.4396500000003</v>
      </c>
      <c r="EI44" s="10">
        <v>257857.00752000001</v>
      </c>
      <c r="EJ44" s="10">
        <v>7716.1954999999998</v>
      </c>
      <c r="EK44" s="10"/>
      <c r="EL44" s="10"/>
      <c r="EM44" s="10">
        <v>6990.5751</v>
      </c>
      <c r="EN44" s="10"/>
      <c r="EO44" s="10">
        <v>48195.0049</v>
      </c>
      <c r="EP44" s="10"/>
      <c r="EQ44" s="10"/>
      <c r="ER44" s="10">
        <v>5727.6854000000003</v>
      </c>
      <c r="ES44" s="10">
        <v>5004.3320000000003</v>
      </c>
      <c r="ET44" s="10">
        <v>4056.4605000000001</v>
      </c>
      <c r="EU44" s="10"/>
      <c r="EV44" s="10">
        <v>19388.486199999999</v>
      </c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>
        <v>0</v>
      </c>
      <c r="GB44" s="10"/>
      <c r="GC44" s="10"/>
      <c r="GD44" s="10"/>
      <c r="GE44" s="10">
        <v>0</v>
      </c>
      <c r="GF44" s="10">
        <v>0</v>
      </c>
      <c r="GG44" s="10">
        <v>0</v>
      </c>
    </row>
    <row r="45" spans="1:189" x14ac:dyDescent="0.35">
      <c r="A45" s="8">
        <v>46120</v>
      </c>
      <c r="B45" s="9">
        <v>8679195501.5987492</v>
      </c>
      <c r="C45" s="10">
        <v>2881370885.1972599</v>
      </c>
      <c r="D45" s="10">
        <v>1929369573.00158</v>
      </c>
      <c r="E45" s="10">
        <v>2350007746.3020701</v>
      </c>
      <c r="F45" s="10">
        <v>624817442.38859999</v>
      </c>
      <c r="G45" s="10">
        <v>166667036.97999999</v>
      </c>
      <c r="H45" s="10">
        <v>193971440.97384399</v>
      </c>
      <c r="I45" s="10">
        <v>13249226.054500001</v>
      </c>
      <c r="J45" s="10">
        <v>6542715.3207</v>
      </c>
      <c r="K45" s="10">
        <v>38163298.534752399</v>
      </c>
      <c r="L45" s="10">
        <v>68422218.718999997</v>
      </c>
      <c r="M45" s="10">
        <v>56192893.855099998</v>
      </c>
      <c r="N45" s="10">
        <v>47522273.978299998</v>
      </c>
      <c r="O45" s="10">
        <v>31942907.140299998</v>
      </c>
      <c r="P45" s="10">
        <v>52528713.428300001</v>
      </c>
      <c r="Q45" s="10">
        <v>25472531.881900001</v>
      </c>
      <c r="R45" s="10">
        <v>15328113.603858899</v>
      </c>
      <c r="S45" s="10">
        <v>26284379.932349999</v>
      </c>
      <c r="T45" s="10">
        <v>27762147.632800002</v>
      </c>
      <c r="U45" s="10">
        <v>14644458.4962957</v>
      </c>
      <c r="V45" s="10">
        <v>13345229.3908803</v>
      </c>
      <c r="W45" s="10">
        <v>13110442.953889299</v>
      </c>
      <c r="X45" s="10">
        <v>296927.05320000002</v>
      </c>
      <c r="Y45" s="10"/>
      <c r="Z45" s="10">
        <v>9148215.4403865505</v>
      </c>
      <c r="AA45" s="10">
        <v>2784627.5883676</v>
      </c>
      <c r="AB45" s="10">
        <v>4944038.3641999997</v>
      </c>
      <c r="AC45" s="10">
        <v>6135088.0077820001</v>
      </c>
      <c r="AD45" s="10"/>
      <c r="AE45" s="10">
        <v>9584941.8538099993</v>
      </c>
      <c r="AF45" s="10">
        <v>2968517.0502999998</v>
      </c>
      <c r="AG45" s="10">
        <v>1416947.3541999999</v>
      </c>
      <c r="AH45" s="10">
        <v>1509491.3870999999</v>
      </c>
      <c r="AI45" s="10">
        <v>2414386.338</v>
      </c>
      <c r="AJ45" s="10">
        <v>1416303.7487000001</v>
      </c>
      <c r="AK45" s="10">
        <v>2369867.0074</v>
      </c>
      <c r="AL45" s="10">
        <v>1181679.7228000001</v>
      </c>
      <c r="AM45" s="10">
        <v>7366693.0176999997</v>
      </c>
      <c r="AN45" s="10"/>
      <c r="AO45" s="10"/>
      <c r="AP45" s="10"/>
      <c r="AQ45" s="10">
        <v>507492.71669999999</v>
      </c>
      <c r="AR45" s="10"/>
      <c r="AS45" s="10">
        <v>162737.5962</v>
      </c>
      <c r="AT45" s="10">
        <v>536979.23679999996</v>
      </c>
      <c r="AU45" s="10">
        <v>836509.17172099999</v>
      </c>
      <c r="AV45" s="10">
        <v>1367645.3152999999</v>
      </c>
      <c r="AW45" s="10">
        <v>1831435.6758999999</v>
      </c>
      <c r="AX45" s="10">
        <v>846123.8014</v>
      </c>
      <c r="AY45" s="10"/>
      <c r="AZ45" s="10"/>
      <c r="BA45" s="10">
        <v>450246.34590000001</v>
      </c>
      <c r="BB45" s="10">
        <v>660008.72930000001</v>
      </c>
      <c r="BC45" s="10">
        <v>1079458.392</v>
      </c>
      <c r="BD45" s="10">
        <v>1037202.846</v>
      </c>
      <c r="BE45" s="10"/>
      <c r="BF45" s="10"/>
      <c r="BG45" s="10">
        <v>908256.39248000004</v>
      </c>
      <c r="BH45" s="10"/>
      <c r="BI45" s="10"/>
      <c r="BJ45" s="10"/>
      <c r="BK45" s="10">
        <v>4773189.1204000004</v>
      </c>
      <c r="BL45" s="10">
        <v>817657.55330000003</v>
      </c>
      <c r="BM45" s="10">
        <v>508915.0061</v>
      </c>
      <c r="BN45" s="10"/>
      <c r="BO45" s="10">
        <v>525218.87439999997</v>
      </c>
      <c r="BP45" s="10"/>
      <c r="BQ45" s="10"/>
      <c r="BR45" s="10">
        <v>3804684.764</v>
      </c>
      <c r="BS45" s="10">
        <v>193420.77562999999</v>
      </c>
      <c r="BT45" s="10">
        <v>312101.74939999997</v>
      </c>
      <c r="BU45" s="10">
        <v>1187403.1763200001</v>
      </c>
      <c r="BV45" s="10">
        <v>683216.35049999994</v>
      </c>
      <c r="BW45" s="10">
        <v>380674.5171</v>
      </c>
      <c r="BX45" s="10">
        <v>200035.5189</v>
      </c>
      <c r="BY45" s="10"/>
      <c r="BZ45" s="10">
        <v>241953.5189</v>
      </c>
      <c r="CA45" s="10"/>
      <c r="CB45" s="10">
        <v>269746.81349999999</v>
      </c>
      <c r="CC45" s="10">
        <v>542805.90251000004</v>
      </c>
      <c r="CD45" s="10">
        <v>605251.32149999996</v>
      </c>
      <c r="CE45" s="10">
        <v>147325.31460000001</v>
      </c>
      <c r="CF45" s="10">
        <v>156907.8216</v>
      </c>
      <c r="CG45" s="10">
        <v>93263.59</v>
      </c>
      <c r="CH45" s="10"/>
      <c r="CI45" s="10">
        <v>28268.0658</v>
      </c>
      <c r="CJ45" s="10">
        <v>578609.70843999996</v>
      </c>
      <c r="CK45" s="10"/>
      <c r="CL45" s="10"/>
      <c r="CM45" s="10"/>
      <c r="CN45" s="10">
        <v>102071.868</v>
      </c>
      <c r="CO45" s="10">
        <v>1094675.8462149999</v>
      </c>
      <c r="CP45" s="10"/>
      <c r="CQ45" s="10"/>
      <c r="CR45" s="10"/>
      <c r="CS45" s="10"/>
      <c r="CT45" s="10">
        <v>92259.62255</v>
      </c>
      <c r="CU45" s="10">
        <v>13097.630999999999</v>
      </c>
      <c r="CV45" s="10">
        <v>76992.702799999999</v>
      </c>
      <c r="CW45" s="10"/>
      <c r="CX45" s="10">
        <v>56793.848819999999</v>
      </c>
      <c r="CY45" s="10"/>
      <c r="CZ45" s="10"/>
      <c r="DA45" s="10">
        <v>116025.4976</v>
      </c>
      <c r="DB45" s="10"/>
      <c r="DC45" s="10">
        <v>72083.306079999995</v>
      </c>
      <c r="DD45" s="10">
        <v>104013.0678</v>
      </c>
      <c r="DE45" s="10"/>
      <c r="DF45" s="10">
        <v>142559.69266</v>
      </c>
      <c r="DG45" s="10"/>
      <c r="DH45" s="10">
        <v>12940.209699999999</v>
      </c>
      <c r="DI45" s="10"/>
      <c r="DJ45" s="10"/>
      <c r="DK45" s="10"/>
      <c r="DL45" s="10">
        <v>37234.656000000003</v>
      </c>
      <c r="DM45" s="10"/>
      <c r="DN45" s="10">
        <v>68924.54436</v>
      </c>
      <c r="DO45" s="10"/>
      <c r="DP45" s="10">
        <v>18400.702399999998</v>
      </c>
      <c r="DQ45" s="10"/>
      <c r="DR45" s="10">
        <v>10125.8969</v>
      </c>
      <c r="DS45" s="10">
        <v>20370.651600000001</v>
      </c>
      <c r="DT45" s="10">
        <v>23442.926599999999</v>
      </c>
      <c r="DU45" s="10"/>
      <c r="DV45" s="10"/>
      <c r="DW45" s="10"/>
      <c r="DX45" s="10"/>
      <c r="DY45" s="10">
        <v>18311.454040000001</v>
      </c>
      <c r="DZ45" s="10">
        <v>57243.573100000001</v>
      </c>
      <c r="EA45" s="10">
        <v>110.5664</v>
      </c>
      <c r="EB45" s="10"/>
      <c r="EC45" s="10">
        <v>115002.596729</v>
      </c>
      <c r="ED45" s="10">
        <v>13892.8712</v>
      </c>
      <c r="EE45" s="10"/>
      <c r="EF45" s="10">
        <v>12588.7773</v>
      </c>
      <c r="EG45" s="10"/>
      <c r="EH45" s="10">
        <v>319131.43154000002</v>
      </c>
      <c r="EI45" s="10"/>
      <c r="EJ45" s="10">
        <v>18848.0314</v>
      </c>
      <c r="EK45" s="10"/>
      <c r="EL45" s="10"/>
      <c r="EM45" s="10">
        <v>8973.8251</v>
      </c>
      <c r="EN45" s="10"/>
      <c r="EO45" s="10"/>
      <c r="EP45" s="10"/>
      <c r="EQ45" s="10"/>
      <c r="ER45" s="10">
        <v>5610.8870999999999</v>
      </c>
      <c r="ES45" s="10">
        <v>8909.5629000000008</v>
      </c>
      <c r="ET45" s="10">
        <v>18173.953799999999</v>
      </c>
      <c r="EU45" s="10"/>
      <c r="EV45" s="10">
        <v>8546.0142300000007</v>
      </c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>
        <v>0</v>
      </c>
      <c r="GB45" s="10"/>
      <c r="GC45" s="10"/>
      <c r="GD45" s="10"/>
      <c r="GE45" s="10">
        <v>0</v>
      </c>
      <c r="GF45" s="10">
        <v>0</v>
      </c>
      <c r="GG45" s="10">
        <v>0</v>
      </c>
    </row>
    <row r="46" spans="1:189" x14ac:dyDescent="0.35">
      <c r="A46" s="8">
        <v>46119</v>
      </c>
      <c r="B46" s="9">
        <v>10714470512.8162</v>
      </c>
      <c r="C46" s="10">
        <v>3969055361.1433501</v>
      </c>
      <c r="D46" s="10">
        <v>2413302311.5785398</v>
      </c>
      <c r="E46" s="10">
        <v>2603063682.1905298</v>
      </c>
      <c r="F46" s="10">
        <v>582664407.32560003</v>
      </c>
      <c r="G46" s="10">
        <v>144431631.60049999</v>
      </c>
      <c r="H46" s="10">
        <v>222576139.72315401</v>
      </c>
      <c r="I46" s="10">
        <v>14126896.5274</v>
      </c>
      <c r="J46" s="10">
        <v>3029236.7363999998</v>
      </c>
      <c r="K46" s="10">
        <v>66899407.267082803</v>
      </c>
      <c r="L46" s="10">
        <v>68141430.574200004</v>
      </c>
      <c r="M46" s="10">
        <v>70419004.969600007</v>
      </c>
      <c r="N46" s="10">
        <v>44885033.849399999</v>
      </c>
      <c r="O46" s="10">
        <v>24414510.772300001</v>
      </c>
      <c r="P46" s="10">
        <v>44943078.050399996</v>
      </c>
      <c r="Q46" s="10">
        <v>18182485.973200001</v>
      </c>
      <c r="R46" s="10">
        <v>175553597.92382199</v>
      </c>
      <c r="S46" s="10">
        <v>25088313.304889999</v>
      </c>
      <c r="T46" s="10">
        <v>38383309.2355</v>
      </c>
      <c r="U46" s="10">
        <v>47473675.668595001</v>
      </c>
      <c r="V46" s="10">
        <v>18472229.216308601</v>
      </c>
      <c r="W46" s="10">
        <v>19833713.293139599</v>
      </c>
      <c r="X46" s="10">
        <v>14392876.8795</v>
      </c>
      <c r="Y46" s="10"/>
      <c r="Z46" s="10">
        <v>6806171.2161796</v>
      </c>
      <c r="AA46" s="10">
        <v>3703231.8284862498</v>
      </c>
      <c r="AB46" s="10">
        <v>5004258.9741000002</v>
      </c>
      <c r="AC46" s="10">
        <v>7262918.2770653497</v>
      </c>
      <c r="AD46" s="10"/>
      <c r="AE46" s="10">
        <v>7642300.1589099998</v>
      </c>
      <c r="AF46" s="10">
        <v>2921141.8385000001</v>
      </c>
      <c r="AG46" s="10">
        <v>1206883.8873000001</v>
      </c>
      <c r="AH46" s="10">
        <v>17132072.234099999</v>
      </c>
      <c r="AI46" s="10">
        <v>2935837.74</v>
      </c>
      <c r="AJ46" s="10">
        <v>536089.75300000003</v>
      </c>
      <c r="AK46" s="10">
        <v>2195084.0024999999</v>
      </c>
      <c r="AL46" s="10">
        <v>1034433.8329</v>
      </c>
      <c r="AM46" s="10">
        <v>313319.27179999999</v>
      </c>
      <c r="AN46" s="10"/>
      <c r="AO46" s="10"/>
      <c r="AP46" s="10"/>
      <c r="AQ46" s="10">
        <v>1054905.6906000001</v>
      </c>
      <c r="AR46" s="10"/>
      <c r="AS46" s="10">
        <v>1831835.4779000001</v>
      </c>
      <c r="AT46" s="10">
        <v>769913.99289999995</v>
      </c>
      <c r="AU46" s="10">
        <v>3161336.0144270002</v>
      </c>
      <c r="AV46" s="10">
        <v>2440240.0332999998</v>
      </c>
      <c r="AW46" s="10">
        <v>1855256.1624</v>
      </c>
      <c r="AX46" s="10">
        <v>1026159.6935000001</v>
      </c>
      <c r="AY46" s="10"/>
      <c r="AZ46" s="10"/>
      <c r="BA46" s="10">
        <v>937937.05160000001</v>
      </c>
      <c r="BB46" s="10">
        <v>780179.12620000006</v>
      </c>
      <c r="BC46" s="10">
        <v>1287353.7579999999</v>
      </c>
      <c r="BD46" s="10">
        <v>748506.72869999998</v>
      </c>
      <c r="BE46" s="10"/>
      <c r="BF46" s="10"/>
      <c r="BG46" s="10">
        <v>599541.78101000004</v>
      </c>
      <c r="BH46" s="10"/>
      <c r="BI46" s="10"/>
      <c r="BJ46" s="10"/>
      <c r="BK46" s="10">
        <v>407972.1421</v>
      </c>
      <c r="BL46" s="10">
        <v>635489.62479999999</v>
      </c>
      <c r="BM46" s="10">
        <v>484498.76250000001</v>
      </c>
      <c r="BN46" s="10"/>
      <c r="BO46" s="10">
        <v>286684.85119999998</v>
      </c>
      <c r="BP46" s="10"/>
      <c r="BQ46" s="10"/>
      <c r="BR46" s="10">
        <v>155025.8922</v>
      </c>
      <c r="BS46" s="10">
        <v>468365.99195</v>
      </c>
      <c r="BT46" s="10">
        <v>285502.3075</v>
      </c>
      <c r="BU46" s="10">
        <v>131381.37345000001</v>
      </c>
      <c r="BV46" s="10">
        <v>1357367.3215999999</v>
      </c>
      <c r="BW46" s="10">
        <v>636145.89190000005</v>
      </c>
      <c r="BX46" s="10">
        <v>346951.99170000001</v>
      </c>
      <c r="BY46" s="10"/>
      <c r="BZ46" s="10">
        <v>858297.28029999998</v>
      </c>
      <c r="CA46" s="10"/>
      <c r="CB46" s="10">
        <v>161280.81359999999</v>
      </c>
      <c r="CC46" s="10">
        <v>597603.76705999998</v>
      </c>
      <c r="CD46" s="10">
        <v>330770.00069999998</v>
      </c>
      <c r="CE46" s="10">
        <v>102818.1572</v>
      </c>
      <c r="CF46" s="10">
        <v>155643.9669</v>
      </c>
      <c r="CG46" s="10">
        <v>433167.75</v>
      </c>
      <c r="CH46" s="10"/>
      <c r="CI46" s="10">
        <v>43210.169199999997</v>
      </c>
      <c r="CJ46" s="10">
        <v>128215.01645</v>
      </c>
      <c r="CK46" s="10"/>
      <c r="CL46" s="10"/>
      <c r="CM46" s="10"/>
      <c r="CN46" s="10">
        <v>120271.86500000001</v>
      </c>
      <c r="CO46" s="10">
        <v>647750.32881500002</v>
      </c>
      <c r="CP46" s="10"/>
      <c r="CQ46" s="10"/>
      <c r="CR46" s="10"/>
      <c r="CS46" s="10"/>
      <c r="CT46" s="10">
        <v>272483.63297999999</v>
      </c>
      <c r="CU46" s="10">
        <v>25389.914000000001</v>
      </c>
      <c r="CV46" s="10">
        <v>70502.311199999996</v>
      </c>
      <c r="CW46" s="10"/>
      <c r="CX46" s="10">
        <v>173725.94792999999</v>
      </c>
      <c r="CY46" s="10"/>
      <c r="CZ46" s="10"/>
      <c r="DA46" s="10">
        <v>110658.1297</v>
      </c>
      <c r="DB46" s="10"/>
      <c r="DC46" s="10">
        <v>54517.833186999997</v>
      </c>
      <c r="DD46" s="10">
        <v>103885.9158</v>
      </c>
      <c r="DE46" s="10"/>
      <c r="DF46" s="10">
        <v>18226.367610000001</v>
      </c>
      <c r="DG46" s="10"/>
      <c r="DH46" s="10">
        <v>12510.188700000001</v>
      </c>
      <c r="DI46" s="10"/>
      <c r="DJ46" s="10"/>
      <c r="DK46" s="10"/>
      <c r="DL46" s="10">
        <v>26423.812000000002</v>
      </c>
      <c r="DM46" s="10"/>
      <c r="DN46" s="10">
        <v>77033.605070000005</v>
      </c>
      <c r="DO46" s="10"/>
      <c r="DP46" s="10">
        <v>8002.2165000000005</v>
      </c>
      <c r="DQ46" s="10"/>
      <c r="DR46" s="10">
        <v>11093.4177</v>
      </c>
      <c r="DS46" s="10">
        <v>20122.795999999998</v>
      </c>
      <c r="DT46" s="10">
        <v>24736.784299999999</v>
      </c>
      <c r="DU46" s="10"/>
      <c r="DV46" s="10"/>
      <c r="DW46" s="10"/>
      <c r="DX46" s="10"/>
      <c r="DY46" s="10">
        <v>34343.984940000002</v>
      </c>
      <c r="DZ46" s="10">
        <v>20355.947899999999</v>
      </c>
      <c r="EA46" s="10">
        <v>25.009599999999999</v>
      </c>
      <c r="EB46" s="10"/>
      <c r="EC46" s="10">
        <v>12765.682601</v>
      </c>
      <c r="ED46" s="10">
        <v>20358.622800000001</v>
      </c>
      <c r="EE46" s="10"/>
      <c r="EF46" s="10">
        <v>10148.7554</v>
      </c>
      <c r="EG46" s="10"/>
      <c r="EH46" s="10">
        <v>11356.33455</v>
      </c>
      <c r="EI46" s="10"/>
      <c r="EJ46" s="10">
        <v>10011.4164</v>
      </c>
      <c r="EK46" s="10"/>
      <c r="EL46" s="10"/>
      <c r="EM46" s="10">
        <v>11928.600200000001</v>
      </c>
      <c r="EN46" s="10"/>
      <c r="EO46" s="10"/>
      <c r="EP46" s="10"/>
      <c r="EQ46" s="10"/>
      <c r="ER46" s="10">
        <v>6081.4413999999997</v>
      </c>
      <c r="ES46" s="10">
        <v>6332.1217999999999</v>
      </c>
      <c r="ET46" s="10">
        <v>21809.648799999999</v>
      </c>
      <c r="EU46" s="10"/>
      <c r="EV46" s="10">
        <v>1396.1822400000001</v>
      </c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>
        <v>0</v>
      </c>
      <c r="GB46" s="10"/>
      <c r="GC46" s="10"/>
      <c r="GD46" s="10"/>
      <c r="GE46" s="10">
        <v>0</v>
      </c>
      <c r="GF46" s="10">
        <v>628.6</v>
      </c>
      <c r="GG46" s="10">
        <v>0</v>
      </c>
    </row>
    <row r="47" spans="1:189" x14ac:dyDescent="0.35">
      <c r="A47" s="8">
        <v>46118</v>
      </c>
      <c r="B47" s="9">
        <v>5736661688.4869499</v>
      </c>
      <c r="C47" s="10">
        <v>2225045195.2073998</v>
      </c>
      <c r="D47" s="10">
        <v>1527374644.1468</v>
      </c>
      <c r="E47" s="10">
        <v>760710993.87510002</v>
      </c>
      <c r="F47" s="10">
        <v>310244627.36500001</v>
      </c>
      <c r="G47" s="10">
        <v>172078395.49700001</v>
      </c>
      <c r="H47" s="10">
        <v>188776286.85708201</v>
      </c>
      <c r="I47" s="10">
        <v>11959280.945800001</v>
      </c>
      <c r="J47" s="10"/>
      <c r="K47" s="10">
        <v>38160315.713535801</v>
      </c>
      <c r="L47" s="10">
        <v>77424037.510600001</v>
      </c>
      <c r="M47" s="10">
        <v>41246014.055</v>
      </c>
      <c r="N47" s="10">
        <v>48483135.953100003</v>
      </c>
      <c r="O47" s="10">
        <v>17813605.5801</v>
      </c>
      <c r="P47" s="10">
        <v>43513863.514200002</v>
      </c>
      <c r="Q47" s="10">
        <v>13040288.805500001</v>
      </c>
      <c r="R47" s="10">
        <v>131815916.355387</v>
      </c>
      <c r="S47" s="10">
        <v>10207163.16083</v>
      </c>
      <c r="T47" s="10">
        <v>13398413.243799999</v>
      </c>
      <c r="U47" s="10">
        <v>15067176.760847799</v>
      </c>
      <c r="V47" s="10">
        <v>11774764.4046077</v>
      </c>
      <c r="W47" s="10">
        <v>9018337.25664909</v>
      </c>
      <c r="X47" s="10">
        <v>328953.9203</v>
      </c>
      <c r="Y47" s="10"/>
      <c r="Z47" s="10">
        <v>5388369.5908982903</v>
      </c>
      <c r="AA47" s="10">
        <v>1837215.8447352301</v>
      </c>
      <c r="AB47" s="10">
        <v>3550769.0833999999</v>
      </c>
      <c r="AC47" s="10">
        <v>4651036.70906989</v>
      </c>
      <c r="AD47" s="10"/>
      <c r="AE47" s="10">
        <v>3675279.3909499999</v>
      </c>
      <c r="AF47" s="10">
        <v>2659314.9012000002</v>
      </c>
      <c r="AG47" s="10">
        <v>1019978.4153</v>
      </c>
      <c r="AH47" s="10">
        <v>786672.20689999999</v>
      </c>
      <c r="AI47" s="10">
        <v>11156365.507999999</v>
      </c>
      <c r="AJ47" s="10">
        <v>449798.63449999999</v>
      </c>
      <c r="AK47" s="10">
        <v>1764801.3456999999</v>
      </c>
      <c r="AL47" s="10">
        <v>978669.46479999996</v>
      </c>
      <c r="AM47" s="10">
        <v>184753.20860000001</v>
      </c>
      <c r="AN47" s="10"/>
      <c r="AO47" s="10"/>
      <c r="AP47" s="10"/>
      <c r="AQ47" s="10">
        <v>339544.43640000001</v>
      </c>
      <c r="AR47" s="10"/>
      <c r="AS47" s="10">
        <v>12583101.407600001</v>
      </c>
      <c r="AT47" s="10">
        <v>808167.31409999996</v>
      </c>
      <c r="AU47" s="10">
        <v>1460881.287946</v>
      </c>
      <c r="AV47" s="10">
        <v>1106634.7804</v>
      </c>
      <c r="AW47" s="10">
        <v>1743770.0390999999</v>
      </c>
      <c r="AX47" s="10">
        <v>596891.03220000002</v>
      </c>
      <c r="AY47" s="10"/>
      <c r="AZ47" s="10"/>
      <c r="BA47" s="10">
        <v>402640.1912</v>
      </c>
      <c r="BB47" s="10">
        <v>267348.07510000002</v>
      </c>
      <c r="BC47" s="10">
        <v>1441935.0209999999</v>
      </c>
      <c r="BD47" s="10">
        <v>580224.58429999999</v>
      </c>
      <c r="BE47" s="10"/>
      <c r="BF47" s="10"/>
      <c r="BG47" s="10">
        <v>873531.41231000004</v>
      </c>
      <c r="BH47" s="10"/>
      <c r="BI47" s="10"/>
      <c r="BJ47" s="10"/>
      <c r="BK47" s="10">
        <v>882481.74170000001</v>
      </c>
      <c r="BL47" s="10">
        <v>335770.99469999998</v>
      </c>
      <c r="BM47" s="10">
        <v>360271.66310000001</v>
      </c>
      <c r="BN47" s="10"/>
      <c r="BO47" s="10">
        <v>131329.11970000001</v>
      </c>
      <c r="BP47" s="10"/>
      <c r="BQ47" s="10"/>
      <c r="BR47" s="10">
        <v>1964713.3933999999</v>
      </c>
      <c r="BS47" s="10">
        <v>262162.88173000002</v>
      </c>
      <c r="BT47" s="10">
        <v>75815.715400000001</v>
      </c>
      <c r="BU47" s="10">
        <v>158544.89483</v>
      </c>
      <c r="BV47" s="10">
        <v>426785.22989999998</v>
      </c>
      <c r="BW47" s="10">
        <v>453775.82</v>
      </c>
      <c r="BX47" s="10">
        <v>277292.61859999999</v>
      </c>
      <c r="BY47" s="10"/>
      <c r="BZ47" s="10">
        <v>1104116.2357999999</v>
      </c>
      <c r="CA47" s="10"/>
      <c r="CB47" s="10">
        <v>292088.25780000002</v>
      </c>
      <c r="CC47" s="10">
        <v>356222.84607000003</v>
      </c>
      <c r="CD47" s="10">
        <v>214780.56049999999</v>
      </c>
      <c r="CE47" s="10">
        <v>78866.048999999999</v>
      </c>
      <c r="CF47" s="10">
        <v>142422.80919999999</v>
      </c>
      <c r="CG47" s="10">
        <v>55048.317999999999</v>
      </c>
      <c r="CH47" s="10"/>
      <c r="CI47" s="10">
        <v>32715.059399999998</v>
      </c>
      <c r="CJ47" s="10">
        <v>159707.65534999999</v>
      </c>
      <c r="CK47" s="10"/>
      <c r="CL47" s="10"/>
      <c r="CM47" s="10"/>
      <c r="CN47" s="10">
        <v>135264.86300000001</v>
      </c>
      <c r="CO47" s="10">
        <v>14261.612859000001</v>
      </c>
      <c r="CP47" s="10"/>
      <c r="CQ47" s="10"/>
      <c r="CR47" s="10"/>
      <c r="CS47" s="10"/>
      <c r="CT47" s="10">
        <v>75962.217629999999</v>
      </c>
      <c r="CU47" s="10">
        <v>33603.678999999996</v>
      </c>
      <c r="CV47" s="10">
        <v>68164.233300000007</v>
      </c>
      <c r="CW47" s="10"/>
      <c r="CX47" s="10">
        <v>198238.23809</v>
      </c>
      <c r="CY47" s="10"/>
      <c r="CZ47" s="10"/>
      <c r="DA47" s="10">
        <v>77121.015499999994</v>
      </c>
      <c r="DB47" s="10"/>
      <c r="DC47" s="10">
        <v>47238.041448000004</v>
      </c>
      <c r="DD47" s="10">
        <v>49028.330999999998</v>
      </c>
      <c r="DE47" s="10"/>
      <c r="DF47" s="10">
        <v>34213.018360000002</v>
      </c>
      <c r="DG47" s="10"/>
      <c r="DH47" s="10">
        <v>11700.228800000001</v>
      </c>
      <c r="DI47" s="10"/>
      <c r="DJ47" s="10"/>
      <c r="DK47" s="10"/>
      <c r="DL47" s="10">
        <v>25906.170999999998</v>
      </c>
      <c r="DM47" s="10"/>
      <c r="DN47" s="10">
        <v>48129.389109999996</v>
      </c>
      <c r="DO47" s="10"/>
      <c r="DP47" s="10">
        <v>32216.135200000001</v>
      </c>
      <c r="DQ47" s="10"/>
      <c r="DR47" s="10">
        <v>11352.546700000001</v>
      </c>
      <c r="DS47" s="10">
        <v>20428.816999999999</v>
      </c>
      <c r="DT47" s="10">
        <v>23726.807000000001</v>
      </c>
      <c r="DU47" s="10"/>
      <c r="DV47" s="10"/>
      <c r="DW47" s="10"/>
      <c r="DX47" s="10"/>
      <c r="DY47" s="10">
        <v>25083.511719999999</v>
      </c>
      <c r="DZ47" s="10">
        <v>22800.4954</v>
      </c>
      <c r="EA47" s="10">
        <v>206.81319999999999</v>
      </c>
      <c r="EB47" s="10"/>
      <c r="EC47" s="10">
        <v>14288.578914</v>
      </c>
      <c r="ED47" s="10">
        <v>24098.554800000002</v>
      </c>
      <c r="EE47" s="10"/>
      <c r="EF47" s="10">
        <v>10359.984700000001</v>
      </c>
      <c r="EG47" s="10"/>
      <c r="EH47" s="10">
        <v>6387.3341700000001</v>
      </c>
      <c r="EI47" s="10"/>
      <c r="EJ47" s="10">
        <v>3215.4587999999999</v>
      </c>
      <c r="EK47" s="10"/>
      <c r="EL47" s="10"/>
      <c r="EM47" s="10">
        <v>6515.1414000000004</v>
      </c>
      <c r="EN47" s="10"/>
      <c r="EO47" s="10"/>
      <c r="EP47" s="10"/>
      <c r="EQ47" s="10"/>
      <c r="ER47" s="10">
        <v>44570.999900000003</v>
      </c>
      <c r="ES47" s="10">
        <v>4687.6310000000003</v>
      </c>
      <c r="ET47" s="10">
        <v>5153.5491000000002</v>
      </c>
      <c r="EU47" s="10"/>
      <c r="EV47" s="10">
        <v>1939.37932</v>
      </c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>
        <v>31809.830999999998</v>
      </c>
      <c r="GB47" s="10"/>
      <c r="GC47" s="10"/>
      <c r="GD47" s="10"/>
      <c r="GE47" s="10">
        <v>0</v>
      </c>
      <c r="GF47" s="10">
        <v>0</v>
      </c>
      <c r="GG47" s="10">
        <v>0</v>
      </c>
    </row>
    <row r="48" spans="1:189" x14ac:dyDescent="0.35">
      <c r="A48" s="8">
        <v>46117</v>
      </c>
      <c r="B48" s="9">
        <v>2061762040.5227001</v>
      </c>
      <c r="C48" s="10">
        <v>1126052964.0977399</v>
      </c>
      <c r="D48" s="10">
        <v>394409923.97413999</v>
      </c>
      <c r="E48" s="10">
        <v>294201350.13660002</v>
      </c>
      <c r="F48" s="10">
        <v>93648691.042999998</v>
      </c>
      <c r="G48" s="10">
        <v>14299170.840500001</v>
      </c>
      <c r="H48" s="10">
        <v>22291756.972513001</v>
      </c>
      <c r="I48" s="10">
        <v>980186.76870000002</v>
      </c>
      <c r="J48" s="10"/>
      <c r="K48" s="10">
        <v>9744712.0951432697</v>
      </c>
      <c r="L48" s="10">
        <v>13481554.360099999</v>
      </c>
      <c r="M48" s="10">
        <v>2391873.5564999999</v>
      </c>
      <c r="N48" s="10">
        <v>5755551.4419999998</v>
      </c>
      <c r="O48" s="10">
        <v>4947799.0736999996</v>
      </c>
      <c r="P48" s="10">
        <v>4142903.3799000001</v>
      </c>
      <c r="Q48" s="10">
        <v>5010326.1901000002</v>
      </c>
      <c r="R48" s="10">
        <v>6812494.1493482897</v>
      </c>
      <c r="S48" s="10">
        <v>7078685.1831099996</v>
      </c>
      <c r="T48" s="10">
        <v>1523773.0024000001</v>
      </c>
      <c r="U48" s="10">
        <v>4617672.5010607103</v>
      </c>
      <c r="V48" s="10">
        <v>3689387.9307027501</v>
      </c>
      <c r="W48" s="10">
        <v>1922584.2440864099</v>
      </c>
      <c r="X48" s="10">
        <v>92703.060200000007</v>
      </c>
      <c r="Y48" s="10"/>
      <c r="Z48" s="10">
        <v>5417860.2469007103</v>
      </c>
      <c r="AA48" s="10">
        <v>1194535.7376999999</v>
      </c>
      <c r="AB48" s="10">
        <v>2499482.0968999998</v>
      </c>
      <c r="AC48" s="10">
        <v>643506.31239208695</v>
      </c>
      <c r="AD48" s="10"/>
      <c r="AE48" s="10">
        <v>2579120.9868200002</v>
      </c>
      <c r="AF48" s="10">
        <v>158188.25020000001</v>
      </c>
      <c r="AG48" s="10">
        <v>2102363.6534000002</v>
      </c>
      <c r="AH48" s="10">
        <v>313588.45280000003</v>
      </c>
      <c r="AI48" s="10">
        <v>4165860.8870000001</v>
      </c>
      <c r="AJ48" s="10">
        <v>71098.915800000002</v>
      </c>
      <c r="AK48" s="10">
        <v>961349.94680000003</v>
      </c>
      <c r="AL48" s="10">
        <v>159060.9074</v>
      </c>
      <c r="AM48" s="10">
        <v>14153.9105</v>
      </c>
      <c r="AN48" s="10"/>
      <c r="AO48" s="10"/>
      <c r="AP48" s="10"/>
      <c r="AQ48" s="10">
        <v>129714.01240000001</v>
      </c>
      <c r="AR48" s="10"/>
      <c r="AS48" s="10">
        <v>12696157.6062</v>
      </c>
      <c r="AT48" s="10">
        <v>268545.46659999999</v>
      </c>
      <c r="AU48" s="10">
        <v>265443.57062200003</v>
      </c>
      <c r="AV48" s="10">
        <v>426874.98869999999</v>
      </c>
      <c r="AW48" s="10">
        <v>222142.91769999999</v>
      </c>
      <c r="AX48" s="10">
        <v>182156.39230000001</v>
      </c>
      <c r="AY48" s="10"/>
      <c r="AZ48" s="10"/>
      <c r="BA48" s="10">
        <v>183929.5546</v>
      </c>
      <c r="BB48" s="10">
        <v>19907.234199999999</v>
      </c>
      <c r="BC48" s="10">
        <v>541570.40899999999</v>
      </c>
      <c r="BD48" s="10">
        <v>107992.84239999999</v>
      </c>
      <c r="BE48" s="10"/>
      <c r="BF48" s="10"/>
      <c r="BG48" s="10">
        <v>102244.47238000001</v>
      </c>
      <c r="BH48" s="10"/>
      <c r="BI48" s="10"/>
      <c r="BJ48" s="10"/>
      <c r="BK48" s="10">
        <v>235588.3878</v>
      </c>
      <c r="BL48" s="10">
        <v>24980.9054</v>
      </c>
      <c r="BM48" s="10">
        <v>129789.1143</v>
      </c>
      <c r="BN48" s="10"/>
      <c r="BO48" s="10">
        <v>20442.115399999999</v>
      </c>
      <c r="BP48" s="10"/>
      <c r="BQ48" s="10"/>
      <c r="BR48" s="10">
        <v>4832547.2955999998</v>
      </c>
      <c r="BS48" s="10">
        <v>21670.577649999999</v>
      </c>
      <c r="BT48" s="10">
        <v>2030296.9187</v>
      </c>
      <c r="BU48" s="10">
        <v>250594.25231000001</v>
      </c>
      <c r="BV48" s="10">
        <v>150071.30369999999</v>
      </c>
      <c r="BW48" s="10">
        <v>48271.9686</v>
      </c>
      <c r="BX48" s="10">
        <v>84353.263000000006</v>
      </c>
      <c r="BY48" s="10"/>
      <c r="BZ48" s="10">
        <v>43551.727500000001</v>
      </c>
      <c r="CA48" s="10"/>
      <c r="CB48" s="10">
        <v>14083.8282</v>
      </c>
      <c r="CC48" s="10">
        <v>24286.400529999999</v>
      </c>
      <c r="CD48" s="10">
        <v>6817.4292999999998</v>
      </c>
      <c r="CE48" s="10">
        <v>4422.4754999999996</v>
      </c>
      <c r="CF48" s="10">
        <v>312505.26329999999</v>
      </c>
      <c r="CG48" s="10">
        <v>46848.646000000001</v>
      </c>
      <c r="CH48" s="10"/>
      <c r="CI48" s="10">
        <v>176460.64790000001</v>
      </c>
      <c r="CJ48" s="10">
        <v>9510.2202899999993</v>
      </c>
      <c r="CK48" s="10"/>
      <c r="CL48" s="10"/>
      <c r="CM48" s="10"/>
      <c r="CN48" s="10">
        <v>340863.163</v>
      </c>
      <c r="CO48" s="10">
        <v>9815.5766440000007</v>
      </c>
      <c r="CP48" s="10"/>
      <c r="CQ48" s="10"/>
      <c r="CR48" s="10"/>
      <c r="CS48" s="10"/>
      <c r="CT48" s="10">
        <v>9547.4632700000002</v>
      </c>
      <c r="CU48" s="10">
        <v>7458.8490000000002</v>
      </c>
      <c r="CV48" s="10">
        <v>34270.1109</v>
      </c>
      <c r="CW48" s="10"/>
      <c r="CX48" s="10">
        <v>54405.627009999997</v>
      </c>
      <c r="CY48" s="10"/>
      <c r="CZ48" s="10"/>
      <c r="DA48" s="10">
        <v>52798.8626</v>
      </c>
      <c r="DB48" s="10"/>
      <c r="DC48" s="10">
        <v>16135.05437</v>
      </c>
      <c r="DD48" s="10">
        <v>27954.244699999999</v>
      </c>
      <c r="DE48" s="10"/>
      <c r="DF48" s="10">
        <v>13245.007680000001</v>
      </c>
      <c r="DG48" s="10"/>
      <c r="DH48" s="10">
        <v>8818.4109000000008</v>
      </c>
      <c r="DI48" s="10"/>
      <c r="DJ48" s="10"/>
      <c r="DK48" s="10"/>
      <c r="DL48" s="10">
        <v>22061.056</v>
      </c>
      <c r="DM48" s="10"/>
      <c r="DN48" s="10">
        <v>19894.754140000001</v>
      </c>
      <c r="DO48" s="10"/>
      <c r="DP48" s="10">
        <v>6394.4417999999996</v>
      </c>
      <c r="DQ48" s="10"/>
      <c r="DR48" s="10">
        <v>11795.911599999999</v>
      </c>
      <c r="DS48" s="10">
        <v>20408.590100000001</v>
      </c>
      <c r="DT48" s="10">
        <v>22800.566900000002</v>
      </c>
      <c r="DU48" s="10"/>
      <c r="DV48" s="10"/>
      <c r="DW48" s="10"/>
      <c r="DX48" s="10"/>
      <c r="DY48" s="10">
        <v>25234.422259999999</v>
      </c>
      <c r="DZ48" s="10">
        <v>6375.81</v>
      </c>
      <c r="EA48" s="10">
        <v>1193.2556999999999</v>
      </c>
      <c r="EB48" s="10"/>
      <c r="EC48" s="10">
        <v>12629.025401999999</v>
      </c>
      <c r="ED48" s="10">
        <v>4109.4987000000001</v>
      </c>
      <c r="EE48" s="10"/>
      <c r="EF48" s="10">
        <v>16462.423699999999</v>
      </c>
      <c r="EG48" s="10"/>
      <c r="EH48" s="10">
        <v>4620.8227800000004</v>
      </c>
      <c r="EI48" s="10"/>
      <c r="EJ48" s="10">
        <v>4060.58</v>
      </c>
      <c r="EK48" s="10"/>
      <c r="EL48" s="10"/>
      <c r="EM48" s="10">
        <v>5655.2608</v>
      </c>
      <c r="EN48" s="10"/>
      <c r="EO48" s="10"/>
      <c r="EP48" s="10"/>
      <c r="EQ48" s="10"/>
      <c r="ER48" s="10">
        <v>4212.0892999999996</v>
      </c>
      <c r="ES48" s="10">
        <v>4754.7839999999997</v>
      </c>
      <c r="ET48" s="10">
        <v>4058.3452000000002</v>
      </c>
      <c r="EU48" s="10"/>
      <c r="EV48" s="10">
        <v>0</v>
      </c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>
        <v>0</v>
      </c>
      <c r="GB48" s="10"/>
      <c r="GC48" s="10"/>
      <c r="GD48" s="10"/>
      <c r="GE48" s="10">
        <v>0</v>
      </c>
      <c r="GF48" s="10">
        <v>0</v>
      </c>
      <c r="GG48" s="10">
        <v>0</v>
      </c>
    </row>
    <row r="49" spans="1:189" x14ac:dyDescent="0.35">
      <c r="A49" s="8">
        <v>46116</v>
      </c>
      <c r="B49" s="9">
        <v>577370013.58777702</v>
      </c>
      <c r="C49" s="10">
        <v>337558745.253766</v>
      </c>
      <c r="D49" s="10">
        <v>43008506.918410003</v>
      </c>
      <c r="E49" s="10">
        <v>58515950.932060003</v>
      </c>
      <c r="F49" s="10">
        <v>22126157.255899999</v>
      </c>
      <c r="G49" s="10">
        <v>6365027.2262000004</v>
      </c>
      <c r="H49" s="10">
        <v>14689437.5770374</v>
      </c>
      <c r="I49" s="10">
        <v>408471.9681</v>
      </c>
      <c r="J49" s="10"/>
      <c r="K49" s="10">
        <v>27562963.513675202</v>
      </c>
      <c r="L49" s="10">
        <v>3642054.8473</v>
      </c>
      <c r="M49" s="10">
        <v>1338264.6333000001</v>
      </c>
      <c r="N49" s="10">
        <v>2072974.1128</v>
      </c>
      <c r="O49" s="10">
        <v>1647419.1565</v>
      </c>
      <c r="P49" s="10">
        <v>1657538.9369000001</v>
      </c>
      <c r="Q49" s="10">
        <v>895587.45970000001</v>
      </c>
      <c r="R49" s="10">
        <v>873428.27703666</v>
      </c>
      <c r="S49" s="10">
        <v>977210.97210000001</v>
      </c>
      <c r="T49" s="10">
        <v>885455.65769999998</v>
      </c>
      <c r="U49" s="10">
        <v>1633725.56375</v>
      </c>
      <c r="V49" s="10">
        <v>1749438.0994983199</v>
      </c>
      <c r="W49" s="10">
        <v>619253.42167027399</v>
      </c>
      <c r="X49" s="10">
        <v>62840.041599999997</v>
      </c>
      <c r="Y49" s="10"/>
      <c r="Z49" s="10">
        <v>2746478.61808345</v>
      </c>
      <c r="AA49" s="10">
        <v>750208.91929999995</v>
      </c>
      <c r="AB49" s="10">
        <v>1113860.0447</v>
      </c>
      <c r="AC49" s="10">
        <v>509863.63605036598</v>
      </c>
      <c r="AD49" s="10"/>
      <c r="AE49" s="10">
        <v>1297640.1695000001</v>
      </c>
      <c r="AF49" s="10">
        <v>123550.8864</v>
      </c>
      <c r="AG49" s="10">
        <v>4082261.6299000001</v>
      </c>
      <c r="AH49" s="10">
        <v>97254.059899999993</v>
      </c>
      <c r="AI49" s="10">
        <v>2060636.6410000001</v>
      </c>
      <c r="AJ49" s="10">
        <v>43465.9686</v>
      </c>
      <c r="AK49" s="10">
        <v>298634.49410000001</v>
      </c>
      <c r="AL49" s="10">
        <v>64155.958400000003</v>
      </c>
      <c r="AM49" s="10">
        <v>92664.538</v>
      </c>
      <c r="AN49" s="10"/>
      <c r="AO49" s="10"/>
      <c r="AP49" s="10"/>
      <c r="AQ49" s="10">
        <v>37088.879399999998</v>
      </c>
      <c r="AR49" s="10"/>
      <c r="AS49" s="10">
        <v>26652083.2894</v>
      </c>
      <c r="AT49" s="10">
        <v>327238.42229999998</v>
      </c>
      <c r="AU49" s="10">
        <v>163320.668951</v>
      </c>
      <c r="AV49" s="10">
        <v>166205.6305</v>
      </c>
      <c r="AW49" s="10">
        <v>58507.450400000002</v>
      </c>
      <c r="AX49" s="10">
        <v>149144.6667</v>
      </c>
      <c r="AY49" s="10"/>
      <c r="AZ49" s="10"/>
      <c r="BA49" s="10">
        <v>368788.67359999998</v>
      </c>
      <c r="BB49" s="10">
        <v>8456.3865999999998</v>
      </c>
      <c r="BC49" s="10">
        <v>821167.30900000001</v>
      </c>
      <c r="BD49" s="10">
        <v>9858.0771999999997</v>
      </c>
      <c r="BE49" s="10"/>
      <c r="BF49" s="10"/>
      <c r="BG49" s="10">
        <v>16251.057510000001</v>
      </c>
      <c r="BH49" s="10"/>
      <c r="BI49" s="10"/>
      <c r="BJ49" s="10"/>
      <c r="BK49" s="10">
        <v>20068.197400000001</v>
      </c>
      <c r="BL49" s="10">
        <v>2651.04</v>
      </c>
      <c r="BM49" s="10">
        <v>190496.7934</v>
      </c>
      <c r="BN49" s="10"/>
      <c r="BO49" s="10">
        <v>11070.278899999999</v>
      </c>
      <c r="BP49" s="10"/>
      <c r="BQ49" s="10"/>
      <c r="BR49" s="10">
        <v>2102555.0748999999</v>
      </c>
      <c r="BS49" s="10">
        <v>505996.00948000001</v>
      </c>
      <c r="BT49" s="10">
        <v>12279.738499999999</v>
      </c>
      <c r="BU49" s="10">
        <v>80347.835789999997</v>
      </c>
      <c r="BV49" s="10">
        <v>17955.717400000001</v>
      </c>
      <c r="BW49" s="10">
        <v>1096116.3223999999</v>
      </c>
      <c r="BX49" s="10">
        <v>48925.847300000001</v>
      </c>
      <c r="BY49" s="10"/>
      <c r="BZ49" s="10">
        <v>64944.3609</v>
      </c>
      <c r="CA49" s="10"/>
      <c r="CB49" s="10">
        <v>47518.7094</v>
      </c>
      <c r="CC49" s="10">
        <v>13041.30488</v>
      </c>
      <c r="CD49" s="10">
        <v>2399.5356000000002</v>
      </c>
      <c r="CE49" s="10">
        <v>4337.5807999999997</v>
      </c>
      <c r="CF49" s="10">
        <v>643593.17500000005</v>
      </c>
      <c r="CG49" s="10">
        <v>24926.118999999999</v>
      </c>
      <c r="CH49" s="10"/>
      <c r="CI49" s="10">
        <v>304387.87209999998</v>
      </c>
      <c r="CJ49" s="10">
        <v>6971.8926700000002</v>
      </c>
      <c r="CK49" s="10"/>
      <c r="CL49" s="10"/>
      <c r="CM49" s="10"/>
      <c r="CN49" s="10">
        <v>1242775.922</v>
      </c>
      <c r="CO49" s="10">
        <v>15404.614179</v>
      </c>
      <c r="CP49" s="10"/>
      <c r="CQ49" s="10"/>
      <c r="CR49" s="10"/>
      <c r="CS49" s="10"/>
      <c r="CT49" s="10">
        <v>4729.1075899999996</v>
      </c>
      <c r="CU49" s="10">
        <v>5602.5169999999998</v>
      </c>
      <c r="CV49" s="10">
        <v>49351.255400000002</v>
      </c>
      <c r="CW49" s="10"/>
      <c r="CX49" s="10">
        <v>49357.734689999997</v>
      </c>
      <c r="CY49" s="10"/>
      <c r="CZ49" s="10"/>
      <c r="DA49" s="10">
        <v>11203.914199999999</v>
      </c>
      <c r="DB49" s="10"/>
      <c r="DC49" s="10">
        <v>21671.474967999999</v>
      </c>
      <c r="DD49" s="10">
        <v>12915.538</v>
      </c>
      <c r="DE49" s="10"/>
      <c r="DF49" s="10">
        <v>19456.153880000002</v>
      </c>
      <c r="DG49" s="10"/>
      <c r="DH49" s="10">
        <v>9083.5679999999993</v>
      </c>
      <c r="DI49" s="10"/>
      <c r="DJ49" s="10"/>
      <c r="DK49" s="10"/>
      <c r="DL49" s="10">
        <v>22070.89</v>
      </c>
      <c r="DM49" s="10"/>
      <c r="DN49" s="10">
        <v>72240.580489999993</v>
      </c>
      <c r="DO49" s="10"/>
      <c r="DP49" s="10">
        <v>8260.8385999999991</v>
      </c>
      <c r="DQ49" s="10"/>
      <c r="DR49" s="10">
        <v>7764.5789999999997</v>
      </c>
      <c r="DS49" s="10">
        <v>74440.449099999998</v>
      </c>
      <c r="DT49" s="10">
        <v>18134.899399999998</v>
      </c>
      <c r="DU49" s="10"/>
      <c r="DV49" s="10"/>
      <c r="DW49" s="10"/>
      <c r="DX49" s="10"/>
      <c r="DY49" s="10">
        <v>40016.564149999998</v>
      </c>
      <c r="DZ49" s="10">
        <v>19670.191500000001</v>
      </c>
      <c r="EA49" s="10">
        <v>0</v>
      </c>
      <c r="EB49" s="10"/>
      <c r="EC49" s="10">
        <v>9458.1555310000003</v>
      </c>
      <c r="ED49" s="10">
        <v>3322.9681999999998</v>
      </c>
      <c r="EE49" s="10"/>
      <c r="EF49" s="10">
        <v>11688.984899999999</v>
      </c>
      <c r="EG49" s="10"/>
      <c r="EH49" s="10">
        <v>68363.345379999999</v>
      </c>
      <c r="EI49" s="10"/>
      <c r="EJ49" s="10">
        <v>3205.3015</v>
      </c>
      <c r="EK49" s="10"/>
      <c r="EL49" s="10"/>
      <c r="EM49" s="10">
        <v>6331.2943999999998</v>
      </c>
      <c r="EN49" s="10"/>
      <c r="EO49" s="10"/>
      <c r="EP49" s="10"/>
      <c r="EQ49" s="10"/>
      <c r="ER49" s="10">
        <v>4139.5124999999998</v>
      </c>
      <c r="ES49" s="10">
        <v>5713.0883999999996</v>
      </c>
      <c r="ET49" s="10">
        <v>3818.8384999999998</v>
      </c>
      <c r="EU49" s="10"/>
      <c r="EV49" s="10">
        <v>0</v>
      </c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>
        <v>0</v>
      </c>
      <c r="GB49" s="10"/>
      <c r="GC49" s="10"/>
      <c r="GD49" s="10"/>
      <c r="GE49" s="10">
        <v>0</v>
      </c>
      <c r="GF49" s="10">
        <v>0</v>
      </c>
      <c r="GG49" s="10">
        <v>0</v>
      </c>
    </row>
    <row r="50" spans="1:189" x14ac:dyDescent="0.35">
      <c r="A50" s="8">
        <v>46115</v>
      </c>
      <c r="B50" s="9">
        <v>904264275.62771595</v>
      </c>
      <c r="C50" s="10">
        <v>463600735.34040302</v>
      </c>
      <c r="D50" s="10">
        <v>79986153.297099993</v>
      </c>
      <c r="E50" s="10">
        <v>151208050.04694</v>
      </c>
      <c r="F50" s="10">
        <v>49221830.071900003</v>
      </c>
      <c r="G50" s="10">
        <v>20991920.615899999</v>
      </c>
      <c r="H50" s="10">
        <v>33362547.5173521</v>
      </c>
      <c r="I50" s="10">
        <v>1282794.2323</v>
      </c>
      <c r="J50" s="10"/>
      <c r="K50" s="10">
        <v>9593125.6836775001</v>
      </c>
      <c r="L50" s="10">
        <v>8794666.6250999998</v>
      </c>
      <c r="M50" s="10">
        <v>2859002.1784999999</v>
      </c>
      <c r="N50" s="10">
        <v>3988682.8873999999</v>
      </c>
      <c r="O50" s="10">
        <v>3596555.6913000001</v>
      </c>
      <c r="P50" s="10">
        <v>5257507.0394000001</v>
      </c>
      <c r="Q50" s="10">
        <v>1372007.9680000001</v>
      </c>
      <c r="R50" s="10">
        <v>20520283.193992998</v>
      </c>
      <c r="S50" s="10">
        <v>1762474.05874</v>
      </c>
      <c r="T50" s="10">
        <v>5059897.0953000002</v>
      </c>
      <c r="U50" s="10">
        <v>4301732.0733970301</v>
      </c>
      <c r="V50" s="10">
        <v>2364478.8012949699</v>
      </c>
      <c r="W50" s="10">
        <v>1772511.9401390599</v>
      </c>
      <c r="X50" s="10">
        <v>80428.661900000006</v>
      </c>
      <c r="Y50" s="10"/>
      <c r="Z50" s="10">
        <v>1236147.1718566399</v>
      </c>
      <c r="AA50" s="10">
        <v>2582193.7398000001</v>
      </c>
      <c r="AB50" s="10">
        <v>2253655.5597000001</v>
      </c>
      <c r="AC50" s="10">
        <v>926053.68438571994</v>
      </c>
      <c r="AD50" s="10"/>
      <c r="AE50" s="10">
        <v>752502.22025999997</v>
      </c>
      <c r="AF50" s="10">
        <v>121186.6593</v>
      </c>
      <c r="AG50" s="10">
        <v>3107052.0975000001</v>
      </c>
      <c r="AH50" s="10">
        <v>259250.15169999999</v>
      </c>
      <c r="AI50" s="10">
        <v>1094702.612</v>
      </c>
      <c r="AJ50" s="10">
        <v>88827.084099999993</v>
      </c>
      <c r="AK50" s="10">
        <v>795362.76919999998</v>
      </c>
      <c r="AL50" s="10">
        <v>66919.539300000004</v>
      </c>
      <c r="AM50" s="10">
        <v>7344.4849000000004</v>
      </c>
      <c r="AN50" s="10"/>
      <c r="AO50" s="10"/>
      <c r="AP50" s="10"/>
      <c r="AQ50" s="10">
        <v>24580.6368</v>
      </c>
      <c r="AR50" s="10"/>
      <c r="AS50" s="10">
        <v>10765602.358899999</v>
      </c>
      <c r="AT50" s="10">
        <v>488618.22389999998</v>
      </c>
      <c r="AU50" s="10">
        <v>1070569.159405</v>
      </c>
      <c r="AV50" s="10">
        <v>158079.9172</v>
      </c>
      <c r="AW50" s="10">
        <v>288061.52759999997</v>
      </c>
      <c r="AX50" s="10">
        <v>547490.4754</v>
      </c>
      <c r="AY50" s="10"/>
      <c r="AZ50" s="10"/>
      <c r="BA50" s="10">
        <v>762478.1618</v>
      </c>
      <c r="BB50" s="10">
        <v>13350.4845</v>
      </c>
      <c r="BC50" s="10">
        <v>830715.98699999996</v>
      </c>
      <c r="BD50" s="10">
        <v>44006.896000000001</v>
      </c>
      <c r="BE50" s="10"/>
      <c r="BF50" s="10"/>
      <c r="BG50" s="10">
        <v>31258.09492</v>
      </c>
      <c r="BH50" s="10"/>
      <c r="BI50" s="10"/>
      <c r="BJ50" s="10"/>
      <c r="BK50" s="10">
        <v>33974.805099999998</v>
      </c>
      <c r="BL50" s="10">
        <v>2875.5464000000002</v>
      </c>
      <c r="BM50" s="10">
        <v>292204.26179999998</v>
      </c>
      <c r="BN50" s="10"/>
      <c r="BO50" s="10">
        <v>8077.2956000000004</v>
      </c>
      <c r="BP50" s="10"/>
      <c r="BQ50" s="10"/>
      <c r="BR50" s="10">
        <v>96352.647800000006</v>
      </c>
      <c r="BS50" s="10">
        <v>8941.0712800000001</v>
      </c>
      <c r="BT50" s="10">
        <v>1219805.9258000001</v>
      </c>
      <c r="BU50" s="10">
        <v>112484.18193000001</v>
      </c>
      <c r="BV50" s="10">
        <v>37417.0772</v>
      </c>
      <c r="BW50" s="10">
        <v>207028.30720000001</v>
      </c>
      <c r="BX50" s="10">
        <v>444409.03860000003</v>
      </c>
      <c r="BY50" s="10"/>
      <c r="BZ50" s="10">
        <v>18102.52</v>
      </c>
      <c r="CA50" s="10"/>
      <c r="CB50" s="10">
        <v>9244.3974999999991</v>
      </c>
      <c r="CC50" s="10">
        <v>14247.17585</v>
      </c>
      <c r="CD50" s="10">
        <v>4751.4245000000001</v>
      </c>
      <c r="CE50" s="10">
        <v>4974.3882000000003</v>
      </c>
      <c r="CF50" s="10">
        <v>321306.72409999999</v>
      </c>
      <c r="CG50" s="10">
        <v>32543.705999999998</v>
      </c>
      <c r="CH50" s="10"/>
      <c r="CI50" s="10">
        <v>30940.064200000001</v>
      </c>
      <c r="CJ50" s="10">
        <v>17150.434270000002</v>
      </c>
      <c r="CK50" s="10"/>
      <c r="CL50" s="10"/>
      <c r="CM50" s="10"/>
      <c r="CN50" s="10">
        <v>1446736.5260000001</v>
      </c>
      <c r="CO50" s="10">
        <v>90746.737737000003</v>
      </c>
      <c r="CP50" s="10"/>
      <c r="CQ50" s="10"/>
      <c r="CR50" s="10"/>
      <c r="CS50" s="10"/>
      <c r="CT50" s="10">
        <v>12096.307479999999</v>
      </c>
      <c r="CU50" s="10">
        <v>6606.6440000000002</v>
      </c>
      <c r="CV50" s="10">
        <v>54565.357199999999</v>
      </c>
      <c r="CW50" s="10"/>
      <c r="CX50" s="10">
        <v>93115.31207</v>
      </c>
      <c r="CY50" s="10"/>
      <c r="CZ50" s="10"/>
      <c r="DA50" s="10">
        <v>17144.720099999999</v>
      </c>
      <c r="DB50" s="10"/>
      <c r="DC50" s="10">
        <v>14984.012137</v>
      </c>
      <c r="DD50" s="10">
        <v>11141.499299999999</v>
      </c>
      <c r="DE50" s="10"/>
      <c r="DF50" s="10">
        <v>29303.888599999998</v>
      </c>
      <c r="DG50" s="10"/>
      <c r="DH50" s="10">
        <v>10071.186299999999</v>
      </c>
      <c r="DI50" s="10"/>
      <c r="DJ50" s="10"/>
      <c r="DK50" s="10"/>
      <c r="DL50" s="10">
        <v>22358.309000000001</v>
      </c>
      <c r="DM50" s="10"/>
      <c r="DN50" s="10">
        <v>25854.607189999999</v>
      </c>
      <c r="DO50" s="10"/>
      <c r="DP50" s="10">
        <v>7198.4377000000004</v>
      </c>
      <c r="DQ50" s="10"/>
      <c r="DR50" s="10">
        <v>8212.9634000000005</v>
      </c>
      <c r="DS50" s="10">
        <v>20311.513200000001</v>
      </c>
      <c r="DT50" s="10">
        <v>21930.194899999999</v>
      </c>
      <c r="DU50" s="10"/>
      <c r="DV50" s="10"/>
      <c r="DW50" s="10"/>
      <c r="DX50" s="10"/>
      <c r="DY50" s="10">
        <v>19617.19198</v>
      </c>
      <c r="DZ50" s="10">
        <v>10566.7394</v>
      </c>
      <c r="EA50" s="10">
        <v>0</v>
      </c>
      <c r="EB50" s="10"/>
      <c r="EC50" s="10">
        <v>11046.621288</v>
      </c>
      <c r="ED50" s="10">
        <v>10497.867200000001</v>
      </c>
      <c r="EE50" s="10"/>
      <c r="EF50" s="10">
        <v>23798.886200000001</v>
      </c>
      <c r="EG50" s="10"/>
      <c r="EH50" s="10">
        <v>11197.6682</v>
      </c>
      <c r="EI50" s="10"/>
      <c r="EJ50" s="10">
        <v>10751.3102</v>
      </c>
      <c r="EK50" s="10"/>
      <c r="EL50" s="10"/>
      <c r="EM50" s="10">
        <v>13191.143400000001</v>
      </c>
      <c r="EN50" s="10"/>
      <c r="EO50" s="10"/>
      <c r="EP50" s="10"/>
      <c r="EQ50" s="10"/>
      <c r="ER50" s="10">
        <v>4570.0434999999998</v>
      </c>
      <c r="ES50" s="10">
        <v>5663.9933000000001</v>
      </c>
      <c r="ET50" s="10">
        <v>6272.9259000000002</v>
      </c>
      <c r="EU50" s="10"/>
      <c r="EV50" s="10">
        <v>2764.7500399999999</v>
      </c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>
        <v>31732.560000000001</v>
      </c>
      <c r="GB50" s="10"/>
      <c r="GC50" s="10"/>
      <c r="GD50" s="10"/>
      <c r="GE50" s="10">
        <v>0</v>
      </c>
      <c r="GF50" s="10">
        <v>0</v>
      </c>
      <c r="GG50" s="10">
        <v>0</v>
      </c>
    </row>
    <row r="51" spans="1:189" x14ac:dyDescent="0.35">
      <c r="A51" s="8">
        <v>46114</v>
      </c>
      <c r="B51" s="9">
        <v>10700650001.521999</v>
      </c>
      <c r="C51" s="10">
        <v>5302687087.0300503</v>
      </c>
      <c r="D51" s="10">
        <v>2988501047.0572701</v>
      </c>
      <c r="E51" s="10">
        <v>1055395821.47156</v>
      </c>
      <c r="F51" s="10">
        <v>393545278.73640001</v>
      </c>
      <c r="G51" s="10">
        <v>215226542.95899999</v>
      </c>
      <c r="H51" s="10">
        <v>220159515.464683</v>
      </c>
      <c r="I51" s="10">
        <v>21516961.3182</v>
      </c>
      <c r="J51" s="10"/>
      <c r="K51" s="10">
        <v>66612433.836122602</v>
      </c>
      <c r="L51" s="10">
        <v>70541439.979499996</v>
      </c>
      <c r="M51" s="10">
        <v>56207704.915100001</v>
      </c>
      <c r="N51" s="10">
        <v>54358993.515500002</v>
      </c>
      <c r="O51" s="10">
        <v>30315847.496599998</v>
      </c>
      <c r="P51" s="10">
        <v>37825676.192500003</v>
      </c>
      <c r="Q51" s="10">
        <v>13726577.983899999</v>
      </c>
      <c r="R51" s="10">
        <v>14264867.881509401</v>
      </c>
      <c r="S51" s="10">
        <v>18159604.154589999</v>
      </c>
      <c r="T51" s="10">
        <v>20954756.8607</v>
      </c>
      <c r="U51" s="10">
        <v>22276225.879163601</v>
      </c>
      <c r="V51" s="10">
        <v>18414767.9787779</v>
      </c>
      <c r="W51" s="10">
        <v>10203409.3955085</v>
      </c>
      <c r="X51" s="10">
        <v>396193.94919999997</v>
      </c>
      <c r="Y51" s="10"/>
      <c r="Z51" s="10">
        <v>11372310.699548</v>
      </c>
      <c r="AA51" s="10">
        <v>4615846.7873227997</v>
      </c>
      <c r="AB51" s="10">
        <v>4706099.7345000003</v>
      </c>
      <c r="AC51" s="10">
        <v>3424367.3619381501</v>
      </c>
      <c r="AD51" s="10"/>
      <c r="AE51" s="10">
        <v>6858754.0945300004</v>
      </c>
      <c r="AF51" s="10">
        <v>1952943.0290000001</v>
      </c>
      <c r="AG51" s="10">
        <v>3285740.5518999998</v>
      </c>
      <c r="AH51" s="10">
        <v>1492558.0723000001</v>
      </c>
      <c r="AI51" s="10">
        <v>1608609.902</v>
      </c>
      <c r="AJ51" s="10">
        <v>854721.24369999999</v>
      </c>
      <c r="AK51" s="10">
        <v>1792249.9955</v>
      </c>
      <c r="AL51" s="10">
        <v>1688803.0503</v>
      </c>
      <c r="AM51" s="10">
        <v>1076121.2859</v>
      </c>
      <c r="AN51" s="10"/>
      <c r="AO51" s="10"/>
      <c r="AP51" s="10"/>
      <c r="AQ51" s="10">
        <v>858461.8064</v>
      </c>
      <c r="AR51" s="10"/>
      <c r="AS51" s="10">
        <v>105699.1569</v>
      </c>
      <c r="AT51" s="10">
        <v>1297646.1847000001</v>
      </c>
      <c r="AU51" s="10">
        <v>2164325.0993309999</v>
      </c>
      <c r="AV51" s="10">
        <v>1510516.0399</v>
      </c>
      <c r="AW51" s="10">
        <v>1520151.1791999999</v>
      </c>
      <c r="AX51" s="10">
        <v>1104785.6507000001</v>
      </c>
      <c r="AY51" s="10"/>
      <c r="AZ51" s="10"/>
      <c r="BA51" s="10">
        <v>238089.71359999999</v>
      </c>
      <c r="BB51" s="10">
        <v>694633.77540000004</v>
      </c>
      <c r="BC51" s="10">
        <v>1280158.442</v>
      </c>
      <c r="BD51" s="10">
        <v>1099910.8659000001</v>
      </c>
      <c r="BE51" s="10"/>
      <c r="BF51" s="10"/>
      <c r="BG51" s="10">
        <v>720995.41033999994</v>
      </c>
      <c r="BH51" s="10"/>
      <c r="BI51" s="10"/>
      <c r="BJ51" s="10"/>
      <c r="BK51" s="10">
        <v>1144688.9676999999</v>
      </c>
      <c r="BL51" s="10">
        <v>577297.79359999998</v>
      </c>
      <c r="BM51" s="10">
        <v>247534.36749999999</v>
      </c>
      <c r="BN51" s="10"/>
      <c r="BO51" s="10">
        <v>124038.85159999999</v>
      </c>
      <c r="BP51" s="10"/>
      <c r="BQ51" s="10"/>
      <c r="BR51" s="10">
        <v>120975.8263</v>
      </c>
      <c r="BS51" s="10">
        <v>455508.02315999998</v>
      </c>
      <c r="BT51" s="10">
        <v>1966771.7444</v>
      </c>
      <c r="BU51" s="10">
        <v>113114.15242</v>
      </c>
      <c r="BV51" s="10">
        <v>730046.05649999995</v>
      </c>
      <c r="BW51" s="10">
        <v>647554.76139999996</v>
      </c>
      <c r="BX51" s="10">
        <v>274277.62349999999</v>
      </c>
      <c r="BY51" s="10"/>
      <c r="BZ51" s="10">
        <v>609651.23880000005</v>
      </c>
      <c r="CA51" s="10"/>
      <c r="CB51" s="10">
        <v>528846.63529999997</v>
      </c>
      <c r="CC51" s="10">
        <v>92758.776559999998</v>
      </c>
      <c r="CD51" s="10">
        <v>440675.11290000001</v>
      </c>
      <c r="CE51" s="10">
        <v>1427430.1573999999</v>
      </c>
      <c r="CF51" s="10">
        <v>94401.160900000003</v>
      </c>
      <c r="CG51" s="10">
        <v>530091.75300000003</v>
      </c>
      <c r="CH51" s="10"/>
      <c r="CI51" s="10">
        <v>23749.515299999999</v>
      </c>
      <c r="CJ51" s="10">
        <v>257746.56948000001</v>
      </c>
      <c r="CK51" s="10"/>
      <c r="CL51" s="10"/>
      <c r="CM51" s="10"/>
      <c r="CN51" s="10">
        <v>181285.981</v>
      </c>
      <c r="CO51" s="10">
        <v>124809.515021</v>
      </c>
      <c r="CP51" s="10"/>
      <c r="CQ51" s="10"/>
      <c r="CR51" s="10"/>
      <c r="CS51" s="10"/>
      <c r="CT51" s="10">
        <v>215175.30441000001</v>
      </c>
      <c r="CU51" s="10">
        <v>23485.302</v>
      </c>
      <c r="CV51" s="10">
        <v>72673.268100000001</v>
      </c>
      <c r="CW51" s="10"/>
      <c r="CX51" s="10">
        <v>66749.525850000005</v>
      </c>
      <c r="CY51" s="10"/>
      <c r="CZ51" s="10"/>
      <c r="DA51" s="10">
        <v>97767.235700000005</v>
      </c>
      <c r="DB51" s="10"/>
      <c r="DC51" s="10">
        <v>53559.476119999999</v>
      </c>
      <c r="DD51" s="10">
        <v>76618.666299999997</v>
      </c>
      <c r="DE51" s="10"/>
      <c r="DF51" s="10">
        <v>124592.22252</v>
      </c>
      <c r="DG51" s="10"/>
      <c r="DH51" s="10">
        <v>24547.929899999999</v>
      </c>
      <c r="DI51" s="10"/>
      <c r="DJ51" s="10"/>
      <c r="DK51" s="10"/>
      <c r="DL51" s="10">
        <v>49477.178</v>
      </c>
      <c r="DM51" s="10"/>
      <c r="DN51" s="10">
        <v>58827.626900000003</v>
      </c>
      <c r="DO51" s="10"/>
      <c r="DP51" s="10">
        <v>18177.437000000002</v>
      </c>
      <c r="DQ51" s="10"/>
      <c r="DR51" s="10">
        <v>26998.195400000001</v>
      </c>
      <c r="DS51" s="10">
        <v>56125.392599999999</v>
      </c>
      <c r="DT51" s="10">
        <v>60276.105000000003</v>
      </c>
      <c r="DU51" s="10"/>
      <c r="DV51" s="10"/>
      <c r="DW51" s="10"/>
      <c r="DX51" s="10"/>
      <c r="DY51" s="10">
        <v>51624.379430000001</v>
      </c>
      <c r="DZ51" s="10">
        <v>39933.378199999999</v>
      </c>
      <c r="EA51" s="10">
        <v>0</v>
      </c>
      <c r="EB51" s="10"/>
      <c r="EC51" s="10">
        <v>28032.369964000001</v>
      </c>
      <c r="ED51" s="10">
        <v>13789.767599999999</v>
      </c>
      <c r="EE51" s="10"/>
      <c r="EF51" s="10">
        <v>33288.873200000002</v>
      </c>
      <c r="EG51" s="10"/>
      <c r="EH51" s="10">
        <v>17229.03052</v>
      </c>
      <c r="EI51" s="10"/>
      <c r="EJ51" s="10">
        <v>12668.9751</v>
      </c>
      <c r="EK51" s="10"/>
      <c r="EL51" s="10"/>
      <c r="EM51" s="10">
        <v>27729.033500000001</v>
      </c>
      <c r="EN51" s="10"/>
      <c r="EO51" s="10"/>
      <c r="EP51" s="10"/>
      <c r="EQ51" s="10"/>
      <c r="ER51" s="10">
        <v>25168.591899999999</v>
      </c>
      <c r="ES51" s="10">
        <v>18393.856199999998</v>
      </c>
      <c r="ET51" s="10">
        <v>22829.4967</v>
      </c>
      <c r="EU51" s="10"/>
      <c r="EV51" s="10">
        <v>5755.1315199999999</v>
      </c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>
        <v>0</v>
      </c>
      <c r="GB51" s="10"/>
      <c r="GC51" s="10"/>
      <c r="GD51" s="10"/>
      <c r="GE51" s="10">
        <v>0</v>
      </c>
      <c r="GF51" s="10">
        <v>0</v>
      </c>
      <c r="GG51" s="10">
        <v>0</v>
      </c>
    </row>
    <row r="52" spans="1:189" x14ac:dyDescent="0.35">
      <c r="A52" s="8">
        <v>46113</v>
      </c>
      <c r="B52" s="9">
        <v>6505850675.8868198</v>
      </c>
      <c r="C52" s="10">
        <v>3268085763.7100601</v>
      </c>
      <c r="D52" s="10">
        <v>2041359039.0139301</v>
      </c>
      <c r="E52" s="10">
        <v>286619018.87853998</v>
      </c>
      <c r="F52" s="10">
        <v>87198078.425999999</v>
      </c>
      <c r="G52" s="10">
        <v>200051304.69490001</v>
      </c>
      <c r="H52" s="10">
        <v>160340807.802434</v>
      </c>
      <c r="I52" s="10">
        <v>18274066.8442</v>
      </c>
      <c r="J52" s="10"/>
      <c r="K52" s="10">
        <v>44629437.424116403</v>
      </c>
      <c r="L52" s="10">
        <v>62087557.534400001</v>
      </c>
      <c r="M52" s="10">
        <v>48126292.133699998</v>
      </c>
      <c r="N52" s="10">
        <v>64560775.721699998</v>
      </c>
      <c r="O52" s="10">
        <v>27931315.105500001</v>
      </c>
      <c r="P52" s="10">
        <v>28447981.715700001</v>
      </c>
      <c r="Q52" s="10">
        <v>9053685.5502000004</v>
      </c>
      <c r="R52" s="10">
        <v>20704271.689853702</v>
      </c>
      <c r="S52" s="10">
        <v>17994564.27581</v>
      </c>
      <c r="T52" s="10">
        <v>21712544.269299999</v>
      </c>
      <c r="U52" s="10">
        <v>18869276.2016012</v>
      </c>
      <c r="V52" s="10">
        <v>16874748.093573</v>
      </c>
      <c r="W52" s="10">
        <v>5060080.8434924996</v>
      </c>
      <c r="X52" s="10">
        <v>390075.05489999999</v>
      </c>
      <c r="Y52" s="10"/>
      <c r="Z52" s="10">
        <v>7826078.4373072004</v>
      </c>
      <c r="AA52" s="10">
        <v>3483558.8616028498</v>
      </c>
      <c r="AB52" s="10">
        <v>2872422.3117999998</v>
      </c>
      <c r="AC52" s="10">
        <v>2215186.98102355</v>
      </c>
      <c r="AD52" s="10"/>
      <c r="AE52" s="10">
        <v>4913683.0335299997</v>
      </c>
      <c r="AF52" s="10">
        <v>953529.8848</v>
      </c>
      <c r="AG52" s="10">
        <v>3445605.304</v>
      </c>
      <c r="AH52" s="10">
        <v>739214.97149999999</v>
      </c>
      <c r="AI52" s="10">
        <v>585827.81700000004</v>
      </c>
      <c r="AJ52" s="10">
        <v>826515.71219999995</v>
      </c>
      <c r="AK52" s="10">
        <v>1257664.4068</v>
      </c>
      <c r="AL52" s="10">
        <v>1911468.6898000001</v>
      </c>
      <c r="AM52" s="10">
        <v>1019724.4288</v>
      </c>
      <c r="AN52" s="10"/>
      <c r="AO52" s="10"/>
      <c r="AP52" s="10"/>
      <c r="AQ52" s="10">
        <v>659332.69720000005</v>
      </c>
      <c r="AR52" s="10"/>
      <c r="AS52" s="10">
        <v>115077.8089</v>
      </c>
      <c r="AT52" s="10">
        <v>1618193.4006000001</v>
      </c>
      <c r="AU52" s="10">
        <v>1521806.495634</v>
      </c>
      <c r="AV52" s="10">
        <v>1150883.4537</v>
      </c>
      <c r="AW52" s="10">
        <v>1747851.5467999999</v>
      </c>
      <c r="AX52" s="10">
        <v>972350.36529999995</v>
      </c>
      <c r="AY52" s="10"/>
      <c r="AZ52" s="10"/>
      <c r="BA52" s="10">
        <v>228575.63750000001</v>
      </c>
      <c r="BB52" s="10">
        <v>802696.30630000005</v>
      </c>
      <c r="BC52" s="10">
        <v>567420.40700000001</v>
      </c>
      <c r="BD52" s="10">
        <v>2018067.6107000001</v>
      </c>
      <c r="BE52" s="10"/>
      <c r="BF52" s="10"/>
      <c r="BG52" s="10">
        <v>646654.13097000006</v>
      </c>
      <c r="BH52" s="10"/>
      <c r="BI52" s="10"/>
      <c r="BJ52" s="10"/>
      <c r="BK52" s="10">
        <v>418767.10950000002</v>
      </c>
      <c r="BL52" s="10">
        <v>2746834.8235999998</v>
      </c>
      <c r="BM52" s="10">
        <v>326563.66090000002</v>
      </c>
      <c r="BN52" s="10"/>
      <c r="BO52" s="10">
        <v>152846.31</v>
      </c>
      <c r="BP52" s="10"/>
      <c r="BQ52" s="10"/>
      <c r="BR52" s="10">
        <v>157195.73860000001</v>
      </c>
      <c r="BS52" s="10">
        <v>1482347.3056000001</v>
      </c>
      <c r="BT52" s="10">
        <v>2328960.5055</v>
      </c>
      <c r="BU52" s="10">
        <v>44626.753750000003</v>
      </c>
      <c r="BV52" s="10">
        <v>204113.26070000001</v>
      </c>
      <c r="BW52" s="10">
        <v>353094.90830000001</v>
      </c>
      <c r="BX52" s="10">
        <v>303518.64850000001</v>
      </c>
      <c r="BY52" s="10"/>
      <c r="BZ52" s="10">
        <v>594969.5882</v>
      </c>
      <c r="CA52" s="10"/>
      <c r="CB52" s="10">
        <v>492451.98200000002</v>
      </c>
      <c r="CC52" s="10">
        <v>185706.59031999999</v>
      </c>
      <c r="CD52" s="10">
        <v>392041.9694</v>
      </c>
      <c r="CE52" s="10">
        <v>466722.53090000001</v>
      </c>
      <c r="CF52" s="10">
        <v>215559.5705</v>
      </c>
      <c r="CG52" s="10">
        <v>67914.615999999995</v>
      </c>
      <c r="CH52" s="10"/>
      <c r="CI52" s="10">
        <v>24902.340700000001</v>
      </c>
      <c r="CJ52" s="10">
        <v>96549.487139999997</v>
      </c>
      <c r="CK52" s="10"/>
      <c r="CL52" s="10"/>
      <c r="CM52" s="10"/>
      <c r="CN52" s="10">
        <v>406195.99599999998</v>
      </c>
      <c r="CO52" s="10">
        <v>171597.411391</v>
      </c>
      <c r="CP52" s="10"/>
      <c r="CQ52" s="10"/>
      <c r="CR52" s="10"/>
      <c r="CS52" s="10"/>
      <c r="CT52" s="10">
        <v>201584.73434</v>
      </c>
      <c r="CU52" s="10">
        <v>22290.775000000001</v>
      </c>
      <c r="CV52" s="10">
        <v>198524.24189999999</v>
      </c>
      <c r="CW52" s="10"/>
      <c r="CX52" s="10">
        <v>280813.97245</v>
      </c>
      <c r="CY52" s="10"/>
      <c r="CZ52" s="10"/>
      <c r="DA52" s="10">
        <v>105306.0757</v>
      </c>
      <c r="DB52" s="10"/>
      <c r="DC52" s="10">
        <v>58510.440688000002</v>
      </c>
      <c r="DD52" s="10">
        <v>99779.2592</v>
      </c>
      <c r="DE52" s="10"/>
      <c r="DF52" s="10">
        <v>71373.770359999995</v>
      </c>
      <c r="DG52" s="10"/>
      <c r="DH52" s="10">
        <v>28290.7048</v>
      </c>
      <c r="DI52" s="10"/>
      <c r="DJ52" s="10"/>
      <c r="DK52" s="10"/>
      <c r="DL52" s="10">
        <v>65578.910999999993</v>
      </c>
      <c r="DM52" s="10"/>
      <c r="DN52" s="10">
        <v>60608.598839999999</v>
      </c>
      <c r="DO52" s="10"/>
      <c r="DP52" s="10">
        <v>23872.930499999999</v>
      </c>
      <c r="DQ52" s="10"/>
      <c r="DR52" s="10">
        <v>26831.333500000001</v>
      </c>
      <c r="DS52" s="10">
        <v>63546.162100000001</v>
      </c>
      <c r="DT52" s="10">
        <v>59250.587299999999</v>
      </c>
      <c r="DU52" s="10"/>
      <c r="DV52" s="10"/>
      <c r="DW52" s="10"/>
      <c r="DX52" s="10"/>
      <c r="DY52" s="10">
        <v>31950.603620000002</v>
      </c>
      <c r="DZ52" s="10">
        <v>143807.09</v>
      </c>
      <c r="EA52" s="10">
        <v>21832.379799999999</v>
      </c>
      <c r="EB52" s="10"/>
      <c r="EC52" s="10">
        <v>28403.611677000001</v>
      </c>
      <c r="ED52" s="10">
        <v>16272.1127</v>
      </c>
      <c r="EE52" s="10"/>
      <c r="EF52" s="10">
        <v>34499.1106</v>
      </c>
      <c r="EG52" s="10"/>
      <c r="EH52" s="10">
        <v>13972.38985</v>
      </c>
      <c r="EI52" s="10"/>
      <c r="EJ52" s="10">
        <v>6606.2242999999999</v>
      </c>
      <c r="EK52" s="10"/>
      <c r="EL52" s="10"/>
      <c r="EM52" s="10">
        <v>20828.576099999998</v>
      </c>
      <c r="EN52" s="10"/>
      <c r="EO52" s="10"/>
      <c r="EP52" s="10"/>
      <c r="EQ52" s="10"/>
      <c r="ER52" s="10">
        <v>18261.3442</v>
      </c>
      <c r="ES52" s="10">
        <v>18735.831600000001</v>
      </c>
      <c r="ET52" s="10">
        <v>16626.9172</v>
      </c>
      <c r="EU52" s="10"/>
      <c r="EV52" s="10">
        <v>9160.4053199999998</v>
      </c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>
        <v>0</v>
      </c>
      <c r="GB52" s="10"/>
      <c r="GC52" s="10"/>
      <c r="GD52" s="10"/>
      <c r="GE52" s="10">
        <v>0</v>
      </c>
      <c r="GF52" s="10">
        <v>0</v>
      </c>
      <c r="GG52" s="10">
        <v>0</v>
      </c>
    </row>
    <row r="53" spans="1:189" x14ac:dyDescent="0.35">
      <c r="A53" s="8">
        <v>46112</v>
      </c>
      <c r="B53" s="9">
        <v>7577424795.1405802</v>
      </c>
      <c r="C53" s="10">
        <v>3458833201.3905201</v>
      </c>
      <c r="D53" s="10">
        <v>2904265002.9882998</v>
      </c>
      <c r="E53" s="10">
        <v>150086451.44216999</v>
      </c>
      <c r="F53" s="10"/>
      <c r="G53" s="10">
        <v>288016270.49400002</v>
      </c>
      <c r="H53" s="10">
        <v>193114959.025123</v>
      </c>
      <c r="I53" s="10">
        <v>30784273.988200001</v>
      </c>
      <c r="J53" s="10"/>
      <c r="K53" s="10">
        <v>66073171.867558099</v>
      </c>
      <c r="L53" s="10">
        <v>77182906.784700006</v>
      </c>
      <c r="M53" s="10">
        <v>26863259.0383</v>
      </c>
      <c r="N53" s="10">
        <v>114267774.0352</v>
      </c>
      <c r="O53" s="10">
        <v>19897802.347600002</v>
      </c>
      <c r="P53" s="10">
        <v>49890648.170500003</v>
      </c>
      <c r="Q53" s="10"/>
      <c r="R53" s="10">
        <v>19782347.065655399</v>
      </c>
      <c r="S53" s="10">
        <v>16326908.01323</v>
      </c>
      <c r="T53" s="10">
        <v>26784005.5612</v>
      </c>
      <c r="U53" s="10">
        <v>27025205.166972399</v>
      </c>
      <c r="V53" s="10">
        <v>23635077.877573598</v>
      </c>
      <c r="W53" s="10">
        <v>8105117.5566996504</v>
      </c>
      <c r="X53" s="10">
        <v>265151.38089999999</v>
      </c>
      <c r="Y53" s="10"/>
      <c r="Z53" s="10">
        <v>15712900.1304453</v>
      </c>
      <c r="AA53" s="10">
        <v>4955827.5808471004</v>
      </c>
      <c r="AB53" s="10">
        <v>2888003.372</v>
      </c>
      <c r="AC53" s="10">
        <v>2355103.7862319001</v>
      </c>
      <c r="AD53" s="10"/>
      <c r="AE53" s="10">
        <v>5876637.4083200004</v>
      </c>
      <c r="AF53" s="10">
        <v>1581948.1362999999</v>
      </c>
      <c r="AG53" s="10">
        <v>2975844.1170000001</v>
      </c>
      <c r="AH53" s="10">
        <v>1622963.7357000001</v>
      </c>
      <c r="AI53" s="10">
        <v>664971.03899999999</v>
      </c>
      <c r="AJ53" s="10">
        <v>957440.1128</v>
      </c>
      <c r="AK53" s="10">
        <v>1202873.5678999999</v>
      </c>
      <c r="AL53" s="10">
        <v>2259035.5846000002</v>
      </c>
      <c r="AM53" s="10">
        <v>832741.79509999999</v>
      </c>
      <c r="AN53" s="10"/>
      <c r="AO53" s="10"/>
      <c r="AP53" s="10"/>
      <c r="AQ53" s="10">
        <v>708125.81099999999</v>
      </c>
      <c r="AR53" s="10"/>
      <c r="AS53" s="10">
        <v>83739.7601</v>
      </c>
      <c r="AT53" s="10">
        <v>1172838.5556000001</v>
      </c>
      <c r="AU53" s="10">
        <v>2430246.9569870001</v>
      </c>
      <c r="AV53" s="10">
        <v>1536016.4731000001</v>
      </c>
      <c r="AW53" s="10">
        <v>2729620.3697000002</v>
      </c>
      <c r="AX53" s="10">
        <v>1146646.1066000001</v>
      </c>
      <c r="AY53" s="10"/>
      <c r="AZ53" s="10"/>
      <c r="BA53" s="10">
        <v>532642.26850000001</v>
      </c>
      <c r="BB53" s="10">
        <v>1531990.2546000001</v>
      </c>
      <c r="BC53" s="10">
        <v>440701.87</v>
      </c>
      <c r="BD53" s="10">
        <v>2088454.9494</v>
      </c>
      <c r="BE53" s="10"/>
      <c r="BF53" s="10"/>
      <c r="BG53" s="10">
        <v>686486.87158000004</v>
      </c>
      <c r="BH53" s="10"/>
      <c r="BI53" s="10"/>
      <c r="BJ53" s="10"/>
      <c r="BK53" s="10">
        <v>1750809.3075999999</v>
      </c>
      <c r="BL53" s="10">
        <v>905994.38260000001</v>
      </c>
      <c r="BM53" s="10">
        <v>316736.18839999998</v>
      </c>
      <c r="BN53" s="10"/>
      <c r="BO53" s="10">
        <v>767733.50049999997</v>
      </c>
      <c r="BP53" s="10"/>
      <c r="BQ53" s="10"/>
      <c r="BR53" s="10">
        <v>198672.52220000001</v>
      </c>
      <c r="BS53" s="10">
        <v>723073.83993999998</v>
      </c>
      <c r="BT53" s="10">
        <v>1632757.9106000001</v>
      </c>
      <c r="BU53" s="10">
        <v>96062.850340000005</v>
      </c>
      <c r="BV53" s="10">
        <v>691191.95030000003</v>
      </c>
      <c r="BW53" s="10">
        <v>2855180.5713</v>
      </c>
      <c r="BX53" s="10">
        <v>240165.4687</v>
      </c>
      <c r="BY53" s="10"/>
      <c r="BZ53" s="10">
        <v>435380.18729999999</v>
      </c>
      <c r="CA53" s="10"/>
      <c r="CB53" s="10">
        <v>1240270.7608</v>
      </c>
      <c r="CC53" s="10">
        <v>484639.40116000001</v>
      </c>
      <c r="CD53" s="10">
        <v>586308.11730000004</v>
      </c>
      <c r="CE53" s="10">
        <v>1604992.3574000001</v>
      </c>
      <c r="CF53" s="10">
        <v>126004.67200000001</v>
      </c>
      <c r="CG53" s="10">
        <v>76279.063999999998</v>
      </c>
      <c r="CH53" s="10"/>
      <c r="CI53" s="10">
        <v>27415.8236</v>
      </c>
      <c r="CJ53" s="10">
        <v>202457.7763</v>
      </c>
      <c r="CK53" s="10"/>
      <c r="CL53" s="10"/>
      <c r="CM53" s="10"/>
      <c r="CN53" s="10">
        <v>267541.34999999998</v>
      </c>
      <c r="CO53" s="10">
        <v>418721.47223999997</v>
      </c>
      <c r="CP53" s="10"/>
      <c r="CQ53" s="10"/>
      <c r="CR53" s="10"/>
      <c r="CS53" s="10"/>
      <c r="CT53" s="10">
        <v>84514.401759999993</v>
      </c>
      <c r="CU53" s="10">
        <v>28473.003000000001</v>
      </c>
      <c r="CV53" s="10">
        <v>78816.989799999996</v>
      </c>
      <c r="CW53" s="10"/>
      <c r="CX53" s="10">
        <v>45894.831680000003</v>
      </c>
      <c r="CY53" s="10"/>
      <c r="CZ53" s="10"/>
      <c r="DA53" s="10">
        <v>166668.4748</v>
      </c>
      <c r="DB53" s="10"/>
      <c r="DC53" s="10">
        <v>106190.55852999999</v>
      </c>
      <c r="DD53" s="10">
        <v>142997.5062</v>
      </c>
      <c r="DE53" s="10"/>
      <c r="DF53" s="10">
        <v>67211.252250000005</v>
      </c>
      <c r="DG53" s="10"/>
      <c r="DH53" s="10">
        <v>30596.447400000001</v>
      </c>
      <c r="DI53" s="10"/>
      <c r="DJ53" s="10"/>
      <c r="DK53" s="10"/>
      <c r="DL53" s="10">
        <v>74577.282000000007</v>
      </c>
      <c r="DM53" s="10"/>
      <c r="DN53" s="10">
        <v>61164.81725</v>
      </c>
      <c r="DO53" s="10"/>
      <c r="DP53" s="10">
        <v>21411.102500000001</v>
      </c>
      <c r="DQ53" s="10"/>
      <c r="DR53" s="10">
        <v>29302.1315</v>
      </c>
      <c r="DS53" s="10">
        <v>64686.954299999998</v>
      </c>
      <c r="DT53" s="10">
        <v>72990.281400000007</v>
      </c>
      <c r="DU53" s="10"/>
      <c r="DV53" s="10"/>
      <c r="DW53" s="10"/>
      <c r="DX53" s="10"/>
      <c r="DY53" s="10">
        <v>134783.47203</v>
      </c>
      <c r="DZ53" s="10">
        <v>146444.932</v>
      </c>
      <c r="EA53" s="10">
        <v>0</v>
      </c>
      <c r="EB53" s="10"/>
      <c r="EC53" s="10">
        <v>31077.460766</v>
      </c>
      <c r="ED53" s="10">
        <v>38929.118900000001</v>
      </c>
      <c r="EE53" s="10"/>
      <c r="EF53" s="10">
        <v>40741.193700000003</v>
      </c>
      <c r="EG53" s="10"/>
      <c r="EH53" s="10">
        <v>15711.34137</v>
      </c>
      <c r="EI53" s="10"/>
      <c r="EJ53" s="10">
        <v>4228.9979000000003</v>
      </c>
      <c r="EK53" s="10"/>
      <c r="EL53" s="10"/>
      <c r="EM53" s="10">
        <v>20606.859799999998</v>
      </c>
      <c r="EN53" s="10"/>
      <c r="EO53" s="10"/>
      <c r="EP53" s="10"/>
      <c r="EQ53" s="10"/>
      <c r="ER53" s="10">
        <v>33422.911999999997</v>
      </c>
      <c r="ES53" s="10">
        <v>23455.9018</v>
      </c>
      <c r="ET53" s="10">
        <v>24691.284500000002</v>
      </c>
      <c r="EU53" s="10"/>
      <c r="EV53" s="10">
        <v>5975.3490499999998</v>
      </c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>
        <v>0</v>
      </c>
      <c r="GB53" s="10"/>
      <c r="GC53" s="10"/>
      <c r="GD53" s="10"/>
      <c r="GE53" s="10">
        <v>7506</v>
      </c>
      <c r="GF53" s="10">
        <v>0</v>
      </c>
      <c r="GG53" s="10">
        <v>0</v>
      </c>
    </row>
    <row r="54" spans="1:189" x14ac:dyDescent="0.35">
      <c r="A54" s="8">
        <v>46111</v>
      </c>
      <c r="B54" s="9">
        <v>6258733120.9899797</v>
      </c>
      <c r="C54" s="10">
        <v>3207287160.7695298</v>
      </c>
      <c r="D54" s="10">
        <v>2161926601.88237</v>
      </c>
      <c r="E54" s="10">
        <v>101535527.39584</v>
      </c>
      <c r="F54" s="10"/>
      <c r="G54" s="10">
        <v>212188618.8881</v>
      </c>
      <c r="H54" s="10">
        <v>191038763.52798799</v>
      </c>
      <c r="I54" s="10">
        <v>12620034.715600001</v>
      </c>
      <c r="J54" s="10"/>
      <c r="K54" s="10">
        <v>35294234.742581703</v>
      </c>
      <c r="L54" s="10">
        <v>56006972.5867</v>
      </c>
      <c r="M54" s="10">
        <v>16006708.296</v>
      </c>
      <c r="N54" s="10">
        <v>62254789.704899997</v>
      </c>
      <c r="O54" s="10">
        <v>11758070.100099999</v>
      </c>
      <c r="P54" s="10">
        <v>31516438.805399999</v>
      </c>
      <c r="Q54" s="10"/>
      <c r="R54" s="10">
        <v>16723637.1893996</v>
      </c>
      <c r="S54" s="10">
        <v>12237517.14841</v>
      </c>
      <c r="T54" s="10">
        <v>13392176.6372</v>
      </c>
      <c r="U54" s="10">
        <v>17353556.818454899</v>
      </c>
      <c r="V54" s="10">
        <v>18303919.3212003</v>
      </c>
      <c r="W54" s="10">
        <v>5339303.0039007403</v>
      </c>
      <c r="X54" s="10">
        <v>270607.18459999998</v>
      </c>
      <c r="Y54" s="10"/>
      <c r="Z54" s="10">
        <v>10900316.839904601</v>
      </c>
      <c r="AA54" s="10">
        <v>4344763.1553522795</v>
      </c>
      <c r="AB54" s="10">
        <v>4444751.1705</v>
      </c>
      <c r="AC54" s="10">
        <v>1132793.62911048</v>
      </c>
      <c r="AD54" s="10"/>
      <c r="AE54" s="10">
        <v>4368707.3624799997</v>
      </c>
      <c r="AF54" s="10">
        <v>1114172.054</v>
      </c>
      <c r="AG54" s="10">
        <v>7894952.7149999999</v>
      </c>
      <c r="AH54" s="10">
        <v>1303645.9458000001</v>
      </c>
      <c r="AI54" s="10">
        <v>2892958.1949999998</v>
      </c>
      <c r="AJ54" s="10">
        <v>1093426.8406</v>
      </c>
      <c r="AK54" s="10">
        <v>2036732.8163000001</v>
      </c>
      <c r="AL54" s="10">
        <v>1582566.2609000001</v>
      </c>
      <c r="AM54" s="10">
        <v>2691829.3437000001</v>
      </c>
      <c r="AN54" s="10"/>
      <c r="AO54" s="10"/>
      <c r="AP54" s="10"/>
      <c r="AQ54" s="10">
        <v>511913.82069999998</v>
      </c>
      <c r="AR54" s="10"/>
      <c r="AS54" s="10">
        <v>85555.308900000004</v>
      </c>
      <c r="AT54" s="10">
        <v>702525.04449999996</v>
      </c>
      <c r="AU54" s="10">
        <v>3507551.8305779998</v>
      </c>
      <c r="AV54" s="10">
        <v>1675445.3810000001</v>
      </c>
      <c r="AW54" s="10">
        <v>2511803.5068999999</v>
      </c>
      <c r="AX54" s="10">
        <v>597763.21160000004</v>
      </c>
      <c r="AY54" s="10"/>
      <c r="AZ54" s="10"/>
      <c r="BA54" s="10">
        <v>692027.81770000001</v>
      </c>
      <c r="BB54" s="10">
        <v>1573618.3463999999</v>
      </c>
      <c r="BC54" s="10">
        <v>239240.704</v>
      </c>
      <c r="BD54" s="10">
        <v>1231077.2189</v>
      </c>
      <c r="BE54" s="10"/>
      <c r="BF54" s="10"/>
      <c r="BG54" s="10">
        <v>2590883.0797700002</v>
      </c>
      <c r="BH54" s="10"/>
      <c r="BI54" s="10"/>
      <c r="BJ54" s="10"/>
      <c r="BK54" s="10">
        <v>2609602.9445000002</v>
      </c>
      <c r="BL54" s="10">
        <v>976377.70209999999</v>
      </c>
      <c r="BM54" s="10">
        <v>251140.67980000001</v>
      </c>
      <c r="BN54" s="10"/>
      <c r="BO54" s="10">
        <v>339091.2648</v>
      </c>
      <c r="BP54" s="10"/>
      <c r="BQ54" s="10"/>
      <c r="BR54" s="10">
        <v>127209.2461</v>
      </c>
      <c r="BS54" s="10">
        <v>882552.21771999996</v>
      </c>
      <c r="BT54" s="10">
        <v>1206247.8433999999</v>
      </c>
      <c r="BU54" s="10">
        <v>70724.462249999997</v>
      </c>
      <c r="BV54" s="10"/>
      <c r="BW54" s="10">
        <v>728229.54440000001</v>
      </c>
      <c r="BX54" s="10">
        <v>117719.1538</v>
      </c>
      <c r="BY54" s="10"/>
      <c r="BZ54" s="10">
        <v>568307.29969999997</v>
      </c>
      <c r="CA54" s="10"/>
      <c r="CB54" s="10">
        <v>1366980.0751</v>
      </c>
      <c r="CC54" s="10">
        <v>307686.12414000003</v>
      </c>
      <c r="CD54" s="10">
        <v>1428099.8330000001</v>
      </c>
      <c r="CE54" s="10">
        <v>238022.01920000001</v>
      </c>
      <c r="CF54" s="10">
        <v>246334.2812</v>
      </c>
      <c r="CG54" s="10">
        <v>88331.349000000002</v>
      </c>
      <c r="CH54" s="10"/>
      <c r="CI54" s="10">
        <v>76215.615999999995</v>
      </c>
      <c r="CJ54" s="10">
        <v>206121.24702000001</v>
      </c>
      <c r="CK54" s="10"/>
      <c r="CL54" s="10"/>
      <c r="CM54" s="10"/>
      <c r="CN54" s="10">
        <v>292926.10600000003</v>
      </c>
      <c r="CO54" s="10">
        <v>148571.89214700001</v>
      </c>
      <c r="CP54" s="10"/>
      <c r="CQ54" s="10"/>
      <c r="CR54" s="10"/>
      <c r="CS54" s="10"/>
      <c r="CT54" s="10">
        <v>452382.86384000001</v>
      </c>
      <c r="CU54" s="10">
        <v>25123.893</v>
      </c>
      <c r="CV54" s="10">
        <v>53951.974999999999</v>
      </c>
      <c r="CW54" s="10"/>
      <c r="CX54" s="10">
        <v>100324.45825</v>
      </c>
      <c r="CY54" s="10"/>
      <c r="CZ54" s="10"/>
      <c r="DA54" s="10">
        <v>72055.383600000001</v>
      </c>
      <c r="DB54" s="10"/>
      <c r="DC54" s="10">
        <v>58566.150655999998</v>
      </c>
      <c r="DD54" s="10">
        <v>73059.148100000006</v>
      </c>
      <c r="DE54" s="10"/>
      <c r="DF54" s="10">
        <v>97004.249249999993</v>
      </c>
      <c r="DG54" s="10"/>
      <c r="DH54" s="10">
        <v>30080.940500000001</v>
      </c>
      <c r="DI54" s="10"/>
      <c r="DJ54" s="10"/>
      <c r="DK54" s="10"/>
      <c r="DL54" s="10">
        <v>82707.432000000001</v>
      </c>
      <c r="DM54" s="10"/>
      <c r="DN54" s="10">
        <v>63483.157270000003</v>
      </c>
      <c r="DO54" s="10"/>
      <c r="DP54" s="10">
        <v>19312.9607</v>
      </c>
      <c r="DQ54" s="10"/>
      <c r="DR54" s="10">
        <v>26039.540499999999</v>
      </c>
      <c r="DS54" s="10">
        <v>67139.440400000007</v>
      </c>
      <c r="DT54" s="10">
        <v>76564.467600000004</v>
      </c>
      <c r="DU54" s="10"/>
      <c r="DV54" s="10"/>
      <c r="DW54" s="10"/>
      <c r="DX54" s="10"/>
      <c r="DY54" s="10">
        <v>34595.292840000002</v>
      </c>
      <c r="DZ54" s="10">
        <v>33713.583200000001</v>
      </c>
      <c r="EA54" s="10">
        <v>0</v>
      </c>
      <c r="EB54" s="10"/>
      <c r="EC54" s="10">
        <v>28926.658051999999</v>
      </c>
      <c r="ED54" s="10">
        <v>49448.356299999999</v>
      </c>
      <c r="EE54" s="10"/>
      <c r="EF54" s="10">
        <v>48639.226499999997</v>
      </c>
      <c r="EG54" s="10"/>
      <c r="EH54" s="10">
        <v>13242.18188</v>
      </c>
      <c r="EI54" s="10"/>
      <c r="EJ54" s="10">
        <v>8727.9236999999994</v>
      </c>
      <c r="EK54" s="10"/>
      <c r="EL54" s="10"/>
      <c r="EM54" s="10">
        <v>19323.132600000001</v>
      </c>
      <c r="EN54" s="10"/>
      <c r="EO54" s="10"/>
      <c r="EP54" s="10"/>
      <c r="EQ54" s="10"/>
      <c r="ER54" s="10">
        <v>15290.2315</v>
      </c>
      <c r="ES54" s="10">
        <v>26477.647799999999</v>
      </c>
      <c r="ET54" s="10">
        <v>15487.887500000001</v>
      </c>
      <c r="EU54" s="10"/>
      <c r="EV54" s="10">
        <v>89301.588199999998</v>
      </c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>
        <v>0</v>
      </c>
      <c r="GB54" s="10"/>
      <c r="GC54" s="10"/>
      <c r="GD54" s="10"/>
      <c r="GE54" s="10">
        <v>0</v>
      </c>
      <c r="GF54" s="10">
        <v>0</v>
      </c>
      <c r="GG54" s="10">
        <v>0</v>
      </c>
    </row>
    <row r="55" spans="1:189" x14ac:dyDescent="0.35">
      <c r="A55" s="8">
        <v>46110</v>
      </c>
      <c r="B55" s="9">
        <v>1674429117.96609</v>
      </c>
      <c r="C55" s="10">
        <v>944659238.90458596</v>
      </c>
      <c r="D55" s="10">
        <v>458678950.83794999</v>
      </c>
      <c r="E55" s="10">
        <v>62457083.592909999</v>
      </c>
      <c r="F55" s="10"/>
      <c r="G55" s="10">
        <v>14558443.7546</v>
      </c>
      <c r="H55" s="10">
        <v>43792651.342282496</v>
      </c>
      <c r="I55" s="10">
        <v>1625829.9786</v>
      </c>
      <c r="J55" s="10"/>
      <c r="K55" s="10">
        <v>5146107.8874357296</v>
      </c>
      <c r="L55" s="10">
        <v>12709273.5307</v>
      </c>
      <c r="M55" s="10">
        <v>1867766.1449</v>
      </c>
      <c r="N55" s="10">
        <v>5901208.5601000004</v>
      </c>
      <c r="O55" s="10">
        <v>3378475.7809000001</v>
      </c>
      <c r="P55" s="10">
        <v>2178539.5819000001</v>
      </c>
      <c r="Q55" s="10"/>
      <c r="R55" s="10">
        <v>14286827.4430176</v>
      </c>
      <c r="S55" s="10">
        <v>41546197.820150003</v>
      </c>
      <c r="T55" s="10">
        <v>713246.3922</v>
      </c>
      <c r="U55" s="10">
        <v>5124887.2333651502</v>
      </c>
      <c r="V55" s="10">
        <v>4883749.9045025203</v>
      </c>
      <c r="W55" s="10">
        <v>1213825.2666941199</v>
      </c>
      <c r="X55" s="10">
        <v>98707.371400000004</v>
      </c>
      <c r="Y55" s="10"/>
      <c r="Z55" s="10">
        <v>3916140.9250052301</v>
      </c>
      <c r="AA55" s="10">
        <v>718594.5834</v>
      </c>
      <c r="AB55" s="10">
        <v>1699553.4535000001</v>
      </c>
      <c r="AC55" s="10">
        <v>436499.27842924901</v>
      </c>
      <c r="AD55" s="10"/>
      <c r="AE55" s="10">
        <v>1314861.9353100001</v>
      </c>
      <c r="AF55" s="10">
        <v>869338.5638</v>
      </c>
      <c r="AG55" s="10">
        <v>10842376.7698</v>
      </c>
      <c r="AH55" s="10">
        <v>87990.492599999998</v>
      </c>
      <c r="AI55" s="10">
        <v>5868099.7070000004</v>
      </c>
      <c r="AJ55" s="10">
        <v>2001586.8792000001</v>
      </c>
      <c r="AK55" s="10">
        <v>2342286.5104999999</v>
      </c>
      <c r="AL55" s="10">
        <v>1316240.966</v>
      </c>
      <c r="AM55" s="10">
        <v>304324.42749999999</v>
      </c>
      <c r="AN55" s="10"/>
      <c r="AO55" s="10"/>
      <c r="AP55" s="10"/>
      <c r="AQ55" s="10">
        <v>106848.35430000001</v>
      </c>
      <c r="AR55" s="10"/>
      <c r="AS55" s="10">
        <v>53504.562100000003</v>
      </c>
      <c r="AT55" s="10">
        <v>683156.45880000002</v>
      </c>
      <c r="AU55" s="10">
        <v>425357.43830500002</v>
      </c>
      <c r="AV55" s="10">
        <v>244468.13020000001</v>
      </c>
      <c r="AW55" s="10">
        <v>303012.03450000001</v>
      </c>
      <c r="AX55" s="10">
        <v>1221722.9384000001</v>
      </c>
      <c r="AY55" s="10"/>
      <c r="AZ55" s="10"/>
      <c r="BA55" s="10">
        <v>879253.32819999999</v>
      </c>
      <c r="BB55" s="10">
        <v>222050.10019999999</v>
      </c>
      <c r="BC55" s="10">
        <v>213927.565</v>
      </c>
      <c r="BD55" s="10">
        <v>15660.9949</v>
      </c>
      <c r="BE55" s="10"/>
      <c r="BF55" s="10"/>
      <c r="BG55" s="10">
        <v>1207129.4688299999</v>
      </c>
      <c r="BH55" s="10"/>
      <c r="BI55" s="10"/>
      <c r="BJ55" s="10"/>
      <c r="BK55" s="10">
        <v>2137588.1458999999</v>
      </c>
      <c r="BL55" s="10">
        <v>47901.905700000003</v>
      </c>
      <c r="BM55" s="10">
        <v>303199.51679999998</v>
      </c>
      <c r="BN55" s="10"/>
      <c r="BO55" s="10">
        <v>3105233.2634999999</v>
      </c>
      <c r="BP55" s="10"/>
      <c r="BQ55" s="10"/>
      <c r="BR55" s="10">
        <v>75557.789399999994</v>
      </c>
      <c r="BS55" s="10">
        <v>70114.144589999996</v>
      </c>
      <c r="BT55" s="10">
        <v>1701177.9235</v>
      </c>
      <c r="BU55" s="10">
        <v>63195.216229999998</v>
      </c>
      <c r="BV55" s="10"/>
      <c r="BW55" s="10">
        <v>399147.62650000001</v>
      </c>
      <c r="BX55" s="10">
        <v>140182.64319999999</v>
      </c>
      <c r="BY55" s="10"/>
      <c r="BZ55" s="10">
        <v>40000.082199999997</v>
      </c>
      <c r="CA55" s="10"/>
      <c r="CB55" s="10">
        <v>1268658.9547999999</v>
      </c>
      <c r="CC55" s="10">
        <v>25795.42352</v>
      </c>
      <c r="CD55" s="10">
        <v>1054539.1295</v>
      </c>
      <c r="CE55" s="10">
        <v>206435.94209999999</v>
      </c>
      <c r="CF55" s="10">
        <v>19511.087</v>
      </c>
      <c r="CG55" s="10">
        <v>73828.475999999995</v>
      </c>
      <c r="CH55" s="10"/>
      <c r="CI55" s="10">
        <v>298701.51289999997</v>
      </c>
      <c r="CJ55" s="10">
        <v>26552.51252</v>
      </c>
      <c r="CK55" s="10"/>
      <c r="CL55" s="10"/>
      <c r="CM55" s="10"/>
      <c r="CN55" s="10">
        <v>174892.014</v>
      </c>
      <c r="CO55" s="10">
        <v>13933.785755999999</v>
      </c>
      <c r="CP55" s="10"/>
      <c r="CQ55" s="10"/>
      <c r="CR55" s="10"/>
      <c r="CS55" s="10"/>
      <c r="CT55" s="10">
        <v>106969.62989</v>
      </c>
      <c r="CU55" s="10">
        <v>18409.923999999999</v>
      </c>
      <c r="CV55" s="10">
        <v>64051.472399999999</v>
      </c>
      <c r="CW55" s="10"/>
      <c r="CX55" s="10">
        <v>75898.923639999994</v>
      </c>
      <c r="CY55" s="10"/>
      <c r="CZ55" s="10"/>
      <c r="DA55" s="10">
        <v>71224.656499999997</v>
      </c>
      <c r="DB55" s="10"/>
      <c r="DC55" s="10">
        <v>44326.214771999999</v>
      </c>
      <c r="DD55" s="10">
        <v>95198.656499999997</v>
      </c>
      <c r="DE55" s="10"/>
      <c r="DF55" s="10">
        <v>43909.453350000003</v>
      </c>
      <c r="DG55" s="10"/>
      <c r="DH55" s="10">
        <v>26680.596300000001</v>
      </c>
      <c r="DI55" s="10"/>
      <c r="DJ55" s="10"/>
      <c r="DK55" s="10"/>
      <c r="DL55" s="10">
        <v>67321.218999999997</v>
      </c>
      <c r="DM55" s="10"/>
      <c r="DN55" s="10">
        <v>77656.789300000004</v>
      </c>
      <c r="DO55" s="10"/>
      <c r="DP55" s="10">
        <v>19072.165499999999</v>
      </c>
      <c r="DQ55" s="10"/>
      <c r="DR55" s="10">
        <v>25789.436000000002</v>
      </c>
      <c r="DS55" s="10">
        <v>60434.200499999999</v>
      </c>
      <c r="DT55" s="10">
        <v>59354.7618</v>
      </c>
      <c r="DU55" s="10"/>
      <c r="DV55" s="10"/>
      <c r="DW55" s="10"/>
      <c r="DX55" s="10"/>
      <c r="DY55" s="10">
        <v>28840.347229999999</v>
      </c>
      <c r="DZ55" s="10">
        <v>19218.528999999999</v>
      </c>
      <c r="EA55" s="10">
        <v>0</v>
      </c>
      <c r="EB55" s="10"/>
      <c r="EC55" s="10">
        <v>29650.987301000001</v>
      </c>
      <c r="ED55" s="10">
        <v>12757.954400000001</v>
      </c>
      <c r="EE55" s="10"/>
      <c r="EF55" s="10">
        <v>33863.751300000004</v>
      </c>
      <c r="EG55" s="10"/>
      <c r="EH55" s="10">
        <v>11108.75742</v>
      </c>
      <c r="EI55" s="10"/>
      <c r="EJ55" s="10">
        <v>11356.8869</v>
      </c>
      <c r="EK55" s="10"/>
      <c r="EL55" s="10"/>
      <c r="EM55" s="10">
        <v>19350.244299999998</v>
      </c>
      <c r="EN55" s="10"/>
      <c r="EO55" s="10"/>
      <c r="EP55" s="10"/>
      <c r="EQ55" s="10"/>
      <c r="ER55" s="10">
        <v>13742.344300000001</v>
      </c>
      <c r="ES55" s="10">
        <v>14679.9539</v>
      </c>
      <c r="ET55" s="10">
        <v>13457.635899999999</v>
      </c>
      <c r="EU55" s="10"/>
      <c r="EV55" s="10">
        <v>3648.1851000000001</v>
      </c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>
        <v>0</v>
      </c>
      <c r="GB55" s="10"/>
      <c r="GC55" s="10"/>
      <c r="GD55" s="10"/>
      <c r="GE55" s="10">
        <v>0</v>
      </c>
      <c r="GF55" s="10">
        <v>0</v>
      </c>
      <c r="GG55" s="10">
        <v>0</v>
      </c>
    </row>
    <row r="56" spans="1:189" x14ac:dyDescent="0.35">
      <c r="A56" s="8">
        <v>46109</v>
      </c>
      <c r="B56" s="9">
        <v>554381153.64421105</v>
      </c>
      <c r="C56" s="10">
        <v>289457687.755575</v>
      </c>
      <c r="D56" s="10">
        <v>69372912.265430003</v>
      </c>
      <c r="E56" s="10">
        <v>22790372.322050001</v>
      </c>
      <c r="F56" s="10"/>
      <c r="G56" s="10">
        <v>14399335.838</v>
      </c>
      <c r="H56" s="10">
        <v>32338806.017197099</v>
      </c>
      <c r="I56" s="10">
        <v>2032276.2985</v>
      </c>
      <c r="J56" s="10"/>
      <c r="K56" s="10">
        <v>5251553.1602125997</v>
      </c>
      <c r="L56" s="10">
        <v>10825632.1568</v>
      </c>
      <c r="M56" s="10">
        <v>1773548.0223000001</v>
      </c>
      <c r="N56" s="10">
        <v>5180507.2060000002</v>
      </c>
      <c r="O56" s="10">
        <v>1610740.3949</v>
      </c>
      <c r="P56" s="10">
        <v>2066948.3319999999</v>
      </c>
      <c r="Q56" s="10"/>
      <c r="R56" s="10">
        <v>8786068.1781530809</v>
      </c>
      <c r="S56" s="10">
        <v>35931015.821929999</v>
      </c>
      <c r="T56" s="10">
        <v>1415320.0903</v>
      </c>
      <c r="U56" s="10">
        <v>3428226.1089977301</v>
      </c>
      <c r="V56" s="10">
        <v>8453374.9115120191</v>
      </c>
      <c r="W56" s="10">
        <v>821833.56132349197</v>
      </c>
      <c r="X56" s="10">
        <v>55580.5887</v>
      </c>
      <c r="Y56" s="10"/>
      <c r="Z56" s="10">
        <v>3167058.4840437798</v>
      </c>
      <c r="AA56" s="10">
        <v>733404.45609999995</v>
      </c>
      <c r="AB56" s="10">
        <v>585565.92359999998</v>
      </c>
      <c r="AC56" s="10">
        <v>397618.78609487001</v>
      </c>
      <c r="AD56" s="10"/>
      <c r="AE56" s="10">
        <v>478873.87959999999</v>
      </c>
      <c r="AF56" s="10">
        <v>1165455.1549</v>
      </c>
      <c r="AG56" s="10">
        <v>2317116.3557000002</v>
      </c>
      <c r="AH56" s="10">
        <v>113147.2592</v>
      </c>
      <c r="AI56" s="10">
        <v>3169187.736</v>
      </c>
      <c r="AJ56" s="10">
        <v>2013635.2204</v>
      </c>
      <c r="AK56" s="10">
        <v>1282863.2137</v>
      </c>
      <c r="AL56" s="10">
        <v>762151.86860000005</v>
      </c>
      <c r="AM56" s="10">
        <v>712011.12230000005</v>
      </c>
      <c r="AN56" s="10"/>
      <c r="AO56" s="10"/>
      <c r="AP56" s="10"/>
      <c r="AQ56" s="10">
        <v>115307.2553</v>
      </c>
      <c r="AR56" s="10"/>
      <c r="AS56" s="10">
        <v>22516.7052</v>
      </c>
      <c r="AT56" s="10">
        <v>381076.42879999999</v>
      </c>
      <c r="AU56" s="10">
        <v>254269.02891699999</v>
      </c>
      <c r="AV56" s="10">
        <v>112212.7928</v>
      </c>
      <c r="AW56" s="10">
        <v>467196.96799999999</v>
      </c>
      <c r="AX56" s="10">
        <v>1583643.5486999999</v>
      </c>
      <c r="AY56" s="10"/>
      <c r="AZ56" s="10"/>
      <c r="BA56" s="10">
        <v>1321499.7313999999</v>
      </c>
      <c r="BB56" s="10">
        <v>1356355.8640000001</v>
      </c>
      <c r="BC56" s="10">
        <v>250292.28200000001</v>
      </c>
      <c r="BD56" s="10">
        <v>82746.694199999998</v>
      </c>
      <c r="BE56" s="10"/>
      <c r="BF56" s="10"/>
      <c r="BG56" s="10">
        <v>416458.69357</v>
      </c>
      <c r="BH56" s="10"/>
      <c r="BI56" s="10"/>
      <c r="BJ56" s="10"/>
      <c r="BK56" s="10">
        <v>957547.05330000003</v>
      </c>
      <c r="BL56" s="10">
        <v>152028.4135</v>
      </c>
      <c r="BM56" s="10">
        <v>212746.90820000001</v>
      </c>
      <c r="BN56" s="10"/>
      <c r="BO56" s="10">
        <v>2278596.2645</v>
      </c>
      <c r="BP56" s="10"/>
      <c r="BQ56" s="10"/>
      <c r="BR56" s="10">
        <v>40174.736100000002</v>
      </c>
      <c r="BS56" s="10">
        <v>24314.150259999999</v>
      </c>
      <c r="BT56" s="10">
        <v>750475.02819999994</v>
      </c>
      <c r="BU56" s="10">
        <v>41096.843249999998</v>
      </c>
      <c r="BV56" s="10"/>
      <c r="BW56" s="10">
        <v>58996.845500000003</v>
      </c>
      <c r="BX56" s="10">
        <v>322160.42249999999</v>
      </c>
      <c r="BY56" s="10"/>
      <c r="BZ56" s="10">
        <v>2318351.8302000002</v>
      </c>
      <c r="CA56" s="10"/>
      <c r="CB56" s="10">
        <v>1330343.202</v>
      </c>
      <c r="CC56" s="10">
        <v>26141.069940000001</v>
      </c>
      <c r="CD56" s="10">
        <v>2057534.2701000001</v>
      </c>
      <c r="CE56" s="10">
        <v>803164.4632</v>
      </c>
      <c r="CF56" s="10">
        <v>246069.11679999999</v>
      </c>
      <c r="CG56" s="10">
        <v>98362.528000000006</v>
      </c>
      <c r="CH56" s="10"/>
      <c r="CI56" s="10">
        <v>122227.837</v>
      </c>
      <c r="CJ56" s="10">
        <v>201541.7164</v>
      </c>
      <c r="CK56" s="10"/>
      <c r="CL56" s="10"/>
      <c r="CM56" s="10"/>
      <c r="CN56" s="10">
        <v>501508.16200000001</v>
      </c>
      <c r="CO56" s="10">
        <v>26354.537350999999</v>
      </c>
      <c r="CP56" s="10"/>
      <c r="CQ56" s="10"/>
      <c r="CR56" s="10"/>
      <c r="CS56" s="10"/>
      <c r="CT56" s="10">
        <v>1672451.9396299999</v>
      </c>
      <c r="CU56" s="10">
        <v>18546.812999999998</v>
      </c>
      <c r="CV56" s="10">
        <v>50078.074699999997</v>
      </c>
      <c r="CW56" s="10"/>
      <c r="CX56" s="10">
        <v>78098.405549999996</v>
      </c>
      <c r="CY56" s="10"/>
      <c r="CZ56" s="10"/>
      <c r="DA56" s="10">
        <v>36016.1751</v>
      </c>
      <c r="DB56" s="10"/>
      <c r="DC56" s="10">
        <v>81002.116081999993</v>
      </c>
      <c r="DD56" s="10">
        <v>32386.0052</v>
      </c>
      <c r="DE56" s="10"/>
      <c r="DF56" s="10">
        <v>31971.797780000001</v>
      </c>
      <c r="DG56" s="10"/>
      <c r="DH56" s="10">
        <v>28258.646400000001</v>
      </c>
      <c r="DI56" s="10"/>
      <c r="DJ56" s="10"/>
      <c r="DK56" s="10"/>
      <c r="DL56" s="10">
        <v>75604.986000000004</v>
      </c>
      <c r="DM56" s="10"/>
      <c r="DN56" s="10">
        <v>57832.282180000002</v>
      </c>
      <c r="DO56" s="10"/>
      <c r="DP56" s="10">
        <v>19355.525699999998</v>
      </c>
      <c r="DQ56" s="10"/>
      <c r="DR56" s="10">
        <v>35241.740400000002</v>
      </c>
      <c r="DS56" s="10">
        <v>71007.016300000003</v>
      </c>
      <c r="DT56" s="10">
        <v>66344.909899999999</v>
      </c>
      <c r="DU56" s="10"/>
      <c r="DV56" s="10"/>
      <c r="DW56" s="10"/>
      <c r="DX56" s="10"/>
      <c r="DY56" s="10">
        <v>25839.09534</v>
      </c>
      <c r="DZ56" s="10">
        <v>21064.741900000001</v>
      </c>
      <c r="EA56" s="10">
        <v>0</v>
      </c>
      <c r="EB56" s="10"/>
      <c r="EC56" s="10">
        <v>28815.178681000001</v>
      </c>
      <c r="ED56" s="10">
        <v>11832.336300000001</v>
      </c>
      <c r="EE56" s="10"/>
      <c r="EF56" s="10">
        <v>35530.005799999999</v>
      </c>
      <c r="EG56" s="10"/>
      <c r="EH56" s="10">
        <v>12279.12046</v>
      </c>
      <c r="EI56" s="10"/>
      <c r="EJ56" s="10">
        <v>1911.021</v>
      </c>
      <c r="EK56" s="10"/>
      <c r="EL56" s="10"/>
      <c r="EM56" s="10">
        <v>20134.231599999999</v>
      </c>
      <c r="EN56" s="10"/>
      <c r="EO56" s="10"/>
      <c r="EP56" s="10"/>
      <c r="EQ56" s="10"/>
      <c r="ER56" s="10">
        <v>17991.355299999999</v>
      </c>
      <c r="ES56" s="10">
        <v>15053.5869</v>
      </c>
      <c r="ET56" s="10">
        <v>13366.655699999999</v>
      </c>
      <c r="EU56" s="10"/>
      <c r="EV56" s="10">
        <v>0</v>
      </c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>
        <v>0</v>
      </c>
      <c r="GB56" s="10"/>
      <c r="GC56" s="10"/>
      <c r="GD56" s="10"/>
      <c r="GE56" s="10">
        <v>0</v>
      </c>
      <c r="GF56" s="10">
        <v>0</v>
      </c>
      <c r="GG56" s="10">
        <v>0</v>
      </c>
    </row>
    <row r="57" spans="1:189" x14ac:dyDescent="0.35">
      <c r="A57" s="8">
        <v>46108</v>
      </c>
      <c r="B57" s="9">
        <v>6497726559.0698204</v>
      </c>
      <c r="C57" s="10">
        <v>3033277761.0795498</v>
      </c>
      <c r="D57" s="10">
        <v>2668680820.0026398</v>
      </c>
      <c r="E57" s="10">
        <v>52463601.639219999</v>
      </c>
      <c r="F57" s="10"/>
      <c r="G57" s="10">
        <v>199628798.61199999</v>
      </c>
      <c r="H57" s="10">
        <v>169161127.63415399</v>
      </c>
      <c r="I57" s="10">
        <v>7820255.9460000005</v>
      </c>
      <c r="J57" s="10"/>
      <c r="K57" s="10">
        <v>36986607.445455499</v>
      </c>
      <c r="L57" s="10">
        <v>79708091.453899994</v>
      </c>
      <c r="M57" s="10">
        <v>20605620.5601</v>
      </c>
      <c r="N57" s="10">
        <v>57225716.815300003</v>
      </c>
      <c r="O57" s="10">
        <v>14120970.8759</v>
      </c>
      <c r="P57" s="10">
        <v>16333958.838300001</v>
      </c>
      <c r="Q57" s="10"/>
      <c r="R57" s="10">
        <v>13387990.2888459</v>
      </c>
      <c r="S57" s="10">
        <v>24272715.874639999</v>
      </c>
      <c r="T57" s="10">
        <v>13830216.6361</v>
      </c>
      <c r="U57" s="10">
        <v>14019940.7336533</v>
      </c>
      <c r="V57" s="10">
        <v>10735459.323073201</v>
      </c>
      <c r="W57" s="10">
        <v>4063015.7431012001</v>
      </c>
      <c r="X57" s="10">
        <v>164742.55989999999</v>
      </c>
      <c r="Y57" s="10"/>
      <c r="Z57" s="10">
        <v>8790552.3297157008</v>
      </c>
      <c r="AA57" s="10">
        <v>3328063.3921554</v>
      </c>
      <c r="AB57" s="10">
        <v>2510400.8524000002</v>
      </c>
      <c r="AC57" s="10">
        <v>3470397.4502729001</v>
      </c>
      <c r="AD57" s="10"/>
      <c r="AE57" s="10">
        <v>3990962.9191000001</v>
      </c>
      <c r="AF57" s="10">
        <v>1186354.6897</v>
      </c>
      <c r="AG57" s="10">
        <v>2369056.2940000002</v>
      </c>
      <c r="AH57" s="10">
        <v>521607.82030000002</v>
      </c>
      <c r="AI57" s="10">
        <v>890849.321</v>
      </c>
      <c r="AJ57" s="10">
        <v>942250.48419999995</v>
      </c>
      <c r="AK57" s="10">
        <v>1530767.0093</v>
      </c>
      <c r="AL57" s="10">
        <v>1983921.2524999999</v>
      </c>
      <c r="AM57" s="10">
        <v>895148.01789999998</v>
      </c>
      <c r="AN57" s="10"/>
      <c r="AO57" s="10"/>
      <c r="AP57" s="10"/>
      <c r="AQ57" s="10">
        <v>672790.36540000001</v>
      </c>
      <c r="AR57" s="10"/>
      <c r="AS57" s="10">
        <v>65053.8361</v>
      </c>
      <c r="AT57" s="10">
        <v>1071561.7297</v>
      </c>
      <c r="AU57" s="10">
        <v>2863569.7639520001</v>
      </c>
      <c r="AV57" s="10">
        <v>1010528.3399</v>
      </c>
      <c r="AW57" s="10">
        <v>1865035.1539</v>
      </c>
      <c r="AX57" s="10">
        <v>692432.19770000002</v>
      </c>
      <c r="AY57" s="10"/>
      <c r="AZ57" s="10"/>
      <c r="BA57" s="10">
        <v>194819.15059999999</v>
      </c>
      <c r="BB57" s="10">
        <v>1342718.8267999999</v>
      </c>
      <c r="BC57" s="10">
        <v>1301812.6410000001</v>
      </c>
      <c r="BD57" s="10">
        <v>1928021.1018000001</v>
      </c>
      <c r="BE57" s="10"/>
      <c r="BF57" s="10"/>
      <c r="BG57" s="10">
        <v>969653.26463999995</v>
      </c>
      <c r="BH57" s="10"/>
      <c r="BI57" s="10"/>
      <c r="BJ57" s="10"/>
      <c r="BK57" s="10">
        <v>1575049.1484999999</v>
      </c>
      <c r="BL57" s="10">
        <v>782460.24170000001</v>
      </c>
      <c r="BM57" s="10">
        <v>264862.32949999999</v>
      </c>
      <c r="BN57" s="10"/>
      <c r="BO57" s="10">
        <v>659380.48349999997</v>
      </c>
      <c r="BP57" s="10"/>
      <c r="BQ57" s="10"/>
      <c r="BR57" s="10">
        <v>225119.57250000001</v>
      </c>
      <c r="BS57" s="10">
        <v>132845.08025999999</v>
      </c>
      <c r="BT57" s="10">
        <v>214211.95259999999</v>
      </c>
      <c r="BU57" s="10">
        <v>39701.153039999997</v>
      </c>
      <c r="BV57" s="10"/>
      <c r="BW57" s="10">
        <v>910361.15890000004</v>
      </c>
      <c r="BX57" s="10">
        <v>836423.91509999998</v>
      </c>
      <c r="BY57" s="10"/>
      <c r="BZ57" s="10">
        <v>1696864.7167</v>
      </c>
      <c r="CA57" s="10"/>
      <c r="CB57" s="10">
        <v>540665.32189999998</v>
      </c>
      <c r="CC57" s="10">
        <v>40736.62874</v>
      </c>
      <c r="CD57" s="10">
        <v>1895178.8866999999</v>
      </c>
      <c r="CE57" s="10">
        <v>1303779.8137999999</v>
      </c>
      <c r="CF57" s="10">
        <v>826868.14560000005</v>
      </c>
      <c r="CG57" s="10">
        <v>93022.270999999993</v>
      </c>
      <c r="CH57" s="10"/>
      <c r="CI57" s="10">
        <v>65294.984799999998</v>
      </c>
      <c r="CJ57" s="10">
        <v>780054.06770000001</v>
      </c>
      <c r="CK57" s="10"/>
      <c r="CL57" s="10"/>
      <c r="CM57" s="10"/>
      <c r="CN57" s="10">
        <v>174202.742</v>
      </c>
      <c r="CO57" s="10">
        <v>165083.48443099999</v>
      </c>
      <c r="CP57" s="10"/>
      <c r="CQ57" s="10"/>
      <c r="CR57" s="10"/>
      <c r="CS57" s="10"/>
      <c r="CT57" s="10">
        <v>272160.37034999998</v>
      </c>
      <c r="CU57" s="10">
        <v>21218.803</v>
      </c>
      <c r="CV57" s="10">
        <v>91701.124899999995</v>
      </c>
      <c r="CW57" s="10"/>
      <c r="CX57" s="10">
        <v>74656.082980000007</v>
      </c>
      <c r="CY57" s="10"/>
      <c r="CZ57" s="10"/>
      <c r="DA57" s="10">
        <v>63389.315999999999</v>
      </c>
      <c r="DB57" s="10"/>
      <c r="DC57" s="10">
        <v>173416.86321499999</v>
      </c>
      <c r="DD57" s="10">
        <v>116606.6059</v>
      </c>
      <c r="DE57" s="10"/>
      <c r="DF57" s="10">
        <v>130027.65631999999</v>
      </c>
      <c r="DG57" s="10"/>
      <c r="DH57" s="10">
        <v>35514.416400000002</v>
      </c>
      <c r="DI57" s="10"/>
      <c r="DJ57" s="10"/>
      <c r="DK57" s="10"/>
      <c r="DL57" s="10">
        <v>85173.870999999999</v>
      </c>
      <c r="DM57" s="10"/>
      <c r="DN57" s="10">
        <v>82957.309659999999</v>
      </c>
      <c r="DO57" s="10"/>
      <c r="DP57" s="10">
        <v>19553.076400000002</v>
      </c>
      <c r="DQ57" s="10"/>
      <c r="DR57" s="10">
        <v>31086.641599999999</v>
      </c>
      <c r="DS57" s="10">
        <v>78086.160799999998</v>
      </c>
      <c r="DT57" s="10">
        <v>69204.101699999999</v>
      </c>
      <c r="DU57" s="10"/>
      <c r="DV57" s="10"/>
      <c r="DW57" s="10"/>
      <c r="DX57" s="10"/>
      <c r="DY57" s="10">
        <v>35294.625390000001</v>
      </c>
      <c r="DZ57" s="10">
        <v>57149.319300000003</v>
      </c>
      <c r="EA57" s="10">
        <v>0</v>
      </c>
      <c r="EB57" s="10"/>
      <c r="EC57" s="10">
        <v>33265.893542999998</v>
      </c>
      <c r="ED57" s="10">
        <v>14504.331200000001</v>
      </c>
      <c r="EE57" s="10"/>
      <c r="EF57" s="10">
        <v>36037.4643</v>
      </c>
      <c r="EG57" s="10"/>
      <c r="EH57" s="10">
        <v>12903.408369999999</v>
      </c>
      <c r="EI57" s="10"/>
      <c r="EJ57" s="10">
        <v>15116.7781</v>
      </c>
      <c r="EK57" s="10"/>
      <c r="EL57" s="10"/>
      <c r="EM57" s="10">
        <v>19930.915700000001</v>
      </c>
      <c r="EN57" s="10"/>
      <c r="EO57" s="10"/>
      <c r="EP57" s="10"/>
      <c r="EQ57" s="10"/>
      <c r="ER57" s="10">
        <v>17727.501799999998</v>
      </c>
      <c r="ES57" s="10">
        <v>17181.909</v>
      </c>
      <c r="ET57" s="10">
        <v>18852.3478</v>
      </c>
      <c r="EU57" s="10"/>
      <c r="EV57" s="10">
        <v>5935.8102600000002</v>
      </c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>
        <v>0</v>
      </c>
      <c r="GB57" s="10"/>
      <c r="GC57" s="10"/>
      <c r="GD57" s="10"/>
      <c r="GE57" s="10">
        <v>0</v>
      </c>
      <c r="GF57" s="10">
        <v>0</v>
      </c>
      <c r="GG57" s="10">
        <v>0</v>
      </c>
    </row>
    <row r="58" spans="1:189" x14ac:dyDescent="0.35">
      <c r="A58" s="8">
        <v>46107</v>
      </c>
      <c r="B58" s="9">
        <v>8951540331.6186295</v>
      </c>
      <c r="C58" s="10">
        <v>4483378118.8864803</v>
      </c>
      <c r="D58" s="10">
        <v>3760550180.2727799</v>
      </c>
      <c r="E58" s="10">
        <v>62830502.999049999</v>
      </c>
      <c r="F58" s="10"/>
      <c r="G58" s="10">
        <v>148413110.5429</v>
      </c>
      <c r="H58" s="10">
        <v>136860756.37306499</v>
      </c>
      <c r="I58" s="10">
        <v>7455235.6414000001</v>
      </c>
      <c r="J58" s="10"/>
      <c r="K58" s="10">
        <v>23284597.1308957</v>
      </c>
      <c r="L58" s="10">
        <v>54678304.238499999</v>
      </c>
      <c r="M58" s="10">
        <v>19937261.730599999</v>
      </c>
      <c r="N58" s="10">
        <v>47244894.771499999</v>
      </c>
      <c r="O58" s="10">
        <v>18257978.215599999</v>
      </c>
      <c r="P58" s="10">
        <v>16967276.666200001</v>
      </c>
      <c r="Q58" s="10"/>
      <c r="R58" s="10">
        <v>10376168.120499199</v>
      </c>
      <c r="S58" s="10">
        <v>41723237.392410003</v>
      </c>
      <c r="T58" s="10">
        <v>16664837.4816</v>
      </c>
      <c r="U58" s="10">
        <v>16833903.163762901</v>
      </c>
      <c r="V58" s="10">
        <v>11075006.547744</v>
      </c>
      <c r="W58" s="10">
        <v>4481743.7396582998</v>
      </c>
      <c r="X58" s="10">
        <v>199563.18150000001</v>
      </c>
      <c r="Y58" s="10"/>
      <c r="Z58" s="10">
        <v>11548858.302135</v>
      </c>
      <c r="AA58" s="10">
        <v>2439871.8252900499</v>
      </c>
      <c r="AB58" s="10">
        <v>5761504.9434000002</v>
      </c>
      <c r="AC58" s="10">
        <v>957538.09593365004</v>
      </c>
      <c r="AD58" s="10"/>
      <c r="AE58" s="10">
        <v>5934550.88729</v>
      </c>
      <c r="AF58" s="10">
        <v>1236826.1557</v>
      </c>
      <c r="AG58" s="10">
        <v>2537956.1217</v>
      </c>
      <c r="AH58" s="10">
        <v>480212.12550000002</v>
      </c>
      <c r="AI58" s="10">
        <v>904252.51599999995</v>
      </c>
      <c r="AJ58" s="10">
        <v>796869.22869999998</v>
      </c>
      <c r="AK58" s="10">
        <v>1086856.0917</v>
      </c>
      <c r="AL58" s="10">
        <v>1819536.1396999999</v>
      </c>
      <c r="AM58" s="10">
        <v>3128915.8021999998</v>
      </c>
      <c r="AN58" s="10"/>
      <c r="AO58" s="10"/>
      <c r="AP58" s="10"/>
      <c r="AQ58" s="10">
        <v>834912.07079999999</v>
      </c>
      <c r="AR58" s="10"/>
      <c r="AS58" s="10">
        <v>288671.37469999999</v>
      </c>
      <c r="AT58" s="10">
        <v>1124276.9904</v>
      </c>
      <c r="AU58" s="10">
        <v>2223111.7935839999</v>
      </c>
      <c r="AV58" s="10">
        <v>1128550.2622</v>
      </c>
      <c r="AW58" s="10">
        <v>2469157.6858000001</v>
      </c>
      <c r="AX58" s="10">
        <v>628011.61690000002</v>
      </c>
      <c r="AY58" s="10"/>
      <c r="AZ58" s="10"/>
      <c r="BA58" s="10">
        <v>182257.77369999999</v>
      </c>
      <c r="BB58" s="10">
        <v>2862059.1006</v>
      </c>
      <c r="BC58" s="10">
        <v>504517.424</v>
      </c>
      <c r="BD58" s="10">
        <v>3276335.3779000002</v>
      </c>
      <c r="BE58" s="10"/>
      <c r="BF58" s="10"/>
      <c r="BG58" s="10">
        <v>1767777.91967</v>
      </c>
      <c r="BH58" s="10"/>
      <c r="BI58" s="10"/>
      <c r="BJ58" s="10"/>
      <c r="BK58" s="10">
        <v>759433.73250000004</v>
      </c>
      <c r="BL58" s="10">
        <v>361570.86</v>
      </c>
      <c r="BM58" s="10">
        <v>82139.897800000006</v>
      </c>
      <c r="BN58" s="10"/>
      <c r="BO58" s="10">
        <v>1014834.9105</v>
      </c>
      <c r="BP58" s="10"/>
      <c r="BQ58" s="10"/>
      <c r="BR58" s="10">
        <v>52300.523500000003</v>
      </c>
      <c r="BS58" s="10">
        <v>120813.22996</v>
      </c>
      <c r="BT58" s="10">
        <v>369137.26620000001</v>
      </c>
      <c r="BU58" s="10">
        <v>140677.022</v>
      </c>
      <c r="BV58" s="10"/>
      <c r="BW58" s="10">
        <v>221683.00210000001</v>
      </c>
      <c r="BX58" s="10">
        <v>255130.93179999999</v>
      </c>
      <c r="BY58" s="10"/>
      <c r="BZ58" s="10">
        <v>819393.43599999999</v>
      </c>
      <c r="CA58" s="10"/>
      <c r="CB58" s="10">
        <v>324070.15850000002</v>
      </c>
      <c r="CC58" s="10">
        <v>119341.00842</v>
      </c>
      <c r="CD58" s="10">
        <v>1573394.9066000001</v>
      </c>
      <c r="CE58" s="10">
        <v>2098254.1132</v>
      </c>
      <c r="CF58" s="10">
        <v>291700.91810000001</v>
      </c>
      <c r="CG58" s="10">
        <v>84204.888999999996</v>
      </c>
      <c r="CH58" s="10"/>
      <c r="CI58" s="10">
        <v>166902.1465</v>
      </c>
      <c r="CJ58" s="10">
        <v>958558.46701000002</v>
      </c>
      <c r="CK58" s="10"/>
      <c r="CL58" s="10"/>
      <c r="CM58" s="10"/>
      <c r="CN58" s="10">
        <v>1010377.999</v>
      </c>
      <c r="CO58" s="10">
        <v>174459.96100700001</v>
      </c>
      <c r="CP58" s="10"/>
      <c r="CQ58" s="10"/>
      <c r="CR58" s="10"/>
      <c r="CS58" s="10"/>
      <c r="CT58" s="10">
        <v>2104442.9873199998</v>
      </c>
      <c r="CU58" s="10">
        <v>26900.228999999999</v>
      </c>
      <c r="CV58" s="10">
        <v>93663.476200000005</v>
      </c>
      <c r="CW58" s="10"/>
      <c r="CX58" s="10">
        <v>63089.719019999997</v>
      </c>
      <c r="CY58" s="10"/>
      <c r="CZ58" s="10"/>
      <c r="DA58" s="10">
        <v>75904.454199999993</v>
      </c>
      <c r="DB58" s="10"/>
      <c r="DC58" s="10">
        <v>60978.493108000002</v>
      </c>
      <c r="DD58" s="10">
        <v>88156.932499999995</v>
      </c>
      <c r="DE58" s="10"/>
      <c r="DF58" s="10">
        <v>118709.12818</v>
      </c>
      <c r="DG58" s="10"/>
      <c r="DH58" s="10">
        <v>40884.367100000003</v>
      </c>
      <c r="DI58" s="10"/>
      <c r="DJ58" s="10"/>
      <c r="DK58" s="10"/>
      <c r="DL58" s="10">
        <v>80257.654999999999</v>
      </c>
      <c r="DM58" s="10"/>
      <c r="DN58" s="10">
        <v>169864.09482999999</v>
      </c>
      <c r="DO58" s="10"/>
      <c r="DP58" s="10">
        <v>23775.252400000001</v>
      </c>
      <c r="DQ58" s="10"/>
      <c r="DR58" s="10">
        <v>27440.8874</v>
      </c>
      <c r="DS58" s="10">
        <v>67864.495999999999</v>
      </c>
      <c r="DT58" s="10">
        <v>78026.0432</v>
      </c>
      <c r="DU58" s="10"/>
      <c r="DV58" s="10"/>
      <c r="DW58" s="10"/>
      <c r="DX58" s="10"/>
      <c r="DY58" s="10">
        <v>30960.660639999998</v>
      </c>
      <c r="DZ58" s="10">
        <v>47809.810400000002</v>
      </c>
      <c r="EA58" s="10">
        <v>936.80200000000002</v>
      </c>
      <c r="EB58" s="10"/>
      <c r="EC58" s="10">
        <v>29143.697247</v>
      </c>
      <c r="ED58" s="10">
        <v>16255.990299999999</v>
      </c>
      <c r="EE58" s="10"/>
      <c r="EF58" s="10">
        <v>37320.327700000002</v>
      </c>
      <c r="EG58" s="10"/>
      <c r="EH58" s="10">
        <v>15022.044040000001</v>
      </c>
      <c r="EI58" s="10"/>
      <c r="EJ58" s="10">
        <v>8496.3443000000007</v>
      </c>
      <c r="EK58" s="10"/>
      <c r="EL58" s="10"/>
      <c r="EM58" s="10">
        <v>21705.1152</v>
      </c>
      <c r="EN58" s="10"/>
      <c r="EO58" s="10"/>
      <c r="EP58" s="10"/>
      <c r="EQ58" s="10"/>
      <c r="ER58" s="10">
        <v>17973.118999999999</v>
      </c>
      <c r="ES58" s="10">
        <v>20011.6692</v>
      </c>
      <c r="ET58" s="10">
        <v>40293.721799999999</v>
      </c>
      <c r="EU58" s="10"/>
      <c r="EV58" s="10">
        <v>0</v>
      </c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>
        <v>0</v>
      </c>
      <c r="GB58" s="10"/>
      <c r="GC58" s="10"/>
      <c r="GD58" s="10"/>
      <c r="GE58" s="10">
        <v>0</v>
      </c>
      <c r="GF58" s="10">
        <v>0</v>
      </c>
      <c r="GG58" s="10">
        <v>0</v>
      </c>
    </row>
    <row r="59" spans="1:189" x14ac:dyDescent="0.35">
      <c r="A59" s="8">
        <v>46106</v>
      </c>
      <c r="B59" s="9">
        <v>6722740064.8902998</v>
      </c>
      <c r="C59" s="10">
        <v>3496086536.4888802</v>
      </c>
      <c r="D59" s="10">
        <v>2427300205.9061699</v>
      </c>
      <c r="E59" s="10">
        <v>64624860.02696</v>
      </c>
      <c r="F59" s="10"/>
      <c r="G59" s="10">
        <v>268178239.19569999</v>
      </c>
      <c r="H59" s="10">
        <v>125035720.17829999</v>
      </c>
      <c r="I59" s="10">
        <v>10493385.6129</v>
      </c>
      <c r="J59" s="10"/>
      <c r="K59" s="10">
        <v>20115093.131345298</v>
      </c>
      <c r="L59" s="10">
        <v>68150361.642700002</v>
      </c>
      <c r="M59" s="10">
        <v>29244276.699999999</v>
      </c>
      <c r="N59" s="10">
        <v>44822221.437899999</v>
      </c>
      <c r="O59" s="10">
        <v>17188132.702599999</v>
      </c>
      <c r="P59" s="10">
        <v>24132583.098000001</v>
      </c>
      <c r="Q59" s="10"/>
      <c r="R59" s="10">
        <v>8382232.4774280498</v>
      </c>
      <c r="S59" s="10">
        <v>24759927.209550001</v>
      </c>
      <c r="T59" s="10">
        <v>13591348.6324</v>
      </c>
      <c r="U59" s="10">
        <v>15316335.2450273</v>
      </c>
      <c r="V59" s="10">
        <v>5848800.1454793504</v>
      </c>
      <c r="W59" s="10">
        <v>2405037.29246205</v>
      </c>
      <c r="X59" s="10">
        <v>140089.0171</v>
      </c>
      <c r="Y59" s="10"/>
      <c r="Z59" s="10">
        <v>4277780.8821008997</v>
      </c>
      <c r="AA59" s="10">
        <v>3371770.7622464998</v>
      </c>
      <c r="AB59" s="10">
        <v>4049781.3977000001</v>
      </c>
      <c r="AC59" s="10">
        <v>1071456.12299575</v>
      </c>
      <c r="AD59" s="10"/>
      <c r="AE59" s="10">
        <v>4012009.6083200001</v>
      </c>
      <c r="AF59" s="10">
        <v>1056318.0427999999</v>
      </c>
      <c r="AG59" s="10">
        <v>3465922.9267000002</v>
      </c>
      <c r="AH59" s="10">
        <v>1499588.0777</v>
      </c>
      <c r="AI59" s="10">
        <v>1424230.868</v>
      </c>
      <c r="AJ59" s="10">
        <v>1204438.2808000001</v>
      </c>
      <c r="AK59" s="10">
        <v>1737823.7631000001</v>
      </c>
      <c r="AL59" s="10">
        <v>643489.61540000001</v>
      </c>
      <c r="AM59" s="10">
        <v>2207388.2522</v>
      </c>
      <c r="AN59" s="10"/>
      <c r="AO59" s="10"/>
      <c r="AP59" s="10"/>
      <c r="AQ59" s="10">
        <v>407729.0969</v>
      </c>
      <c r="AR59" s="10"/>
      <c r="AS59" s="10">
        <v>5201.6837999999998</v>
      </c>
      <c r="AT59" s="10">
        <v>698875.84979999997</v>
      </c>
      <c r="AU59" s="10">
        <v>3134657.9807020002</v>
      </c>
      <c r="AV59" s="10">
        <v>445325.69819999998</v>
      </c>
      <c r="AW59" s="10">
        <v>2258935.6058999998</v>
      </c>
      <c r="AX59" s="10">
        <v>786978.31449999998</v>
      </c>
      <c r="AY59" s="10"/>
      <c r="AZ59" s="10"/>
      <c r="BA59" s="10">
        <v>1125930.733</v>
      </c>
      <c r="BB59" s="10">
        <v>793231.82209999999</v>
      </c>
      <c r="BC59" s="10">
        <v>416353.23800000001</v>
      </c>
      <c r="BD59" s="10">
        <v>1376513.5872</v>
      </c>
      <c r="BE59" s="10"/>
      <c r="BF59" s="10"/>
      <c r="BG59" s="10">
        <v>2190617.3754500002</v>
      </c>
      <c r="BH59" s="10"/>
      <c r="BI59" s="10"/>
      <c r="BJ59" s="10"/>
      <c r="BK59" s="10">
        <v>340862.21010000003</v>
      </c>
      <c r="BL59" s="10">
        <v>428857.71169999999</v>
      </c>
      <c r="BM59" s="10">
        <v>121847.1029</v>
      </c>
      <c r="BN59" s="10"/>
      <c r="BO59" s="10">
        <v>588106.25349999999</v>
      </c>
      <c r="BP59" s="10"/>
      <c r="BQ59" s="10"/>
      <c r="BR59" s="10">
        <v>110849.37270000001</v>
      </c>
      <c r="BS59" s="10">
        <v>175956.21758</v>
      </c>
      <c r="BT59" s="10">
        <v>113714.93120000001</v>
      </c>
      <c r="BU59" s="10">
        <v>153277.35475</v>
      </c>
      <c r="BV59" s="10"/>
      <c r="BW59" s="10">
        <v>2333556.4777000002</v>
      </c>
      <c r="BX59" s="10">
        <v>384290.97249999997</v>
      </c>
      <c r="BY59" s="10"/>
      <c r="BZ59" s="10">
        <v>499689.24839999998</v>
      </c>
      <c r="CA59" s="10"/>
      <c r="CB59" s="10">
        <v>1096077.6004000001</v>
      </c>
      <c r="CC59" s="10">
        <v>168642.97654</v>
      </c>
      <c r="CD59" s="10">
        <v>624167.97990000003</v>
      </c>
      <c r="CE59" s="10">
        <v>1463560.9617999999</v>
      </c>
      <c r="CF59" s="10">
        <v>168308.98439999999</v>
      </c>
      <c r="CG59" s="10">
        <v>139595.77600000001</v>
      </c>
      <c r="CH59" s="10"/>
      <c r="CI59" s="10">
        <v>24662.6145</v>
      </c>
      <c r="CJ59" s="10">
        <v>331158.60622999998</v>
      </c>
      <c r="CK59" s="10"/>
      <c r="CL59" s="10"/>
      <c r="CM59" s="10"/>
      <c r="CN59" s="10">
        <v>1060060.0260000001</v>
      </c>
      <c r="CO59" s="10">
        <v>588333.25343699998</v>
      </c>
      <c r="CP59" s="10"/>
      <c r="CQ59" s="10"/>
      <c r="CR59" s="10"/>
      <c r="CS59" s="10"/>
      <c r="CT59" s="10">
        <v>1077002.9862899999</v>
      </c>
      <c r="CU59" s="10">
        <v>36335.642</v>
      </c>
      <c r="CV59" s="10">
        <v>42910.849099999999</v>
      </c>
      <c r="CW59" s="10"/>
      <c r="CX59" s="10">
        <v>31954.829559999998</v>
      </c>
      <c r="CY59" s="10"/>
      <c r="CZ59" s="10"/>
      <c r="DA59" s="10">
        <v>82326.744699999996</v>
      </c>
      <c r="DB59" s="10"/>
      <c r="DC59" s="10">
        <v>57224.685128999998</v>
      </c>
      <c r="DD59" s="10">
        <v>61604.827799999999</v>
      </c>
      <c r="DE59" s="10"/>
      <c r="DF59" s="10">
        <v>208135.34796000001</v>
      </c>
      <c r="DG59" s="10"/>
      <c r="DH59" s="10">
        <v>38927.702100000002</v>
      </c>
      <c r="DI59" s="10"/>
      <c r="DJ59" s="10"/>
      <c r="DK59" s="10"/>
      <c r="DL59" s="10">
        <v>82876.509999999995</v>
      </c>
      <c r="DM59" s="10"/>
      <c r="DN59" s="10">
        <v>59703.092499999999</v>
      </c>
      <c r="DO59" s="10"/>
      <c r="DP59" s="10">
        <v>23417.014899999998</v>
      </c>
      <c r="DQ59" s="10"/>
      <c r="DR59" s="10">
        <v>62376.600400000003</v>
      </c>
      <c r="DS59" s="10">
        <v>67721.6391</v>
      </c>
      <c r="DT59" s="10">
        <v>68502.539900000003</v>
      </c>
      <c r="DU59" s="10"/>
      <c r="DV59" s="10"/>
      <c r="DW59" s="10"/>
      <c r="DX59" s="10"/>
      <c r="DY59" s="10">
        <v>39518.431109999998</v>
      </c>
      <c r="DZ59" s="10">
        <v>70617.800900000002</v>
      </c>
      <c r="EA59" s="10">
        <v>21943.68</v>
      </c>
      <c r="EB59" s="10"/>
      <c r="EC59" s="10">
        <v>32595.174763999999</v>
      </c>
      <c r="ED59" s="10">
        <v>19320.0861</v>
      </c>
      <c r="EE59" s="10"/>
      <c r="EF59" s="10">
        <v>39687.176899999999</v>
      </c>
      <c r="EG59" s="10"/>
      <c r="EH59" s="10">
        <v>33358.534529999997</v>
      </c>
      <c r="EI59" s="10"/>
      <c r="EJ59" s="10">
        <v>4738.5235000000002</v>
      </c>
      <c r="EK59" s="10"/>
      <c r="EL59" s="10"/>
      <c r="EM59" s="10">
        <v>27192.147799999999</v>
      </c>
      <c r="EN59" s="10"/>
      <c r="EO59" s="10"/>
      <c r="EP59" s="10"/>
      <c r="EQ59" s="10"/>
      <c r="ER59" s="10">
        <v>14355.427799999999</v>
      </c>
      <c r="ES59" s="10">
        <v>19168.956200000001</v>
      </c>
      <c r="ET59" s="10">
        <v>23235.5805</v>
      </c>
      <c r="EU59" s="10"/>
      <c r="EV59" s="10">
        <v>0</v>
      </c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>
        <v>0</v>
      </c>
      <c r="GB59" s="10"/>
      <c r="GC59" s="10"/>
      <c r="GD59" s="10"/>
      <c r="GE59" s="10">
        <v>0</v>
      </c>
      <c r="GF59" s="10">
        <v>0</v>
      </c>
      <c r="GG59" s="10">
        <v>0</v>
      </c>
    </row>
    <row r="60" spans="1:189" x14ac:dyDescent="0.35">
      <c r="A60" s="8">
        <v>46105</v>
      </c>
      <c r="B60" s="9">
        <v>9184686137.2537098</v>
      </c>
      <c r="C60" s="10">
        <v>5001114178.7992201</v>
      </c>
      <c r="D60" s="10">
        <v>3165174425.0229402</v>
      </c>
      <c r="E60" s="10">
        <v>79051034.779479995</v>
      </c>
      <c r="F60" s="10"/>
      <c r="G60" s="10">
        <v>372118250.69989997</v>
      </c>
      <c r="H60" s="10">
        <v>167093477.05238</v>
      </c>
      <c r="I60" s="10">
        <v>12984846.286900001</v>
      </c>
      <c r="J60" s="10"/>
      <c r="K60" s="10">
        <v>20737585.6598498</v>
      </c>
      <c r="L60" s="10">
        <v>65189087.446500003</v>
      </c>
      <c r="M60" s="10">
        <v>20452637.670400001</v>
      </c>
      <c r="N60" s="10">
        <v>78084535.142499998</v>
      </c>
      <c r="O60" s="10">
        <v>25824428.252999999</v>
      </c>
      <c r="P60" s="10">
        <v>22806007.938700002</v>
      </c>
      <c r="Q60" s="10"/>
      <c r="R60" s="10">
        <v>9424568.6975132003</v>
      </c>
      <c r="S60" s="10">
        <v>32309113.297049999</v>
      </c>
      <c r="T60" s="10">
        <v>22131190.396400001</v>
      </c>
      <c r="U60" s="10">
        <v>18147741.299779098</v>
      </c>
      <c r="V60" s="10">
        <v>2910145.5729661002</v>
      </c>
      <c r="W60" s="10">
        <v>5612298.4531616503</v>
      </c>
      <c r="X60" s="10">
        <v>93406.939700000003</v>
      </c>
      <c r="Y60" s="10"/>
      <c r="Z60" s="10">
        <v>3887272.7695451998</v>
      </c>
      <c r="AA60" s="10">
        <v>3543490.6486959001</v>
      </c>
      <c r="AB60" s="10">
        <v>8568722.8328000009</v>
      </c>
      <c r="AC60" s="10">
        <v>1258741.8733733001</v>
      </c>
      <c r="AD60" s="10"/>
      <c r="AE60" s="10">
        <v>6178844.5821700003</v>
      </c>
      <c r="AF60" s="10">
        <v>1904426.3015999999</v>
      </c>
      <c r="AG60" s="10">
        <v>1113654.3887</v>
      </c>
      <c r="AH60" s="10">
        <v>1359473.2346000001</v>
      </c>
      <c r="AI60" s="10">
        <v>1582211.898</v>
      </c>
      <c r="AJ60" s="10">
        <v>488993.25469999999</v>
      </c>
      <c r="AK60" s="10">
        <v>2414932.4920000001</v>
      </c>
      <c r="AL60" s="10">
        <v>530223.11589999998</v>
      </c>
      <c r="AM60" s="10">
        <v>2835574.8616999998</v>
      </c>
      <c r="AN60" s="10"/>
      <c r="AO60" s="10"/>
      <c r="AP60" s="10"/>
      <c r="AQ60" s="10">
        <v>334407.53840000002</v>
      </c>
      <c r="AR60" s="10"/>
      <c r="AS60" s="10">
        <v>20535.9889</v>
      </c>
      <c r="AT60" s="10">
        <v>1231575.8847000001</v>
      </c>
      <c r="AU60" s="10">
        <v>3139741.0973720001</v>
      </c>
      <c r="AV60" s="10">
        <v>1380906.7666</v>
      </c>
      <c r="AW60" s="10">
        <v>5159516.7638999997</v>
      </c>
      <c r="AX60" s="10">
        <v>2032757.1698</v>
      </c>
      <c r="AY60" s="10"/>
      <c r="AZ60" s="10"/>
      <c r="BA60" s="10">
        <v>199570.68309999999</v>
      </c>
      <c r="BB60" s="10">
        <v>1768478.8947000001</v>
      </c>
      <c r="BC60" s="10">
        <v>473039.55900000001</v>
      </c>
      <c r="BD60" s="10">
        <v>2185373.0989000001</v>
      </c>
      <c r="BE60" s="10"/>
      <c r="BF60" s="10"/>
      <c r="BG60" s="10">
        <v>850110.56177000003</v>
      </c>
      <c r="BH60" s="10"/>
      <c r="BI60" s="10"/>
      <c r="BJ60" s="10"/>
      <c r="BK60" s="10">
        <v>604171.54370000004</v>
      </c>
      <c r="BL60" s="10">
        <v>810407.7145</v>
      </c>
      <c r="BM60" s="10">
        <v>173741.8462</v>
      </c>
      <c r="BN60" s="10"/>
      <c r="BO60" s="10">
        <v>786322.96790000005</v>
      </c>
      <c r="BP60" s="10"/>
      <c r="BQ60" s="10"/>
      <c r="BR60" s="10">
        <v>187493.14859999999</v>
      </c>
      <c r="BS60" s="10">
        <v>116646.01675</v>
      </c>
      <c r="BT60" s="10">
        <v>143058.42689999999</v>
      </c>
      <c r="BU60" s="10">
        <v>296291.24229999998</v>
      </c>
      <c r="BV60" s="10"/>
      <c r="BW60" s="10">
        <v>1086474.6224</v>
      </c>
      <c r="BX60" s="10">
        <v>200309.39290000001</v>
      </c>
      <c r="BY60" s="10"/>
      <c r="BZ60" s="10">
        <v>247353.2262</v>
      </c>
      <c r="CA60" s="10"/>
      <c r="CB60" s="10">
        <v>163422.59469999999</v>
      </c>
      <c r="CC60" s="10">
        <v>113841.49038</v>
      </c>
      <c r="CD60" s="10">
        <v>252138.35930000001</v>
      </c>
      <c r="CE60" s="10"/>
      <c r="CF60" s="10">
        <v>453390.38939999999</v>
      </c>
      <c r="CG60" s="10">
        <v>137491.24400000001</v>
      </c>
      <c r="CH60" s="10"/>
      <c r="CI60" s="10">
        <v>63768.766300000003</v>
      </c>
      <c r="CJ60" s="10">
        <v>187011.52333</v>
      </c>
      <c r="CK60" s="10"/>
      <c r="CL60" s="10"/>
      <c r="CM60" s="10"/>
      <c r="CN60" s="10">
        <v>1184788.3529999999</v>
      </c>
      <c r="CO60" s="10">
        <v>629350.61174199998</v>
      </c>
      <c r="CP60" s="10"/>
      <c r="CQ60" s="10"/>
      <c r="CR60" s="10"/>
      <c r="CS60" s="10"/>
      <c r="CT60" s="10"/>
      <c r="CU60" s="10">
        <v>27933.651000000002</v>
      </c>
      <c r="CV60" s="10">
        <v>65672.525800000003</v>
      </c>
      <c r="CW60" s="10"/>
      <c r="CX60" s="10">
        <v>76581.364910000004</v>
      </c>
      <c r="CY60" s="10"/>
      <c r="CZ60" s="10"/>
      <c r="DA60" s="10">
        <v>69031.054000000004</v>
      </c>
      <c r="DB60" s="10"/>
      <c r="DC60" s="10">
        <v>70043.392731999993</v>
      </c>
      <c r="DD60" s="10">
        <v>81409.600900000005</v>
      </c>
      <c r="DE60" s="10"/>
      <c r="DF60" s="10">
        <v>61278.385020000002</v>
      </c>
      <c r="DG60" s="10"/>
      <c r="DH60" s="10">
        <v>31537.764599999999</v>
      </c>
      <c r="DI60" s="10"/>
      <c r="DJ60" s="10"/>
      <c r="DK60" s="10"/>
      <c r="DL60" s="10">
        <v>75196.823000000004</v>
      </c>
      <c r="DM60" s="10"/>
      <c r="DN60" s="10">
        <v>93891.11997</v>
      </c>
      <c r="DO60" s="10"/>
      <c r="DP60" s="10">
        <v>20488.0311</v>
      </c>
      <c r="DQ60" s="10"/>
      <c r="DR60" s="10">
        <v>30903.51</v>
      </c>
      <c r="DS60" s="10">
        <v>70478.837599999999</v>
      </c>
      <c r="DT60" s="10">
        <v>67093.7255</v>
      </c>
      <c r="DU60" s="10"/>
      <c r="DV60" s="10"/>
      <c r="DW60" s="10"/>
      <c r="DX60" s="10"/>
      <c r="DY60" s="10">
        <v>57360.35108</v>
      </c>
      <c r="DZ60" s="10">
        <v>34534.478600000002</v>
      </c>
      <c r="EA60" s="10">
        <v>569.51940000000002</v>
      </c>
      <c r="EB60" s="10"/>
      <c r="EC60" s="10">
        <v>35483.124233000002</v>
      </c>
      <c r="ED60" s="10">
        <v>18944.002799999998</v>
      </c>
      <c r="EE60" s="10"/>
      <c r="EF60" s="10">
        <v>41823.916700000002</v>
      </c>
      <c r="EG60" s="10"/>
      <c r="EH60" s="10">
        <v>15125.985000000001</v>
      </c>
      <c r="EI60" s="10"/>
      <c r="EJ60" s="10">
        <v>9670.8873999999996</v>
      </c>
      <c r="EK60" s="10"/>
      <c r="EL60" s="10"/>
      <c r="EM60" s="10">
        <v>23934.977599999998</v>
      </c>
      <c r="EN60" s="10"/>
      <c r="EO60" s="10"/>
      <c r="EP60" s="10"/>
      <c r="EQ60" s="10"/>
      <c r="ER60" s="10">
        <v>17374.1558</v>
      </c>
      <c r="ES60" s="10">
        <v>32444.955000000002</v>
      </c>
      <c r="ET60" s="10">
        <v>17441.557400000002</v>
      </c>
      <c r="EU60" s="10"/>
      <c r="EV60" s="10">
        <v>880.40679999999998</v>
      </c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>
        <v>0</v>
      </c>
      <c r="GB60" s="10"/>
      <c r="GC60" s="10"/>
      <c r="GD60" s="10"/>
      <c r="GE60" s="10">
        <v>0</v>
      </c>
      <c r="GF60" s="10">
        <v>0</v>
      </c>
      <c r="GG60" s="10">
        <v>0</v>
      </c>
    </row>
    <row r="61" spans="1:189" x14ac:dyDescent="0.35">
      <c r="A61" s="8">
        <v>46104</v>
      </c>
      <c r="B61" s="9">
        <v>18181609628.556702</v>
      </c>
      <c r="C61" s="10">
        <v>11778856643.7362</v>
      </c>
      <c r="D61" s="10">
        <v>5270824986.1613503</v>
      </c>
      <c r="E61" s="10">
        <v>107621795.317</v>
      </c>
      <c r="F61" s="10"/>
      <c r="G61" s="10">
        <v>222065686.05140001</v>
      </c>
      <c r="H61" s="10">
        <v>240054301.811474</v>
      </c>
      <c r="I61" s="10">
        <v>17260378.748599999</v>
      </c>
      <c r="J61" s="10"/>
      <c r="K61" s="10">
        <v>35979255.190855302</v>
      </c>
      <c r="L61" s="10">
        <v>90679963.413499996</v>
      </c>
      <c r="M61" s="10">
        <v>27445961.155900002</v>
      </c>
      <c r="N61" s="10">
        <v>70186060.826000005</v>
      </c>
      <c r="O61" s="10">
        <v>32722016.811700001</v>
      </c>
      <c r="P61" s="10">
        <v>32371350.162500001</v>
      </c>
      <c r="Q61" s="10"/>
      <c r="R61" s="10">
        <v>11566464.641230799</v>
      </c>
      <c r="S61" s="10">
        <v>78983728.032649994</v>
      </c>
      <c r="T61" s="10">
        <v>21367104.090100002</v>
      </c>
      <c r="U61" s="10">
        <v>28481472.359357301</v>
      </c>
      <c r="V61" s="10">
        <v>7504771.9420693703</v>
      </c>
      <c r="W61" s="10">
        <v>10884887.154453199</v>
      </c>
      <c r="X61" s="10">
        <v>214676.3285</v>
      </c>
      <c r="Y61" s="10"/>
      <c r="Z61" s="10">
        <v>3166640.7813015999</v>
      </c>
      <c r="AA61" s="10">
        <v>4892596.8774554804</v>
      </c>
      <c r="AB61" s="10">
        <v>17467484.7773</v>
      </c>
      <c r="AC61" s="10">
        <v>3119272.2966027199</v>
      </c>
      <c r="AD61" s="10"/>
      <c r="AE61" s="10">
        <v>14796112.01667</v>
      </c>
      <c r="AF61" s="10">
        <v>1378840.3673</v>
      </c>
      <c r="AG61" s="10">
        <v>549326.33730000001</v>
      </c>
      <c r="AH61" s="10">
        <v>1908298.3136</v>
      </c>
      <c r="AI61" s="10">
        <v>1859880.7390000001</v>
      </c>
      <c r="AJ61" s="10">
        <v>1297235.8548999999</v>
      </c>
      <c r="AK61" s="10">
        <v>3058205.3717999998</v>
      </c>
      <c r="AL61" s="10">
        <v>776747.87360000005</v>
      </c>
      <c r="AM61" s="10">
        <v>1081867.4887999999</v>
      </c>
      <c r="AN61" s="10"/>
      <c r="AO61" s="10"/>
      <c r="AP61" s="10"/>
      <c r="AQ61" s="10">
        <v>682366.03969999996</v>
      </c>
      <c r="AR61" s="10"/>
      <c r="AS61" s="10">
        <v>33562.688600000001</v>
      </c>
      <c r="AT61" s="10">
        <v>1860903.6516</v>
      </c>
      <c r="AU61" s="10">
        <v>5845784.1044119997</v>
      </c>
      <c r="AV61" s="10">
        <v>1874079.6542</v>
      </c>
      <c r="AW61" s="10">
        <v>10619855.061699999</v>
      </c>
      <c r="AX61" s="10">
        <v>1992413.6011999999</v>
      </c>
      <c r="AY61" s="10"/>
      <c r="AZ61" s="10"/>
      <c r="BA61" s="10">
        <v>269839.67570000002</v>
      </c>
      <c r="BB61" s="10">
        <v>2119372.4090999998</v>
      </c>
      <c r="BC61" s="10">
        <v>996901.054</v>
      </c>
      <c r="BD61" s="10">
        <v>2885704.1170000001</v>
      </c>
      <c r="BE61" s="10"/>
      <c r="BF61" s="10"/>
      <c r="BG61" s="10">
        <v>1682897.1011699999</v>
      </c>
      <c r="BH61" s="10"/>
      <c r="BI61" s="10"/>
      <c r="BJ61" s="10"/>
      <c r="BK61" s="10">
        <v>1361201.3788999999</v>
      </c>
      <c r="BL61" s="10">
        <v>1204663.17</v>
      </c>
      <c r="BM61" s="10">
        <v>602741.17989999999</v>
      </c>
      <c r="BN61" s="10"/>
      <c r="BO61" s="10">
        <v>356823.31959999999</v>
      </c>
      <c r="BP61" s="10"/>
      <c r="BQ61" s="10"/>
      <c r="BR61" s="10">
        <v>164871.79639999999</v>
      </c>
      <c r="BS61" s="10">
        <v>487865.64565000002</v>
      </c>
      <c r="BT61" s="10">
        <v>445858.14069999999</v>
      </c>
      <c r="BU61" s="10">
        <v>267242.54034000001</v>
      </c>
      <c r="BV61" s="10"/>
      <c r="BW61" s="10">
        <v>348511.01559999998</v>
      </c>
      <c r="BX61" s="10">
        <v>244959.8836</v>
      </c>
      <c r="BY61" s="10"/>
      <c r="BZ61" s="10">
        <v>536757.65839999996</v>
      </c>
      <c r="CA61" s="10"/>
      <c r="CB61" s="10">
        <v>305880.86619999999</v>
      </c>
      <c r="CC61" s="10">
        <v>240389.67246999999</v>
      </c>
      <c r="CD61" s="10">
        <v>529709.69070000004</v>
      </c>
      <c r="CE61" s="10"/>
      <c r="CF61" s="10">
        <v>306476.17729999998</v>
      </c>
      <c r="CG61" s="10">
        <v>85277.317999999999</v>
      </c>
      <c r="CH61" s="10"/>
      <c r="CI61" s="10">
        <v>13656.543299999999</v>
      </c>
      <c r="CJ61" s="10">
        <v>224928.71463</v>
      </c>
      <c r="CK61" s="10"/>
      <c r="CL61" s="10"/>
      <c r="CM61" s="10"/>
      <c r="CN61" s="10">
        <v>108595.62</v>
      </c>
      <c r="CO61" s="10">
        <v>610732.31713500002</v>
      </c>
      <c r="CP61" s="10"/>
      <c r="CQ61" s="10"/>
      <c r="CR61" s="10"/>
      <c r="CS61" s="10"/>
      <c r="CT61" s="10"/>
      <c r="CU61" s="10">
        <v>141394.70300000001</v>
      </c>
      <c r="CV61" s="10">
        <v>193094.71580000001</v>
      </c>
      <c r="CW61" s="10"/>
      <c r="CX61" s="10">
        <v>60000.273000000001</v>
      </c>
      <c r="CY61" s="10"/>
      <c r="CZ61" s="10"/>
      <c r="DA61" s="10">
        <v>155288.6403</v>
      </c>
      <c r="DB61" s="10"/>
      <c r="DC61" s="10">
        <v>72846.891468000002</v>
      </c>
      <c r="DD61" s="10">
        <v>211418.2469</v>
      </c>
      <c r="DE61" s="10"/>
      <c r="DF61" s="10">
        <v>152541.1777</v>
      </c>
      <c r="DG61" s="10"/>
      <c r="DH61" s="10">
        <v>32768.134899999997</v>
      </c>
      <c r="DI61" s="10"/>
      <c r="DJ61" s="10"/>
      <c r="DK61" s="10"/>
      <c r="DL61" s="10">
        <v>82002.83</v>
      </c>
      <c r="DM61" s="10"/>
      <c r="DN61" s="10">
        <v>76472.806979999994</v>
      </c>
      <c r="DO61" s="10"/>
      <c r="DP61" s="10">
        <v>22331.662899999999</v>
      </c>
      <c r="DQ61" s="10"/>
      <c r="DR61" s="10">
        <v>42779.4997</v>
      </c>
      <c r="DS61" s="10">
        <v>71571.708199999994</v>
      </c>
      <c r="DT61" s="10">
        <v>80293.031700000007</v>
      </c>
      <c r="DU61" s="10"/>
      <c r="DV61" s="10"/>
      <c r="DW61" s="10"/>
      <c r="DX61" s="10"/>
      <c r="DY61" s="10">
        <v>95702.77403</v>
      </c>
      <c r="DZ61" s="10">
        <v>36750.8894</v>
      </c>
      <c r="EA61" s="10">
        <v>25220.5072</v>
      </c>
      <c r="EB61" s="10"/>
      <c r="EC61" s="10">
        <v>34033.967269000001</v>
      </c>
      <c r="ED61" s="10">
        <v>69539.902799999996</v>
      </c>
      <c r="EE61" s="10"/>
      <c r="EF61" s="10">
        <v>46620.744100000004</v>
      </c>
      <c r="EG61" s="10"/>
      <c r="EH61" s="10">
        <v>51533.680639999999</v>
      </c>
      <c r="EI61" s="10"/>
      <c r="EJ61" s="10">
        <v>11679.3487</v>
      </c>
      <c r="EK61" s="10"/>
      <c r="EL61" s="10"/>
      <c r="EM61" s="10">
        <v>23913.0762</v>
      </c>
      <c r="EN61" s="10"/>
      <c r="EO61" s="10"/>
      <c r="EP61" s="10"/>
      <c r="EQ61" s="10"/>
      <c r="ER61" s="10">
        <v>18318.153900000001</v>
      </c>
      <c r="ES61" s="10">
        <v>47592.1031</v>
      </c>
      <c r="ET61" s="10">
        <v>15915.9167</v>
      </c>
      <c r="EU61" s="10"/>
      <c r="EV61" s="10">
        <v>3168.3324600000001</v>
      </c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>
        <v>0</v>
      </c>
      <c r="GB61" s="10"/>
      <c r="GC61" s="10"/>
      <c r="GD61" s="10"/>
      <c r="GE61" s="10">
        <v>0</v>
      </c>
      <c r="GF61" s="10">
        <v>0</v>
      </c>
      <c r="GG61" s="10">
        <v>0</v>
      </c>
    </row>
    <row r="62" spans="1:189" x14ac:dyDescent="0.35">
      <c r="A62" s="8">
        <v>46103</v>
      </c>
      <c r="B62" s="9">
        <v>1776064915.5525</v>
      </c>
      <c r="C62" s="10">
        <v>1095980782.3092799</v>
      </c>
      <c r="D62" s="10">
        <v>493421135.69771999</v>
      </c>
      <c r="E62" s="10">
        <v>18191882.85847</v>
      </c>
      <c r="F62" s="10"/>
      <c r="G62" s="10">
        <v>20073024.562600002</v>
      </c>
      <c r="H62" s="10">
        <v>32131307.1012966</v>
      </c>
      <c r="I62" s="10">
        <v>1902078.2538999999</v>
      </c>
      <c r="J62" s="10"/>
      <c r="K62" s="10">
        <v>7722905.7693209704</v>
      </c>
      <c r="L62" s="10">
        <v>30762446.861499999</v>
      </c>
      <c r="M62" s="10">
        <v>3332323.8174999999</v>
      </c>
      <c r="N62" s="10">
        <v>9899685.9456999991</v>
      </c>
      <c r="O62" s="10">
        <v>6275811.7866000002</v>
      </c>
      <c r="P62" s="10">
        <v>5688452.0378999999</v>
      </c>
      <c r="Q62" s="10"/>
      <c r="R62" s="10">
        <v>3146535.2715948098</v>
      </c>
      <c r="S62" s="10">
        <v>6069329.3927999996</v>
      </c>
      <c r="T62" s="10">
        <v>2292655.6430000002</v>
      </c>
      <c r="U62" s="10">
        <v>4219135.5691059697</v>
      </c>
      <c r="V62" s="10">
        <v>705726.61149838194</v>
      </c>
      <c r="W62" s="10">
        <v>2035413.5929594501</v>
      </c>
      <c r="X62" s="10">
        <v>120494.22840000001</v>
      </c>
      <c r="Y62" s="10"/>
      <c r="Z62" s="10">
        <v>1605680.67755681</v>
      </c>
      <c r="AA62" s="10">
        <v>1260938.6747999999</v>
      </c>
      <c r="AB62" s="10">
        <v>2265548.6049000002</v>
      </c>
      <c r="AC62" s="10">
        <v>1247499.33825733</v>
      </c>
      <c r="AD62" s="10"/>
      <c r="AE62" s="10">
        <v>4076362.43988</v>
      </c>
      <c r="AF62" s="10">
        <v>329733.7071</v>
      </c>
      <c r="AG62" s="10">
        <v>554319.84900000005</v>
      </c>
      <c r="AH62" s="10">
        <v>358456.52519999997</v>
      </c>
      <c r="AI62" s="10">
        <v>570013.03300000005</v>
      </c>
      <c r="AJ62" s="10">
        <v>249842.06940000001</v>
      </c>
      <c r="AK62" s="10">
        <v>5298328.8114999998</v>
      </c>
      <c r="AL62" s="10">
        <v>271518.43430000002</v>
      </c>
      <c r="AM62" s="10">
        <v>73290.849600000001</v>
      </c>
      <c r="AN62" s="10"/>
      <c r="AO62" s="10"/>
      <c r="AP62" s="10"/>
      <c r="AQ62" s="10">
        <v>335385.5735</v>
      </c>
      <c r="AR62" s="10"/>
      <c r="AS62" s="10">
        <v>34273.334699999999</v>
      </c>
      <c r="AT62" s="10">
        <v>1838609.5892</v>
      </c>
      <c r="AU62" s="10">
        <v>603881.89971999999</v>
      </c>
      <c r="AV62" s="10">
        <v>760440.96699999995</v>
      </c>
      <c r="AW62" s="10"/>
      <c r="AX62" s="10">
        <v>1206436.6317</v>
      </c>
      <c r="AY62" s="10"/>
      <c r="AZ62" s="10"/>
      <c r="BA62" s="10">
        <v>362479.51610000001</v>
      </c>
      <c r="BB62" s="10">
        <v>117605.2135</v>
      </c>
      <c r="BC62" s="10">
        <v>844252.91899999999</v>
      </c>
      <c r="BD62" s="10">
        <v>57938.053899999999</v>
      </c>
      <c r="BE62" s="10"/>
      <c r="BF62" s="10"/>
      <c r="BG62" s="10">
        <v>1495760.5186900001</v>
      </c>
      <c r="BH62" s="10"/>
      <c r="BI62" s="10"/>
      <c r="BJ62" s="10"/>
      <c r="BK62" s="10">
        <v>535874.67989999999</v>
      </c>
      <c r="BL62" s="10">
        <v>80416.047099999996</v>
      </c>
      <c r="BM62" s="10">
        <v>166361.0318</v>
      </c>
      <c r="BN62" s="10"/>
      <c r="BO62" s="10">
        <v>1598534.5893999999</v>
      </c>
      <c r="BP62" s="10"/>
      <c r="BQ62" s="10"/>
      <c r="BR62" s="10">
        <v>37807.276700000002</v>
      </c>
      <c r="BS62" s="10">
        <v>29633.74134</v>
      </c>
      <c r="BT62" s="10">
        <v>24066.774300000001</v>
      </c>
      <c r="BU62" s="10">
        <v>273466.49810000003</v>
      </c>
      <c r="BV62" s="10"/>
      <c r="BW62" s="10">
        <v>250215.36929999999</v>
      </c>
      <c r="BX62" s="10">
        <v>162144.13620000001</v>
      </c>
      <c r="BY62" s="10"/>
      <c r="BZ62" s="10">
        <v>32841.331700000002</v>
      </c>
      <c r="CA62" s="10"/>
      <c r="CB62" s="10">
        <v>571632.00439999998</v>
      </c>
      <c r="CC62" s="10">
        <v>75519.304260000004</v>
      </c>
      <c r="CD62" s="10">
        <v>35351.468099999998</v>
      </c>
      <c r="CE62" s="10"/>
      <c r="CF62" s="10">
        <v>174453.01449999999</v>
      </c>
      <c r="CG62" s="10">
        <v>77542.48</v>
      </c>
      <c r="CH62" s="10"/>
      <c r="CI62" s="10">
        <v>137613.84539999999</v>
      </c>
      <c r="CJ62" s="10">
        <v>110558.50598</v>
      </c>
      <c r="CK62" s="10"/>
      <c r="CL62" s="10"/>
      <c r="CM62" s="10"/>
      <c r="CN62" s="10">
        <v>92234.101999999999</v>
      </c>
      <c r="CO62" s="10">
        <v>578178.288573</v>
      </c>
      <c r="CP62" s="10"/>
      <c r="CQ62" s="10"/>
      <c r="CR62" s="10"/>
      <c r="CS62" s="10"/>
      <c r="CT62" s="10"/>
      <c r="CU62" s="10">
        <v>97646.528999999995</v>
      </c>
      <c r="CV62" s="10">
        <v>138606.2599</v>
      </c>
      <c r="CW62" s="10"/>
      <c r="CX62" s="10">
        <v>103513.28299000001</v>
      </c>
      <c r="CY62" s="10"/>
      <c r="CZ62" s="10"/>
      <c r="DA62" s="10">
        <v>92937.992800000007</v>
      </c>
      <c r="DB62" s="10"/>
      <c r="DC62" s="10">
        <v>55158.086686000002</v>
      </c>
      <c r="DD62" s="10">
        <v>67107.148199999996</v>
      </c>
      <c r="DE62" s="10"/>
      <c r="DF62" s="10">
        <v>32617.9094</v>
      </c>
      <c r="DG62" s="10"/>
      <c r="DH62" s="10">
        <v>28794.722900000001</v>
      </c>
      <c r="DI62" s="10"/>
      <c r="DJ62" s="10"/>
      <c r="DK62" s="10"/>
      <c r="DL62" s="10">
        <v>74136.37</v>
      </c>
      <c r="DM62" s="10"/>
      <c r="DN62" s="10">
        <v>62015.88495</v>
      </c>
      <c r="DO62" s="10"/>
      <c r="DP62" s="10">
        <v>30250.849699999999</v>
      </c>
      <c r="DQ62" s="10"/>
      <c r="DR62" s="10">
        <v>25376.9899</v>
      </c>
      <c r="DS62" s="10">
        <v>69930.089800000002</v>
      </c>
      <c r="DT62" s="10">
        <v>62924.187400000003</v>
      </c>
      <c r="DU62" s="10"/>
      <c r="DV62" s="10"/>
      <c r="DW62" s="10"/>
      <c r="DX62" s="10"/>
      <c r="DY62" s="10">
        <v>30484.91691</v>
      </c>
      <c r="DZ62" s="10">
        <v>20806.929800000002</v>
      </c>
      <c r="EA62" s="10">
        <v>38018.908799999997</v>
      </c>
      <c r="EB62" s="10"/>
      <c r="EC62" s="10">
        <v>30196.386015</v>
      </c>
      <c r="ED62" s="10">
        <v>14267.937599999999</v>
      </c>
      <c r="EE62" s="10"/>
      <c r="EF62" s="10">
        <v>36956.7448</v>
      </c>
      <c r="EG62" s="10"/>
      <c r="EH62" s="10">
        <v>12522.88155</v>
      </c>
      <c r="EI62" s="10"/>
      <c r="EJ62" s="10">
        <v>9726.1872999999996</v>
      </c>
      <c r="EK62" s="10"/>
      <c r="EL62" s="10"/>
      <c r="EM62" s="10">
        <v>21756.674200000001</v>
      </c>
      <c r="EN62" s="10"/>
      <c r="EO62" s="10"/>
      <c r="EP62" s="10"/>
      <c r="EQ62" s="10"/>
      <c r="ER62" s="10">
        <v>16856.110499999999</v>
      </c>
      <c r="ES62" s="10">
        <v>41780.218500000003</v>
      </c>
      <c r="ET62" s="10">
        <v>16356.3212</v>
      </c>
      <c r="EU62" s="10"/>
      <c r="EV62" s="10">
        <v>0</v>
      </c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>
        <v>0</v>
      </c>
      <c r="GB62" s="10"/>
      <c r="GC62" s="10"/>
      <c r="GD62" s="10"/>
      <c r="GE62" s="10">
        <v>0</v>
      </c>
      <c r="GF62" s="10">
        <v>0</v>
      </c>
      <c r="GG62" s="10">
        <v>0</v>
      </c>
    </row>
    <row r="63" spans="1:189" x14ac:dyDescent="0.35">
      <c r="A63" s="8">
        <v>46102</v>
      </c>
      <c r="B63" s="9">
        <v>651558318.31881595</v>
      </c>
      <c r="C63" s="10">
        <v>393282047.96165502</v>
      </c>
      <c r="D63" s="10">
        <v>134922829.30792999</v>
      </c>
      <c r="E63" s="10">
        <v>9841155.0764899999</v>
      </c>
      <c r="F63" s="10"/>
      <c r="G63" s="10">
        <v>13019530.816400001</v>
      </c>
      <c r="H63" s="10">
        <v>29186480.1420638</v>
      </c>
      <c r="I63" s="10">
        <v>1238187.0534999999</v>
      </c>
      <c r="J63" s="10"/>
      <c r="K63" s="10">
        <v>8174450.5518508097</v>
      </c>
      <c r="L63" s="10">
        <v>10943384.293199999</v>
      </c>
      <c r="M63" s="10">
        <v>1571187.5334000001</v>
      </c>
      <c r="N63" s="10">
        <v>5116545.6494000005</v>
      </c>
      <c r="O63" s="10">
        <v>2357986.8247000002</v>
      </c>
      <c r="P63" s="10">
        <v>2561106.5943</v>
      </c>
      <c r="Q63" s="10"/>
      <c r="R63" s="10">
        <v>1877520.6502817101</v>
      </c>
      <c r="S63" s="10">
        <v>2103491.4868299998</v>
      </c>
      <c r="T63" s="10">
        <v>1972170.1492000001</v>
      </c>
      <c r="U63" s="10">
        <v>2552833.88569225</v>
      </c>
      <c r="V63" s="10">
        <v>475523.14513945201</v>
      </c>
      <c r="W63" s="10">
        <v>1704854.7639542699</v>
      </c>
      <c r="X63" s="10">
        <v>58675.903400000003</v>
      </c>
      <c r="Y63" s="10"/>
      <c r="Z63" s="10">
        <v>1410771.5314418799</v>
      </c>
      <c r="AA63" s="10">
        <v>761985.49679999996</v>
      </c>
      <c r="AB63" s="10">
        <v>4443995.5508000003</v>
      </c>
      <c r="AC63" s="10">
        <v>292703.42773635202</v>
      </c>
      <c r="AD63" s="10"/>
      <c r="AE63" s="10">
        <v>988101.78942000004</v>
      </c>
      <c r="AF63" s="10">
        <v>274976.28810000001</v>
      </c>
      <c r="AG63" s="10">
        <v>800044.97169999999</v>
      </c>
      <c r="AH63" s="10">
        <v>55716.992100000003</v>
      </c>
      <c r="AI63" s="10">
        <v>650646.68000000005</v>
      </c>
      <c r="AJ63" s="10">
        <v>108477.3325</v>
      </c>
      <c r="AK63" s="10">
        <v>5501719.5875000004</v>
      </c>
      <c r="AL63" s="10">
        <v>148507.0159</v>
      </c>
      <c r="AM63" s="10">
        <v>248393.72769999999</v>
      </c>
      <c r="AN63" s="10"/>
      <c r="AO63" s="10"/>
      <c r="AP63" s="10"/>
      <c r="AQ63" s="10">
        <v>82177.982000000004</v>
      </c>
      <c r="AR63" s="10"/>
      <c r="AS63" s="10">
        <v>9924.4984999999997</v>
      </c>
      <c r="AT63" s="10">
        <v>1024204.6945</v>
      </c>
      <c r="AU63" s="10">
        <v>105587.76981699999</v>
      </c>
      <c r="AV63" s="10">
        <v>154926.87109999999</v>
      </c>
      <c r="AW63" s="10"/>
      <c r="AX63" s="10">
        <v>627970.09089999995</v>
      </c>
      <c r="AY63" s="10"/>
      <c r="AZ63" s="10"/>
      <c r="BA63" s="10">
        <v>381050.80739999999</v>
      </c>
      <c r="BB63" s="10">
        <v>55191.993300000002</v>
      </c>
      <c r="BC63" s="10">
        <v>754699.87199999997</v>
      </c>
      <c r="BD63" s="10">
        <v>52993.3894</v>
      </c>
      <c r="BE63" s="10"/>
      <c r="BF63" s="10"/>
      <c r="BG63" s="10">
        <v>1271660.36815</v>
      </c>
      <c r="BH63" s="10"/>
      <c r="BI63" s="10"/>
      <c r="BJ63" s="10"/>
      <c r="BK63" s="10">
        <v>1220906.9461000001</v>
      </c>
      <c r="BL63" s="10">
        <v>27224.120699999999</v>
      </c>
      <c r="BM63" s="10">
        <v>246078.41810000001</v>
      </c>
      <c r="BN63" s="10"/>
      <c r="BO63" s="10">
        <v>3089647.6238000002</v>
      </c>
      <c r="BP63" s="10"/>
      <c r="BQ63" s="10"/>
      <c r="BR63" s="10">
        <v>686456.65969999996</v>
      </c>
      <c r="BS63" s="10">
        <v>36934.221120000002</v>
      </c>
      <c r="BT63" s="10">
        <v>394938.50530000002</v>
      </c>
      <c r="BU63" s="10">
        <v>154691.75828000001</v>
      </c>
      <c r="BV63" s="10"/>
      <c r="BW63" s="10">
        <v>293601.99479999999</v>
      </c>
      <c r="BX63" s="10">
        <v>82021.421499999997</v>
      </c>
      <c r="BY63" s="10"/>
      <c r="BZ63" s="10">
        <v>45067.984900000003</v>
      </c>
      <c r="CA63" s="10"/>
      <c r="CB63" s="10">
        <v>542025.96990000003</v>
      </c>
      <c r="CC63" s="10">
        <v>39827.251579999996</v>
      </c>
      <c r="CD63" s="10">
        <v>42172.005299999997</v>
      </c>
      <c r="CE63" s="10"/>
      <c r="CF63" s="10">
        <v>193222.40890000001</v>
      </c>
      <c r="CG63" s="10">
        <v>77036.721000000005</v>
      </c>
      <c r="CH63" s="10"/>
      <c r="CI63" s="10">
        <v>28617.555499999999</v>
      </c>
      <c r="CJ63" s="10">
        <v>84857.224440000005</v>
      </c>
      <c r="CK63" s="10"/>
      <c r="CL63" s="10"/>
      <c r="CM63" s="10"/>
      <c r="CN63" s="10">
        <v>58156.767999999996</v>
      </c>
      <c r="CO63" s="10">
        <v>109321.34309900001</v>
      </c>
      <c r="CP63" s="10"/>
      <c r="CQ63" s="10"/>
      <c r="CR63" s="10"/>
      <c r="CS63" s="10"/>
      <c r="CT63" s="10"/>
      <c r="CU63" s="10">
        <v>29518.491000000002</v>
      </c>
      <c r="CV63" s="10">
        <v>63391.864099999999</v>
      </c>
      <c r="CW63" s="10"/>
      <c r="CX63" s="10">
        <v>70251.342180000007</v>
      </c>
      <c r="CY63" s="10"/>
      <c r="CZ63" s="10"/>
      <c r="DA63" s="10">
        <v>73859.319199999998</v>
      </c>
      <c r="DB63" s="10"/>
      <c r="DC63" s="10">
        <v>51613.625689</v>
      </c>
      <c r="DD63" s="10">
        <v>44016.570200000002</v>
      </c>
      <c r="DE63" s="10"/>
      <c r="DF63" s="10">
        <v>54555.084730000002</v>
      </c>
      <c r="DG63" s="10"/>
      <c r="DH63" s="10">
        <v>28999.564699999999</v>
      </c>
      <c r="DI63" s="10"/>
      <c r="DJ63" s="10"/>
      <c r="DK63" s="10"/>
      <c r="DL63" s="10">
        <v>74831.463000000003</v>
      </c>
      <c r="DM63" s="10"/>
      <c r="DN63" s="10">
        <v>60623.887280000003</v>
      </c>
      <c r="DO63" s="10"/>
      <c r="DP63" s="10">
        <v>19761.618999999999</v>
      </c>
      <c r="DQ63" s="10"/>
      <c r="DR63" s="10">
        <v>24814.500800000002</v>
      </c>
      <c r="DS63" s="10">
        <v>70339.334900000002</v>
      </c>
      <c r="DT63" s="10">
        <v>62099.3102</v>
      </c>
      <c r="DU63" s="10"/>
      <c r="DV63" s="10"/>
      <c r="DW63" s="10"/>
      <c r="DX63" s="10"/>
      <c r="DY63" s="10">
        <v>27204.888849999999</v>
      </c>
      <c r="DZ63" s="10">
        <v>23227.497500000001</v>
      </c>
      <c r="EA63" s="10">
        <v>0</v>
      </c>
      <c r="EB63" s="10"/>
      <c r="EC63" s="10">
        <v>31353.674634999999</v>
      </c>
      <c r="ED63" s="10">
        <v>12190.157800000001</v>
      </c>
      <c r="EE63" s="10"/>
      <c r="EF63" s="10">
        <v>35332.256999999998</v>
      </c>
      <c r="EG63" s="10"/>
      <c r="EH63" s="10">
        <v>13107.17058</v>
      </c>
      <c r="EI63" s="10"/>
      <c r="EJ63" s="10">
        <v>480.66590000000002</v>
      </c>
      <c r="EK63" s="10"/>
      <c r="EL63" s="10"/>
      <c r="EM63" s="10">
        <v>19777.129199999999</v>
      </c>
      <c r="EN63" s="10"/>
      <c r="EO63" s="10"/>
      <c r="EP63" s="10"/>
      <c r="EQ63" s="10"/>
      <c r="ER63" s="10">
        <v>17840.6649</v>
      </c>
      <c r="ES63" s="10">
        <v>15293.4403</v>
      </c>
      <c r="ET63" s="10">
        <v>14567.438</v>
      </c>
      <c r="EU63" s="10"/>
      <c r="EV63" s="10">
        <v>0</v>
      </c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>
        <v>0</v>
      </c>
      <c r="GB63" s="10"/>
      <c r="GC63" s="10"/>
      <c r="GD63" s="10"/>
      <c r="GE63" s="10">
        <v>0</v>
      </c>
      <c r="GF63" s="10">
        <v>0</v>
      </c>
      <c r="GG63" s="10">
        <v>69.936999999999998</v>
      </c>
    </row>
    <row r="64" spans="1:189" x14ac:dyDescent="0.35">
      <c r="A64" s="8">
        <v>46101</v>
      </c>
      <c r="B64" s="9">
        <v>7923523757.07687</v>
      </c>
      <c r="C64" s="10">
        <v>3919541287.6716299</v>
      </c>
      <c r="D64" s="10">
        <v>3292000284.55372</v>
      </c>
      <c r="E64" s="10">
        <v>43715660.296980001</v>
      </c>
      <c r="F64" s="10"/>
      <c r="G64" s="10">
        <v>197092986.6503</v>
      </c>
      <c r="H64" s="10">
        <v>138915042.87232801</v>
      </c>
      <c r="I64" s="10">
        <v>11150761.2928</v>
      </c>
      <c r="J64" s="10"/>
      <c r="K64" s="10">
        <v>17469507.501422498</v>
      </c>
      <c r="L64" s="10">
        <v>56194774.607699998</v>
      </c>
      <c r="M64" s="10">
        <v>18834859.708900001</v>
      </c>
      <c r="N64" s="10">
        <v>49669690.7641</v>
      </c>
      <c r="O64" s="10">
        <v>10719058.253599999</v>
      </c>
      <c r="P64" s="10">
        <v>18638691.690400001</v>
      </c>
      <c r="Q64" s="10"/>
      <c r="R64" s="10">
        <v>9130758.1832352001</v>
      </c>
      <c r="S64" s="10">
        <v>25419511.394480001</v>
      </c>
      <c r="T64" s="10">
        <v>17779422.403299998</v>
      </c>
      <c r="U64" s="10">
        <v>13145665.3707927</v>
      </c>
      <c r="V64" s="10">
        <v>4909830.7100748001</v>
      </c>
      <c r="W64" s="10">
        <v>4937141.8700623997</v>
      </c>
      <c r="X64" s="10">
        <v>129630.7738</v>
      </c>
      <c r="Y64" s="10"/>
      <c r="Z64" s="10">
        <v>2104923.4652581001</v>
      </c>
      <c r="AA64" s="10">
        <v>2550944.8259227001</v>
      </c>
      <c r="AB64" s="10">
        <v>9412095.2455000002</v>
      </c>
      <c r="AC64" s="10">
        <v>1289594.6973761001</v>
      </c>
      <c r="AD64" s="10"/>
      <c r="AE64" s="10">
        <v>9254467.2560799997</v>
      </c>
      <c r="AF64" s="10">
        <v>1123948.9441</v>
      </c>
      <c r="AG64" s="10">
        <v>1709491.2627999999</v>
      </c>
      <c r="AH64" s="10">
        <v>811144.24739999999</v>
      </c>
      <c r="AI64" s="10">
        <v>3482635.3679999998</v>
      </c>
      <c r="AJ64" s="10">
        <v>1950290.5294000001</v>
      </c>
      <c r="AK64" s="10">
        <v>8023351.3921999997</v>
      </c>
      <c r="AL64" s="10">
        <v>1000414.3645</v>
      </c>
      <c r="AM64" s="10">
        <v>878891.62509999995</v>
      </c>
      <c r="AN64" s="10"/>
      <c r="AO64" s="10"/>
      <c r="AP64" s="10"/>
      <c r="AQ64" s="10">
        <v>635710.85459999996</v>
      </c>
      <c r="AR64" s="10"/>
      <c r="AS64" s="10">
        <v>117400.20299999999</v>
      </c>
      <c r="AT64" s="10">
        <v>845357.49710000004</v>
      </c>
      <c r="AU64" s="10">
        <v>2317085.576866</v>
      </c>
      <c r="AV64" s="10">
        <v>1518485.5833000001</v>
      </c>
      <c r="AW64" s="10"/>
      <c r="AX64" s="10">
        <v>2796656.0671000001</v>
      </c>
      <c r="AY64" s="10"/>
      <c r="AZ64" s="10"/>
      <c r="BA64" s="10">
        <v>1277981.7311</v>
      </c>
      <c r="BB64" s="10">
        <v>1890688.3348999999</v>
      </c>
      <c r="BC64" s="10">
        <v>509662.92</v>
      </c>
      <c r="BD64" s="10">
        <v>3227257.6159000001</v>
      </c>
      <c r="BE64" s="10"/>
      <c r="BF64" s="10"/>
      <c r="BG64" s="10">
        <v>2762569.6800799998</v>
      </c>
      <c r="BH64" s="10"/>
      <c r="BI64" s="10"/>
      <c r="BJ64" s="10"/>
      <c r="BK64" s="10">
        <v>784064.18819999998</v>
      </c>
      <c r="BL64" s="10">
        <v>1300696.7803</v>
      </c>
      <c r="BM64" s="10">
        <v>473664.17080000002</v>
      </c>
      <c r="BN64" s="10"/>
      <c r="BO64" s="10">
        <v>2287441.5449000001</v>
      </c>
      <c r="BP64" s="10"/>
      <c r="BQ64" s="10"/>
      <c r="BR64" s="10">
        <v>817804.85800000001</v>
      </c>
      <c r="BS64" s="10">
        <v>434193.52360999997</v>
      </c>
      <c r="BT64" s="10">
        <v>316908.4117</v>
      </c>
      <c r="BU64" s="10">
        <v>246780.42173999999</v>
      </c>
      <c r="BV64" s="10"/>
      <c r="BW64" s="10">
        <v>1644319.5403</v>
      </c>
      <c r="BX64" s="10">
        <v>98934.227700000003</v>
      </c>
      <c r="BY64" s="10"/>
      <c r="BZ64" s="10">
        <v>196741.61749999999</v>
      </c>
      <c r="CA64" s="10"/>
      <c r="CB64" s="10">
        <v>927171.58270000003</v>
      </c>
      <c r="CC64" s="10">
        <v>138182.54308999999</v>
      </c>
      <c r="CD64" s="10">
        <v>488121.37809999997</v>
      </c>
      <c r="CE64" s="10"/>
      <c r="CF64" s="10">
        <v>266362.10769999999</v>
      </c>
      <c r="CG64" s="10">
        <v>115094.389</v>
      </c>
      <c r="CH64" s="10"/>
      <c r="CI64" s="10">
        <v>98806.599700000006</v>
      </c>
      <c r="CJ64" s="10">
        <v>208967.62041</v>
      </c>
      <c r="CK64" s="10"/>
      <c r="CL64" s="10"/>
      <c r="CM64" s="10"/>
      <c r="CN64" s="10">
        <v>249246.003</v>
      </c>
      <c r="CO64" s="10">
        <v>109751.597718</v>
      </c>
      <c r="CP64" s="10"/>
      <c r="CQ64" s="10"/>
      <c r="CR64" s="10"/>
      <c r="CS64" s="10"/>
      <c r="CT64" s="10"/>
      <c r="CU64" s="10">
        <v>34884.692999999999</v>
      </c>
      <c r="CV64" s="10">
        <v>72167.524999999994</v>
      </c>
      <c r="CW64" s="10"/>
      <c r="CX64" s="10">
        <v>48325.615760000001</v>
      </c>
      <c r="CY64" s="10"/>
      <c r="CZ64" s="10"/>
      <c r="DA64" s="10">
        <v>78516.590200000006</v>
      </c>
      <c r="DB64" s="10"/>
      <c r="DC64" s="10">
        <v>105297.687762</v>
      </c>
      <c r="DD64" s="10">
        <v>211706.28039999999</v>
      </c>
      <c r="DE64" s="10"/>
      <c r="DF64" s="10">
        <v>116698.00664000001</v>
      </c>
      <c r="DG64" s="10"/>
      <c r="DH64" s="10">
        <v>34034.997000000003</v>
      </c>
      <c r="DI64" s="10"/>
      <c r="DJ64" s="10"/>
      <c r="DK64" s="10"/>
      <c r="DL64" s="10">
        <v>82495.494999999995</v>
      </c>
      <c r="DM64" s="10"/>
      <c r="DN64" s="10">
        <v>117708.1532</v>
      </c>
      <c r="DO64" s="10"/>
      <c r="DP64" s="10">
        <v>23734.7958</v>
      </c>
      <c r="DQ64" s="10"/>
      <c r="DR64" s="10">
        <v>33210.712899999999</v>
      </c>
      <c r="DS64" s="10">
        <v>76151.146800000002</v>
      </c>
      <c r="DT64" s="10">
        <v>76972.153399999996</v>
      </c>
      <c r="DU64" s="10"/>
      <c r="DV64" s="10"/>
      <c r="DW64" s="10"/>
      <c r="DX64" s="10"/>
      <c r="DY64" s="10">
        <v>47461.850550000003</v>
      </c>
      <c r="DZ64" s="10">
        <v>30656.013900000002</v>
      </c>
      <c r="EA64" s="10">
        <v>60170.796000000002</v>
      </c>
      <c r="EB64" s="10"/>
      <c r="EC64" s="10">
        <v>28920.942758000001</v>
      </c>
      <c r="ED64" s="10">
        <v>20276.464100000001</v>
      </c>
      <c r="EE64" s="10"/>
      <c r="EF64" s="10">
        <v>35827.771099999998</v>
      </c>
      <c r="EG64" s="10"/>
      <c r="EH64" s="10">
        <v>17358.796030000001</v>
      </c>
      <c r="EI64" s="10"/>
      <c r="EJ64" s="10">
        <v>895.88959999999997</v>
      </c>
      <c r="EK64" s="10"/>
      <c r="EL64" s="10"/>
      <c r="EM64" s="10">
        <v>21738.673200000001</v>
      </c>
      <c r="EN64" s="10"/>
      <c r="EO64" s="10"/>
      <c r="EP64" s="10"/>
      <c r="EQ64" s="10"/>
      <c r="ER64" s="10">
        <v>14663.617700000001</v>
      </c>
      <c r="ES64" s="10">
        <v>30605.800200000001</v>
      </c>
      <c r="ET64" s="10">
        <v>14407.645500000001</v>
      </c>
      <c r="EU64" s="10"/>
      <c r="EV64" s="10">
        <v>0</v>
      </c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>
        <v>0</v>
      </c>
      <c r="GB64" s="10"/>
      <c r="GC64" s="10"/>
      <c r="GD64" s="10"/>
      <c r="GE64" s="10">
        <v>0</v>
      </c>
      <c r="GF64" s="10">
        <v>0</v>
      </c>
      <c r="GG64" s="10">
        <v>0</v>
      </c>
    </row>
    <row r="65" spans="1:189" x14ac:dyDescent="0.35">
      <c r="A65" s="8">
        <v>46100</v>
      </c>
      <c r="B65" s="9">
        <v>11382714761.6556</v>
      </c>
      <c r="C65" s="10">
        <v>5743942230.9321499</v>
      </c>
      <c r="D65" s="10">
        <v>4839186609.9869699</v>
      </c>
      <c r="E65" s="10">
        <v>81465475.341670007</v>
      </c>
      <c r="F65" s="10"/>
      <c r="G65" s="10">
        <v>179899247.82890001</v>
      </c>
      <c r="H65" s="10">
        <v>145888467.8247</v>
      </c>
      <c r="I65" s="10">
        <v>11475729.783399999</v>
      </c>
      <c r="J65" s="10"/>
      <c r="K65" s="10">
        <v>15919114.460100001</v>
      </c>
      <c r="L65" s="10">
        <v>71155210.944199994</v>
      </c>
      <c r="M65" s="10">
        <v>15549695.2404</v>
      </c>
      <c r="N65" s="10">
        <v>59296937.777500004</v>
      </c>
      <c r="O65" s="10">
        <v>15036127.6274</v>
      </c>
      <c r="P65" s="10">
        <v>24594755.3149</v>
      </c>
      <c r="Q65" s="10"/>
      <c r="R65" s="10">
        <v>10776518.224300001</v>
      </c>
      <c r="S65" s="10">
        <v>43003530.327129997</v>
      </c>
      <c r="T65" s="10">
        <v>19411804.839899998</v>
      </c>
      <c r="U65" s="10">
        <v>13824161.4144</v>
      </c>
      <c r="V65" s="10">
        <v>4563189.9639999997</v>
      </c>
      <c r="W65" s="10">
        <v>5430637.5972999996</v>
      </c>
      <c r="X65" s="10">
        <v>404320.77860000002</v>
      </c>
      <c r="Y65" s="10"/>
      <c r="Z65" s="10">
        <v>2991143.6107999999</v>
      </c>
      <c r="AA65" s="10">
        <v>2150307.0613000002</v>
      </c>
      <c r="AB65" s="10">
        <v>13844720.0419</v>
      </c>
      <c r="AC65" s="10">
        <v>698303.6642</v>
      </c>
      <c r="AD65" s="10"/>
      <c r="AE65" s="10">
        <v>12357003.27978</v>
      </c>
      <c r="AF65" s="10">
        <v>973310.18359999999</v>
      </c>
      <c r="AG65" s="10">
        <v>2802459.6362999999</v>
      </c>
      <c r="AH65" s="10">
        <v>1500896.2152</v>
      </c>
      <c r="AI65" s="10">
        <v>450855.11800000002</v>
      </c>
      <c r="AJ65" s="10">
        <v>3570104.7459999998</v>
      </c>
      <c r="AK65" s="10">
        <v>3134148.4544000002</v>
      </c>
      <c r="AL65" s="10">
        <v>1323023.0867999999</v>
      </c>
      <c r="AM65" s="10">
        <v>2290150.3912999998</v>
      </c>
      <c r="AN65" s="10"/>
      <c r="AO65" s="10"/>
      <c r="AP65" s="10"/>
      <c r="AQ65" s="10">
        <v>1055947.3132</v>
      </c>
      <c r="AR65" s="10"/>
      <c r="AS65" s="10">
        <v>173438.59729999999</v>
      </c>
      <c r="AT65" s="10">
        <v>988987.60620000004</v>
      </c>
      <c r="AU65" s="10">
        <v>3104585.1743569998</v>
      </c>
      <c r="AV65" s="10">
        <v>1051424.6294</v>
      </c>
      <c r="AW65" s="10"/>
      <c r="AX65" s="10">
        <v>4737300.4088000003</v>
      </c>
      <c r="AY65" s="10"/>
      <c r="AZ65" s="10"/>
      <c r="BA65" s="10">
        <v>1328083.9306999999</v>
      </c>
      <c r="BB65" s="10">
        <v>2333284.4915</v>
      </c>
      <c r="BC65" s="10">
        <v>592902.47100000002</v>
      </c>
      <c r="BD65" s="10">
        <v>3234787.8418999999</v>
      </c>
      <c r="BE65" s="10"/>
      <c r="BF65" s="10"/>
      <c r="BG65" s="10">
        <v>1399824.77024</v>
      </c>
      <c r="BH65" s="10"/>
      <c r="BI65" s="10"/>
      <c r="BJ65" s="10"/>
      <c r="BK65" s="10">
        <v>249422.0858</v>
      </c>
      <c r="BL65" s="10">
        <v>2589929.3873000001</v>
      </c>
      <c r="BM65" s="10">
        <v>622809.03830000001</v>
      </c>
      <c r="BN65" s="10"/>
      <c r="BO65" s="10">
        <v>496416.21730000002</v>
      </c>
      <c r="BP65" s="10"/>
      <c r="BQ65" s="10"/>
      <c r="BR65" s="10">
        <v>1636774.3879</v>
      </c>
      <c r="BS65" s="10">
        <v>846612.58918000001</v>
      </c>
      <c r="BT65" s="10">
        <v>391244.78940000001</v>
      </c>
      <c r="BU65" s="10">
        <v>134838.00214</v>
      </c>
      <c r="BV65" s="10"/>
      <c r="BW65" s="10">
        <v>559147.79399999999</v>
      </c>
      <c r="BX65" s="10">
        <v>286431.13579999999</v>
      </c>
      <c r="BY65" s="10"/>
      <c r="BZ65" s="10">
        <v>196183.39790000001</v>
      </c>
      <c r="CA65" s="10"/>
      <c r="CB65" s="10">
        <v>457378.65529999998</v>
      </c>
      <c r="CC65" s="10">
        <v>96309.050329999998</v>
      </c>
      <c r="CD65" s="10">
        <v>871195.10320000001</v>
      </c>
      <c r="CE65" s="10"/>
      <c r="CF65" s="10">
        <v>260636.7732</v>
      </c>
      <c r="CG65" s="10">
        <v>120680.295</v>
      </c>
      <c r="CH65" s="10"/>
      <c r="CI65" s="10">
        <v>77198.663400000005</v>
      </c>
      <c r="CJ65" s="10">
        <v>627338.86574000004</v>
      </c>
      <c r="CK65" s="10"/>
      <c r="CL65" s="10"/>
      <c r="CM65" s="10"/>
      <c r="CN65" s="10">
        <v>938441.59600000002</v>
      </c>
      <c r="CO65" s="10">
        <v>299195.553931</v>
      </c>
      <c r="CP65" s="10"/>
      <c r="CQ65" s="10"/>
      <c r="CR65" s="10"/>
      <c r="CS65" s="10"/>
      <c r="CT65" s="10"/>
      <c r="CU65" s="10">
        <v>58019.5</v>
      </c>
      <c r="CV65" s="10">
        <v>140879.48620000001</v>
      </c>
      <c r="CW65" s="10"/>
      <c r="CX65" s="10">
        <v>84987.011100000003</v>
      </c>
      <c r="CY65" s="10"/>
      <c r="CZ65" s="10"/>
      <c r="DA65" s="10">
        <v>97941.398300000001</v>
      </c>
      <c r="DB65" s="10"/>
      <c r="DC65" s="10">
        <v>108261.63016</v>
      </c>
      <c r="DD65" s="10">
        <v>190889.16260000001</v>
      </c>
      <c r="DE65" s="10"/>
      <c r="DF65" s="10">
        <v>123588.37487</v>
      </c>
      <c r="DG65" s="10"/>
      <c r="DH65" s="10">
        <v>29179.502400000001</v>
      </c>
      <c r="DI65" s="10"/>
      <c r="DJ65" s="10"/>
      <c r="DK65" s="10"/>
      <c r="DL65" s="10">
        <v>78548.89</v>
      </c>
      <c r="DM65" s="10"/>
      <c r="DN65" s="10">
        <v>117428.62174</v>
      </c>
      <c r="DO65" s="10"/>
      <c r="DP65" s="10">
        <v>29020.0216</v>
      </c>
      <c r="DQ65" s="10"/>
      <c r="DR65" s="10">
        <v>34014.2117</v>
      </c>
      <c r="DS65" s="10">
        <v>75164.964000000007</v>
      </c>
      <c r="DT65" s="10">
        <v>83087.929699999993</v>
      </c>
      <c r="DU65" s="10"/>
      <c r="DV65" s="10"/>
      <c r="DW65" s="10"/>
      <c r="DX65" s="10"/>
      <c r="DY65" s="10">
        <v>63732.101049999997</v>
      </c>
      <c r="DZ65" s="10">
        <v>84188.830400000006</v>
      </c>
      <c r="EA65" s="10">
        <v>268932.84000000003</v>
      </c>
      <c r="EB65" s="10"/>
      <c r="EC65" s="10">
        <v>34138.020869</v>
      </c>
      <c r="ED65" s="10">
        <v>131349.024</v>
      </c>
      <c r="EE65" s="10"/>
      <c r="EF65" s="10">
        <v>35216.395199999999</v>
      </c>
      <c r="EG65" s="10"/>
      <c r="EH65" s="10">
        <v>88882.263900000005</v>
      </c>
      <c r="EI65" s="10"/>
      <c r="EJ65" s="10">
        <v>896.32690000000002</v>
      </c>
      <c r="EK65" s="10"/>
      <c r="EL65" s="10"/>
      <c r="EM65" s="10">
        <v>25808.571599999999</v>
      </c>
      <c r="EN65" s="10"/>
      <c r="EO65" s="10"/>
      <c r="EP65" s="10"/>
      <c r="EQ65" s="10"/>
      <c r="ER65" s="10">
        <v>14857.022499999999</v>
      </c>
      <c r="ES65" s="10">
        <v>23045.605200000002</v>
      </c>
      <c r="ET65" s="10">
        <v>16291.2783</v>
      </c>
      <c r="EU65" s="10"/>
      <c r="EV65" s="10">
        <v>3679.5581299999999</v>
      </c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>
        <v>0</v>
      </c>
      <c r="GB65" s="10"/>
      <c r="GC65" s="10"/>
      <c r="GD65" s="10"/>
      <c r="GE65" s="10">
        <v>0</v>
      </c>
      <c r="GF65" s="10">
        <v>3790.8</v>
      </c>
      <c r="GG65" s="10">
        <v>0</v>
      </c>
    </row>
    <row r="66" spans="1:189" x14ac:dyDescent="0.35">
      <c r="A66" s="8">
        <v>46099</v>
      </c>
      <c r="B66" s="9">
        <v>5753944172.7566204</v>
      </c>
      <c r="C66" s="10">
        <v>2620921933.6866899</v>
      </c>
      <c r="D66" s="10">
        <v>2483129342.70295</v>
      </c>
      <c r="E66" s="10">
        <v>63583115.830009997</v>
      </c>
      <c r="F66" s="10"/>
      <c r="G66" s="10">
        <v>171970473.8626</v>
      </c>
      <c r="H66" s="10">
        <v>80615854.856999993</v>
      </c>
      <c r="I66" s="10">
        <v>17398724.7991</v>
      </c>
      <c r="J66" s="10"/>
      <c r="K66" s="10">
        <v>11427038.432700001</v>
      </c>
      <c r="L66" s="10">
        <v>55302575.075000003</v>
      </c>
      <c r="M66" s="10">
        <v>19313692.776700001</v>
      </c>
      <c r="N66" s="10">
        <v>53813153.841700003</v>
      </c>
      <c r="O66" s="10">
        <v>17780340.703600001</v>
      </c>
      <c r="P66" s="10">
        <v>26902477.267099999</v>
      </c>
      <c r="Q66" s="10"/>
      <c r="R66" s="10">
        <v>6858267.4659000002</v>
      </c>
      <c r="S66" s="10">
        <v>21431617.838339999</v>
      </c>
      <c r="T66" s="10">
        <v>17513389.6351</v>
      </c>
      <c r="U66" s="10">
        <v>13587613.4136</v>
      </c>
      <c r="V66" s="10">
        <v>3716981.3607000001</v>
      </c>
      <c r="W66" s="10">
        <v>3051971.1244000001</v>
      </c>
      <c r="X66" s="10">
        <v>530645.76639999996</v>
      </c>
      <c r="Y66" s="10"/>
      <c r="Z66" s="10">
        <v>4017895.6718000001</v>
      </c>
      <c r="AA66" s="10">
        <v>2380316.8185999999</v>
      </c>
      <c r="AB66" s="10">
        <v>7941256.6248000003</v>
      </c>
      <c r="AC66" s="10">
        <v>506174.81670000002</v>
      </c>
      <c r="AD66" s="10"/>
      <c r="AE66" s="10">
        <v>8290376.4856399996</v>
      </c>
      <c r="AF66" s="10">
        <v>1060387.7612000001</v>
      </c>
      <c r="AG66" s="10">
        <v>523126.37439999997</v>
      </c>
      <c r="AH66" s="10">
        <v>1232380.6189999999</v>
      </c>
      <c r="AI66" s="10">
        <v>391779.55499999999</v>
      </c>
      <c r="AJ66" s="10">
        <v>3509001.7966</v>
      </c>
      <c r="AK66" s="10">
        <v>2698972.0984999998</v>
      </c>
      <c r="AL66" s="10">
        <v>897785.01159999997</v>
      </c>
      <c r="AM66" s="10">
        <v>1500614.6913000001</v>
      </c>
      <c r="AN66" s="10"/>
      <c r="AO66" s="10"/>
      <c r="AP66" s="10"/>
      <c r="AQ66" s="10">
        <v>497074.8138</v>
      </c>
      <c r="AR66" s="10"/>
      <c r="AS66" s="10">
        <v>34794.749300000003</v>
      </c>
      <c r="AT66" s="10">
        <v>4207740.0483999997</v>
      </c>
      <c r="AU66" s="10">
        <v>2826415.1067989999</v>
      </c>
      <c r="AV66" s="10">
        <v>1372539.1584999999</v>
      </c>
      <c r="AW66" s="10"/>
      <c r="AX66" s="10">
        <v>406744.47369999997</v>
      </c>
      <c r="AY66" s="10"/>
      <c r="AZ66" s="10"/>
      <c r="BA66" s="10">
        <v>1748739.8898</v>
      </c>
      <c r="BB66" s="10">
        <v>2283625.5671999999</v>
      </c>
      <c r="BC66" s="10">
        <v>833002.65</v>
      </c>
      <c r="BD66" s="10">
        <v>640238.68709999998</v>
      </c>
      <c r="BE66" s="10"/>
      <c r="BF66" s="10"/>
      <c r="BG66" s="10">
        <v>830488.06976999994</v>
      </c>
      <c r="BH66" s="10"/>
      <c r="BI66" s="10"/>
      <c r="BJ66" s="10"/>
      <c r="BK66" s="10">
        <v>433966.72590000002</v>
      </c>
      <c r="BL66" s="10">
        <v>679729.19209999999</v>
      </c>
      <c r="BM66" s="10">
        <v>593352.03760000004</v>
      </c>
      <c r="BN66" s="10"/>
      <c r="BO66" s="10">
        <v>806486.22219999996</v>
      </c>
      <c r="BP66" s="10"/>
      <c r="BQ66" s="10"/>
      <c r="BR66" s="10">
        <v>3557882.6849000002</v>
      </c>
      <c r="BS66" s="10">
        <v>1649823.1552599999</v>
      </c>
      <c r="BT66" s="10">
        <v>661719.08109999995</v>
      </c>
      <c r="BU66" s="10">
        <v>270628.11317000003</v>
      </c>
      <c r="BV66" s="10"/>
      <c r="BW66" s="10">
        <v>812158.53489999997</v>
      </c>
      <c r="BX66" s="10">
        <v>308348.90669999999</v>
      </c>
      <c r="BY66" s="10"/>
      <c r="BZ66" s="10">
        <v>307548.76500000001</v>
      </c>
      <c r="CA66" s="10"/>
      <c r="CB66" s="10">
        <v>872011.08250000002</v>
      </c>
      <c r="CC66" s="10">
        <v>91403.320330000002</v>
      </c>
      <c r="CD66" s="10">
        <v>617511.94290000002</v>
      </c>
      <c r="CE66" s="10"/>
      <c r="CF66" s="10">
        <v>68384.855599999995</v>
      </c>
      <c r="CG66" s="10">
        <v>95765.595000000001</v>
      </c>
      <c r="CH66" s="10"/>
      <c r="CI66" s="10">
        <v>148770.44699999999</v>
      </c>
      <c r="CJ66" s="10">
        <v>673405.72158999997</v>
      </c>
      <c r="CK66" s="10"/>
      <c r="CL66" s="10"/>
      <c r="CM66" s="10"/>
      <c r="CN66" s="10">
        <v>172315.63800000001</v>
      </c>
      <c r="CO66" s="10">
        <v>38330.892082999999</v>
      </c>
      <c r="CP66" s="10"/>
      <c r="CQ66" s="10"/>
      <c r="CR66" s="10"/>
      <c r="CS66" s="10"/>
      <c r="CT66" s="10"/>
      <c r="CU66" s="10">
        <v>124956.17600000001</v>
      </c>
      <c r="CV66" s="10">
        <v>139444.9632</v>
      </c>
      <c r="CW66" s="10"/>
      <c r="CX66" s="10">
        <v>150348.55359</v>
      </c>
      <c r="CY66" s="10"/>
      <c r="CZ66" s="10"/>
      <c r="DA66" s="10">
        <v>79782.578699999998</v>
      </c>
      <c r="DB66" s="10"/>
      <c r="DC66" s="10">
        <v>88337.436073000004</v>
      </c>
      <c r="DD66" s="10">
        <v>131596.8389</v>
      </c>
      <c r="DE66" s="10"/>
      <c r="DF66" s="10">
        <v>63454.713539999997</v>
      </c>
      <c r="DG66" s="10"/>
      <c r="DH66" s="10">
        <v>35808.737500000003</v>
      </c>
      <c r="DI66" s="10"/>
      <c r="DJ66" s="10"/>
      <c r="DK66" s="10"/>
      <c r="DL66" s="10">
        <v>93360.107999999993</v>
      </c>
      <c r="DM66" s="10"/>
      <c r="DN66" s="10">
        <v>67689.603860000003</v>
      </c>
      <c r="DO66" s="10"/>
      <c r="DP66" s="10">
        <v>22167.419600000001</v>
      </c>
      <c r="DQ66" s="10"/>
      <c r="DR66" s="10">
        <v>27391.119900000002</v>
      </c>
      <c r="DS66" s="10">
        <v>72805.765199999994</v>
      </c>
      <c r="DT66" s="10">
        <v>84270.832699999999</v>
      </c>
      <c r="DU66" s="10"/>
      <c r="DV66" s="10"/>
      <c r="DW66" s="10"/>
      <c r="DX66" s="10"/>
      <c r="DY66" s="10">
        <v>141472.89321000001</v>
      </c>
      <c r="DZ66" s="10">
        <v>24872.932700000001</v>
      </c>
      <c r="EA66" s="10">
        <v>0</v>
      </c>
      <c r="EB66" s="10"/>
      <c r="EC66" s="10">
        <v>42301.561136999997</v>
      </c>
      <c r="ED66" s="10">
        <v>13533.590899999999</v>
      </c>
      <c r="EE66" s="10"/>
      <c r="EF66" s="10">
        <v>34918.201699999998</v>
      </c>
      <c r="EG66" s="10"/>
      <c r="EH66" s="10">
        <v>38230.507429999998</v>
      </c>
      <c r="EI66" s="10"/>
      <c r="EJ66" s="10">
        <v>4758.5129999999999</v>
      </c>
      <c r="EK66" s="10"/>
      <c r="EL66" s="10"/>
      <c r="EM66" s="10">
        <v>20945.586299999999</v>
      </c>
      <c r="EN66" s="10"/>
      <c r="EO66" s="10"/>
      <c r="EP66" s="10"/>
      <c r="EQ66" s="10"/>
      <c r="ER66" s="10">
        <v>19480.754799999999</v>
      </c>
      <c r="ES66" s="10">
        <v>64828.6564</v>
      </c>
      <c r="ET66" s="10">
        <v>15539.038399999999</v>
      </c>
      <c r="EU66" s="10"/>
      <c r="EV66" s="10">
        <v>1650.7809500000001</v>
      </c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>
        <v>0</v>
      </c>
      <c r="GB66" s="10"/>
      <c r="GC66" s="10"/>
      <c r="GD66" s="10"/>
      <c r="GE66" s="10">
        <v>0</v>
      </c>
      <c r="GF66" s="10">
        <v>0</v>
      </c>
      <c r="GG66" s="10">
        <v>0</v>
      </c>
    </row>
    <row r="67" spans="1:189" x14ac:dyDescent="0.35">
      <c r="A67" s="8">
        <v>46098</v>
      </c>
      <c r="B67" s="9">
        <v>3147210218.94735</v>
      </c>
      <c r="C67" s="10">
        <v>1076864826.90204</v>
      </c>
      <c r="D67" s="10">
        <v>1580978846.7037101</v>
      </c>
      <c r="E67" s="10">
        <v>38507934.401100002</v>
      </c>
      <c r="F67" s="10"/>
      <c r="G67" s="10">
        <v>134250899.86129999</v>
      </c>
      <c r="H67" s="10">
        <v>64109738.6184</v>
      </c>
      <c r="I67" s="10">
        <v>16221389.0942</v>
      </c>
      <c r="J67" s="10"/>
      <c r="K67" s="10">
        <v>13875712.952199999</v>
      </c>
      <c r="L67" s="10">
        <v>42637763.102700002</v>
      </c>
      <c r="M67" s="10">
        <v>17427672.422200002</v>
      </c>
      <c r="N67" s="10">
        <v>20103414.8189</v>
      </c>
      <c r="O67" s="10">
        <v>12975718.7521</v>
      </c>
      <c r="P67" s="10">
        <v>15480499.2849</v>
      </c>
      <c r="Q67" s="10"/>
      <c r="R67" s="10">
        <v>5778195.7566999998</v>
      </c>
      <c r="S67" s="10">
        <v>18735082.06828</v>
      </c>
      <c r="T67" s="10">
        <v>13509455.4779</v>
      </c>
      <c r="U67" s="10">
        <v>11412623.451099999</v>
      </c>
      <c r="V67" s="10">
        <v>2222092.5340999998</v>
      </c>
      <c r="W67" s="10">
        <v>1362869.3322999999</v>
      </c>
      <c r="X67" s="10">
        <v>271262.51380000002</v>
      </c>
      <c r="Y67" s="10"/>
      <c r="Z67" s="10">
        <v>1531907.0427000001</v>
      </c>
      <c r="AA67" s="10">
        <v>1728532.3023000001</v>
      </c>
      <c r="AB67" s="10">
        <v>4600443.4011000004</v>
      </c>
      <c r="AC67" s="10">
        <v>293846.1054</v>
      </c>
      <c r="AD67" s="10"/>
      <c r="AE67" s="10">
        <v>4779935.7327199997</v>
      </c>
      <c r="AF67" s="10">
        <v>641228.9804</v>
      </c>
      <c r="AG67" s="10">
        <v>270776.42070000002</v>
      </c>
      <c r="AH67" s="10">
        <v>1955933.3245000001</v>
      </c>
      <c r="AI67" s="10">
        <v>735588.96200000006</v>
      </c>
      <c r="AJ67" s="10">
        <v>2049292.7598000001</v>
      </c>
      <c r="AK67" s="10">
        <v>853956.24069999997</v>
      </c>
      <c r="AL67" s="10">
        <v>561959.58490000002</v>
      </c>
      <c r="AM67" s="10">
        <v>7580666.0854000002</v>
      </c>
      <c r="AN67" s="10"/>
      <c r="AO67" s="10"/>
      <c r="AP67" s="10"/>
      <c r="AQ67" s="10">
        <v>603185.12589999998</v>
      </c>
      <c r="AR67" s="10"/>
      <c r="AS67" s="10">
        <v>12204.2979</v>
      </c>
      <c r="AT67" s="10">
        <v>1272674.6658000001</v>
      </c>
      <c r="AU67" s="10">
        <v>1247912.7262230001</v>
      </c>
      <c r="AV67" s="10">
        <v>926171.03020000004</v>
      </c>
      <c r="AW67" s="10"/>
      <c r="AX67" s="10">
        <v>1580686.2542999999</v>
      </c>
      <c r="AY67" s="10"/>
      <c r="AZ67" s="10"/>
      <c r="BA67" s="10">
        <v>4956813.0322000002</v>
      </c>
      <c r="BB67" s="10">
        <v>4075615.3303999999</v>
      </c>
      <c r="BC67" s="10">
        <v>1387446.7450000001</v>
      </c>
      <c r="BD67" s="10">
        <v>615500.12269999995</v>
      </c>
      <c r="BE67" s="10"/>
      <c r="BF67" s="10"/>
      <c r="BG67" s="10">
        <v>606690.89777000004</v>
      </c>
      <c r="BH67" s="10"/>
      <c r="BI67" s="10"/>
      <c r="BJ67" s="10"/>
      <c r="BK67" s="10">
        <v>297321.27840000001</v>
      </c>
      <c r="BL67" s="10">
        <v>1031997.6156</v>
      </c>
      <c r="BM67" s="10">
        <v>751517.97690000001</v>
      </c>
      <c r="BN67" s="10"/>
      <c r="BO67" s="10">
        <v>452498.0013</v>
      </c>
      <c r="BP67" s="10"/>
      <c r="BQ67" s="10"/>
      <c r="BR67" s="10">
        <v>135402.5477</v>
      </c>
      <c r="BS67" s="10">
        <v>739671.09094000002</v>
      </c>
      <c r="BT67" s="10">
        <v>1650653.4398000001</v>
      </c>
      <c r="BU67" s="10">
        <v>296576.34682999999</v>
      </c>
      <c r="BV67" s="10"/>
      <c r="BW67" s="10">
        <v>2853547.6839000001</v>
      </c>
      <c r="BX67" s="10">
        <v>305698.28399999999</v>
      </c>
      <c r="BY67" s="10"/>
      <c r="BZ67" s="10">
        <v>453215.5956</v>
      </c>
      <c r="CA67" s="10"/>
      <c r="CB67" s="10">
        <v>2344857.2474000002</v>
      </c>
      <c r="CC67" s="10">
        <v>198661.87989000001</v>
      </c>
      <c r="CD67" s="10">
        <v>583331.87910000002</v>
      </c>
      <c r="CE67" s="10"/>
      <c r="CF67" s="10">
        <v>181912.02119999999</v>
      </c>
      <c r="CG67" s="10">
        <v>79902.725999999995</v>
      </c>
      <c r="CH67" s="10"/>
      <c r="CI67" s="10">
        <v>276059.00699999998</v>
      </c>
      <c r="CJ67" s="10">
        <v>1062512.513</v>
      </c>
      <c r="CK67" s="10"/>
      <c r="CL67" s="10"/>
      <c r="CM67" s="10"/>
      <c r="CN67" s="10">
        <v>174220.63200000001</v>
      </c>
      <c r="CO67" s="10">
        <v>22669.412323</v>
      </c>
      <c r="CP67" s="10"/>
      <c r="CQ67" s="10"/>
      <c r="CR67" s="10"/>
      <c r="CS67" s="10"/>
      <c r="CT67" s="10"/>
      <c r="CU67" s="10"/>
      <c r="CV67" s="10">
        <v>208322.48180000001</v>
      </c>
      <c r="CW67" s="10"/>
      <c r="CX67" s="10">
        <v>87960.264410000003</v>
      </c>
      <c r="CY67" s="10"/>
      <c r="CZ67" s="10"/>
      <c r="DA67" s="10">
        <v>48342.534500000002</v>
      </c>
      <c r="DB67" s="10"/>
      <c r="DC67" s="10">
        <v>67672.692498999997</v>
      </c>
      <c r="DD67" s="10">
        <v>71871.528099999996</v>
      </c>
      <c r="DE67" s="10"/>
      <c r="DF67" s="10">
        <v>496355.69282</v>
      </c>
      <c r="DG67" s="10"/>
      <c r="DH67" s="10">
        <v>60937.110699999997</v>
      </c>
      <c r="DI67" s="10"/>
      <c r="DJ67" s="10"/>
      <c r="DK67" s="10"/>
      <c r="DL67" s="10">
        <v>82722.205000000002</v>
      </c>
      <c r="DM67" s="10"/>
      <c r="DN67" s="10">
        <v>60213.658089999997</v>
      </c>
      <c r="DO67" s="10"/>
      <c r="DP67" s="10">
        <v>21233.082699999999</v>
      </c>
      <c r="DQ67" s="10"/>
      <c r="DR67" s="10">
        <v>31108.516</v>
      </c>
      <c r="DS67" s="10">
        <v>76642.3076</v>
      </c>
      <c r="DT67" s="10">
        <v>86591.403900000005</v>
      </c>
      <c r="DU67" s="10"/>
      <c r="DV67" s="10"/>
      <c r="DW67" s="10"/>
      <c r="DX67" s="10"/>
      <c r="DY67" s="10">
        <v>42301.699780000003</v>
      </c>
      <c r="DZ67" s="10">
        <v>47689.5196</v>
      </c>
      <c r="EA67" s="10">
        <v>0</v>
      </c>
      <c r="EB67" s="10"/>
      <c r="EC67" s="10">
        <v>37945.127883000001</v>
      </c>
      <c r="ED67" s="10">
        <v>29475.9761</v>
      </c>
      <c r="EE67" s="10"/>
      <c r="EF67" s="10">
        <v>37018.977500000001</v>
      </c>
      <c r="EG67" s="10"/>
      <c r="EH67" s="10">
        <v>23779.655480000001</v>
      </c>
      <c r="EI67" s="10"/>
      <c r="EJ67" s="10">
        <v>6389.1286</v>
      </c>
      <c r="EK67" s="10"/>
      <c r="EL67" s="10"/>
      <c r="EM67" s="10">
        <v>26959.347099999999</v>
      </c>
      <c r="EN67" s="10"/>
      <c r="EO67" s="10"/>
      <c r="EP67" s="10"/>
      <c r="EQ67" s="10"/>
      <c r="ER67" s="10">
        <v>15134.3547</v>
      </c>
      <c r="ES67" s="10">
        <v>23191.920300000002</v>
      </c>
      <c r="ET67" s="10">
        <v>24749.696199999998</v>
      </c>
      <c r="EU67" s="10"/>
      <c r="EV67" s="10">
        <v>4022.7801599999998</v>
      </c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>
        <v>0</v>
      </c>
      <c r="GB67" s="10"/>
      <c r="GC67" s="10"/>
      <c r="GD67" s="10"/>
      <c r="GE67" s="10">
        <v>4394.8879999999999</v>
      </c>
      <c r="GF67" s="10">
        <v>0</v>
      </c>
      <c r="GG67" s="10">
        <v>0</v>
      </c>
    </row>
    <row r="68" spans="1:189" x14ac:dyDescent="0.35">
      <c r="A68" s="8">
        <v>46097</v>
      </c>
      <c r="B68" s="9">
        <v>4457892705.7452097</v>
      </c>
      <c r="C68" s="10">
        <v>1637726342.7794099</v>
      </c>
      <c r="D68" s="10">
        <v>2291450801.0655999</v>
      </c>
      <c r="E68" s="10">
        <v>45530509.205150001</v>
      </c>
      <c r="F68" s="10"/>
      <c r="G68" s="10">
        <v>122299343.3439</v>
      </c>
      <c r="H68" s="10">
        <v>82062637.874400005</v>
      </c>
      <c r="I68" s="10">
        <v>8315953.9036999997</v>
      </c>
      <c r="J68" s="10"/>
      <c r="K68" s="10">
        <v>25451482.153700002</v>
      </c>
      <c r="L68" s="10">
        <v>51491082.3301</v>
      </c>
      <c r="M68" s="10">
        <v>19315966.587400001</v>
      </c>
      <c r="N68" s="10">
        <v>26419152.478799999</v>
      </c>
      <c r="O68" s="10">
        <v>10295712.1853</v>
      </c>
      <c r="P68" s="10">
        <v>17806484.924400002</v>
      </c>
      <c r="Q68" s="10"/>
      <c r="R68" s="10">
        <v>5536177.7796999998</v>
      </c>
      <c r="S68" s="10">
        <v>24315023.435490001</v>
      </c>
      <c r="T68" s="10">
        <v>11669886.0666</v>
      </c>
      <c r="U68" s="10">
        <v>10306609.513599999</v>
      </c>
      <c r="V68" s="10">
        <v>2899088.7143999999</v>
      </c>
      <c r="W68" s="10">
        <v>2158046.9824000001</v>
      </c>
      <c r="X68" s="10">
        <v>135242.84539999999</v>
      </c>
      <c r="Y68" s="10"/>
      <c r="Z68" s="10">
        <v>3597063.0290000001</v>
      </c>
      <c r="AA68" s="10">
        <v>2267256.5043000001</v>
      </c>
      <c r="AB68" s="10">
        <v>7783276.8326000003</v>
      </c>
      <c r="AC68" s="10">
        <v>573198.50719999999</v>
      </c>
      <c r="AD68" s="10"/>
      <c r="AE68" s="10">
        <v>9845320.7970000003</v>
      </c>
      <c r="AF68" s="10">
        <v>494533.66029999999</v>
      </c>
      <c r="AG68" s="10">
        <v>171078.97959999999</v>
      </c>
      <c r="AH68" s="10">
        <v>2022882.737</v>
      </c>
      <c r="AI68" s="10">
        <v>491695.408</v>
      </c>
      <c r="AJ68" s="10">
        <v>1234115.8654</v>
      </c>
      <c r="AK68" s="10">
        <v>765850.0085</v>
      </c>
      <c r="AL68" s="10">
        <v>748214.96530000004</v>
      </c>
      <c r="AM68" s="10">
        <v>1007017.2485</v>
      </c>
      <c r="AN68" s="10"/>
      <c r="AO68" s="10"/>
      <c r="AP68" s="10"/>
      <c r="AQ68" s="10">
        <v>656800.53249999997</v>
      </c>
      <c r="AR68" s="10"/>
      <c r="AS68" s="10">
        <v>32805.481200000002</v>
      </c>
      <c r="AT68" s="10">
        <v>2090663.6684000001</v>
      </c>
      <c r="AU68" s="10">
        <v>761311.82677799999</v>
      </c>
      <c r="AV68" s="10">
        <v>483008.46860000002</v>
      </c>
      <c r="AW68" s="10"/>
      <c r="AX68" s="10"/>
      <c r="AY68" s="10"/>
      <c r="AZ68" s="10"/>
      <c r="BA68" s="10">
        <v>7504012.8410999998</v>
      </c>
      <c r="BB68" s="10">
        <v>3254937.4556</v>
      </c>
      <c r="BC68" s="10">
        <v>844311.60600000003</v>
      </c>
      <c r="BD68" s="10">
        <v>798850.91899999999</v>
      </c>
      <c r="BE68" s="10"/>
      <c r="BF68" s="10"/>
      <c r="BG68" s="10">
        <v>1060382.66732</v>
      </c>
      <c r="BH68" s="10"/>
      <c r="BI68" s="10"/>
      <c r="BJ68" s="10"/>
      <c r="BK68" s="10">
        <v>233850.26920000001</v>
      </c>
      <c r="BL68" s="10">
        <v>1464082.0342999999</v>
      </c>
      <c r="BM68" s="10">
        <v>934636.02049999998</v>
      </c>
      <c r="BN68" s="10"/>
      <c r="BO68" s="10">
        <v>734816.52489999996</v>
      </c>
      <c r="BP68" s="10"/>
      <c r="BQ68" s="10"/>
      <c r="BR68" s="10">
        <v>597801.37930000003</v>
      </c>
      <c r="BS68" s="10">
        <v>794436.56091</v>
      </c>
      <c r="BT68" s="10">
        <v>1269322.3308000001</v>
      </c>
      <c r="BU68" s="10">
        <v>113631.49176999999</v>
      </c>
      <c r="BV68" s="10"/>
      <c r="BW68" s="10">
        <v>367190.45250000001</v>
      </c>
      <c r="BX68" s="10">
        <v>390230.4056</v>
      </c>
      <c r="BY68" s="10"/>
      <c r="BZ68" s="10">
        <v>1150103.5430999999</v>
      </c>
      <c r="CA68" s="10"/>
      <c r="CB68" s="10">
        <v>1102874.6344000001</v>
      </c>
      <c r="CC68" s="10">
        <v>1150693.00988</v>
      </c>
      <c r="CD68" s="10">
        <v>727498.48549999995</v>
      </c>
      <c r="CE68" s="10"/>
      <c r="CF68" s="10">
        <v>185692.70879999999</v>
      </c>
      <c r="CG68" s="10">
        <v>87952.311000000002</v>
      </c>
      <c r="CH68" s="10"/>
      <c r="CI68" s="10">
        <v>274082.65500000003</v>
      </c>
      <c r="CJ68" s="10">
        <v>234773.55632</v>
      </c>
      <c r="CK68" s="10"/>
      <c r="CL68" s="10"/>
      <c r="CM68" s="10"/>
      <c r="CN68" s="10">
        <v>575400.44999999995</v>
      </c>
      <c r="CO68" s="10">
        <v>124257.51401699999</v>
      </c>
      <c r="CP68" s="10"/>
      <c r="CQ68" s="10"/>
      <c r="CR68" s="10"/>
      <c r="CS68" s="10"/>
      <c r="CT68" s="10"/>
      <c r="CU68" s="10"/>
      <c r="CV68" s="10">
        <v>313871.01610000001</v>
      </c>
      <c r="CW68" s="10"/>
      <c r="CX68" s="10">
        <v>172453.83979999999</v>
      </c>
      <c r="CY68" s="10"/>
      <c r="CZ68" s="10"/>
      <c r="DA68" s="10">
        <v>78331.235499999995</v>
      </c>
      <c r="DB68" s="10"/>
      <c r="DC68" s="10">
        <v>51199.671890999998</v>
      </c>
      <c r="DD68" s="10">
        <v>106572.8769</v>
      </c>
      <c r="DE68" s="10"/>
      <c r="DF68" s="10">
        <v>137045.84491000001</v>
      </c>
      <c r="DG68" s="10"/>
      <c r="DH68" s="10">
        <v>58143.302000000003</v>
      </c>
      <c r="DI68" s="10"/>
      <c r="DJ68" s="10"/>
      <c r="DK68" s="10"/>
      <c r="DL68" s="10">
        <v>82851.058999999994</v>
      </c>
      <c r="DM68" s="10"/>
      <c r="DN68" s="10">
        <v>65199.296860000002</v>
      </c>
      <c r="DO68" s="10"/>
      <c r="DP68" s="10">
        <v>26171.1623</v>
      </c>
      <c r="DQ68" s="10"/>
      <c r="DR68" s="10">
        <v>29777.072199999999</v>
      </c>
      <c r="DS68" s="10">
        <v>103856.8018</v>
      </c>
      <c r="DT68" s="10">
        <v>142439.37059999999</v>
      </c>
      <c r="DU68" s="10"/>
      <c r="DV68" s="10"/>
      <c r="DW68" s="10"/>
      <c r="DX68" s="10"/>
      <c r="DY68" s="10">
        <v>74838.703890000004</v>
      </c>
      <c r="DZ68" s="10">
        <v>27882.8236</v>
      </c>
      <c r="EA68" s="10">
        <v>0</v>
      </c>
      <c r="EB68" s="10"/>
      <c r="EC68" s="10">
        <v>31088.459736000001</v>
      </c>
      <c r="ED68" s="10">
        <v>39653.696100000001</v>
      </c>
      <c r="EE68" s="10"/>
      <c r="EF68" s="10">
        <v>42400.850599999998</v>
      </c>
      <c r="EG68" s="10"/>
      <c r="EH68" s="10">
        <v>29133.629359999999</v>
      </c>
      <c r="EI68" s="10"/>
      <c r="EJ68" s="10">
        <v>651.79250000000002</v>
      </c>
      <c r="EK68" s="10"/>
      <c r="EL68" s="10"/>
      <c r="EM68" s="10">
        <v>20492.348099999999</v>
      </c>
      <c r="EN68" s="10"/>
      <c r="EO68" s="10"/>
      <c r="EP68" s="10"/>
      <c r="EQ68" s="10"/>
      <c r="ER68" s="10">
        <v>16124.0239</v>
      </c>
      <c r="ES68" s="10">
        <v>28254.4234</v>
      </c>
      <c r="ET68" s="10">
        <v>20802.375599999999</v>
      </c>
      <c r="EU68" s="10"/>
      <c r="EV68" s="10">
        <v>6009.5521200000003</v>
      </c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>
        <v>0</v>
      </c>
      <c r="GB68" s="10"/>
      <c r="GC68" s="10"/>
      <c r="GD68" s="10"/>
      <c r="GE68" s="10">
        <v>0</v>
      </c>
      <c r="GF68" s="10">
        <v>0</v>
      </c>
      <c r="GG68" s="10">
        <v>0</v>
      </c>
    </row>
    <row r="69" spans="1:189" x14ac:dyDescent="0.35">
      <c r="A69" s="8">
        <v>46096</v>
      </c>
      <c r="B69" s="9">
        <v>1146994750.9586899</v>
      </c>
      <c r="C69" s="10">
        <v>706047812.43931198</v>
      </c>
      <c r="D69" s="10">
        <v>295812280.90578002</v>
      </c>
      <c r="E69" s="10">
        <v>28914583.9921</v>
      </c>
      <c r="F69" s="10"/>
      <c r="G69" s="10">
        <v>14235172.182499999</v>
      </c>
      <c r="H69" s="10">
        <v>27434565.849599998</v>
      </c>
      <c r="I69" s="10">
        <v>1041145.6526</v>
      </c>
      <c r="J69" s="10"/>
      <c r="K69" s="10">
        <v>6406044.8986</v>
      </c>
      <c r="L69" s="10">
        <v>17747376.715999998</v>
      </c>
      <c r="M69" s="10">
        <v>1673498.6850999999</v>
      </c>
      <c r="N69" s="10">
        <v>5398074.1640999997</v>
      </c>
      <c r="O69" s="10"/>
      <c r="P69" s="10">
        <v>3569345.2804</v>
      </c>
      <c r="Q69" s="10"/>
      <c r="R69" s="10">
        <v>7006634.2391999997</v>
      </c>
      <c r="S69" s="10">
        <v>5032688.7419400001</v>
      </c>
      <c r="T69" s="10">
        <v>1621835.0564999999</v>
      </c>
      <c r="U69" s="10">
        <v>4441021.9648000002</v>
      </c>
      <c r="V69" s="10">
        <v>774691.38650000002</v>
      </c>
      <c r="W69" s="10">
        <v>996735.16570000001</v>
      </c>
      <c r="X69" s="10">
        <v>135985.8401</v>
      </c>
      <c r="Y69" s="10"/>
      <c r="Z69" s="10">
        <v>641691.19330000004</v>
      </c>
      <c r="AA69" s="10">
        <v>939767.37919999997</v>
      </c>
      <c r="AB69" s="10">
        <v>2658514.5214</v>
      </c>
      <c r="AC69" s="10">
        <v>292867.49359999999</v>
      </c>
      <c r="AD69" s="10"/>
      <c r="AE69" s="10">
        <v>3231587.3223600001</v>
      </c>
      <c r="AF69" s="10">
        <v>257925.58859999999</v>
      </c>
      <c r="AG69" s="10">
        <v>135891.0068</v>
      </c>
      <c r="AH69" s="10">
        <v>114362.53449999999</v>
      </c>
      <c r="AI69" s="10">
        <v>1042915.377</v>
      </c>
      <c r="AJ69" s="10">
        <v>75581.107099999994</v>
      </c>
      <c r="AK69" s="10">
        <v>1687051.6136</v>
      </c>
      <c r="AL69" s="10">
        <v>129132.5765</v>
      </c>
      <c r="AM69" s="10">
        <v>32851.844799999999</v>
      </c>
      <c r="AN69" s="10"/>
      <c r="AO69" s="10"/>
      <c r="AP69" s="10"/>
      <c r="AQ69" s="10">
        <v>80990.284899999999</v>
      </c>
      <c r="AR69" s="10"/>
      <c r="AS69" s="10">
        <v>62500.269899999999</v>
      </c>
      <c r="AT69" s="10">
        <v>1021534.49</v>
      </c>
      <c r="AU69" s="10">
        <v>955206.22240700002</v>
      </c>
      <c r="AV69" s="10">
        <v>230977.7985</v>
      </c>
      <c r="AW69" s="10"/>
      <c r="AX69" s="10"/>
      <c r="AY69" s="10"/>
      <c r="AZ69" s="10"/>
      <c r="BA69" s="10"/>
      <c r="BB69" s="10">
        <v>15547.319100000001</v>
      </c>
      <c r="BC69" s="10">
        <v>191495.25</v>
      </c>
      <c r="BD69" s="10">
        <v>2952.2462</v>
      </c>
      <c r="BE69" s="10"/>
      <c r="BF69" s="10"/>
      <c r="BG69" s="10">
        <v>106908.85741</v>
      </c>
      <c r="BH69" s="10"/>
      <c r="BI69" s="10"/>
      <c r="BJ69" s="10"/>
      <c r="BK69" s="10">
        <v>99306.610199999996</v>
      </c>
      <c r="BL69" s="10">
        <v>20777.143</v>
      </c>
      <c r="BM69" s="10">
        <v>240734.04440000001</v>
      </c>
      <c r="BN69" s="10"/>
      <c r="BO69" s="10">
        <v>48543.716699999997</v>
      </c>
      <c r="BP69" s="10"/>
      <c r="BQ69" s="10"/>
      <c r="BR69" s="10">
        <v>455354.84980000003</v>
      </c>
      <c r="BS69" s="10">
        <v>186972.94122000001</v>
      </c>
      <c r="BT69" s="10">
        <v>34895.985699999997</v>
      </c>
      <c r="BU69" s="10">
        <v>131852.1213</v>
      </c>
      <c r="BV69" s="10"/>
      <c r="BW69" s="10">
        <v>72516.632899999997</v>
      </c>
      <c r="BX69" s="10">
        <v>165760.11670000001</v>
      </c>
      <c r="BY69" s="10"/>
      <c r="BZ69" s="10">
        <v>118101.2583</v>
      </c>
      <c r="CA69" s="10"/>
      <c r="CB69" s="10">
        <v>184485.4964</v>
      </c>
      <c r="CC69" s="10">
        <v>344250.71214999998</v>
      </c>
      <c r="CD69" s="10">
        <v>39788.555</v>
      </c>
      <c r="CE69" s="10"/>
      <c r="CF69" s="10">
        <v>6659.1153999999997</v>
      </c>
      <c r="CG69" s="10">
        <v>79526.118000000002</v>
      </c>
      <c r="CH69" s="10"/>
      <c r="CI69" s="10">
        <v>52408.851000000002</v>
      </c>
      <c r="CJ69" s="10">
        <v>268640.78477999999</v>
      </c>
      <c r="CK69" s="10"/>
      <c r="CL69" s="10"/>
      <c r="CM69" s="10"/>
      <c r="CN69" s="10">
        <v>858157.21400000004</v>
      </c>
      <c r="CO69" s="10">
        <v>14267.961416</v>
      </c>
      <c r="CP69" s="10"/>
      <c r="CQ69" s="10"/>
      <c r="CR69" s="10"/>
      <c r="CS69" s="10"/>
      <c r="CT69" s="10"/>
      <c r="CU69" s="10"/>
      <c r="CV69" s="10">
        <v>75896.665099999998</v>
      </c>
      <c r="CW69" s="10"/>
      <c r="CX69" s="10">
        <v>257401.23180000001</v>
      </c>
      <c r="CY69" s="10"/>
      <c r="CZ69" s="10"/>
      <c r="DA69" s="10">
        <v>46553.819100000001</v>
      </c>
      <c r="DB69" s="10"/>
      <c r="DC69" s="10">
        <v>260487.520425</v>
      </c>
      <c r="DD69" s="10">
        <v>55554.998800000001</v>
      </c>
      <c r="DE69" s="10"/>
      <c r="DF69" s="10">
        <v>36903.082340000001</v>
      </c>
      <c r="DG69" s="10"/>
      <c r="DH69" s="10">
        <v>29163.782500000001</v>
      </c>
      <c r="DI69" s="10"/>
      <c r="DJ69" s="10"/>
      <c r="DK69" s="10"/>
      <c r="DL69" s="10">
        <v>79222.915999999997</v>
      </c>
      <c r="DM69" s="10"/>
      <c r="DN69" s="10">
        <v>60588.354240000001</v>
      </c>
      <c r="DO69" s="10"/>
      <c r="DP69" s="10">
        <v>21311.5972</v>
      </c>
      <c r="DQ69" s="10"/>
      <c r="DR69" s="10">
        <v>30853.372899999998</v>
      </c>
      <c r="DS69" s="10">
        <v>104842.08100000001</v>
      </c>
      <c r="DT69" s="10">
        <v>83751.502900000007</v>
      </c>
      <c r="DU69" s="10"/>
      <c r="DV69" s="10"/>
      <c r="DW69" s="10"/>
      <c r="DX69" s="10"/>
      <c r="DY69" s="10">
        <v>25674.770710000001</v>
      </c>
      <c r="DZ69" s="10">
        <v>28807.3887</v>
      </c>
      <c r="EA69" s="10">
        <v>0</v>
      </c>
      <c r="EB69" s="10"/>
      <c r="EC69" s="10">
        <v>31759.862851000002</v>
      </c>
      <c r="ED69" s="10">
        <v>15043.2727</v>
      </c>
      <c r="EE69" s="10"/>
      <c r="EF69" s="10">
        <v>43816.558599999997</v>
      </c>
      <c r="EG69" s="10"/>
      <c r="EH69" s="10">
        <v>17419.946349999998</v>
      </c>
      <c r="EI69" s="10"/>
      <c r="EJ69" s="10">
        <v>277.76429999999999</v>
      </c>
      <c r="EK69" s="10"/>
      <c r="EL69" s="10"/>
      <c r="EM69" s="10">
        <v>21151.585899999998</v>
      </c>
      <c r="EN69" s="10"/>
      <c r="EO69" s="10"/>
      <c r="EP69" s="10"/>
      <c r="EQ69" s="10"/>
      <c r="ER69" s="10">
        <v>15276.7202</v>
      </c>
      <c r="ES69" s="10">
        <v>16168.937599999999</v>
      </c>
      <c r="ET69" s="10">
        <v>16077.5401</v>
      </c>
      <c r="EU69" s="10"/>
      <c r="EV69" s="10">
        <v>0</v>
      </c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>
        <v>0</v>
      </c>
      <c r="GB69" s="10"/>
      <c r="GC69" s="10"/>
      <c r="GD69" s="10"/>
      <c r="GE69" s="10">
        <v>0</v>
      </c>
      <c r="GF69" s="10">
        <v>0</v>
      </c>
      <c r="GG69" s="10">
        <v>0</v>
      </c>
    </row>
    <row r="70" spans="1:189" x14ac:dyDescent="0.35">
      <c r="A70" s="8">
        <v>46095</v>
      </c>
      <c r="B70" s="9">
        <v>445667053.599693</v>
      </c>
      <c r="C70" s="10">
        <v>230900325.865733</v>
      </c>
      <c r="D70" s="10">
        <v>97553967.511020005</v>
      </c>
      <c r="E70" s="10">
        <v>23263981.1545</v>
      </c>
      <c r="F70" s="10"/>
      <c r="G70" s="10">
        <v>8645355.0976999998</v>
      </c>
      <c r="H70" s="10">
        <v>12742449.3895</v>
      </c>
      <c r="I70" s="10">
        <v>804740.02370000002</v>
      </c>
      <c r="J70" s="10"/>
      <c r="K70" s="10">
        <v>1428065.8211999999</v>
      </c>
      <c r="L70" s="10">
        <v>8337303.3870999999</v>
      </c>
      <c r="M70" s="10">
        <v>593354.17749999999</v>
      </c>
      <c r="N70" s="10">
        <v>2728246.0518999998</v>
      </c>
      <c r="O70" s="10"/>
      <c r="P70" s="10">
        <v>1559778.3596000001</v>
      </c>
      <c r="Q70" s="10"/>
      <c r="R70" s="10">
        <v>6551006.8951000003</v>
      </c>
      <c r="S70" s="10">
        <v>1925724.9953699999</v>
      </c>
      <c r="T70" s="10">
        <v>1325474.5748000001</v>
      </c>
      <c r="U70" s="10">
        <v>4183369.9654999999</v>
      </c>
      <c r="V70" s="10">
        <v>841751.30830000003</v>
      </c>
      <c r="W70" s="10">
        <v>917722.89450000005</v>
      </c>
      <c r="X70" s="10">
        <v>1364714.3049999999</v>
      </c>
      <c r="Y70" s="10"/>
      <c r="Z70" s="10">
        <v>4490608.7176000001</v>
      </c>
      <c r="AA70" s="10">
        <v>936738.79630000005</v>
      </c>
      <c r="AB70" s="10">
        <v>3422399.7895999998</v>
      </c>
      <c r="AC70" s="10">
        <v>159662.80050000001</v>
      </c>
      <c r="AD70" s="10"/>
      <c r="AE70" s="10">
        <v>2494674.3567300001</v>
      </c>
      <c r="AF70" s="10">
        <v>2312501.0844999999</v>
      </c>
      <c r="AG70" s="10">
        <v>167238.58850000001</v>
      </c>
      <c r="AH70" s="10">
        <v>127093.5839</v>
      </c>
      <c r="AI70" s="10">
        <v>1268134.298</v>
      </c>
      <c r="AJ70" s="10">
        <v>333267.196</v>
      </c>
      <c r="AK70" s="10">
        <v>1819733.4728000001</v>
      </c>
      <c r="AL70" s="10">
        <v>916530.4621</v>
      </c>
      <c r="AM70" s="10">
        <v>4183922.0488999998</v>
      </c>
      <c r="AN70" s="10"/>
      <c r="AO70" s="10"/>
      <c r="AP70" s="10"/>
      <c r="AQ70" s="10">
        <v>459355.24839999998</v>
      </c>
      <c r="AR70" s="10"/>
      <c r="AS70" s="10">
        <v>64185.411699999997</v>
      </c>
      <c r="AT70" s="10">
        <v>3213618.5180000002</v>
      </c>
      <c r="AU70" s="10">
        <v>113831.64922799999</v>
      </c>
      <c r="AV70" s="10">
        <v>80756.661900000006</v>
      </c>
      <c r="AW70" s="10"/>
      <c r="AX70" s="10"/>
      <c r="AY70" s="10"/>
      <c r="AZ70" s="10"/>
      <c r="BA70" s="10"/>
      <c r="BB70" s="10">
        <v>1751401.7468999999</v>
      </c>
      <c r="BC70" s="10">
        <v>663114.48</v>
      </c>
      <c r="BD70" s="10">
        <v>6620.5045</v>
      </c>
      <c r="BE70" s="10"/>
      <c r="BF70" s="10"/>
      <c r="BG70" s="10">
        <v>456065.62358999997</v>
      </c>
      <c r="BH70" s="10"/>
      <c r="BI70" s="10"/>
      <c r="BJ70" s="10"/>
      <c r="BK70" s="10">
        <v>176805.0649</v>
      </c>
      <c r="BL70" s="10">
        <v>606488.196</v>
      </c>
      <c r="BM70" s="10">
        <v>146899.30790000001</v>
      </c>
      <c r="BN70" s="10"/>
      <c r="BO70" s="10">
        <v>455296.3224</v>
      </c>
      <c r="BP70" s="10"/>
      <c r="BQ70" s="10"/>
      <c r="BR70" s="10">
        <v>185353.49110000001</v>
      </c>
      <c r="BS70" s="10">
        <v>1978928.57724</v>
      </c>
      <c r="BT70" s="10">
        <v>359366.03350000002</v>
      </c>
      <c r="BU70" s="10">
        <v>166324.80236</v>
      </c>
      <c r="BV70" s="10"/>
      <c r="BW70" s="10">
        <v>51253.424400000004</v>
      </c>
      <c r="BX70" s="10">
        <v>226232.88920000001</v>
      </c>
      <c r="BY70" s="10"/>
      <c r="BZ70" s="10">
        <v>1614344.5935</v>
      </c>
      <c r="CA70" s="10"/>
      <c r="CB70" s="10">
        <v>175565.7378</v>
      </c>
      <c r="CC70" s="10">
        <v>33756.630539999998</v>
      </c>
      <c r="CD70" s="10">
        <v>250878.15839999999</v>
      </c>
      <c r="CE70" s="10"/>
      <c r="CF70" s="10">
        <v>243758.96609999999</v>
      </c>
      <c r="CG70" s="10">
        <v>89907.774999999994</v>
      </c>
      <c r="CH70" s="10"/>
      <c r="CI70" s="10">
        <v>22663.374</v>
      </c>
      <c r="CJ70" s="10">
        <v>2451049.5357300001</v>
      </c>
      <c r="CK70" s="10"/>
      <c r="CL70" s="10"/>
      <c r="CM70" s="10"/>
      <c r="CN70" s="10">
        <v>46711.02</v>
      </c>
      <c r="CO70" s="10">
        <v>42290.113465000002</v>
      </c>
      <c r="CP70" s="10"/>
      <c r="CQ70" s="10"/>
      <c r="CR70" s="10"/>
      <c r="CS70" s="10"/>
      <c r="CT70" s="10"/>
      <c r="CU70" s="10"/>
      <c r="CV70" s="10">
        <v>220404.76759999999</v>
      </c>
      <c r="CW70" s="10"/>
      <c r="CX70" s="10">
        <v>71604.892300000007</v>
      </c>
      <c r="CY70" s="10"/>
      <c r="CZ70" s="10"/>
      <c r="DA70" s="10">
        <v>42124.365899999997</v>
      </c>
      <c r="DB70" s="10"/>
      <c r="DC70" s="10">
        <v>88566.047244999994</v>
      </c>
      <c r="DD70" s="10">
        <v>147228.6477</v>
      </c>
      <c r="DE70" s="10"/>
      <c r="DF70" s="10">
        <v>34388.698839999997</v>
      </c>
      <c r="DG70" s="10"/>
      <c r="DH70" s="10">
        <v>32429.0111</v>
      </c>
      <c r="DI70" s="10"/>
      <c r="DJ70" s="10"/>
      <c r="DK70" s="10"/>
      <c r="DL70" s="10">
        <v>78640.547999999995</v>
      </c>
      <c r="DM70" s="10"/>
      <c r="DN70" s="10">
        <v>61472.152549999999</v>
      </c>
      <c r="DO70" s="10"/>
      <c r="DP70" s="10">
        <v>20895.605100000001</v>
      </c>
      <c r="DQ70" s="10"/>
      <c r="DR70" s="10">
        <v>32812.966399999998</v>
      </c>
      <c r="DS70" s="10">
        <v>77079.143299999996</v>
      </c>
      <c r="DT70" s="10">
        <v>76287.716100000005</v>
      </c>
      <c r="DU70" s="10"/>
      <c r="DV70" s="10"/>
      <c r="DW70" s="10"/>
      <c r="DX70" s="10"/>
      <c r="DY70" s="10">
        <v>27393.350569999999</v>
      </c>
      <c r="DZ70" s="10">
        <v>20449.999800000001</v>
      </c>
      <c r="EA70" s="10">
        <v>0</v>
      </c>
      <c r="EB70" s="10"/>
      <c r="EC70" s="10">
        <v>27928.861631</v>
      </c>
      <c r="ED70" s="10">
        <v>22130.4791</v>
      </c>
      <c r="EE70" s="10"/>
      <c r="EF70" s="10">
        <v>41410.752899999999</v>
      </c>
      <c r="EG70" s="10"/>
      <c r="EH70" s="10">
        <v>14118.809149999999</v>
      </c>
      <c r="EI70" s="10"/>
      <c r="EJ70" s="10">
        <v>982.37819999999999</v>
      </c>
      <c r="EK70" s="10"/>
      <c r="EL70" s="10"/>
      <c r="EM70" s="10">
        <v>49081.995300000002</v>
      </c>
      <c r="EN70" s="10"/>
      <c r="EO70" s="10"/>
      <c r="EP70" s="10"/>
      <c r="EQ70" s="10"/>
      <c r="ER70" s="10">
        <v>17267.299500000001</v>
      </c>
      <c r="ES70" s="10">
        <v>16428.654999999999</v>
      </c>
      <c r="ET70" s="10">
        <v>13265.6252</v>
      </c>
      <c r="EU70" s="10"/>
      <c r="EV70" s="10">
        <v>0</v>
      </c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>
        <v>0</v>
      </c>
      <c r="GB70" s="10"/>
      <c r="GC70" s="10"/>
      <c r="GD70" s="10"/>
      <c r="GE70" s="10">
        <v>0</v>
      </c>
      <c r="GF70" s="10">
        <v>0</v>
      </c>
      <c r="GG70" s="10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7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32" width="14" customWidth="1"/>
  </cols>
  <sheetData>
    <row r="1" spans="1:32" x14ac:dyDescent="0.35">
      <c r="A1" s="1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3" t="s">
        <v>2</v>
      </c>
      <c r="H1" s="6" t="s">
        <v>5</v>
      </c>
      <c r="I1" s="2" t="s">
        <v>1</v>
      </c>
      <c r="J1" s="3" t="s">
        <v>2</v>
      </c>
      <c r="K1" s="3" t="s">
        <v>2</v>
      </c>
      <c r="L1" s="3" t="s">
        <v>2</v>
      </c>
      <c r="M1" s="4" t="s">
        <v>3</v>
      </c>
      <c r="N1" s="3" t="s">
        <v>2</v>
      </c>
      <c r="O1" s="2" t="s">
        <v>1</v>
      </c>
      <c r="P1" s="6" t="s">
        <v>5</v>
      </c>
      <c r="Q1" s="4" t="s">
        <v>3</v>
      </c>
      <c r="R1" s="3" t="s">
        <v>2</v>
      </c>
      <c r="S1" s="3" t="s">
        <v>2</v>
      </c>
      <c r="T1" s="2" t="s">
        <v>1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3" t="s">
        <v>2</v>
      </c>
      <c r="AD1" s="3" t="s">
        <v>2</v>
      </c>
      <c r="AE1" s="4" t="s">
        <v>3</v>
      </c>
      <c r="AF1" s="3" t="s">
        <v>2</v>
      </c>
    </row>
    <row r="2" spans="1:32" x14ac:dyDescent="0.3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24</v>
      </c>
      <c r="G2" s="7" t="s">
        <v>12</v>
      </c>
      <c r="H2" s="7" t="s">
        <v>139</v>
      </c>
      <c r="I2" s="7" t="s">
        <v>195</v>
      </c>
      <c r="J2" s="7" t="s">
        <v>13</v>
      </c>
      <c r="K2" s="7" t="s">
        <v>18</v>
      </c>
      <c r="L2" s="7" t="s">
        <v>32</v>
      </c>
      <c r="M2" s="7" t="s">
        <v>196</v>
      </c>
      <c r="N2" s="7" t="s">
        <v>197</v>
      </c>
      <c r="O2" s="7" t="s">
        <v>198</v>
      </c>
      <c r="P2" s="7" t="s">
        <v>199</v>
      </c>
      <c r="Q2" s="7" t="s">
        <v>200</v>
      </c>
      <c r="R2" s="7" t="s">
        <v>17</v>
      </c>
      <c r="S2" s="7" t="s">
        <v>21</v>
      </c>
      <c r="T2" s="7" t="s">
        <v>33</v>
      </c>
      <c r="U2" s="7" t="s">
        <v>14</v>
      </c>
      <c r="V2" s="7" t="s">
        <v>15</v>
      </c>
      <c r="W2" s="7" t="s">
        <v>23</v>
      </c>
      <c r="X2" s="7" t="s">
        <v>26</v>
      </c>
      <c r="Y2" s="7" t="s">
        <v>16</v>
      </c>
      <c r="Z2" s="7" t="s">
        <v>29</v>
      </c>
      <c r="AA2" s="7" t="s">
        <v>25</v>
      </c>
      <c r="AB2" s="7" t="s">
        <v>19</v>
      </c>
      <c r="AC2" s="7" t="s">
        <v>39</v>
      </c>
      <c r="AD2" s="7" t="s">
        <v>31</v>
      </c>
      <c r="AE2" s="7" t="s">
        <v>20</v>
      </c>
      <c r="AF2" s="7" t="s">
        <v>41</v>
      </c>
    </row>
    <row r="3" spans="1:32" x14ac:dyDescent="0.35">
      <c r="A3" s="8">
        <v>46162</v>
      </c>
      <c r="B3" s="9">
        <v>67215123.401649997</v>
      </c>
      <c r="C3" s="10">
        <v>17743232.4243</v>
      </c>
      <c r="D3" s="10">
        <v>15563222.1723</v>
      </c>
      <c r="E3" s="10">
        <v>3885979.2264</v>
      </c>
      <c r="F3" s="10">
        <v>1357758.8632</v>
      </c>
      <c r="G3" s="10">
        <v>1596325.52244</v>
      </c>
      <c r="H3" s="10">
        <v>752193.48077999998</v>
      </c>
      <c r="I3" s="10">
        <v>185098.91680000001</v>
      </c>
      <c r="J3" s="10">
        <v>831698.06440000003</v>
      </c>
      <c r="K3" s="10">
        <v>2096498.75456</v>
      </c>
      <c r="L3" s="10">
        <v>865699.66825999995</v>
      </c>
      <c r="M3" s="10">
        <v>1374887.6869000001</v>
      </c>
      <c r="N3" s="10">
        <v>567711.83799999999</v>
      </c>
      <c r="O3" s="10">
        <v>1898317.5190000001</v>
      </c>
      <c r="P3" s="10">
        <v>118118.928</v>
      </c>
      <c r="Q3" s="10">
        <v>374030.54479999997</v>
      </c>
      <c r="R3" s="10">
        <v>1539825.9456</v>
      </c>
      <c r="S3" s="10">
        <v>1288925.21184</v>
      </c>
      <c r="T3" s="10">
        <v>964679.30802999996</v>
      </c>
      <c r="U3" s="10">
        <v>1921404.7763</v>
      </c>
      <c r="V3" s="10">
        <v>2814047.2364400001</v>
      </c>
      <c r="W3" s="10">
        <v>361062.60259999998</v>
      </c>
      <c r="X3" s="10">
        <v>1120134.6100000001</v>
      </c>
      <c r="Y3" s="10">
        <v>1533279.6540000001</v>
      </c>
      <c r="Z3" s="10">
        <v>907404.20640000002</v>
      </c>
      <c r="AA3" s="10">
        <v>546273.35360000003</v>
      </c>
      <c r="AB3" s="10">
        <v>1920410.7312</v>
      </c>
      <c r="AC3" s="10">
        <v>893889.75139999995</v>
      </c>
      <c r="AD3" s="10">
        <v>619479.15700000001</v>
      </c>
      <c r="AE3" s="10">
        <v>333456.34470000002</v>
      </c>
      <c r="AF3" s="10">
        <v>1240076.9024</v>
      </c>
    </row>
    <row r="4" spans="1:32" x14ac:dyDescent="0.35">
      <c r="A4" s="8">
        <v>46161</v>
      </c>
      <c r="B4" s="9">
        <v>261515899.27044001</v>
      </c>
      <c r="C4" s="10">
        <v>21500352.819600001</v>
      </c>
      <c r="D4" s="10">
        <v>16886507.300700001</v>
      </c>
      <c r="E4" s="10">
        <v>2335847.4810000001</v>
      </c>
      <c r="F4" s="10">
        <v>1458967.93</v>
      </c>
      <c r="G4" s="10">
        <v>3130203.4897799999</v>
      </c>
      <c r="H4" s="10">
        <v>1214417.9101400001</v>
      </c>
      <c r="I4" s="10">
        <v>9750292.4979999997</v>
      </c>
      <c r="J4" s="10">
        <v>18468211.3664</v>
      </c>
      <c r="K4" s="10">
        <v>19456015.439199999</v>
      </c>
      <c r="L4" s="10">
        <v>12266932.152419999</v>
      </c>
      <c r="M4" s="10">
        <v>7767111.5675999997</v>
      </c>
      <c r="N4" s="10">
        <v>8859362.7234000005</v>
      </c>
      <c r="O4" s="10">
        <v>239929.07399999999</v>
      </c>
      <c r="P4" s="10">
        <v>8152430.1720399996</v>
      </c>
      <c r="Q4" s="10">
        <v>255682.49979999999</v>
      </c>
      <c r="R4" s="10">
        <v>3030314.4728000001</v>
      </c>
      <c r="S4" s="10">
        <v>16607366.573039999</v>
      </c>
      <c r="T4" s="10">
        <v>3770794.7065599998</v>
      </c>
      <c r="U4" s="10">
        <v>15972173.778480001</v>
      </c>
      <c r="V4" s="10">
        <v>686244.429</v>
      </c>
      <c r="W4" s="10">
        <v>15553808.1032</v>
      </c>
      <c r="X4" s="10">
        <v>8425524.1980000008</v>
      </c>
      <c r="Y4" s="10">
        <v>478563.18</v>
      </c>
      <c r="Z4" s="10">
        <v>17410958.427999999</v>
      </c>
      <c r="AA4" s="10">
        <v>8692801.6079999991</v>
      </c>
      <c r="AB4" s="10">
        <v>7454370.3181999996</v>
      </c>
      <c r="AC4" s="10">
        <v>7362200.4519999996</v>
      </c>
      <c r="AD4" s="10">
        <v>13197655.59708</v>
      </c>
      <c r="AE4" s="10">
        <v>19253.557199999999</v>
      </c>
      <c r="AF4" s="10">
        <v>11111605.444800001</v>
      </c>
    </row>
    <row r="5" spans="1:32" x14ac:dyDescent="0.35">
      <c r="A5" s="8">
        <v>46160</v>
      </c>
      <c r="B5" s="9">
        <v>137096816.92120001</v>
      </c>
      <c r="C5" s="10">
        <v>15174673.5285</v>
      </c>
      <c r="D5" s="10">
        <v>29798257.789500002</v>
      </c>
      <c r="E5" s="10">
        <v>16595751.1797</v>
      </c>
      <c r="F5" s="10">
        <v>5098924.1655999999</v>
      </c>
      <c r="G5" s="10">
        <v>3718593.0482399999</v>
      </c>
      <c r="H5" s="10">
        <v>1284981.21762</v>
      </c>
      <c r="I5" s="10">
        <v>4198132.4903999995</v>
      </c>
      <c r="J5" s="10">
        <v>3496628.5175999999</v>
      </c>
      <c r="K5" s="10">
        <v>1444912.7967399999</v>
      </c>
      <c r="L5" s="10">
        <v>4474247.54966</v>
      </c>
      <c r="M5" s="10">
        <v>2594339.5348</v>
      </c>
      <c r="N5" s="10">
        <v>4363405.9248000002</v>
      </c>
      <c r="O5" s="10">
        <v>4838287.2675000001</v>
      </c>
      <c r="P5" s="10">
        <v>1882688.4151600001</v>
      </c>
      <c r="Q5" s="10">
        <v>1069735.5386000001</v>
      </c>
      <c r="R5" s="10">
        <v>2412643.662</v>
      </c>
      <c r="S5" s="10">
        <v>3472424.2662</v>
      </c>
      <c r="T5" s="10">
        <v>1032937.38702</v>
      </c>
      <c r="U5" s="10">
        <v>1753420.52526</v>
      </c>
      <c r="V5" s="10">
        <v>1423103.8474600001</v>
      </c>
      <c r="W5" s="10">
        <v>3209203.8</v>
      </c>
      <c r="X5" s="10">
        <v>3122209.8330000001</v>
      </c>
      <c r="Y5" s="10">
        <v>2241228.7223999999</v>
      </c>
      <c r="Z5" s="10">
        <v>2409004.4887999999</v>
      </c>
      <c r="AA5" s="10">
        <v>3586551.6168</v>
      </c>
      <c r="AB5" s="10">
        <v>1501300.9935999999</v>
      </c>
      <c r="AC5" s="10">
        <v>3650883.0624000002</v>
      </c>
      <c r="AD5" s="10">
        <v>3824404.0524800001</v>
      </c>
      <c r="AE5" s="10">
        <v>696269.04896000004</v>
      </c>
      <c r="AF5" s="10">
        <v>2727672.6504000002</v>
      </c>
    </row>
    <row r="6" spans="1:32" x14ac:dyDescent="0.35">
      <c r="A6" s="8">
        <v>46159</v>
      </c>
      <c r="B6" s="9">
        <v>56808464.814800002</v>
      </c>
      <c r="C6" s="10">
        <v>4517389.9874999998</v>
      </c>
      <c r="D6" s="10">
        <v>1783895.152</v>
      </c>
      <c r="E6" s="10">
        <v>985282.26755999995</v>
      </c>
      <c r="F6" s="10">
        <v>2931607.1768</v>
      </c>
      <c r="G6" s="10">
        <v>937355.12457999995</v>
      </c>
      <c r="H6" s="10">
        <v>458892.9546</v>
      </c>
      <c r="I6" s="10">
        <v>3479270.3856000002</v>
      </c>
      <c r="J6" s="10">
        <v>3412074.5279999999</v>
      </c>
      <c r="K6" s="10">
        <v>461488.1862</v>
      </c>
      <c r="L6" s="10">
        <v>3340558.9690200002</v>
      </c>
      <c r="M6" s="10">
        <v>1040173.9029</v>
      </c>
      <c r="N6" s="10">
        <v>4522992.8640000001</v>
      </c>
      <c r="O6" s="10">
        <v>267448</v>
      </c>
      <c r="P6" s="10">
        <v>1817759.3351400001</v>
      </c>
      <c r="Q6" s="10">
        <v>756379.47149999999</v>
      </c>
      <c r="R6" s="10">
        <v>1586940.89</v>
      </c>
      <c r="S6" s="10">
        <v>2549334.1609999998</v>
      </c>
      <c r="T6" s="10">
        <v>440011.60201999999</v>
      </c>
      <c r="U6" s="10">
        <v>927617.52</v>
      </c>
      <c r="V6" s="10">
        <v>375342.41016000003</v>
      </c>
      <c r="W6" s="10">
        <v>2667762.7703999998</v>
      </c>
      <c r="X6" s="10">
        <v>2024464.1377999999</v>
      </c>
      <c r="Y6" s="10">
        <v>1115958.8067999999</v>
      </c>
      <c r="Z6" s="10">
        <v>1984198.1</v>
      </c>
      <c r="AA6" s="10">
        <v>2638449.2467999998</v>
      </c>
      <c r="AB6" s="10">
        <v>787781.48800000001</v>
      </c>
      <c r="AC6" s="10">
        <v>3401066.3925999999</v>
      </c>
      <c r="AD6" s="10">
        <v>3203249.0983199999</v>
      </c>
      <c r="AE6" s="10">
        <v>240841.8199</v>
      </c>
      <c r="AF6" s="10">
        <v>2152878.0655999999</v>
      </c>
    </row>
    <row r="7" spans="1:32" x14ac:dyDescent="0.35">
      <c r="A7" s="8">
        <v>46158</v>
      </c>
      <c r="B7" s="9">
        <v>55267908.433049999</v>
      </c>
      <c r="C7" s="10">
        <v>4890815.2994999997</v>
      </c>
      <c r="D7" s="10">
        <v>1884226.5031999999</v>
      </c>
      <c r="E7" s="10">
        <v>1200052.692</v>
      </c>
      <c r="F7" s="10">
        <v>2777062.4087999999</v>
      </c>
      <c r="G7" s="10">
        <v>676753.06720000005</v>
      </c>
      <c r="H7" s="10">
        <v>174275.46888999999</v>
      </c>
      <c r="I7" s="10">
        <v>3439008.5290000001</v>
      </c>
      <c r="J7" s="10">
        <v>3455017.3686000002</v>
      </c>
      <c r="K7" s="10">
        <v>235635.91260000001</v>
      </c>
      <c r="L7" s="10">
        <v>3377108.7307600002</v>
      </c>
      <c r="M7" s="10">
        <v>1073862.9639999999</v>
      </c>
      <c r="N7" s="10">
        <v>3706788.7439999999</v>
      </c>
      <c r="O7" s="10">
        <v>207991.554</v>
      </c>
      <c r="P7" s="10">
        <v>1716774.67432</v>
      </c>
      <c r="Q7" s="10">
        <v>98836.378200000006</v>
      </c>
      <c r="R7" s="10">
        <v>2175832.6088</v>
      </c>
      <c r="S7" s="10">
        <v>2261462.6074999999</v>
      </c>
      <c r="T7" s="10">
        <v>228099.88931999999</v>
      </c>
      <c r="U7" s="10">
        <v>285879.13523999997</v>
      </c>
      <c r="V7" s="10">
        <v>1352092.5952000001</v>
      </c>
      <c r="W7" s="10">
        <v>2752903.8684</v>
      </c>
      <c r="X7" s="10">
        <v>2226783.9671999998</v>
      </c>
      <c r="Y7" s="10">
        <v>871214.125</v>
      </c>
      <c r="Z7" s="10">
        <v>2058940.8348000001</v>
      </c>
      <c r="AA7" s="10">
        <v>2375880.5951999999</v>
      </c>
      <c r="AB7" s="10">
        <v>752587.82079999999</v>
      </c>
      <c r="AC7" s="10">
        <v>3380111.4240000001</v>
      </c>
      <c r="AD7" s="10">
        <v>3245024.0251000002</v>
      </c>
      <c r="AE7" s="10">
        <v>48031.791019999997</v>
      </c>
      <c r="AF7" s="10">
        <v>2338852.8503999999</v>
      </c>
    </row>
    <row r="8" spans="1:32" x14ac:dyDescent="0.35">
      <c r="A8" s="8">
        <v>46157</v>
      </c>
      <c r="B8" s="9">
        <v>87611159.372309998</v>
      </c>
      <c r="C8" s="10">
        <v>9678681.5973000005</v>
      </c>
      <c r="D8" s="10">
        <v>8121283.0734000001</v>
      </c>
      <c r="E8" s="10">
        <v>1107543.8976</v>
      </c>
      <c r="F8" s="10">
        <v>5494267.6418000003</v>
      </c>
      <c r="G8" s="10">
        <v>3266361.5228400002</v>
      </c>
      <c r="H8" s="10">
        <v>1406352.62653</v>
      </c>
      <c r="I8" s="10">
        <v>3995018.568</v>
      </c>
      <c r="J8" s="10">
        <v>4114380.5350000001</v>
      </c>
      <c r="K8" s="10">
        <v>1293830.61644</v>
      </c>
      <c r="L8" s="10">
        <v>3757225.87696</v>
      </c>
      <c r="M8" s="10">
        <v>1931172.2320000001</v>
      </c>
      <c r="N8" s="10">
        <v>4106106.1938</v>
      </c>
      <c r="O8" s="10">
        <v>354187.0845</v>
      </c>
      <c r="P8" s="10">
        <v>1894587.40818</v>
      </c>
      <c r="Q8" s="10">
        <v>612472.54639999999</v>
      </c>
      <c r="R8" s="10">
        <v>2969739.63</v>
      </c>
      <c r="S8" s="10">
        <v>3119675.8884200002</v>
      </c>
      <c r="T8" s="10">
        <v>1178298.4915199999</v>
      </c>
      <c r="U8" s="10">
        <v>1066344.95172</v>
      </c>
      <c r="V8" s="10">
        <v>3079262.4618000002</v>
      </c>
      <c r="W8" s="10">
        <v>3137071.2927999999</v>
      </c>
      <c r="X8" s="10">
        <v>3080606.9515999998</v>
      </c>
      <c r="Y8" s="10">
        <v>1638182.6340000001</v>
      </c>
      <c r="Z8" s="10">
        <v>2257842.9492000001</v>
      </c>
      <c r="AA8" s="10">
        <v>3885022.8960000002</v>
      </c>
      <c r="AB8" s="10">
        <v>923498.32319999998</v>
      </c>
      <c r="AC8" s="10">
        <v>3541141.267</v>
      </c>
      <c r="AD8" s="10">
        <v>3694621.7952000001</v>
      </c>
      <c r="AE8" s="10">
        <v>320842.60950000002</v>
      </c>
      <c r="AF8" s="10">
        <v>2585535.8095999998</v>
      </c>
    </row>
    <row r="9" spans="1:32" x14ac:dyDescent="0.35">
      <c r="A9" s="8">
        <v>46156</v>
      </c>
      <c r="B9" s="9">
        <v>83339780.454380006</v>
      </c>
      <c r="C9" s="10">
        <v>6245396.7134999996</v>
      </c>
      <c r="D9" s="10">
        <v>6097528.7503000004</v>
      </c>
      <c r="E9" s="10">
        <v>4263535.8192600003</v>
      </c>
      <c r="F9" s="10">
        <v>5683949.5800000001</v>
      </c>
      <c r="G9" s="10">
        <v>4123252.7928800001</v>
      </c>
      <c r="H9" s="10">
        <v>1252114.2975000001</v>
      </c>
      <c r="I9" s="10">
        <v>4017351.7944</v>
      </c>
      <c r="J9" s="10">
        <v>3596628.2538000001</v>
      </c>
      <c r="K9" s="10">
        <v>909583.21481999999</v>
      </c>
      <c r="L9" s="10">
        <v>3930124.2067200001</v>
      </c>
      <c r="M9" s="10">
        <v>1940527.1088</v>
      </c>
      <c r="N9" s="10">
        <v>3426428.22</v>
      </c>
      <c r="O9" s="10">
        <v>852274.62179999996</v>
      </c>
      <c r="P9" s="10">
        <v>2044389.70572</v>
      </c>
      <c r="Q9" s="10">
        <v>1040069.7888</v>
      </c>
      <c r="R9" s="10">
        <v>1847919.4612</v>
      </c>
      <c r="S9" s="10">
        <v>3314982.9689799999</v>
      </c>
      <c r="T9" s="10">
        <v>1071362.27718</v>
      </c>
      <c r="U9" s="10">
        <v>529438.72759999998</v>
      </c>
      <c r="V9" s="10">
        <v>2652517.4262399999</v>
      </c>
      <c r="W9" s="10">
        <v>2840630.3407999999</v>
      </c>
      <c r="X9" s="10">
        <v>2600290.0425999998</v>
      </c>
      <c r="Y9" s="10">
        <v>1186638.54</v>
      </c>
      <c r="Z9" s="10">
        <v>2178761.0636</v>
      </c>
      <c r="AA9" s="10">
        <v>3261203.8080000002</v>
      </c>
      <c r="AB9" s="10">
        <v>1785471.82</v>
      </c>
      <c r="AC9" s="10">
        <v>3604976.6423999998</v>
      </c>
      <c r="AD9" s="10">
        <v>3506012.98104</v>
      </c>
      <c r="AE9" s="10">
        <v>70070.653439999995</v>
      </c>
      <c r="AF9" s="10">
        <v>3466348.8330000001</v>
      </c>
    </row>
    <row r="10" spans="1:32" x14ac:dyDescent="0.35">
      <c r="A10" s="8">
        <v>46155</v>
      </c>
      <c r="B10" s="9">
        <v>80761713.950420007</v>
      </c>
      <c r="C10" s="10">
        <v>6050205.5893999999</v>
      </c>
      <c r="D10" s="10">
        <v>5554630.2149999999</v>
      </c>
      <c r="E10" s="10">
        <v>2109131.9945999999</v>
      </c>
      <c r="F10" s="10">
        <v>4866087.2248</v>
      </c>
      <c r="G10" s="10">
        <v>3181960.4772199998</v>
      </c>
      <c r="H10" s="10">
        <v>870771.31876000005</v>
      </c>
      <c r="I10" s="10">
        <v>4258330.608</v>
      </c>
      <c r="J10" s="10">
        <v>3567975.6691999999</v>
      </c>
      <c r="K10" s="10">
        <v>1196681.1618600001</v>
      </c>
      <c r="L10" s="10">
        <v>3738907.4433200001</v>
      </c>
      <c r="M10" s="10">
        <v>2025433.8236</v>
      </c>
      <c r="N10" s="10">
        <v>3875901.33</v>
      </c>
      <c r="O10" s="10">
        <v>454857.26579999999</v>
      </c>
      <c r="P10" s="10">
        <v>1979440.0163400001</v>
      </c>
      <c r="Q10" s="10">
        <v>153817.38449999999</v>
      </c>
      <c r="R10" s="10">
        <v>927351.30240000004</v>
      </c>
      <c r="S10" s="10">
        <v>3746766.8160000001</v>
      </c>
      <c r="T10" s="10">
        <v>737248.57542000001</v>
      </c>
      <c r="U10" s="10">
        <v>1477180.1285600001</v>
      </c>
      <c r="V10" s="10">
        <v>2016682.3458</v>
      </c>
      <c r="W10" s="10">
        <v>2693721.6041999999</v>
      </c>
      <c r="X10" s="10">
        <v>2982197.0150000001</v>
      </c>
      <c r="Y10" s="10">
        <v>796350.8308</v>
      </c>
      <c r="Z10" s="10">
        <v>2840442.0589999999</v>
      </c>
      <c r="AA10" s="10">
        <v>3276147.6831999999</v>
      </c>
      <c r="AB10" s="10">
        <v>3557182.1264</v>
      </c>
      <c r="AC10" s="10">
        <v>3415050.3281999999</v>
      </c>
      <c r="AD10" s="10">
        <v>3589310.9448000002</v>
      </c>
      <c r="AE10" s="10">
        <v>1455409.9802399999</v>
      </c>
      <c r="AF10" s="10">
        <v>3366540.6880000001</v>
      </c>
    </row>
    <row r="11" spans="1:32" x14ac:dyDescent="0.35">
      <c r="A11" s="8">
        <v>46154</v>
      </c>
      <c r="B11" s="9">
        <v>85364742.234779999</v>
      </c>
      <c r="C11" s="10">
        <v>6926915.1500000004</v>
      </c>
      <c r="D11" s="10">
        <v>4745416.6320000002</v>
      </c>
      <c r="E11" s="10">
        <v>3084130.5601599999</v>
      </c>
      <c r="F11" s="10">
        <v>5259101.6720000003</v>
      </c>
      <c r="G11" s="10">
        <v>4036737.6036</v>
      </c>
      <c r="H11" s="10">
        <v>1022792.4068999999</v>
      </c>
      <c r="I11" s="10">
        <v>3898156.5989999999</v>
      </c>
      <c r="J11" s="10">
        <v>3902351.8347999998</v>
      </c>
      <c r="K11" s="10">
        <v>826260.0906</v>
      </c>
      <c r="L11" s="10">
        <v>3613566.2957600001</v>
      </c>
      <c r="M11" s="10">
        <v>1551977.7805999999</v>
      </c>
      <c r="N11" s="10">
        <v>5167602.4009999996</v>
      </c>
      <c r="O11" s="10">
        <v>377520.223</v>
      </c>
      <c r="P11" s="10">
        <v>1856222.6911200001</v>
      </c>
      <c r="Q11" s="10">
        <v>391229.04590000003</v>
      </c>
      <c r="R11" s="10">
        <v>1216121.8788000001</v>
      </c>
      <c r="S11" s="10">
        <v>3256561.08036</v>
      </c>
      <c r="T11" s="10">
        <v>948063.125</v>
      </c>
      <c r="U11" s="10">
        <v>3395266.6341200001</v>
      </c>
      <c r="V11" s="10">
        <v>3114972.4120800002</v>
      </c>
      <c r="W11" s="10">
        <v>3252796.65</v>
      </c>
      <c r="X11" s="10">
        <v>2921462.8160000001</v>
      </c>
      <c r="Y11" s="10">
        <v>677335.48160000006</v>
      </c>
      <c r="Z11" s="10">
        <v>3604336.1856</v>
      </c>
      <c r="AA11" s="10">
        <v>4263830.0082</v>
      </c>
      <c r="AB11" s="10">
        <v>2044038.5416000001</v>
      </c>
      <c r="AC11" s="10">
        <v>3188007.0520000001</v>
      </c>
      <c r="AD11" s="10">
        <v>3396330.7843200001</v>
      </c>
      <c r="AE11" s="10">
        <v>538970.33585999999</v>
      </c>
      <c r="AF11" s="10">
        <v>2886668.2628000001</v>
      </c>
    </row>
    <row r="12" spans="1:32" x14ac:dyDescent="0.35">
      <c r="A12" s="8">
        <v>46153</v>
      </c>
      <c r="B12" s="9">
        <v>74595503.693430007</v>
      </c>
      <c r="C12" s="10">
        <v>10012925.440199999</v>
      </c>
      <c r="D12" s="10">
        <v>5670138.2275999999</v>
      </c>
      <c r="E12" s="10">
        <v>2591417.8677599998</v>
      </c>
      <c r="F12" s="10">
        <v>3103566.2875999999</v>
      </c>
      <c r="G12" s="10">
        <v>4171790.3975999998</v>
      </c>
      <c r="H12" s="10">
        <v>1042992.70635</v>
      </c>
      <c r="I12" s="10">
        <v>3025568.9813999999</v>
      </c>
      <c r="J12" s="10">
        <v>3838157.8742</v>
      </c>
      <c r="K12" s="10">
        <v>2308623.4738400001</v>
      </c>
      <c r="L12" s="10">
        <v>2608511.8905199999</v>
      </c>
      <c r="M12" s="10">
        <v>1503633.34</v>
      </c>
      <c r="N12" s="10">
        <v>1939758.7664000001</v>
      </c>
      <c r="O12" s="10">
        <v>702735.01639999996</v>
      </c>
      <c r="P12" s="10">
        <v>1019062.87896</v>
      </c>
      <c r="Q12" s="10">
        <v>693664.08479999995</v>
      </c>
      <c r="R12" s="10">
        <v>2886494.0388000002</v>
      </c>
      <c r="S12" s="10">
        <v>2406082.95144</v>
      </c>
      <c r="T12" s="10">
        <v>464581.31651999999</v>
      </c>
      <c r="U12" s="10">
        <v>3162322.7270399998</v>
      </c>
      <c r="V12" s="10">
        <v>3267029.4336000001</v>
      </c>
      <c r="W12" s="10">
        <v>1633138.4972000001</v>
      </c>
      <c r="X12" s="10">
        <v>1656958.3594</v>
      </c>
      <c r="Y12" s="10">
        <v>1552584.4872000001</v>
      </c>
      <c r="Z12" s="10">
        <v>2449399.5262000002</v>
      </c>
      <c r="AA12" s="10">
        <v>2220908.8689999999</v>
      </c>
      <c r="AB12" s="10">
        <v>1918954.8732</v>
      </c>
      <c r="AC12" s="10">
        <v>1932884.682</v>
      </c>
      <c r="AD12" s="10">
        <v>1873044.1440000001</v>
      </c>
      <c r="AE12" s="10">
        <v>941647.51340000005</v>
      </c>
      <c r="AF12" s="10">
        <v>1996925.0408000001</v>
      </c>
    </row>
    <row r="13" spans="1:32" x14ac:dyDescent="0.35">
      <c r="A13" s="8">
        <v>46152</v>
      </c>
      <c r="B13" s="9">
        <v>35524428.879160002</v>
      </c>
      <c r="C13" s="10">
        <v>5660236.4201999996</v>
      </c>
      <c r="D13" s="10">
        <v>2357610.523</v>
      </c>
      <c r="E13" s="10">
        <v>6771193.6572000002</v>
      </c>
      <c r="F13" s="10">
        <v>1188930.5984</v>
      </c>
      <c r="G13" s="10">
        <v>968320.87887999997</v>
      </c>
      <c r="H13" s="10">
        <v>548341.48899999994</v>
      </c>
      <c r="I13" s="10">
        <v>224498.01500000001</v>
      </c>
      <c r="J13" s="10">
        <v>579543.696</v>
      </c>
      <c r="K13" s="10">
        <v>1330767.7103599999</v>
      </c>
      <c r="L13" s="10">
        <v>1159633.3765799999</v>
      </c>
      <c r="M13" s="10">
        <v>426643.17300000001</v>
      </c>
      <c r="N13" s="10">
        <v>575845.47840000002</v>
      </c>
      <c r="O13" s="10">
        <v>244865.628</v>
      </c>
      <c r="P13" s="10">
        <v>1946.3907999999999</v>
      </c>
      <c r="Q13" s="10">
        <v>447569.136</v>
      </c>
      <c r="R13" s="10">
        <v>1218436.4191999999</v>
      </c>
      <c r="S13" s="10">
        <v>870297.43368000002</v>
      </c>
      <c r="T13" s="10">
        <v>2980757.0262199999</v>
      </c>
      <c r="U13" s="10">
        <v>691124.41440000001</v>
      </c>
      <c r="V13" s="10">
        <v>1271654.2090400001</v>
      </c>
      <c r="W13" s="10">
        <v>406435.44819999998</v>
      </c>
      <c r="X13" s="10">
        <v>659556.30299999996</v>
      </c>
      <c r="Y13" s="10">
        <v>2167813.1771999998</v>
      </c>
      <c r="Z13" s="10">
        <v>292068.42019999999</v>
      </c>
      <c r="AA13" s="10">
        <v>569280.60479999997</v>
      </c>
      <c r="AB13" s="10">
        <v>490257.79200000002</v>
      </c>
      <c r="AC13" s="10">
        <v>577883.55599999998</v>
      </c>
      <c r="AD13" s="10">
        <v>160534.6642</v>
      </c>
      <c r="AE13" s="10">
        <v>580155.76740000001</v>
      </c>
      <c r="AF13" s="10">
        <v>102227.4728</v>
      </c>
    </row>
    <row r="14" spans="1:32" x14ac:dyDescent="0.35">
      <c r="A14" s="8">
        <v>46151</v>
      </c>
      <c r="B14" s="9">
        <v>16602810.012469999</v>
      </c>
      <c r="C14" s="10">
        <v>3582907.4196000001</v>
      </c>
      <c r="D14" s="10">
        <v>766216.23759999999</v>
      </c>
      <c r="E14" s="10">
        <v>2497129.1139600002</v>
      </c>
      <c r="F14" s="10">
        <v>447963.5024</v>
      </c>
      <c r="G14" s="10">
        <v>556845.65486000001</v>
      </c>
      <c r="H14" s="10">
        <v>304615.71756000002</v>
      </c>
      <c r="I14" s="10">
        <v>189647.3376</v>
      </c>
      <c r="J14" s="10">
        <v>505672.72779999999</v>
      </c>
      <c r="K14" s="10">
        <v>492115.81020000001</v>
      </c>
      <c r="L14" s="10">
        <v>998867.71056000004</v>
      </c>
      <c r="M14" s="10">
        <v>543438.14</v>
      </c>
      <c r="N14" s="10">
        <v>71617.437600000005</v>
      </c>
      <c r="O14" s="10">
        <v>127318.57950000001</v>
      </c>
      <c r="P14" s="10">
        <v>24567.8092</v>
      </c>
      <c r="Q14" s="10">
        <v>101412.5238</v>
      </c>
      <c r="R14" s="10">
        <v>864043.34459999995</v>
      </c>
      <c r="S14" s="10">
        <v>192242.41172</v>
      </c>
      <c r="T14" s="10">
        <v>566267.51864999998</v>
      </c>
      <c r="U14" s="10">
        <v>809830.60852000001</v>
      </c>
      <c r="V14" s="10">
        <v>697235.34019999998</v>
      </c>
      <c r="W14" s="10">
        <v>86652.212400000004</v>
      </c>
      <c r="X14" s="10">
        <v>74605.343999999997</v>
      </c>
      <c r="Y14" s="10">
        <v>584342.49199999997</v>
      </c>
      <c r="Z14" s="10">
        <v>35617.071400000001</v>
      </c>
      <c r="AA14" s="10">
        <v>278070.77519999997</v>
      </c>
      <c r="AB14" s="10">
        <v>681058.62</v>
      </c>
      <c r="AC14" s="10">
        <v>66571.392000000007</v>
      </c>
      <c r="AD14" s="10">
        <v>55212.142699999997</v>
      </c>
      <c r="AE14" s="10">
        <v>366229.19043999998</v>
      </c>
      <c r="AF14" s="10">
        <v>34495.826399999998</v>
      </c>
    </row>
    <row r="15" spans="1:32" x14ac:dyDescent="0.35">
      <c r="A15" s="8">
        <v>46150</v>
      </c>
      <c r="B15" s="9">
        <v>38820413.058600001</v>
      </c>
      <c r="C15" s="10">
        <v>5992015.6002000002</v>
      </c>
      <c r="D15" s="10">
        <v>2939195.1897</v>
      </c>
      <c r="E15" s="10">
        <v>3703280.0439800001</v>
      </c>
      <c r="F15" s="10">
        <v>1624755.9986</v>
      </c>
      <c r="G15" s="10">
        <v>2775574.1357399998</v>
      </c>
      <c r="H15" s="10">
        <v>812431.59082000004</v>
      </c>
      <c r="I15" s="10">
        <v>1310946.7283999999</v>
      </c>
      <c r="J15" s="10">
        <v>646232.52899999998</v>
      </c>
      <c r="K15" s="10">
        <v>967182.77760000003</v>
      </c>
      <c r="L15" s="10">
        <v>818129.44380000001</v>
      </c>
      <c r="M15" s="10">
        <v>1814560.02</v>
      </c>
      <c r="N15" s="10">
        <v>1122157.3859999999</v>
      </c>
      <c r="O15" s="10">
        <v>778565.41</v>
      </c>
      <c r="P15" s="10">
        <v>172975.6992</v>
      </c>
      <c r="Q15" s="10">
        <v>309350.04869999998</v>
      </c>
      <c r="R15" s="10">
        <v>894271.125</v>
      </c>
      <c r="S15" s="10">
        <v>828453.36924000003</v>
      </c>
      <c r="T15" s="10">
        <v>1299262.7351800001</v>
      </c>
      <c r="U15" s="10">
        <v>791083.20641999994</v>
      </c>
      <c r="V15" s="10">
        <v>2890751.5665600002</v>
      </c>
      <c r="W15" s="10">
        <v>265933.65000000002</v>
      </c>
      <c r="X15" s="10">
        <v>210815.05059999999</v>
      </c>
      <c r="Y15" s="10">
        <v>420042.78120000003</v>
      </c>
      <c r="Z15" s="10">
        <v>212700.59280000001</v>
      </c>
      <c r="AA15" s="10">
        <v>398923.63199999998</v>
      </c>
      <c r="AB15" s="10">
        <v>1508791.7992</v>
      </c>
      <c r="AC15" s="10">
        <v>224718.8412</v>
      </c>
      <c r="AD15" s="10">
        <v>152414.04120000001</v>
      </c>
      <c r="AE15" s="10">
        <v>2858295.23226</v>
      </c>
      <c r="AF15" s="10">
        <v>76602.834000000003</v>
      </c>
    </row>
    <row r="16" spans="1:32" x14ac:dyDescent="0.35">
      <c r="A16" s="8">
        <v>46149</v>
      </c>
      <c r="B16" s="9">
        <v>47955885.554590002</v>
      </c>
      <c r="C16" s="10">
        <v>7412060.9556</v>
      </c>
      <c r="D16" s="10">
        <v>5712942.5043000001</v>
      </c>
      <c r="E16" s="10">
        <v>9589490.4923999999</v>
      </c>
      <c r="F16" s="10">
        <v>2309114.5</v>
      </c>
      <c r="G16" s="10">
        <v>3755236.5765999998</v>
      </c>
      <c r="H16" s="10">
        <v>482130.34435000003</v>
      </c>
      <c r="I16" s="10">
        <v>1632487.0275999999</v>
      </c>
      <c r="J16" s="10">
        <v>663364.25760000001</v>
      </c>
      <c r="K16" s="10">
        <v>369673.84528000001</v>
      </c>
      <c r="L16" s="10">
        <v>692949.35010000004</v>
      </c>
      <c r="M16" s="10">
        <v>523827.91350000002</v>
      </c>
      <c r="N16" s="10">
        <v>2073718.1458000001</v>
      </c>
      <c r="O16" s="10">
        <v>2729653.2096000002</v>
      </c>
      <c r="P16" s="10">
        <v>163409.38032</v>
      </c>
      <c r="Q16" s="10">
        <v>820130.14199999999</v>
      </c>
      <c r="R16" s="10">
        <v>531551.57999999996</v>
      </c>
      <c r="S16" s="10">
        <v>254561.37984000001</v>
      </c>
      <c r="T16" s="10">
        <v>414995.88757999998</v>
      </c>
      <c r="U16" s="10">
        <v>303520.51260000002</v>
      </c>
      <c r="V16" s="10">
        <v>2036390.07036</v>
      </c>
      <c r="W16" s="10">
        <v>311285.87040000001</v>
      </c>
      <c r="X16" s="10">
        <v>278210.31839999999</v>
      </c>
      <c r="Y16" s="10">
        <v>654967.77080000006</v>
      </c>
      <c r="Z16" s="10">
        <v>455461.5724</v>
      </c>
      <c r="AA16" s="10">
        <v>287050.54560000001</v>
      </c>
      <c r="AB16" s="10">
        <v>1522850.1111999999</v>
      </c>
      <c r="AC16" s="10">
        <v>429382.446</v>
      </c>
      <c r="AD16" s="10">
        <v>231394.03812000001</v>
      </c>
      <c r="AE16" s="10">
        <v>634764.53544000001</v>
      </c>
      <c r="AF16" s="10">
        <v>679310.27080000006</v>
      </c>
    </row>
    <row r="17" spans="1:32" x14ac:dyDescent="0.35">
      <c r="A17" s="8">
        <v>46148</v>
      </c>
      <c r="B17" s="9">
        <v>59441665.481459998</v>
      </c>
      <c r="C17" s="10">
        <v>9180411.8391999993</v>
      </c>
      <c r="D17" s="10">
        <v>4585228.4771999996</v>
      </c>
      <c r="E17" s="10">
        <v>11056830.03558</v>
      </c>
      <c r="F17" s="10">
        <v>2548705.0356000001</v>
      </c>
      <c r="G17" s="10">
        <v>4377809.7944</v>
      </c>
      <c r="H17" s="10">
        <v>2043542.5424800001</v>
      </c>
      <c r="I17" s="10">
        <v>165769.97579999999</v>
      </c>
      <c r="J17" s="10">
        <v>657701.33779999998</v>
      </c>
      <c r="K17" s="10">
        <v>674904.30611999996</v>
      </c>
      <c r="L17" s="10">
        <v>1092833.13708</v>
      </c>
      <c r="M17" s="10">
        <v>745296.88950000005</v>
      </c>
      <c r="N17" s="10">
        <v>535802.64599999995</v>
      </c>
      <c r="O17" s="10">
        <v>5504037.4529999997</v>
      </c>
      <c r="P17" s="10">
        <v>1680539.05926</v>
      </c>
      <c r="Q17" s="10">
        <v>608962.41119999997</v>
      </c>
      <c r="R17" s="10">
        <v>1121967.0552000001</v>
      </c>
      <c r="S17" s="10">
        <v>597864.40252</v>
      </c>
      <c r="T17" s="10">
        <v>624293.37652000005</v>
      </c>
      <c r="U17" s="10">
        <v>1329258.94952</v>
      </c>
      <c r="V17" s="10">
        <v>2713992.1579999998</v>
      </c>
      <c r="W17" s="10">
        <v>189251.52660000001</v>
      </c>
      <c r="X17" s="10">
        <v>505797.53200000001</v>
      </c>
      <c r="Y17" s="10">
        <v>1962715.6142</v>
      </c>
      <c r="Z17" s="10">
        <v>957107.07200000004</v>
      </c>
      <c r="AA17" s="10">
        <v>396094.272</v>
      </c>
      <c r="AB17" s="10">
        <v>1925918.3807999999</v>
      </c>
      <c r="AC17" s="10">
        <v>148340.4</v>
      </c>
      <c r="AD17" s="10">
        <v>140587.79</v>
      </c>
      <c r="AE17" s="10">
        <v>759517.59387999994</v>
      </c>
      <c r="AF17" s="10">
        <v>610584.41799999995</v>
      </c>
    </row>
    <row r="18" spans="1:32" x14ac:dyDescent="0.35">
      <c r="A18" s="8">
        <v>46147</v>
      </c>
      <c r="B18" s="9">
        <v>43389710.208474003</v>
      </c>
      <c r="C18" s="10">
        <v>9016924.4352000002</v>
      </c>
      <c r="D18" s="10">
        <v>2703815.9541000002</v>
      </c>
      <c r="E18" s="10">
        <v>4569756.6445800001</v>
      </c>
      <c r="F18" s="10">
        <v>1091336.0752000001</v>
      </c>
      <c r="G18" s="10">
        <v>1567251.91512</v>
      </c>
      <c r="H18" s="10">
        <v>2633137.2357899998</v>
      </c>
      <c r="I18" s="10">
        <v>142640.37959999999</v>
      </c>
      <c r="J18" s="10">
        <v>1743896.432</v>
      </c>
      <c r="K18" s="10">
        <v>750035.33100000001</v>
      </c>
      <c r="L18" s="10">
        <v>406591.48989999999</v>
      </c>
      <c r="M18" s="10">
        <v>1061831.4040000001</v>
      </c>
      <c r="N18" s="10">
        <v>1387556.7450000001</v>
      </c>
      <c r="O18" s="10">
        <v>778278.31079999998</v>
      </c>
      <c r="P18" s="10">
        <v>589171.17546000006</v>
      </c>
      <c r="Q18" s="10">
        <v>596486.01599999995</v>
      </c>
      <c r="R18" s="10">
        <v>1269353.3507999999</v>
      </c>
      <c r="S18" s="10">
        <v>556064.68440000003</v>
      </c>
      <c r="T18" s="10">
        <v>383884.31880000001</v>
      </c>
      <c r="U18" s="10">
        <v>3288841.0497599998</v>
      </c>
      <c r="V18" s="10">
        <v>3673731.396104</v>
      </c>
      <c r="W18" s="10">
        <v>141045.06359999999</v>
      </c>
      <c r="X18" s="10">
        <v>826608.47360000003</v>
      </c>
      <c r="Y18" s="10">
        <v>523043.75</v>
      </c>
      <c r="Z18" s="10">
        <v>1090787.3640000001</v>
      </c>
      <c r="AA18" s="10">
        <v>357067.45760000002</v>
      </c>
      <c r="AB18" s="10">
        <v>523066.37400000001</v>
      </c>
      <c r="AC18" s="10">
        <v>102581.5548</v>
      </c>
      <c r="AD18" s="10">
        <v>262371.60369999998</v>
      </c>
      <c r="AE18" s="10">
        <v>1092725.84356</v>
      </c>
      <c r="AF18" s="10">
        <v>259828.38</v>
      </c>
    </row>
    <row r="19" spans="1:32" x14ac:dyDescent="0.35">
      <c r="A19" s="8">
        <v>46146</v>
      </c>
      <c r="B19" s="9">
        <v>53760009.842399999</v>
      </c>
      <c r="C19" s="10">
        <v>15222077.3858</v>
      </c>
      <c r="D19" s="10">
        <v>4596247.6223999998</v>
      </c>
      <c r="E19" s="10">
        <v>6741972.0599400001</v>
      </c>
      <c r="F19" s="10">
        <v>1901363.551</v>
      </c>
      <c r="G19" s="10">
        <v>2558452.4904</v>
      </c>
      <c r="H19" s="10">
        <v>2144776.16628</v>
      </c>
      <c r="I19" s="10">
        <v>16964.092799999999</v>
      </c>
      <c r="J19" s="10">
        <v>558609.42059999995</v>
      </c>
      <c r="K19" s="10">
        <v>775864.69091999996</v>
      </c>
      <c r="L19" s="10">
        <v>271530.11424000002</v>
      </c>
      <c r="M19" s="10">
        <v>485636.2035</v>
      </c>
      <c r="N19" s="10">
        <v>255152.45</v>
      </c>
      <c r="O19" s="10">
        <v>1458610.6181999999</v>
      </c>
      <c r="P19" s="10">
        <v>489181.10580000002</v>
      </c>
      <c r="Q19" s="10">
        <v>1113497.0004</v>
      </c>
      <c r="R19" s="10">
        <v>1149788.6085999999</v>
      </c>
      <c r="S19" s="10">
        <v>620708.58537999995</v>
      </c>
      <c r="T19" s="10">
        <v>1543786.7490000001</v>
      </c>
      <c r="U19" s="10">
        <v>1264962.2479000001</v>
      </c>
      <c r="V19" s="10">
        <v>4157947.9685</v>
      </c>
      <c r="W19" s="10">
        <v>402977.56559999997</v>
      </c>
      <c r="X19" s="10">
        <v>625131.54</v>
      </c>
      <c r="Y19" s="10">
        <v>714438.03599999996</v>
      </c>
      <c r="Z19" s="10">
        <v>286891.33519999997</v>
      </c>
      <c r="AA19" s="10">
        <v>1049146.9424000001</v>
      </c>
      <c r="AB19" s="10">
        <v>379818.15039999998</v>
      </c>
      <c r="AC19" s="10">
        <v>963775.61219999997</v>
      </c>
      <c r="AD19" s="10">
        <v>423392.20607999997</v>
      </c>
      <c r="AE19" s="10">
        <v>960594.29885999998</v>
      </c>
      <c r="AF19" s="10">
        <v>626715.02399999998</v>
      </c>
    </row>
    <row r="20" spans="1:32" x14ac:dyDescent="0.35">
      <c r="A20" s="8">
        <v>46145</v>
      </c>
      <c r="B20" s="9">
        <v>21027965.212510001</v>
      </c>
      <c r="C20" s="10">
        <v>4005827.5367000001</v>
      </c>
      <c r="D20" s="10">
        <v>1641056.942</v>
      </c>
      <c r="E20" s="10">
        <v>3119083.6124</v>
      </c>
      <c r="F20" s="10">
        <v>617150.86159999995</v>
      </c>
      <c r="G20" s="10">
        <v>283827.80556000001</v>
      </c>
      <c r="H20" s="10">
        <v>1101088.0025500001</v>
      </c>
      <c r="I20" s="10">
        <v>7426.1279999999997</v>
      </c>
      <c r="J20" s="10">
        <v>113568.088</v>
      </c>
      <c r="K20" s="10">
        <v>1152928.6406400001</v>
      </c>
      <c r="L20" s="10">
        <v>173868.63399999999</v>
      </c>
      <c r="M20" s="10">
        <v>107204.916</v>
      </c>
      <c r="N20" s="10">
        <v>149196.2304</v>
      </c>
      <c r="O20" s="10">
        <v>630488.05920000002</v>
      </c>
      <c r="P20" s="10">
        <v>419150.837</v>
      </c>
      <c r="Q20" s="10">
        <v>551441.87280000001</v>
      </c>
      <c r="R20" s="10">
        <v>673366.92539999995</v>
      </c>
      <c r="S20" s="10">
        <v>642896.37360000005</v>
      </c>
      <c r="T20" s="10">
        <v>375611.8541</v>
      </c>
      <c r="U20" s="10">
        <v>1017633.8629600001</v>
      </c>
      <c r="V20" s="10">
        <v>710779.37957999995</v>
      </c>
      <c r="W20" s="10">
        <v>263188.60080000001</v>
      </c>
      <c r="X20" s="10">
        <v>114132.32</v>
      </c>
      <c r="Y20" s="10">
        <v>563438.99040000001</v>
      </c>
      <c r="Z20" s="10">
        <v>419308.1348</v>
      </c>
      <c r="AA20" s="10">
        <v>277134.92300000001</v>
      </c>
      <c r="AB20" s="10">
        <v>446691.984</v>
      </c>
      <c r="AC20" s="10">
        <v>606688.65280000004</v>
      </c>
      <c r="AD20" s="10">
        <v>212085.97652</v>
      </c>
      <c r="AE20" s="10">
        <v>625656.45490000001</v>
      </c>
      <c r="AF20" s="10">
        <v>6042.6127999999999</v>
      </c>
    </row>
    <row r="21" spans="1:32" x14ac:dyDescent="0.35">
      <c r="A21" s="8">
        <v>46144</v>
      </c>
      <c r="B21" s="9">
        <v>15777428.14659</v>
      </c>
      <c r="C21" s="10">
        <v>1470571.8069</v>
      </c>
      <c r="D21" s="10">
        <v>268046.78999999998</v>
      </c>
      <c r="E21" s="10">
        <v>937620.61413999996</v>
      </c>
      <c r="F21" s="10">
        <v>329606.47279999999</v>
      </c>
      <c r="G21" s="10">
        <v>213866.56969999999</v>
      </c>
      <c r="H21" s="10">
        <v>465136.87605000002</v>
      </c>
      <c r="I21" s="10">
        <v>182869.05600000001</v>
      </c>
      <c r="J21" s="10">
        <v>248515.9056</v>
      </c>
      <c r="K21" s="10">
        <v>1437714.1817999999</v>
      </c>
      <c r="L21" s="10">
        <v>328292.65960000001</v>
      </c>
      <c r="M21" s="10">
        <v>373624.14919999999</v>
      </c>
      <c r="N21" s="10">
        <v>468738.96159999998</v>
      </c>
      <c r="O21" s="10">
        <v>81130.228799999997</v>
      </c>
      <c r="P21" s="10">
        <v>1120002.4997400001</v>
      </c>
      <c r="Q21" s="10">
        <v>137649.622</v>
      </c>
      <c r="R21" s="10">
        <v>487731.36560000002</v>
      </c>
      <c r="S21" s="10">
        <v>334850.51808000001</v>
      </c>
      <c r="T21" s="10">
        <v>152379.67251999999</v>
      </c>
      <c r="U21" s="10">
        <v>3106024.2275399999</v>
      </c>
      <c r="V21" s="10">
        <v>466452.43008000002</v>
      </c>
      <c r="W21" s="10">
        <v>273065.65919999999</v>
      </c>
      <c r="X21" s="10">
        <v>430579.52879999997</v>
      </c>
      <c r="Y21" s="10">
        <v>147685.5906</v>
      </c>
      <c r="Z21" s="10">
        <v>344941.55119999999</v>
      </c>
      <c r="AA21" s="10">
        <v>237113.48879999999</v>
      </c>
      <c r="AB21" s="10">
        <v>547212.89280000003</v>
      </c>
      <c r="AC21" s="10">
        <v>541923.57460000005</v>
      </c>
      <c r="AD21" s="10">
        <v>267937.08526000002</v>
      </c>
      <c r="AE21" s="10">
        <v>188776.16758000001</v>
      </c>
      <c r="AF21" s="10">
        <v>187368</v>
      </c>
    </row>
    <row r="22" spans="1:32" x14ac:dyDescent="0.35">
      <c r="A22" s="8">
        <v>46143</v>
      </c>
      <c r="B22" s="9">
        <v>116556443.46674</v>
      </c>
      <c r="C22" s="10">
        <v>8287359.3827999998</v>
      </c>
      <c r="D22" s="10">
        <v>2000746.8626000001</v>
      </c>
      <c r="E22" s="10">
        <v>7202391.2763999999</v>
      </c>
      <c r="F22" s="10">
        <v>4597939.5360000003</v>
      </c>
      <c r="G22" s="10">
        <v>1039923.14748</v>
      </c>
      <c r="H22" s="10">
        <v>1970193.28865</v>
      </c>
      <c r="I22" s="10">
        <v>4427238.2879999997</v>
      </c>
      <c r="J22" s="10">
        <v>4858506.8351999996</v>
      </c>
      <c r="K22" s="10">
        <v>6512410.0969000002</v>
      </c>
      <c r="L22" s="10">
        <v>4174588.6574400002</v>
      </c>
      <c r="M22" s="10">
        <v>3141819.7716999999</v>
      </c>
      <c r="N22" s="10">
        <v>5304024.55</v>
      </c>
      <c r="O22" s="10">
        <v>1301987.808</v>
      </c>
      <c r="P22" s="10">
        <v>4350573.0704800002</v>
      </c>
      <c r="Q22" s="10">
        <v>1133104.0344</v>
      </c>
      <c r="R22" s="10">
        <v>927766.76159999997</v>
      </c>
      <c r="S22" s="10">
        <v>4372572.8941400005</v>
      </c>
      <c r="T22" s="10">
        <v>2724554.6448900001</v>
      </c>
      <c r="U22" s="10">
        <v>5048337.1906599998</v>
      </c>
      <c r="V22" s="10">
        <v>1908221.5410800001</v>
      </c>
      <c r="W22" s="10">
        <v>4438096.4863999998</v>
      </c>
      <c r="X22" s="10">
        <v>4321957.9961999999</v>
      </c>
      <c r="Y22" s="10">
        <v>306543.853</v>
      </c>
      <c r="Z22" s="10">
        <v>4410684.0486000003</v>
      </c>
      <c r="AA22" s="10">
        <v>4350356.5823999997</v>
      </c>
      <c r="AB22" s="10">
        <v>4638390.6660000002</v>
      </c>
      <c r="AC22" s="10">
        <v>5026729.358</v>
      </c>
      <c r="AD22" s="10">
        <v>5063081.3820000002</v>
      </c>
      <c r="AE22" s="10">
        <v>4390303.29012</v>
      </c>
      <c r="AF22" s="10">
        <v>4326040.1655999999</v>
      </c>
    </row>
    <row r="23" spans="1:32" x14ac:dyDescent="0.35">
      <c r="A23" s="8">
        <v>46142</v>
      </c>
      <c r="B23" s="9">
        <v>112577894.0589</v>
      </c>
      <c r="C23" s="10">
        <v>8119100.4545</v>
      </c>
      <c r="D23" s="10">
        <v>4637250.3169999998</v>
      </c>
      <c r="E23" s="10">
        <v>3452495.1340399999</v>
      </c>
      <c r="F23" s="10">
        <v>3659978.6943999999</v>
      </c>
      <c r="G23" s="10">
        <v>2782434.2237999998</v>
      </c>
      <c r="H23" s="10">
        <v>3226860.7179999999</v>
      </c>
      <c r="I23" s="10">
        <v>6301076.8351999996</v>
      </c>
      <c r="J23" s="10">
        <v>5881642.3600000003</v>
      </c>
      <c r="K23" s="10">
        <v>4720981.4656999996</v>
      </c>
      <c r="L23" s="10">
        <v>5600598.8438400002</v>
      </c>
      <c r="M23" s="10">
        <v>6341635.1809999999</v>
      </c>
      <c r="N23" s="10">
        <v>5632115.9119999995</v>
      </c>
      <c r="O23" s="10">
        <v>692946.11679999996</v>
      </c>
      <c r="P23" s="10">
        <v>5449358.8392399997</v>
      </c>
      <c r="Q23" s="10">
        <v>825732.27229999995</v>
      </c>
      <c r="R23" s="10">
        <v>569085.82680000004</v>
      </c>
      <c r="S23" s="10">
        <v>5012474.6007000003</v>
      </c>
      <c r="T23" s="10">
        <v>3441373.5559999999</v>
      </c>
      <c r="U23" s="10">
        <v>4898761.6704000002</v>
      </c>
      <c r="V23" s="10">
        <v>1028017.71856</v>
      </c>
      <c r="W23" s="10">
        <v>5631595.7214000002</v>
      </c>
      <c r="X23" s="10">
        <v>2347773.2448</v>
      </c>
      <c r="Y23" s="10">
        <v>674287.67119999998</v>
      </c>
      <c r="Z23" s="10">
        <v>3938127.8991999999</v>
      </c>
      <c r="AA23" s="10">
        <v>3110390.99</v>
      </c>
      <c r="AB23" s="10">
        <v>2505384.182</v>
      </c>
      <c r="AC23" s="10">
        <v>4228018.176</v>
      </c>
      <c r="AD23" s="10">
        <v>1302107.16818</v>
      </c>
      <c r="AE23" s="10">
        <v>4473191.0498400005</v>
      </c>
      <c r="AF23" s="10">
        <v>2093097.216</v>
      </c>
    </row>
    <row r="24" spans="1:32" x14ac:dyDescent="0.35">
      <c r="A24" s="8">
        <v>46141</v>
      </c>
      <c r="B24" s="9">
        <v>52103453.082800001</v>
      </c>
      <c r="C24" s="10">
        <v>16230510.1764</v>
      </c>
      <c r="D24" s="10">
        <v>7190663.301</v>
      </c>
      <c r="E24" s="10">
        <v>3328807.4337599999</v>
      </c>
      <c r="F24" s="10">
        <v>1430068.8618000001</v>
      </c>
      <c r="G24" s="10">
        <v>1179587.70698</v>
      </c>
      <c r="H24" s="10">
        <v>1608928.22468</v>
      </c>
      <c r="I24" s="10">
        <v>289625.27220000001</v>
      </c>
      <c r="J24" s="10">
        <v>172816.3144</v>
      </c>
      <c r="K24" s="10">
        <v>782171.40194000001</v>
      </c>
      <c r="L24" s="10">
        <v>4207486.8398000002</v>
      </c>
      <c r="M24" s="10">
        <v>1773971.6921999999</v>
      </c>
      <c r="N24" s="10">
        <v>1373073.3968</v>
      </c>
      <c r="O24" s="10">
        <v>1025156.2752</v>
      </c>
      <c r="P24" s="10">
        <v>1285975.06868</v>
      </c>
      <c r="Q24" s="10">
        <v>2515298.835</v>
      </c>
      <c r="R24" s="10">
        <v>385317.08799999999</v>
      </c>
      <c r="S24" s="10">
        <v>150582.90968000001</v>
      </c>
      <c r="T24" s="10">
        <v>2064222.92594</v>
      </c>
      <c r="U24" s="10">
        <v>43101.1152</v>
      </c>
      <c r="V24" s="10">
        <v>524029.90752000001</v>
      </c>
      <c r="W24" s="10">
        <v>126221.83199999999</v>
      </c>
      <c r="X24" s="10">
        <v>1059215.6495999999</v>
      </c>
      <c r="Y24" s="10">
        <v>333625.663</v>
      </c>
      <c r="Z24" s="10">
        <v>144900.03</v>
      </c>
      <c r="AA24" s="10">
        <v>21857.683199999999</v>
      </c>
      <c r="AB24" s="10">
        <v>524839.37439999997</v>
      </c>
      <c r="AC24" s="10">
        <v>536782.98</v>
      </c>
      <c r="AD24" s="10">
        <v>1602436.3084199999</v>
      </c>
      <c r="AE24" s="10">
        <v>183958.51500000001</v>
      </c>
      <c r="AF24" s="10">
        <v>8220.2999999999993</v>
      </c>
    </row>
    <row r="25" spans="1:32" x14ac:dyDescent="0.35">
      <c r="A25" s="8">
        <v>46140</v>
      </c>
      <c r="B25" s="9">
        <v>57870834.051700003</v>
      </c>
      <c r="C25" s="10">
        <v>14118410.5963</v>
      </c>
      <c r="D25" s="10">
        <v>14932135.8134</v>
      </c>
      <c r="E25" s="10">
        <v>5953712.5422999999</v>
      </c>
      <c r="F25" s="10">
        <v>2936389.5066</v>
      </c>
      <c r="G25" s="10">
        <v>875312.42879999999</v>
      </c>
      <c r="H25" s="10">
        <v>1290982.8358400001</v>
      </c>
      <c r="I25" s="10">
        <v>33205.606399999997</v>
      </c>
      <c r="J25" s="10">
        <v>428689.02600000001</v>
      </c>
      <c r="K25" s="10">
        <v>495181.97830000002</v>
      </c>
      <c r="L25" s="10">
        <v>776877.42324000003</v>
      </c>
      <c r="M25" s="10">
        <v>551791.28200000001</v>
      </c>
      <c r="N25" s="10">
        <v>391261.5208</v>
      </c>
      <c r="O25" s="10">
        <v>467834.96110000001</v>
      </c>
      <c r="P25" s="10">
        <v>607851.93096000003</v>
      </c>
      <c r="Q25" s="10">
        <v>1714053.2738000001</v>
      </c>
      <c r="R25" s="10">
        <v>348446.64299999998</v>
      </c>
      <c r="S25" s="10">
        <v>502922.47759999998</v>
      </c>
      <c r="T25" s="10">
        <v>5535352.3071999997</v>
      </c>
      <c r="U25" s="10">
        <v>151888.92246</v>
      </c>
      <c r="V25" s="10">
        <v>421235.28414</v>
      </c>
      <c r="W25" s="10">
        <v>212157.81899999999</v>
      </c>
      <c r="X25" s="10">
        <v>246459.38519999999</v>
      </c>
      <c r="Y25" s="10">
        <v>1365949.2056</v>
      </c>
      <c r="Z25" s="10">
        <v>141514.4376</v>
      </c>
      <c r="AA25" s="10">
        <v>58717.432800000002</v>
      </c>
      <c r="AB25" s="10">
        <v>80085.616200000004</v>
      </c>
      <c r="AC25" s="10">
        <v>2583143.3879999998</v>
      </c>
      <c r="AD25" s="10">
        <v>282776.69825999998</v>
      </c>
      <c r="AE25" s="10">
        <v>290943.62880000001</v>
      </c>
      <c r="AF25" s="10">
        <v>75550.080000000002</v>
      </c>
    </row>
    <row r="26" spans="1:32" x14ac:dyDescent="0.35">
      <c r="A26" s="8">
        <v>46139</v>
      </c>
      <c r="B26" s="9">
        <v>75358164.206919998</v>
      </c>
      <c r="C26" s="10">
        <v>10963443.4911</v>
      </c>
      <c r="D26" s="10">
        <v>4265700.5925000003</v>
      </c>
      <c r="E26" s="10">
        <v>2093273.58504</v>
      </c>
      <c r="F26" s="10">
        <v>5215990.6462000003</v>
      </c>
      <c r="G26" s="10">
        <v>2599065.3057599999</v>
      </c>
      <c r="H26" s="10">
        <v>1963629.63188</v>
      </c>
      <c r="I26" s="10">
        <v>3713353.02</v>
      </c>
      <c r="J26" s="10">
        <v>4015768.1327999998</v>
      </c>
      <c r="K26" s="10">
        <v>6968519.0489600003</v>
      </c>
      <c r="L26" s="10">
        <v>2646687.7664000001</v>
      </c>
      <c r="M26" s="10">
        <v>1448094.9461000001</v>
      </c>
      <c r="N26" s="10">
        <v>4098479.5236</v>
      </c>
      <c r="O26" s="10">
        <v>755048.78200000001</v>
      </c>
      <c r="P26" s="10">
        <v>3814211.0858</v>
      </c>
      <c r="Q26" s="10">
        <v>802503.7</v>
      </c>
      <c r="R26" s="10">
        <v>1359859.8640000001</v>
      </c>
      <c r="S26" s="10">
        <v>125755.06419999999</v>
      </c>
      <c r="T26" s="10">
        <v>3325004.5093200002</v>
      </c>
      <c r="U26" s="10">
        <v>523097.84888000001</v>
      </c>
      <c r="V26" s="10">
        <v>850673.83499999996</v>
      </c>
      <c r="W26" s="10">
        <v>85318.966</v>
      </c>
      <c r="X26" s="10">
        <v>4731951.6207999997</v>
      </c>
      <c r="Y26" s="10">
        <v>983693.36919999996</v>
      </c>
      <c r="Z26" s="10">
        <v>611742.83519999997</v>
      </c>
      <c r="AA26" s="10">
        <v>448186.98599999998</v>
      </c>
      <c r="AB26" s="10">
        <v>272385.39500000002</v>
      </c>
      <c r="AC26" s="10">
        <v>4572706.2396</v>
      </c>
      <c r="AD26" s="10">
        <v>1284791.96676</v>
      </c>
      <c r="AE26" s="10">
        <v>201771.91602</v>
      </c>
      <c r="AF26" s="10">
        <v>617454.53280000004</v>
      </c>
    </row>
    <row r="27" spans="1:32" x14ac:dyDescent="0.35">
      <c r="A27" s="8">
        <v>46138</v>
      </c>
      <c r="B27" s="9">
        <v>278898945.42831999</v>
      </c>
      <c r="C27" s="10">
        <v>6529247.3819000004</v>
      </c>
      <c r="D27" s="10">
        <v>1928178.5515999999</v>
      </c>
      <c r="E27" s="10">
        <v>1381207.5787200001</v>
      </c>
      <c r="F27" s="10">
        <v>38454158.609999999</v>
      </c>
      <c r="G27" s="10">
        <v>442728.61151999998</v>
      </c>
      <c r="H27" s="10">
        <v>2512508.4134999998</v>
      </c>
      <c r="I27" s="10">
        <v>25739044.357000001</v>
      </c>
      <c r="J27" s="10">
        <v>42845306.909199998</v>
      </c>
      <c r="K27" s="10">
        <v>21406114.6098</v>
      </c>
      <c r="L27" s="10">
        <v>42040140.1884</v>
      </c>
      <c r="M27" s="10">
        <v>8935192.2870000005</v>
      </c>
      <c r="N27" s="10">
        <v>30329147.195</v>
      </c>
      <c r="O27" s="10">
        <v>323857.72440000001</v>
      </c>
      <c r="P27" s="10">
        <v>24245466.809099998</v>
      </c>
      <c r="Q27" s="10">
        <v>900588.0135</v>
      </c>
      <c r="R27" s="10">
        <v>915044.652</v>
      </c>
      <c r="S27" s="10">
        <v>633649.07784000004</v>
      </c>
      <c r="T27" s="10">
        <v>17794462.729680002</v>
      </c>
      <c r="U27" s="10">
        <v>516477.76624000003</v>
      </c>
      <c r="V27" s="10">
        <v>80708.121180000002</v>
      </c>
      <c r="W27" s="10">
        <v>944876.23600000003</v>
      </c>
      <c r="X27" s="10">
        <v>6039913.3631999996</v>
      </c>
      <c r="Y27" s="10">
        <v>1143781.7524000001</v>
      </c>
      <c r="Z27" s="10">
        <v>963333.19200000004</v>
      </c>
      <c r="AA27" s="10">
        <v>441663.50679999997</v>
      </c>
      <c r="AB27" s="10">
        <v>26016</v>
      </c>
      <c r="AC27" s="10">
        <v>264217.32520000002</v>
      </c>
      <c r="AD27" s="10">
        <v>629013.15162000002</v>
      </c>
      <c r="AE27" s="10">
        <v>84922.449519999995</v>
      </c>
      <c r="AF27" s="10">
        <v>407978.864</v>
      </c>
    </row>
    <row r="28" spans="1:32" x14ac:dyDescent="0.35">
      <c r="A28" s="8">
        <v>46137</v>
      </c>
      <c r="B28" s="9">
        <v>103384406.64466999</v>
      </c>
      <c r="C28" s="10">
        <v>2446843.8870000001</v>
      </c>
      <c r="D28" s="10">
        <v>672229.83600000001</v>
      </c>
      <c r="E28" s="10">
        <v>1481596.1672400001</v>
      </c>
      <c r="F28" s="10">
        <v>9900955.9935999997</v>
      </c>
      <c r="G28" s="10">
        <v>213608.55264000001</v>
      </c>
      <c r="H28" s="10">
        <v>1303015.03947</v>
      </c>
      <c r="I28" s="10">
        <v>2757924.7237999998</v>
      </c>
      <c r="J28" s="10">
        <v>11337116.361</v>
      </c>
      <c r="K28" s="10">
        <v>11066500.745999999</v>
      </c>
      <c r="L28" s="10">
        <v>8069670.2973600002</v>
      </c>
      <c r="M28" s="10">
        <v>7558452.1727999998</v>
      </c>
      <c r="N28" s="10">
        <v>8532568.7166000009</v>
      </c>
      <c r="O28" s="10">
        <v>644668.40170000005</v>
      </c>
      <c r="P28" s="10">
        <v>9207464.3623200003</v>
      </c>
      <c r="Q28" s="10">
        <v>203337.9558</v>
      </c>
      <c r="R28" s="10">
        <v>567232.22080000001</v>
      </c>
      <c r="S28" s="10">
        <v>611623.32527999999</v>
      </c>
      <c r="T28" s="10">
        <v>6358243.3398799999</v>
      </c>
      <c r="U28" s="10">
        <v>542729.15844000003</v>
      </c>
      <c r="V28" s="10">
        <v>24810.944960000001</v>
      </c>
      <c r="W28" s="10">
        <v>12658765.443600001</v>
      </c>
      <c r="X28" s="10">
        <v>486658.24920000002</v>
      </c>
      <c r="Y28" s="10">
        <v>911478.53559999994</v>
      </c>
      <c r="Z28" s="10">
        <v>1086964.476</v>
      </c>
      <c r="AA28" s="10">
        <v>496061.29979999998</v>
      </c>
      <c r="AB28" s="10">
        <v>6006.9485999999997</v>
      </c>
      <c r="AC28" s="10">
        <v>3324926.2549999999</v>
      </c>
      <c r="AD28" s="10">
        <v>344278.0649</v>
      </c>
      <c r="AE28" s="10">
        <v>242755.04928000001</v>
      </c>
      <c r="AF28" s="10">
        <v>325920.12</v>
      </c>
    </row>
    <row r="29" spans="1:32" x14ac:dyDescent="0.35">
      <c r="A29" s="8">
        <v>46136</v>
      </c>
      <c r="B29" s="9">
        <v>158299357.53960001</v>
      </c>
      <c r="C29" s="10">
        <v>12695602.7685</v>
      </c>
      <c r="D29" s="10">
        <v>5863175.7227999996</v>
      </c>
      <c r="E29" s="10">
        <v>6302332.4276000001</v>
      </c>
      <c r="F29" s="10">
        <v>14445209.273600001</v>
      </c>
      <c r="G29" s="10">
        <v>2142228.9141199999</v>
      </c>
      <c r="H29" s="10">
        <v>3231018.1566400002</v>
      </c>
      <c r="I29" s="10">
        <v>6447597.9000000004</v>
      </c>
      <c r="J29" s="10">
        <v>8928312.2459999993</v>
      </c>
      <c r="K29" s="10">
        <v>20481053.461440001</v>
      </c>
      <c r="L29" s="10">
        <v>22272835.21996</v>
      </c>
      <c r="M29" s="10">
        <v>14494768.187799999</v>
      </c>
      <c r="N29" s="10">
        <v>10619793.8584</v>
      </c>
      <c r="O29" s="10">
        <v>674615.59620000003</v>
      </c>
      <c r="P29" s="10">
        <v>3245127.76</v>
      </c>
      <c r="Q29" s="10">
        <v>1478345.42</v>
      </c>
      <c r="R29" s="10">
        <v>1167102.7187999999</v>
      </c>
      <c r="S29" s="10">
        <v>158406.52575999999</v>
      </c>
      <c r="T29" s="10">
        <v>10792586.190400001</v>
      </c>
      <c r="U29" s="10">
        <v>1268360.2113000001</v>
      </c>
      <c r="V29" s="10">
        <v>796348.83594000002</v>
      </c>
      <c r="W29" s="10">
        <v>331232.29599999997</v>
      </c>
      <c r="X29" s="10">
        <v>187941.209</v>
      </c>
      <c r="Y29" s="10">
        <v>1269837.2736</v>
      </c>
      <c r="Z29" s="10">
        <v>303167.56599999999</v>
      </c>
      <c r="AA29" s="10">
        <v>140309.32320000001</v>
      </c>
      <c r="AB29" s="10">
        <v>112135.54399999999</v>
      </c>
      <c r="AC29" s="10">
        <v>5220581.6359999999</v>
      </c>
      <c r="AD29" s="10">
        <v>2127074.2349399999</v>
      </c>
      <c r="AE29" s="10">
        <v>662677.14659999998</v>
      </c>
      <c r="AF29" s="10">
        <v>439579.91499999998</v>
      </c>
    </row>
    <row r="30" spans="1:32" x14ac:dyDescent="0.35">
      <c r="A30" s="8">
        <v>46135</v>
      </c>
      <c r="B30" s="9">
        <v>60787138.724150002</v>
      </c>
      <c r="C30" s="10">
        <v>16520640.316199999</v>
      </c>
      <c r="D30" s="10">
        <v>10333217.5934</v>
      </c>
      <c r="E30" s="10">
        <v>7273236.9468599996</v>
      </c>
      <c r="F30" s="10">
        <v>5622778.7967999997</v>
      </c>
      <c r="G30" s="10">
        <v>2677969.3297999999</v>
      </c>
      <c r="H30" s="10">
        <v>2535204.0016800002</v>
      </c>
      <c r="I30" s="10">
        <v>158489.285</v>
      </c>
      <c r="J30" s="10">
        <v>528874.40879999998</v>
      </c>
      <c r="K30" s="10">
        <v>1585797.808</v>
      </c>
      <c r="L30" s="10">
        <v>916726.30851999996</v>
      </c>
      <c r="M30" s="10">
        <v>776258.48529999994</v>
      </c>
      <c r="N30" s="10">
        <v>656973.13500000001</v>
      </c>
      <c r="O30" s="10">
        <v>684256.93389999995</v>
      </c>
      <c r="P30" s="10">
        <v>113363.92134</v>
      </c>
      <c r="Q30" s="10">
        <v>2421158.0088999998</v>
      </c>
      <c r="R30" s="10">
        <v>1147291.0127999999</v>
      </c>
      <c r="S30" s="10">
        <v>505671.99171999999</v>
      </c>
      <c r="T30" s="10">
        <v>1228187.55895</v>
      </c>
      <c r="U30" s="10">
        <v>383588.61210000003</v>
      </c>
      <c r="V30" s="10">
        <v>750957.73826000001</v>
      </c>
      <c r="W30" s="10">
        <v>224681.53260000001</v>
      </c>
      <c r="X30" s="10">
        <v>207176.424</v>
      </c>
      <c r="Y30" s="10">
        <v>919689.63840000005</v>
      </c>
      <c r="Z30" s="10">
        <v>612936.93799999997</v>
      </c>
      <c r="AA30" s="10">
        <v>113343.6636</v>
      </c>
      <c r="AB30" s="10">
        <v>387990.05739999999</v>
      </c>
      <c r="AC30" s="10">
        <v>132213.19760000001</v>
      </c>
      <c r="AD30" s="10">
        <v>259806.91047999999</v>
      </c>
      <c r="AE30" s="10">
        <v>54595.517939999998</v>
      </c>
      <c r="AF30" s="10">
        <v>1054062.6507999999</v>
      </c>
    </row>
    <row r="31" spans="1:32" x14ac:dyDescent="0.35">
      <c r="A31" s="8">
        <v>46134</v>
      </c>
      <c r="B31" s="9">
        <v>48663311.544480003</v>
      </c>
      <c r="C31" s="10">
        <v>11477852.0767</v>
      </c>
      <c r="D31" s="10">
        <v>6853438.5089999996</v>
      </c>
      <c r="E31" s="10">
        <v>2859258.0301999999</v>
      </c>
      <c r="F31" s="10">
        <v>5820827.3459999999</v>
      </c>
      <c r="G31" s="10">
        <v>2087051.7844799999</v>
      </c>
      <c r="H31" s="10">
        <v>2801199.4146799999</v>
      </c>
      <c r="I31" s="10">
        <v>184048.71799999999</v>
      </c>
      <c r="J31" s="10">
        <v>538908.22880000004</v>
      </c>
      <c r="K31" s="10">
        <v>826090.95952000003</v>
      </c>
      <c r="L31" s="10">
        <v>1325781.7134</v>
      </c>
      <c r="M31" s="10">
        <v>513418.27399999998</v>
      </c>
      <c r="N31" s="10">
        <v>568820.33279999997</v>
      </c>
      <c r="O31" s="10">
        <v>429594.99839999998</v>
      </c>
      <c r="P31" s="10">
        <v>427022.7316</v>
      </c>
      <c r="Q31" s="10">
        <v>1430392.6941</v>
      </c>
      <c r="R31" s="10">
        <v>967762.44099999999</v>
      </c>
      <c r="S31" s="10">
        <v>1494555.6345200001</v>
      </c>
      <c r="T31" s="10">
        <v>1287960.47988</v>
      </c>
      <c r="U31" s="10">
        <v>561646.14324</v>
      </c>
      <c r="V31" s="10">
        <v>931624.57720000006</v>
      </c>
      <c r="W31" s="10">
        <v>598673.59499999997</v>
      </c>
      <c r="X31" s="10">
        <v>271487.45799999998</v>
      </c>
      <c r="Y31" s="10">
        <v>2083595.68</v>
      </c>
      <c r="Z31" s="10">
        <v>214994.80040000001</v>
      </c>
      <c r="AA31" s="10">
        <v>202452.10159999999</v>
      </c>
      <c r="AB31" s="10">
        <v>418834.63439999998</v>
      </c>
      <c r="AC31" s="10">
        <v>124234.13159999999</v>
      </c>
      <c r="AD31" s="10">
        <v>452668.94228000002</v>
      </c>
      <c r="AE31" s="10">
        <v>63152.437680000003</v>
      </c>
      <c r="AF31" s="10">
        <v>845962.67599999998</v>
      </c>
    </row>
    <row r="32" spans="1:32" x14ac:dyDescent="0.35">
      <c r="A32" s="8">
        <v>46133</v>
      </c>
      <c r="B32" s="9">
        <v>64105947.943329997</v>
      </c>
      <c r="C32" s="10">
        <v>15786219.041999999</v>
      </c>
      <c r="D32" s="10">
        <v>10442405.5551</v>
      </c>
      <c r="E32" s="10">
        <v>9894337.3666999992</v>
      </c>
      <c r="F32" s="10">
        <v>5610201.1459999997</v>
      </c>
      <c r="G32" s="10">
        <v>2180213.6031599999</v>
      </c>
      <c r="H32" s="10">
        <v>1791952.9031700001</v>
      </c>
      <c r="I32" s="10">
        <v>248426.34599999999</v>
      </c>
      <c r="J32" s="10">
        <v>2155992.9183999998</v>
      </c>
      <c r="K32" s="10">
        <v>964517.28125999996</v>
      </c>
      <c r="L32" s="10">
        <v>285432.52983999997</v>
      </c>
      <c r="M32" s="10">
        <v>1316900.1868</v>
      </c>
      <c r="N32" s="10">
        <v>442255.27500000002</v>
      </c>
      <c r="O32" s="10">
        <v>1535371.632</v>
      </c>
      <c r="P32" s="10">
        <v>444463.13714000001</v>
      </c>
      <c r="Q32" s="10">
        <v>1222266.53</v>
      </c>
      <c r="R32" s="10">
        <v>1055635.3184</v>
      </c>
      <c r="S32" s="10">
        <v>1653944.8427200001</v>
      </c>
      <c r="T32" s="10">
        <v>1191029.9215599999</v>
      </c>
      <c r="U32" s="10">
        <v>245801.55796000001</v>
      </c>
      <c r="V32" s="10">
        <v>765592.28928000003</v>
      </c>
      <c r="W32" s="10">
        <v>605805.63320000004</v>
      </c>
      <c r="X32" s="10">
        <v>663203.9952</v>
      </c>
      <c r="Y32" s="10">
        <v>1059887.148</v>
      </c>
      <c r="Z32" s="10">
        <v>599777.38320000004</v>
      </c>
      <c r="AA32" s="10">
        <v>112138.2644</v>
      </c>
      <c r="AB32" s="10">
        <v>753666.31480000005</v>
      </c>
      <c r="AC32" s="10">
        <v>211774.29440000001</v>
      </c>
      <c r="AD32" s="10">
        <v>519304.47784000001</v>
      </c>
      <c r="AE32" s="10">
        <v>66263.407399999996</v>
      </c>
      <c r="AF32" s="10">
        <v>281167.64240000001</v>
      </c>
    </row>
    <row r="33" spans="1:32" x14ac:dyDescent="0.35">
      <c r="A33" s="8">
        <v>46132</v>
      </c>
      <c r="B33" s="9">
        <v>80244746.610709995</v>
      </c>
      <c r="C33" s="10">
        <v>16928895.306699999</v>
      </c>
      <c r="D33" s="10">
        <v>8260719.8814000003</v>
      </c>
      <c r="E33" s="10">
        <v>5614249.3934399998</v>
      </c>
      <c r="F33" s="10">
        <v>4978661.16</v>
      </c>
      <c r="G33" s="10">
        <v>5294134.37696</v>
      </c>
      <c r="H33" s="10">
        <v>3091538.2495499998</v>
      </c>
      <c r="I33" s="10">
        <v>621623.22180000006</v>
      </c>
      <c r="J33" s="10">
        <v>2861143.1324</v>
      </c>
      <c r="K33" s="10">
        <v>1264753.1776000001</v>
      </c>
      <c r="L33" s="10">
        <v>942482.84939999995</v>
      </c>
      <c r="M33" s="10">
        <v>2111890.1184</v>
      </c>
      <c r="N33" s="10">
        <v>1058015.0671999999</v>
      </c>
      <c r="O33" s="10">
        <v>1930734.6375</v>
      </c>
      <c r="P33" s="10">
        <v>991155.75615999999</v>
      </c>
      <c r="Q33" s="10">
        <v>2176429.3878000001</v>
      </c>
      <c r="R33" s="10">
        <v>4540386.1968</v>
      </c>
      <c r="S33" s="10">
        <v>3465097.2212399999</v>
      </c>
      <c r="T33" s="10">
        <v>808300.78359999997</v>
      </c>
      <c r="U33" s="10">
        <v>652076.63092000003</v>
      </c>
      <c r="V33" s="10">
        <v>407786.68359999999</v>
      </c>
      <c r="W33" s="10">
        <v>705564.48400000005</v>
      </c>
      <c r="X33" s="10">
        <v>1087768.55</v>
      </c>
      <c r="Y33" s="10">
        <v>3395595.3272000002</v>
      </c>
      <c r="Z33" s="10">
        <v>564294.92339999997</v>
      </c>
      <c r="AA33" s="10">
        <v>1372842.8048</v>
      </c>
      <c r="AB33" s="10">
        <v>3291494.6324</v>
      </c>
      <c r="AC33" s="10">
        <v>209965.742</v>
      </c>
      <c r="AD33" s="10">
        <v>1046708.03844</v>
      </c>
      <c r="AE33" s="10">
        <v>570438.87600000005</v>
      </c>
      <c r="AF33" s="10"/>
    </row>
    <row r="34" spans="1:32" x14ac:dyDescent="0.35">
      <c r="A34" s="8">
        <v>46131</v>
      </c>
      <c r="B34" s="9">
        <v>72170396.219219998</v>
      </c>
      <c r="C34" s="10">
        <v>14332837.744899999</v>
      </c>
      <c r="D34" s="10">
        <v>7237831.8503999999</v>
      </c>
      <c r="E34" s="10">
        <v>6636982.7534400001</v>
      </c>
      <c r="F34" s="10">
        <v>987290.34360000002</v>
      </c>
      <c r="G34" s="10">
        <v>2133268.68132</v>
      </c>
      <c r="H34" s="10">
        <v>3997130.7012</v>
      </c>
      <c r="I34" s="10">
        <v>203429.91899999999</v>
      </c>
      <c r="J34" s="10">
        <v>4898090.7867999999</v>
      </c>
      <c r="K34" s="10">
        <v>1764568.5545399999</v>
      </c>
      <c r="L34" s="10">
        <v>406094.96227999998</v>
      </c>
      <c r="M34" s="10">
        <v>951481.34770000004</v>
      </c>
      <c r="N34" s="10">
        <v>1750182.3916</v>
      </c>
      <c r="O34" s="10">
        <v>2193655.1889999998</v>
      </c>
      <c r="P34" s="10">
        <v>1980064.9373399999</v>
      </c>
      <c r="Q34" s="10">
        <v>1897085.9117000001</v>
      </c>
      <c r="R34" s="10">
        <v>2029790.4478</v>
      </c>
      <c r="S34" s="10">
        <v>3152017.9235999999</v>
      </c>
      <c r="T34" s="10">
        <v>111776.37888</v>
      </c>
      <c r="U34" s="10">
        <v>2530323.4378800001</v>
      </c>
      <c r="V34" s="10">
        <v>247101.1906</v>
      </c>
      <c r="W34" s="10">
        <v>528719.85600000003</v>
      </c>
      <c r="X34" s="10">
        <v>1122199.4168</v>
      </c>
      <c r="Y34" s="10">
        <v>5696348.9699999997</v>
      </c>
      <c r="Z34" s="10">
        <v>686583.05119999999</v>
      </c>
      <c r="AA34" s="10">
        <v>1252583.4550000001</v>
      </c>
      <c r="AB34" s="10">
        <v>2221594.338</v>
      </c>
      <c r="AC34" s="10">
        <v>219712.584</v>
      </c>
      <c r="AD34" s="10">
        <v>714148.91128</v>
      </c>
      <c r="AE34" s="10">
        <v>287500.18336000002</v>
      </c>
      <c r="AF34" s="10"/>
    </row>
    <row r="35" spans="1:32" x14ac:dyDescent="0.35">
      <c r="A35" s="8">
        <v>46130</v>
      </c>
      <c r="B35" s="9">
        <v>46551893.035549998</v>
      </c>
      <c r="C35" s="10">
        <v>9216672.0099999998</v>
      </c>
      <c r="D35" s="10">
        <v>1184445.7538000001</v>
      </c>
      <c r="E35" s="10">
        <v>5973651.4370999997</v>
      </c>
      <c r="F35" s="10">
        <v>809289.9584</v>
      </c>
      <c r="G35" s="10">
        <v>1332267.0209999999</v>
      </c>
      <c r="H35" s="10">
        <v>1189963.0563099999</v>
      </c>
      <c r="I35" s="10">
        <v>443583.28200000001</v>
      </c>
      <c r="J35" s="10">
        <v>1384900.3144</v>
      </c>
      <c r="K35" s="10">
        <v>1198060.46184</v>
      </c>
      <c r="L35" s="10">
        <v>491210.26312000002</v>
      </c>
      <c r="M35" s="10">
        <v>1523757.2175</v>
      </c>
      <c r="N35" s="10">
        <v>1900978.0205999999</v>
      </c>
      <c r="O35" s="10">
        <v>831304.45799999998</v>
      </c>
      <c r="P35" s="10">
        <v>2841153.8820000002</v>
      </c>
      <c r="Q35" s="10">
        <v>987840.10080000001</v>
      </c>
      <c r="R35" s="10">
        <v>1822641.844</v>
      </c>
      <c r="S35" s="10">
        <v>1663958.0052</v>
      </c>
      <c r="T35" s="10">
        <v>14905.940839999999</v>
      </c>
      <c r="U35" s="10">
        <v>3377037.4118400002</v>
      </c>
      <c r="V35" s="10">
        <v>806411.73204000003</v>
      </c>
      <c r="W35" s="10">
        <v>264121.94880000001</v>
      </c>
      <c r="X35" s="10">
        <v>305238.33899999998</v>
      </c>
      <c r="Y35" s="10">
        <v>3428088.7584000002</v>
      </c>
      <c r="Z35" s="10">
        <v>598087.84499999997</v>
      </c>
      <c r="AA35" s="10">
        <v>1367184.2344</v>
      </c>
      <c r="AB35" s="10">
        <v>926561.74600000004</v>
      </c>
      <c r="AC35" s="10">
        <v>21231.068800000001</v>
      </c>
      <c r="AD35" s="10">
        <v>387586.73796</v>
      </c>
      <c r="AE35" s="10">
        <v>259760.18640000001</v>
      </c>
      <c r="AF35" s="10"/>
    </row>
    <row r="36" spans="1:32" x14ac:dyDescent="0.35">
      <c r="A36" s="8">
        <v>46129</v>
      </c>
      <c r="B36" s="9">
        <v>58840360.043480001</v>
      </c>
      <c r="C36" s="10">
        <v>11564832.314099999</v>
      </c>
      <c r="D36" s="10">
        <v>8964263.3388</v>
      </c>
      <c r="E36" s="10">
        <v>4970505.5036000004</v>
      </c>
      <c r="F36" s="10">
        <v>4138610.6412</v>
      </c>
      <c r="G36" s="10">
        <v>2426841.0339600001</v>
      </c>
      <c r="H36" s="10">
        <v>2660848.8722799998</v>
      </c>
      <c r="I36" s="10">
        <v>340964.31199999998</v>
      </c>
      <c r="J36" s="10">
        <v>475853.50400000002</v>
      </c>
      <c r="K36" s="10">
        <v>757831.30692</v>
      </c>
      <c r="L36" s="10">
        <v>891126.97649999999</v>
      </c>
      <c r="M36" s="10">
        <v>3538725.1060000001</v>
      </c>
      <c r="N36" s="10">
        <v>3452380.7570000002</v>
      </c>
      <c r="O36" s="10">
        <v>1310514.8452999999</v>
      </c>
      <c r="P36" s="10">
        <v>1411178.7181200001</v>
      </c>
      <c r="Q36" s="10">
        <v>1178334.4235</v>
      </c>
      <c r="R36" s="10">
        <v>3142276.2924000002</v>
      </c>
      <c r="S36" s="10">
        <v>444503.17557999998</v>
      </c>
      <c r="T36" s="10">
        <v>255182.27158</v>
      </c>
      <c r="U36" s="10">
        <v>1705739.3598</v>
      </c>
      <c r="V36" s="10">
        <v>691077.43143999996</v>
      </c>
      <c r="W36" s="10">
        <v>586487.81359999999</v>
      </c>
      <c r="X36" s="10">
        <v>610331.16480000003</v>
      </c>
      <c r="Y36" s="10">
        <v>990486.3</v>
      </c>
      <c r="Z36" s="10">
        <v>709205.89919999999</v>
      </c>
      <c r="AA36" s="10">
        <v>419885.35200000001</v>
      </c>
      <c r="AB36" s="10">
        <v>479273.64120000001</v>
      </c>
      <c r="AC36" s="10">
        <v>364760.46879999997</v>
      </c>
      <c r="AD36" s="10">
        <v>299836.17540000001</v>
      </c>
      <c r="AE36" s="10">
        <v>58503.044399999999</v>
      </c>
      <c r="AF36" s="10"/>
    </row>
    <row r="37" spans="1:32" x14ac:dyDescent="0.35">
      <c r="A37" s="8">
        <v>46128</v>
      </c>
      <c r="B37" s="9">
        <v>50732080.393279999</v>
      </c>
      <c r="C37" s="10">
        <v>13583507.131999999</v>
      </c>
      <c r="D37" s="10">
        <v>5682851.5003000004</v>
      </c>
      <c r="E37" s="10">
        <v>1684075.5987</v>
      </c>
      <c r="F37" s="10">
        <v>4488725.51</v>
      </c>
      <c r="G37" s="10">
        <v>1656204.8953799999</v>
      </c>
      <c r="H37" s="10">
        <v>1954388.5317599999</v>
      </c>
      <c r="I37" s="10">
        <v>35300.764199999998</v>
      </c>
      <c r="J37" s="10">
        <v>339187.81599999999</v>
      </c>
      <c r="K37" s="10">
        <v>923860.19816000003</v>
      </c>
      <c r="L37" s="10">
        <v>196540.74794</v>
      </c>
      <c r="M37" s="10">
        <v>1105747.8230000001</v>
      </c>
      <c r="N37" s="10">
        <v>1503116.7017999999</v>
      </c>
      <c r="O37" s="10">
        <v>426552.70520000003</v>
      </c>
      <c r="P37" s="10">
        <v>3362478.49456</v>
      </c>
      <c r="Q37" s="10">
        <v>1828384.0815999999</v>
      </c>
      <c r="R37" s="10">
        <v>823587.73060000001</v>
      </c>
      <c r="S37" s="10">
        <v>1012402.00368</v>
      </c>
      <c r="T37" s="10">
        <v>318693.40895999997</v>
      </c>
      <c r="U37" s="10">
        <v>2692052.142</v>
      </c>
      <c r="V37" s="10">
        <v>2196350.89732</v>
      </c>
      <c r="W37" s="10">
        <v>786332.75699999998</v>
      </c>
      <c r="X37" s="10">
        <v>603027.31019999995</v>
      </c>
      <c r="Y37" s="10">
        <v>1074487.3230000001</v>
      </c>
      <c r="Z37" s="10">
        <v>658715.6912</v>
      </c>
      <c r="AA37" s="10">
        <v>228195.01800000001</v>
      </c>
      <c r="AB37" s="10">
        <v>320192.99200000003</v>
      </c>
      <c r="AC37" s="10"/>
      <c r="AD37" s="10">
        <v>919758.03079999995</v>
      </c>
      <c r="AE37" s="10">
        <v>327362.58792000002</v>
      </c>
      <c r="AF37" s="10"/>
    </row>
    <row r="38" spans="1:32" x14ac:dyDescent="0.35">
      <c r="A38" s="8">
        <v>46127</v>
      </c>
      <c r="B38" s="9">
        <v>61611566.316610001</v>
      </c>
      <c r="C38" s="10">
        <v>18931212.262899999</v>
      </c>
      <c r="D38" s="10">
        <v>12418289.316400001</v>
      </c>
      <c r="E38" s="10">
        <v>3623485.3481399999</v>
      </c>
      <c r="F38" s="10">
        <v>3215549.4210000001</v>
      </c>
      <c r="G38" s="10">
        <v>2730913.7409199998</v>
      </c>
      <c r="H38" s="10">
        <v>1580331.60999</v>
      </c>
      <c r="I38" s="10">
        <v>112581.924</v>
      </c>
      <c r="J38" s="10">
        <v>259699.16399999999</v>
      </c>
      <c r="K38" s="10">
        <v>601148.87008000002</v>
      </c>
      <c r="L38" s="10">
        <v>1005582.6703</v>
      </c>
      <c r="M38" s="10">
        <v>3840246.75</v>
      </c>
      <c r="N38" s="10">
        <v>638488.56059999997</v>
      </c>
      <c r="O38" s="10">
        <v>471320.52480000001</v>
      </c>
      <c r="P38" s="10">
        <v>226921.86936000001</v>
      </c>
      <c r="Q38" s="10">
        <v>2996228.8536</v>
      </c>
      <c r="R38" s="10">
        <v>703327.13280000002</v>
      </c>
      <c r="S38" s="10">
        <v>1534265.3588399999</v>
      </c>
      <c r="T38" s="10">
        <v>962499.54816000001</v>
      </c>
      <c r="U38" s="10">
        <v>682681.82123999996</v>
      </c>
      <c r="V38" s="10">
        <v>1386316.6829200001</v>
      </c>
      <c r="W38" s="10">
        <v>325488.38059999997</v>
      </c>
      <c r="X38" s="10">
        <v>447970.31219999999</v>
      </c>
      <c r="Y38" s="10">
        <v>1001941.632</v>
      </c>
      <c r="Z38" s="10">
        <v>504230.2648</v>
      </c>
      <c r="AA38" s="10">
        <v>285257.71899999998</v>
      </c>
      <c r="AB38" s="10">
        <v>790671.97439999995</v>
      </c>
      <c r="AC38" s="10"/>
      <c r="AD38" s="10">
        <v>260640.1796</v>
      </c>
      <c r="AE38" s="10">
        <v>74274.42396</v>
      </c>
      <c r="AF38" s="10"/>
    </row>
    <row r="39" spans="1:32" x14ac:dyDescent="0.35">
      <c r="A39" s="8">
        <v>46126</v>
      </c>
      <c r="B39" s="9">
        <v>66268732.676789999</v>
      </c>
      <c r="C39" s="10">
        <v>18782842.868000001</v>
      </c>
      <c r="D39" s="10">
        <v>11382103.138499999</v>
      </c>
      <c r="E39" s="10">
        <v>5324286.2265600003</v>
      </c>
      <c r="F39" s="10">
        <v>1280420.1536000001</v>
      </c>
      <c r="G39" s="10">
        <v>3036468.2615999999</v>
      </c>
      <c r="H39" s="10">
        <v>2418348.2556400001</v>
      </c>
      <c r="I39" s="10">
        <v>187090.86</v>
      </c>
      <c r="J39" s="10">
        <v>540225.93599999999</v>
      </c>
      <c r="K39" s="10">
        <v>1302951.3331200001</v>
      </c>
      <c r="L39" s="10">
        <v>230584.74040000001</v>
      </c>
      <c r="M39" s="10">
        <v>2965047.483</v>
      </c>
      <c r="N39" s="10">
        <v>1405046.8541999999</v>
      </c>
      <c r="O39" s="10">
        <v>2572741.6065000002</v>
      </c>
      <c r="P39" s="10">
        <v>434556.01601999998</v>
      </c>
      <c r="Q39" s="10">
        <v>2802819.8634000001</v>
      </c>
      <c r="R39" s="10">
        <v>1126720.2464000001</v>
      </c>
      <c r="S39" s="10">
        <v>1618708.5612600001</v>
      </c>
      <c r="T39" s="10">
        <v>2071046.55265</v>
      </c>
      <c r="U39" s="10">
        <v>738191.74329999997</v>
      </c>
      <c r="V39" s="10">
        <v>2503837.4271999998</v>
      </c>
      <c r="W39" s="10">
        <v>402920.17920000001</v>
      </c>
      <c r="X39" s="10">
        <v>393148.64399999997</v>
      </c>
      <c r="Y39" s="10">
        <v>1164239.004</v>
      </c>
      <c r="Z39" s="10">
        <v>34309.022400000002</v>
      </c>
      <c r="AA39" s="10">
        <v>374716.55200000003</v>
      </c>
      <c r="AB39" s="10">
        <v>658424.62399999995</v>
      </c>
      <c r="AC39" s="10"/>
      <c r="AD39" s="10">
        <v>435019.40399999998</v>
      </c>
      <c r="AE39" s="10">
        <v>81917.119839999999</v>
      </c>
      <c r="AF39" s="10"/>
    </row>
    <row r="40" spans="1:32" x14ac:dyDescent="0.35">
      <c r="A40" s="8">
        <v>46125</v>
      </c>
      <c r="B40" s="9">
        <v>95634986.032419994</v>
      </c>
      <c r="C40" s="10">
        <v>23175088.551899999</v>
      </c>
      <c r="D40" s="10">
        <v>6901009.3136999998</v>
      </c>
      <c r="E40" s="10">
        <v>8079723.5192999998</v>
      </c>
      <c r="F40" s="10">
        <v>1236649.5072000001</v>
      </c>
      <c r="G40" s="10">
        <v>2896655.1541200001</v>
      </c>
      <c r="H40" s="10">
        <v>9117643.7916000001</v>
      </c>
      <c r="I40" s="10">
        <v>440363.0748</v>
      </c>
      <c r="J40" s="10">
        <v>2905609.86</v>
      </c>
      <c r="K40" s="10">
        <v>1580697.1569999999</v>
      </c>
      <c r="L40" s="10">
        <v>259852.27884000001</v>
      </c>
      <c r="M40" s="10">
        <v>6510998.6425000001</v>
      </c>
      <c r="N40" s="10">
        <v>5866908.6030000001</v>
      </c>
      <c r="O40" s="10">
        <v>2431905.9559999998</v>
      </c>
      <c r="P40" s="10">
        <v>1181162.1970800001</v>
      </c>
      <c r="Q40" s="10">
        <v>1785772.0098000001</v>
      </c>
      <c r="R40" s="10">
        <v>3615819.1889999998</v>
      </c>
      <c r="S40" s="10">
        <v>1804295.65824</v>
      </c>
      <c r="T40" s="10">
        <v>927970.34400000004</v>
      </c>
      <c r="U40" s="10">
        <v>1076017.7747200001</v>
      </c>
      <c r="V40" s="10">
        <v>3341094.4440000001</v>
      </c>
      <c r="W40" s="10">
        <v>1342193.6947999999</v>
      </c>
      <c r="X40" s="10">
        <v>1588957.51</v>
      </c>
      <c r="Y40" s="10">
        <v>1570446.2072000001</v>
      </c>
      <c r="Z40" s="10">
        <v>834397.03619999997</v>
      </c>
      <c r="AA40" s="10">
        <v>1614462.7590000001</v>
      </c>
      <c r="AB40" s="10">
        <v>1103557.8414</v>
      </c>
      <c r="AC40" s="10"/>
      <c r="AD40" s="10">
        <v>766493.8173</v>
      </c>
      <c r="AE40" s="10">
        <v>1679240.1397200001</v>
      </c>
      <c r="AF40" s="10"/>
    </row>
    <row r="41" spans="1:32" x14ac:dyDescent="0.35">
      <c r="A41" s="8">
        <v>46124</v>
      </c>
      <c r="B41" s="9">
        <v>93604593.907069996</v>
      </c>
      <c r="C41" s="10">
        <v>20298019.427999999</v>
      </c>
      <c r="D41" s="10">
        <v>8371862.1960000005</v>
      </c>
      <c r="E41" s="10">
        <v>10664067.281400001</v>
      </c>
      <c r="F41" s="10">
        <v>2293952.0115999999</v>
      </c>
      <c r="G41" s="10">
        <v>1993630.9320199999</v>
      </c>
      <c r="H41" s="10">
        <v>3334647.3695499999</v>
      </c>
      <c r="I41" s="10">
        <v>353199.06</v>
      </c>
      <c r="J41" s="10">
        <v>1573237.267</v>
      </c>
      <c r="K41" s="10">
        <v>2782737.1260799998</v>
      </c>
      <c r="L41" s="10">
        <v>2441350.7226</v>
      </c>
      <c r="M41" s="10">
        <v>2898089.2511999998</v>
      </c>
      <c r="N41" s="10">
        <v>168811.27600000001</v>
      </c>
      <c r="O41" s="10">
        <v>3624756.3857999998</v>
      </c>
      <c r="P41" s="10">
        <v>804617.41304000001</v>
      </c>
      <c r="Q41" s="10">
        <v>2453946.6140000001</v>
      </c>
      <c r="R41" s="10">
        <v>3282737.6735999999</v>
      </c>
      <c r="S41" s="10">
        <v>3985668.6895599999</v>
      </c>
      <c r="T41" s="10">
        <v>1261443.12264</v>
      </c>
      <c r="U41" s="10">
        <v>4375880.74608</v>
      </c>
      <c r="V41" s="10">
        <v>1069732.9362600001</v>
      </c>
      <c r="W41" s="10">
        <v>681028.054</v>
      </c>
      <c r="X41" s="10">
        <v>1656821.4586</v>
      </c>
      <c r="Y41" s="10">
        <v>1335664.9613999999</v>
      </c>
      <c r="Z41" s="10">
        <v>1223787.432</v>
      </c>
      <c r="AA41" s="10">
        <v>2640067.5183999999</v>
      </c>
      <c r="AB41" s="10">
        <v>1202396.1440000001</v>
      </c>
      <c r="AC41" s="10"/>
      <c r="AD41" s="10">
        <v>610726.34647999995</v>
      </c>
      <c r="AE41" s="10">
        <v>6221714.4897600003</v>
      </c>
      <c r="AF41" s="10"/>
    </row>
    <row r="42" spans="1:32" x14ac:dyDescent="0.35">
      <c r="A42" s="8">
        <v>46123</v>
      </c>
      <c r="B42" s="9">
        <v>26628519.822930001</v>
      </c>
      <c r="C42" s="10">
        <v>1967297.7960999999</v>
      </c>
      <c r="D42" s="10">
        <v>1423561.1580000001</v>
      </c>
      <c r="E42" s="10">
        <v>5093758.08232</v>
      </c>
      <c r="F42" s="10">
        <v>161922.94560000001</v>
      </c>
      <c r="G42" s="10">
        <v>134751.61332</v>
      </c>
      <c r="H42" s="10">
        <v>911426.04740000004</v>
      </c>
      <c r="I42" s="10">
        <v>208726.37280000001</v>
      </c>
      <c r="J42" s="10">
        <v>636717.17420000001</v>
      </c>
      <c r="K42" s="10">
        <v>185020.58256000001</v>
      </c>
      <c r="L42" s="10">
        <v>2487920.1950400001</v>
      </c>
      <c r="M42" s="10">
        <v>879463.86600000004</v>
      </c>
      <c r="N42" s="10">
        <v>177657.05160000001</v>
      </c>
      <c r="O42" s="10">
        <v>1005936.1684</v>
      </c>
      <c r="P42" s="10">
        <v>205662.0454</v>
      </c>
      <c r="Q42" s="10">
        <v>2025157.95</v>
      </c>
      <c r="R42" s="10">
        <v>725697.43819999998</v>
      </c>
      <c r="S42" s="10">
        <v>540739.951</v>
      </c>
      <c r="T42" s="10">
        <v>585274.92946999997</v>
      </c>
      <c r="U42" s="10">
        <v>1197864.6124799999</v>
      </c>
      <c r="V42" s="10">
        <v>782807.80709999998</v>
      </c>
      <c r="W42" s="10">
        <v>675092.34779999999</v>
      </c>
      <c r="X42" s="10">
        <v>246664.99</v>
      </c>
      <c r="Y42" s="10">
        <v>1182709.922</v>
      </c>
      <c r="Z42" s="10">
        <v>1450311.9975999999</v>
      </c>
      <c r="AA42" s="10">
        <v>404628.027</v>
      </c>
      <c r="AB42" s="10">
        <v>140849.2824</v>
      </c>
      <c r="AC42" s="10"/>
      <c r="AD42" s="10">
        <v>288132.92570000002</v>
      </c>
      <c r="AE42" s="10">
        <v>902766.54344000004</v>
      </c>
      <c r="AF42" s="10"/>
    </row>
    <row r="43" spans="1:32" x14ac:dyDescent="0.35">
      <c r="A43" s="8">
        <v>46122</v>
      </c>
      <c r="B43" s="9">
        <v>43903942.260439999</v>
      </c>
      <c r="C43" s="10">
        <v>11920117.8069</v>
      </c>
      <c r="D43" s="10">
        <v>5322071.1869000001</v>
      </c>
      <c r="E43" s="10">
        <v>5656610.2670999998</v>
      </c>
      <c r="F43" s="10">
        <v>952502.16960000002</v>
      </c>
      <c r="G43" s="10">
        <v>1281266.892</v>
      </c>
      <c r="H43" s="10">
        <v>3421625.4283400001</v>
      </c>
      <c r="I43" s="10">
        <v>1103471.031</v>
      </c>
      <c r="J43" s="10">
        <v>243209.72279999999</v>
      </c>
      <c r="K43" s="10">
        <v>853161.88199999998</v>
      </c>
      <c r="L43" s="10">
        <v>658641.46959999995</v>
      </c>
      <c r="M43" s="10">
        <v>833430.18</v>
      </c>
      <c r="N43" s="10">
        <v>256925.79019999999</v>
      </c>
      <c r="O43" s="10">
        <v>456488.6544</v>
      </c>
      <c r="P43" s="10">
        <v>753668.86588000006</v>
      </c>
      <c r="Q43" s="10">
        <v>794543.14</v>
      </c>
      <c r="R43" s="10">
        <v>885385.01280000003</v>
      </c>
      <c r="S43" s="10">
        <v>471168.05803999997</v>
      </c>
      <c r="T43" s="10">
        <v>1098595.10072</v>
      </c>
      <c r="U43" s="10">
        <v>1218730.3176800001</v>
      </c>
      <c r="V43" s="10">
        <v>1699790.75608</v>
      </c>
      <c r="W43" s="10">
        <v>513546.31479999999</v>
      </c>
      <c r="X43" s="10">
        <v>429290.46</v>
      </c>
      <c r="Y43" s="10">
        <v>1477325.7678</v>
      </c>
      <c r="Z43" s="10">
        <v>243142.41159999999</v>
      </c>
      <c r="AA43" s="10">
        <v>628364.38800000004</v>
      </c>
      <c r="AB43" s="10">
        <v>178435.95120000001</v>
      </c>
      <c r="AC43" s="10"/>
      <c r="AD43" s="10">
        <v>180079.83300000001</v>
      </c>
      <c r="AE43" s="10">
        <v>372353.402</v>
      </c>
      <c r="AF43" s="10"/>
    </row>
    <row r="44" spans="1:32" x14ac:dyDescent="0.35">
      <c r="A44" s="8">
        <v>46121</v>
      </c>
      <c r="B44" s="9">
        <v>49446948.111259997</v>
      </c>
      <c r="C44" s="10">
        <v>14412191.820699999</v>
      </c>
      <c r="D44" s="10">
        <v>4822859.5813999996</v>
      </c>
      <c r="E44" s="10">
        <v>8783233.4496599995</v>
      </c>
      <c r="F44" s="10">
        <v>1533956.2842000001</v>
      </c>
      <c r="G44" s="10">
        <v>2429590.66812</v>
      </c>
      <c r="H44" s="10">
        <v>3458415.1990200002</v>
      </c>
      <c r="I44" s="10">
        <v>227231.6888</v>
      </c>
      <c r="J44" s="10">
        <v>202566.04139999999</v>
      </c>
      <c r="K44" s="10">
        <v>1098768.3610799999</v>
      </c>
      <c r="L44" s="10">
        <v>181567.21814000001</v>
      </c>
      <c r="M44" s="10">
        <v>1330045.95</v>
      </c>
      <c r="N44" s="10">
        <v>458064.33039999998</v>
      </c>
      <c r="O44" s="10">
        <v>2000570.3404000001</v>
      </c>
      <c r="P44" s="10">
        <v>466785.77055999998</v>
      </c>
      <c r="Q44" s="10">
        <v>1370025.8637999999</v>
      </c>
      <c r="R44" s="10">
        <v>592688.1202</v>
      </c>
      <c r="S44" s="10">
        <v>322687.78288000001</v>
      </c>
      <c r="T44" s="10">
        <v>893950.71834000002</v>
      </c>
      <c r="U44" s="10">
        <v>1017272.669</v>
      </c>
      <c r="V44" s="10">
        <v>1419280.3742800001</v>
      </c>
      <c r="W44" s="10">
        <v>344876.6778</v>
      </c>
      <c r="X44" s="10">
        <v>402737.19439999998</v>
      </c>
      <c r="Y44" s="10">
        <v>868348.08799999999</v>
      </c>
      <c r="Z44" s="10">
        <v>96936.475999999995</v>
      </c>
      <c r="AA44" s="10">
        <v>305827.66080000001</v>
      </c>
      <c r="AB44" s="10">
        <v>99859.038</v>
      </c>
      <c r="AC44" s="10"/>
      <c r="AD44" s="10">
        <v>148184.15400000001</v>
      </c>
      <c r="AE44" s="10">
        <v>158426.58988000001</v>
      </c>
      <c r="AF44" s="10"/>
    </row>
    <row r="45" spans="1:32" x14ac:dyDescent="0.35">
      <c r="A45" s="8">
        <v>46120</v>
      </c>
      <c r="B45" s="9">
        <v>72372360.565549999</v>
      </c>
      <c r="C45" s="10">
        <v>17490527.378800001</v>
      </c>
      <c r="D45" s="10">
        <v>10037261.322000001</v>
      </c>
      <c r="E45" s="10">
        <v>9891686.2464000005</v>
      </c>
      <c r="F45" s="10">
        <v>2011550.5714</v>
      </c>
      <c r="G45" s="10">
        <v>3624323.5910999998</v>
      </c>
      <c r="H45" s="10">
        <v>2597170.7361599999</v>
      </c>
      <c r="I45" s="10">
        <v>2514293.1935999999</v>
      </c>
      <c r="J45" s="10">
        <v>381098.06559999997</v>
      </c>
      <c r="K45" s="10">
        <v>570472.96779999998</v>
      </c>
      <c r="L45" s="10">
        <v>355180.62527999998</v>
      </c>
      <c r="M45" s="10">
        <v>3836099.5924</v>
      </c>
      <c r="N45" s="10">
        <v>259572.59099999999</v>
      </c>
      <c r="O45" s="10">
        <v>5708985.2039999999</v>
      </c>
      <c r="P45" s="10">
        <v>1237393.0919999999</v>
      </c>
      <c r="Q45" s="10">
        <v>4489547.8607999999</v>
      </c>
      <c r="R45" s="10">
        <v>275563.12680000003</v>
      </c>
      <c r="S45" s="10">
        <v>383428.85784000001</v>
      </c>
      <c r="T45" s="10">
        <v>156275.80267</v>
      </c>
      <c r="U45" s="10">
        <v>1012756.36976</v>
      </c>
      <c r="V45" s="10">
        <v>1164663.48288</v>
      </c>
      <c r="W45" s="10">
        <v>617062.53700000001</v>
      </c>
      <c r="X45" s="10">
        <v>258085.06880000001</v>
      </c>
      <c r="Y45" s="10">
        <v>1475318.1115999999</v>
      </c>
      <c r="Z45" s="10">
        <v>110843.46</v>
      </c>
      <c r="AA45" s="10">
        <v>309560.51</v>
      </c>
      <c r="AB45" s="10">
        <v>264935.14740000002</v>
      </c>
      <c r="AC45" s="10"/>
      <c r="AD45" s="10">
        <v>265863.54476000002</v>
      </c>
      <c r="AE45" s="10">
        <v>1072841.5077</v>
      </c>
      <c r="AF45" s="10"/>
    </row>
    <row r="46" spans="1:32" x14ac:dyDescent="0.35">
      <c r="A46" s="8">
        <v>46119</v>
      </c>
      <c r="B46" s="9">
        <v>141247103.60662001</v>
      </c>
      <c r="C46" s="10">
        <v>36005206.937700003</v>
      </c>
      <c r="D46" s="10">
        <v>35919325.341899998</v>
      </c>
      <c r="E46" s="10">
        <v>14340518.4822</v>
      </c>
      <c r="F46" s="10">
        <v>2291788.2988</v>
      </c>
      <c r="G46" s="10">
        <v>7038098.1025</v>
      </c>
      <c r="H46" s="10">
        <v>4433713.9000000004</v>
      </c>
      <c r="I46" s="10">
        <v>5238108.7775999997</v>
      </c>
      <c r="J46" s="10">
        <v>1763583.1416</v>
      </c>
      <c r="K46" s="10">
        <v>3887152.73184</v>
      </c>
      <c r="L46" s="10">
        <v>328050.80832000001</v>
      </c>
      <c r="M46" s="10">
        <v>6247970.9943000004</v>
      </c>
      <c r="N46" s="10">
        <v>801783.29</v>
      </c>
      <c r="O46" s="10">
        <v>9609190.1900999993</v>
      </c>
      <c r="P46" s="10">
        <v>297632.10246000002</v>
      </c>
      <c r="Q46" s="10">
        <v>4985874.8279999997</v>
      </c>
      <c r="R46" s="10">
        <v>978592.81</v>
      </c>
      <c r="S46" s="10">
        <v>741975.28734000004</v>
      </c>
      <c r="T46" s="10">
        <v>315436.63913999998</v>
      </c>
      <c r="U46" s="10">
        <v>220845.16536000001</v>
      </c>
      <c r="V46" s="10">
        <v>496477.69968000002</v>
      </c>
      <c r="W46" s="10">
        <v>1225267.1340000001</v>
      </c>
      <c r="X46" s="10">
        <v>553332.75199999998</v>
      </c>
      <c r="Y46" s="10">
        <v>1756125.3348000001</v>
      </c>
      <c r="Z46" s="10">
        <v>428477.4228</v>
      </c>
      <c r="AA46" s="10">
        <v>291684.87800000003</v>
      </c>
      <c r="AB46" s="10">
        <v>205662.06</v>
      </c>
      <c r="AC46" s="10"/>
      <c r="AD46" s="10">
        <v>309525.3</v>
      </c>
      <c r="AE46" s="10">
        <v>535703.19617999997</v>
      </c>
      <c r="AF46" s="10"/>
    </row>
    <row r="47" spans="1:32" x14ac:dyDescent="0.35">
      <c r="A47" s="8">
        <v>46118</v>
      </c>
      <c r="B47" s="9">
        <v>72517095.432710007</v>
      </c>
      <c r="C47" s="10">
        <v>22618775.713500001</v>
      </c>
      <c r="D47" s="10">
        <v>14242470.467599999</v>
      </c>
      <c r="E47" s="10">
        <v>5268785.9260799997</v>
      </c>
      <c r="F47" s="10">
        <v>2816320.1904000002</v>
      </c>
      <c r="G47" s="10">
        <v>5275134.9622400003</v>
      </c>
      <c r="H47" s="10">
        <v>2795001.3043999998</v>
      </c>
      <c r="I47" s="10">
        <v>2242395.3744000001</v>
      </c>
      <c r="J47" s="10">
        <v>222274.6624</v>
      </c>
      <c r="K47" s="10">
        <v>1204472.1852800001</v>
      </c>
      <c r="L47" s="10">
        <v>238144.01981999999</v>
      </c>
      <c r="M47" s="10">
        <v>996515.30220000003</v>
      </c>
      <c r="N47" s="10">
        <v>402715.95640000002</v>
      </c>
      <c r="O47" s="10">
        <v>1920350.0988</v>
      </c>
      <c r="P47" s="10">
        <v>418330.11511999997</v>
      </c>
      <c r="Q47" s="10">
        <v>1330325.4624000001</v>
      </c>
      <c r="R47" s="10">
        <v>2385591.3067999999</v>
      </c>
      <c r="S47" s="10">
        <v>530253.15618000005</v>
      </c>
      <c r="T47" s="10">
        <v>78485.138590000002</v>
      </c>
      <c r="U47" s="10">
        <v>362120.44007999997</v>
      </c>
      <c r="V47" s="10">
        <v>263394.20899999997</v>
      </c>
      <c r="W47" s="10">
        <v>165984.99960000001</v>
      </c>
      <c r="X47" s="10">
        <v>424737.49599999998</v>
      </c>
      <c r="Y47" s="10">
        <v>1591043.1328</v>
      </c>
      <c r="Z47" s="10">
        <v>451575.43599999999</v>
      </c>
      <c r="AA47" s="10">
        <v>576608.50040000002</v>
      </c>
      <c r="AB47" s="10">
        <v>673422.78220000002</v>
      </c>
      <c r="AC47" s="10"/>
      <c r="AD47" s="10">
        <v>282059.04149999999</v>
      </c>
      <c r="AE47" s="10">
        <v>2739808.0525199999</v>
      </c>
      <c r="AF47" s="10"/>
    </row>
    <row r="48" spans="1:32" x14ac:dyDescent="0.35">
      <c r="A48" s="8">
        <v>46117</v>
      </c>
      <c r="B48" s="9">
        <v>46235037.529509999</v>
      </c>
      <c r="C48" s="10">
        <v>19305458.0649</v>
      </c>
      <c r="D48" s="10">
        <v>6428394.5373</v>
      </c>
      <c r="E48" s="10">
        <v>1813143.534</v>
      </c>
      <c r="F48" s="10">
        <v>2667070.0715999999</v>
      </c>
      <c r="G48" s="10">
        <v>2638646.4959200001</v>
      </c>
      <c r="H48" s="10">
        <v>828896.54616000003</v>
      </c>
      <c r="I48" s="10">
        <v>1254734.3651999999</v>
      </c>
      <c r="J48" s="10">
        <v>401108.31020000001</v>
      </c>
      <c r="K48" s="10">
        <v>409387.52750000003</v>
      </c>
      <c r="L48" s="10">
        <v>93121.271720000004</v>
      </c>
      <c r="M48" s="10">
        <v>1022145.0252</v>
      </c>
      <c r="N48" s="10">
        <v>72264.851999999999</v>
      </c>
      <c r="O48" s="10">
        <v>1026781.9936</v>
      </c>
      <c r="P48" s="10">
        <v>106454.30250000001</v>
      </c>
      <c r="Q48" s="10">
        <v>1687963.2180000001</v>
      </c>
      <c r="R48" s="10">
        <v>2212892.352</v>
      </c>
      <c r="S48" s="10">
        <v>429522.97976000002</v>
      </c>
      <c r="T48" s="10">
        <v>223245.95757</v>
      </c>
      <c r="U48" s="10">
        <v>38142.428639999998</v>
      </c>
      <c r="V48" s="10">
        <v>219059.67327999999</v>
      </c>
      <c r="W48" s="10">
        <v>14353.518</v>
      </c>
      <c r="X48" s="10">
        <v>448604.23680000001</v>
      </c>
      <c r="Y48" s="10">
        <v>803544.13740000001</v>
      </c>
      <c r="Z48" s="10">
        <v>116743.9344</v>
      </c>
      <c r="AA48" s="10">
        <v>370290.49719999998</v>
      </c>
      <c r="AB48" s="10">
        <v>539943.77280000004</v>
      </c>
      <c r="AC48" s="10"/>
      <c r="AD48" s="10">
        <v>192861.04152</v>
      </c>
      <c r="AE48" s="10">
        <v>870262.88433999999</v>
      </c>
      <c r="AF48" s="10"/>
    </row>
    <row r="49" spans="1:32" x14ac:dyDescent="0.35">
      <c r="A49" s="8">
        <v>46116</v>
      </c>
      <c r="B49" s="9">
        <v>14028493.04864</v>
      </c>
      <c r="C49" s="10">
        <v>2662379.4548999998</v>
      </c>
      <c r="D49" s="10">
        <v>294167.83500000002</v>
      </c>
      <c r="E49" s="10">
        <v>1203469.6671200001</v>
      </c>
      <c r="F49" s="10">
        <v>108539.761</v>
      </c>
      <c r="G49" s="10">
        <v>98849.208639999997</v>
      </c>
      <c r="H49" s="10">
        <v>2110035.9855999998</v>
      </c>
      <c r="I49" s="10">
        <v>1715179.827</v>
      </c>
      <c r="J49" s="10">
        <v>12670.5936</v>
      </c>
      <c r="K49" s="10">
        <v>53755.894439999996</v>
      </c>
      <c r="L49" s="10">
        <v>33628.079100000003</v>
      </c>
      <c r="M49" s="10">
        <v>648344.76340000005</v>
      </c>
      <c r="N49" s="10">
        <v>31313.543799999999</v>
      </c>
      <c r="O49" s="10">
        <v>939569.28119999997</v>
      </c>
      <c r="P49" s="10">
        <v>51918.575360000003</v>
      </c>
      <c r="Q49" s="10">
        <v>1018985.2326</v>
      </c>
      <c r="R49" s="10">
        <v>421278.59159999999</v>
      </c>
      <c r="S49" s="10">
        <v>62111.38104</v>
      </c>
      <c r="T49" s="10">
        <v>238604.49322</v>
      </c>
      <c r="U49" s="10">
        <v>112453.16112</v>
      </c>
      <c r="V49" s="10">
        <v>322358.03382000001</v>
      </c>
      <c r="W49" s="10">
        <v>23616.254199999999</v>
      </c>
      <c r="X49" s="10">
        <v>110524.4176</v>
      </c>
      <c r="Y49" s="10">
        <v>211540.62899999999</v>
      </c>
      <c r="Z49" s="10">
        <v>239931.7176</v>
      </c>
      <c r="AA49" s="10">
        <v>264227.79599999997</v>
      </c>
      <c r="AB49" s="10">
        <v>58503.481800000001</v>
      </c>
      <c r="AC49" s="10"/>
      <c r="AD49" s="10">
        <v>268436.14056000003</v>
      </c>
      <c r="AE49" s="10">
        <v>712099.24832000001</v>
      </c>
      <c r="AF49" s="10"/>
    </row>
    <row r="50" spans="1:32" x14ac:dyDescent="0.35">
      <c r="A50" s="8">
        <v>46115</v>
      </c>
      <c r="B50" s="9">
        <v>21563108.195440002</v>
      </c>
      <c r="C50" s="10">
        <v>7648840.9321999997</v>
      </c>
      <c r="D50" s="10">
        <v>479430.77909999999</v>
      </c>
      <c r="E50" s="10">
        <v>2020222.1402</v>
      </c>
      <c r="F50" s="10">
        <v>415260.10399999999</v>
      </c>
      <c r="G50" s="10">
        <v>510110.13864000002</v>
      </c>
      <c r="H50" s="10">
        <v>1808948.91387</v>
      </c>
      <c r="I50" s="10">
        <v>291884.63160000002</v>
      </c>
      <c r="J50" s="10">
        <v>141149.55360000001</v>
      </c>
      <c r="K50" s="10">
        <v>208550.79336000001</v>
      </c>
      <c r="L50" s="10">
        <v>585297.72600000002</v>
      </c>
      <c r="M50" s="10">
        <v>2205714.6398</v>
      </c>
      <c r="N50" s="10">
        <v>181513.2352</v>
      </c>
      <c r="O50" s="10">
        <v>786095.75520000001</v>
      </c>
      <c r="P50" s="10">
        <v>24129.330399999999</v>
      </c>
      <c r="Q50" s="10">
        <v>1249661.0415000001</v>
      </c>
      <c r="R50" s="10">
        <v>137684.84520000001</v>
      </c>
      <c r="S50" s="10">
        <v>308594.14575999998</v>
      </c>
      <c r="T50" s="10">
        <v>603963.66151000001</v>
      </c>
      <c r="U50" s="10">
        <v>86402.908679999993</v>
      </c>
      <c r="V50" s="10">
        <v>217472.14423999999</v>
      </c>
      <c r="W50" s="10">
        <v>15328.467199999999</v>
      </c>
      <c r="X50" s="10">
        <v>275209.70880000002</v>
      </c>
      <c r="Y50" s="10">
        <v>488438.02120000002</v>
      </c>
      <c r="Z50" s="10">
        <v>284090.26799999998</v>
      </c>
      <c r="AA50" s="10">
        <v>166646.09520000001</v>
      </c>
      <c r="AB50" s="10">
        <v>36390.902399999999</v>
      </c>
      <c r="AC50" s="10"/>
      <c r="AD50" s="10">
        <v>237974.14608000001</v>
      </c>
      <c r="AE50" s="10">
        <v>148103.16649999999</v>
      </c>
      <c r="AF50" s="10"/>
    </row>
    <row r="51" spans="1:32" x14ac:dyDescent="0.35">
      <c r="A51" s="8">
        <v>46114</v>
      </c>
      <c r="B51" s="9">
        <v>76568827.563559994</v>
      </c>
      <c r="C51" s="10">
        <v>19968382.663800001</v>
      </c>
      <c r="D51" s="10">
        <v>6074478.7446999997</v>
      </c>
      <c r="E51" s="10">
        <v>10615872.96294</v>
      </c>
      <c r="F51" s="10">
        <v>2464672.4983999999</v>
      </c>
      <c r="G51" s="10">
        <v>6990335.8332799999</v>
      </c>
      <c r="H51" s="10">
        <v>1058449.9079700001</v>
      </c>
      <c r="I51" s="10">
        <v>3515875.9731999999</v>
      </c>
      <c r="J51" s="10">
        <v>306462.49400000001</v>
      </c>
      <c r="K51" s="10">
        <v>1906040.4734799999</v>
      </c>
      <c r="L51" s="10">
        <v>416716.37</v>
      </c>
      <c r="M51" s="10">
        <v>4494345.76</v>
      </c>
      <c r="N51" s="10">
        <v>148067.51800000001</v>
      </c>
      <c r="O51" s="10">
        <v>6988686.8870000001</v>
      </c>
      <c r="P51" s="10">
        <v>192366.34752000001</v>
      </c>
      <c r="Q51" s="10">
        <v>3967405.3728</v>
      </c>
      <c r="R51" s="10">
        <v>856950.26619999995</v>
      </c>
      <c r="S51" s="10">
        <v>560588.27633999998</v>
      </c>
      <c r="T51" s="10">
        <v>234605.13694999999</v>
      </c>
      <c r="U51" s="10">
        <v>1096305.5739200001</v>
      </c>
      <c r="V51" s="10">
        <v>1280339.7352199999</v>
      </c>
      <c r="W51" s="10">
        <v>123191.022</v>
      </c>
      <c r="X51" s="10">
        <v>275644.64020000002</v>
      </c>
      <c r="Y51" s="10">
        <v>848661.93</v>
      </c>
      <c r="Z51" s="10">
        <v>458298.09759999998</v>
      </c>
      <c r="AA51" s="10">
        <v>165253.4222</v>
      </c>
      <c r="AB51" s="10">
        <v>313029.70400000003</v>
      </c>
      <c r="AC51" s="10"/>
      <c r="AD51" s="10">
        <v>193363.99223999999</v>
      </c>
      <c r="AE51" s="10">
        <v>1054435.9595999999</v>
      </c>
      <c r="AF51" s="10"/>
    </row>
    <row r="52" spans="1:32" x14ac:dyDescent="0.35">
      <c r="A52" s="8">
        <v>46113</v>
      </c>
      <c r="B52" s="9">
        <v>66332986.006559998</v>
      </c>
      <c r="C52" s="10">
        <v>15264349.001</v>
      </c>
      <c r="D52" s="10">
        <v>8883153.2873999998</v>
      </c>
      <c r="E52" s="10">
        <v>5664517.2627600003</v>
      </c>
      <c r="F52" s="10">
        <v>2571442.2239999999</v>
      </c>
      <c r="G52" s="10">
        <v>5369371.8763199998</v>
      </c>
      <c r="H52" s="10">
        <v>2139904.17564</v>
      </c>
      <c r="I52" s="10">
        <v>4120866.1296000001</v>
      </c>
      <c r="J52" s="10">
        <v>152670.7996</v>
      </c>
      <c r="K52" s="10">
        <v>3164129.0682000001</v>
      </c>
      <c r="L52" s="10">
        <v>274884.09815999999</v>
      </c>
      <c r="M52" s="10">
        <v>1420515.1137000001</v>
      </c>
      <c r="N52" s="10">
        <v>1133904.3446</v>
      </c>
      <c r="O52" s="10">
        <v>4661342.5976</v>
      </c>
      <c r="P52" s="10">
        <v>151303.66596000001</v>
      </c>
      <c r="Q52" s="10">
        <v>3431444.3560000001</v>
      </c>
      <c r="R52" s="10">
        <v>398578.43680000002</v>
      </c>
      <c r="S52" s="10">
        <v>238722.69959999999</v>
      </c>
      <c r="T52" s="10">
        <v>89512.974799999996</v>
      </c>
      <c r="U52" s="10">
        <v>892098.27450000006</v>
      </c>
      <c r="V52" s="10">
        <v>875792.60846000002</v>
      </c>
      <c r="W52" s="10">
        <v>40202.092799999999</v>
      </c>
      <c r="X52" s="10">
        <v>145118.43780000001</v>
      </c>
      <c r="Y52" s="10">
        <v>702196.28500000003</v>
      </c>
      <c r="Z52" s="10">
        <v>326405.48460000003</v>
      </c>
      <c r="AA52" s="10">
        <v>121403.3504</v>
      </c>
      <c r="AB52" s="10">
        <v>2842345.7848</v>
      </c>
      <c r="AC52" s="10"/>
      <c r="AD52" s="10"/>
      <c r="AE52" s="10">
        <v>1256811.5764599999</v>
      </c>
      <c r="AF52" s="10"/>
    </row>
    <row r="53" spans="1:32" x14ac:dyDescent="0.35">
      <c r="A53" s="8">
        <v>46112</v>
      </c>
      <c r="B53" s="9">
        <v>84577372.393120006</v>
      </c>
      <c r="C53" s="10">
        <v>18230148.299600001</v>
      </c>
      <c r="D53" s="10">
        <v>9145515.8311000001</v>
      </c>
      <c r="E53" s="10">
        <v>13125036.0482</v>
      </c>
      <c r="F53" s="10">
        <v>1948016.1825999999</v>
      </c>
      <c r="G53" s="10">
        <v>9858918.3550000004</v>
      </c>
      <c r="H53" s="10">
        <v>6086418.7322699996</v>
      </c>
      <c r="I53" s="10">
        <v>5242354.9024</v>
      </c>
      <c r="J53" s="10">
        <v>365993.77600000001</v>
      </c>
      <c r="K53" s="10">
        <v>2343000.87684</v>
      </c>
      <c r="L53" s="10">
        <v>530764.53839999996</v>
      </c>
      <c r="M53" s="10">
        <v>1837135.7024000001</v>
      </c>
      <c r="N53" s="10">
        <v>595164.245</v>
      </c>
      <c r="O53" s="10">
        <v>4017364.4739999999</v>
      </c>
      <c r="P53" s="10">
        <v>193390.2934</v>
      </c>
      <c r="Q53" s="10">
        <v>2987722.7688000002</v>
      </c>
      <c r="R53" s="10">
        <v>927828.68640000001</v>
      </c>
      <c r="S53" s="10">
        <v>275642.07</v>
      </c>
      <c r="T53" s="10">
        <v>253345.13060999999</v>
      </c>
      <c r="U53" s="10">
        <v>721254.44215999998</v>
      </c>
      <c r="V53" s="10">
        <v>586347.92064000003</v>
      </c>
      <c r="W53" s="10">
        <v>88467.613800000006</v>
      </c>
      <c r="X53" s="10">
        <v>366073.80920000002</v>
      </c>
      <c r="Y53" s="10">
        <v>1530444.456</v>
      </c>
      <c r="Z53" s="10">
        <v>643256.06999999995</v>
      </c>
      <c r="AA53" s="10">
        <v>117349.69680000001</v>
      </c>
      <c r="AB53" s="10">
        <v>977216.64899999998</v>
      </c>
      <c r="AC53" s="10"/>
      <c r="AD53" s="10"/>
      <c r="AE53" s="10">
        <v>1583200.8225</v>
      </c>
      <c r="AF53" s="10"/>
    </row>
    <row r="54" spans="1:32" x14ac:dyDescent="0.35">
      <c r="A54" s="8">
        <v>46111</v>
      </c>
      <c r="B54" s="9">
        <v>80897213.436379999</v>
      </c>
      <c r="C54" s="10">
        <v>17935257.5792</v>
      </c>
      <c r="D54" s="10">
        <v>7975336.307</v>
      </c>
      <c r="E54" s="10">
        <v>14846457.99432</v>
      </c>
      <c r="F54" s="10">
        <v>1647624</v>
      </c>
      <c r="G54" s="10">
        <v>5674593.8739600005</v>
      </c>
      <c r="H54" s="10">
        <v>5632878.2108399998</v>
      </c>
      <c r="I54" s="10">
        <v>6173238.5</v>
      </c>
      <c r="J54" s="10">
        <v>407301.79300000001</v>
      </c>
      <c r="K54" s="10">
        <v>2562101.5830799998</v>
      </c>
      <c r="L54" s="10">
        <v>615522.32039999997</v>
      </c>
      <c r="M54" s="10">
        <v>1826987.3244</v>
      </c>
      <c r="N54" s="10">
        <v>1342412.9376000001</v>
      </c>
      <c r="O54" s="10">
        <v>2414820.9945</v>
      </c>
      <c r="P54" s="10">
        <v>1557263.55048</v>
      </c>
      <c r="Q54" s="10">
        <v>1539440.42</v>
      </c>
      <c r="R54" s="10">
        <v>391447.66560000001</v>
      </c>
      <c r="S54" s="10">
        <v>272670.60437999998</v>
      </c>
      <c r="T54" s="10">
        <v>160431.2403</v>
      </c>
      <c r="U54" s="10">
        <v>1340596.9855599999</v>
      </c>
      <c r="V54" s="10">
        <v>1082292.0449999999</v>
      </c>
      <c r="W54" s="10">
        <v>126277.694</v>
      </c>
      <c r="X54" s="10">
        <v>417152.71120000002</v>
      </c>
      <c r="Y54" s="10">
        <v>1564719.2575999999</v>
      </c>
      <c r="Z54" s="10">
        <v>304390.533</v>
      </c>
      <c r="AA54" s="10">
        <v>425676.99400000001</v>
      </c>
      <c r="AB54" s="10">
        <v>840489.58400000003</v>
      </c>
      <c r="AC54" s="10"/>
      <c r="AD54" s="10"/>
      <c r="AE54" s="10">
        <v>1819830.7329599999</v>
      </c>
      <c r="AF54" s="10"/>
    </row>
    <row r="55" spans="1:32" x14ac:dyDescent="0.35">
      <c r="A55" s="8">
        <v>46110</v>
      </c>
      <c r="B55" s="9">
        <v>38761304.590109996</v>
      </c>
      <c r="C55" s="10">
        <v>11429988.9954</v>
      </c>
      <c r="D55" s="10">
        <v>4211487.5615999997</v>
      </c>
      <c r="E55" s="10">
        <v>9037366.6347599998</v>
      </c>
      <c r="F55" s="10">
        <v>174158.73180000001</v>
      </c>
      <c r="G55" s="10">
        <v>331571.30207999999</v>
      </c>
      <c r="H55" s="10">
        <v>2985459.4659000002</v>
      </c>
      <c r="I55" s="10">
        <v>1294863.9635999999</v>
      </c>
      <c r="J55" s="10">
        <v>248373.2616</v>
      </c>
      <c r="K55" s="10">
        <v>1284495.0703</v>
      </c>
      <c r="L55" s="10">
        <v>497.20634000000001</v>
      </c>
      <c r="M55" s="10">
        <v>749214.90399999998</v>
      </c>
      <c r="N55" s="10">
        <v>343855.22840000002</v>
      </c>
      <c r="O55" s="10">
        <v>965250.6801</v>
      </c>
      <c r="P55" s="10">
        <v>867794.07252000005</v>
      </c>
      <c r="Q55" s="10">
        <v>236091.1</v>
      </c>
      <c r="R55" s="10">
        <v>665573.5932</v>
      </c>
      <c r="S55" s="10">
        <v>202682.56658000001</v>
      </c>
      <c r="T55" s="10">
        <v>228499.52411</v>
      </c>
      <c r="U55" s="10">
        <v>1294351.0830000001</v>
      </c>
      <c r="V55" s="10">
        <v>638942.18850000005</v>
      </c>
      <c r="W55" s="10">
        <v>394.76</v>
      </c>
      <c r="X55" s="10">
        <v>71520.34</v>
      </c>
      <c r="Y55" s="10">
        <v>278022.1888</v>
      </c>
      <c r="Z55" s="10">
        <v>82320.038400000005</v>
      </c>
      <c r="AA55" s="10">
        <v>45110.8416</v>
      </c>
      <c r="AB55" s="10">
        <v>271472.64079999999</v>
      </c>
      <c r="AC55" s="10"/>
      <c r="AD55" s="10"/>
      <c r="AE55" s="10">
        <v>821946.64671999996</v>
      </c>
      <c r="AF55" s="10"/>
    </row>
    <row r="56" spans="1:32" x14ac:dyDescent="0.35">
      <c r="A56" s="8">
        <v>46109</v>
      </c>
      <c r="B56" s="9">
        <v>31692532.201639999</v>
      </c>
      <c r="C56" s="10">
        <v>4555834.9073000001</v>
      </c>
      <c r="D56" s="10">
        <v>509652.80969999998</v>
      </c>
      <c r="E56" s="10">
        <v>11624263.677440001</v>
      </c>
      <c r="F56" s="10">
        <v>510107.34</v>
      </c>
      <c r="G56" s="10">
        <v>376983.86748000002</v>
      </c>
      <c r="H56" s="10">
        <v>1151139.2508</v>
      </c>
      <c r="I56" s="10">
        <v>3698409.1423999998</v>
      </c>
      <c r="J56" s="10">
        <v>211941.981</v>
      </c>
      <c r="K56" s="10">
        <v>212281.80426</v>
      </c>
      <c r="L56" s="10">
        <v>83163.984200000006</v>
      </c>
      <c r="M56" s="10">
        <v>562914.00269999995</v>
      </c>
      <c r="N56" s="10">
        <v>213697.212</v>
      </c>
      <c r="O56" s="10">
        <v>1314772.1954999999</v>
      </c>
      <c r="P56" s="10">
        <v>1129079.8223999999</v>
      </c>
      <c r="Q56" s="10">
        <v>107074.2175</v>
      </c>
      <c r="R56" s="10">
        <v>840592.321</v>
      </c>
      <c r="S56" s="10">
        <v>270342.8014</v>
      </c>
      <c r="T56" s="10">
        <v>39736.848839999999</v>
      </c>
      <c r="U56" s="10">
        <v>708131.39939999999</v>
      </c>
      <c r="V56" s="10">
        <v>2048855.4712400001</v>
      </c>
      <c r="W56" s="10">
        <v>7637.0871999999999</v>
      </c>
      <c r="X56" s="10">
        <v>51415.885999999999</v>
      </c>
      <c r="Y56" s="10">
        <v>465477.99479999999</v>
      </c>
      <c r="Z56" s="10">
        <v>184863.36480000001</v>
      </c>
      <c r="AA56" s="10">
        <v>268612.83840000001</v>
      </c>
      <c r="AB56" s="10">
        <v>97374.423999999999</v>
      </c>
      <c r="AC56" s="10"/>
      <c r="AD56" s="10"/>
      <c r="AE56" s="10">
        <v>448175.54988000001</v>
      </c>
      <c r="AF56" s="10"/>
    </row>
    <row r="57" spans="1:32" x14ac:dyDescent="0.35">
      <c r="A57" s="8">
        <v>46108</v>
      </c>
      <c r="B57" s="9">
        <v>78954352.201069996</v>
      </c>
      <c r="C57" s="10">
        <v>14714325.3891</v>
      </c>
      <c r="D57" s="10">
        <v>10435059.682499999</v>
      </c>
      <c r="E57" s="10">
        <v>16952158.213059999</v>
      </c>
      <c r="F57" s="10">
        <v>2398428.8032</v>
      </c>
      <c r="G57" s="10">
        <v>6357393.9856799999</v>
      </c>
      <c r="H57" s="10">
        <v>4494487.4450000003</v>
      </c>
      <c r="I57" s="10">
        <v>2715441.5809999998</v>
      </c>
      <c r="J57" s="10">
        <v>185654.89799999999</v>
      </c>
      <c r="K57" s="10">
        <v>2941595.3939200002</v>
      </c>
      <c r="L57" s="10">
        <v>330576.64127999998</v>
      </c>
      <c r="M57" s="10">
        <v>1058422.0837000001</v>
      </c>
      <c r="N57" s="10">
        <v>874128.84640000004</v>
      </c>
      <c r="O57" s="10">
        <v>3329075.9750000001</v>
      </c>
      <c r="P57" s="10">
        <v>810806.58288</v>
      </c>
      <c r="Q57" s="10">
        <v>1225925.0545999999</v>
      </c>
      <c r="R57" s="10">
        <v>2783991.4479999999</v>
      </c>
      <c r="S57" s="10">
        <v>428360.57189999998</v>
      </c>
      <c r="T57" s="10">
        <v>164446.66136999999</v>
      </c>
      <c r="U57" s="10">
        <v>192445.12898000001</v>
      </c>
      <c r="V57" s="10">
        <v>1198889.4614800001</v>
      </c>
      <c r="W57" s="10">
        <v>113239.928</v>
      </c>
      <c r="X57" s="10">
        <v>1042582.8909999999</v>
      </c>
      <c r="Y57" s="10">
        <v>244337.91759999999</v>
      </c>
      <c r="Z57" s="10">
        <v>378785.902</v>
      </c>
      <c r="AA57" s="10">
        <v>977221.47</v>
      </c>
      <c r="AB57" s="10">
        <v>637992.16319999995</v>
      </c>
      <c r="AC57" s="10"/>
      <c r="AD57" s="10"/>
      <c r="AE57" s="10">
        <v>1968578.08222</v>
      </c>
      <c r="AF57" s="10"/>
    </row>
    <row r="58" spans="1:32" x14ac:dyDescent="0.35">
      <c r="A58" s="8">
        <v>46107</v>
      </c>
      <c r="B58" s="9">
        <v>98909724.378549993</v>
      </c>
      <c r="C58" s="10">
        <v>27387286.608100001</v>
      </c>
      <c r="D58" s="10">
        <v>23815830.3695</v>
      </c>
      <c r="E58" s="10">
        <v>10447718.6775</v>
      </c>
      <c r="F58" s="10">
        <v>4926144.8952000001</v>
      </c>
      <c r="G58" s="10">
        <v>9109489.1462399997</v>
      </c>
      <c r="H58" s="10">
        <v>3722244.85836</v>
      </c>
      <c r="I58" s="10">
        <v>2610852.4909999999</v>
      </c>
      <c r="J58" s="10">
        <v>425323.038</v>
      </c>
      <c r="K58" s="10">
        <v>2220581.9510400002</v>
      </c>
      <c r="L58" s="10">
        <v>214301.12184000001</v>
      </c>
      <c r="M58" s="10">
        <v>864081.19640000002</v>
      </c>
      <c r="N58" s="10">
        <v>532899.40800000005</v>
      </c>
      <c r="O58" s="10">
        <v>1822991.5644</v>
      </c>
      <c r="P58" s="10">
        <v>1109392.9055999999</v>
      </c>
      <c r="Q58" s="10">
        <v>2934388.1688000001</v>
      </c>
      <c r="R58" s="10">
        <v>1100508.1991999999</v>
      </c>
      <c r="S58" s="10">
        <v>345926.9056</v>
      </c>
      <c r="T58" s="10">
        <v>242659.31109</v>
      </c>
      <c r="U58" s="10">
        <v>253221.97777999999</v>
      </c>
      <c r="V58" s="10">
        <v>741515.95770000003</v>
      </c>
      <c r="W58" s="10">
        <v>363446.61599999998</v>
      </c>
      <c r="X58" s="10">
        <v>1358910.2083999999</v>
      </c>
      <c r="Y58" s="10">
        <v>522686.53580000001</v>
      </c>
      <c r="Z58" s="10">
        <v>234978.9112</v>
      </c>
      <c r="AA58" s="10">
        <v>878781.35019999999</v>
      </c>
      <c r="AB58" s="10">
        <v>576426.86640000006</v>
      </c>
      <c r="AC58" s="10"/>
      <c r="AD58" s="10"/>
      <c r="AE58" s="10">
        <v>147135.13920000001</v>
      </c>
      <c r="AF58" s="10"/>
    </row>
    <row r="59" spans="1:32" x14ac:dyDescent="0.35">
      <c r="A59" s="8">
        <v>46106</v>
      </c>
      <c r="B59" s="9">
        <v>84025292.318399996</v>
      </c>
      <c r="C59" s="10">
        <v>26431104.3332</v>
      </c>
      <c r="D59" s="10">
        <v>14518410.486</v>
      </c>
      <c r="E59" s="10">
        <v>13612632.1698</v>
      </c>
      <c r="F59" s="10">
        <v>2284457.1173999999</v>
      </c>
      <c r="G59" s="10">
        <v>5882786.7035400001</v>
      </c>
      <c r="H59" s="10">
        <v>5580814.1535999998</v>
      </c>
      <c r="I59" s="10">
        <v>2113737.12</v>
      </c>
      <c r="J59" s="10">
        <v>398477.5576</v>
      </c>
      <c r="K59" s="10">
        <v>1121680.1088</v>
      </c>
      <c r="L59" s="10">
        <v>262531.61550000001</v>
      </c>
      <c r="M59" s="10">
        <v>512882.36580000003</v>
      </c>
      <c r="N59" s="10">
        <v>1394760.3446</v>
      </c>
      <c r="O59" s="10">
        <v>3078448.5885999999</v>
      </c>
      <c r="P59" s="10">
        <v>272809.96260000003</v>
      </c>
      <c r="Q59" s="10">
        <v>683215.77260000003</v>
      </c>
      <c r="R59" s="10">
        <v>847122.56640000001</v>
      </c>
      <c r="S59" s="10">
        <v>528392.33550000004</v>
      </c>
      <c r="T59" s="10">
        <v>554266.40040000004</v>
      </c>
      <c r="U59" s="10">
        <v>193426.22784000001</v>
      </c>
      <c r="V59" s="10">
        <v>808356.27402000001</v>
      </c>
      <c r="W59" s="10">
        <v>42559.697999999997</v>
      </c>
      <c r="X59" s="10">
        <v>966393.022</v>
      </c>
      <c r="Y59" s="10">
        <v>529721.13459999999</v>
      </c>
      <c r="Z59" s="10">
        <v>465480.05359999998</v>
      </c>
      <c r="AA59" s="10">
        <v>649963.12639999995</v>
      </c>
      <c r="AB59" s="10">
        <v>290863.08</v>
      </c>
      <c r="AC59" s="10"/>
      <c r="AD59" s="10"/>
      <c r="AE59" s="10"/>
      <c r="AF59" s="10"/>
    </row>
    <row r="60" spans="1:32" x14ac:dyDescent="0.35">
      <c r="A60" s="8">
        <v>46105</v>
      </c>
      <c r="B60" s="9">
        <v>100889807.69434001</v>
      </c>
      <c r="C60" s="10">
        <v>33658175.343099996</v>
      </c>
      <c r="D60" s="10">
        <v>26207476.327599999</v>
      </c>
      <c r="E60" s="10">
        <v>9445051.7004000004</v>
      </c>
      <c r="F60" s="10">
        <v>3956740.2719999999</v>
      </c>
      <c r="G60" s="10">
        <v>7810362.9259599997</v>
      </c>
      <c r="H60" s="10">
        <v>2814700.3632</v>
      </c>
      <c r="I60" s="10">
        <v>1331223.0120000001</v>
      </c>
      <c r="J60" s="10">
        <v>457029.87599999999</v>
      </c>
      <c r="K60" s="10">
        <v>1113794.1906000001</v>
      </c>
      <c r="L60" s="10">
        <v>172525.36919999999</v>
      </c>
      <c r="M60" s="10">
        <v>993681.3</v>
      </c>
      <c r="N60" s="10">
        <v>1189604.9879999999</v>
      </c>
      <c r="O60" s="10">
        <v>3314975.6408000002</v>
      </c>
      <c r="P60" s="10">
        <v>418587.42047999997</v>
      </c>
      <c r="Q60" s="10">
        <v>1709418.4820999999</v>
      </c>
      <c r="R60" s="10">
        <v>780819.74159999995</v>
      </c>
      <c r="S60" s="10">
        <v>491835.53253999999</v>
      </c>
      <c r="T60" s="10">
        <v>823853.15754000004</v>
      </c>
      <c r="U60" s="10">
        <v>437898.33990000002</v>
      </c>
      <c r="V60" s="10">
        <v>430730.47992000001</v>
      </c>
      <c r="W60" s="10">
        <v>75763.423999999999</v>
      </c>
      <c r="X60" s="10">
        <v>1248956.2008</v>
      </c>
      <c r="Y60" s="10">
        <v>339281.8688</v>
      </c>
      <c r="Z60" s="10">
        <v>431897.05440000002</v>
      </c>
      <c r="AA60" s="10">
        <v>594581.9706</v>
      </c>
      <c r="AB60" s="10">
        <v>640842.71279999998</v>
      </c>
      <c r="AC60" s="10"/>
      <c r="AD60" s="10"/>
      <c r="AE60" s="10"/>
      <c r="AF60" s="10"/>
    </row>
    <row r="61" spans="1:32" x14ac:dyDescent="0.35">
      <c r="A61" s="8">
        <v>46104</v>
      </c>
      <c r="B61" s="9">
        <v>233591752.12621999</v>
      </c>
      <c r="C61" s="10">
        <v>82238198.828500003</v>
      </c>
      <c r="D61" s="10">
        <v>51342093.188100003</v>
      </c>
      <c r="E61" s="10">
        <v>20382601.641800001</v>
      </c>
      <c r="F61" s="10">
        <v>9576053.6231999993</v>
      </c>
      <c r="G61" s="10">
        <v>10494111.76792</v>
      </c>
      <c r="H61" s="10">
        <v>9402340.3953600004</v>
      </c>
      <c r="I61" s="10">
        <v>4446592.8656000001</v>
      </c>
      <c r="J61" s="10">
        <v>728111.88</v>
      </c>
      <c r="K61" s="10">
        <v>3156628.1081599998</v>
      </c>
      <c r="L61" s="10">
        <v>473104.61265999998</v>
      </c>
      <c r="M61" s="10">
        <v>3226677.9101999998</v>
      </c>
      <c r="N61" s="10">
        <v>2038247.8330000001</v>
      </c>
      <c r="O61" s="10">
        <v>8573604.5742000006</v>
      </c>
      <c r="P61" s="10">
        <v>1252979.4186</v>
      </c>
      <c r="Q61" s="10">
        <v>4921977.6222000001</v>
      </c>
      <c r="R61" s="10">
        <v>5096273.2690000003</v>
      </c>
      <c r="S61" s="10">
        <v>1789289.5036800001</v>
      </c>
      <c r="T61" s="10">
        <v>814166.04177999997</v>
      </c>
      <c r="U61" s="10">
        <v>954825.12017999997</v>
      </c>
      <c r="V61" s="10">
        <v>2029295.4364799999</v>
      </c>
      <c r="W61" s="10">
        <v>658371.78</v>
      </c>
      <c r="X61" s="10">
        <v>2000048.9992</v>
      </c>
      <c r="Y61" s="10">
        <v>2608535.2215999998</v>
      </c>
      <c r="Z61" s="10">
        <v>658595.96160000004</v>
      </c>
      <c r="AA61" s="10">
        <v>1944695.6880000001</v>
      </c>
      <c r="AB61" s="10">
        <v>2784330.8352000001</v>
      </c>
      <c r="AC61" s="10"/>
      <c r="AD61" s="10"/>
      <c r="AE61" s="10"/>
      <c r="AF61" s="10"/>
    </row>
    <row r="62" spans="1:32" x14ac:dyDescent="0.35">
      <c r="A62" s="8">
        <v>46103</v>
      </c>
      <c r="B62" s="9">
        <v>65303751.944770001</v>
      </c>
      <c r="C62" s="10">
        <v>17638640.0506</v>
      </c>
      <c r="D62" s="10">
        <v>4678343.1836000001</v>
      </c>
      <c r="E62" s="10">
        <v>6118345.8140000002</v>
      </c>
      <c r="F62" s="10">
        <v>928751.95360000001</v>
      </c>
      <c r="G62" s="10">
        <v>2023312.1143199999</v>
      </c>
      <c r="H62" s="10">
        <v>3473192.6102</v>
      </c>
      <c r="I62" s="10">
        <v>4485058.1836000001</v>
      </c>
      <c r="J62" s="10">
        <v>610468.75199999998</v>
      </c>
      <c r="K62" s="10">
        <v>1172118.74208</v>
      </c>
      <c r="L62" s="10">
        <v>109735.15826</v>
      </c>
      <c r="M62" s="10">
        <v>1292383.0578999999</v>
      </c>
      <c r="N62" s="10">
        <v>522367.08799999999</v>
      </c>
      <c r="O62" s="10">
        <v>3039734.2869000002</v>
      </c>
      <c r="P62" s="10">
        <v>936325.73479999998</v>
      </c>
      <c r="Q62" s="10">
        <v>1796220.58</v>
      </c>
      <c r="R62" s="10">
        <v>6993635.4019999998</v>
      </c>
      <c r="S62" s="10">
        <v>1764109.3331800001</v>
      </c>
      <c r="T62" s="10">
        <v>814898.78173000005</v>
      </c>
      <c r="U62" s="10">
        <v>349005.8799</v>
      </c>
      <c r="V62" s="10">
        <v>930269.68290000001</v>
      </c>
      <c r="W62" s="10">
        <v>190094.13639999999</v>
      </c>
      <c r="X62" s="10">
        <v>459087.14520000003</v>
      </c>
      <c r="Y62" s="10">
        <v>1097866.6980000001</v>
      </c>
      <c r="Z62" s="10">
        <v>501701.39399999997</v>
      </c>
      <c r="AA62" s="10">
        <v>914682.89879999997</v>
      </c>
      <c r="AB62" s="10">
        <v>2463403.2828000002</v>
      </c>
      <c r="AC62" s="10"/>
      <c r="AD62" s="10"/>
      <c r="AE62" s="10"/>
      <c r="AF62" s="10"/>
    </row>
    <row r="63" spans="1:32" x14ac:dyDescent="0.35">
      <c r="A63" s="8">
        <v>46102</v>
      </c>
      <c r="B63" s="9">
        <v>32007782.921780001</v>
      </c>
      <c r="C63" s="10">
        <v>7194869.9335000003</v>
      </c>
      <c r="D63" s="10">
        <v>862072.27590000001</v>
      </c>
      <c r="E63" s="10">
        <v>5571821.4293200001</v>
      </c>
      <c r="F63" s="10">
        <v>543274.64500000002</v>
      </c>
      <c r="G63" s="10">
        <v>990016.50803999999</v>
      </c>
      <c r="H63" s="10">
        <v>1729409.7699899999</v>
      </c>
      <c r="I63" s="10">
        <v>3728436.6253999998</v>
      </c>
      <c r="J63" s="10">
        <v>162185.00760000001</v>
      </c>
      <c r="K63" s="10">
        <v>377709.32984000002</v>
      </c>
      <c r="L63" s="10">
        <v>231259.11747999999</v>
      </c>
      <c r="M63" s="10">
        <v>884050.80599999998</v>
      </c>
      <c r="N63" s="10">
        <v>174681.03200000001</v>
      </c>
      <c r="O63" s="10">
        <v>1143282.7268999999</v>
      </c>
      <c r="P63" s="10">
        <v>1126969.51752</v>
      </c>
      <c r="Q63" s="10">
        <v>944477.48719999997</v>
      </c>
      <c r="R63" s="10">
        <v>822689.26359999995</v>
      </c>
      <c r="S63" s="10">
        <v>1061301.1057800001</v>
      </c>
      <c r="T63" s="10">
        <v>1104090.61727</v>
      </c>
      <c r="U63" s="10">
        <v>365378.24416</v>
      </c>
      <c r="V63" s="10">
        <v>869121.31727999996</v>
      </c>
      <c r="W63" s="10">
        <v>77237.382599999997</v>
      </c>
      <c r="X63" s="10">
        <v>294221.15100000001</v>
      </c>
      <c r="Y63" s="10">
        <v>502613.36959999998</v>
      </c>
      <c r="Z63" s="10">
        <v>387518.18959999998</v>
      </c>
      <c r="AA63" s="10">
        <v>514895.79239999998</v>
      </c>
      <c r="AB63" s="10">
        <v>344200.27679999999</v>
      </c>
      <c r="AC63" s="10"/>
      <c r="AD63" s="10"/>
      <c r="AE63" s="10"/>
      <c r="AF63" s="10"/>
    </row>
    <row r="64" spans="1:32" x14ac:dyDescent="0.35">
      <c r="A64" s="8">
        <v>46101</v>
      </c>
      <c r="B64" s="9">
        <v>80556100.225549996</v>
      </c>
      <c r="C64" s="10">
        <v>25309374.305799998</v>
      </c>
      <c r="D64" s="10">
        <v>13860395.6668</v>
      </c>
      <c r="E64" s="10">
        <v>2717409.6794400001</v>
      </c>
      <c r="F64" s="10">
        <v>3470383.5318</v>
      </c>
      <c r="G64" s="10">
        <v>6357808.4196600001</v>
      </c>
      <c r="H64" s="10">
        <v>2442738.6655700002</v>
      </c>
      <c r="I64" s="10">
        <v>4206011.1761999996</v>
      </c>
      <c r="J64" s="10">
        <v>856583.11080000002</v>
      </c>
      <c r="K64" s="10">
        <v>1319554.5710400001</v>
      </c>
      <c r="L64" s="10">
        <v>480243.11859999999</v>
      </c>
      <c r="M64" s="10">
        <v>2750081.5874999999</v>
      </c>
      <c r="N64" s="10">
        <v>1414599.9820000001</v>
      </c>
      <c r="O64" s="10">
        <v>3557885.6189999999</v>
      </c>
      <c r="P64" s="10">
        <v>770342.69480000006</v>
      </c>
      <c r="Q64" s="10">
        <v>3881831.9476999999</v>
      </c>
      <c r="R64" s="10">
        <v>574274.68799999997</v>
      </c>
      <c r="S64" s="10">
        <v>651905.84432000003</v>
      </c>
      <c r="T64" s="10">
        <v>693149.37691999995</v>
      </c>
      <c r="U64" s="10">
        <v>216209.88</v>
      </c>
      <c r="V64" s="10">
        <v>1009200.9276000001</v>
      </c>
      <c r="W64" s="10">
        <v>613782.576</v>
      </c>
      <c r="X64" s="10">
        <v>613913.66960000002</v>
      </c>
      <c r="Y64" s="10">
        <v>911396.90399999998</v>
      </c>
      <c r="Z64" s="10">
        <v>299466.12400000001</v>
      </c>
      <c r="AA64" s="10">
        <v>355493.84639999998</v>
      </c>
      <c r="AB64" s="10">
        <v>1222062.3119999999</v>
      </c>
      <c r="AC64" s="10"/>
      <c r="AD64" s="10"/>
      <c r="AE64" s="10"/>
      <c r="AF64" s="10"/>
    </row>
    <row r="65" spans="1:32" x14ac:dyDescent="0.35">
      <c r="A65" s="8">
        <v>46100</v>
      </c>
      <c r="B65" s="9">
        <v>111931047.45686001</v>
      </c>
      <c r="C65" s="10">
        <v>31262221.821699999</v>
      </c>
      <c r="D65" s="10">
        <v>41199645.265000001</v>
      </c>
      <c r="E65" s="10"/>
      <c r="F65" s="10">
        <v>4608405.4390000002</v>
      </c>
      <c r="G65" s="10">
        <v>5087745.1459600003</v>
      </c>
      <c r="H65" s="10">
        <v>5660361.9941999996</v>
      </c>
      <c r="I65" s="10">
        <v>631358.89599999995</v>
      </c>
      <c r="J65" s="10">
        <v>1199056.1041999999</v>
      </c>
      <c r="K65" s="10">
        <v>744892.02376000001</v>
      </c>
      <c r="L65" s="10">
        <v>505129.61365999997</v>
      </c>
      <c r="M65" s="10">
        <v>2687542.4380000001</v>
      </c>
      <c r="N65" s="10">
        <v>1220019.952</v>
      </c>
      <c r="O65" s="10">
        <v>2929225.0751999998</v>
      </c>
      <c r="P65" s="10">
        <v>1493660.5983</v>
      </c>
      <c r="Q65" s="10">
        <v>3598549.1184</v>
      </c>
      <c r="R65" s="10">
        <v>1500754.321</v>
      </c>
      <c r="S65" s="10">
        <v>659280.07908000005</v>
      </c>
      <c r="T65" s="10">
        <v>1440888.9616799999</v>
      </c>
      <c r="U65" s="10">
        <v>1155647.0091599999</v>
      </c>
      <c r="V65" s="10">
        <v>1088757.90276</v>
      </c>
      <c r="W65" s="10">
        <v>323987.09279999998</v>
      </c>
      <c r="X65" s="10">
        <v>1139811.1424</v>
      </c>
      <c r="Y65" s="10">
        <v>278240.84820000001</v>
      </c>
      <c r="Z65" s="10">
        <v>287239.27399999998</v>
      </c>
      <c r="AA65" s="10">
        <v>659959.89080000005</v>
      </c>
      <c r="AB65" s="10">
        <v>568667.44960000005</v>
      </c>
      <c r="AC65" s="10"/>
      <c r="AD65" s="10"/>
      <c r="AE65" s="10"/>
      <c r="AF65" s="10"/>
    </row>
    <row r="66" spans="1:32" x14ac:dyDescent="0.35">
      <c r="A66" s="8">
        <v>46099</v>
      </c>
      <c r="B66" s="9">
        <v>55818384.13352</v>
      </c>
      <c r="C66" s="10">
        <v>20255077.4353</v>
      </c>
      <c r="D66" s="10">
        <v>8838242.4177000001</v>
      </c>
      <c r="E66" s="10"/>
      <c r="F66" s="10">
        <v>2090294.91</v>
      </c>
      <c r="G66" s="10">
        <v>2767533.4830999998</v>
      </c>
      <c r="H66" s="10">
        <v>5033496.3541000001</v>
      </c>
      <c r="I66" s="10">
        <v>491686.48619999998</v>
      </c>
      <c r="J66" s="10">
        <v>384343.11</v>
      </c>
      <c r="K66" s="10">
        <v>395153.217</v>
      </c>
      <c r="L66" s="10">
        <v>193416.2928</v>
      </c>
      <c r="M66" s="10">
        <v>1257644.8896000001</v>
      </c>
      <c r="N66" s="10">
        <v>791432.71200000006</v>
      </c>
      <c r="O66" s="10">
        <v>2222138.0003999998</v>
      </c>
      <c r="P66" s="10">
        <v>245363.60251999999</v>
      </c>
      <c r="Q66" s="10">
        <v>2161568.6268000002</v>
      </c>
      <c r="R66" s="10">
        <v>2235933.0438000001</v>
      </c>
      <c r="S66" s="10">
        <v>538518.47478000005</v>
      </c>
      <c r="T66" s="10">
        <v>595621.84439999994</v>
      </c>
      <c r="U66" s="10">
        <v>2453074.7390200002</v>
      </c>
      <c r="V66" s="10">
        <v>834550.79399999999</v>
      </c>
      <c r="W66" s="10">
        <v>361838.65600000002</v>
      </c>
      <c r="X66" s="10">
        <v>408870.39179999998</v>
      </c>
      <c r="Y66" s="10">
        <v>342098.55680000002</v>
      </c>
      <c r="Z66" s="10">
        <v>239184</v>
      </c>
      <c r="AA66" s="10">
        <v>272211.27539999998</v>
      </c>
      <c r="AB66" s="10">
        <v>409090.82</v>
      </c>
      <c r="AC66" s="10"/>
      <c r="AD66" s="10"/>
      <c r="AE66" s="10"/>
      <c r="AF66" s="10"/>
    </row>
    <row r="67" spans="1:32" x14ac:dyDescent="0.35">
      <c r="A67" s="8">
        <v>46098</v>
      </c>
      <c r="B67" s="9">
        <v>32742108.214129999</v>
      </c>
      <c r="C67" s="10">
        <v>6816069.6502</v>
      </c>
      <c r="D67" s="10">
        <v>5920456.0793000003</v>
      </c>
      <c r="E67" s="10"/>
      <c r="F67" s="10">
        <v>1725994.8873999999</v>
      </c>
      <c r="G67" s="10">
        <v>910366.59117999999</v>
      </c>
      <c r="H67" s="10">
        <v>3065203.3324899999</v>
      </c>
      <c r="I67" s="10">
        <v>108282.93180000001</v>
      </c>
      <c r="J67" s="10">
        <v>181305.845</v>
      </c>
      <c r="K67" s="10">
        <v>556080.61132000003</v>
      </c>
      <c r="L67" s="10">
        <v>193906.44140000001</v>
      </c>
      <c r="M67" s="10">
        <v>1470128.4639000001</v>
      </c>
      <c r="N67" s="10">
        <v>571502.61140000005</v>
      </c>
      <c r="O67" s="10">
        <v>3326326.8253000001</v>
      </c>
      <c r="P67" s="10">
        <v>106361.29519999999</v>
      </c>
      <c r="Q67" s="10">
        <v>819454.93440000003</v>
      </c>
      <c r="R67" s="10">
        <v>1387473.4920000001</v>
      </c>
      <c r="S67" s="10">
        <v>456813.73440000002</v>
      </c>
      <c r="T67" s="10">
        <v>455353.23239999998</v>
      </c>
      <c r="U67" s="10">
        <v>840038.09967999998</v>
      </c>
      <c r="V67" s="10">
        <v>71032.857359999995</v>
      </c>
      <c r="W67" s="10">
        <v>195846.24</v>
      </c>
      <c r="X67" s="10">
        <v>1263845.4504</v>
      </c>
      <c r="Y67" s="10">
        <v>1060373.2104</v>
      </c>
      <c r="Z67" s="10">
        <v>451041.65820000001</v>
      </c>
      <c r="AA67" s="10">
        <v>474715.87199999997</v>
      </c>
      <c r="AB67" s="10">
        <v>314133.86700000003</v>
      </c>
      <c r="AC67" s="10"/>
      <c r="AD67" s="10"/>
      <c r="AE67" s="10"/>
      <c r="AF67" s="10"/>
    </row>
    <row r="68" spans="1:32" x14ac:dyDescent="0.35">
      <c r="A68" s="8">
        <v>46097</v>
      </c>
      <c r="B68" s="9">
        <v>57307549.828599997</v>
      </c>
      <c r="C68" s="10">
        <v>14115319.8474</v>
      </c>
      <c r="D68" s="10">
        <v>10220608.409</v>
      </c>
      <c r="E68" s="10"/>
      <c r="F68" s="10">
        <v>2163716.1601999998</v>
      </c>
      <c r="G68" s="10">
        <v>3427442.3810000001</v>
      </c>
      <c r="H68" s="10">
        <v>4951638.7857299997</v>
      </c>
      <c r="I68" s="10">
        <v>257108.7672</v>
      </c>
      <c r="J68" s="10">
        <v>378294.39899999998</v>
      </c>
      <c r="K68" s="10">
        <v>816595.15671999997</v>
      </c>
      <c r="L68" s="10">
        <v>182580.90852</v>
      </c>
      <c r="M68" s="10">
        <v>1253418.6351999999</v>
      </c>
      <c r="N68" s="10">
        <v>799551.97600000002</v>
      </c>
      <c r="O68" s="10">
        <v>4521456.8267999999</v>
      </c>
      <c r="P68" s="10">
        <v>5450.4259199999997</v>
      </c>
      <c r="Q68" s="10">
        <v>983558.95319999999</v>
      </c>
      <c r="R68" s="10">
        <v>3333414.0276000001</v>
      </c>
      <c r="S68" s="10">
        <v>768611.17264</v>
      </c>
      <c r="T68" s="10">
        <v>784405.11534999998</v>
      </c>
      <c r="U68" s="10">
        <v>1769094.8505599999</v>
      </c>
      <c r="V68" s="10">
        <v>1740225.4133599999</v>
      </c>
      <c r="W68" s="10">
        <v>238187.63279999999</v>
      </c>
      <c r="X68" s="10">
        <v>892522.50719999999</v>
      </c>
      <c r="Y68" s="10">
        <v>1758557.936</v>
      </c>
      <c r="Z68" s="10">
        <v>413920.3848</v>
      </c>
      <c r="AA68" s="10">
        <v>638311.83640000003</v>
      </c>
      <c r="AB68" s="10">
        <v>893557.32</v>
      </c>
      <c r="AC68" s="10"/>
      <c r="AD68" s="10"/>
      <c r="AE68" s="10"/>
      <c r="AF68" s="10"/>
    </row>
    <row r="69" spans="1:32" x14ac:dyDescent="0.35">
      <c r="A69" s="8">
        <v>46096</v>
      </c>
      <c r="B69" s="9">
        <v>44236157.832610004</v>
      </c>
      <c r="C69" s="10">
        <v>10350884.716399999</v>
      </c>
      <c r="D69" s="10">
        <v>3188613.6189999999</v>
      </c>
      <c r="E69" s="10"/>
      <c r="F69" s="10">
        <v>702454.04879999999</v>
      </c>
      <c r="G69" s="10">
        <v>2634012.1855199998</v>
      </c>
      <c r="H69" s="10">
        <v>5476660.40809</v>
      </c>
      <c r="I69" s="10">
        <v>1279605.4080000001</v>
      </c>
      <c r="J69" s="10">
        <v>575187.62399999995</v>
      </c>
      <c r="K69" s="10">
        <v>518045.89199999999</v>
      </c>
      <c r="L69" s="10">
        <v>30654.436799999999</v>
      </c>
      <c r="M69" s="10">
        <v>4411025.7768000001</v>
      </c>
      <c r="N69" s="10">
        <v>261857.86199999999</v>
      </c>
      <c r="O69" s="10">
        <v>2406935.1735999999</v>
      </c>
      <c r="P69" s="10"/>
      <c r="Q69" s="10">
        <v>2063408.7320000001</v>
      </c>
      <c r="R69" s="10">
        <v>3610235.2</v>
      </c>
      <c r="S69" s="10">
        <v>1382486.38148</v>
      </c>
      <c r="T69" s="10">
        <v>438743.32699999999</v>
      </c>
      <c r="U69" s="10">
        <v>70596.225720000002</v>
      </c>
      <c r="V69" s="10">
        <v>990276.95239999995</v>
      </c>
      <c r="W69" s="10">
        <v>66100.365999999995</v>
      </c>
      <c r="X69" s="10">
        <v>364578.49800000002</v>
      </c>
      <c r="Y69" s="10">
        <v>651682.71840000001</v>
      </c>
      <c r="Z69" s="10">
        <v>1105177.375</v>
      </c>
      <c r="AA69" s="10">
        <v>728582.87879999995</v>
      </c>
      <c r="AB69" s="10">
        <v>928352.02679999999</v>
      </c>
      <c r="AC69" s="10"/>
      <c r="AD69" s="10"/>
      <c r="AE69" s="10"/>
      <c r="AF69" s="10"/>
    </row>
    <row r="70" spans="1:32" x14ac:dyDescent="0.35">
      <c r="A70" s="8">
        <v>46095</v>
      </c>
      <c r="B70" s="9">
        <v>25397913.295510001</v>
      </c>
      <c r="C70" s="10">
        <v>4213354.2504000003</v>
      </c>
      <c r="D70" s="10">
        <v>1422561.16</v>
      </c>
      <c r="E70" s="10"/>
      <c r="F70" s="10">
        <v>294263.79800000001</v>
      </c>
      <c r="G70" s="10">
        <v>254408.82191999999</v>
      </c>
      <c r="H70" s="10">
        <v>2154172.59405</v>
      </c>
      <c r="I70" s="10">
        <v>778052.0098</v>
      </c>
      <c r="J70" s="10">
        <v>245487.33600000001</v>
      </c>
      <c r="K70" s="10">
        <v>20293.413359999999</v>
      </c>
      <c r="L70" s="10">
        <v>84022.894719999997</v>
      </c>
      <c r="M70" s="10">
        <v>1685903.4920000001</v>
      </c>
      <c r="N70" s="10">
        <v>1031778.9328</v>
      </c>
      <c r="O70" s="10">
        <v>5118407.1119999997</v>
      </c>
      <c r="P70" s="10"/>
      <c r="Q70" s="10">
        <v>2286441.9465000001</v>
      </c>
      <c r="R70" s="10">
        <v>683955.47640000004</v>
      </c>
      <c r="S70" s="10">
        <v>244121.18408000001</v>
      </c>
      <c r="T70" s="10">
        <v>551080.44640000002</v>
      </c>
      <c r="U70" s="10">
        <v>414209.40288000001</v>
      </c>
      <c r="V70" s="10">
        <v>958220.93</v>
      </c>
      <c r="W70" s="10">
        <v>91998.69</v>
      </c>
      <c r="X70" s="10">
        <v>381723.09</v>
      </c>
      <c r="Y70" s="10">
        <v>742830.20920000004</v>
      </c>
      <c r="Z70" s="10">
        <v>805718.2844</v>
      </c>
      <c r="AA70" s="10">
        <v>400564.11420000001</v>
      </c>
      <c r="AB70" s="10">
        <v>534343.70640000002</v>
      </c>
      <c r="AC70" s="10"/>
      <c r="AD70" s="10"/>
      <c r="AE70" s="10"/>
      <c r="AF7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31" width="14" customWidth="1"/>
  </cols>
  <sheetData>
    <row r="1" spans="1:31" x14ac:dyDescent="0.35">
      <c r="A1" s="1" t="s">
        <v>0</v>
      </c>
      <c r="C1" s="2" t="s">
        <v>1</v>
      </c>
      <c r="D1" s="3" t="s">
        <v>2</v>
      </c>
      <c r="E1" s="3" t="s">
        <v>2</v>
      </c>
      <c r="F1" s="2" t="s">
        <v>1</v>
      </c>
      <c r="G1" s="3" t="s">
        <v>2</v>
      </c>
      <c r="H1" s="2" t="s">
        <v>1</v>
      </c>
      <c r="I1" s="3" t="s">
        <v>2</v>
      </c>
      <c r="J1" s="2" t="s">
        <v>1</v>
      </c>
      <c r="K1" s="3" t="s">
        <v>2</v>
      </c>
      <c r="L1" s="2" t="s">
        <v>1</v>
      </c>
      <c r="M1" s="3" t="s">
        <v>2</v>
      </c>
      <c r="N1" s="3" t="s">
        <v>2</v>
      </c>
      <c r="O1" s="4" t="s">
        <v>3</v>
      </c>
      <c r="P1" s="3" t="s">
        <v>2</v>
      </c>
      <c r="Q1" s="4" t="s">
        <v>3</v>
      </c>
      <c r="R1" s="3" t="s">
        <v>2</v>
      </c>
      <c r="S1" s="2" t="s">
        <v>1</v>
      </c>
      <c r="T1" s="3" t="s">
        <v>2</v>
      </c>
      <c r="U1" s="3" t="s">
        <v>2</v>
      </c>
      <c r="V1" s="4" t="s">
        <v>3</v>
      </c>
      <c r="W1" s="3" t="s">
        <v>2</v>
      </c>
      <c r="X1" s="2" t="s">
        <v>1</v>
      </c>
      <c r="Y1" s="3" t="s">
        <v>2</v>
      </c>
      <c r="Z1" s="3" t="s">
        <v>2</v>
      </c>
      <c r="AA1" s="3" t="s">
        <v>2</v>
      </c>
      <c r="AB1" s="4" t="s">
        <v>3</v>
      </c>
      <c r="AC1" s="3" t="s">
        <v>2</v>
      </c>
      <c r="AD1" s="3" t="s">
        <v>2</v>
      </c>
      <c r="AE1" s="3" t="s">
        <v>2</v>
      </c>
    </row>
    <row r="2" spans="1:31" x14ac:dyDescent="0.35">
      <c r="A2" s="7" t="s">
        <v>6</v>
      </c>
      <c r="B2" s="7" t="s">
        <v>7</v>
      </c>
      <c r="C2" s="7" t="s">
        <v>8</v>
      </c>
      <c r="D2" s="7" t="s">
        <v>13</v>
      </c>
      <c r="E2" s="7" t="s">
        <v>21</v>
      </c>
      <c r="F2" s="7" t="s">
        <v>9</v>
      </c>
      <c r="G2" s="7" t="s">
        <v>18</v>
      </c>
      <c r="H2" s="7" t="s">
        <v>24</v>
      </c>
      <c r="I2" s="7" t="s">
        <v>12</v>
      </c>
      <c r="J2" s="7" t="s">
        <v>33</v>
      </c>
      <c r="K2" s="7" t="s">
        <v>17</v>
      </c>
      <c r="L2" s="7" t="s">
        <v>36</v>
      </c>
      <c r="M2" s="7" t="s">
        <v>19</v>
      </c>
      <c r="N2" s="7" t="s">
        <v>25</v>
      </c>
      <c r="O2" s="7" t="s">
        <v>20</v>
      </c>
      <c r="P2" s="7" t="s">
        <v>16</v>
      </c>
      <c r="Q2" s="7" t="s">
        <v>55</v>
      </c>
      <c r="R2" s="7" t="s">
        <v>31</v>
      </c>
      <c r="S2" s="7" t="s">
        <v>10</v>
      </c>
      <c r="T2" s="7" t="s">
        <v>27</v>
      </c>
      <c r="U2" s="7" t="s">
        <v>26</v>
      </c>
      <c r="V2" s="7" t="s">
        <v>34</v>
      </c>
      <c r="W2" s="7" t="s">
        <v>23</v>
      </c>
      <c r="X2" s="7" t="s">
        <v>22</v>
      </c>
      <c r="Y2" s="7" t="s">
        <v>14</v>
      </c>
      <c r="Z2" s="7" t="s">
        <v>37</v>
      </c>
      <c r="AA2" s="7" t="s">
        <v>15</v>
      </c>
      <c r="AB2" s="7" t="s">
        <v>28</v>
      </c>
      <c r="AC2" s="7" t="s">
        <v>32</v>
      </c>
      <c r="AD2" s="7" t="s">
        <v>41</v>
      </c>
      <c r="AE2" s="7" t="s">
        <v>39</v>
      </c>
    </row>
    <row r="3" spans="1:31" x14ac:dyDescent="0.35">
      <c r="A3" s="8">
        <v>46162</v>
      </c>
      <c r="B3" s="9">
        <v>112747983.77056</v>
      </c>
      <c r="C3" s="10">
        <v>70063058.238480002</v>
      </c>
      <c r="D3" s="10">
        <v>6094849.0027000001</v>
      </c>
      <c r="E3" s="10">
        <v>4557853.2437000005</v>
      </c>
      <c r="F3" s="10">
        <v>4492679.27666</v>
      </c>
      <c r="G3" s="10">
        <v>3064484.1579</v>
      </c>
      <c r="H3" s="10">
        <v>2058080.6666000001</v>
      </c>
      <c r="I3" s="10">
        <v>2355916.5690000001</v>
      </c>
      <c r="J3" s="10">
        <v>1675096.22786</v>
      </c>
      <c r="K3" s="10">
        <v>1682805.3944999999</v>
      </c>
      <c r="L3" s="10">
        <v>1457876.62626</v>
      </c>
      <c r="M3" s="10">
        <v>1027401.2389999999</v>
      </c>
      <c r="N3" s="10">
        <v>709652.11780000001</v>
      </c>
      <c r="O3" s="10">
        <v>985535.55390000006</v>
      </c>
      <c r="P3" s="10">
        <v>1186996.5526999999</v>
      </c>
      <c r="Q3" s="10">
        <v>945606.46790000005</v>
      </c>
      <c r="R3" s="10">
        <v>1026940.7317</v>
      </c>
      <c r="S3" s="10">
        <v>1792036.0493999999</v>
      </c>
      <c r="T3" s="10">
        <v>888494.43050000002</v>
      </c>
      <c r="U3" s="10">
        <v>552606.38520000002</v>
      </c>
      <c r="V3" s="10">
        <v>921838.91500000004</v>
      </c>
      <c r="W3" s="10">
        <v>789140.24650000001</v>
      </c>
      <c r="X3" s="10">
        <v>502667.49300000002</v>
      </c>
      <c r="Y3" s="10">
        <v>832041.05940000003</v>
      </c>
      <c r="Z3" s="10">
        <v>715240.46200000006</v>
      </c>
      <c r="AA3" s="10">
        <v>575697.80590000004</v>
      </c>
      <c r="AB3" s="10">
        <v>538233.67599999998</v>
      </c>
      <c r="AC3" s="10">
        <v>578110.96</v>
      </c>
      <c r="AD3" s="10">
        <v>444780.66509999998</v>
      </c>
      <c r="AE3" s="10">
        <v>232263.55590000001</v>
      </c>
    </row>
    <row r="4" spans="1:31" x14ac:dyDescent="0.35">
      <c r="A4" s="8">
        <v>46161</v>
      </c>
      <c r="B4" s="9">
        <v>136297693.35809001</v>
      </c>
      <c r="C4" s="10">
        <v>92528997.326519996</v>
      </c>
      <c r="D4" s="10">
        <v>6212770.7211999996</v>
      </c>
      <c r="E4" s="10">
        <v>4541289.2068999996</v>
      </c>
      <c r="F4" s="10">
        <v>4382849.9323100001</v>
      </c>
      <c r="G4" s="10">
        <v>3310338.3906</v>
      </c>
      <c r="H4" s="10">
        <v>2098229.6929700002</v>
      </c>
      <c r="I4" s="10">
        <v>2432386.8942</v>
      </c>
      <c r="J4" s="10">
        <v>1798532.94649</v>
      </c>
      <c r="K4" s="10">
        <v>1912763.7290000001</v>
      </c>
      <c r="L4" s="10">
        <v>1436641.3759999999</v>
      </c>
      <c r="M4" s="10">
        <v>1117255.7242999999</v>
      </c>
      <c r="N4" s="10">
        <v>770948.58510000003</v>
      </c>
      <c r="O4" s="10">
        <v>996008.71299999999</v>
      </c>
      <c r="P4" s="10">
        <v>1071756.3015999999</v>
      </c>
      <c r="Q4" s="10">
        <v>992296.2058</v>
      </c>
      <c r="R4" s="10">
        <v>1019840.8058</v>
      </c>
      <c r="S4" s="10">
        <v>1427013.8467999999</v>
      </c>
      <c r="T4" s="10">
        <v>887804.00080000004</v>
      </c>
      <c r="U4" s="10">
        <v>559568.92539999995</v>
      </c>
      <c r="V4" s="10">
        <v>1683914.6686</v>
      </c>
      <c r="W4" s="10">
        <v>860260.92209999997</v>
      </c>
      <c r="X4" s="10">
        <v>482871.38270000002</v>
      </c>
      <c r="Y4" s="10">
        <v>848489.05229999998</v>
      </c>
      <c r="Z4" s="10">
        <v>646540.45319999999</v>
      </c>
      <c r="AA4" s="10">
        <v>596383.30900000001</v>
      </c>
      <c r="AB4" s="10">
        <v>564750.94180000003</v>
      </c>
      <c r="AC4" s="10">
        <v>661557.23010000004</v>
      </c>
      <c r="AD4" s="10">
        <v>455632.0735</v>
      </c>
      <c r="AE4" s="10"/>
    </row>
    <row r="5" spans="1:31" x14ac:dyDescent="0.35">
      <c r="A5" s="8">
        <v>46160</v>
      </c>
      <c r="B5" s="9">
        <v>131646903.0042</v>
      </c>
      <c r="C5" s="10">
        <v>89832176.591030002</v>
      </c>
      <c r="D5" s="10">
        <v>5842169.8685999997</v>
      </c>
      <c r="E5" s="10">
        <v>4371102.3504999997</v>
      </c>
      <c r="F5" s="10">
        <v>3983738.88509</v>
      </c>
      <c r="G5" s="10">
        <v>3600467.9901000001</v>
      </c>
      <c r="H5" s="10">
        <v>1878415.3654799999</v>
      </c>
      <c r="I5" s="10">
        <v>2495911.0106000002</v>
      </c>
      <c r="J5" s="10">
        <v>1553793.4795200001</v>
      </c>
      <c r="K5" s="10">
        <v>1964185.6597</v>
      </c>
      <c r="L5" s="10">
        <v>1406792.5284800001</v>
      </c>
      <c r="M5" s="10">
        <v>1101024.3439</v>
      </c>
      <c r="N5" s="10">
        <v>694605.28969999996</v>
      </c>
      <c r="O5" s="10">
        <v>917989.90460000001</v>
      </c>
      <c r="P5" s="10">
        <v>1049199.4162000001</v>
      </c>
      <c r="Q5" s="10">
        <v>937383.2953</v>
      </c>
      <c r="R5" s="10">
        <v>1055028.0615000001</v>
      </c>
      <c r="S5" s="10">
        <v>1804797.3913</v>
      </c>
      <c r="T5" s="10">
        <v>888053.05319999997</v>
      </c>
      <c r="U5" s="10">
        <v>517025.52159999998</v>
      </c>
      <c r="V5" s="10">
        <v>850394.3517</v>
      </c>
      <c r="W5" s="10">
        <v>775749.41630000004</v>
      </c>
      <c r="X5" s="10">
        <v>393432.64929999999</v>
      </c>
      <c r="Y5" s="10">
        <v>801040.84030000004</v>
      </c>
      <c r="Z5" s="10">
        <v>624807.66150000005</v>
      </c>
      <c r="AA5" s="10">
        <v>690998.10360000003</v>
      </c>
      <c r="AB5" s="10">
        <v>535622.11580000003</v>
      </c>
      <c r="AC5" s="10">
        <v>668280.05949999997</v>
      </c>
      <c r="AD5" s="10">
        <v>412717.79979999998</v>
      </c>
      <c r="AE5" s="10"/>
    </row>
    <row r="6" spans="1:31" x14ac:dyDescent="0.35">
      <c r="A6" s="8">
        <v>46159</v>
      </c>
      <c r="B6" s="9">
        <v>51586626.139559999</v>
      </c>
      <c r="C6" s="10">
        <v>20386539.00169</v>
      </c>
      <c r="D6" s="10">
        <v>3410622.1038000002</v>
      </c>
      <c r="E6" s="10">
        <v>2437763.6318000001</v>
      </c>
      <c r="F6" s="10">
        <v>2356074.3621800002</v>
      </c>
      <c r="G6" s="10">
        <v>2294877.4833999998</v>
      </c>
      <c r="H6" s="10">
        <v>1205091.5285499999</v>
      </c>
      <c r="I6" s="10">
        <v>1356627.5707</v>
      </c>
      <c r="J6" s="10">
        <v>7695104.4685000004</v>
      </c>
      <c r="K6" s="10">
        <v>1052289.5375999999</v>
      </c>
      <c r="L6" s="10">
        <v>934121.44114000001</v>
      </c>
      <c r="M6" s="10">
        <v>731959.99349999998</v>
      </c>
      <c r="N6" s="10">
        <v>395631.6422</v>
      </c>
      <c r="O6" s="10">
        <v>726303.71299999999</v>
      </c>
      <c r="P6" s="10">
        <v>624486.80339999998</v>
      </c>
      <c r="Q6" s="10">
        <v>625503.02399999998</v>
      </c>
      <c r="R6" s="10">
        <v>511674.97210000001</v>
      </c>
      <c r="S6" s="10">
        <v>657726.47919999994</v>
      </c>
      <c r="T6" s="10">
        <v>563616.27350000001</v>
      </c>
      <c r="U6" s="10">
        <v>314497.60749999998</v>
      </c>
      <c r="V6" s="10">
        <v>470302.74849999999</v>
      </c>
      <c r="W6" s="10">
        <v>478096.51500000001</v>
      </c>
      <c r="X6" s="10">
        <v>255601.90169999999</v>
      </c>
      <c r="Y6" s="10">
        <v>499879.38789999997</v>
      </c>
      <c r="Z6" s="10">
        <v>340583.12040000001</v>
      </c>
      <c r="AA6" s="10">
        <v>354352.68540000002</v>
      </c>
      <c r="AB6" s="10">
        <v>304488.73389999999</v>
      </c>
      <c r="AC6" s="10">
        <v>374841.2597</v>
      </c>
      <c r="AD6" s="10">
        <v>227968.14929999999</v>
      </c>
      <c r="AE6" s="10"/>
    </row>
    <row r="7" spans="1:31" x14ac:dyDescent="0.35">
      <c r="A7" s="8">
        <v>46158</v>
      </c>
      <c r="B7" s="9">
        <v>33443241.873459999</v>
      </c>
      <c r="C7" s="10">
        <v>11798165.70019</v>
      </c>
      <c r="D7" s="10">
        <v>2970573.1694</v>
      </c>
      <c r="E7" s="10">
        <v>2025667.9102</v>
      </c>
      <c r="F7" s="10">
        <v>2194505.6170899998</v>
      </c>
      <c r="G7" s="10">
        <v>1772911.3962000001</v>
      </c>
      <c r="H7" s="10">
        <v>1099166.4865000001</v>
      </c>
      <c r="I7" s="10">
        <v>1141256.196</v>
      </c>
      <c r="J7" s="10">
        <v>945104.02095999999</v>
      </c>
      <c r="K7" s="10">
        <v>900609.58970000001</v>
      </c>
      <c r="L7" s="10">
        <v>823323.47632000002</v>
      </c>
      <c r="M7" s="10">
        <v>609688.16460000002</v>
      </c>
      <c r="N7" s="10">
        <v>353232.30440000002</v>
      </c>
      <c r="O7" s="10">
        <v>577598.54969999997</v>
      </c>
      <c r="P7" s="10">
        <v>548583.61580000003</v>
      </c>
      <c r="Q7" s="10">
        <v>644999.27480000001</v>
      </c>
      <c r="R7" s="10">
        <v>495833.19790000003</v>
      </c>
      <c r="S7" s="10">
        <v>567623.10759999999</v>
      </c>
      <c r="T7" s="10">
        <v>556003.47439999995</v>
      </c>
      <c r="U7" s="10">
        <v>303635.1226</v>
      </c>
      <c r="V7" s="10">
        <v>481398.91489999997</v>
      </c>
      <c r="W7" s="10">
        <v>455066.61369999999</v>
      </c>
      <c r="X7" s="10">
        <v>249835.16750000001</v>
      </c>
      <c r="Y7" s="10">
        <v>418167.45270000002</v>
      </c>
      <c r="Z7" s="10">
        <v>343860.32860000001</v>
      </c>
      <c r="AA7" s="10">
        <v>282425.84169999999</v>
      </c>
      <c r="AB7" s="10">
        <v>286216.16729999997</v>
      </c>
      <c r="AC7" s="10">
        <v>367103.76120000001</v>
      </c>
      <c r="AD7" s="10">
        <v>230687.25150000001</v>
      </c>
      <c r="AE7" s="10"/>
    </row>
    <row r="8" spans="1:31" x14ac:dyDescent="0.35">
      <c r="A8" s="8">
        <v>46157</v>
      </c>
      <c r="B8" s="9">
        <v>91263350.189239994</v>
      </c>
      <c r="C8" s="10">
        <v>49537728.4098</v>
      </c>
      <c r="D8" s="10">
        <v>6278451.8896000003</v>
      </c>
      <c r="E8" s="10">
        <v>4356145.8227000004</v>
      </c>
      <c r="F8" s="10">
        <v>4046644.4082999998</v>
      </c>
      <c r="G8" s="10">
        <v>3269709.9871</v>
      </c>
      <c r="H8" s="10">
        <v>1959974.41757</v>
      </c>
      <c r="I8" s="10">
        <v>2541669.8593000001</v>
      </c>
      <c r="J8" s="10">
        <v>1418789.1988299999</v>
      </c>
      <c r="K8" s="10">
        <v>1834355.0732</v>
      </c>
      <c r="L8" s="10">
        <v>1287217.6716400001</v>
      </c>
      <c r="M8" s="10">
        <v>1186760.7634000001</v>
      </c>
      <c r="N8" s="10">
        <v>770013.46039999998</v>
      </c>
      <c r="O8" s="10">
        <v>1111515.6283</v>
      </c>
      <c r="P8" s="10">
        <v>1117905.6203000001</v>
      </c>
      <c r="Q8" s="10">
        <v>993743.86199999996</v>
      </c>
      <c r="R8" s="10">
        <v>1061024.7709999999</v>
      </c>
      <c r="S8" s="10">
        <v>976221.83849999995</v>
      </c>
      <c r="T8" s="10">
        <v>1072281.5573</v>
      </c>
      <c r="U8" s="10">
        <v>525012.10710000002</v>
      </c>
      <c r="V8" s="10">
        <v>896912.47640000004</v>
      </c>
      <c r="W8" s="10">
        <v>849564.03630000004</v>
      </c>
      <c r="X8" s="10">
        <v>489777.97730000003</v>
      </c>
      <c r="Y8" s="10">
        <v>796091.25730000006</v>
      </c>
      <c r="Z8" s="10">
        <v>581373.505</v>
      </c>
      <c r="AA8" s="10">
        <v>652863.50970000005</v>
      </c>
      <c r="AB8" s="10">
        <v>554986.4878</v>
      </c>
      <c r="AC8" s="10">
        <v>681025.68039999995</v>
      </c>
      <c r="AD8" s="10">
        <v>415588.91269999999</v>
      </c>
      <c r="AE8" s="10"/>
    </row>
    <row r="9" spans="1:31" x14ac:dyDescent="0.35">
      <c r="A9" s="8">
        <v>46156</v>
      </c>
      <c r="B9" s="9">
        <v>72772359.163069993</v>
      </c>
      <c r="C9" s="10">
        <v>30447216.941429999</v>
      </c>
      <c r="D9" s="10">
        <v>5529447.5389</v>
      </c>
      <c r="E9" s="10">
        <v>4508632.9244999997</v>
      </c>
      <c r="F9" s="10">
        <v>4150365.5345700001</v>
      </c>
      <c r="G9" s="10">
        <v>3411783.0096999998</v>
      </c>
      <c r="H9" s="10">
        <v>2196017.6016199999</v>
      </c>
      <c r="I9" s="10">
        <v>2738243.307</v>
      </c>
      <c r="J9" s="10">
        <v>1477997.3184400001</v>
      </c>
      <c r="K9" s="10">
        <v>1902720.7877</v>
      </c>
      <c r="L9" s="10">
        <v>1665339.2331099999</v>
      </c>
      <c r="M9" s="10">
        <v>1296577.4195999999</v>
      </c>
      <c r="N9" s="10">
        <v>709802.77670000005</v>
      </c>
      <c r="O9" s="10">
        <v>963725.01359999995</v>
      </c>
      <c r="P9" s="10">
        <v>1077108.2722</v>
      </c>
      <c r="Q9" s="10">
        <v>1061556.1675</v>
      </c>
      <c r="R9" s="10">
        <v>1009531.3641</v>
      </c>
      <c r="S9" s="10">
        <v>1381130.5649000001</v>
      </c>
      <c r="T9" s="10">
        <v>1034459.474</v>
      </c>
      <c r="U9" s="10">
        <v>520096.7452</v>
      </c>
      <c r="V9" s="10">
        <v>861405.90009999997</v>
      </c>
      <c r="W9" s="10">
        <v>880263.2182</v>
      </c>
      <c r="X9" s="10">
        <v>478231.97690000001</v>
      </c>
      <c r="Y9" s="10">
        <v>727618.5747</v>
      </c>
      <c r="Z9" s="10">
        <v>593823.88820000004</v>
      </c>
      <c r="AA9" s="10">
        <v>580100.38820000004</v>
      </c>
      <c r="AB9" s="10">
        <v>534541.56400000001</v>
      </c>
      <c r="AC9" s="10">
        <v>645797.30689999997</v>
      </c>
      <c r="AD9" s="10">
        <v>388824.35110000003</v>
      </c>
      <c r="AE9" s="10"/>
    </row>
    <row r="10" spans="1:31" x14ac:dyDescent="0.35">
      <c r="A10" s="8">
        <v>46155</v>
      </c>
      <c r="B10" s="9">
        <v>67265907.377240002</v>
      </c>
      <c r="C10" s="10">
        <v>26742429.794100001</v>
      </c>
      <c r="D10" s="10">
        <v>5685647.1692000004</v>
      </c>
      <c r="E10" s="10">
        <v>4118696.8462</v>
      </c>
      <c r="F10" s="10">
        <v>3828762.9004600001</v>
      </c>
      <c r="G10" s="10">
        <v>3162160.6847999999</v>
      </c>
      <c r="H10" s="10">
        <v>2401729.1620399999</v>
      </c>
      <c r="I10" s="10">
        <v>2557570.9032000001</v>
      </c>
      <c r="J10" s="10">
        <v>1466152.2569299999</v>
      </c>
      <c r="K10" s="10">
        <v>1812232.2131000001</v>
      </c>
      <c r="L10" s="10">
        <v>1352950.5444100001</v>
      </c>
      <c r="M10" s="10">
        <v>1197754.7102000001</v>
      </c>
      <c r="N10" s="10">
        <v>660038.43640000001</v>
      </c>
      <c r="O10" s="10">
        <v>1033217.6335</v>
      </c>
      <c r="P10" s="10">
        <v>1106833.4350000001</v>
      </c>
      <c r="Q10" s="10">
        <v>986404.27040000004</v>
      </c>
      <c r="R10" s="10">
        <v>993129.33360000001</v>
      </c>
      <c r="S10" s="10">
        <v>1028349.0195000001</v>
      </c>
      <c r="T10" s="10">
        <v>947498.7169</v>
      </c>
      <c r="U10" s="10">
        <v>502504.717</v>
      </c>
      <c r="V10" s="10">
        <v>822455.40549999999</v>
      </c>
      <c r="W10" s="10">
        <v>940674.20970000001</v>
      </c>
      <c r="X10" s="10">
        <v>513338.44939999998</v>
      </c>
      <c r="Y10" s="10">
        <v>674124.63219999999</v>
      </c>
      <c r="Z10" s="10">
        <v>568677.07920000004</v>
      </c>
      <c r="AA10" s="10">
        <v>547664.47889999999</v>
      </c>
      <c r="AB10" s="10">
        <v>529905.13219999999</v>
      </c>
      <c r="AC10" s="10">
        <v>639666.11010000005</v>
      </c>
      <c r="AD10" s="10">
        <v>445339.13309999998</v>
      </c>
      <c r="AE10" s="10"/>
    </row>
    <row r="11" spans="1:31" x14ac:dyDescent="0.35">
      <c r="A11" s="8">
        <v>46154</v>
      </c>
      <c r="B11" s="9">
        <v>80423308.719919994</v>
      </c>
      <c r="C11" s="10">
        <v>37813881.08681</v>
      </c>
      <c r="D11" s="10">
        <v>5985893.9200999998</v>
      </c>
      <c r="E11" s="10">
        <v>4470001.6130999997</v>
      </c>
      <c r="F11" s="10">
        <v>3861933.5463399999</v>
      </c>
      <c r="G11" s="10">
        <v>3622473.9654999999</v>
      </c>
      <c r="H11" s="10">
        <v>2144837.03945</v>
      </c>
      <c r="I11" s="10">
        <v>2606752.2620999999</v>
      </c>
      <c r="J11" s="10">
        <v>1601997.25951</v>
      </c>
      <c r="K11" s="10">
        <v>1769952.6347000001</v>
      </c>
      <c r="L11" s="10">
        <v>1360581.44001</v>
      </c>
      <c r="M11" s="10">
        <v>1197793.0782000001</v>
      </c>
      <c r="N11" s="10">
        <v>775606.51150000002</v>
      </c>
      <c r="O11" s="10">
        <v>1137267.6026000001</v>
      </c>
      <c r="P11" s="10">
        <v>1080612.8833000001</v>
      </c>
      <c r="Q11" s="10">
        <v>1015488.8696</v>
      </c>
      <c r="R11" s="10">
        <v>1042440.3959999999</v>
      </c>
      <c r="S11" s="10">
        <v>1295247.5925</v>
      </c>
      <c r="T11" s="10">
        <v>1083934.6603999999</v>
      </c>
      <c r="U11" s="10">
        <v>537685.30460000003</v>
      </c>
      <c r="V11" s="10">
        <v>880433.78319999995</v>
      </c>
      <c r="W11" s="10">
        <v>879655.9094</v>
      </c>
      <c r="X11" s="10">
        <v>596031.42119999998</v>
      </c>
      <c r="Y11" s="10">
        <v>774965.93319999997</v>
      </c>
      <c r="Z11" s="10">
        <v>587908.98809999996</v>
      </c>
      <c r="AA11" s="10">
        <v>629638.14</v>
      </c>
      <c r="AB11" s="10">
        <v>608243.97849999997</v>
      </c>
      <c r="AC11" s="10">
        <v>653079.54029999999</v>
      </c>
      <c r="AD11" s="10">
        <v>408969.35969999997</v>
      </c>
      <c r="AE11" s="10"/>
    </row>
    <row r="12" spans="1:31" x14ac:dyDescent="0.35">
      <c r="A12" s="8">
        <v>46153</v>
      </c>
      <c r="B12" s="9">
        <v>80872527.846340001</v>
      </c>
      <c r="C12" s="10">
        <v>38748554.722039998</v>
      </c>
      <c r="D12" s="10">
        <v>6183331.7030999996</v>
      </c>
      <c r="E12" s="10">
        <v>4407163.3903999999</v>
      </c>
      <c r="F12" s="10">
        <v>4364374.1914100004</v>
      </c>
      <c r="G12" s="10">
        <v>3273250.2311999998</v>
      </c>
      <c r="H12" s="10">
        <v>2115408.2879699999</v>
      </c>
      <c r="I12" s="10">
        <v>2593385.3412000001</v>
      </c>
      <c r="J12" s="10">
        <v>1450621.3332199999</v>
      </c>
      <c r="K12" s="10">
        <v>1818031.9606000001</v>
      </c>
      <c r="L12" s="10">
        <v>1352187.8419000001</v>
      </c>
      <c r="M12" s="10">
        <v>1177825.6654999999</v>
      </c>
      <c r="N12" s="10">
        <v>711784.42890000006</v>
      </c>
      <c r="O12" s="10">
        <v>1001935.2024</v>
      </c>
      <c r="P12" s="10">
        <v>1013376.132</v>
      </c>
      <c r="Q12" s="10">
        <v>1027519.3585</v>
      </c>
      <c r="R12" s="10">
        <v>1025143.99</v>
      </c>
      <c r="S12" s="10">
        <v>1291152.9439000001</v>
      </c>
      <c r="T12" s="10">
        <v>964688.2402</v>
      </c>
      <c r="U12" s="10">
        <v>482602.21590000001</v>
      </c>
      <c r="V12" s="10">
        <v>884751.41720000003</v>
      </c>
      <c r="W12" s="10">
        <v>871943.04489999998</v>
      </c>
      <c r="X12" s="10">
        <v>525339.5331</v>
      </c>
      <c r="Y12" s="10">
        <v>769333.38890000002</v>
      </c>
      <c r="Z12" s="10">
        <v>596797.21200000006</v>
      </c>
      <c r="AA12" s="10">
        <v>597068.36300000001</v>
      </c>
      <c r="AB12" s="10">
        <v>575251.79130000004</v>
      </c>
      <c r="AC12" s="10">
        <v>636532.34900000005</v>
      </c>
      <c r="AD12" s="10">
        <v>413173.56660000002</v>
      </c>
      <c r="AE12" s="10"/>
    </row>
    <row r="13" spans="1:31" x14ac:dyDescent="0.35">
      <c r="A13" s="8">
        <v>46152</v>
      </c>
      <c r="B13" s="9">
        <v>43610047.868819997</v>
      </c>
      <c r="C13" s="10">
        <v>13343536.000739999</v>
      </c>
      <c r="D13" s="10">
        <v>3940932.6406999999</v>
      </c>
      <c r="E13" s="10">
        <v>2639781.6074000001</v>
      </c>
      <c r="F13" s="10">
        <v>2857057.7582899998</v>
      </c>
      <c r="G13" s="10">
        <v>2410770.9692000002</v>
      </c>
      <c r="H13" s="10">
        <v>1336894.8893800001</v>
      </c>
      <c r="I13" s="10">
        <v>1480530.9604</v>
      </c>
      <c r="J13" s="10">
        <v>1025373.25075</v>
      </c>
      <c r="K13" s="10">
        <v>1114161.4624999999</v>
      </c>
      <c r="L13" s="10">
        <v>865228.70045999996</v>
      </c>
      <c r="M13" s="10">
        <v>712479.29220000003</v>
      </c>
      <c r="N13" s="10">
        <v>460790.8983</v>
      </c>
      <c r="O13" s="10">
        <v>634716.9852</v>
      </c>
      <c r="P13" s="10">
        <v>618228.58270000003</v>
      </c>
      <c r="Q13" s="10">
        <v>582740.18200000003</v>
      </c>
      <c r="R13" s="10">
        <v>614839.66720000003</v>
      </c>
      <c r="S13" s="10">
        <v>974450.48100000003</v>
      </c>
      <c r="T13" s="10">
        <v>539871.48250000004</v>
      </c>
      <c r="U13" s="10">
        <v>335716.90240000002</v>
      </c>
      <c r="V13" s="10">
        <v>680198.32</v>
      </c>
      <c r="W13" s="10">
        <v>467274.56819999998</v>
      </c>
      <c r="X13" s="10">
        <v>3426115.0987999998</v>
      </c>
      <c r="Y13" s="10">
        <v>582093.25210000004</v>
      </c>
      <c r="Z13" s="10">
        <v>394052.85720000003</v>
      </c>
      <c r="AA13" s="10">
        <v>372387.81890000001</v>
      </c>
      <c r="AB13" s="10">
        <v>585049.46479999996</v>
      </c>
      <c r="AC13" s="10">
        <v>395438.40169999999</v>
      </c>
      <c r="AD13" s="10">
        <v>219335.3738</v>
      </c>
      <c r="AE13" s="10"/>
    </row>
    <row r="14" spans="1:31" x14ac:dyDescent="0.35">
      <c r="A14" s="8">
        <v>46151</v>
      </c>
      <c r="B14" s="9">
        <v>31339422.154909998</v>
      </c>
      <c r="C14" s="10">
        <v>8239403.2389900004</v>
      </c>
      <c r="D14" s="10">
        <v>3580620.6175000002</v>
      </c>
      <c r="E14" s="10">
        <v>2474513.8437000001</v>
      </c>
      <c r="F14" s="10">
        <v>2241991.2195100002</v>
      </c>
      <c r="G14" s="10">
        <v>1869025.7234</v>
      </c>
      <c r="H14" s="10">
        <v>1252709.36503</v>
      </c>
      <c r="I14" s="10">
        <v>1120349.5685000001</v>
      </c>
      <c r="J14" s="10">
        <v>1029553.16613</v>
      </c>
      <c r="K14" s="10">
        <v>824197.62829999998</v>
      </c>
      <c r="L14" s="10">
        <v>826612.31394999998</v>
      </c>
      <c r="M14" s="10">
        <v>604769.3358</v>
      </c>
      <c r="N14" s="10">
        <v>395792.25559999997</v>
      </c>
      <c r="O14" s="10">
        <v>585373.6507</v>
      </c>
      <c r="P14" s="10">
        <v>520591.3738</v>
      </c>
      <c r="Q14" s="10">
        <v>610148.99309999996</v>
      </c>
      <c r="R14" s="10">
        <v>591865.91110000003</v>
      </c>
      <c r="S14" s="10">
        <v>525505.86259999999</v>
      </c>
      <c r="T14" s="10">
        <v>531453.21739999996</v>
      </c>
      <c r="U14" s="10">
        <v>299223.39679999999</v>
      </c>
      <c r="V14" s="10">
        <v>449573.36090000003</v>
      </c>
      <c r="W14" s="10">
        <v>466627.56709999999</v>
      </c>
      <c r="X14" s="10">
        <v>237954.04800000001</v>
      </c>
      <c r="Y14" s="10">
        <v>415342.33769999997</v>
      </c>
      <c r="Z14" s="10">
        <v>366346.02370000002</v>
      </c>
      <c r="AA14" s="10">
        <v>296621.27929999999</v>
      </c>
      <c r="AB14" s="10">
        <v>350757.408</v>
      </c>
      <c r="AC14" s="10">
        <v>412708.20329999999</v>
      </c>
      <c r="AD14" s="10">
        <v>219791.245</v>
      </c>
      <c r="AE14" s="10"/>
    </row>
    <row r="15" spans="1:31" x14ac:dyDescent="0.35">
      <c r="A15" s="8">
        <v>46150</v>
      </c>
      <c r="B15" s="9">
        <v>75865403.978100002</v>
      </c>
      <c r="C15" s="10">
        <v>36707556.397699997</v>
      </c>
      <c r="D15" s="10">
        <v>5861576.2105</v>
      </c>
      <c r="E15" s="10">
        <v>4576351.4665999999</v>
      </c>
      <c r="F15" s="10">
        <v>3148290.58984</v>
      </c>
      <c r="G15" s="10">
        <v>3435626.9624000001</v>
      </c>
      <c r="H15" s="10">
        <v>1770496.1393200001</v>
      </c>
      <c r="I15" s="10">
        <v>2142438.2559000002</v>
      </c>
      <c r="J15" s="10">
        <v>1458545.6756599999</v>
      </c>
      <c r="K15" s="10">
        <v>1762221.3522000001</v>
      </c>
      <c r="L15" s="10">
        <v>1294197.8325799999</v>
      </c>
      <c r="M15" s="10">
        <v>1126979.6022999999</v>
      </c>
      <c r="N15" s="10">
        <v>738703.79260000004</v>
      </c>
      <c r="O15" s="10">
        <v>918384.28079999995</v>
      </c>
      <c r="P15" s="10">
        <v>845119.38119999995</v>
      </c>
      <c r="Q15" s="10">
        <v>1031154.5024999999</v>
      </c>
      <c r="R15" s="10">
        <v>845159.20079999999</v>
      </c>
      <c r="S15" s="10">
        <v>1298766.4975999999</v>
      </c>
      <c r="T15" s="10">
        <v>907238.95530000003</v>
      </c>
      <c r="U15" s="10">
        <v>502996.4375</v>
      </c>
      <c r="V15" s="10">
        <v>768266.60369999998</v>
      </c>
      <c r="W15" s="10">
        <v>746542.26859999995</v>
      </c>
      <c r="X15" s="10">
        <v>511751.12359999999</v>
      </c>
      <c r="Y15" s="10">
        <v>783800.96340000001</v>
      </c>
      <c r="Z15" s="10">
        <v>673133.11899999995</v>
      </c>
      <c r="AA15" s="10">
        <v>575934.09219999996</v>
      </c>
      <c r="AB15" s="10">
        <v>516959.98300000001</v>
      </c>
      <c r="AC15" s="10">
        <v>537878.89690000005</v>
      </c>
      <c r="AD15" s="10">
        <v>379333.39439999999</v>
      </c>
      <c r="AE15" s="10"/>
    </row>
    <row r="16" spans="1:31" x14ac:dyDescent="0.35">
      <c r="A16" s="8">
        <v>46149</v>
      </c>
      <c r="B16" s="9">
        <v>97338421.045870006</v>
      </c>
      <c r="C16" s="10">
        <v>53973141.930299997</v>
      </c>
      <c r="D16" s="10">
        <v>6247127.1267999997</v>
      </c>
      <c r="E16" s="10">
        <v>4318591.8716000002</v>
      </c>
      <c r="F16" s="10">
        <v>4122303.71594</v>
      </c>
      <c r="G16" s="10">
        <v>3341763.9212000002</v>
      </c>
      <c r="H16" s="10">
        <v>2061335.605</v>
      </c>
      <c r="I16" s="10">
        <v>2307998.0279000001</v>
      </c>
      <c r="J16" s="10">
        <v>1736658.89784</v>
      </c>
      <c r="K16" s="10">
        <v>1738683.7198000001</v>
      </c>
      <c r="L16" s="10">
        <v>1695589.5232899999</v>
      </c>
      <c r="M16" s="10">
        <v>1302569.9272</v>
      </c>
      <c r="N16" s="10">
        <v>750511.4473</v>
      </c>
      <c r="O16" s="10">
        <v>970358.13939999999</v>
      </c>
      <c r="P16" s="10">
        <v>1041448.3136</v>
      </c>
      <c r="Q16" s="10">
        <v>889963.32920000004</v>
      </c>
      <c r="R16" s="10">
        <v>901630.77740000002</v>
      </c>
      <c r="S16" s="10">
        <v>2271361.1157999998</v>
      </c>
      <c r="T16" s="10">
        <v>1046868.0357</v>
      </c>
      <c r="U16" s="10">
        <v>561310.12560000003</v>
      </c>
      <c r="V16" s="10">
        <v>990524.68850000005</v>
      </c>
      <c r="W16" s="10">
        <v>827282.53359999997</v>
      </c>
      <c r="X16" s="10">
        <v>573831.57169999997</v>
      </c>
      <c r="Y16" s="10">
        <v>723023.19649999996</v>
      </c>
      <c r="Z16" s="10">
        <v>686968.87320000003</v>
      </c>
      <c r="AA16" s="10">
        <v>590979.26690000005</v>
      </c>
      <c r="AB16" s="10">
        <v>580318.95270000002</v>
      </c>
      <c r="AC16" s="10">
        <v>646461.43830000004</v>
      </c>
      <c r="AD16" s="10">
        <v>439814.97360000003</v>
      </c>
      <c r="AE16" s="10"/>
    </row>
    <row r="17" spans="1:31" x14ac:dyDescent="0.35">
      <c r="A17" s="8">
        <v>46148</v>
      </c>
      <c r="B17" s="9">
        <v>91846188.460930005</v>
      </c>
      <c r="C17" s="10">
        <v>51865668.818130001</v>
      </c>
      <c r="D17" s="10">
        <v>6057668.2697000001</v>
      </c>
      <c r="E17" s="10">
        <v>4540998.9086999996</v>
      </c>
      <c r="F17" s="10">
        <v>3643400.3620799999</v>
      </c>
      <c r="G17" s="10">
        <v>3337422.8629000001</v>
      </c>
      <c r="H17" s="10">
        <v>1923848.35519</v>
      </c>
      <c r="I17" s="10">
        <v>2109068.6916</v>
      </c>
      <c r="J17" s="10">
        <v>1529274.7145799999</v>
      </c>
      <c r="K17" s="10">
        <v>1595285.1022000001</v>
      </c>
      <c r="L17" s="10">
        <v>1423316.3683499999</v>
      </c>
      <c r="M17" s="10">
        <v>1092421.5614</v>
      </c>
      <c r="N17" s="10">
        <v>665944.13119999995</v>
      </c>
      <c r="O17" s="10">
        <v>919438.45869999996</v>
      </c>
      <c r="P17" s="10">
        <v>1041998.1126</v>
      </c>
      <c r="Q17" s="10">
        <v>1015156.6952</v>
      </c>
      <c r="R17" s="10">
        <v>910072.39359999995</v>
      </c>
      <c r="S17" s="10">
        <v>1274229.0582000001</v>
      </c>
      <c r="T17" s="10">
        <v>905270.36219999997</v>
      </c>
      <c r="U17" s="10">
        <v>474792.32290000003</v>
      </c>
      <c r="V17" s="10">
        <v>855754.74380000005</v>
      </c>
      <c r="W17" s="10">
        <v>756454.38679999998</v>
      </c>
      <c r="X17" s="10">
        <v>431815.79180000001</v>
      </c>
      <c r="Y17" s="10">
        <v>729904.46429999999</v>
      </c>
      <c r="Z17" s="10">
        <v>656729.72340000002</v>
      </c>
      <c r="AA17" s="10">
        <v>548444.8469</v>
      </c>
      <c r="AB17" s="10">
        <v>528697.97939999995</v>
      </c>
      <c r="AC17" s="10">
        <v>622792.69369999995</v>
      </c>
      <c r="AD17" s="10">
        <v>390318.28139999998</v>
      </c>
      <c r="AE17" s="10"/>
    </row>
    <row r="18" spans="1:31" x14ac:dyDescent="0.35">
      <c r="A18" s="8">
        <v>46147</v>
      </c>
      <c r="B18" s="9">
        <v>86368996.636120006</v>
      </c>
      <c r="C18" s="10">
        <v>41336455.3772</v>
      </c>
      <c r="D18" s="10">
        <v>7045150.6469999999</v>
      </c>
      <c r="E18" s="10">
        <v>5123707.0444</v>
      </c>
      <c r="F18" s="10">
        <v>4125866.5248599998</v>
      </c>
      <c r="G18" s="10">
        <v>3892633.8577000001</v>
      </c>
      <c r="H18" s="10">
        <v>2160330.9441900002</v>
      </c>
      <c r="I18" s="10">
        <v>2289464.1581999999</v>
      </c>
      <c r="J18" s="10">
        <v>1536494.3061200001</v>
      </c>
      <c r="K18" s="10">
        <v>2101152.9755000002</v>
      </c>
      <c r="L18" s="10">
        <v>1693431.0018499999</v>
      </c>
      <c r="M18" s="10">
        <v>1187682.0529</v>
      </c>
      <c r="N18" s="10">
        <v>697333.97939999995</v>
      </c>
      <c r="O18" s="10">
        <v>1161490.0660000001</v>
      </c>
      <c r="P18" s="10">
        <v>1138849.6094</v>
      </c>
      <c r="Q18" s="10">
        <v>958524.72180000006</v>
      </c>
      <c r="R18" s="10">
        <v>957547.4804</v>
      </c>
      <c r="S18" s="10">
        <v>1080696.5856000001</v>
      </c>
      <c r="T18" s="10">
        <v>1132632.8563999999</v>
      </c>
      <c r="U18" s="10">
        <v>540830.21270000003</v>
      </c>
      <c r="V18" s="10">
        <v>930012.99399999995</v>
      </c>
      <c r="W18" s="10">
        <v>870170.32909999997</v>
      </c>
      <c r="X18" s="10">
        <v>475388.98680000001</v>
      </c>
      <c r="Y18" s="10">
        <v>904042.05960000004</v>
      </c>
      <c r="Z18" s="10">
        <v>752875.88489999995</v>
      </c>
      <c r="AA18" s="10">
        <v>596200.99990000005</v>
      </c>
      <c r="AB18" s="10">
        <v>566160.44649999996</v>
      </c>
      <c r="AC18" s="10">
        <v>710374.0919</v>
      </c>
      <c r="AD18" s="10">
        <v>403496.44179999997</v>
      </c>
      <c r="AE18" s="10"/>
    </row>
    <row r="19" spans="1:31" x14ac:dyDescent="0.35">
      <c r="A19" s="8">
        <v>46146</v>
      </c>
      <c r="B19" s="9">
        <v>110676417.94631</v>
      </c>
      <c r="C19" s="10">
        <v>69638086.272760004</v>
      </c>
      <c r="D19" s="10">
        <v>6255334.6358000003</v>
      </c>
      <c r="E19" s="10">
        <v>4502962.0959000001</v>
      </c>
      <c r="F19" s="10">
        <v>3588277.8693900001</v>
      </c>
      <c r="G19" s="10">
        <v>3415257.2941000001</v>
      </c>
      <c r="H19" s="10">
        <v>1898394.6617699999</v>
      </c>
      <c r="I19" s="10">
        <v>2401817.0063999998</v>
      </c>
      <c r="J19" s="10">
        <v>1471691.9779399999</v>
      </c>
      <c r="K19" s="10">
        <v>1838330.4357</v>
      </c>
      <c r="L19" s="10">
        <v>1478104.32485</v>
      </c>
      <c r="M19" s="10">
        <v>1210491.44</v>
      </c>
      <c r="N19" s="10">
        <v>883862.32369999995</v>
      </c>
      <c r="O19" s="10">
        <v>856620.6078</v>
      </c>
      <c r="P19" s="10">
        <v>1140717.0385</v>
      </c>
      <c r="Q19" s="10">
        <v>888160.45730000001</v>
      </c>
      <c r="R19" s="10">
        <v>920653.2145</v>
      </c>
      <c r="S19" s="10">
        <v>1108228.7457000001</v>
      </c>
      <c r="T19" s="10">
        <v>913008.22439999995</v>
      </c>
      <c r="U19" s="10">
        <v>519556.3406</v>
      </c>
      <c r="V19" s="10">
        <v>884125.19929999998</v>
      </c>
      <c r="W19" s="10">
        <v>856818.82629999996</v>
      </c>
      <c r="X19" s="10">
        <v>431239.88099999999</v>
      </c>
      <c r="Y19" s="10">
        <v>736698.43980000005</v>
      </c>
      <c r="Z19" s="10">
        <v>664512.87280000001</v>
      </c>
      <c r="AA19" s="10">
        <v>604806.59180000005</v>
      </c>
      <c r="AB19" s="10">
        <v>542050.50789999997</v>
      </c>
      <c r="AC19" s="10">
        <v>636787.59829999995</v>
      </c>
      <c r="AD19" s="10">
        <v>389823.06199999998</v>
      </c>
      <c r="AE19" s="10"/>
    </row>
    <row r="20" spans="1:31" x14ac:dyDescent="0.35">
      <c r="A20" s="8">
        <v>46145</v>
      </c>
      <c r="B20" s="9">
        <v>47852998.485569999</v>
      </c>
      <c r="C20" s="10">
        <v>23698693.109639999</v>
      </c>
      <c r="D20" s="10">
        <v>3647084.2533999998</v>
      </c>
      <c r="E20" s="10">
        <v>2491534.9201000002</v>
      </c>
      <c r="F20" s="10">
        <v>2291644.2929799999</v>
      </c>
      <c r="G20" s="10">
        <v>2115513.9679999999</v>
      </c>
      <c r="H20" s="10">
        <v>1103706.5427600001</v>
      </c>
      <c r="I20" s="10">
        <v>1307707.1665000001</v>
      </c>
      <c r="J20" s="10">
        <v>949880.40260999999</v>
      </c>
      <c r="K20" s="10">
        <v>972099.59790000005</v>
      </c>
      <c r="L20" s="10">
        <v>968099.48687999998</v>
      </c>
      <c r="M20" s="10">
        <v>702635.15789999999</v>
      </c>
      <c r="N20" s="10">
        <v>370208.01650000003</v>
      </c>
      <c r="O20" s="10">
        <v>575299.34620000003</v>
      </c>
      <c r="P20" s="10">
        <v>741156.39439999999</v>
      </c>
      <c r="Q20" s="10">
        <v>538870.50650000002</v>
      </c>
      <c r="R20" s="10">
        <v>533289.81830000004</v>
      </c>
      <c r="S20" s="10">
        <v>834892.91630000004</v>
      </c>
      <c r="T20" s="10">
        <v>520213.40259999997</v>
      </c>
      <c r="U20" s="10">
        <v>288840.67070000002</v>
      </c>
      <c r="V20" s="10">
        <v>428094.3836</v>
      </c>
      <c r="W20" s="10">
        <v>435740.80540000001</v>
      </c>
      <c r="X20" s="10">
        <v>261154.04569999999</v>
      </c>
      <c r="Y20" s="10">
        <v>461494.7966</v>
      </c>
      <c r="Z20" s="10">
        <v>349156.77750000003</v>
      </c>
      <c r="AA20" s="10">
        <v>412558.84</v>
      </c>
      <c r="AB20" s="10">
        <v>298531.06929999997</v>
      </c>
      <c r="AC20" s="10">
        <v>337505.42879999999</v>
      </c>
      <c r="AD20" s="10">
        <v>217392.36850000001</v>
      </c>
      <c r="AE20" s="10"/>
    </row>
    <row r="21" spans="1:31" x14ac:dyDescent="0.35">
      <c r="A21" s="8">
        <v>46144</v>
      </c>
      <c r="B21" s="9">
        <v>39305202.2553</v>
      </c>
      <c r="C21" s="10">
        <v>9490503.4863799997</v>
      </c>
      <c r="D21" s="10">
        <v>3382083.9531999999</v>
      </c>
      <c r="E21" s="10">
        <v>2199893.2305999999</v>
      </c>
      <c r="F21" s="10">
        <v>1881108.2239600001</v>
      </c>
      <c r="G21" s="10">
        <v>1757569.1705</v>
      </c>
      <c r="H21" s="10">
        <v>968869.05110000004</v>
      </c>
      <c r="I21" s="10">
        <v>1148603.4391999999</v>
      </c>
      <c r="J21" s="10">
        <v>9183408.5010000002</v>
      </c>
      <c r="K21" s="10">
        <v>770017.49659999995</v>
      </c>
      <c r="L21" s="10">
        <v>874919.51405999996</v>
      </c>
      <c r="M21" s="10">
        <v>633181.8798</v>
      </c>
      <c r="N21" s="10">
        <v>389110.53110000002</v>
      </c>
      <c r="O21" s="10">
        <v>543738.33959999995</v>
      </c>
      <c r="P21" s="10">
        <v>547962.03500000003</v>
      </c>
      <c r="Q21" s="10">
        <v>656321.72109999997</v>
      </c>
      <c r="R21" s="10">
        <v>524530.86620000005</v>
      </c>
      <c r="S21" s="10">
        <v>552114.67700000003</v>
      </c>
      <c r="T21" s="10">
        <v>484815.61570000002</v>
      </c>
      <c r="U21" s="10">
        <v>287954.17239999998</v>
      </c>
      <c r="V21" s="10">
        <v>407376.83350000001</v>
      </c>
      <c r="W21" s="10">
        <v>414340.3357</v>
      </c>
      <c r="X21" s="10">
        <v>235218.06940000001</v>
      </c>
      <c r="Y21" s="10">
        <v>422342.03879999998</v>
      </c>
      <c r="Z21" s="10">
        <v>398745.99810000003</v>
      </c>
      <c r="AA21" s="10">
        <v>308466.51089999999</v>
      </c>
      <c r="AB21" s="10">
        <v>293250.09499999997</v>
      </c>
      <c r="AC21" s="10">
        <v>342049.5526</v>
      </c>
      <c r="AD21" s="10">
        <v>206706.91680000001</v>
      </c>
      <c r="AE21" s="10"/>
    </row>
    <row r="22" spans="1:31" x14ac:dyDescent="0.35">
      <c r="A22" s="8">
        <v>46143</v>
      </c>
      <c r="B22" s="9">
        <v>88461802.548470005</v>
      </c>
      <c r="C22" s="10">
        <v>48976845.6598</v>
      </c>
      <c r="D22" s="10">
        <v>6258641.2553000003</v>
      </c>
      <c r="E22" s="10">
        <v>4147586.8169</v>
      </c>
      <c r="F22" s="10">
        <v>3358614.4278500001</v>
      </c>
      <c r="G22" s="10">
        <v>3223450.4874</v>
      </c>
      <c r="H22" s="10">
        <v>1982877.1757199999</v>
      </c>
      <c r="I22" s="10">
        <v>2308421.9544000002</v>
      </c>
      <c r="J22" s="10">
        <v>1694488.71875</v>
      </c>
      <c r="K22" s="10">
        <v>1873930.7688</v>
      </c>
      <c r="L22" s="10">
        <v>1353019.04385</v>
      </c>
      <c r="M22" s="10">
        <v>1106223.8707000001</v>
      </c>
      <c r="N22" s="10">
        <v>640999.05839999998</v>
      </c>
      <c r="O22" s="10">
        <v>885246.88100000005</v>
      </c>
      <c r="P22" s="10">
        <v>1067878.3818999999</v>
      </c>
      <c r="Q22" s="10">
        <v>1036915.3962</v>
      </c>
      <c r="R22" s="10">
        <v>886172.85519999999</v>
      </c>
      <c r="S22" s="10">
        <v>1188514.3877999999</v>
      </c>
      <c r="T22" s="10">
        <v>919453.11120000004</v>
      </c>
      <c r="U22" s="10">
        <v>504380.90919999999</v>
      </c>
      <c r="V22" s="10">
        <v>823533.22919999994</v>
      </c>
      <c r="W22" s="10">
        <v>706366.46669999999</v>
      </c>
      <c r="X22" s="10">
        <v>430922.37569999998</v>
      </c>
      <c r="Y22" s="10">
        <v>605025.22109999997</v>
      </c>
      <c r="Z22" s="10">
        <v>535438.60279999999</v>
      </c>
      <c r="AA22" s="10">
        <v>553959.33169999998</v>
      </c>
      <c r="AB22" s="10">
        <v>471943.62560000003</v>
      </c>
      <c r="AC22" s="10">
        <v>524146.01819999999</v>
      </c>
      <c r="AD22" s="10">
        <v>396806.5171</v>
      </c>
      <c r="AE22" s="10"/>
    </row>
    <row r="23" spans="1:31" x14ac:dyDescent="0.35">
      <c r="A23" s="8">
        <v>46142</v>
      </c>
      <c r="B23" s="9">
        <v>92939499.387740001</v>
      </c>
      <c r="C23" s="10">
        <v>52507718.269989997</v>
      </c>
      <c r="D23" s="10">
        <v>6240081.6785000004</v>
      </c>
      <c r="E23" s="10">
        <v>4272535.8892999999</v>
      </c>
      <c r="F23" s="10">
        <v>3911702.0153000001</v>
      </c>
      <c r="G23" s="10">
        <v>3131302.5992999999</v>
      </c>
      <c r="H23" s="10">
        <v>2233102.70787</v>
      </c>
      <c r="I23" s="10">
        <v>1987855.6756</v>
      </c>
      <c r="J23" s="10">
        <v>1650930.2076300001</v>
      </c>
      <c r="K23" s="10">
        <v>1713043.0408999999</v>
      </c>
      <c r="L23" s="10">
        <v>1636077.1010499999</v>
      </c>
      <c r="M23" s="10">
        <v>1009359.4739</v>
      </c>
      <c r="N23" s="10">
        <v>669999.10290000006</v>
      </c>
      <c r="O23" s="10">
        <v>914420.99829999998</v>
      </c>
      <c r="P23" s="10">
        <v>951997.46699999995</v>
      </c>
      <c r="Q23" s="10">
        <v>1008509.1586</v>
      </c>
      <c r="R23" s="10">
        <v>929249.17099999997</v>
      </c>
      <c r="S23" s="10">
        <v>1157112.4382</v>
      </c>
      <c r="T23" s="10">
        <v>949975.69259999995</v>
      </c>
      <c r="U23" s="10">
        <v>496077.01030000002</v>
      </c>
      <c r="V23" s="10">
        <v>824801.29680000001</v>
      </c>
      <c r="W23" s="10">
        <v>906437.52049999998</v>
      </c>
      <c r="X23" s="10">
        <v>462247.36629999999</v>
      </c>
      <c r="Y23" s="10">
        <v>700486.97519999999</v>
      </c>
      <c r="Z23" s="10">
        <v>543824.09669999999</v>
      </c>
      <c r="AA23" s="10">
        <v>665236.93070000003</v>
      </c>
      <c r="AB23" s="10">
        <v>524333.26729999995</v>
      </c>
      <c r="AC23" s="10">
        <v>558991.40280000004</v>
      </c>
      <c r="AD23" s="10">
        <v>382090.83319999999</v>
      </c>
      <c r="AE23" s="10"/>
    </row>
    <row r="24" spans="1:31" x14ac:dyDescent="0.35">
      <c r="A24" s="8">
        <v>46141</v>
      </c>
      <c r="B24" s="9">
        <v>94398689.742090002</v>
      </c>
      <c r="C24" s="10">
        <v>51987726.834380001</v>
      </c>
      <c r="D24" s="10">
        <v>5823417.9017000003</v>
      </c>
      <c r="E24" s="10">
        <v>4294784.3975</v>
      </c>
      <c r="F24" s="10">
        <v>3882749.8313099998</v>
      </c>
      <c r="G24" s="10">
        <v>3857755.9939999999</v>
      </c>
      <c r="H24" s="10">
        <v>2362480.30755</v>
      </c>
      <c r="I24" s="10">
        <v>2328982.9772999999</v>
      </c>
      <c r="J24" s="10">
        <v>1649028.9132300001</v>
      </c>
      <c r="K24" s="10">
        <v>1818933.4347000001</v>
      </c>
      <c r="L24" s="10">
        <v>1537591.7714199999</v>
      </c>
      <c r="M24" s="10">
        <v>1085844.7004</v>
      </c>
      <c r="N24" s="10">
        <v>689870.81649999996</v>
      </c>
      <c r="O24" s="10">
        <v>974941.88679999998</v>
      </c>
      <c r="P24" s="10">
        <v>1116942.7627999999</v>
      </c>
      <c r="Q24" s="10">
        <v>996430.53839999996</v>
      </c>
      <c r="R24" s="10">
        <v>1083072.3965</v>
      </c>
      <c r="S24" s="10">
        <v>1588101.3513</v>
      </c>
      <c r="T24" s="10">
        <v>1084836.6133000001</v>
      </c>
      <c r="U24" s="10">
        <v>622017.69149999996</v>
      </c>
      <c r="V24" s="10">
        <v>809452.72210000001</v>
      </c>
      <c r="W24" s="10">
        <v>787142.63589999999</v>
      </c>
      <c r="X24" s="10">
        <v>517948.1606</v>
      </c>
      <c r="Y24" s="10">
        <v>665415.96829999995</v>
      </c>
      <c r="Z24" s="10">
        <v>643518.77260000003</v>
      </c>
      <c r="AA24" s="10">
        <v>587746.66040000005</v>
      </c>
      <c r="AB24" s="10">
        <v>573210.13500000001</v>
      </c>
      <c r="AC24" s="10">
        <v>655278.79099999997</v>
      </c>
      <c r="AD24" s="10">
        <v>373464.77559999999</v>
      </c>
      <c r="AE24" s="10"/>
    </row>
    <row r="25" spans="1:31" x14ac:dyDescent="0.35">
      <c r="A25" s="8">
        <v>46140</v>
      </c>
      <c r="B25" s="9">
        <v>94206739.953260005</v>
      </c>
      <c r="C25" s="10">
        <v>44627122.8961</v>
      </c>
      <c r="D25" s="10">
        <v>6834926.5036000004</v>
      </c>
      <c r="E25" s="10">
        <v>6143317.2116</v>
      </c>
      <c r="F25" s="10">
        <v>4371732.7088000001</v>
      </c>
      <c r="G25" s="10">
        <v>4560499.6010999996</v>
      </c>
      <c r="H25" s="10">
        <v>3108352.9804600002</v>
      </c>
      <c r="I25" s="10">
        <v>2416680.6984999999</v>
      </c>
      <c r="J25" s="10">
        <v>1888525.4033299999</v>
      </c>
      <c r="K25" s="10">
        <v>1906483.0495</v>
      </c>
      <c r="L25" s="10">
        <v>1834759.72267</v>
      </c>
      <c r="M25" s="10">
        <v>1252948.9602999999</v>
      </c>
      <c r="N25" s="10">
        <v>853358.41650000005</v>
      </c>
      <c r="O25" s="10">
        <v>1220702.3419999999</v>
      </c>
      <c r="P25" s="10">
        <v>1051464.6473000001</v>
      </c>
      <c r="Q25" s="10">
        <v>1085063.2268999999</v>
      </c>
      <c r="R25" s="10">
        <v>1175407.7849999999</v>
      </c>
      <c r="S25" s="10">
        <v>1474544.2853999999</v>
      </c>
      <c r="T25" s="10">
        <v>1101101.4365999999</v>
      </c>
      <c r="U25" s="10">
        <v>614712.51229999994</v>
      </c>
      <c r="V25" s="10">
        <v>964451.02780000004</v>
      </c>
      <c r="W25" s="10">
        <v>1010426.9502</v>
      </c>
      <c r="X25" s="10">
        <v>479144.02639999997</v>
      </c>
      <c r="Y25" s="10">
        <v>911471.31949999998</v>
      </c>
      <c r="Z25" s="10">
        <v>771724.23340000003</v>
      </c>
      <c r="AA25" s="10">
        <v>631145.68720000004</v>
      </c>
      <c r="AB25" s="10">
        <v>648116.77</v>
      </c>
      <c r="AC25" s="10">
        <v>774539.85080000001</v>
      </c>
      <c r="AD25" s="10">
        <v>494015.7</v>
      </c>
      <c r="AE25" s="10"/>
    </row>
    <row r="26" spans="1:31" x14ac:dyDescent="0.35">
      <c r="A26" s="8">
        <v>46139</v>
      </c>
      <c r="B26" s="9">
        <v>72698005.622270003</v>
      </c>
      <c r="C26" s="10">
        <v>29869019.908950001</v>
      </c>
      <c r="D26" s="10">
        <v>6353784.7350000003</v>
      </c>
      <c r="E26" s="10">
        <v>4673023.6447000001</v>
      </c>
      <c r="F26" s="10">
        <v>3592022.8989599999</v>
      </c>
      <c r="G26" s="10">
        <v>3844539.6946999999</v>
      </c>
      <c r="H26" s="10">
        <v>2473084.79959</v>
      </c>
      <c r="I26" s="10">
        <v>2286689.5471000001</v>
      </c>
      <c r="J26" s="10">
        <v>1634296.2470199999</v>
      </c>
      <c r="K26" s="10">
        <v>1705975.2032000001</v>
      </c>
      <c r="L26" s="10">
        <v>1502609.45205</v>
      </c>
      <c r="M26" s="10">
        <v>1066870.2966</v>
      </c>
      <c r="N26" s="10">
        <v>783037.65179999999</v>
      </c>
      <c r="O26" s="10">
        <v>1015031.5784</v>
      </c>
      <c r="P26" s="10">
        <v>1026309.0597</v>
      </c>
      <c r="Q26" s="10">
        <v>1177896.5349999999</v>
      </c>
      <c r="R26" s="10">
        <v>985475.36439999996</v>
      </c>
      <c r="S26" s="10">
        <v>1208327.628</v>
      </c>
      <c r="T26" s="10">
        <v>948765.02130000002</v>
      </c>
      <c r="U26" s="10">
        <v>564639.46629999997</v>
      </c>
      <c r="V26" s="10">
        <v>860350.72320000001</v>
      </c>
      <c r="W26" s="10">
        <v>868117.48129999998</v>
      </c>
      <c r="X26" s="10">
        <v>455938.92690000002</v>
      </c>
      <c r="Y26" s="10">
        <v>817017.37239999999</v>
      </c>
      <c r="Z26" s="10">
        <v>694563.62029999995</v>
      </c>
      <c r="AA26" s="10">
        <v>571664.43050000002</v>
      </c>
      <c r="AB26" s="10">
        <v>606670.84149999998</v>
      </c>
      <c r="AC26" s="10">
        <v>655644.24840000004</v>
      </c>
      <c r="AD26" s="10">
        <v>456639.245</v>
      </c>
      <c r="AE26" s="10"/>
    </row>
    <row r="27" spans="1:31" x14ac:dyDescent="0.35">
      <c r="A27" s="8">
        <v>46138</v>
      </c>
      <c r="B27" s="9">
        <v>44115953.169859998</v>
      </c>
      <c r="C27" s="10">
        <v>16250479.1406</v>
      </c>
      <c r="D27" s="10">
        <v>4248727.9570000004</v>
      </c>
      <c r="E27" s="10">
        <v>2860780.4942000001</v>
      </c>
      <c r="F27" s="10">
        <v>2739178.7428899999</v>
      </c>
      <c r="G27" s="10">
        <v>2384113.7455000002</v>
      </c>
      <c r="H27" s="10">
        <v>1434932.9937199999</v>
      </c>
      <c r="I27" s="10">
        <v>1586081.6854999999</v>
      </c>
      <c r="J27" s="10">
        <v>1055660.37681</v>
      </c>
      <c r="K27" s="10">
        <v>1232119.9347999999</v>
      </c>
      <c r="L27" s="10">
        <v>937717.84453999996</v>
      </c>
      <c r="M27" s="10">
        <v>828110.06740000006</v>
      </c>
      <c r="N27" s="10">
        <v>472450.13459999999</v>
      </c>
      <c r="O27" s="10">
        <v>631396.57499999995</v>
      </c>
      <c r="P27" s="10">
        <v>639490.35959999997</v>
      </c>
      <c r="Q27" s="10">
        <v>591560.90099999995</v>
      </c>
      <c r="R27" s="10">
        <v>638714.69779999997</v>
      </c>
      <c r="S27" s="10">
        <v>867826.90419999999</v>
      </c>
      <c r="T27" s="10">
        <v>641656.40269999998</v>
      </c>
      <c r="U27" s="10">
        <v>341819.15990000003</v>
      </c>
      <c r="V27" s="10">
        <v>525890.07319999998</v>
      </c>
      <c r="W27" s="10">
        <v>526638.67989999999</v>
      </c>
      <c r="X27" s="10">
        <v>322521.17790000001</v>
      </c>
      <c r="Y27" s="10">
        <v>517688.27269999997</v>
      </c>
      <c r="Z27" s="10">
        <v>421797.31929999997</v>
      </c>
      <c r="AA27" s="10">
        <v>344344.54129999998</v>
      </c>
      <c r="AB27" s="10">
        <v>384542.27010000002</v>
      </c>
      <c r="AC27" s="10">
        <v>406273.20059999998</v>
      </c>
      <c r="AD27" s="10">
        <v>283439.5171</v>
      </c>
      <c r="AE27" s="10"/>
    </row>
    <row r="28" spans="1:31" x14ac:dyDescent="0.35">
      <c r="A28" s="8">
        <v>46137</v>
      </c>
      <c r="B28" s="9">
        <v>43361627.035279997</v>
      </c>
      <c r="C28" s="10">
        <v>12066713.230009999</v>
      </c>
      <c r="D28" s="10">
        <v>3655739.0372000001</v>
      </c>
      <c r="E28" s="10">
        <v>2383868.4693</v>
      </c>
      <c r="F28" s="10">
        <v>2143649.1647199998</v>
      </c>
      <c r="G28" s="10">
        <v>1921529.3407000001</v>
      </c>
      <c r="H28" s="10">
        <v>1338753.9453700001</v>
      </c>
      <c r="I28" s="10">
        <v>1470898.2823999999</v>
      </c>
      <c r="J28" s="10">
        <v>5533914.0959299998</v>
      </c>
      <c r="K28" s="10">
        <v>998909.66969999997</v>
      </c>
      <c r="L28" s="10">
        <v>1239335.96615</v>
      </c>
      <c r="M28" s="10">
        <v>711915.56160000002</v>
      </c>
      <c r="N28" s="10">
        <v>462966.69910000003</v>
      </c>
      <c r="O28" s="10">
        <v>729466.66310000001</v>
      </c>
      <c r="P28" s="10">
        <v>585363.34750000003</v>
      </c>
      <c r="Q28" s="10">
        <v>628841.70629999996</v>
      </c>
      <c r="R28" s="10">
        <v>580368.22809999995</v>
      </c>
      <c r="S28" s="10">
        <v>1826221.3970000001</v>
      </c>
      <c r="T28" s="10">
        <v>613909.0784</v>
      </c>
      <c r="U28" s="10">
        <v>332665.93709999998</v>
      </c>
      <c r="V28" s="10">
        <v>476050.85759999999</v>
      </c>
      <c r="W28" s="10">
        <v>600721.82449999999</v>
      </c>
      <c r="X28" s="10">
        <v>898155.8051</v>
      </c>
      <c r="Y28" s="10">
        <v>461166.54629999999</v>
      </c>
      <c r="Z28" s="10">
        <v>379359.48460000003</v>
      </c>
      <c r="AA28" s="10">
        <v>294483.51880000002</v>
      </c>
      <c r="AB28" s="10">
        <v>350659.62359999999</v>
      </c>
      <c r="AC28" s="10">
        <v>390580.86719999998</v>
      </c>
      <c r="AD28" s="10">
        <v>285418.68790000002</v>
      </c>
      <c r="AE28" s="10"/>
    </row>
    <row r="29" spans="1:31" x14ac:dyDescent="0.35">
      <c r="A29" s="8">
        <v>46136</v>
      </c>
      <c r="B29" s="9">
        <v>95251716.552180007</v>
      </c>
      <c r="C29" s="10">
        <v>46956175.688879997</v>
      </c>
      <c r="D29" s="10">
        <v>7056139.3674999997</v>
      </c>
      <c r="E29" s="10">
        <v>5194730.9967999998</v>
      </c>
      <c r="F29" s="10">
        <v>4078992.3404899999</v>
      </c>
      <c r="G29" s="10">
        <v>4767582.8980999999</v>
      </c>
      <c r="H29" s="10">
        <v>3255022.1767299999</v>
      </c>
      <c r="I29" s="10">
        <v>3172932.327</v>
      </c>
      <c r="J29" s="10">
        <v>1867132.06488</v>
      </c>
      <c r="K29" s="10">
        <v>2217350.9452</v>
      </c>
      <c r="L29" s="10">
        <v>1550551.2916999999</v>
      </c>
      <c r="M29" s="10">
        <v>1226990.879</v>
      </c>
      <c r="N29" s="10">
        <v>684811.29359999998</v>
      </c>
      <c r="O29" s="10">
        <v>1000364.3406999999</v>
      </c>
      <c r="P29" s="10">
        <v>1087664.3706</v>
      </c>
      <c r="Q29" s="10">
        <v>1004636.4036</v>
      </c>
      <c r="R29" s="10">
        <v>1190034.1364</v>
      </c>
      <c r="S29" s="10">
        <v>1456629.3008000001</v>
      </c>
      <c r="T29" s="10">
        <v>1049044.6011999999</v>
      </c>
      <c r="U29" s="10">
        <v>565723.50049999997</v>
      </c>
      <c r="V29" s="10">
        <v>899011.03350000002</v>
      </c>
      <c r="W29" s="10">
        <v>774002.14399999997</v>
      </c>
      <c r="X29" s="10">
        <v>479650.7537</v>
      </c>
      <c r="Y29" s="10">
        <v>800454.59180000005</v>
      </c>
      <c r="Z29" s="10">
        <v>709158.09470000002</v>
      </c>
      <c r="AA29" s="10">
        <v>700275.70810000005</v>
      </c>
      <c r="AB29" s="10">
        <v>665091.12549999997</v>
      </c>
      <c r="AC29" s="10">
        <v>381343.44219999999</v>
      </c>
      <c r="AD29" s="10">
        <v>460220.73499999999</v>
      </c>
      <c r="AE29" s="10"/>
    </row>
    <row r="30" spans="1:31" x14ac:dyDescent="0.35">
      <c r="A30" s="8">
        <v>46135</v>
      </c>
      <c r="B30" s="9">
        <v>113834439.73699</v>
      </c>
      <c r="C30" s="10">
        <v>65772824.538010001</v>
      </c>
      <c r="D30" s="10">
        <v>5856928.4199000001</v>
      </c>
      <c r="E30" s="10">
        <v>4923351.6447999999</v>
      </c>
      <c r="F30" s="10">
        <v>4707527.1467000004</v>
      </c>
      <c r="G30" s="10">
        <v>2422931.5057000001</v>
      </c>
      <c r="H30" s="10">
        <v>3814676.38417</v>
      </c>
      <c r="I30" s="10">
        <v>2489052.6893000002</v>
      </c>
      <c r="J30" s="10">
        <v>1909601.9715100001</v>
      </c>
      <c r="K30" s="10">
        <v>2338587.3437999999</v>
      </c>
      <c r="L30" s="10">
        <v>1955203.5186999999</v>
      </c>
      <c r="M30" s="10">
        <v>1377018.9327</v>
      </c>
      <c r="N30" s="10">
        <v>894711.01439999999</v>
      </c>
      <c r="O30" s="10">
        <v>1092717.0928</v>
      </c>
      <c r="P30" s="10">
        <v>1174591.0844000001</v>
      </c>
      <c r="Q30" s="10">
        <v>1104397.4268</v>
      </c>
      <c r="R30" s="10">
        <v>1094749.3219999999</v>
      </c>
      <c r="S30" s="10">
        <v>1743130.9236000001</v>
      </c>
      <c r="T30" s="10">
        <v>1147879.5282999999</v>
      </c>
      <c r="U30" s="10">
        <v>761159.87730000005</v>
      </c>
      <c r="V30" s="10">
        <v>1127522.7836</v>
      </c>
      <c r="W30" s="10">
        <v>1033560.2942</v>
      </c>
      <c r="X30" s="10">
        <v>638729.40139999997</v>
      </c>
      <c r="Y30" s="10">
        <v>874230.88699999999</v>
      </c>
      <c r="Z30" s="10">
        <v>827423.48730000004</v>
      </c>
      <c r="AA30" s="10">
        <v>850758.97790000006</v>
      </c>
      <c r="AB30" s="10">
        <v>780934.42850000004</v>
      </c>
      <c r="AC30" s="10">
        <v>638216.60010000004</v>
      </c>
      <c r="AD30" s="10">
        <v>482022.51209999999</v>
      </c>
      <c r="AE30" s="10"/>
    </row>
    <row r="31" spans="1:31" x14ac:dyDescent="0.35">
      <c r="A31" s="8">
        <v>46134</v>
      </c>
      <c r="B31" s="9">
        <v>78456358.032470003</v>
      </c>
      <c r="C31" s="10">
        <v>33420028.349920001</v>
      </c>
      <c r="D31" s="10">
        <v>8822009.0894000009</v>
      </c>
      <c r="E31" s="10">
        <v>4658833.7345000003</v>
      </c>
      <c r="F31" s="10">
        <v>3896304.5110599999</v>
      </c>
      <c r="G31" s="10">
        <v>3298348.7667</v>
      </c>
      <c r="H31" s="10">
        <v>2832126.5050300001</v>
      </c>
      <c r="I31" s="10">
        <v>2326578.9227</v>
      </c>
      <c r="J31" s="10">
        <v>1780637.6818599999</v>
      </c>
      <c r="K31" s="10">
        <v>1871659.7206999999</v>
      </c>
      <c r="L31" s="10">
        <v>1486367.7875000001</v>
      </c>
      <c r="M31" s="10">
        <v>1236989.2605000001</v>
      </c>
      <c r="N31" s="10">
        <v>867900.81319999998</v>
      </c>
      <c r="O31" s="10">
        <v>1061174.5434999999</v>
      </c>
      <c r="P31" s="10">
        <v>1068215.9606999999</v>
      </c>
      <c r="Q31" s="10">
        <v>1178710.2757000001</v>
      </c>
      <c r="R31" s="10">
        <v>950504.07929999998</v>
      </c>
      <c r="S31" s="10">
        <v>1122982.0098000001</v>
      </c>
      <c r="T31" s="10">
        <v>1056935.2523000001</v>
      </c>
      <c r="U31" s="10">
        <v>578212.05870000005</v>
      </c>
      <c r="V31" s="10">
        <v>911390.64610000001</v>
      </c>
      <c r="W31" s="10">
        <v>866636.90740000003</v>
      </c>
      <c r="X31" s="10">
        <v>502830.92660000001</v>
      </c>
      <c r="Y31" s="10">
        <v>762832.68629999994</v>
      </c>
      <c r="Z31" s="10">
        <v>700364.95539999998</v>
      </c>
      <c r="AA31" s="10">
        <v>595126.7463</v>
      </c>
      <c r="AB31" s="10">
        <v>602655.84129999997</v>
      </c>
      <c r="AC31" s="10"/>
      <c r="AD31" s="10"/>
      <c r="AE31" s="10"/>
    </row>
    <row r="32" spans="1:31" x14ac:dyDescent="0.35">
      <c r="A32" s="8">
        <v>46133</v>
      </c>
      <c r="B32" s="9">
        <v>94877560.87782</v>
      </c>
      <c r="C32" s="10">
        <v>47513195.131389998</v>
      </c>
      <c r="D32" s="10">
        <v>8008928.9106999999</v>
      </c>
      <c r="E32" s="10">
        <v>5093305.4615000002</v>
      </c>
      <c r="F32" s="10">
        <v>4589427.9000700004</v>
      </c>
      <c r="G32" s="10">
        <v>3056971.2662999998</v>
      </c>
      <c r="H32" s="10">
        <v>3696977.8960199999</v>
      </c>
      <c r="I32" s="10">
        <v>2789633.9021999999</v>
      </c>
      <c r="J32" s="10">
        <v>1711035.13729</v>
      </c>
      <c r="K32" s="10">
        <v>1906249.3757</v>
      </c>
      <c r="L32" s="10">
        <v>1650950.38325</v>
      </c>
      <c r="M32" s="10">
        <v>1379474.8795</v>
      </c>
      <c r="N32" s="10">
        <v>871592.24919999996</v>
      </c>
      <c r="O32" s="10">
        <v>1196560.0554</v>
      </c>
      <c r="P32" s="10">
        <v>1158601.3739</v>
      </c>
      <c r="Q32" s="10">
        <v>1081430.0226</v>
      </c>
      <c r="R32" s="10">
        <v>1061479.3625</v>
      </c>
      <c r="S32" s="10">
        <v>1294336.5478999999</v>
      </c>
      <c r="T32" s="10">
        <v>1078034.8578000001</v>
      </c>
      <c r="U32" s="10">
        <v>533650.14190000005</v>
      </c>
      <c r="V32" s="10">
        <v>1077737.6209</v>
      </c>
      <c r="W32" s="10">
        <v>809040.53289999999</v>
      </c>
      <c r="X32" s="10">
        <v>505128.7108</v>
      </c>
      <c r="Y32" s="10">
        <v>809691.20810000005</v>
      </c>
      <c r="Z32" s="10">
        <v>675084.54630000005</v>
      </c>
      <c r="AA32" s="10">
        <v>640486.69369999995</v>
      </c>
      <c r="AB32" s="10">
        <v>688556.71</v>
      </c>
      <c r="AC32" s="10"/>
      <c r="AD32" s="10"/>
      <c r="AE32" s="10"/>
    </row>
    <row r="33" spans="1:31" x14ac:dyDescent="0.35">
      <c r="A33" s="8">
        <v>46132</v>
      </c>
      <c r="B33" s="9">
        <v>78791357.540639997</v>
      </c>
      <c r="C33" s="10">
        <v>33482183.125489999</v>
      </c>
      <c r="D33" s="10">
        <v>6897943.4565000003</v>
      </c>
      <c r="E33" s="10">
        <v>4455499.1277000001</v>
      </c>
      <c r="F33" s="10">
        <v>3813884.83709</v>
      </c>
      <c r="G33" s="10">
        <v>2808328.8261000002</v>
      </c>
      <c r="H33" s="10">
        <v>3148083.08311</v>
      </c>
      <c r="I33" s="10">
        <v>2344312.8598000002</v>
      </c>
      <c r="J33" s="10">
        <v>3200380.8293300001</v>
      </c>
      <c r="K33" s="10">
        <v>1768541.1273000001</v>
      </c>
      <c r="L33" s="10">
        <v>2449273.9474200001</v>
      </c>
      <c r="M33" s="10">
        <v>1224235.6243</v>
      </c>
      <c r="N33" s="10">
        <v>782360.2622</v>
      </c>
      <c r="O33" s="10">
        <v>1027559.4736</v>
      </c>
      <c r="P33" s="10">
        <v>1111760.4634</v>
      </c>
      <c r="Q33" s="10">
        <v>1018509.6755</v>
      </c>
      <c r="R33" s="10">
        <v>1014313.6542</v>
      </c>
      <c r="S33" s="10">
        <v>1095550.9198</v>
      </c>
      <c r="T33" s="10">
        <v>1001911.407</v>
      </c>
      <c r="U33" s="10">
        <v>588013.52130000002</v>
      </c>
      <c r="V33" s="10">
        <v>885195.71660000004</v>
      </c>
      <c r="W33" s="10">
        <v>803395.64339999994</v>
      </c>
      <c r="X33" s="10">
        <v>1244670.9886</v>
      </c>
      <c r="Y33" s="10">
        <v>732436.05039999995</v>
      </c>
      <c r="Z33" s="10">
        <v>641957.95660000003</v>
      </c>
      <c r="AA33" s="10">
        <v>625070.60129999998</v>
      </c>
      <c r="AB33" s="10">
        <v>625984.36259999999</v>
      </c>
      <c r="AC33" s="10"/>
      <c r="AD33" s="10"/>
      <c r="AE33" s="10"/>
    </row>
    <row r="34" spans="1:31" x14ac:dyDescent="0.35">
      <c r="A34" s="8">
        <v>46131</v>
      </c>
      <c r="B34" s="9">
        <v>55775190.993479997</v>
      </c>
      <c r="C34" s="10">
        <v>22543448.57886</v>
      </c>
      <c r="D34" s="10">
        <v>4142334.7450999999</v>
      </c>
      <c r="E34" s="10">
        <v>2593892.3267999999</v>
      </c>
      <c r="F34" s="10">
        <v>3123329.1529000001</v>
      </c>
      <c r="G34" s="10">
        <v>1625790.8578999999</v>
      </c>
      <c r="H34" s="10">
        <v>1472067.49795</v>
      </c>
      <c r="I34" s="10">
        <v>1419997.9002</v>
      </c>
      <c r="J34" s="10">
        <v>1050451.67668</v>
      </c>
      <c r="K34" s="10">
        <v>1213993.1163000001</v>
      </c>
      <c r="L34" s="10">
        <v>1015907.51029</v>
      </c>
      <c r="M34" s="10">
        <v>778298.42130000005</v>
      </c>
      <c r="N34" s="10">
        <v>390186.73800000001</v>
      </c>
      <c r="O34" s="10">
        <v>613865.91520000005</v>
      </c>
      <c r="P34" s="10">
        <v>662407.31830000004</v>
      </c>
      <c r="Q34" s="10">
        <v>685944.1324</v>
      </c>
      <c r="R34" s="10">
        <v>621367.78879999998</v>
      </c>
      <c r="S34" s="10">
        <v>908513.93019999994</v>
      </c>
      <c r="T34" s="10">
        <v>600201.16449999996</v>
      </c>
      <c r="U34" s="10">
        <v>296310.89939999999</v>
      </c>
      <c r="V34" s="10">
        <v>496066.63140000001</v>
      </c>
      <c r="W34" s="10">
        <v>446464.38819999999</v>
      </c>
      <c r="X34" s="10">
        <v>7512138.7812999999</v>
      </c>
      <c r="Y34" s="10">
        <v>475465.63669999997</v>
      </c>
      <c r="Z34" s="10">
        <v>390587.00099999999</v>
      </c>
      <c r="AA34" s="10">
        <v>341184.25880000001</v>
      </c>
      <c r="AB34" s="10">
        <v>354974.625</v>
      </c>
      <c r="AC34" s="10"/>
      <c r="AD34" s="10"/>
      <c r="AE34" s="10"/>
    </row>
    <row r="35" spans="1:31" x14ac:dyDescent="0.35">
      <c r="A35" s="8">
        <v>46130</v>
      </c>
      <c r="B35" s="9">
        <v>45594116.774230003</v>
      </c>
      <c r="C35" s="10">
        <v>20646604.823539998</v>
      </c>
      <c r="D35" s="10">
        <v>3839239.5386000001</v>
      </c>
      <c r="E35" s="10">
        <v>2498934.6390999998</v>
      </c>
      <c r="F35" s="10">
        <v>2427920.8836099999</v>
      </c>
      <c r="G35" s="10">
        <v>1581906.5088</v>
      </c>
      <c r="H35" s="10">
        <v>1478488.68511</v>
      </c>
      <c r="I35" s="10">
        <v>1239304.2612999999</v>
      </c>
      <c r="J35" s="10">
        <v>1369388.16539</v>
      </c>
      <c r="K35" s="10">
        <v>1006194.9319</v>
      </c>
      <c r="L35" s="10">
        <v>956857.69648000004</v>
      </c>
      <c r="M35" s="10">
        <v>685346.97889999999</v>
      </c>
      <c r="N35" s="10">
        <v>429816.68030000001</v>
      </c>
      <c r="O35" s="10">
        <v>667205.63450000004</v>
      </c>
      <c r="P35" s="10">
        <v>673470.82649999997</v>
      </c>
      <c r="Q35" s="10">
        <v>711932.79009999998</v>
      </c>
      <c r="R35" s="10">
        <v>719918.03209999995</v>
      </c>
      <c r="S35" s="10">
        <v>925054.3898</v>
      </c>
      <c r="T35" s="10">
        <v>588725.55379999999</v>
      </c>
      <c r="U35" s="10">
        <v>347691.78269999998</v>
      </c>
      <c r="V35" s="10">
        <v>511583.9572</v>
      </c>
      <c r="W35" s="10">
        <v>507337.18780000001</v>
      </c>
      <c r="X35" s="10">
        <v>296519.9313</v>
      </c>
      <c r="Y35" s="10">
        <v>440204.23129999998</v>
      </c>
      <c r="Z35" s="10">
        <v>386647.97570000001</v>
      </c>
      <c r="AA35" s="10">
        <v>304101.6691</v>
      </c>
      <c r="AB35" s="10">
        <v>353719.01929999999</v>
      </c>
      <c r="AC35" s="10"/>
      <c r="AD35" s="10"/>
      <c r="AE35" s="10"/>
    </row>
    <row r="36" spans="1:31" x14ac:dyDescent="0.35">
      <c r="A36" s="8">
        <v>46129</v>
      </c>
      <c r="B36" s="9">
        <v>81768233.384430006</v>
      </c>
      <c r="C36" s="10">
        <v>36608754.976389997</v>
      </c>
      <c r="D36" s="10">
        <v>7706815.6918000001</v>
      </c>
      <c r="E36" s="10">
        <v>4597356.6308000004</v>
      </c>
      <c r="F36" s="10">
        <v>3764585.8996199998</v>
      </c>
      <c r="G36" s="10">
        <v>2951460.6142000002</v>
      </c>
      <c r="H36" s="10">
        <v>2081160.2686300001</v>
      </c>
      <c r="I36" s="10">
        <v>2687121.1488999999</v>
      </c>
      <c r="J36" s="10">
        <v>2106440.6699799998</v>
      </c>
      <c r="K36" s="10">
        <v>2240212.3681000001</v>
      </c>
      <c r="L36" s="10">
        <v>1590867.66191</v>
      </c>
      <c r="M36" s="10">
        <v>1348301.4331</v>
      </c>
      <c r="N36" s="10">
        <v>881588.97320000001</v>
      </c>
      <c r="O36" s="10">
        <v>1222876.5628</v>
      </c>
      <c r="P36" s="10">
        <v>1208762.8518000001</v>
      </c>
      <c r="Q36" s="10">
        <v>1000062.1122</v>
      </c>
      <c r="R36" s="10">
        <v>1053950.8026000001</v>
      </c>
      <c r="S36" s="10">
        <v>1518816.5815000001</v>
      </c>
      <c r="T36" s="10">
        <v>1201659.5389</v>
      </c>
      <c r="U36" s="10">
        <v>632839.95129999996</v>
      </c>
      <c r="V36" s="10">
        <v>1013140.7173</v>
      </c>
      <c r="W36" s="10">
        <v>965397.96059999999</v>
      </c>
      <c r="X36" s="10">
        <v>525855.95059999998</v>
      </c>
      <c r="Y36" s="10">
        <v>860555.71869999997</v>
      </c>
      <c r="Z36" s="10">
        <v>656191.40460000001</v>
      </c>
      <c r="AA36" s="10">
        <v>597581.33310000005</v>
      </c>
      <c r="AB36" s="10">
        <v>745875.56180000002</v>
      </c>
      <c r="AC36" s="10"/>
      <c r="AD36" s="10"/>
      <c r="AE36" s="10"/>
    </row>
    <row r="37" spans="1:31" x14ac:dyDescent="0.35">
      <c r="A37" s="8">
        <v>46128</v>
      </c>
      <c r="B37" s="9">
        <v>80870886.102909997</v>
      </c>
      <c r="C37" s="10">
        <v>36587933.030079998</v>
      </c>
      <c r="D37" s="10">
        <v>7156550.9510000004</v>
      </c>
      <c r="E37" s="10">
        <v>4228333.8979000002</v>
      </c>
      <c r="F37" s="10">
        <v>4088760.9578300002</v>
      </c>
      <c r="G37" s="10">
        <v>2958551.6688000001</v>
      </c>
      <c r="H37" s="10">
        <v>2382113.8114100001</v>
      </c>
      <c r="I37" s="10">
        <v>2599119.3385000001</v>
      </c>
      <c r="J37" s="10">
        <v>2027388.3666699999</v>
      </c>
      <c r="K37" s="10">
        <v>2043338.9147999999</v>
      </c>
      <c r="L37" s="10">
        <v>1663397.83782</v>
      </c>
      <c r="M37" s="10">
        <v>1275572.5508999999</v>
      </c>
      <c r="N37" s="10">
        <v>833031.23190000001</v>
      </c>
      <c r="O37" s="10">
        <v>1158184.4153</v>
      </c>
      <c r="P37" s="10">
        <v>1151194.2131000001</v>
      </c>
      <c r="Q37" s="10">
        <v>1071668.5706</v>
      </c>
      <c r="R37" s="10">
        <v>1028501.8332</v>
      </c>
      <c r="S37" s="10">
        <v>1769065.2561999999</v>
      </c>
      <c r="T37" s="10">
        <v>1219180.7071</v>
      </c>
      <c r="U37" s="10">
        <v>548726.81689999998</v>
      </c>
      <c r="V37" s="10">
        <v>969564.52489999996</v>
      </c>
      <c r="W37" s="10">
        <v>1001704.0551</v>
      </c>
      <c r="X37" s="10">
        <v>455549.5577</v>
      </c>
      <c r="Y37" s="10">
        <v>809683.62009999994</v>
      </c>
      <c r="Z37" s="10">
        <v>596044.11780000001</v>
      </c>
      <c r="AA37" s="10">
        <v>583703.54579999996</v>
      </c>
      <c r="AB37" s="10">
        <v>664022.31149999995</v>
      </c>
      <c r="AC37" s="10"/>
      <c r="AD37" s="10"/>
      <c r="AE37" s="10"/>
    </row>
    <row r="38" spans="1:31" x14ac:dyDescent="0.35">
      <c r="A38" s="8">
        <v>46127</v>
      </c>
      <c r="B38" s="9">
        <v>77311392.896109998</v>
      </c>
      <c r="C38" s="10">
        <v>34872084.59781</v>
      </c>
      <c r="D38" s="10">
        <v>7582744.5367999999</v>
      </c>
      <c r="E38" s="10">
        <v>4587305.8119000001</v>
      </c>
      <c r="F38" s="10">
        <v>3768268.89536</v>
      </c>
      <c r="G38" s="10">
        <v>2803299.6557999998</v>
      </c>
      <c r="H38" s="10">
        <v>2061552.3932099999</v>
      </c>
      <c r="I38" s="10">
        <v>2505033.3278999999</v>
      </c>
      <c r="J38" s="10">
        <v>1781518.79419</v>
      </c>
      <c r="K38" s="10">
        <v>2032908.5459</v>
      </c>
      <c r="L38" s="10">
        <v>1605766.2376399999</v>
      </c>
      <c r="M38" s="10">
        <v>1217130.5345000001</v>
      </c>
      <c r="N38" s="10">
        <v>837079.21340000001</v>
      </c>
      <c r="O38" s="10">
        <v>1143119.5114</v>
      </c>
      <c r="P38" s="10">
        <v>1139408.8041000001</v>
      </c>
      <c r="Q38" s="10">
        <v>1024477.2062</v>
      </c>
      <c r="R38" s="10">
        <v>963813.21420000005</v>
      </c>
      <c r="S38" s="10">
        <v>1088042.2823000001</v>
      </c>
      <c r="T38" s="10">
        <v>1050205.2971999999</v>
      </c>
      <c r="U38" s="10">
        <v>595786.04280000005</v>
      </c>
      <c r="V38" s="10">
        <v>773326.9571</v>
      </c>
      <c r="W38" s="10">
        <v>938877.94400000002</v>
      </c>
      <c r="X38" s="10">
        <v>487713.20970000001</v>
      </c>
      <c r="Y38" s="10">
        <v>733571.83050000004</v>
      </c>
      <c r="Z38" s="10">
        <v>586306.29379999998</v>
      </c>
      <c r="AA38" s="10">
        <v>511473.01510000002</v>
      </c>
      <c r="AB38" s="10">
        <v>620578.74329999997</v>
      </c>
      <c r="AC38" s="10"/>
      <c r="AD38" s="10"/>
      <c r="AE38" s="10"/>
    </row>
    <row r="39" spans="1:31" x14ac:dyDescent="0.35">
      <c r="A39" s="8">
        <v>46126</v>
      </c>
      <c r="B39" s="9">
        <v>83773047.951780006</v>
      </c>
      <c r="C39" s="10">
        <v>39328522.393569998</v>
      </c>
      <c r="D39" s="10">
        <v>7204166.6590999998</v>
      </c>
      <c r="E39" s="10">
        <v>5066689.7142000003</v>
      </c>
      <c r="F39" s="10">
        <v>4178298.4589499999</v>
      </c>
      <c r="G39" s="10">
        <v>2853048.4314999999</v>
      </c>
      <c r="H39" s="10">
        <v>2135923.7372400002</v>
      </c>
      <c r="I39" s="10">
        <v>2507196.6209999998</v>
      </c>
      <c r="J39" s="10">
        <v>2157181.8184400001</v>
      </c>
      <c r="K39" s="10">
        <v>1916564.8707999999</v>
      </c>
      <c r="L39" s="10">
        <v>1524535.98358</v>
      </c>
      <c r="M39" s="10">
        <v>1216221.5157000001</v>
      </c>
      <c r="N39" s="10">
        <v>866162.00490000006</v>
      </c>
      <c r="O39" s="10">
        <v>1236251.7305000001</v>
      </c>
      <c r="P39" s="10">
        <v>1208265.5808000001</v>
      </c>
      <c r="Q39" s="10">
        <v>1013304.7542</v>
      </c>
      <c r="R39" s="10">
        <v>1096547.5743</v>
      </c>
      <c r="S39" s="10">
        <v>1210680.3936000001</v>
      </c>
      <c r="T39" s="10">
        <v>1168405.1935000001</v>
      </c>
      <c r="U39" s="10">
        <v>706842.84340000001</v>
      </c>
      <c r="V39" s="10">
        <v>979095.19449999998</v>
      </c>
      <c r="W39" s="10">
        <v>967304.00749999995</v>
      </c>
      <c r="X39" s="10">
        <v>514225.87449999998</v>
      </c>
      <c r="Y39" s="10">
        <v>864145.47140000004</v>
      </c>
      <c r="Z39" s="10">
        <v>643604.429</v>
      </c>
      <c r="AA39" s="10">
        <v>543945.80310000002</v>
      </c>
      <c r="AB39" s="10">
        <v>665916.89249999996</v>
      </c>
      <c r="AC39" s="10"/>
      <c r="AD39" s="10"/>
      <c r="AE39" s="10"/>
    </row>
    <row r="40" spans="1:31" x14ac:dyDescent="0.35">
      <c r="A40" s="8">
        <v>46125</v>
      </c>
      <c r="B40" s="9">
        <v>76981071.433359995</v>
      </c>
      <c r="C40" s="10">
        <v>33289482.596469998</v>
      </c>
      <c r="D40" s="10">
        <v>6663996.5886000004</v>
      </c>
      <c r="E40" s="10">
        <v>4592897.5697999997</v>
      </c>
      <c r="F40" s="10">
        <v>3543454.1536599998</v>
      </c>
      <c r="G40" s="10">
        <v>2668185.9933000002</v>
      </c>
      <c r="H40" s="10">
        <v>3052144.0757300002</v>
      </c>
      <c r="I40" s="10">
        <v>2603020.2256</v>
      </c>
      <c r="J40" s="10">
        <v>1519169.8487499999</v>
      </c>
      <c r="K40" s="10">
        <v>2000010.0893000001</v>
      </c>
      <c r="L40" s="10">
        <v>2573474.5379499998</v>
      </c>
      <c r="M40" s="10">
        <v>1235350.7837</v>
      </c>
      <c r="N40" s="10">
        <v>819919.59089999995</v>
      </c>
      <c r="O40" s="10">
        <v>1035929.2195</v>
      </c>
      <c r="P40" s="10">
        <v>1074700.7712000001</v>
      </c>
      <c r="Q40" s="10">
        <v>1040108.9719</v>
      </c>
      <c r="R40" s="10">
        <v>1041962.2259</v>
      </c>
      <c r="S40" s="10">
        <v>1657340.5765</v>
      </c>
      <c r="T40" s="10">
        <v>1106943.8389000001</v>
      </c>
      <c r="U40" s="10">
        <v>579335.1237</v>
      </c>
      <c r="V40" s="10">
        <v>896345.90850000002</v>
      </c>
      <c r="W40" s="10">
        <v>879198.16260000004</v>
      </c>
      <c r="X40" s="10">
        <v>468156.83889999997</v>
      </c>
      <c r="Y40" s="10">
        <v>806459.34439999994</v>
      </c>
      <c r="Z40" s="10">
        <v>565908.62950000004</v>
      </c>
      <c r="AA40" s="10">
        <v>642935.04980000004</v>
      </c>
      <c r="AB40" s="10">
        <v>624640.71829999995</v>
      </c>
      <c r="AC40" s="10"/>
      <c r="AD40" s="10"/>
      <c r="AE40" s="10"/>
    </row>
    <row r="41" spans="1:31" x14ac:dyDescent="0.35">
      <c r="A41" s="8">
        <v>46124</v>
      </c>
      <c r="B41" s="9">
        <v>47380972.311959997</v>
      </c>
      <c r="C41" s="10">
        <v>19042054.948029999</v>
      </c>
      <c r="D41" s="10">
        <v>4964510.2706000004</v>
      </c>
      <c r="E41" s="10">
        <v>2752828.6381000001</v>
      </c>
      <c r="F41" s="10">
        <v>2726174.6544300001</v>
      </c>
      <c r="G41" s="10">
        <v>1843374.6984000001</v>
      </c>
      <c r="H41" s="10">
        <v>1863558.57553</v>
      </c>
      <c r="I41" s="10">
        <v>1549685.1194</v>
      </c>
      <c r="J41" s="10">
        <v>1324537.94692</v>
      </c>
      <c r="K41" s="10">
        <v>1279634.3809</v>
      </c>
      <c r="L41" s="10">
        <v>1085757.6705499999</v>
      </c>
      <c r="M41" s="10">
        <v>713582.6544</v>
      </c>
      <c r="N41" s="10">
        <v>544592.90260000003</v>
      </c>
      <c r="O41" s="10">
        <v>684967.39760000003</v>
      </c>
      <c r="P41" s="10">
        <v>734578.11710000003</v>
      </c>
      <c r="Q41" s="10">
        <v>697994.92260000005</v>
      </c>
      <c r="R41" s="10">
        <v>654903.2219</v>
      </c>
      <c r="S41" s="10">
        <v>924114.58360000001</v>
      </c>
      <c r="T41" s="10">
        <v>698034.40659999999</v>
      </c>
      <c r="U41" s="10">
        <v>348972.53970000002</v>
      </c>
      <c r="V41" s="10">
        <v>561365.44629999995</v>
      </c>
      <c r="W41" s="10">
        <v>528993.50749999995</v>
      </c>
      <c r="X41" s="10">
        <v>300258.25349999999</v>
      </c>
      <c r="Y41" s="10">
        <v>485433.36780000001</v>
      </c>
      <c r="Z41" s="10">
        <v>394901.80550000002</v>
      </c>
      <c r="AA41" s="10">
        <v>328197.24219999998</v>
      </c>
      <c r="AB41" s="10">
        <v>347965.04019999999</v>
      </c>
      <c r="AC41" s="10"/>
      <c r="AD41" s="10"/>
      <c r="AE41" s="10"/>
    </row>
    <row r="42" spans="1:31" x14ac:dyDescent="0.35">
      <c r="A42" s="8">
        <v>46123</v>
      </c>
      <c r="B42" s="9">
        <v>43600879.720899999</v>
      </c>
      <c r="C42" s="10">
        <v>19293732.085579999</v>
      </c>
      <c r="D42" s="10">
        <v>4023403.1886999998</v>
      </c>
      <c r="E42" s="10">
        <v>2487497.3097000001</v>
      </c>
      <c r="F42" s="10">
        <v>2013876.1471200001</v>
      </c>
      <c r="G42" s="10">
        <v>1668280.8026999999</v>
      </c>
      <c r="H42" s="10">
        <v>1253129.2164</v>
      </c>
      <c r="I42" s="10">
        <v>1301689.3794</v>
      </c>
      <c r="J42" s="10">
        <v>1301930.2570499999</v>
      </c>
      <c r="K42" s="10">
        <v>928438.34400000004</v>
      </c>
      <c r="L42" s="10">
        <v>1059812.2314500001</v>
      </c>
      <c r="M42" s="10">
        <v>638261.89370000002</v>
      </c>
      <c r="N42" s="10">
        <v>498379.5637</v>
      </c>
      <c r="O42" s="10">
        <v>725813.77989999996</v>
      </c>
      <c r="P42" s="10">
        <v>615397.51769999997</v>
      </c>
      <c r="Q42" s="10">
        <v>649842.00580000004</v>
      </c>
      <c r="R42" s="10">
        <v>621806.01450000005</v>
      </c>
      <c r="S42" s="10">
        <v>610119.17429999996</v>
      </c>
      <c r="T42" s="10">
        <v>656729.38780000003</v>
      </c>
      <c r="U42" s="10">
        <v>373170.66979999997</v>
      </c>
      <c r="V42" s="10">
        <v>521042.17560000002</v>
      </c>
      <c r="W42" s="10">
        <v>484575.67239999998</v>
      </c>
      <c r="X42" s="10">
        <v>327315.80849999998</v>
      </c>
      <c r="Y42" s="10">
        <v>474523.22019999998</v>
      </c>
      <c r="Z42" s="10">
        <v>389765.6618</v>
      </c>
      <c r="AA42" s="10">
        <v>311467.1606</v>
      </c>
      <c r="AB42" s="10">
        <v>370881.05249999999</v>
      </c>
      <c r="AC42" s="10"/>
      <c r="AD42" s="10"/>
      <c r="AE42" s="10"/>
    </row>
    <row r="43" spans="1:31" x14ac:dyDescent="0.35">
      <c r="A43" s="8">
        <v>46122</v>
      </c>
      <c r="B43" s="9">
        <v>71919106.750729993</v>
      </c>
      <c r="C43" s="10">
        <v>28895716.235040002</v>
      </c>
      <c r="D43" s="10">
        <v>7487713.7478999998</v>
      </c>
      <c r="E43" s="10">
        <v>4376585.8519000001</v>
      </c>
      <c r="F43" s="10">
        <v>3565757.4809099999</v>
      </c>
      <c r="G43" s="10">
        <v>2712690.5159</v>
      </c>
      <c r="H43" s="10">
        <v>3152747.4104800001</v>
      </c>
      <c r="I43" s="10">
        <v>2383580.9026000001</v>
      </c>
      <c r="J43" s="10">
        <v>2287646.5465500001</v>
      </c>
      <c r="K43" s="10">
        <v>1809435.4258000001</v>
      </c>
      <c r="L43" s="10">
        <v>1584197.49275</v>
      </c>
      <c r="M43" s="10">
        <v>1254187.6806000001</v>
      </c>
      <c r="N43" s="10">
        <v>856039.6618</v>
      </c>
      <c r="O43" s="10">
        <v>1083886.4701</v>
      </c>
      <c r="P43" s="10">
        <v>1058530.2490000001</v>
      </c>
      <c r="Q43" s="10">
        <v>1284155.9021999999</v>
      </c>
      <c r="R43" s="10">
        <v>924581.32590000005</v>
      </c>
      <c r="S43" s="10">
        <v>835777.25009999995</v>
      </c>
      <c r="T43" s="10">
        <v>995810.37860000005</v>
      </c>
      <c r="U43" s="10">
        <v>583791.89560000005</v>
      </c>
      <c r="V43" s="10">
        <v>981982.9094</v>
      </c>
      <c r="W43" s="10">
        <v>903672.82900000003</v>
      </c>
      <c r="X43" s="10">
        <v>370222.28049999999</v>
      </c>
      <c r="Y43" s="10">
        <v>737577.7071</v>
      </c>
      <c r="Z43" s="10">
        <v>675531.72779999999</v>
      </c>
      <c r="AA43" s="10">
        <v>535335.14769999997</v>
      </c>
      <c r="AB43" s="10">
        <v>581951.72549999994</v>
      </c>
      <c r="AC43" s="10"/>
      <c r="AD43" s="10"/>
      <c r="AE43" s="10"/>
    </row>
    <row r="44" spans="1:31" x14ac:dyDescent="0.35">
      <c r="A44" s="8">
        <v>46121</v>
      </c>
      <c r="B44" s="9">
        <v>73516606.588410005</v>
      </c>
      <c r="C44" s="10">
        <v>36929181.75818</v>
      </c>
      <c r="D44" s="10">
        <v>6680071.2648</v>
      </c>
      <c r="E44" s="10">
        <v>4840031.9387999997</v>
      </c>
      <c r="F44" s="10">
        <v>3465697.8396000001</v>
      </c>
      <c r="G44" s="10">
        <v>2761784.6795999999</v>
      </c>
      <c r="H44" s="10">
        <v>3406545.1171499998</v>
      </c>
      <c r="I44" s="10">
        <v>2319018.8676999998</v>
      </c>
      <c r="J44" s="10">
        <v>1433713.6275599999</v>
      </c>
      <c r="K44" s="10">
        <v>2056906.13</v>
      </c>
      <c r="L44" s="10">
        <v>1869663.32852</v>
      </c>
      <c r="M44" s="10">
        <v>1328710.1447000001</v>
      </c>
      <c r="N44" s="10">
        <v>338570.90779999999</v>
      </c>
      <c r="O44" s="10">
        <v>1194224.1688000001</v>
      </c>
      <c r="P44" s="10">
        <v>1223650.1802999999</v>
      </c>
      <c r="Q44" s="10">
        <v>1061318.8977999999</v>
      </c>
      <c r="R44" s="10">
        <v>1109198.9461999999</v>
      </c>
      <c r="S44" s="10">
        <v>8931.9933999999994</v>
      </c>
      <c r="T44" s="10">
        <v>1108290.8382999999</v>
      </c>
      <c r="U44" s="10">
        <v>379614.3811</v>
      </c>
      <c r="V44" s="10"/>
      <c r="W44" s="10"/>
      <c r="X44" s="10">
        <v>1481.5780999999999</v>
      </c>
      <c r="Y44" s="10"/>
      <c r="Z44" s="10"/>
      <c r="AA44" s="10"/>
      <c r="AB44" s="10"/>
      <c r="AC44" s="10"/>
      <c r="AD44" s="10"/>
      <c r="AE44" s="10"/>
    </row>
    <row r="45" spans="1:31" x14ac:dyDescent="0.35">
      <c r="A45" s="8">
        <v>46120</v>
      </c>
      <c r="B45" s="9">
        <v>65634620.600170001</v>
      </c>
      <c r="C45" s="10">
        <v>34494628.78052</v>
      </c>
      <c r="D45" s="10">
        <v>5857908.8925000001</v>
      </c>
      <c r="E45" s="10">
        <v>4103308.1592000001</v>
      </c>
      <c r="F45" s="10">
        <v>3386759.2177599999</v>
      </c>
      <c r="G45" s="10">
        <v>2663330.5090999999</v>
      </c>
      <c r="H45" s="10">
        <v>3183400.8531399998</v>
      </c>
      <c r="I45" s="10">
        <v>1691182.5485</v>
      </c>
      <c r="J45" s="10">
        <v>526867.51153000002</v>
      </c>
      <c r="K45" s="10">
        <v>1566562.798</v>
      </c>
      <c r="L45" s="10">
        <v>1767754.1927199999</v>
      </c>
      <c r="M45" s="10">
        <v>974082.06229999999</v>
      </c>
      <c r="N45" s="10">
        <v>6724.9573</v>
      </c>
      <c r="O45" s="10">
        <v>1111302.1336999999</v>
      </c>
      <c r="P45" s="10">
        <v>1163527.4142</v>
      </c>
      <c r="Q45" s="10">
        <v>1021947.5172999999</v>
      </c>
      <c r="R45" s="10">
        <v>1034657.4223</v>
      </c>
      <c r="S45" s="10">
        <v>6431.9332000000004</v>
      </c>
      <c r="T45" s="10">
        <v>1053072.8384</v>
      </c>
      <c r="U45" s="10">
        <v>21130.466499999999</v>
      </c>
      <c r="V45" s="10"/>
      <c r="W45" s="10"/>
      <c r="X45" s="10">
        <v>40.392000000000003</v>
      </c>
      <c r="Y45" s="10"/>
      <c r="Z45" s="10"/>
      <c r="AA45" s="10"/>
      <c r="AB45" s="10"/>
      <c r="AC45" s="10"/>
      <c r="AD45" s="10"/>
      <c r="AE45" s="10"/>
    </row>
    <row r="46" spans="1:31" x14ac:dyDescent="0.35">
      <c r="A46" s="8">
        <v>46119</v>
      </c>
      <c r="B46" s="9">
        <v>86597170.455720007</v>
      </c>
      <c r="C46" s="10">
        <v>47515577.560099997</v>
      </c>
      <c r="D46" s="10">
        <v>7806747.3450999996</v>
      </c>
      <c r="E46" s="10">
        <v>6124739.4528000001</v>
      </c>
      <c r="F46" s="10">
        <v>4458856.0473699998</v>
      </c>
      <c r="G46" s="10">
        <v>3245866.9038</v>
      </c>
      <c r="H46" s="10">
        <v>2486050.9306999999</v>
      </c>
      <c r="I46" s="10">
        <v>2328806.9339000001</v>
      </c>
      <c r="J46" s="10">
        <v>202858.30215999999</v>
      </c>
      <c r="K46" s="10">
        <v>2189846.8966000001</v>
      </c>
      <c r="L46" s="10">
        <v>2050319.5816899999</v>
      </c>
      <c r="M46" s="10">
        <v>1334144.3081</v>
      </c>
      <c r="N46" s="10">
        <v>10822.433000000001</v>
      </c>
      <c r="O46" s="10">
        <v>1428606.5338999999</v>
      </c>
      <c r="P46" s="10">
        <v>1453409.3484</v>
      </c>
      <c r="Q46" s="10">
        <v>1148532.5511</v>
      </c>
      <c r="R46" s="10">
        <v>1371856.0255</v>
      </c>
      <c r="S46" s="10"/>
      <c r="T46" s="10">
        <v>1410755.0098000001</v>
      </c>
      <c r="U46" s="10">
        <v>29074.768100000001</v>
      </c>
      <c r="V46" s="10"/>
      <c r="W46" s="10"/>
      <c r="X46" s="10">
        <v>299.52359999999999</v>
      </c>
      <c r="Y46" s="10"/>
      <c r="Z46" s="10"/>
      <c r="AA46" s="10"/>
      <c r="AB46" s="10"/>
      <c r="AC46" s="10"/>
      <c r="AD46" s="10"/>
      <c r="AE46" s="10"/>
    </row>
    <row r="47" spans="1:31" x14ac:dyDescent="0.35">
      <c r="A47" s="8">
        <v>46118</v>
      </c>
      <c r="B47" s="9">
        <v>60733288.536689997</v>
      </c>
      <c r="C47" s="10">
        <v>27441886.624740001</v>
      </c>
      <c r="D47" s="10">
        <v>7055107.5005000001</v>
      </c>
      <c r="E47" s="10">
        <v>4719556.5395</v>
      </c>
      <c r="F47" s="10">
        <v>3736895.2393100001</v>
      </c>
      <c r="G47" s="10">
        <v>2938857.6823999998</v>
      </c>
      <c r="H47" s="10">
        <v>2043687.42237</v>
      </c>
      <c r="I47" s="10">
        <v>1991484.6823</v>
      </c>
      <c r="J47" s="10">
        <v>78844.062659999996</v>
      </c>
      <c r="K47" s="10">
        <v>1834603.8025</v>
      </c>
      <c r="L47" s="10">
        <v>1713429.7076099999</v>
      </c>
      <c r="M47" s="10">
        <v>1120002.8117</v>
      </c>
      <c r="N47" s="10">
        <v>26527.154299999998</v>
      </c>
      <c r="O47" s="10">
        <v>1228949.7456</v>
      </c>
      <c r="P47" s="10">
        <v>1286710.6203999999</v>
      </c>
      <c r="Q47" s="10">
        <v>1028161.8662</v>
      </c>
      <c r="R47" s="10">
        <v>1238313.8256999999</v>
      </c>
      <c r="S47" s="10"/>
      <c r="T47" s="10">
        <v>1248168.9397</v>
      </c>
      <c r="U47" s="10">
        <v>2100.3092000000001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35">
      <c r="A48" s="8">
        <v>46117</v>
      </c>
      <c r="B48" s="9">
        <v>41094725.208499998</v>
      </c>
      <c r="C48" s="10">
        <v>19493357.223549999</v>
      </c>
      <c r="D48" s="10">
        <v>3851862.9619999998</v>
      </c>
      <c r="E48" s="10">
        <v>2767820.4098</v>
      </c>
      <c r="F48" s="10">
        <v>3044500.4352799999</v>
      </c>
      <c r="G48" s="10">
        <v>1601816.9916999999</v>
      </c>
      <c r="H48" s="10">
        <v>1599404.62809</v>
      </c>
      <c r="I48" s="10">
        <v>1933536.4654000001</v>
      </c>
      <c r="J48" s="10">
        <v>80847.610440000004</v>
      </c>
      <c r="K48" s="10">
        <v>1337839.5475999999</v>
      </c>
      <c r="L48" s="10">
        <v>1162566.0159400001</v>
      </c>
      <c r="M48" s="10">
        <v>967331.99659999995</v>
      </c>
      <c r="N48" s="10">
        <v>17536.317599999998</v>
      </c>
      <c r="O48" s="10">
        <v>656290.45640000002</v>
      </c>
      <c r="P48" s="10">
        <v>552196.21310000005</v>
      </c>
      <c r="Q48" s="10">
        <v>758715.36529999995</v>
      </c>
      <c r="R48" s="10">
        <v>491108.84230000002</v>
      </c>
      <c r="S48" s="10"/>
      <c r="T48" s="10">
        <v>777296.71889999998</v>
      </c>
      <c r="U48" s="10">
        <v>697.00850000000003</v>
      </c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 spans="1:31" x14ac:dyDescent="0.35">
      <c r="A49" s="8">
        <v>46116</v>
      </c>
      <c r="B49" s="9">
        <v>27024930.49027</v>
      </c>
      <c r="C49" s="10">
        <v>8591536.4279299993</v>
      </c>
      <c r="D49" s="10">
        <v>3432745.9794000001</v>
      </c>
      <c r="E49" s="10">
        <v>2629214.5066999998</v>
      </c>
      <c r="F49" s="10">
        <v>1891871.0660699999</v>
      </c>
      <c r="G49" s="10">
        <v>1633186.3811000001</v>
      </c>
      <c r="H49" s="10">
        <v>1142723.23141</v>
      </c>
      <c r="I49" s="10">
        <v>1616170.0808999999</v>
      </c>
      <c r="J49" s="10">
        <v>92431.710860000007</v>
      </c>
      <c r="K49" s="10">
        <v>1189895.7068</v>
      </c>
      <c r="L49" s="10">
        <v>834548.03280000004</v>
      </c>
      <c r="M49" s="10">
        <v>836501.97560000001</v>
      </c>
      <c r="N49" s="10">
        <v>4083.0544</v>
      </c>
      <c r="O49" s="10">
        <v>739363.73289999994</v>
      </c>
      <c r="P49" s="10">
        <v>522188.5148</v>
      </c>
      <c r="Q49" s="10">
        <v>653125.4804</v>
      </c>
      <c r="R49" s="10">
        <v>486242.96120000002</v>
      </c>
      <c r="S49" s="10"/>
      <c r="T49" s="10">
        <v>716531.56389999995</v>
      </c>
      <c r="U49" s="10">
        <v>12570.0831</v>
      </c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 spans="1:31" x14ac:dyDescent="0.35">
      <c r="A50" s="8">
        <v>46115</v>
      </c>
      <c r="B50" s="9">
        <v>52830312.838059999</v>
      </c>
      <c r="C50" s="10">
        <v>17247915.252489999</v>
      </c>
      <c r="D50" s="10">
        <v>7075242.051</v>
      </c>
      <c r="E50" s="10">
        <v>5329567.4117999999</v>
      </c>
      <c r="F50" s="10">
        <v>3887396.4301900002</v>
      </c>
      <c r="G50" s="10">
        <v>2900702.4939000001</v>
      </c>
      <c r="H50" s="10">
        <v>2007669.8363900001</v>
      </c>
      <c r="I50" s="10">
        <v>2783047.3522999999</v>
      </c>
      <c r="J50" s="10">
        <v>341421.15615</v>
      </c>
      <c r="K50" s="10">
        <v>2251175.7603000002</v>
      </c>
      <c r="L50" s="10">
        <v>1596357.27354</v>
      </c>
      <c r="M50" s="10">
        <v>1340832.3419999999</v>
      </c>
      <c r="N50" s="10">
        <v>21971.459200000001</v>
      </c>
      <c r="O50" s="10">
        <v>1189106.6396999999</v>
      </c>
      <c r="P50" s="10">
        <v>1439899.6455999999</v>
      </c>
      <c r="Q50" s="10">
        <v>1159470.5356999999</v>
      </c>
      <c r="R50" s="10">
        <v>1412277.8332</v>
      </c>
      <c r="S50" s="10"/>
      <c r="T50" s="10">
        <v>845555.59829999995</v>
      </c>
      <c r="U50" s="10">
        <v>703.7663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 spans="1:31" x14ac:dyDescent="0.35">
      <c r="A51" s="8">
        <v>46114</v>
      </c>
      <c r="B51" s="9">
        <v>80516729.662159994</v>
      </c>
      <c r="C51" s="10">
        <v>42005640.955459997</v>
      </c>
      <c r="D51" s="10">
        <v>7236593.2593</v>
      </c>
      <c r="E51" s="10">
        <v>5211546.5489999996</v>
      </c>
      <c r="F51" s="10">
        <v>3975815.81874</v>
      </c>
      <c r="G51" s="10">
        <v>2981469.6976999999</v>
      </c>
      <c r="H51" s="10">
        <v>4365869.6334800003</v>
      </c>
      <c r="I51" s="10">
        <v>2940093.4684000001</v>
      </c>
      <c r="J51" s="10">
        <v>454408.61618000001</v>
      </c>
      <c r="K51" s="10">
        <v>2405181.1960999998</v>
      </c>
      <c r="L51" s="10">
        <v>1729927.1695000001</v>
      </c>
      <c r="M51" s="10">
        <v>1498858.7089</v>
      </c>
      <c r="N51" s="10">
        <v>14750.209500000001</v>
      </c>
      <c r="O51" s="10">
        <v>1131398.0251</v>
      </c>
      <c r="P51" s="10">
        <v>1283018.1211999999</v>
      </c>
      <c r="Q51" s="10">
        <v>1091470.3115999999</v>
      </c>
      <c r="R51" s="10">
        <v>1259295.2631999999</v>
      </c>
      <c r="S51" s="10"/>
      <c r="T51" s="10">
        <v>925340.77549999999</v>
      </c>
      <c r="U51" s="10">
        <v>6051.8833000000004</v>
      </c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x14ac:dyDescent="0.35">
      <c r="A52" s="8">
        <v>46113</v>
      </c>
      <c r="B52" s="9">
        <v>75671887.98635</v>
      </c>
      <c r="C52" s="10">
        <v>38377094.279370002</v>
      </c>
      <c r="D52" s="10">
        <v>6649981.1405999996</v>
      </c>
      <c r="E52" s="10">
        <v>5108462.0866</v>
      </c>
      <c r="F52" s="10">
        <v>4575162.4957800005</v>
      </c>
      <c r="G52" s="10">
        <v>2920318.2910000002</v>
      </c>
      <c r="H52" s="10">
        <v>4165410.7488699998</v>
      </c>
      <c r="I52" s="10">
        <v>2262372.0454000002</v>
      </c>
      <c r="J52" s="10">
        <v>564790.99112000002</v>
      </c>
      <c r="K52" s="10">
        <v>2345151.8843999999</v>
      </c>
      <c r="L52" s="10">
        <v>1672773.17141</v>
      </c>
      <c r="M52" s="10">
        <v>1664778.9786</v>
      </c>
      <c r="N52" s="10">
        <v>2814.8701000000001</v>
      </c>
      <c r="O52" s="10">
        <v>1055687.4968999999</v>
      </c>
      <c r="P52" s="10">
        <v>1082619.0001999999</v>
      </c>
      <c r="Q52" s="10">
        <v>1101897.2986999999</v>
      </c>
      <c r="R52" s="10">
        <v>1218388.7072000001</v>
      </c>
      <c r="S52" s="10"/>
      <c r="T52" s="10">
        <v>902850.55119999999</v>
      </c>
      <c r="U52" s="10">
        <v>1333.9489000000001</v>
      </c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 spans="1:31" x14ac:dyDescent="0.35">
      <c r="A53" s="8">
        <v>46112</v>
      </c>
      <c r="B53" s="9">
        <v>83675889.940939993</v>
      </c>
      <c r="C53" s="10">
        <v>44035798.532350004</v>
      </c>
      <c r="D53" s="10">
        <v>6623181.9188000001</v>
      </c>
      <c r="E53" s="10">
        <v>5380441.7865000004</v>
      </c>
      <c r="F53" s="10">
        <v>4788758.1401000004</v>
      </c>
      <c r="G53" s="10">
        <v>2997470.9463999998</v>
      </c>
      <c r="H53" s="10">
        <v>4665249.14647</v>
      </c>
      <c r="I53" s="10">
        <v>2375679.7684999998</v>
      </c>
      <c r="J53" s="10">
        <v>295575.66808999999</v>
      </c>
      <c r="K53" s="10">
        <v>2512838.8895999999</v>
      </c>
      <c r="L53" s="10">
        <v>1932130.1821300001</v>
      </c>
      <c r="M53" s="10">
        <v>1736735.7132999999</v>
      </c>
      <c r="N53" s="10">
        <v>1386.2577000000001</v>
      </c>
      <c r="O53" s="10">
        <v>1487139.5411</v>
      </c>
      <c r="P53" s="10">
        <v>1118627.814</v>
      </c>
      <c r="Q53" s="10">
        <v>1550669.4643999999</v>
      </c>
      <c r="R53" s="10">
        <v>1261742.5484</v>
      </c>
      <c r="S53" s="10"/>
      <c r="T53" s="10">
        <v>909331.65119999996</v>
      </c>
      <c r="U53" s="10">
        <v>3131.9719</v>
      </c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 spans="1:31" x14ac:dyDescent="0.35">
      <c r="A54" s="8">
        <v>46111</v>
      </c>
      <c r="B54" s="9">
        <v>66190870.476510003</v>
      </c>
      <c r="C54" s="10">
        <v>31427980.369010001</v>
      </c>
      <c r="D54" s="10">
        <v>6255835.6666999999</v>
      </c>
      <c r="E54" s="10">
        <v>5016224.9168999996</v>
      </c>
      <c r="F54" s="10">
        <v>4410988.6910600001</v>
      </c>
      <c r="G54" s="10">
        <v>2826933.0798999998</v>
      </c>
      <c r="H54" s="10">
        <v>3495531.16854</v>
      </c>
      <c r="I54" s="10">
        <v>2344344.2814000002</v>
      </c>
      <c r="J54" s="10">
        <v>38999.410830000001</v>
      </c>
      <c r="K54" s="10">
        <v>2281908.5510999998</v>
      </c>
      <c r="L54" s="10">
        <v>1451635.1192699999</v>
      </c>
      <c r="M54" s="10">
        <v>1516991.1954000001</v>
      </c>
      <c r="N54" s="10">
        <v>7023.3024999999998</v>
      </c>
      <c r="O54" s="10">
        <v>975370.64980000001</v>
      </c>
      <c r="P54" s="10">
        <v>1023414.9835</v>
      </c>
      <c r="Q54" s="10">
        <v>921553.38809999998</v>
      </c>
      <c r="R54" s="10">
        <v>1200448.3381000001</v>
      </c>
      <c r="S54" s="10"/>
      <c r="T54" s="10">
        <v>877975.78960000002</v>
      </c>
      <c r="U54" s="10">
        <v>117711.5748</v>
      </c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x14ac:dyDescent="0.35">
      <c r="A55" s="8">
        <v>46110</v>
      </c>
      <c r="B55" s="9">
        <v>37205421.141350001</v>
      </c>
      <c r="C55" s="10">
        <v>15361684.661389999</v>
      </c>
      <c r="D55" s="10">
        <v>4092452.9999000002</v>
      </c>
      <c r="E55" s="10">
        <v>2819402.1968999999</v>
      </c>
      <c r="F55" s="10">
        <v>2500361.3681200002</v>
      </c>
      <c r="G55" s="10">
        <v>1542972.943</v>
      </c>
      <c r="H55" s="10">
        <v>1423565.1429399999</v>
      </c>
      <c r="I55" s="10">
        <v>1942450.5737000001</v>
      </c>
      <c r="J55" s="10">
        <v>518632.24297999998</v>
      </c>
      <c r="K55" s="10">
        <v>1502436.2631000001</v>
      </c>
      <c r="L55" s="10">
        <v>1310715.3627200001</v>
      </c>
      <c r="M55" s="10">
        <v>876764.86939999997</v>
      </c>
      <c r="N55" s="10">
        <v>961.08119999999997</v>
      </c>
      <c r="O55" s="10">
        <v>749370.31629999995</v>
      </c>
      <c r="P55" s="10">
        <v>512509.505</v>
      </c>
      <c r="Q55" s="10">
        <v>808452.98030000005</v>
      </c>
      <c r="R55" s="10">
        <v>730273.70719999995</v>
      </c>
      <c r="S55" s="10"/>
      <c r="T55" s="10">
        <v>510268.35139999999</v>
      </c>
      <c r="U55" s="10">
        <v>2146.5758000000001</v>
      </c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x14ac:dyDescent="0.35">
      <c r="A56" s="8">
        <v>46109</v>
      </c>
      <c r="B56" s="9">
        <v>30926285.288800001</v>
      </c>
      <c r="C56" s="10">
        <v>9990892.3590999991</v>
      </c>
      <c r="D56" s="10">
        <v>3912140.5238999999</v>
      </c>
      <c r="E56" s="10">
        <v>2868231.1313</v>
      </c>
      <c r="F56" s="10">
        <v>2356478.7137000002</v>
      </c>
      <c r="G56" s="10">
        <v>1765820.4291000001</v>
      </c>
      <c r="H56" s="10">
        <v>1275096.2887599999</v>
      </c>
      <c r="I56" s="10">
        <v>1893383.5499</v>
      </c>
      <c r="J56" s="10">
        <v>73582.963090000005</v>
      </c>
      <c r="K56" s="10">
        <v>1404567.7511</v>
      </c>
      <c r="L56" s="10">
        <v>1063227.78465</v>
      </c>
      <c r="M56" s="10">
        <v>804056.80729999999</v>
      </c>
      <c r="N56" s="10">
        <v>695.73429999999996</v>
      </c>
      <c r="O56" s="10">
        <v>671246.43669999996</v>
      </c>
      <c r="P56" s="10">
        <v>624720.67020000005</v>
      </c>
      <c r="Q56" s="10">
        <v>711574.44629999995</v>
      </c>
      <c r="R56" s="10">
        <v>784592.2585</v>
      </c>
      <c r="S56" s="10"/>
      <c r="T56" s="10">
        <v>515268.80670000002</v>
      </c>
      <c r="U56" s="10">
        <v>210708.6342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x14ac:dyDescent="0.35">
      <c r="A57" s="8">
        <v>46108</v>
      </c>
      <c r="B57" s="9">
        <v>61306979.155979998</v>
      </c>
      <c r="C57" s="10">
        <v>27911392.913819999</v>
      </c>
      <c r="D57" s="10">
        <v>7901672.9929</v>
      </c>
      <c r="E57" s="10">
        <v>4792425.3602</v>
      </c>
      <c r="F57" s="10">
        <v>3996352.5704299998</v>
      </c>
      <c r="G57" s="10">
        <v>2775534.1938999998</v>
      </c>
      <c r="H57" s="10">
        <v>2683752.0443799999</v>
      </c>
      <c r="I57" s="10">
        <v>2239068.2130999998</v>
      </c>
      <c r="J57" s="10">
        <v>957119.85682999995</v>
      </c>
      <c r="K57" s="10">
        <v>1707305.9990999999</v>
      </c>
      <c r="L57" s="10">
        <v>2168103.9712200002</v>
      </c>
      <c r="M57" s="10">
        <v>1347125.4820999999</v>
      </c>
      <c r="N57" s="10">
        <v>109976.0586</v>
      </c>
      <c r="O57" s="10">
        <v>879803.16839999997</v>
      </c>
      <c r="P57" s="10"/>
      <c r="Q57" s="10">
        <v>904420.54559999995</v>
      </c>
      <c r="R57" s="10"/>
      <c r="S57" s="10"/>
      <c r="T57" s="10"/>
      <c r="U57" s="10">
        <v>932925.78540000005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x14ac:dyDescent="0.35">
      <c r="A58" s="8">
        <v>46107</v>
      </c>
      <c r="B58" s="9">
        <v>183437621.85275</v>
      </c>
      <c r="C58" s="10">
        <v>81378977.078810006</v>
      </c>
      <c r="D58" s="10">
        <v>31913288.818599999</v>
      </c>
      <c r="E58" s="10">
        <v>5439224.1128000002</v>
      </c>
      <c r="F58" s="10">
        <v>8506327.6793300007</v>
      </c>
      <c r="G58" s="10">
        <v>2938163.3621999999</v>
      </c>
      <c r="H58" s="10">
        <v>6491724.9047299996</v>
      </c>
      <c r="I58" s="10">
        <v>8092594.5379999997</v>
      </c>
      <c r="J58" s="10">
        <v>3030281.6920699999</v>
      </c>
      <c r="K58" s="10">
        <v>3024203.0052</v>
      </c>
      <c r="L58" s="10">
        <v>11594856.36101</v>
      </c>
      <c r="M58" s="10">
        <v>1705293.5674999999</v>
      </c>
      <c r="N58" s="10">
        <v>12300192.867699999</v>
      </c>
      <c r="O58" s="10">
        <v>655201.6311</v>
      </c>
      <c r="P58" s="10"/>
      <c r="Q58" s="10">
        <v>871741.15079999994</v>
      </c>
      <c r="R58" s="10"/>
      <c r="S58" s="10"/>
      <c r="T58" s="10"/>
      <c r="U58" s="10">
        <v>5495551.0828999998</v>
      </c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x14ac:dyDescent="0.35">
      <c r="A59" s="8">
        <v>46106</v>
      </c>
      <c r="B59" s="9">
        <v>89459895.506459996</v>
      </c>
      <c r="C59" s="10">
        <v>41367763.12438</v>
      </c>
      <c r="D59" s="10">
        <v>16725078.511499999</v>
      </c>
      <c r="E59" s="10">
        <v>5294897.6101000002</v>
      </c>
      <c r="F59" s="10">
        <v>4576155.3171399999</v>
      </c>
      <c r="G59" s="10">
        <v>2507684.4046</v>
      </c>
      <c r="H59" s="10">
        <v>2611921.0984299998</v>
      </c>
      <c r="I59" s="10">
        <v>3806785.2078</v>
      </c>
      <c r="J59" s="10">
        <v>4917330.4029900003</v>
      </c>
      <c r="K59" s="10">
        <v>1708830.5388</v>
      </c>
      <c r="L59" s="10">
        <v>1677242.9061199999</v>
      </c>
      <c r="M59" s="10">
        <v>1570931.1671</v>
      </c>
      <c r="N59" s="10">
        <v>669487.42599999998</v>
      </c>
      <c r="O59" s="10">
        <v>3705.7345999999998</v>
      </c>
      <c r="P59" s="10"/>
      <c r="Q59" s="10">
        <v>668.11030000000005</v>
      </c>
      <c r="R59" s="10"/>
      <c r="S59" s="10"/>
      <c r="T59" s="10"/>
      <c r="U59" s="10">
        <v>2021413.9465999999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x14ac:dyDescent="0.35">
      <c r="A60" s="8">
        <v>46105</v>
      </c>
      <c r="B60" s="9">
        <v>102585232.65617</v>
      </c>
      <c r="C60" s="10">
        <v>60164004.503729999</v>
      </c>
      <c r="D60" s="10">
        <v>8969584.7588</v>
      </c>
      <c r="E60" s="10">
        <v>5564148.4752000002</v>
      </c>
      <c r="F60" s="10">
        <v>5750528.4675599998</v>
      </c>
      <c r="G60" s="10">
        <v>2753934.2138</v>
      </c>
      <c r="H60" s="10">
        <v>2869514.2735700002</v>
      </c>
      <c r="I60" s="10">
        <v>3240481.4833</v>
      </c>
      <c r="J60" s="10">
        <v>5685172.7022399995</v>
      </c>
      <c r="K60" s="10">
        <v>1868045.0930999999</v>
      </c>
      <c r="L60" s="10">
        <v>1784203.5917700001</v>
      </c>
      <c r="M60" s="10">
        <v>1662520.3940000001</v>
      </c>
      <c r="N60" s="10">
        <v>839775.21799999999</v>
      </c>
      <c r="O60" s="10"/>
      <c r="P60" s="10"/>
      <c r="Q60" s="10"/>
      <c r="R60" s="10"/>
      <c r="S60" s="10"/>
      <c r="T60" s="10"/>
      <c r="U60" s="10">
        <v>1433319.4811</v>
      </c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x14ac:dyDescent="0.35">
      <c r="A61" s="8">
        <v>46104</v>
      </c>
      <c r="B61" s="9">
        <v>86953267.584179997</v>
      </c>
      <c r="C61" s="10">
        <v>44033503.08145</v>
      </c>
      <c r="D61" s="10">
        <v>7856686.5749000004</v>
      </c>
      <c r="E61" s="10">
        <v>5205239.7273000004</v>
      </c>
      <c r="F61" s="10">
        <v>5428316.7377699995</v>
      </c>
      <c r="G61" s="10">
        <v>2636673.5956000001</v>
      </c>
      <c r="H61" s="10">
        <v>2581722.06018</v>
      </c>
      <c r="I61" s="10">
        <v>2118071.9015000002</v>
      </c>
      <c r="J61" s="10">
        <v>5947708.6609800002</v>
      </c>
      <c r="K61" s="10">
        <v>1719569.5778000001</v>
      </c>
      <c r="L61" s="10">
        <v>1548866.3947999999</v>
      </c>
      <c r="M61" s="10">
        <v>1916318.7001</v>
      </c>
      <c r="N61" s="10">
        <v>4993521.3775000004</v>
      </c>
      <c r="O61" s="10"/>
      <c r="P61" s="10"/>
      <c r="Q61" s="10"/>
      <c r="R61" s="10"/>
      <c r="S61" s="10"/>
      <c r="T61" s="10"/>
      <c r="U61" s="10">
        <v>967069.19429999997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 spans="1:31" x14ac:dyDescent="0.35">
      <c r="A62" s="8">
        <v>46103</v>
      </c>
      <c r="B62" s="9">
        <v>50569502.967200004</v>
      </c>
      <c r="C62" s="10">
        <v>22153367.573320001</v>
      </c>
      <c r="D62" s="10">
        <v>4439721.4197000004</v>
      </c>
      <c r="E62" s="10">
        <v>2901901.9917000001</v>
      </c>
      <c r="F62" s="10">
        <v>2507459.9624399999</v>
      </c>
      <c r="G62" s="10">
        <v>1608998.3914999999</v>
      </c>
      <c r="H62" s="10">
        <v>1547930.6987099999</v>
      </c>
      <c r="I62" s="10">
        <v>1886967.9010999999</v>
      </c>
      <c r="J62" s="10">
        <v>5952524.59351</v>
      </c>
      <c r="K62" s="10">
        <v>1355842.5527999999</v>
      </c>
      <c r="L62" s="10">
        <v>3862710.8765199999</v>
      </c>
      <c r="M62" s="10">
        <v>821449.54299999995</v>
      </c>
      <c r="N62" s="10">
        <v>762647.58409999998</v>
      </c>
      <c r="O62" s="10"/>
      <c r="P62" s="10"/>
      <c r="Q62" s="10"/>
      <c r="R62" s="10"/>
      <c r="S62" s="10"/>
      <c r="T62" s="10"/>
      <c r="U62" s="10">
        <v>767979.87879999995</v>
      </c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x14ac:dyDescent="0.35">
      <c r="A63" s="8">
        <v>46102</v>
      </c>
      <c r="B63" s="9">
        <v>46474996.492969997</v>
      </c>
      <c r="C63" s="10">
        <v>12484697.38205</v>
      </c>
      <c r="D63" s="10">
        <v>4347506.2512999997</v>
      </c>
      <c r="E63" s="10">
        <v>2960017.8489000001</v>
      </c>
      <c r="F63" s="10">
        <v>1913300.5353900001</v>
      </c>
      <c r="G63" s="10">
        <v>1277873.0322</v>
      </c>
      <c r="H63" s="10">
        <v>1392981.0769100001</v>
      </c>
      <c r="I63" s="10">
        <v>2715628.2922999999</v>
      </c>
      <c r="J63" s="10">
        <v>5715050.0508099999</v>
      </c>
      <c r="K63" s="10">
        <v>1140640.3151</v>
      </c>
      <c r="L63" s="10">
        <v>1494224.7267100001</v>
      </c>
      <c r="M63" s="10">
        <v>1036749.5862</v>
      </c>
      <c r="N63" s="10">
        <v>3149860.6529000001</v>
      </c>
      <c r="O63" s="10"/>
      <c r="P63" s="10"/>
      <c r="Q63" s="10"/>
      <c r="R63" s="10"/>
      <c r="S63" s="10"/>
      <c r="T63" s="10"/>
      <c r="U63" s="10">
        <v>6846466.7422000002</v>
      </c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x14ac:dyDescent="0.35">
      <c r="A64" s="8">
        <v>46101</v>
      </c>
      <c r="B64" s="9">
        <v>69427736.263549998</v>
      </c>
      <c r="C64" s="10">
        <v>33932691.008199997</v>
      </c>
      <c r="D64" s="10">
        <v>7955612.6185999997</v>
      </c>
      <c r="E64" s="10">
        <v>4699906.2189999996</v>
      </c>
      <c r="F64" s="10">
        <v>4760576.86809</v>
      </c>
      <c r="G64" s="10">
        <v>2850011.5764000001</v>
      </c>
      <c r="H64" s="10">
        <v>2009905.6516199999</v>
      </c>
      <c r="I64" s="10">
        <v>2466156.6482000002</v>
      </c>
      <c r="J64" s="10">
        <v>4033953.96007</v>
      </c>
      <c r="K64" s="10">
        <v>2098433.0476000002</v>
      </c>
      <c r="L64" s="10">
        <v>1486261.32127</v>
      </c>
      <c r="M64" s="10">
        <v>1505644.7401000001</v>
      </c>
      <c r="N64" s="10">
        <v>742646.8077</v>
      </c>
      <c r="O64" s="10"/>
      <c r="P64" s="10"/>
      <c r="Q64" s="10"/>
      <c r="R64" s="10"/>
      <c r="S64" s="10"/>
      <c r="T64" s="10"/>
      <c r="U64" s="10">
        <v>885935.79669999995</v>
      </c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x14ac:dyDescent="0.35">
      <c r="A65" s="8">
        <v>46100</v>
      </c>
      <c r="B65" s="9">
        <v>68155047.309190005</v>
      </c>
      <c r="C65" s="10">
        <v>32313030.0856</v>
      </c>
      <c r="D65" s="10">
        <v>8046252.142</v>
      </c>
      <c r="E65" s="10">
        <v>4735045.0854000002</v>
      </c>
      <c r="F65" s="10">
        <v>4964710.2675900003</v>
      </c>
      <c r="G65" s="10">
        <v>2684440.8758</v>
      </c>
      <c r="H65" s="10">
        <v>2166110.1386299999</v>
      </c>
      <c r="I65" s="10">
        <v>2229792.0858999998</v>
      </c>
      <c r="J65" s="10">
        <v>4058412.1627799999</v>
      </c>
      <c r="K65" s="10">
        <v>2207388.4514000001</v>
      </c>
      <c r="L65" s="10">
        <v>1706555.8105899999</v>
      </c>
      <c r="M65" s="10">
        <v>1486763.4674</v>
      </c>
      <c r="N65" s="10">
        <v>791718.49410000001</v>
      </c>
      <c r="O65" s="10"/>
      <c r="P65" s="10"/>
      <c r="Q65" s="10"/>
      <c r="R65" s="10"/>
      <c r="S65" s="10"/>
      <c r="T65" s="10"/>
      <c r="U65" s="10">
        <v>764828.24199999997</v>
      </c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x14ac:dyDescent="0.35">
      <c r="A66" s="8">
        <v>46099</v>
      </c>
      <c r="B66" s="9">
        <v>59566021.36908</v>
      </c>
      <c r="C66" s="10">
        <v>22170989.173140001</v>
      </c>
      <c r="D66" s="10">
        <v>7747384.0904999999</v>
      </c>
      <c r="E66" s="10">
        <v>4673417.8863000004</v>
      </c>
      <c r="F66" s="10">
        <v>4722965.6695499998</v>
      </c>
      <c r="G66" s="10">
        <v>2924868.4032000001</v>
      </c>
      <c r="H66" s="10">
        <v>3310198.3311899998</v>
      </c>
      <c r="I66" s="10">
        <v>2372978.3881999999</v>
      </c>
      <c r="J66" s="10">
        <v>4813436.6284600003</v>
      </c>
      <c r="K66" s="10">
        <v>2153190.0852999999</v>
      </c>
      <c r="L66" s="10">
        <v>1723697.36524</v>
      </c>
      <c r="M66" s="10">
        <v>1489748.1599000001</v>
      </c>
      <c r="N66" s="10">
        <v>758711.32559999998</v>
      </c>
      <c r="O66" s="10"/>
      <c r="P66" s="10"/>
      <c r="Q66" s="10"/>
      <c r="R66" s="10"/>
      <c r="S66" s="10"/>
      <c r="T66" s="10"/>
      <c r="U66" s="10">
        <v>704435.86250000005</v>
      </c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 spans="1:31" x14ac:dyDescent="0.35">
      <c r="A67" s="8">
        <v>46098</v>
      </c>
      <c r="B67" s="9">
        <v>55785693.860720001</v>
      </c>
      <c r="C67" s="10">
        <v>21304712.771790002</v>
      </c>
      <c r="D67" s="10">
        <v>7929741.0360000003</v>
      </c>
      <c r="E67" s="10">
        <v>4581866.7390000001</v>
      </c>
      <c r="F67" s="10">
        <v>3965100.0578999999</v>
      </c>
      <c r="G67" s="10">
        <v>2762759.1708</v>
      </c>
      <c r="H67" s="10">
        <v>3796771.2955</v>
      </c>
      <c r="I67" s="10">
        <v>2126284.0992999999</v>
      </c>
      <c r="J67" s="10">
        <v>3299483.83983</v>
      </c>
      <c r="K67" s="10">
        <v>1517585.7766</v>
      </c>
      <c r="L67" s="10">
        <v>2125646.0924</v>
      </c>
      <c r="M67" s="10">
        <v>1082286.1106</v>
      </c>
      <c r="N67" s="10">
        <v>796265.39650000003</v>
      </c>
      <c r="O67" s="10"/>
      <c r="P67" s="10"/>
      <c r="Q67" s="10"/>
      <c r="R67" s="10"/>
      <c r="S67" s="10"/>
      <c r="T67" s="10"/>
      <c r="U67" s="10">
        <v>497191.47450000001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20" width="14" customWidth="1"/>
  </cols>
  <sheetData>
    <row r="1" spans="1:20" x14ac:dyDescent="0.35">
      <c r="A1" s="1" t="s">
        <v>0</v>
      </c>
      <c r="C1" s="2" t="s">
        <v>1</v>
      </c>
      <c r="D1" s="2" t="s">
        <v>1</v>
      </c>
      <c r="E1" s="2" t="s">
        <v>1</v>
      </c>
      <c r="F1" s="3" t="s">
        <v>2</v>
      </c>
      <c r="G1" s="6" t="s">
        <v>5</v>
      </c>
      <c r="H1" s="4" t="s">
        <v>3</v>
      </c>
      <c r="I1" s="6" t="s">
        <v>5</v>
      </c>
      <c r="J1" s="3" t="s">
        <v>2</v>
      </c>
      <c r="K1" s="3" t="s">
        <v>2</v>
      </c>
      <c r="L1" s="2" t="s">
        <v>1</v>
      </c>
      <c r="M1" s="3" t="s">
        <v>2</v>
      </c>
      <c r="N1" s="3" t="s">
        <v>2</v>
      </c>
      <c r="O1" s="2" t="s">
        <v>1</v>
      </c>
      <c r="P1" s="3" t="s">
        <v>2</v>
      </c>
      <c r="Q1" s="5" t="s">
        <v>4</v>
      </c>
      <c r="R1" s="2" t="s">
        <v>1</v>
      </c>
      <c r="S1" s="4" t="s">
        <v>3</v>
      </c>
      <c r="T1" s="5" t="s">
        <v>4</v>
      </c>
    </row>
    <row r="2" spans="1:20" x14ac:dyDescent="0.35">
      <c r="A2" s="7" t="s">
        <v>6</v>
      </c>
      <c r="B2" s="7" t="s">
        <v>7</v>
      </c>
      <c r="C2" s="7" t="s">
        <v>8</v>
      </c>
      <c r="D2" s="7" t="s">
        <v>10</v>
      </c>
      <c r="E2" s="7" t="s">
        <v>9</v>
      </c>
      <c r="F2" s="7" t="s">
        <v>12</v>
      </c>
      <c r="G2" s="7" t="s">
        <v>139</v>
      </c>
      <c r="H2" s="7" t="s">
        <v>201</v>
      </c>
      <c r="I2" s="7" t="s">
        <v>199</v>
      </c>
      <c r="J2" s="7" t="s">
        <v>13</v>
      </c>
      <c r="K2" s="7" t="s">
        <v>16</v>
      </c>
      <c r="L2" s="7" t="s">
        <v>22</v>
      </c>
      <c r="M2" s="7" t="s">
        <v>25</v>
      </c>
      <c r="N2" s="7" t="s">
        <v>27</v>
      </c>
      <c r="O2" s="7" t="s">
        <v>33</v>
      </c>
      <c r="P2" s="7" t="s">
        <v>21</v>
      </c>
      <c r="Q2" s="7" t="s">
        <v>202</v>
      </c>
      <c r="R2" s="7" t="s">
        <v>24</v>
      </c>
      <c r="S2" s="7" t="s">
        <v>203</v>
      </c>
      <c r="T2" s="7" t="s">
        <v>63</v>
      </c>
    </row>
    <row r="3" spans="1:20" x14ac:dyDescent="0.35">
      <c r="A3" s="8">
        <v>46181</v>
      </c>
      <c r="B3" s="9">
        <v>7573601.6984759998</v>
      </c>
      <c r="C3" s="10">
        <v>3388043.7899600002</v>
      </c>
      <c r="D3" s="10">
        <v>1674800.7102000001</v>
      </c>
      <c r="E3" s="10">
        <v>1156717.9195000001</v>
      </c>
      <c r="F3" s="10">
        <v>28689.274860000001</v>
      </c>
      <c r="G3" s="10">
        <v>137150.79399999999</v>
      </c>
      <c r="H3" s="10">
        <v>416699.49024000001</v>
      </c>
      <c r="I3" s="10">
        <v>24361.68966</v>
      </c>
      <c r="J3" s="10">
        <v>67668.909199999995</v>
      </c>
      <c r="K3" s="10">
        <v>27903.761399999999</v>
      </c>
      <c r="L3" s="10">
        <v>26073.4872</v>
      </c>
      <c r="M3" s="10">
        <v>6900.7494399999996</v>
      </c>
      <c r="N3" s="10">
        <v>10728.167100000001</v>
      </c>
      <c r="O3" s="10">
        <v>55621.406256000002</v>
      </c>
      <c r="P3" s="10">
        <v>60685.785759999999</v>
      </c>
      <c r="Q3" s="10">
        <v>436965.05080000003</v>
      </c>
      <c r="R3" s="10">
        <v>14479.80054</v>
      </c>
      <c r="S3" s="10">
        <v>10471.27716</v>
      </c>
      <c r="T3" s="10">
        <v>29639.635200000001</v>
      </c>
    </row>
    <row r="4" spans="1:20" x14ac:dyDescent="0.35">
      <c r="A4" s="8">
        <v>46180</v>
      </c>
      <c r="B4" s="9">
        <v>5197837.5359479999</v>
      </c>
      <c r="C4" s="10">
        <v>2961739.6085999999</v>
      </c>
      <c r="D4" s="10">
        <v>676770.27170000004</v>
      </c>
      <c r="E4" s="10">
        <v>900244.32654000004</v>
      </c>
      <c r="F4" s="10">
        <v>19177.911499999998</v>
      </c>
      <c r="G4" s="10">
        <v>21363.892500000002</v>
      </c>
      <c r="H4" s="10">
        <v>210938.71960000001</v>
      </c>
      <c r="I4" s="10">
        <v>25077.016800000001</v>
      </c>
      <c r="J4" s="10">
        <v>61332.400800000003</v>
      </c>
      <c r="K4" s="10">
        <v>51226.385799999996</v>
      </c>
      <c r="L4" s="10">
        <v>37725.185519999999</v>
      </c>
      <c r="M4" s="10">
        <v>17865.564600000002</v>
      </c>
      <c r="N4" s="10">
        <v>9794.1747200000009</v>
      </c>
      <c r="O4" s="10">
        <v>68440.624307999999</v>
      </c>
      <c r="P4" s="10">
        <v>18553.715039999999</v>
      </c>
      <c r="Q4" s="10">
        <v>50018.514000000003</v>
      </c>
      <c r="R4" s="10">
        <v>21232.671200000001</v>
      </c>
      <c r="S4" s="10">
        <v>7771.1687199999997</v>
      </c>
      <c r="T4" s="10">
        <v>38565.383999999998</v>
      </c>
    </row>
    <row r="5" spans="1:20" x14ac:dyDescent="0.35">
      <c r="A5" s="8">
        <v>46179</v>
      </c>
      <c r="B5" s="9">
        <v>5111412.6025139997</v>
      </c>
      <c r="C5" s="10">
        <v>2699238.50318</v>
      </c>
      <c r="D5" s="10">
        <v>335205.69328000001</v>
      </c>
      <c r="E5" s="10">
        <v>839703.48684000003</v>
      </c>
      <c r="F5" s="10">
        <v>18123.493880000002</v>
      </c>
      <c r="G5" s="10">
        <v>155703.85115999999</v>
      </c>
      <c r="H5" s="10">
        <v>63293.883820000003</v>
      </c>
      <c r="I5" s="10">
        <v>419231.38114000001</v>
      </c>
      <c r="J5" s="10">
        <v>48643.983180000003</v>
      </c>
      <c r="K5" s="10">
        <v>77385.425759999998</v>
      </c>
      <c r="L5" s="10">
        <v>27186.7176</v>
      </c>
      <c r="M5" s="10">
        <v>72586.844800000006</v>
      </c>
      <c r="N5" s="10">
        <v>32884.93348</v>
      </c>
      <c r="O5" s="10">
        <v>123218.955294</v>
      </c>
      <c r="P5" s="10">
        <v>27952.70852</v>
      </c>
      <c r="Q5" s="10">
        <v>40594.9712</v>
      </c>
      <c r="R5" s="10">
        <v>82395.394880000007</v>
      </c>
      <c r="S5" s="10">
        <v>16056.841700000001</v>
      </c>
      <c r="T5" s="10">
        <v>32005.532800000001</v>
      </c>
    </row>
    <row r="6" spans="1:20" x14ac:dyDescent="0.35">
      <c r="A6" s="8">
        <v>46178</v>
      </c>
      <c r="B6" s="9">
        <v>7856616.2051219996</v>
      </c>
      <c r="C6" s="10">
        <v>3591946.5822000001</v>
      </c>
      <c r="D6" s="10">
        <v>1664383.22646</v>
      </c>
      <c r="E6" s="10">
        <v>1187441.5104</v>
      </c>
      <c r="F6" s="10">
        <v>68075.67078</v>
      </c>
      <c r="G6" s="10">
        <v>215563.26576000001</v>
      </c>
      <c r="H6" s="10">
        <v>447353.14428000001</v>
      </c>
      <c r="I6" s="10">
        <v>253915.88699999999</v>
      </c>
      <c r="J6" s="10">
        <v>60493.54062</v>
      </c>
      <c r="K6" s="10">
        <v>67609.986919999996</v>
      </c>
      <c r="L6" s="10">
        <v>30863.660800000001</v>
      </c>
      <c r="M6" s="10">
        <v>21090.061720000002</v>
      </c>
      <c r="N6" s="10">
        <v>40306.033179999999</v>
      </c>
      <c r="O6" s="10">
        <v>15677.940882000001</v>
      </c>
      <c r="P6" s="10">
        <v>37657.306080000002</v>
      </c>
      <c r="Q6" s="10">
        <v>52056.652800000003</v>
      </c>
      <c r="R6" s="10">
        <v>56280.2048</v>
      </c>
      <c r="S6" s="10">
        <v>15718.00664</v>
      </c>
      <c r="T6" s="10">
        <v>30183.523799999999</v>
      </c>
    </row>
    <row r="7" spans="1:20" x14ac:dyDescent="0.35">
      <c r="A7" s="8">
        <v>46177</v>
      </c>
      <c r="B7" s="9">
        <v>5985497.1369000003</v>
      </c>
      <c r="C7" s="10">
        <v>3485811.8391999998</v>
      </c>
      <c r="D7" s="10">
        <v>378176.70452000003</v>
      </c>
      <c r="E7" s="10">
        <v>877662.59400000004</v>
      </c>
      <c r="F7" s="10">
        <v>37389.976360000001</v>
      </c>
      <c r="G7" s="10">
        <v>210720.06696</v>
      </c>
      <c r="H7" s="10">
        <v>292720.25568</v>
      </c>
      <c r="I7" s="10">
        <v>6556.0929599999999</v>
      </c>
      <c r="J7" s="10">
        <v>27246.71456</v>
      </c>
      <c r="K7" s="10">
        <v>180456.32178</v>
      </c>
      <c r="L7" s="10">
        <v>76431.700800000006</v>
      </c>
      <c r="M7" s="10">
        <v>21617.343680000002</v>
      </c>
      <c r="N7" s="10">
        <v>74463.518620000003</v>
      </c>
      <c r="O7" s="10">
        <v>35216.25576</v>
      </c>
      <c r="P7" s="10">
        <v>56849.814879999998</v>
      </c>
      <c r="Q7" s="10">
        <v>133479.0276</v>
      </c>
      <c r="R7" s="10">
        <v>40681.679759999999</v>
      </c>
      <c r="S7" s="10">
        <v>10245.17678</v>
      </c>
      <c r="T7" s="10">
        <v>39772.053</v>
      </c>
    </row>
    <row r="8" spans="1:20" x14ac:dyDescent="0.35">
      <c r="A8" s="8">
        <v>46176</v>
      </c>
      <c r="B8" s="9">
        <v>7344761.1220000004</v>
      </c>
      <c r="C8" s="10">
        <v>3825038.3054800001</v>
      </c>
      <c r="D8" s="10">
        <v>1398102.63424</v>
      </c>
      <c r="E8" s="10">
        <v>942234.93810000003</v>
      </c>
      <c r="F8" s="10">
        <v>88497.993480000005</v>
      </c>
      <c r="G8" s="10">
        <v>278805.97567999997</v>
      </c>
      <c r="H8" s="10">
        <v>264512.99200000003</v>
      </c>
      <c r="I8" s="10">
        <v>27242.646120000001</v>
      </c>
      <c r="J8" s="10">
        <v>55891.003279999997</v>
      </c>
      <c r="K8" s="10">
        <v>37648.392319999999</v>
      </c>
      <c r="L8" s="10">
        <v>52701.961000000003</v>
      </c>
      <c r="M8" s="10">
        <v>39942.516479999998</v>
      </c>
      <c r="N8" s="10">
        <v>24899.7952</v>
      </c>
      <c r="O8" s="10">
        <v>73288.158920000002</v>
      </c>
      <c r="P8" s="10">
        <v>18530.35368</v>
      </c>
      <c r="Q8" s="10">
        <v>159890.41200000001</v>
      </c>
      <c r="R8" s="10">
        <v>14880.371220000001</v>
      </c>
      <c r="S8" s="10">
        <v>8639.4408000000003</v>
      </c>
      <c r="T8" s="10">
        <v>34013.232000000004</v>
      </c>
    </row>
    <row r="9" spans="1:20" x14ac:dyDescent="0.35">
      <c r="A9" s="8">
        <v>46175</v>
      </c>
      <c r="B9" s="9">
        <v>8554353.9243960008</v>
      </c>
      <c r="C9" s="10">
        <v>5237568.2377000004</v>
      </c>
      <c r="D9" s="10">
        <v>513648.06688</v>
      </c>
      <c r="E9" s="10">
        <v>997955.52703999996</v>
      </c>
      <c r="F9" s="10">
        <v>103614.7304</v>
      </c>
      <c r="G9" s="10">
        <v>172444.75028000001</v>
      </c>
      <c r="H9" s="10">
        <v>514063.08240000001</v>
      </c>
      <c r="I9" s="10">
        <v>140088.23272</v>
      </c>
      <c r="J9" s="10">
        <v>73011.22352</v>
      </c>
      <c r="K9" s="10">
        <v>132750.87950000001</v>
      </c>
      <c r="L9" s="10">
        <v>52712.354240000001</v>
      </c>
      <c r="M9" s="10">
        <v>221212.39139999999</v>
      </c>
      <c r="N9" s="10">
        <v>61729.668740000001</v>
      </c>
      <c r="O9" s="10">
        <v>60246.283056</v>
      </c>
      <c r="P9" s="10">
        <v>52188.034319999999</v>
      </c>
      <c r="Q9" s="10">
        <v>81243.135200000004</v>
      </c>
      <c r="R9" s="10">
        <v>64200.032679999997</v>
      </c>
      <c r="S9" s="10">
        <v>13116.60792</v>
      </c>
      <c r="T9" s="10">
        <v>62560.686399999999</v>
      </c>
    </row>
    <row r="10" spans="1:20" x14ac:dyDescent="0.35">
      <c r="A10" s="8">
        <v>46174</v>
      </c>
      <c r="B10" s="9">
        <v>8809204.495104</v>
      </c>
      <c r="C10" s="10">
        <v>4983735.6568999998</v>
      </c>
      <c r="D10" s="10">
        <v>1608685.32384</v>
      </c>
      <c r="E10" s="10">
        <v>1032902.07342</v>
      </c>
      <c r="F10" s="10">
        <v>42333.681499999999</v>
      </c>
      <c r="G10" s="10">
        <v>193216.16495999999</v>
      </c>
      <c r="H10" s="10">
        <v>175587.10800000001</v>
      </c>
      <c r="I10" s="10">
        <v>71112.994500000001</v>
      </c>
      <c r="J10" s="10">
        <v>99574.328699999998</v>
      </c>
      <c r="K10" s="10">
        <v>102096.21828</v>
      </c>
      <c r="L10" s="10">
        <v>90077.918799999999</v>
      </c>
      <c r="M10" s="10">
        <v>56167.288</v>
      </c>
      <c r="N10" s="10">
        <v>66412.925040000002</v>
      </c>
      <c r="O10" s="10">
        <v>78266.848744000003</v>
      </c>
      <c r="P10" s="10">
        <v>41062.297639999997</v>
      </c>
      <c r="Q10" s="10">
        <v>94502.079199999993</v>
      </c>
      <c r="R10" s="10">
        <v>29386.416639999999</v>
      </c>
      <c r="S10" s="10">
        <v>15322.72214</v>
      </c>
      <c r="T10" s="10">
        <v>28762.448799999998</v>
      </c>
    </row>
    <row r="11" spans="1:20" x14ac:dyDescent="0.35">
      <c r="A11" s="8">
        <v>46173</v>
      </c>
      <c r="B11" s="9">
        <v>5877789.1479399996</v>
      </c>
      <c r="C11" s="10">
        <v>4150248.4988000002</v>
      </c>
      <c r="D11" s="10">
        <v>174210.39648</v>
      </c>
      <c r="E11" s="10">
        <v>871172.73144</v>
      </c>
      <c r="F11" s="10">
        <v>57434.489200000004</v>
      </c>
      <c r="G11" s="10">
        <v>49030.303019999999</v>
      </c>
      <c r="H11" s="10">
        <v>126285.68193999999</v>
      </c>
      <c r="I11" s="10">
        <v>14767.13874</v>
      </c>
      <c r="J11" s="10">
        <v>16372.78818</v>
      </c>
      <c r="K11" s="10">
        <v>46843.528899999998</v>
      </c>
      <c r="L11" s="10">
        <v>51344.389320000002</v>
      </c>
      <c r="M11" s="10">
        <v>50153.66072</v>
      </c>
      <c r="N11" s="10">
        <v>12346.0656</v>
      </c>
      <c r="O11" s="10">
        <v>36370.559880000001</v>
      </c>
      <c r="P11" s="10">
        <v>55323.27</v>
      </c>
      <c r="Q11" s="10">
        <v>110718.63</v>
      </c>
      <c r="R11" s="10">
        <v>21279.3815</v>
      </c>
      <c r="S11" s="10">
        <v>8201.3217199999999</v>
      </c>
      <c r="T11" s="10">
        <v>25686.3125</v>
      </c>
    </row>
    <row r="12" spans="1:20" x14ac:dyDescent="0.35">
      <c r="A12" s="8">
        <v>46172</v>
      </c>
      <c r="B12" s="9">
        <v>6163143.1671399996</v>
      </c>
      <c r="C12" s="10">
        <v>4158934.24156</v>
      </c>
      <c r="D12" s="10">
        <v>482810.63088000001</v>
      </c>
      <c r="E12" s="10">
        <v>956164.52399999998</v>
      </c>
      <c r="F12" s="10">
        <v>22697.103800000001</v>
      </c>
      <c r="G12" s="10">
        <v>13623.091039999999</v>
      </c>
      <c r="H12" s="10">
        <v>65965.302800000005</v>
      </c>
      <c r="I12" s="10">
        <v>56622.49338</v>
      </c>
      <c r="J12" s="10">
        <v>13788.07696</v>
      </c>
      <c r="K12" s="10">
        <v>31855.552360000001</v>
      </c>
      <c r="L12" s="10">
        <v>91844.587280000007</v>
      </c>
      <c r="M12" s="10">
        <v>16626.4051</v>
      </c>
      <c r="N12" s="10">
        <v>19514.124400000001</v>
      </c>
      <c r="O12" s="10">
        <v>18144.331200000001</v>
      </c>
      <c r="P12" s="10">
        <v>46228.591500000002</v>
      </c>
      <c r="Q12" s="10">
        <v>104792.0208</v>
      </c>
      <c r="R12" s="10">
        <v>26044.408500000001</v>
      </c>
      <c r="S12" s="10">
        <v>10972.77918</v>
      </c>
      <c r="T12" s="10">
        <v>26514.902399999999</v>
      </c>
    </row>
    <row r="13" spans="1:20" x14ac:dyDescent="0.35">
      <c r="A13" s="8">
        <v>46171</v>
      </c>
      <c r="B13" s="9">
        <v>7229547.2192599997</v>
      </c>
      <c r="C13" s="10">
        <v>4576859.5390799996</v>
      </c>
      <c r="D13" s="10">
        <v>822356.58455999999</v>
      </c>
      <c r="E13" s="10">
        <v>856520.74650000001</v>
      </c>
      <c r="F13" s="10">
        <v>58205.25056</v>
      </c>
      <c r="G13" s="10">
        <v>45211.213799999998</v>
      </c>
      <c r="H13" s="10">
        <v>185063.83739999999</v>
      </c>
      <c r="I13" s="10">
        <v>39494.083859999999</v>
      </c>
      <c r="J13" s="10">
        <v>60768.190560000003</v>
      </c>
      <c r="K13" s="10">
        <v>22469.47524</v>
      </c>
      <c r="L13" s="10">
        <v>61050.1276</v>
      </c>
      <c r="M13" s="10">
        <v>138871.48439999999</v>
      </c>
      <c r="N13" s="10">
        <v>87623.766300000003</v>
      </c>
      <c r="O13" s="10">
        <v>49086.241600000001</v>
      </c>
      <c r="P13" s="10">
        <v>98473.994640000004</v>
      </c>
      <c r="Q13" s="10">
        <v>52244.894</v>
      </c>
      <c r="R13" s="10">
        <v>38171.296439999998</v>
      </c>
      <c r="S13" s="10">
        <v>8595.8691199999994</v>
      </c>
      <c r="T13" s="10">
        <v>28480.623599999999</v>
      </c>
    </row>
    <row r="14" spans="1:20" x14ac:dyDescent="0.35">
      <c r="A14" s="8">
        <v>46170</v>
      </c>
      <c r="B14" s="9">
        <v>8866474.5102600008</v>
      </c>
      <c r="C14" s="10">
        <v>6174532.5590000004</v>
      </c>
      <c r="D14" s="10">
        <v>622534.89451999997</v>
      </c>
      <c r="E14" s="10">
        <v>1125769.4443999999</v>
      </c>
      <c r="F14" s="10">
        <v>20133.72624</v>
      </c>
      <c r="G14" s="10">
        <v>168861.288</v>
      </c>
      <c r="H14" s="10">
        <v>202902.09568</v>
      </c>
      <c r="I14" s="10">
        <v>18362.068039999998</v>
      </c>
      <c r="J14" s="10">
        <v>109591.36208000001</v>
      </c>
      <c r="K14" s="10">
        <v>89103.710080000004</v>
      </c>
      <c r="L14" s="10">
        <v>56582.183440000001</v>
      </c>
      <c r="M14" s="10">
        <v>8355.2363999999998</v>
      </c>
      <c r="N14" s="10">
        <v>34046.435920000004</v>
      </c>
      <c r="O14" s="10">
        <v>77712.714040000006</v>
      </c>
      <c r="P14" s="10">
        <v>58120.376799999998</v>
      </c>
      <c r="Q14" s="10">
        <v>47591.807200000003</v>
      </c>
      <c r="R14" s="10">
        <v>14257.4377</v>
      </c>
      <c r="S14" s="10">
        <v>8019.9187199999997</v>
      </c>
      <c r="T14" s="10">
        <v>29997.252</v>
      </c>
    </row>
    <row r="15" spans="1:20" x14ac:dyDescent="0.35">
      <c r="A15" s="8">
        <v>46169</v>
      </c>
      <c r="B15" s="9">
        <v>7291133.2577959998</v>
      </c>
      <c r="C15" s="10">
        <v>5271168.5300799999</v>
      </c>
      <c r="D15" s="10">
        <v>375365.995</v>
      </c>
      <c r="E15" s="10">
        <v>1023036.53464</v>
      </c>
      <c r="F15" s="10">
        <v>12294.8644</v>
      </c>
      <c r="G15" s="10">
        <v>80939.622080000001</v>
      </c>
      <c r="H15" s="10">
        <v>95566.022500000006</v>
      </c>
      <c r="I15" s="10">
        <v>60817.528559999999</v>
      </c>
      <c r="J15" s="10">
        <v>45056.838000000003</v>
      </c>
      <c r="K15" s="10">
        <v>71600.986560000005</v>
      </c>
      <c r="L15" s="10">
        <v>13795.822399999999</v>
      </c>
      <c r="M15" s="10">
        <v>19244.236000000001</v>
      </c>
      <c r="N15" s="10">
        <v>19663.900740000001</v>
      </c>
      <c r="O15" s="10">
        <v>76775.915175999995</v>
      </c>
      <c r="P15" s="10">
        <v>17187.3845</v>
      </c>
      <c r="Q15" s="10">
        <v>37682.887000000002</v>
      </c>
      <c r="R15" s="10">
        <v>33405.45306</v>
      </c>
      <c r="S15" s="10">
        <v>12592.8531</v>
      </c>
      <c r="T15" s="10">
        <v>24937.883999999998</v>
      </c>
    </row>
    <row r="16" spans="1:20" x14ac:dyDescent="0.35">
      <c r="A16" s="8">
        <v>46168</v>
      </c>
      <c r="B16" s="9">
        <v>7266352.0285320003</v>
      </c>
      <c r="C16" s="10">
        <v>4476378.9052999998</v>
      </c>
      <c r="D16" s="10">
        <v>523258.87349999999</v>
      </c>
      <c r="E16" s="10">
        <v>1103774.7551599999</v>
      </c>
      <c r="F16" s="10">
        <v>37448.280339999998</v>
      </c>
      <c r="G16" s="10">
        <v>84379.7448</v>
      </c>
      <c r="H16" s="10">
        <v>75130.321800000005</v>
      </c>
      <c r="I16" s="10">
        <v>55055.322959999998</v>
      </c>
      <c r="J16" s="10">
        <v>201751.78727999999</v>
      </c>
      <c r="K16" s="10">
        <v>328661.3518</v>
      </c>
      <c r="L16" s="10">
        <v>25777.23892</v>
      </c>
      <c r="M16" s="10">
        <v>82899.900959999999</v>
      </c>
      <c r="N16" s="10">
        <v>20753.657759999998</v>
      </c>
      <c r="O16" s="10">
        <v>94497.916752000005</v>
      </c>
      <c r="P16" s="10">
        <v>15884.56244</v>
      </c>
      <c r="Q16" s="10">
        <v>39404.9136</v>
      </c>
      <c r="R16" s="10">
        <v>60726.334199999998</v>
      </c>
      <c r="S16" s="10">
        <v>15462.69376</v>
      </c>
      <c r="T16" s="10">
        <v>25105.467199999999</v>
      </c>
    </row>
    <row r="17" spans="1:20" x14ac:dyDescent="0.35">
      <c r="A17" s="8">
        <v>46167</v>
      </c>
      <c r="B17" s="9">
        <v>7001473.6675260002</v>
      </c>
      <c r="C17" s="10">
        <v>4758613.3595799999</v>
      </c>
      <c r="D17" s="10">
        <v>538180.47346000001</v>
      </c>
      <c r="E17" s="10">
        <v>1159825.80562</v>
      </c>
      <c r="F17" s="10">
        <v>18131.50548</v>
      </c>
      <c r="G17" s="10">
        <v>127944.32288000001</v>
      </c>
      <c r="H17" s="10">
        <v>37875.347600000001</v>
      </c>
      <c r="I17" s="10">
        <v>5145.7024000000001</v>
      </c>
      <c r="J17" s="10">
        <v>56294.338320000003</v>
      </c>
      <c r="K17" s="10">
        <v>64014.916960000002</v>
      </c>
      <c r="L17" s="10">
        <v>13698.6687</v>
      </c>
      <c r="M17" s="10">
        <v>28670.748540000001</v>
      </c>
      <c r="N17" s="10">
        <v>23741.018599999999</v>
      </c>
      <c r="O17" s="10">
        <v>64752.186225999998</v>
      </c>
      <c r="P17" s="10">
        <v>15767.55912</v>
      </c>
      <c r="Q17" s="10">
        <v>43946.039599999996</v>
      </c>
      <c r="R17" s="10">
        <v>7409.4116599999998</v>
      </c>
      <c r="S17" s="10">
        <v>9516.5067799999997</v>
      </c>
      <c r="T17" s="10">
        <v>27945.756000000001</v>
      </c>
    </row>
    <row r="18" spans="1:20" x14ac:dyDescent="0.35">
      <c r="A18" s="8">
        <v>46166</v>
      </c>
      <c r="B18" s="9">
        <v>7430749.5573800001</v>
      </c>
      <c r="C18" s="10">
        <v>4678855.8139800001</v>
      </c>
      <c r="D18" s="10">
        <v>823033.23</v>
      </c>
      <c r="E18" s="10">
        <v>1147468.9821599999</v>
      </c>
      <c r="F18" s="10">
        <v>13647.289199999999</v>
      </c>
      <c r="G18" s="10">
        <v>218409.18220000001</v>
      </c>
      <c r="H18" s="10">
        <v>65740.174499999994</v>
      </c>
      <c r="I18" s="10">
        <v>5287.3064999999997</v>
      </c>
      <c r="J18" s="10">
        <v>40286.601360000001</v>
      </c>
      <c r="K18" s="10">
        <v>116355.83869999999</v>
      </c>
      <c r="L18" s="10">
        <v>6635.7869000000001</v>
      </c>
      <c r="M18" s="10">
        <v>9057.4128000000001</v>
      </c>
      <c r="N18" s="10">
        <v>15412.859839999999</v>
      </c>
      <c r="O18" s="10">
        <v>161088.49418000001</v>
      </c>
      <c r="P18" s="10">
        <v>19011.919320000001</v>
      </c>
      <c r="Q18" s="10">
        <v>60506.381200000003</v>
      </c>
      <c r="R18" s="10">
        <v>5993.5587999999998</v>
      </c>
      <c r="S18" s="10">
        <v>14770.037340000001</v>
      </c>
      <c r="T18" s="10">
        <v>29188.688399999999</v>
      </c>
    </row>
    <row r="19" spans="1:20" x14ac:dyDescent="0.35">
      <c r="A19" s="8">
        <v>46165</v>
      </c>
      <c r="B19" s="9">
        <v>7026325.4873919999</v>
      </c>
      <c r="C19" s="10">
        <v>4640118.4268800002</v>
      </c>
      <c r="D19" s="10">
        <v>831681.64787999995</v>
      </c>
      <c r="E19" s="10">
        <v>849667.60962</v>
      </c>
      <c r="F19" s="10">
        <v>35718.986400000002</v>
      </c>
      <c r="G19" s="10">
        <v>70922.326239999995</v>
      </c>
      <c r="H19" s="10">
        <v>96024.219660000002</v>
      </c>
      <c r="I19" s="10">
        <v>33466.788439999997</v>
      </c>
      <c r="J19" s="10">
        <v>41317.319499999998</v>
      </c>
      <c r="K19" s="10">
        <v>87900.426999999996</v>
      </c>
      <c r="L19" s="10">
        <v>8779.8032000000003</v>
      </c>
      <c r="M19" s="10">
        <v>35539.752119999997</v>
      </c>
      <c r="N19" s="10">
        <v>17884.617839999999</v>
      </c>
      <c r="O19" s="10">
        <v>142390.04507200001</v>
      </c>
      <c r="P19" s="10">
        <v>13914.01792</v>
      </c>
      <c r="Q19" s="10">
        <v>78263.702999999994</v>
      </c>
      <c r="R19" s="10">
        <v>5556.7751200000002</v>
      </c>
      <c r="S19" s="10">
        <v>7756.0070999999998</v>
      </c>
      <c r="T19" s="10">
        <v>29423.0144</v>
      </c>
    </row>
    <row r="20" spans="1:20" x14ac:dyDescent="0.35">
      <c r="A20" s="8">
        <v>46164</v>
      </c>
      <c r="B20" s="9">
        <v>6266809.4489179999</v>
      </c>
      <c r="C20" s="10">
        <v>4606668.4968800005</v>
      </c>
      <c r="D20" s="10">
        <v>170045.084</v>
      </c>
      <c r="E20" s="10">
        <v>467470.07980000001</v>
      </c>
      <c r="F20" s="10">
        <v>53213.80416</v>
      </c>
      <c r="G20" s="10">
        <v>78960.094800000006</v>
      </c>
      <c r="H20" s="10">
        <v>183288.93299999999</v>
      </c>
      <c r="I20" s="10">
        <v>162247.08540000001</v>
      </c>
      <c r="J20" s="10">
        <v>93701.479819999993</v>
      </c>
      <c r="K20" s="10">
        <v>36517.832699999999</v>
      </c>
      <c r="L20" s="10">
        <v>24106.404480000001</v>
      </c>
      <c r="M20" s="10">
        <v>5249.0363200000002</v>
      </c>
      <c r="N20" s="10">
        <v>8022.8591999999999</v>
      </c>
      <c r="O20" s="10">
        <v>112864.752198</v>
      </c>
      <c r="P20" s="10">
        <v>22960.26612</v>
      </c>
      <c r="Q20" s="10">
        <v>180454.66399999999</v>
      </c>
      <c r="R20" s="10">
        <v>4757.0044200000002</v>
      </c>
      <c r="S20" s="10">
        <v>25766.673220000001</v>
      </c>
      <c r="T20" s="10">
        <v>30514.898399999998</v>
      </c>
    </row>
    <row r="21" spans="1:20" x14ac:dyDescent="0.35">
      <c r="A21" s="8">
        <v>46163</v>
      </c>
      <c r="B21" s="9">
        <v>6844419.5946599999</v>
      </c>
      <c r="C21" s="10">
        <v>4632355.9768399997</v>
      </c>
      <c r="D21" s="10">
        <v>286926.24310000002</v>
      </c>
      <c r="E21" s="10">
        <v>1025301.174</v>
      </c>
      <c r="F21" s="10">
        <v>32127.7955</v>
      </c>
      <c r="G21" s="10">
        <v>58710.514799999997</v>
      </c>
      <c r="H21" s="10">
        <v>120472.00782</v>
      </c>
      <c r="I21" s="10">
        <v>39216.715300000003</v>
      </c>
      <c r="J21" s="10">
        <v>115489.08384000001</v>
      </c>
      <c r="K21" s="10">
        <v>87067.089420000004</v>
      </c>
      <c r="L21" s="10">
        <v>67244.984400000001</v>
      </c>
      <c r="M21" s="10">
        <v>13559.75648</v>
      </c>
      <c r="N21" s="10">
        <v>25211.219880000001</v>
      </c>
      <c r="O21" s="10">
        <v>65045.516759999999</v>
      </c>
      <c r="P21" s="10">
        <v>18019.303039999999</v>
      </c>
      <c r="Q21" s="10">
        <v>214278.6624</v>
      </c>
      <c r="R21" s="10">
        <v>4402.4780799999999</v>
      </c>
      <c r="S21" s="10">
        <v>12056.6538</v>
      </c>
      <c r="T21" s="10">
        <v>26934.4192</v>
      </c>
    </row>
    <row r="22" spans="1:20" x14ac:dyDescent="0.35">
      <c r="A22" s="8">
        <v>46162</v>
      </c>
      <c r="B22" s="9">
        <v>7827379.3296159999</v>
      </c>
      <c r="C22" s="10">
        <v>5692101.0449999999</v>
      </c>
      <c r="D22" s="10">
        <v>409034.34716</v>
      </c>
      <c r="E22" s="10">
        <v>969431.00575999997</v>
      </c>
      <c r="F22" s="10">
        <v>21146.676159999999</v>
      </c>
      <c r="G22" s="10">
        <v>68653.946400000001</v>
      </c>
      <c r="H22" s="10">
        <v>138048.85380000001</v>
      </c>
      <c r="I22" s="10">
        <v>107274.74331999999</v>
      </c>
      <c r="J22" s="10">
        <v>44649.78744</v>
      </c>
      <c r="K22" s="10">
        <v>64641.634720000002</v>
      </c>
      <c r="L22" s="10">
        <v>62870.190399999999</v>
      </c>
      <c r="M22" s="10">
        <v>9976.0928399999993</v>
      </c>
      <c r="N22" s="10">
        <v>12855.038780000001</v>
      </c>
      <c r="O22" s="10">
        <v>114441.056436</v>
      </c>
      <c r="P22" s="10">
        <v>17086.180540000001</v>
      </c>
      <c r="Q22" s="10">
        <v>52861.8848</v>
      </c>
      <c r="R22" s="10">
        <v>4986.3144000000002</v>
      </c>
      <c r="S22" s="10">
        <v>10365.36426</v>
      </c>
      <c r="T22" s="10">
        <v>26955.167399999998</v>
      </c>
    </row>
    <row r="23" spans="1:20" x14ac:dyDescent="0.35">
      <c r="A23" s="8">
        <v>46161</v>
      </c>
      <c r="B23" s="9">
        <v>6994540.1450300002</v>
      </c>
      <c r="C23" s="10">
        <v>5112477.4374399995</v>
      </c>
      <c r="D23" s="10">
        <v>326198.16950000002</v>
      </c>
      <c r="E23" s="10">
        <v>944042.29399999999</v>
      </c>
      <c r="F23" s="10">
        <v>43781.831960000003</v>
      </c>
      <c r="G23" s="10">
        <v>65000.235760000003</v>
      </c>
      <c r="H23" s="10">
        <v>153034.35</v>
      </c>
      <c r="I23" s="10">
        <v>42439.362399999998</v>
      </c>
      <c r="J23" s="10">
        <v>62411.656719999999</v>
      </c>
      <c r="K23" s="10">
        <v>51980.411520000001</v>
      </c>
      <c r="L23" s="10">
        <v>56722.219839999998</v>
      </c>
      <c r="M23" s="10">
        <v>17606.640719999999</v>
      </c>
      <c r="N23" s="10">
        <v>15281.3248</v>
      </c>
      <c r="O23" s="10">
        <v>24778.229449999999</v>
      </c>
      <c r="P23" s="10">
        <v>34450.421880000002</v>
      </c>
      <c r="Q23" s="10"/>
      <c r="R23" s="10">
        <v>8417.8313999999991</v>
      </c>
      <c r="S23" s="10">
        <v>11133.25584</v>
      </c>
      <c r="T23" s="10">
        <v>24784.471799999999</v>
      </c>
    </row>
    <row r="24" spans="1:20" x14ac:dyDescent="0.35">
      <c r="A24" s="8">
        <v>46160</v>
      </c>
      <c r="B24" s="9">
        <v>7840569.8472960005</v>
      </c>
      <c r="C24" s="10">
        <v>5229819.0778000001</v>
      </c>
      <c r="D24" s="10">
        <v>597310.08831999998</v>
      </c>
      <c r="E24" s="10">
        <v>1179720.7781</v>
      </c>
      <c r="F24" s="10">
        <v>103330.91847999999</v>
      </c>
      <c r="G24" s="10">
        <v>169649.37572000001</v>
      </c>
      <c r="H24" s="10">
        <v>146414.57740000001</v>
      </c>
      <c r="I24" s="10">
        <v>38578.606079999998</v>
      </c>
      <c r="J24" s="10">
        <v>25669.674299999999</v>
      </c>
      <c r="K24" s="10">
        <v>98852.437439999994</v>
      </c>
      <c r="L24" s="10">
        <v>92374.106</v>
      </c>
      <c r="M24" s="10">
        <v>10812.404560000001</v>
      </c>
      <c r="N24" s="10">
        <v>29232.111919999999</v>
      </c>
      <c r="O24" s="10">
        <v>29367.787176000002</v>
      </c>
      <c r="P24" s="10">
        <v>22343.05</v>
      </c>
      <c r="Q24" s="10"/>
      <c r="R24" s="10">
        <v>18678.912960000001</v>
      </c>
      <c r="S24" s="10">
        <v>21546.76684</v>
      </c>
      <c r="T24" s="10">
        <v>26869.174200000001</v>
      </c>
    </row>
    <row r="25" spans="1:20" x14ac:dyDescent="0.35">
      <c r="A25" s="8">
        <v>46159</v>
      </c>
      <c r="B25" s="9">
        <v>6068726.4421640001</v>
      </c>
      <c r="C25" s="10">
        <v>4719235.5932200002</v>
      </c>
      <c r="D25" s="10">
        <v>110119.36932</v>
      </c>
      <c r="E25" s="10">
        <v>910707.99615999998</v>
      </c>
      <c r="F25" s="10">
        <v>15117.74</v>
      </c>
      <c r="G25" s="10">
        <v>4162.3548000000001</v>
      </c>
      <c r="H25" s="10">
        <v>66696.733259999994</v>
      </c>
      <c r="I25" s="10">
        <v>32030.388480000001</v>
      </c>
      <c r="J25" s="10">
        <v>15970.193799999999</v>
      </c>
      <c r="K25" s="10">
        <v>17395.35744</v>
      </c>
      <c r="L25" s="10">
        <v>10598.788979999999</v>
      </c>
      <c r="M25" s="10">
        <v>48285.915260000002</v>
      </c>
      <c r="N25" s="10">
        <v>10688.669819999999</v>
      </c>
      <c r="O25" s="10">
        <v>49092.178004000001</v>
      </c>
      <c r="P25" s="10">
        <v>17176.676220000001</v>
      </c>
      <c r="Q25" s="10"/>
      <c r="R25" s="10">
        <v>5572.6696000000002</v>
      </c>
      <c r="S25" s="10">
        <v>9025.5130000000008</v>
      </c>
      <c r="T25" s="10">
        <v>26850.304800000002</v>
      </c>
    </row>
    <row r="26" spans="1:20" x14ac:dyDescent="0.35">
      <c r="A26" s="8">
        <v>46158</v>
      </c>
      <c r="B26" s="9">
        <v>6401720.1545059998</v>
      </c>
      <c r="C26" s="10">
        <v>4831411.3139199996</v>
      </c>
      <c r="D26" s="10">
        <v>200443.03187999999</v>
      </c>
      <c r="E26" s="10">
        <v>874498.51199999999</v>
      </c>
      <c r="F26" s="10">
        <v>36459.665280000001</v>
      </c>
      <c r="G26" s="10">
        <v>107714.93568</v>
      </c>
      <c r="H26" s="10">
        <v>83560.962799999994</v>
      </c>
      <c r="I26" s="10">
        <v>18326.410080000001</v>
      </c>
      <c r="J26" s="10">
        <v>59656.360399999998</v>
      </c>
      <c r="K26" s="10">
        <v>27587.48846</v>
      </c>
      <c r="L26" s="10">
        <v>14731.352000000001</v>
      </c>
      <c r="M26" s="10">
        <v>9587.7091799999998</v>
      </c>
      <c r="N26" s="10">
        <v>29282.89284</v>
      </c>
      <c r="O26" s="10">
        <v>8031.6996660000004</v>
      </c>
      <c r="P26" s="10">
        <v>17183.331200000001</v>
      </c>
      <c r="Q26" s="10"/>
      <c r="R26" s="10">
        <v>11271.321599999999</v>
      </c>
      <c r="S26" s="10">
        <v>29112.864720000001</v>
      </c>
      <c r="T26" s="10">
        <v>42860.302799999998</v>
      </c>
    </row>
    <row r="27" spans="1:20" x14ac:dyDescent="0.35">
      <c r="A27" s="8">
        <v>46157</v>
      </c>
      <c r="B27" s="9">
        <v>8647761.3802739996</v>
      </c>
      <c r="C27" s="10">
        <v>6191661.9769200003</v>
      </c>
      <c r="D27" s="10">
        <v>315378.50344</v>
      </c>
      <c r="E27" s="10">
        <v>1160463.27602</v>
      </c>
      <c r="F27" s="10">
        <v>85653.711540000004</v>
      </c>
      <c r="G27" s="10">
        <v>253617.09239999999</v>
      </c>
      <c r="H27" s="10">
        <v>106083.1072</v>
      </c>
      <c r="I27" s="10">
        <v>39200.324540000001</v>
      </c>
      <c r="J27" s="10">
        <v>100527.77604</v>
      </c>
      <c r="K27" s="10">
        <v>189483.33205999999</v>
      </c>
      <c r="L27" s="10">
        <v>47348.422259999999</v>
      </c>
      <c r="M27" s="10">
        <v>15915.113499999999</v>
      </c>
      <c r="N27" s="10">
        <v>27813.373339999998</v>
      </c>
      <c r="O27" s="10">
        <v>54188.444334</v>
      </c>
      <c r="P27" s="10">
        <v>16101.731680000001</v>
      </c>
      <c r="Q27" s="10"/>
      <c r="R27" s="10">
        <v>12190.946319999999</v>
      </c>
      <c r="S27" s="10">
        <v>11187.31568</v>
      </c>
      <c r="T27" s="10">
        <v>20946.933000000001</v>
      </c>
    </row>
    <row r="28" spans="1:20" x14ac:dyDescent="0.35">
      <c r="A28" s="8">
        <v>46156</v>
      </c>
      <c r="B28" s="9">
        <v>7442040.2734160004</v>
      </c>
      <c r="C28" s="10">
        <v>4920086.4903999995</v>
      </c>
      <c r="D28" s="10">
        <v>234357.0624</v>
      </c>
      <c r="E28" s="10">
        <v>1063428.2422</v>
      </c>
      <c r="F28" s="10">
        <v>276683.12192000001</v>
      </c>
      <c r="G28" s="10">
        <v>78448.260439999998</v>
      </c>
      <c r="H28" s="10">
        <v>258242.1942</v>
      </c>
      <c r="I28" s="10">
        <v>117766.01807999999</v>
      </c>
      <c r="J28" s="10">
        <v>137609.34351999999</v>
      </c>
      <c r="K28" s="10">
        <v>144966.85704</v>
      </c>
      <c r="L28" s="10">
        <v>67816.224499999997</v>
      </c>
      <c r="M28" s="10">
        <v>18398.83164</v>
      </c>
      <c r="N28" s="10">
        <v>28078.24624</v>
      </c>
      <c r="O28" s="10">
        <v>22482.605616000001</v>
      </c>
      <c r="P28" s="10">
        <v>21804.35672</v>
      </c>
      <c r="Q28" s="10"/>
      <c r="R28" s="10">
        <v>9413.6801200000009</v>
      </c>
      <c r="S28" s="10">
        <v>23518.414379999998</v>
      </c>
      <c r="T28" s="10">
        <v>18940.324000000001</v>
      </c>
    </row>
    <row r="29" spans="1:20" x14ac:dyDescent="0.35">
      <c r="A29" s="8">
        <v>46155</v>
      </c>
      <c r="B29" s="9">
        <v>6836034.8114679996</v>
      </c>
      <c r="C29" s="10">
        <v>4043718.93242</v>
      </c>
      <c r="D29" s="10">
        <v>485646.74495999998</v>
      </c>
      <c r="E29" s="10">
        <v>1001439.855</v>
      </c>
      <c r="F29" s="10">
        <v>181945.47347999999</v>
      </c>
      <c r="G29" s="10">
        <v>91635.742199999993</v>
      </c>
      <c r="H29" s="10">
        <v>209543.39853999999</v>
      </c>
      <c r="I29" s="10">
        <v>47601.632400000002</v>
      </c>
      <c r="J29" s="10">
        <v>181985.39472000001</v>
      </c>
      <c r="K29" s="10">
        <v>186966.40072000001</v>
      </c>
      <c r="L29" s="10">
        <v>177589.08413999999</v>
      </c>
      <c r="M29" s="10">
        <v>19142.842499999999</v>
      </c>
      <c r="N29" s="10">
        <v>25005.88926</v>
      </c>
      <c r="O29" s="10">
        <v>98210.162607999999</v>
      </c>
      <c r="P29" s="10">
        <v>22034.11276</v>
      </c>
      <c r="Q29" s="10"/>
      <c r="R29" s="10">
        <v>5972.4795199999999</v>
      </c>
      <c r="S29" s="10">
        <v>28401.79264</v>
      </c>
      <c r="T29" s="10">
        <v>29194.873599999999</v>
      </c>
    </row>
    <row r="30" spans="1:20" x14ac:dyDescent="0.35">
      <c r="A30" s="8">
        <v>46154</v>
      </c>
      <c r="B30" s="9">
        <v>7724874.2396799996</v>
      </c>
      <c r="C30" s="10">
        <v>4788121.2384599997</v>
      </c>
      <c r="D30" s="10">
        <v>887859.05070000002</v>
      </c>
      <c r="E30" s="10">
        <v>982321.16139999998</v>
      </c>
      <c r="F30" s="10">
        <v>196526.7004</v>
      </c>
      <c r="G30" s="10">
        <v>48515.950559999997</v>
      </c>
      <c r="H30" s="10">
        <v>113338.50431999999</v>
      </c>
      <c r="I30" s="10">
        <v>56889.999360000002</v>
      </c>
      <c r="J30" s="10">
        <v>135570.63967999999</v>
      </c>
      <c r="K30" s="10">
        <v>52000.60194</v>
      </c>
      <c r="L30" s="10">
        <v>208661.58536</v>
      </c>
      <c r="M30" s="10">
        <v>39241.774859999998</v>
      </c>
      <c r="N30" s="10">
        <v>82560.159</v>
      </c>
      <c r="O30" s="10">
        <v>45937.036500000002</v>
      </c>
      <c r="P30" s="10">
        <v>19326.538560000001</v>
      </c>
      <c r="Q30" s="10"/>
      <c r="R30" s="10">
        <v>21210.136299999998</v>
      </c>
      <c r="S30" s="10">
        <v>26909.175480000002</v>
      </c>
      <c r="T30" s="10">
        <v>19883.986799999999</v>
      </c>
    </row>
    <row r="31" spans="1:20" x14ac:dyDescent="0.35">
      <c r="A31" s="8">
        <v>46153</v>
      </c>
      <c r="B31" s="9">
        <v>8381129.1843360001</v>
      </c>
      <c r="C31" s="10">
        <v>4526991.6660000002</v>
      </c>
      <c r="D31" s="10">
        <v>1295612.9737199999</v>
      </c>
      <c r="E31" s="10">
        <v>1177848.08378</v>
      </c>
      <c r="F31" s="10">
        <v>297430.61628000002</v>
      </c>
      <c r="G31" s="10">
        <v>80509.453320000001</v>
      </c>
      <c r="H31" s="10">
        <v>75625.956000000006</v>
      </c>
      <c r="I31" s="10">
        <v>83671.320479999995</v>
      </c>
      <c r="J31" s="10">
        <v>135862.02168000001</v>
      </c>
      <c r="K31" s="10">
        <v>118962.45888000001</v>
      </c>
      <c r="L31" s="10">
        <v>410221.02231999999</v>
      </c>
      <c r="M31" s="10">
        <v>26266.820800000001</v>
      </c>
      <c r="N31" s="10">
        <v>57304.840320000003</v>
      </c>
      <c r="O31" s="10">
        <v>36769.862375999997</v>
      </c>
      <c r="P31" s="10">
        <v>35632.637360000001</v>
      </c>
      <c r="Q31" s="10"/>
      <c r="R31" s="10">
        <v>6126.9780000000001</v>
      </c>
      <c r="S31" s="10">
        <v>16292.473019999999</v>
      </c>
      <c r="T31" s="10"/>
    </row>
    <row r="32" spans="1:20" x14ac:dyDescent="0.35">
      <c r="A32" s="8">
        <v>46152</v>
      </c>
      <c r="B32" s="9">
        <v>6460904.1814099997</v>
      </c>
      <c r="C32" s="10">
        <v>3886934.5051600002</v>
      </c>
      <c r="D32" s="10">
        <v>1059851.304</v>
      </c>
      <c r="E32" s="10">
        <v>889374.06648000004</v>
      </c>
      <c r="F32" s="10">
        <v>73027.901960000003</v>
      </c>
      <c r="G32" s="10">
        <v>50146.814200000001</v>
      </c>
      <c r="H32" s="10">
        <v>36691.931799999998</v>
      </c>
      <c r="I32" s="10">
        <v>17927.254799999999</v>
      </c>
      <c r="J32" s="10">
        <v>12127.361339999999</v>
      </c>
      <c r="K32" s="10">
        <v>18811.129939999999</v>
      </c>
      <c r="L32" s="10">
        <v>21668.944</v>
      </c>
      <c r="M32" s="10">
        <v>6509.3187600000001</v>
      </c>
      <c r="N32" s="10">
        <v>13619.71854</v>
      </c>
      <c r="O32" s="10">
        <v>332483.07225000003</v>
      </c>
      <c r="P32" s="10">
        <v>16775.502499999999</v>
      </c>
      <c r="Q32" s="10"/>
      <c r="R32" s="10">
        <v>3176.0276800000001</v>
      </c>
      <c r="S32" s="10">
        <v>21779.328000000001</v>
      </c>
      <c r="T32" s="10"/>
    </row>
    <row r="33" spans="1:20" x14ac:dyDescent="0.35">
      <c r="A33" s="8">
        <v>46151</v>
      </c>
      <c r="B33" s="9">
        <v>7829024.4968280001</v>
      </c>
      <c r="C33" s="10">
        <v>3554751.1891800002</v>
      </c>
      <c r="D33" s="10">
        <v>881899.23499999999</v>
      </c>
      <c r="E33" s="10">
        <v>3096374.7006399999</v>
      </c>
      <c r="F33" s="10">
        <v>76931.157720000003</v>
      </c>
      <c r="G33" s="10">
        <v>39857.07346</v>
      </c>
      <c r="H33" s="10">
        <v>44664.391640000002</v>
      </c>
      <c r="I33" s="10">
        <v>14754.795040000001</v>
      </c>
      <c r="J33" s="10">
        <v>7847.1969600000002</v>
      </c>
      <c r="K33" s="10">
        <v>18568.564920000001</v>
      </c>
      <c r="L33" s="10">
        <v>29603.898720000001</v>
      </c>
      <c r="M33" s="10">
        <v>2683.5298200000002</v>
      </c>
      <c r="N33" s="10">
        <v>8986.6433799999995</v>
      </c>
      <c r="O33" s="10">
        <v>18371.246208</v>
      </c>
      <c r="P33" s="10">
        <v>10459.864939999999</v>
      </c>
      <c r="Q33" s="10"/>
      <c r="R33" s="10">
        <v>3267.8803200000002</v>
      </c>
      <c r="S33" s="10">
        <v>20003.12888</v>
      </c>
      <c r="T33" s="10"/>
    </row>
    <row r="34" spans="1:20" x14ac:dyDescent="0.35">
      <c r="A34" s="8">
        <v>46150</v>
      </c>
      <c r="B34" s="9">
        <v>7882988.1167799998</v>
      </c>
      <c r="C34" s="10">
        <v>4406409.7793199997</v>
      </c>
      <c r="D34" s="10">
        <v>1456479.4648800001</v>
      </c>
      <c r="E34" s="10">
        <v>948857.37436000002</v>
      </c>
      <c r="F34" s="10">
        <v>44153.581760000001</v>
      </c>
      <c r="G34" s="10">
        <v>145997.78958000001</v>
      </c>
      <c r="H34" s="10">
        <v>143686.72500000001</v>
      </c>
      <c r="I34" s="10">
        <v>98377.354200000002</v>
      </c>
      <c r="J34" s="10">
        <v>153431.81724</v>
      </c>
      <c r="K34" s="10">
        <v>80386.376399999994</v>
      </c>
      <c r="L34" s="10">
        <v>292261.42083999998</v>
      </c>
      <c r="M34" s="10">
        <v>7750.0544399999999</v>
      </c>
      <c r="N34" s="10">
        <v>67389.243199999997</v>
      </c>
      <c r="O34" s="10">
        <v>7039.1670000000004</v>
      </c>
      <c r="P34" s="10">
        <v>16148.51154</v>
      </c>
      <c r="Q34" s="10"/>
      <c r="R34" s="10">
        <v>3629.2163399999999</v>
      </c>
      <c r="S34" s="10">
        <v>10990.240680000001</v>
      </c>
      <c r="T34" s="10"/>
    </row>
    <row r="35" spans="1:20" x14ac:dyDescent="0.35">
      <c r="A35" s="8">
        <v>46149</v>
      </c>
      <c r="B35" s="9">
        <v>7581961.2176559996</v>
      </c>
      <c r="C35" s="10">
        <v>3796216.3034000001</v>
      </c>
      <c r="D35" s="10">
        <v>1352676.46704</v>
      </c>
      <c r="E35" s="10">
        <v>901402.67735999997</v>
      </c>
      <c r="F35" s="10">
        <v>121651.57704</v>
      </c>
      <c r="G35" s="10">
        <v>116352.6771</v>
      </c>
      <c r="H35" s="10">
        <v>301299.39179999998</v>
      </c>
      <c r="I35" s="10">
        <v>104500.1351</v>
      </c>
      <c r="J35" s="10">
        <v>143523.38939999999</v>
      </c>
      <c r="K35" s="10">
        <v>108268.5825</v>
      </c>
      <c r="L35" s="10">
        <v>482348.86196000001</v>
      </c>
      <c r="M35" s="10">
        <v>22551.8181</v>
      </c>
      <c r="N35" s="10">
        <v>62677.928</v>
      </c>
      <c r="O35" s="10">
        <v>14937.717816</v>
      </c>
      <c r="P35" s="10">
        <v>40661.07516</v>
      </c>
      <c r="Q35" s="10"/>
      <c r="R35" s="10">
        <v>3733.1123200000002</v>
      </c>
      <c r="S35" s="10">
        <v>9159.5035599999992</v>
      </c>
      <c r="T35" s="10"/>
    </row>
    <row r="36" spans="1:20" x14ac:dyDescent="0.35">
      <c r="A36" s="8">
        <v>46148</v>
      </c>
      <c r="B36" s="9">
        <v>8351976.513704</v>
      </c>
      <c r="C36" s="10">
        <v>4106654.9146400001</v>
      </c>
      <c r="D36" s="10">
        <v>2028059.3333999999</v>
      </c>
      <c r="E36" s="10">
        <v>929563.45730000001</v>
      </c>
      <c r="F36" s="10">
        <v>199227.51996000001</v>
      </c>
      <c r="G36" s="10">
        <v>239866.33781999999</v>
      </c>
      <c r="H36" s="10">
        <v>101084.38967999999</v>
      </c>
      <c r="I36" s="10">
        <v>109867.80413999999</v>
      </c>
      <c r="J36" s="10">
        <v>51144.448320000003</v>
      </c>
      <c r="K36" s="10">
        <v>178943.12828</v>
      </c>
      <c r="L36" s="10">
        <v>228186.55119999999</v>
      </c>
      <c r="M36" s="10">
        <v>77966.502919999999</v>
      </c>
      <c r="N36" s="10">
        <v>33029.194880000003</v>
      </c>
      <c r="O36" s="10">
        <v>16481.842924</v>
      </c>
      <c r="P36" s="10">
        <v>31937.984639999999</v>
      </c>
      <c r="Q36" s="10"/>
      <c r="R36" s="10">
        <v>6224.9035999999996</v>
      </c>
      <c r="S36" s="10">
        <v>13738.2</v>
      </c>
      <c r="T36" s="10"/>
    </row>
    <row r="37" spans="1:20" x14ac:dyDescent="0.35">
      <c r="A37" s="8">
        <v>46147</v>
      </c>
      <c r="B37" s="9">
        <v>6498522.8642459996</v>
      </c>
      <c r="C37" s="10">
        <v>3153184.2220999999</v>
      </c>
      <c r="D37" s="10">
        <v>1240100.62944</v>
      </c>
      <c r="E37" s="10">
        <v>797375.66669999994</v>
      </c>
      <c r="F37" s="10">
        <v>297008.11599999998</v>
      </c>
      <c r="G37" s="10">
        <v>124752.71496</v>
      </c>
      <c r="H37" s="10">
        <v>97809.297099999996</v>
      </c>
      <c r="I37" s="10">
        <v>219651.848</v>
      </c>
      <c r="J37" s="10">
        <v>66270.704400000002</v>
      </c>
      <c r="K37" s="10">
        <v>56796.992639999997</v>
      </c>
      <c r="L37" s="10">
        <v>174940.01404000001</v>
      </c>
      <c r="M37" s="10">
        <v>169867.36214000001</v>
      </c>
      <c r="N37" s="10">
        <v>61535.213280000004</v>
      </c>
      <c r="O37" s="10">
        <v>4657.8396059999995</v>
      </c>
      <c r="P37" s="10">
        <v>19903.488000000001</v>
      </c>
      <c r="Q37" s="10"/>
      <c r="R37" s="10">
        <v>3265.0480400000001</v>
      </c>
      <c r="S37" s="10">
        <v>11403.7078</v>
      </c>
      <c r="T37" s="10"/>
    </row>
    <row r="38" spans="1:20" x14ac:dyDescent="0.35">
      <c r="A38" s="8">
        <v>46146</v>
      </c>
      <c r="B38" s="9">
        <v>8769692.4181639999</v>
      </c>
      <c r="C38" s="10">
        <v>4146531.5070000002</v>
      </c>
      <c r="D38" s="10">
        <v>1773322.5123999999</v>
      </c>
      <c r="E38" s="10">
        <v>1028660.75676</v>
      </c>
      <c r="F38" s="10">
        <v>621276.00959999999</v>
      </c>
      <c r="G38" s="10">
        <v>310646.24687999999</v>
      </c>
      <c r="H38" s="10">
        <v>250095.522</v>
      </c>
      <c r="I38" s="10">
        <v>53429.608260000001</v>
      </c>
      <c r="J38" s="10">
        <v>133289.6268</v>
      </c>
      <c r="K38" s="10">
        <v>116260.78449999999</v>
      </c>
      <c r="L38" s="10">
        <v>51935.21256</v>
      </c>
      <c r="M38" s="10">
        <v>158184.87599999999</v>
      </c>
      <c r="N38" s="10">
        <v>19355.564320000001</v>
      </c>
      <c r="O38" s="10">
        <v>8607.9568639999998</v>
      </c>
      <c r="P38" s="10">
        <v>73936.673999999999</v>
      </c>
      <c r="Q38" s="10"/>
      <c r="R38" s="10">
        <v>11156.52038</v>
      </c>
      <c r="S38" s="10">
        <v>13003.039839999999</v>
      </c>
      <c r="T38" s="10"/>
    </row>
    <row r="39" spans="1:20" x14ac:dyDescent="0.35">
      <c r="A39" s="8">
        <v>46145</v>
      </c>
      <c r="B39" s="9">
        <v>5980956.6968879998</v>
      </c>
      <c r="C39" s="10">
        <v>3421349.6963999998</v>
      </c>
      <c r="D39" s="10">
        <v>1208863.0296</v>
      </c>
      <c r="E39" s="10">
        <v>910322.28767999995</v>
      </c>
      <c r="F39" s="10">
        <v>11939.0524</v>
      </c>
      <c r="G39" s="10">
        <v>160309.72270000001</v>
      </c>
      <c r="H39" s="10">
        <v>70811.578320000001</v>
      </c>
      <c r="I39" s="10">
        <v>83363.10944</v>
      </c>
      <c r="J39" s="10">
        <v>7805.0967000000001</v>
      </c>
      <c r="K39" s="10">
        <v>17964.950120000001</v>
      </c>
      <c r="L39" s="10">
        <v>5035.34076</v>
      </c>
      <c r="M39" s="10">
        <v>7412.2804800000004</v>
      </c>
      <c r="N39" s="10">
        <v>28440.13392</v>
      </c>
      <c r="O39" s="10">
        <v>15452.301767999999</v>
      </c>
      <c r="P39" s="10">
        <v>19966.42454</v>
      </c>
      <c r="Q39" s="10"/>
      <c r="R39" s="10">
        <v>3266.0019200000002</v>
      </c>
      <c r="S39" s="10">
        <v>8655.6901400000006</v>
      </c>
      <c r="T39" s="10"/>
    </row>
    <row r="40" spans="1:20" x14ac:dyDescent="0.35">
      <c r="A40" s="8">
        <v>46144</v>
      </c>
      <c r="B40" s="9">
        <v>5047696.9996400001</v>
      </c>
      <c r="C40" s="10">
        <v>3309424.0297599998</v>
      </c>
      <c r="D40" s="10">
        <v>794825.12016000005</v>
      </c>
      <c r="E40" s="10">
        <v>677999.83684</v>
      </c>
      <c r="F40" s="10">
        <v>17218.3832</v>
      </c>
      <c r="G40" s="10">
        <v>67066.038</v>
      </c>
      <c r="H40" s="10">
        <v>36434.31998</v>
      </c>
      <c r="I40" s="10">
        <v>43896.473599999998</v>
      </c>
      <c r="J40" s="10">
        <v>40995.618840000003</v>
      </c>
      <c r="K40" s="10">
        <v>8010.6983</v>
      </c>
      <c r="L40" s="10">
        <v>5067.9111999999996</v>
      </c>
      <c r="M40" s="10">
        <v>2158.5630000000001</v>
      </c>
      <c r="N40" s="10">
        <v>10999.36284</v>
      </c>
      <c r="O40" s="10">
        <v>2999.7338399999999</v>
      </c>
      <c r="P40" s="10">
        <v>10884.59088</v>
      </c>
      <c r="Q40" s="10"/>
      <c r="R40" s="10">
        <v>3451.14354</v>
      </c>
      <c r="S40" s="10">
        <v>16265.175660000001</v>
      </c>
      <c r="T40" s="10"/>
    </row>
    <row r="41" spans="1:20" x14ac:dyDescent="0.35">
      <c r="A41" s="8">
        <v>46143</v>
      </c>
      <c r="B41" s="9">
        <v>7214436.8334919997</v>
      </c>
      <c r="C41" s="10">
        <v>4037451.35568</v>
      </c>
      <c r="D41" s="10">
        <v>1285535.5808000001</v>
      </c>
      <c r="E41" s="10">
        <v>787784.06975999998</v>
      </c>
      <c r="F41" s="10">
        <v>52887.340799999998</v>
      </c>
      <c r="G41" s="10">
        <v>187131.36455999999</v>
      </c>
      <c r="H41" s="10">
        <v>314004.82799999998</v>
      </c>
      <c r="I41" s="10">
        <v>148695.2855</v>
      </c>
      <c r="J41" s="10">
        <v>138594.17335999999</v>
      </c>
      <c r="K41" s="10">
        <v>116005.11228</v>
      </c>
      <c r="L41" s="10">
        <v>35262.610399999998</v>
      </c>
      <c r="M41" s="10">
        <v>25384.5249</v>
      </c>
      <c r="N41" s="10">
        <v>31567.889439999999</v>
      </c>
      <c r="O41" s="10">
        <v>3048.710732</v>
      </c>
      <c r="P41" s="10">
        <v>23332.387599999998</v>
      </c>
      <c r="Q41" s="10"/>
      <c r="R41" s="10">
        <v>13001.917600000001</v>
      </c>
      <c r="S41" s="10">
        <v>14749.68208</v>
      </c>
      <c r="T41" s="10"/>
    </row>
    <row r="42" spans="1:20" x14ac:dyDescent="0.35">
      <c r="A42" s="8">
        <v>46142</v>
      </c>
      <c r="B42" s="9">
        <v>6309238.8423239999</v>
      </c>
      <c r="C42" s="10">
        <v>2920426.9983000001</v>
      </c>
      <c r="D42" s="10">
        <v>1334097.6000000001</v>
      </c>
      <c r="E42" s="10">
        <v>916474.44929999998</v>
      </c>
      <c r="F42" s="10">
        <v>35352.506659999999</v>
      </c>
      <c r="G42" s="10">
        <v>365898.50400000002</v>
      </c>
      <c r="H42" s="10">
        <v>115604.47435999999</v>
      </c>
      <c r="I42" s="10">
        <v>231300.63407999999</v>
      </c>
      <c r="J42" s="10">
        <v>51359.406519999997</v>
      </c>
      <c r="K42" s="10">
        <v>77301.673320000002</v>
      </c>
      <c r="L42" s="10">
        <v>57257.091359999999</v>
      </c>
      <c r="M42" s="10">
        <v>90341.197440000004</v>
      </c>
      <c r="N42" s="10">
        <v>42883.195919999998</v>
      </c>
      <c r="O42" s="10">
        <v>20592.690424</v>
      </c>
      <c r="P42" s="10">
        <v>30063.367839999999</v>
      </c>
      <c r="Q42" s="10"/>
      <c r="R42" s="10">
        <v>6490.6490000000003</v>
      </c>
      <c r="S42" s="10">
        <v>13794.4038</v>
      </c>
      <c r="T42" s="10"/>
    </row>
    <row r="43" spans="1:20" x14ac:dyDescent="0.35">
      <c r="A43" s="8">
        <v>46141</v>
      </c>
      <c r="B43" s="9">
        <v>6761580.0782960001</v>
      </c>
      <c r="C43" s="10">
        <v>3563051.4338000002</v>
      </c>
      <c r="D43" s="10">
        <v>1248169.92328</v>
      </c>
      <c r="E43" s="10">
        <v>705599.53639999998</v>
      </c>
      <c r="F43" s="10">
        <v>56661.892379999998</v>
      </c>
      <c r="G43" s="10">
        <v>167302.06427999999</v>
      </c>
      <c r="H43" s="10">
        <v>120206.7752</v>
      </c>
      <c r="I43" s="10">
        <v>385553.45094000001</v>
      </c>
      <c r="J43" s="10">
        <v>52760.450400000002</v>
      </c>
      <c r="K43" s="10">
        <v>130156.82746</v>
      </c>
      <c r="L43" s="10">
        <v>27742.768120000001</v>
      </c>
      <c r="M43" s="10">
        <v>44476.777600000001</v>
      </c>
      <c r="N43" s="10">
        <v>126197.844</v>
      </c>
      <c r="O43" s="10">
        <v>11509.798256</v>
      </c>
      <c r="P43" s="10">
        <v>90739.224000000002</v>
      </c>
      <c r="Q43" s="10"/>
      <c r="R43" s="10">
        <v>16490.065739999998</v>
      </c>
      <c r="S43" s="10">
        <v>14961.246440000001</v>
      </c>
      <c r="T43" s="10"/>
    </row>
    <row r="44" spans="1:20" x14ac:dyDescent="0.35">
      <c r="A44" s="8">
        <v>46140</v>
      </c>
      <c r="B44" s="9">
        <v>6301959.8044159999</v>
      </c>
      <c r="C44" s="10">
        <v>3220338.2621599999</v>
      </c>
      <c r="D44" s="10">
        <v>1189923.6749799999</v>
      </c>
      <c r="E44" s="10">
        <v>843574.73531999998</v>
      </c>
      <c r="F44" s="10">
        <v>144798.86564</v>
      </c>
      <c r="G44" s="10">
        <v>148424.6568</v>
      </c>
      <c r="H44" s="10">
        <v>167876.89775999999</v>
      </c>
      <c r="I44" s="10">
        <v>184127.11008000001</v>
      </c>
      <c r="J44" s="10">
        <v>53915.080820000003</v>
      </c>
      <c r="K44" s="10">
        <v>116891.15706</v>
      </c>
      <c r="L44" s="10">
        <v>20955.547620000001</v>
      </c>
      <c r="M44" s="10">
        <v>29209.547879999998</v>
      </c>
      <c r="N44" s="10">
        <v>31857.347300000001</v>
      </c>
      <c r="O44" s="10">
        <v>54947.369676000002</v>
      </c>
      <c r="P44" s="10">
        <v>72782.044479999997</v>
      </c>
      <c r="Q44" s="10"/>
      <c r="R44" s="10">
        <v>12825.807699999999</v>
      </c>
      <c r="S44" s="10">
        <v>9511.6991400000006</v>
      </c>
      <c r="T44" s="10"/>
    </row>
    <row r="45" spans="1:20" x14ac:dyDescent="0.35">
      <c r="A45" s="8">
        <v>46139</v>
      </c>
      <c r="B45" s="9">
        <v>5685482.2727680001</v>
      </c>
      <c r="C45" s="10">
        <v>2427085.70328</v>
      </c>
      <c r="D45" s="10">
        <v>1180792.1435400001</v>
      </c>
      <c r="E45" s="10">
        <v>892241.28948000004</v>
      </c>
      <c r="F45" s="10">
        <v>171455.78015999999</v>
      </c>
      <c r="G45" s="10">
        <v>208216.24280000001</v>
      </c>
      <c r="H45" s="10">
        <v>86063.561780000004</v>
      </c>
      <c r="I45" s="10">
        <v>66244.324999999997</v>
      </c>
      <c r="J45" s="10">
        <v>145835.25138</v>
      </c>
      <c r="K45" s="10">
        <v>229669.68</v>
      </c>
      <c r="L45" s="10">
        <v>42107.968000000001</v>
      </c>
      <c r="M45" s="10">
        <v>43610.63622</v>
      </c>
      <c r="N45" s="10">
        <v>97917.135120000006</v>
      </c>
      <c r="O45" s="10">
        <v>7942.6021280000004</v>
      </c>
      <c r="P45" s="10">
        <v>43128.693800000001</v>
      </c>
      <c r="Q45" s="10"/>
      <c r="R45" s="10">
        <v>21371.077679999999</v>
      </c>
      <c r="S45" s="10">
        <v>21800.182400000002</v>
      </c>
      <c r="T45" s="10"/>
    </row>
    <row r="46" spans="1:20" x14ac:dyDescent="0.35">
      <c r="A46" s="8">
        <v>46138</v>
      </c>
      <c r="B46" s="9">
        <v>4883401.842216</v>
      </c>
      <c r="C46" s="10">
        <v>2397654.1291200002</v>
      </c>
      <c r="D46" s="10">
        <v>1025294.86584</v>
      </c>
      <c r="E46" s="10">
        <v>767559.86800000002</v>
      </c>
      <c r="F46" s="10">
        <v>57132.481679999997</v>
      </c>
      <c r="G46" s="10">
        <v>168343.91140000001</v>
      </c>
      <c r="H46" s="10">
        <v>53075.45766</v>
      </c>
      <c r="I46" s="10">
        <v>33707.150079999999</v>
      </c>
      <c r="J46" s="10">
        <v>49208.973599999998</v>
      </c>
      <c r="K46" s="10">
        <v>59468.923799999997</v>
      </c>
      <c r="L46" s="10">
        <v>8190.8164800000004</v>
      </c>
      <c r="M46" s="10">
        <v>66367.09908</v>
      </c>
      <c r="N46" s="10">
        <v>63826.384400000003</v>
      </c>
      <c r="O46" s="10">
        <v>103370.011056</v>
      </c>
      <c r="P46" s="10">
        <v>16196.1728</v>
      </c>
      <c r="Q46" s="10"/>
      <c r="R46" s="10">
        <v>4357.2744199999997</v>
      </c>
      <c r="S46" s="10">
        <v>9648.3227999999999</v>
      </c>
      <c r="T46" s="10"/>
    </row>
    <row r="47" spans="1:20" x14ac:dyDescent="0.35">
      <c r="A47" s="8">
        <v>46137</v>
      </c>
      <c r="B47" s="9">
        <v>5249249.7660619998</v>
      </c>
      <c r="C47" s="10">
        <v>3133163.7793000001</v>
      </c>
      <c r="D47" s="10">
        <v>901986.20116000006</v>
      </c>
      <c r="E47" s="10">
        <v>835357.94019999995</v>
      </c>
      <c r="F47" s="10">
        <v>13549.921920000001</v>
      </c>
      <c r="G47" s="10">
        <v>119129.55416</v>
      </c>
      <c r="H47" s="10">
        <v>47378.534699999997</v>
      </c>
      <c r="I47" s="10">
        <v>13991.2487</v>
      </c>
      <c r="J47" s="10">
        <v>31262.253120000001</v>
      </c>
      <c r="K47" s="10">
        <v>43783.390800000001</v>
      </c>
      <c r="L47" s="10">
        <v>6275.8603000000003</v>
      </c>
      <c r="M47" s="10">
        <v>28213.14416</v>
      </c>
      <c r="N47" s="10">
        <v>29162.2562</v>
      </c>
      <c r="O47" s="10">
        <v>5926.7659020000001</v>
      </c>
      <c r="P47" s="10">
        <v>13332.42288</v>
      </c>
      <c r="Q47" s="10"/>
      <c r="R47" s="10">
        <v>4561.3803600000001</v>
      </c>
      <c r="S47" s="10">
        <v>22175.1122</v>
      </c>
      <c r="T47" s="10"/>
    </row>
    <row r="48" spans="1:20" x14ac:dyDescent="0.35">
      <c r="A48" s="8">
        <v>46136</v>
      </c>
      <c r="B48" s="9">
        <v>6448552.0867600003</v>
      </c>
      <c r="C48" s="10">
        <v>2783401.39408</v>
      </c>
      <c r="D48" s="10">
        <v>1397437.5689399999</v>
      </c>
      <c r="E48" s="10">
        <v>939475.41752000002</v>
      </c>
      <c r="F48" s="10">
        <v>47817.838559999997</v>
      </c>
      <c r="G48" s="10">
        <v>277380.69855999999</v>
      </c>
      <c r="H48" s="10">
        <v>134651.21328</v>
      </c>
      <c r="I48" s="10">
        <v>299822.19672000001</v>
      </c>
      <c r="J48" s="10">
        <v>168965.21830000001</v>
      </c>
      <c r="K48" s="10">
        <v>134537.83806000001</v>
      </c>
      <c r="L48" s="10">
        <v>35484.4692</v>
      </c>
      <c r="M48" s="10">
        <v>37889.448559999997</v>
      </c>
      <c r="N48" s="10">
        <v>102216.77585999999</v>
      </c>
      <c r="O48" s="10">
        <v>8501.5837200000005</v>
      </c>
      <c r="P48" s="10">
        <v>54453.990400000002</v>
      </c>
      <c r="Q48" s="10"/>
      <c r="R48" s="10">
        <v>10676.031440000001</v>
      </c>
      <c r="S48" s="10">
        <v>15840.403560000001</v>
      </c>
      <c r="T48" s="10"/>
    </row>
    <row r="49" spans="1:20" x14ac:dyDescent="0.35">
      <c r="A49" s="8">
        <v>46135</v>
      </c>
      <c r="B49" s="9">
        <v>7347604.5502399998</v>
      </c>
      <c r="C49" s="10">
        <v>4011056.5280399998</v>
      </c>
      <c r="D49" s="10">
        <v>1532622.78048</v>
      </c>
      <c r="E49" s="10">
        <v>959568.31558000005</v>
      </c>
      <c r="F49" s="10">
        <v>109107.20600000001</v>
      </c>
      <c r="G49" s="10">
        <v>128462.49219999999</v>
      </c>
      <c r="H49" s="10">
        <v>75210.382020000005</v>
      </c>
      <c r="I49" s="10">
        <v>109530.2199</v>
      </c>
      <c r="J49" s="10">
        <v>39558.214639999998</v>
      </c>
      <c r="K49" s="10">
        <v>48064.116580000002</v>
      </c>
      <c r="L49" s="10">
        <v>93430.498879999999</v>
      </c>
      <c r="M49" s="10">
        <v>44254.130279999998</v>
      </c>
      <c r="N49" s="10">
        <v>61534.617200000001</v>
      </c>
      <c r="O49" s="10">
        <v>73487.819399999993</v>
      </c>
      <c r="P49" s="10">
        <v>42089.472479999997</v>
      </c>
      <c r="Q49" s="10"/>
      <c r="R49" s="10">
        <v>3191.2973999999999</v>
      </c>
      <c r="S49" s="10">
        <v>16436.459159999999</v>
      </c>
      <c r="T49" s="10"/>
    </row>
    <row r="50" spans="1:20" x14ac:dyDescent="0.35">
      <c r="A50" s="8">
        <v>46134</v>
      </c>
      <c r="B50" s="9">
        <v>5454704.0126080001</v>
      </c>
      <c r="C50" s="10">
        <v>2951206.6771999998</v>
      </c>
      <c r="D50" s="10">
        <v>1093989.78</v>
      </c>
      <c r="E50" s="10">
        <v>772011.58759999997</v>
      </c>
      <c r="F50" s="10">
        <v>126060.52740000001</v>
      </c>
      <c r="G50" s="10">
        <v>101561.48510000001</v>
      </c>
      <c r="H50" s="10">
        <v>113573.31864</v>
      </c>
      <c r="I50" s="10">
        <v>44683.392599999999</v>
      </c>
      <c r="J50" s="10">
        <v>78188.039999999994</v>
      </c>
      <c r="K50" s="10">
        <v>22030.903200000001</v>
      </c>
      <c r="L50" s="10">
        <v>17325.21818</v>
      </c>
      <c r="M50" s="10">
        <v>24850.847040000001</v>
      </c>
      <c r="N50" s="10">
        <v>37511.754280000001</v>
      </c>
      <c r="O50" s="10">
        <v>11349.529368</v>
      </c>
      <c r="P50" s="10">
        <v>44413.355000000003</v>
      </c>
      <c r="Q50" s="10"/>
      <c r="R50" s="10">
        <v>6565.69776</v>
      </c>
      <c r="S50" s="10">
        <v>9381.8992400000006</v>
      </c>
      <c r="T50" s="10"/>
    </row>
    <row r="51" spans="1:20" x14ac:dyDescent="0.35">
      <c r="A51" s="8">
        <v>46133</v>
      </c>
      <c r="B51" s="9">
        <v>6583866.5080359997</v>
      </c>
      <c r="C51" s="10">
        <v>3064124.4459199999</v>
      </c>
      <c r="D51" s="10">
        <v>1705728.45762</v>
      </c>
      <c r="E51" s="10">
        <v>883195.36722000001</v>
      </c>
      <c r="F51" s="10">
        <v>154271.1249</v>
      </c>
      <c r="G51" s="10">
        <v>205739.42819999999</v>
      </c>
      <c r="H51" s="10">
        <v>157295.03400000001</v>
      </c>
      <c r="I51" s="10">
        <v>155491.05791999999</v>
      </c>
      <c r="J51" s="10">
        <v>57670.854599999999</v>
      </c>
      <c r="K51" s="10">
        <v>28204.558720000001</v>
      </c>
      <c r="L51" s="10">
        <v>13981.07948</v>
      </c>
      <c r="M51" s="10">
        <v>34251.632799999999</v>
      </c>
      <c r="N51" s="10">
        <v>38562.275719999998</v>
      </c>
      <c r="O51" s="10">
        <v>5443.9745160000002</v>
      </c>
      <c r="P51" s="10">
        <v>67509.269820000001</v>
      </c>
      <c r="Q51" s="10"/>
      <c r="R51" s="10">
        <v>2932.7874000000002</v>
      </c>
      <c r="S51" s="10">
        <v>9465.1592000000001</v>
      </c>
      <c r="T51" s="10"/>
    </row>
    <row r="52" spans="1:20" x14ac:dyDescent="0.35">
      <c r="A52" s="8">
        <v>46132</v>
      </c>
      <c r="B52" s="9">
        <v>7412495.9252220001</v>
      </c>
      <c r="C52" s="10">
        <v>3355510.5835600002</v>
      </c>
      <c r="D52" s="10">
        <v>1622873.226</v>
      </c>
      <c r="E52" s="10">
        <v>1054389.5232800001</v>
      </c>
      <c r="F52" s="10">
        <v>224236.98444</v>
      </c>
      <c r="G52" s="10">
        <v>194222.98560000001</v>
      </c>
      <c r="H52" s="10">
        <v>121412.06759999999</v>
      </c>
      <c r="I52" s="10">
        <v>122282.75251999999</v>
      </c>
      <c r="J52" s="10">
        <v>222913.94607999999</v>
      </c>
      <c r="K52" s="10">
        <v>133672.92610000001</v>
      </c>
      <c r="L52" s="10">
        <v>21133.705559999999</v>
      </c>
      <c r="M52" s="10">
        <v>31440.7984</v>
      </c>
      <c r="N52" s="10">
        <v>87821.657399999996</v>
      </c>
      <c r="O52" s="10">
        <v>23030.576142000002</v>
      </c>
      <c r="P52" s="10">
        <v>157521.65687999999</v>
      </c>
      <c r="Q52" s="10"/>
      <c r="R52" s="10">
        <v>5910.1019999999999</v>
      </c>
      <c r="S52" s="10">
        <v>34122.433660000002</v>
      </c>
      <c r="T52" s="10"/>
    </row>
    <row r="53" spans="1:20" x14ac:dyDescent="0.35">
      <c r="A53" s="8">
        <v>46131</v>
      </c>
      <c r="B53" s="9">
        <v>8616979.9499999993</v>
      </c>
      <c r="C53" s="10">
        <v>4403606.66304</v>
      </c>
      <c r="D53" s="10">
        <v>2025857.45636</v>
      </c>
      <c r="E53" s="10">
        <v>948049.82579999999</v>
      </c>
      <c r="F53" s="10">
        <v>50006.025199999996</v>
      </c>
      <c r="G53" s="10">
        <v>124553.01264</v>
      </c>
      <c r="H53" s="10">
        <v>169362.19959999999</v>
      </c>
      <c r="I53" s="10">
        <v>144683.26272</v>
      </c>
      <c r="J53" s="10">
        <v>225255.60740000001</v>
      </c>
      <c r="K53" s="10">
        <v>89382.372000000003</v>
      </c>
      <c r="L53" s="10">
        <v>10107.728139999999</v>
      </c>
      <c r="M53" s="10">
        <v>109431.44192</v>
      </c>
      <c r="N53" s="10">
        <v>67333.392000000007</v>
      </c>
      <c r="O53" s="10">
        <v>39011.345200000003</v>
      </c>
      <c r="P53" s="10">
        <v>188901.67516000001</v>
      </c>
      <c r="Q53" s="10"/>
      <c r="R53" s="10">
        <v>12584.2647</v>
      </c>
      <c r="S53" s="10">
        <v>8853.6781200000005</v>
      </c>
      <c r="T53" s="10"/>
    </row>
    <row r="54" spans="1:20" x14ac:dyDescent="0.35">
      <c r="A54" s="8">
        <v>46130</v>
      </c>
      <c r="B54" s="9">
        <v>6734993.2543019997</v>
      </c>
      <c r="C54" s="10">
        <v>2671354.23232</v>
      </c>
      <c r="D54" s="10">
        <v>1994124.9927000001</v>
      </c>
      <c r="E54" s="10">
        <v>903646.40911999997</v>
      </c>
      <c r="F54" s="10">
        <v>123199.78608000001</v>
      </c>
      <c r="G54" s="10">
        <v>93269.864679999999</v>
      </c>
      <c r="H54" s="10">
        <v>219149.4326</v>
      </c>
      <c r="I54" s="10">
        <v>116291.26272</v>
      </c>
      <c r="J54" s="10">
        <v>126259.522</v>
      </c>
      <c r="K54" s="10">
        <v>111307.46352</v>
      </c>
      <c r="L54" s="10">
        <v>35080.692499999997</v>
      </c>
      <c r="M54" s="10">
        <v>85914.987840000002</v>
      </c>
      <c r="N54" s="10">
        <v>49641.061199999996</v>
      </c>
      <c r="O54" s="10">
        <v>15699.274142</v>
      </c>
      <c r="P54" s="10">
        <v>167965.27901999999</v>
      </c>
      <c r="Q54" s="10"/>
      <c r="R54" s="10">
        <v>12893.3922</v>
      </c>
      <c r="S54" s="10">
        <v>9195.6016600000003</v>
      </c>
      <c r="T54" s="10"/>
    </row>
    <row r="55" spans="1:20" x14ac:dyDescent="0.35">
      <c r="A55" s="8">
        <v>46129</v>
      </c>
      <c r="B55" s="9">
        <v>7443396.2878480004</v>
      </c>
      <c r="C55" s="10">
        <v>2932724.7831600001</v>
      </c>
      <c r="D55" s="10">
        <v>1619297.9481599999</v>
      </c>
      <c r="E55" s="10">
        <v>901060.31897999998</v>
      </c>
      <c r="F55" s="10">
        <v>63836.649740000001</v>
      </c>
      <c r="G55" s="10">
        <v>256963.05600000001</v>
      </c>
      <c r="H55" s="10">
        <v>535411.95707999996</v>
      </c>
      <c r="I55" s="10">
        <v>470131.92460000003</v>
      </c>
      <c r="J55" s="10">
        <v>196184.94839999999</v>
      </c>
      <c r="K55" s="10">
        <v>127352.31912</v>
      </c>
      <c r="L55" s="10">
        <v>54387.648000000001</v>
      </c>
      <c r="M55" s="10">
        <v>108403.70112</v>
      </c>
      <c r="N55" s="10">
        <v>111884.08332000001</v>
      </c>
      <c r="O55" s="10">
        <v>20361.428307999999</v>
      </c>
      <c r="P55" s="10">
        <v>25307.00172</v>
      </c>
      <c r="Q55" s="10"/>
      <c r="R55" s="10">
        <v>9049.2855999999992</v>
      </c>
      <c r="S55" s="10">
        <v>11039.234539999999</v>
      </c>
      <c r="T55" s="10"/>
    </row>
    <row r="56" spans="1:20" x14ac:dyDescent="0.35">
      <c r="A56" s="8">
        <v>46128</v>
      </c>
      <c r="B56" s="9">
        <v>6425234.5686360002</v>
      </c>
      <c r="C56" s="10">
        <v>3187603.9104599999</v>
      </c>
      <c r="D56" s="10">
        <v>1012551.3333000001</v>
      </c>
      <c r="E56" s="10">
        <v>793842.0048</v>
      </c>
      <c r="F56" s="10">
        <v>82595.322880000007</v>
      </c>
      <c r="G56" s="10">
        <v>233584.36360000001</v>
      </c>
      <c r="H56" s="10">
        <v>310372.49570000003</v>
      </c>
      <c r="I56" s="10">
        <v>125486.25143999999</v>
      </c>
      <c r="J56" s="10">
        <v>193361.39207999999</v>
      </c>
      <c r="K56" s="10">
        <v>188094.85535999999</v>
      </c>
      <c r="L56" s="10">
        <v>20311.491720000002</v>
      </c>
      <c r="M56" s="10">
        <v>96522.285159999999</v>
      </c>
      <c r="N56" s="10">
        <v>74524.285799999998</v>
      </c>
      <c r="O56" s="10">
        <v>27399.102176</v>
      </c>
      <c r="P56" s="10">
        <v>43029.272879999997</v>
      </c>
      <c r="Q56" s="10"/>
      <c r="R56" s="10">
        <v>23573.3498</v>
      </c>
      <c r="S56" s="10">
        <v>12382.851479999999</v>
      </c>
      <c r="T56" s="10"/>
    </row>
    <row r="57" spans="1:20" x14ac:dyDescent="0.35">
      <c r="A57" s="8">
        <v>46127</v>
      </c>
      <c r="B57" s="9">
        <v>6745317.8246839996</v>
      </c>
      <c r="C57" s="10">
        <v>3096226.41964</v>
      </c>
      <c r="D57" s="10">
        <v>1141610.89536</v>
      </c>
      <c r="E57" s="10">
        <v>808595.15391999995</v>
      </c>
      <c r="F57" s="10">
        <v>161969.67447999999</v>
      </c>
      <c r="G57" s="10">
        <v>476713.00824</v>
      </c>
      <c r="H57" s="10">
        <v>197583.97424000001</v>
      </c>
      <c r="I57" s="10">
        <v>157280.59547999999</v>
      </c>
      <c r="J57" s="10">
        <v>152127.12684000001</v>
      </c>
      <c r="K57" s="10">
        <v>128401.93912</v>
      </c>
      <c r="L57" s="10">
        <v>88201.456160000002</v>
      </c>
      <c r="M57" s="10">
        <v>37446.07488</v>
      </c>
      <c r="N57" s="10">
        <v>75884.756160000004</v>
      </c>
      <c r="O57" s="10">
        <v>78905.902824000004</v>
      </c>
      <c r="P57" s="10">
        <v>98616.587280000007</v>
      </c>
      <c r="Q57" s="10"/>
      <c r="R57" s="10">
        <v>25648.41606</v>
      </c>
      <c r="S57" s="10">
        <v>20105.844000000001</v>
      </c>
      <c r="T57" s="10"/>
    </row>
    <row r="58" spans="1:20" x14ac:dyDescent="0.35">
      <c r="A58" s="8">
        <v>46126</v>
      </c>
      <c r="B58" s="9">
        <v>6883143.0228399998</v>
      </c>
      <c r="C58" s="10">
        <v>2514607.9736000001</v>
      </c>
      <c r="D58" s="10">
        <v>1967145.8130399999</v>
      </c>
      <c r="E58" s="10">
        <v>914299.54949999996</v>
      </c>
      <c r="F58" s="10">
        <v>371800.8762</v>
      </c>
      <c r="G58" s="10">
        <v>313195.88922000001</v>
      </c>
      <c r="H58" s="10">
        <v>144474.23232000001</v>
      </c>
      <c r="I58" s="10">
        <v>96228.412360000002</v>
      </c>
      <c r="J58" s="10">
        <v>120068.70875999999</v>
      </c>
      <c r="K58" s="10">
        <v>89339.836559999996</v>
      </c>
      <c r="L58" s="10">
        <v>113011.83322</v>
      </c>
      <c r="M58" s="10">
        <v>22487.4198</v>
      </c>
      <c r="N58" s="10">
        <v>90497.616639999993</v>
      </c>
      <c r="O58" s="10">
        <v>40681.224900000001</v>
      </c>
      <c r="P58" s="10">
        <v>40581.307200000003</v>
      </c>
      <c r="Q58" s="10"/>
      <c r="R58" s="10">
        <v>6947.0200800000002</v>
      </c>
      <c r="S58" s="10">
        <v>37775.309439999997</v>
      </c>
      <c r="T58" s="10"/>
    </row>
    <row r="59" spans="1:20" x14ac:dyDescent="0.35">
      <c r="A59" s="8">
        <v>46125</v>
      </c>
      <c r="B59" s="9">
        <v>9429666.3027640004</v>
      </c>
      <c r="C59" s="10">
        <v>2929995.3531999998</v>
      </c>
      <c r="D59" s="10">
        <v>3718237.55644</v>
      </c>
      <c r="E59" s="10">
        <v>1043259.2164799999</v>
      </c>
      <c r="F59" s="10">
        <v>156832.83327999999</v>
      </c>
      <c r="G59" s="10">
        <v>208150.21857999999</v>
      </c>
      <c r="H59" s="10">
        <v>268477.31712000002</v>
      </c>
      <c r="I59" s="10">
        <v>100005.82554000001</v>
      </c>
      <c r="J59" s="10">
        <v>188819.24256000001</v>
      </c>
      <c r="K59" s="10">
        <v>306869.17521999998</v>
      </c>
      <c r="L59" s="10">
        <v>210691.894</v>
      </c>
      <c r="M59" s="10">
        <v>60328.281620000002</v>
      </c>
      <c r="N59" s="10">
        <v>91624.244319999998</v>
      </c>
      <c r="O59" s="10">
        <v>44928.258143999999</v>
      </c>
      <c r="P59" s="10">
        <v>82782.56882</v>
      </c>
      <c r="Q59" s="10"/>
      <c r="R59" s="10">
        <v>5742.7585600000002</v>
      </c>
      <c r="S59" s="10">
        <v>12921.55888</v>
      </c>
      <c r="T59" s="10"/>
    </row>
    <row r="60" spans="1:20" x14ac:dyDescent="0.35">
      <c r="A60" s="8">
        <v>46124</v>
      </c>
      <c r="B60" s="9">
        <v>9748551.5657720007</v>
      </c>
      <c r="C60" s="10">
        <v>3429992.3302000002</v>
      </c>
      <c r="D60" s="10">
        <v>3357828.29636</v>
      </c>
      <c r="E60" s="10">
        <v>1472629.2097</v>
      </c>
      <c r="F60" s="10">
        <v>44568.762900000002</v>
      </c>
      <c r="G60" s="10">
        <v>129164.28432000001</v>
      </c>
      <c r="H60" s="10">
        <v>88457.359200000006</v>
      </c>
      <c r="I60" s="10">
        <v>188223.63522</v>
      </c>
      <c r="J60" s="10">
        <v>119449.4832</v>
      </c>
      <c r="K60" s="10">
        <v>266247.19085999997</v>
      </c>
      <c r="L60" s="10">
        <v>186534.67800000001</v>
      </c>
      <c r="M60" s="10">
        <v>106729.28384</v>
      </c>
      <c r="N60" s="10">
        <v>99648.462480000002</v>
      </c>
      <c r="O60" s="10">
        <v>118136.310572</v>
      </c>
      <c r="P60" s="10">
        <v>124431.53766</v>
      </c>
      <c r="Q60" s="10"/>
      <c r="R60" s="10">
        <v>6508.1326399999998</v>
      </c>
      <c r="S60" s="10">
        <v>10002.608620000001</v>
      </c>
      <c r="T60" s="10"/>
    </row>
    <row r="61" spans="1:20" x14ac:dyDescent="0.35">
      <c r="A61" s="8">
        <v>46123</v>
      </c>
      <c r="B61" s="9">
        <v>5896313.9222759996</v>
      </c>
      <c r="C61" s="10">
        <v>2762706.4942800002</v>
      </c>
      <c r="D61" s="10">
        <v>1115472.2879999999</v>
      </c>
      <c r="E61" s="10">
        <v>1118920.996</v>
      </c>
      <c r="F61" s="10">
        <v>78017.439499999993</v>
      </c>
      <c r="G61" s="10">
        <v>70923.547200000001</v>
      </c>
      <c r="H61" s="10">
        <v>75084.889880000002</v>
      </c>
      <c r="I61" s="10">
        <v>89275.466279999993</v>
      </c>
      <c r="J61" s="10">
        <v>68914.931200000006</v>
      </c>
      <c r="K61" s="10">
        <v>99671.749760000006</v>
      </c>
      <c r="L61" s="10">
        <v>186299.22696</v>
      </c>
      <c r="M61" s="10">
        <v>49892.144480000003</v>
      </c>
      <c r="N61" s="10">
        <v>92974.194300000003</v>
      </c>
      <c r="O61" s="10">
        <v>45328.179415999999</v>
      </c>
      <c r="P61" s="10">
        <v>27671.1482</v>
      </c>
      <c r="Q61" s="10"/>
      <c r="R61" s="10">
        <v>4282.9952999999996</v>
      </c>
      <c r="S61" s="10">
        <v>10878.231519999999</v>
      </c>
      <c r="T61" s="10"/>
    </row>
    <row r="62" spans="1:20" x14ac:dyDescent="0.35">
      <c r="A62" s="8">
        <v>46122</v>
      </c>
      <c r="B62" s="9">
        <v>7928096.6377680004</v>
      </c>
      <c r="C62" s="10">
        <v>3084934.0304800002</v>
      </c>
      <c r="D62" s="10">
        <v>1760106.84</v>
      </c>
      <c r="E62" s="10">
        <v>1424312.6874599999</v>
      </c>
      <c r="F62" s="10">
        <v>197916.49559999999</v>
      </c>
      <c r="G62" s="10">
        <v>394346.73512000003</v>
      </c>
      <c r="H62" s="10">
        <v>115777.42224</v>
      </c>
      <c r="I62" s="10">
        <v>48078.250919999999</v>
      </c>
      <c r="J62" s="10">
        <v>96622.709260000003</v>
      </c>
      <c r="K62" s="10">
        <v>139237.00516</v>
      </c>
      <c r="L62" s="10">
        <v>209169.31816</v>
      </c>
      <c r="M62" s="10">
        <v>101553.95076000001</v>
      </c>
      <c r="N62" s="10">
        <v>74362.134000000005</v>
      </c>
      <c r="O62" s="10">
        <v>222439.72070800001</v>
      </c>
      <c r="P62" s="10">
        <v>43562.891600000003</v>
      </c>
      <c r="Q62" s="10"/>
      <c r="R62" s="10">
        <v>3331.2573000000002</v>
      </c>
      <c r="S62" s="10">
        <v>12345.189</v>
      </c>
      <c r="T62" s="10"/>
    </row>
    <row r="63" spans="1:20" x14ac:dyDescent="0.35">
      <c r="A63" s="8">
        <v>46121</v>
      </c>
      <c r="B63" s="9">
        <v>9388118.9390699994</v>
      </c>
      <c r="C63" s="10">
        <v>3165361.2501599998</v>
      </c>
      <c r="D63" s="10">
        <v>3412442.29</v>
      </c>
      <c r="E63" s="10">
        <v>1105062.9577599999</v>
      </c>
      <c r="F63" s="10">
        <v>213908.61012</v>
      </c>
      <c r="G63" s="10">
        <v>334984.15367999999</v>
      </c>
      <c r="H63" s="10">
        <v>153363.86559999999</v>
      </c>
      <c r="I63" s="10">
        <v>58190.909200000002</v>
      </c>
      <c r="J63" s="10">
        <v>111077.08304</v>
      </c>
      <c r="K63" s="10">
        <v>141412.64984</v>
      </c>
      <c r="L63" s="10">
        <v>487189.03775999998</v>
      </c>
      <c r="M63" s="10">
        <v>76371.707580000002</v>
      </c>
      <c r="N63" s="10">
        <v>47470.978340000001</v>
      </c>
      <c r="O63" s="10">
        <v>33847.179190000003</v>
      </c>
      <c r="P63" s="10">
        <v>32037.75894</v>
      </c>
      <c r="Q63" s="10"/>
      <c r="R63" s="10">
        <v>4326.9509200000002</v>
      </c>
      <c r="S63" s="10">
        <v>11071.55694</v>
      </c>
      <c r="T63" s="10"/>
    </row>
    <row r="64" spans="1:20" x14ac:dyDescent="0.35">
      <c r="A64" s="8">
        <v>46120</v>
      </c>
      <c r="B64" s="9">
        <v>13353559.118828001</v>
      </c>
      <c r="C64" s="10">
        <v>4191808.1472</v>
      </c>
      <c r="D64" s="10">
        <v>4817644.4592000004</v>
      </c>
      <c r="E64" s="10">
        <v>1686595.173</v>
      </c>
      <c r="F64" s="10">
        <v>74587.421879999994</v>
      </c>
      <c r="G64" s="10">
        <v>405653.7672</v>
      </c>
      <c r="H64" s="10">
        <v>228716.25784000001</v>
      </c>
      <c r="I64" s="10">
        <v>190336.76496</v>
      </c>
      <c r="J64" s="10">
        <v>157947.57440000001</v>
      </c>
      <c r="K64" s="10">
        <v>115721.84504</v>
      </c>
      <c r="L64" s="10">
        <v>455997.26423999999</v>
      </c>
      <c r="M64" s="10">
        <v>72206.993600000002</v>
      </c>
      <c r="N64" s="10">
        <v>781982.37684000004</v>
      </c>
      <c r="O64" s="10">
        <v>97223.107608000006</v>
      </c>
      <c r="P64" s="10">
        <v>36450.316800000001</v>
      </c>
      <c r="Q64" s="10"/>
      <c r="R64" s="10">
        <v>18090.164199999999</v>
      </c>
      <c r="S64" s="10">
        <v>22597.484820000001</v>
      </c>
      <c r="T64" s="10"/>
    </row>
    <row r="65" spans="1:20" x14ac:dyDescent="0.35">
      <c r="A65" s="8">
        <v>46119</v>
      </c>
      <c r="B65" s="9">
        <v>17877870.459603999</v>
      </c>
      <c r="C65" s="10">
        <v>3877104.7883600001</v>
      </c>
      <c r="D65" s="10">
        <v>3536890.8078000001</v>
      </c>
      <c r="E65" s="10">
        <v>1980998.4751200001</v>
      </c>
      <c r="F65" s="10">
        <v>49176.816279999999</v>
      </c>
      <c r="G65" s="10">
        <v>1715078.8867200001</v>
      </c>
      <c r="H65" s="10">
        <v>1932315.35112</v>
      </c>
      <c r="I65" s="10">
        <v>1622506.22744</v>
      </c>
      <c r="J65" s="10">
        <v>172191.4933</v>
      </c>
      <c r="K65" s="10">
        <v>605282.10918000003</v>
      </c>
      <c r="L65" s="10">
        <v>506570.82</v>
      </c>
      <c r="M65" s="10">
        <v>81403.023839999994</v>
      </c>
      <c r="N65" s="10">
        <v>1628438.33764</v>
      </c>
      <c r="O65" s="10">
        <v>95304.030763999996</v>
      </c>
      <c r="P65" s="10">
        <v>51705.988879999997</v>
      </c>
      <c r="Q65" s="10"/>
      <c r="R65" s="10">
        <v>5050.8062</v>
      </c>
      <c r="S65" s="10">
        <v>17852.49696</v>
      </c>
      <c r="T65" s="10"/>
    </row>
    <row r="66" spans="1:20" x14ac:dyDescent="0.35">
      <c r="A66" s="8">
        <v>46118</v>
      </c>
      <c r="B66" s="9">
        <v>11227053.370974001</v>
      </c>
      <c r="C66" s="10">
        <v>3773558.2843200001</v>
      </c>
      <c r="D66" s="10">
        <v>1651580.17248</v>
      </c>
      <c r="E66" s="10">
        <v>2364298.2985</v>
      </c>
      <c r="F66" s="10">
        <v>97542.345600000001</v>
      </c>
      <c r="G66" s="10">
        <v>142673.73456000001</v>
      </c>
      <c r="H66" s="10">
        <v>211933.00104</v>
      </c>
      <c r="I66" s="10">
        <v>1580921.9088000001</v>
      </c>
      <c r="J66" s="10">
        <v>193807.90919999999</v>
      </c>
      <c r="K66" s="10">
        <v>651378.22880000004</v>
      </c>
      <c r="L66" s="10">
        <v>241518.02635999999</v>
      </c>
      <c r="M66" s="10">
        <v>153215.93160000001</v>
      </c>
      <c r="N66" s="10">
        <v>80887.509359999996</v>
      </c>
      <c r="O66" s="10">
        <v>29433.367893999999</v>
      </c>
      <c r="P66" s="10">
        <v>15926.60484</v>
      </c>
      <c r="Q66" s="10"/>
      <c r="R66" s="10">
        <v>9804.7540800000006</v>
      </c>
      <c r="S66" s="10">
        <v>28573.293539999999</v>
      </c>
      <c r="T66" s="10"/>
    </row>
    <row r="67" spans="1:20" x14ac:dyDescent="0.35">
      <c r="A67" s="8">
        <v>46117</v>
      </c>
      <c r="B67" s="9">
        <v>13948167.249811999</v>
      </c>
      <c r="C67" s="10">
        <v>3238983.7670999998</v>
      </c>
      <c r="D67" s="10">
        <v>1525103.8119999999</v>
      </c>
      <c r="E67" s="10">
        <v>1362899.4391999999</v>
      </c>
      <c r="F67" s="10">
        <v>13684.58826</v>
      </c>
      <c r="G67" s="10">
        <v>1724297.4464</v>
      </c>
      <c r="H67" s="10">
        <v>1665959.91084</v>
      </c>
      <c r="I67" s="10">
        <v>3083436.3509999998</v>
      </c>
      <c r="J67" s="10">
        <v>25269.058919999999</v>
      </c>
      <c r="K67" s="10">
        <v>127452.90792</v>
      </c>
      <c r="L67" s="10">
        <v>112995.87639999999</v>
      </c>
      <c r="M67" s="10">
        <v>115728.55488</v>
      </c>
      <c r="N67" s="10">
        <v>846923.52564000001</v>
      </c>
      <c r="O67" s="10">
        <v>53627.761511999997</v>
      </c>
      <c r="P67" s="10">
        <v>20871.873540000001</v>
      </c>
      <c r="Q67" s="10"/>
      <c r="R67" s="10">
        <v>18995.558400000002</v>
      </c>
      <c r="S67" s="10">
        <v>11936.817800000001</v>
      </c>
      <c r="T67" s="10"/>
    </row>
    <row r="68" spans="1:20" x14ac:dyDescent="0.35">
      <c r="A68" s="8">
        <v>46116</v>
      </c>
      <c r="B68" s="9">
        <v>4793635.4934560005</v>
      </c>
      <c r="C68" s="10">
        <v>2727268.0219999999</v>
      </c>
      <c r="D68" s="10">
        <v>834545.12135999999</v>
      </c>
      <c r="E68" s="10">
        <v>712360.58739999996</v>
      </c>
      <c r="F68" s="10">
        <v>16131.790639999999</v>
      </c>
      <c r="G68" s="10">
        <v>198823.97020000001</v>
      </c>
      <c r="H68" s="10">
        <v>73746.505359999996</v>
      </c>
      <c r="I68" s="10">
        <v>13475.80032</v>
      </c>
      <c r="J68" s="10">
        <v>33798.233339999999</v>
      </c>
      <c r="K68" s="10">
        <v>31502.646239999998</v>
      </c>
      <c r="L68" s="10">
        <v>14172.65128</v>
      </c>
      <c r="M68" s="10">
        <v>17648.991419999998</v>
      </c>
      <c r="N68" s="10">
        <v>46071.743280000002</v>
      </c>
      <c r="O68" s="10">
        <v>17519.270816</v>
      </c>
      <c r="P68" s="10">
        <v>13541.802540000001</v>
      </c>
      <c r="Q68" s="10"/>
      <c r="R68" s="10">
        <v>20951.17814</v>
      </c>
      <c r="S68" s="10">
        <v>22077.179120000001</v>
      </c>
      <c r="T68" s="10"/>
    </row>
    <row r="69" spans="1:20" x14ac:dyDescent="0.35">
      <c r="A69" s="8">
        <v>46115</v>
      </c>
      <c r="B69" s="9">
        <v>5870540.8914799998</v>
      </c>
      <c r="C69" s="10">
        <v>2272251.5992800002</v>
      </c>
      <c r="D69" s="10">
        <v>1704351.0729</v>
      </c>
      <c r="E69" s="10">
        <v>1017759.024</v>
      </c>
      <c r="F69" s="10">
        <v>41109.042959999999</v>
      </c>
      <c r="G69" s="10">
        <v>266025.70121999999</v>
      </c>
      <c r="H69" s="10">
        <v>123598.8677</v>
      </c>
      <c r="I69" s="10">
        <v>62596.579919999996</v>
      </c>
      <c r="J69" s="10">
        <v>43198.138959999997</v>
      </c>
      <c r="K69" s="10">
        <v>80508.435299999997</v>
      </c>
      <c r="L69" s="10">
        <v>40325.558799999999</v>
      </c>
      <c r="M69" s="10">
        <v>69745.614920000007</v>
      </c>
      <c r="N69" s="10">
        <v>10146.279619999999</v>
      </c>
      <c r="O69" s="10">
        <v>83575.183999999994</v>
      </c>
      <c r="P69" s="10">
        <v>25655.15394</v>
      </c>
      <c r="Q69" s="10"/>
      <c r="R69" s="10">
        <v>5771.0904</v>
      </c>
      <c r="S69" s="10">
        <v>23923.547559999999</v>
      </c>
      <c r="T69" s="10"/>
    </row>
    <row r="70" spans="1:20" x14ac:dyDescent="0.35">
      <c r="A70" s="8">
        <v>46114</v>
      </c>
      <c r="B70" s="9">
        <v>11373267.949061999</v>
      </c>
      <c r="C70" s="10">
        <v>4316682.9121200005</v>
      </c>
      <c r="D70" s="10">
        <v>3274541.7482400001</v>
      </c>
      <c r="E70" s="10">
        <v>2449319.7966</v>
      </c>
      <c r="F70" s="10">
        <v>89100.535759999999</v>
      </c>
      <c r="G70" s="10">
        <v>112451.11332</v>
      </c>
      <c r="H70" s="10">
        <v>205347.72365999999</v>
      </c>
      <c r="I70" s="10">
        <v>29062.10816</v>
      </c>
      <c r="J70" s="10">
        <v>160245.14687999999</v>
      </c>
      <c r="K70" s="10">
        <v>129658.02888</v>
      </c>
      <c r="L70" s="10">
        <v>259966.01016000001</v>
      </c>
      <c r="M70" s="10">
        <v>34035.856679999997</v>
      </c>
      <c r="N70" s="10">
        <v>37768.175519999997</v>
      </c>
      <c r="O70" s="10">
        <v>176842.27664200001</v>
      </c>
      <c r="P70" s="10">
        <v>48017.39172</v>
      </c>
      <c r="Q70" s="10"/>
      <c r="R70" s="10">
        <v>16468.558560000001</v>
      </c>
      <c r="S70" s="10">
        <v>33760.566160000002</v>
      </c>
      <c r="T70" s="10"/>
    </row>
    <row r="71" spans="1:20" x14ac:dyDescent="0.35">
      <c r="A71" s="8">
        <v>46113</v>
      </c>
      <c r="B71" s="9">
        <v>9928751.8797500003</v>
      </c>
      <c r="C71" s="10">
        <v>4312724.7557600001</v>
      </c>
      <c r="D71" s="10">
        <v>2158393.3599200002</v>
      </c>
      <c r="E71" s="10">
        <v>1689278.5376800001</v>
      </c>
      <c r="F71" s="10">
        <v>103850.11902</v>
      </c>
      <c r="G71" s="10">
        <v>534701.76396000001</v>
      </c>
      <c r="H71" s="10">
        <v>380729.28</v>
      </c>
      <c r="I71" s="10">
        <v>88783.735879999993</v>
      </c>
      <c r="J71" s="10">
        <v>186298.6176</v>
      </c>
      <c r="K71" s="10">
        <v>126361.3077</v>
      </c>
      <c r="L71" s="10">
        <v>155968.66899999999</v>
      </c>
      <c r="M71" s="10">
        <v>10788.696480000001</v>
      </c>
      <c r="N71" s="10">
        <v>27561.842400000001</v>
      </c>
      <c r="O71" s="10">
        <v>46713.510609999998</v>
      </c>
      <c r="P71" s="10">
        <v>55665.525240000003</v>
      </c>
      <c r="Q71" s="10"/>
      <c r="R71" s="10">
        <v>23730.986860000001</v>
      </c>
      <c r="S71" s="10">
        <v>27201.17164</v>
      </c>
      <c r="T71" s="10"/>
    </row>
    <row r="72" spans="1:20" x14ac:dyDescent="0.35">
      <c r="A72" s="8">
        <v>46112</v>
      </c>
      <c r="B72" s="9">
        <v>6709317.0661800001</v>
      </c>
      <c r="C72" s="10">
        <v>2772435.5023599998</v>
      </c>
      <c r="D72" s="10">
        <v>1358171.54112</v>
      </c>
      <c r="E72" s="10">
        <v>1077918.4783999999</v>
      </c>
      <c r="F72" s="10">
        <v>154412.31</v>
      </c>
      <c r="G72" s="10">
        <v>173276.0068</v>
      </c>
      <c r="H72" s="10">
        <v>362000.56199999998</v>
      </c>
      <c r="I72" s="10">
        <v>93559.280700000003</v>
      </c>
      <c r="J72" s="10">
        <v>147577.69784000001</v>
      </c>
      <c r="K72" s="10">
        <v>160771.51056</v>
      </c>
      <c r="L72" s="10">
        <v>119222.84508</v>
      </c>
      <c r="M72" s="10">
        <v>37940.87556</v>
      </c>
      <c r="N72" s="10">
        <v>52600.195440000003</v>
      </c>
      <c r="O72" s="10">
        <v>51479.007140000002</v>
      </c>
      <c r="P72" s="10">
        <v>35698.458879999998</v>
      </c>
      <c r="Q72" s="10"/>
      <c r="R72" s="10">
        <v>84694.288140000004</v>
      </c>
      <c r="S72" s="10">
        <v>27558.506160000001</v>
      </c>
      <c r="T72" s="10"/>
    </row>
    <row r="73" spans="1:20" x14ac:dyDescent="0.35">
      <c r="A73" s="8">
        <v>46111</v>
      </c>
      <c r="B73" s="9">
        <v>17005969.680840001</v>
      </c>
      <c r="C73" s="10">
        <v>7174253.9530400001</v>
      </c>
      <c r="D73" s="10">
        <v>3071179.5156</v>
      </c>
      <c r="E73" s="10">
        <v>4800885.4661999997</v>
      </c>
      <c r="F73" s="10">
        <v>291442.34087999997</v>
      </c>
      <c r="G73" s="10">
        <v>386245.52847999998</v>
      </c>
      <c r="H73" s="10">
        <v>257378.11814000001</v>
      </c>
      <c r="I73" s="10">
        <v>123293.118</v>
      </c>
      <c r="J73" s="10">
        <v>156403.51496</v>
      </c>
      <c r="K73" s="10">
        <v>196689.37044</v>
      </c>
      <c r="L73" s="10">
        <v>127538.50244</v>
      </c>
      <c r="M73" s="10">
        <v>117659.37194</v>
      </c>
      <c r="N73" s="10">
        <v>40941.254399999998</v>
      </c>
      <c r="O73" s="10">
        <v>154975.14084000001</v>
      </c>
      <c r="P73" s="10">
        <v>20725.292819999999</v>
      </c>
      <c r="Q73" s="10"/>
      <c r="R73" s="10">
        <v>70176.097959999999</v>
      </c>
      <c r="S73" s="10">
        <v>16183.0947</v>
      </c>
      <c r="T73" s="10"/>
    </row>
    <row r="74" spans="1:20" x14ac:dyDescent="0.35">
      <c r="A74" s="8">
        <v>46110</v>
      </c>
      <c r="B74" s="9">
        <v>19567684.571819998</v>
      </c>
      <c r="C74" s="10">
        <v>8191372.9370999997</v>
      </c>
      <c r="D74" s="10">
        <v>3106780.0296399998</v>
      </c>
      <c r="E74" s="10">
        <v>2753559.2336400002</v>
      </c>
      <c r="F74" s="10">
        <v>4699057.3774800003</v>
      </c>
      <c r="G74" s="10">
        <v>290675.24160000001</v>
      </c>
      <c r="H74" s="10">
        <v>66219.553119999997</v>
      </c>
      <c r="I74" s="10">
        <v>43286.288079999998</v>
      </c>
      <c r="J74" s="10">
        <v>92231.716639999999</v>
      </c>
      <c r="K74" s="10">
        <v>50219.215759999999</v>
      </c>
      <c r="L74" s="10">
        <v>49102.373079999998</v>
      </c>
      <c r="M74" s="10">
        <v>109725.71372</v>
      </c>
      <c r="N74" s="10">
        <v>10244.426100000001</v>
      </c>
      <c r="O74" s="10">
        <v>73594.778080000004</v>
      </c>
      <c r="P74" s="10">
        <v>14067.803680000001</v>
      </c>
      <c r="Q74" s="10"/>
      <c r="R74" s="10">
        <v>4740.6841999999997</v>
      </c>
      <c r="S74" s="10">
        <v>12807.1999</v>
      </c>
      <c r="T74" s="10"/>
    </row>
    <row r="75" spans="1:20" x14ac:dyDescent="0.35">
      <c r="A75" s="8">
        <v>46109</v>
      </c>
      <c r="B75" s="9">
        <v>15352446.145382</v>
      </c>
      <c r="C75" s="10">
        <v>3608432.89738</v>
      </c>
      <c r="D75" s="10">
        <v>3175537.8602399998</v>
      </c>
      <c r="E75" s="10">
        <v>4263604.8912000004</v>
      </c>
      <c r="F75" s="10">
        <v>3437260.7438400001</v>
      </c>
      <c r="G75" s="10">
        <v>163560.0912</v>
      </c>
      <c r="H75" s="10">
        <v>177475.62495999999</v>
      </c>
      <c r="I75" s="10">
        <v>118940.0135</v>
      </c>
      <c r="J75" s="10">
        <v>73507.329180000001</v>
      </c>
      <c r="K75" s="10">
        <v>79809.846080000003</v>
      </c>
      <c r="L75" s="10">
        <v>56365.556759999999</v>
      </c>
      <c r="M75" s="10">
        <v>113014.97672000001</v>
      </c>
      <c r="N75" s="10">
        <v>12920.06538</v>
      </c>
      <c r="O75" s="10">
        <v>13454.099982</v>
      </c>
      <c r="P75" s="10">
        <v>21363.112539999998</v>
      </c>
      <c r="Q75" s="10"/>
      <c r="R75" s="10">
        <v>23937.405119999999</v>
      </c>
      <c r="S75" s="10">
        <v>13261.631299999999</v>
      </c>
      <c r="T75" s="10"/>
    </row>
    <row r="76" spans="1:20" x14ac:dyDescent="0.35">
      <c r="A76" s="8">
        <v>46108</v>
      </c>
      <c r="B76" s="9">
        <v>20209274.347328</v>
      </c>
      <c r="C76" s="10">
        <v>5307106.1361600002</v>
      </c>
      <c r="D76" s="10">
        <v>2989096.1473599998</v>
      </c>
      <c r="E76" s="10">
        <v>4607775.9855399998</v>
      </c>
      <c r="F76" s="10">
        <v>5546521.6755400002</v>
      </c>
      <c r="G76" s="10">
        <v>217883.22816</v>
      </c>
      <c r="H76" s="10">
        <v>313838.01809999999</v>
      </c>
      <c r="I76" s="10">
        <v>214565.6526</v>
      </c>
      <c r="J76" s="10">
        <v>258130.62072000001</v>
      </c>
      <c r="K76" s="10">
        <v>129997.75476</v>
      </c>
      <c r="L76" s="10">
        <v>78402.941099999996</v>
      </c>
      <c r="M76" s="10">
        <v>236767.10216000001</v>
      </c>
      <c r="N76" s="10">
        <v>41514.415119999998</v>
      </c>
      <c r="O76" s="10">
        <v>73465.444988000003</v>
      </c>
      <c r="P76" s="10">
        <v>74821.433180000007</v>
      </c>
      <c r="Q76" s="10"/>
      <c r="R76" s="10">
        <v>103959.88752</v>
      </c>
      <c r="S76" s="10">
        <v>15427.90432</v>
      </c>
      <c r="T76" s="10"/>
    </row>
    <row r="77" spans="1:20" x14ac:dyDescent="0.35">
      <c r="A77" s="8">
        <v>46107</v>
      </c>
      <c r="B77" s="9">
        <v>23573642.908424001</v>
      </c>
      <c r="C77" s="10">
        <v>8486743.1682399996</v>
      </c>
      <c r="D77" s="10">
        <v>4184424.3581400001</v>
      </c>
      <c r="E77" s="10">
        <v>4523230.9808799997</v>
      </c>
      <c r="F77" s="10">
        <v>4763526.8030000003</v>
      </c>
      <c r="G77" s="10">
        <v>390925.79008000001</v>
      </c>
      <c r="H77" s="10">
        <v>160582.89168</v>
      </c>
      <c r="I77" s="10">
        <v>160176.89238</v>
      </c>
      <c r="J77" s="10">
        <v>235978.30007999999</v>
      </c>
      <c r="K77" s="10">
        <v>110982.35136</v>
      </c>
      <c r="L77" s="10">
        <v>59059.425900000002</v>
      </c>
      <c r="M77" s="10">
        <v>159895.58893999999</v>
      </c>
      <c r="N77" s="10">
        <v>91283.456000000006</v>
      </c>
      <c r="O77" s="10">
        <v>80780.305024000001</v>
      </c>
      <c r="P77" s="10">
        <v>34834.962800000001</v>
      </c>
      <c r="Q77" s="10"/>
      <c r="R77" s="10">
        <v>115359.67052</v>
      </c>
      <c r="S77" s="10">
        <v>15857.963400000001</v>
      </c>
      <c r="T77" s="10"/>
    </row>
    <row r="78" spans="1:20" x14ac:dyDescent="0.35">
      <c r="A78" s="8">
        <v>46106</v>
      </c>
      <c r="B78" s="9">
        <v>21049247.669383999</v>
      </c>
      <c r="C78" s="10">
        <v>7092854.2358400002</v>
      </c>
      <c r="D78" s="10">
        <v>5974729.1172799999</v>
      </c>
      <c r="E78" s="10">
        <v>3681988.128</v>
      </c>
      <c r="F78" s="10">
        <v>2763430.9620599998</v>
      </c>
      <c r="G78" s="10">
        <v>299893.92930000002</v>
      </c>
      <c r="H78" s="10">
        <v>163947.64932</v>
      </c>
      <c r="I78" s="10">
        <v>131150.81195999999</v>
      </c>
      <c r="J78" s="10">
        <v>188542.06812000001</v>
      </c>
      <c r="K78" s="10">
        <v>98593.755120000002</v>
      </c>
      <c r="L78" s="10">
        <v>222764.37276</v>
      </c>
      <c r="M78" s="10">
        <v>151698.90635999999</v>
      </c>
      <c r="N78" s="10">
        <v>49417.2399</v>
      </c>
      <c r="O78" s="10">
        <v>105600.787264</v>
      </c>
      <c r="P78" s="10">
        <v>46942.851600000002</v>
      </c>
      <c r="Q78" s="10"/>
      <c r="R78" s="10">
        <v>46383.306299999997</v>
      </c>
      <c r="S78" s="10">
        <v>31309.548200000001</v>
      </c>
      <c r="T78" s="10"/>
    </row>
    <row r="79" spans="1:20" x14ac:dyDescent="0.35">
      <c r="A79" s="8">
        <v>46105</v>
      </c>
      <c r="B79" s="9">
        <v>11211923.421716001</v>
      </c>
      <c r="C79" s="10">
        <v>4636230.4150200002</v>
      </c>
      <c r="D79" s="10">
        <v>1782403.7886999999</v>
      </c>
      <c r="E79" s="10">
        <v>2572498.7752399999</v>
      </c>
      <c r="F79" s="10">
        <v>316885.87854000001</v>
      </c>
      <c r="G79" s="10">
        <v>96887.375639999998</v>
      </c>
      <c r="H79" s="10">
        <v>96614.666400000002</v>
      </c>
      <c r="I79" s="10">
        <v>66734.439199999993</v>
      </c>
      <c r="J79" s="10">
        <v>440781.30609999999</v>
      </c>
      <c r="K79" s="10">
        <v>134967.77755999999</v>
      </c>
      <c r="L79" s="10">
        <v>176184.01250000001</v>
      </c>
      <c r="M79" s="10">
        <v>203199.41448000001</v>
      </c>
      <c r="N79" s="10">
        <v>66887.115779999993</v>
      </c>
      <c r="O79" s="10">
        <v>437874.71883600001</v>
      </c>
      <c r="P79" s="10">
        <v>64611.782639999998</v>
      </c>
      <c r="Q79" s="10"/>
      <c r="R79" s="10">
        <v>85387.934800000003</v>
      </c>
      <c r="S79" s="10">
        <v>33774.020279999997</v>
      </c>
      <c r="T79" s="10"/>
    </row>
    <row r="80" spans="1:20" x14ac:dyDescent="0.35">
      <c r="A80" s="8">
        <v>46104</v>
      </c>
      <c r="B80" s="9">
        <v>19926080.335535999</v>
      </c>
      <c r="C80" s="10">
        <v>7810391.3305599997</v>
      </c>
      <c r="D80" s="10">
        <v>2427105.5575199998</v>
      </c>
      <c r="E80" s="10">
        <v>6041114.4160799999</v>
      </c>
      <c r="F80" s="10">
        <v>161256.18770000001</v>
      </c>
      <c r="G80" s="10">
        <v>327259.59853999998</v>
      </c>
      <c r="H80" s="10">
        <v>301697.52399999998</v>
      </c>
      <c r="I80" s="10">
        <v>198262.66694</v>
      </c>
      <c r="J80" s="10">
        <v>868521.52572000003</v>
      </c>
      <c r="K80" s="10">
        <v>278526.35648000002</v>
      </c>
      <c r="L80" s="10">
        <v>162710.32440000001</v>
      </c>
      <c r="M80" s="10">
        <v>673654.98919999995</v>
      </c>
      <c r="N80" s="10">
        <v>82998.889379999993</v>
      </c>
      <c r="O80" s="10">
        <v>357383.38735600002</v>
      </c>
      <c r="P80" s="10">
        <v>140354.49736000001</v>
      </c>
      <c r="Q80" s="10"/>
      <c r="R80" s="10">
        <v>45839.06626</v>
      </c>
      <c r="S80" s="10">
        <v>49004.018040000003</v>
      </c>
      <c r="T80" s="10"/>
    </row>
    <row r="81" spans="1:20" x14ac:dyDescent="0.35">
      <c r="A81" s="8">
        <v>46103</v>
      </c>
      <c r="B81" s="9">
        <v>5414169.232752</v>
      </c>
      <c r="C81" s="10">
        <v>1840233.8302800001</v>
      </c>
      <c r="D81" s="10">
        <v>1058792.0204400001</v>
      </c>
      <c r="E81" s="10">
        <v>502252.81760000001</v>
      </c>
      <c r="F81" s="10">
        <v>264628.06344</v>
      </c>
      <c r="G81" s="10">
        <v>105514.93055999999</v>
      </c>
      <c r="H81" s="10">
        <v>140582.93656</v>
      </c>
      <c r="I81" s="10">
        <v>47067.070540000001</v>
      </c>
      <c r="J81" s="10">
        <v>235074.16993999999</v>
      </c>
      <c r="K81" s="10">
        <v>197830.25195999999</v>
      </c>
      <c r="L81" s="10">
        <v>233110.728</v>
      </c>
      <c r="M81" s="10">
        <v>307557.39840000001</v>
      </c>
      <c r="N81" s="10">
        <v>16199.352720000001</v>
      </c>
      <c r="O81" s="10">
        <v>87126.096432000006</v>
      </c>
      <c r="P81" s="10">
        <v>321578.8884</v>
      </c>
      <c r="Q81" s="10"/>
      <c r="R81" s="10">
        <v>27298.892599999999</v>
      </c>
      <c r="S81" s="10">
        <v>29321.784879999999</v>
      </c>
      <c r="T81" s="10"/>
    </row>
    <row r="82" spans="1:20" x14ac:dyDescent="0.35">
      <c r="A82" s="8">
        <v>46102</v>
      </c>
      <c r="B82" s="9">
        <v>2895146.4010439999</v>
      </c>
      <c r="C82" s="10">
        <v>785824.24548000004</v>
      </c>
      <c r="D82" s="10">
        <v>728583.11600000004</v>
      </c>
      <c r="E82" s="10">
        <v>244745.63707999999</v>
      </c>
      <c r="F82" s="10">
        <v>60107.089379999998</v>
      </c>
      <c r="G82" s="10">
        <v>43731.491220000004</v>
      </c>
      <c r="H82" s="10">
        <v>66139.31508</v>
      </c>
      <c r="I82" s="10">
        <v>64896.311679999999</v>
      </c>
      <c r="J82" s="10">
        <v>62718.972500000003</v>
      </c>
      <c r="K82" s="10">
        <v>45567.989159999997</v>
      </c>
      <c r="L82" s="10">
        <v>153614.25738</v>
      </c>
      <c r="M82" s="10">
        <v>178515.5153</v>
      </c>
      <c r="N82" s="10">
        <v>16769.416560000001</v>
      </c>
      <c r="O82" s="10">
        <v>303982.19042399997</v>
      </c>
      <c r="P82" s="10">
        <v>111825.82</v>
      </c>
      <c r="Q82" s="10"/>
      <c r="R82" s="10">
        <v>14557.945599999999</v>
      </c>
      <c r="S82" s="10">
        <v>13567.0882</v>
      </c>
      <c r="T82" s="10"/>
    </row>
    <row r="83" spans="1:20" x14ac:dyDescent="0.35">
      <c r="A83" s="8">
        <v>46101</v>
      </c>
      <c r="B83" s="9">
        <v>6159471.6330180001</v>
      </c>
      <c r="C83" s="10">
        <v>2036964.01416</v>
      </c>
      <c r="D83" s="10">
        <v>1013857.65474</v>
      </c>
      <c r="E83" s="10">
        <v>1129724.8546</v>
      </c>
      <c r="F83" s="10">
        <v>167287.64736</v>
      </c>
      <c r="G83" s="10">
        <v>312636.96653999999</v>
      </c>
      <c r="H83" s="10">
        <v>142331.03544000001</v>
      </c>
      <c r="I83" s="10">
        <v>99834.843959999998</v>
      </c>
      <c r="J83" s="10">
        <v>251703.71711999999</v>
      </c>
      <c r="K83" s="10">
        <v>59451.904719999999</v>
      </c>
      <c r="L83" s="10">
        <v>524994.78096</v>
      </c>
      <c r="M83" s="10">
        <v>86047.77648</v>
      </c>
      <c r="N83" s="10">
        <v>34124.730020000003</v>
      </c>
      <c r="O83" s="10">
        <v>115811.440118</v>
      </c>
      <c r="P83" s="10">
        <v>102073.11288</v>
      </c>
      <c r="Q83" s="10"/>
      <c r="R83" s="10">
        <v>29150.60772</v>
      </c>
      <c r="S83" s="10">
        <v>53476.546199999997</v>
      </c>
      <c r="T83" s="10"/>
    </row>
    <row r="84" spans="1:20" x14ac:dyDescent="0.35">
      <c r="A84" s="8">
        <v>46100</v>
      </c>
      <c r="B84" s="9">
        <v>9705658.9149820004</v>
      </c>
      <c r="C84" s="10">
        <v>3798177.9906000001</v>
      </c>
      <c r="D84" s="10">
        <v>1680330.6773999999</v>
      </c>
      <c r="E84" s="10">
        <v>2154451.0033800001</v>
      </c>
      <c r="F84" s="10">
        <v>46320.644319999999</v>
      </c>
      <c r="G84" s="10">
        <v>380031.23790000001</v>
      </c>
      <c r="H84" s="10">
        <v>33594.815280000003</v>
      </c>
      <c r="I84" s="10">
        <v>146975.62656</v>
      </c>
      <c r="J84" s="10">
        <v>288628.83078000002</v>
      </c>
      <c r="K84" s="10">
        <v>197527.04136</v>
      </c>
      <c r="L84" s="10">
        <v>257788.48792000001</v>
      </c>
      <c r="M84" s="10">
        <v>287301.49388000002</v>
      </c>
      <c r="N84" s="10">
        <v>33291.99194</v>
      </c>
      <c r="O84" s="10">
        <v>212584.28122199999</v>
      </c>
      <c r="P84" s="10">
        <v>108404.0836</v>
      </c>
      <c r="Q84" s="10"/>
      <c r="R84" s="10">
        <v>8093.9102800000001</v>
      </c>
      <c r="S84" s="10">
        <v>72156.798559999996</v>
      </c>
      <c r="T84" s="10"/>
    </row>
    <row r="85" spans="1:20" x14ac:dyDescent="0.35">
      <c r="A85" s="8">
        <v>46099</v>
      </c>
      <c r="B85" s="9">
        <v>5464631.1651959997</v>
      </c>
      <c r="C85" s="10">
        <v>1922126.0679200001</v>
      </c>
      <c r="D85" s="10">
        <v>1183285.9129000001</v>
      </c>
      <c r="E85" s="10">
        <v>975257.12231999997</v>
      </c>
      <c r="F85" s="10"/>
      <c r="G85" s="10">
        <v>320467.86592000001</v>
      </c>
      <c r="H85" s="10"/>
      <c r="I85" s="10">
        <v>83383.413119999997</v>
      </c>
      <c r="J85" s="10">
        <v>144717.49002</v>
      </c>
      <c r="K85" s="10">
        <v>167968.43306000001</v>
      </c>
      <c r="L85" s="10">
        <v>250664.90591999999</v>
      </c>
      <c r="M85" s="10">
        <v>176513.94391999999</v>
      </c>
      <c r="N85" s="10">
        <v>42861.723599999998</v>
      </c>
      <c r="O85" s="10">
        <v>122682.012936</v>
      </c>
      <c r="P85" s="10">
        <v>39290.558559999998</v>
      </c>
      <c r="Q85" s="10"/>
      <c r="R85" s="10"/>
      <c r="S85" s="10">
        <v>35411.714999999997</v>
      </c>
      <c r="T85" s="10"/>
    </row>
    <row r="86" spans="1:20" x14ac:dyDescent="0.35">
      <c r="A86" s="8">
        <v>46098</v>
      </c>
      <c r="B86" s="9">
        <v>3373636.0393679999</v>
      </c>
      <c r="C86" s="10">
        <v>1123606.372</v>
      </c>
      <c r="D86" s="10">
        <v>443579.08944000001</v>
      </c>
      <c r="E86" s="10">
        <v>378090.67080000002</v>
      </c>
      <c r="F86" s="10"/>
      <c r="G86" s="10">
        <v>620466.09701999999</v>
      </c>
      <c r="H86" s="10"/>
      <c r="I86" s="10">
        <v>106814.48834</v>
      </c>
      <c r="J86" s="10">
        <v>62465.592199999999</v>
      </c>
      <c r="K86" s="10">
        <v>155995.12064000001</v>
      </c>
      <c r="L86" s="10">
        <v>103862.1784</v>
      </c>
      <c r="M86" s="10">
        <v>164429.68788000001</v>
      </c>
      <c r="N86" s="10">
        <v>32735.232739999999</v>
      </c>
      <c r="O86" s="10">
        <v>54744.305088000001</v>
      </c>
      <c r="P86" s="10">
        <v>79289.642879999999</v>
      </c>
      <c r="Q86" s="10"/>
      <c r="R86" s="10"/>
      <c r="S86" s="10">
        <v>47557.56194</v>
      </c>
      <c r="T86" s="10"/>
    </row>
    <row r="87" spans="1:20" x14ac:dyDescent="0.35">
      <c r="A87" s="8">
        <v>46097</v>
      </c>
      <c r="B87" s="9">
        <v>5128400.1228839997</v>
      </c>
      <c r="C87" s="10">
        <v>1283885.6115600001</v>
      </c>
      <c r="D87" s="10">
        <v>929719.42579999997</v>
      </c>
      <c r="E87" s="10">
        <v>955351.36340000003</v>
      </c>
      <c r="F87" s="10"/>
      <c r="G87" s="10">
        <v>407858.16456</v>
      </c>
      <c r="H87" s="10"/>
      <c r="I87" s="10">
        <v>121497.5916</v>
      </c>
      <c r="J87" s="10">
        <v>585035.39327999996</v>
      </c>
      <c r="K87" s="10">
        <v>192460.75307999999</v>
      </c>
      <c r="L87" s="10">
        <v>93382.598400000003</v>
      </c>
      <c r="M87" s="10">
        <v>206185.19390000001</v>
      </c>
      <c r="N87" s="10">
        <v>27403.28514</v>
      </c>
      <c r="O87" s="10">
        <v>150438.02186400001</v>
      </c>
      <c r="P87" s="10">
        <v>156815.16662</v>
      </c>
      <c r="Q87" s="10"/>
      <c r="R87" s="10"/>
      <c r="S87" s="10">
        <v>18367.553680000001</v>
      </c>
      <c r="T87" s="10"/>
    </row>
    <row r="88" spans="1:20" x14ac:dyDescent="0.35">
      <c r="A88" s="8">
        <v>46096</v>
      </c>
      <c r="B88" s="9">
        <v>3544552.6102359998</v>
      </c>
      <c r="C88" s="10">
        <v>932977.58536000003</v>
      </c>
      <c r="D88" s="10">
        <v>803662.55850000004</v>
      </c>
      <c r="E88" s="10">
        <v>518987.48232000001</v>
      </c>
      <c r="F88" s="10"/>
      <c r="G88" s="10">
        <v>244116.69672000001</v>
      </c>
      <c r="H88" s="10"/>
      <c r="I88" s="10">
        <v>61807.755400000002</v>
      </c>
      <c r="J88" s="10">
        <v>55291.091039999999</v>
      </c>
      <c r="K88" s="10">
        <v>274542.86339999997</v>
      </c>
      <c r="L88" s="10">
        <v>70229.039399999994</v>
      </c>
      <c r="M88" s="10">
        <v>261286.64730000001</v>
      </c>
      <c r="N88" s="10">
        <v>27859.355940000001</v>
      </c>
      <c r="O88" s="10">
        <v>110820.955416</v>
      </c>
      <c r="P88" s="10">
        <v>170652.23224000001</v>
      </c>
      <c r="Q88" s="10"/>
      <c r="R88" s="10"/>
      <c r="S88" s="10">
        <v>12318.3472</v>
      </c>
      <c r="T88" s="10"/>
    </row>
    <row r="89" spans="1:20" x14ac:dyDescent="0.35">
      <c r="A89" s="8">
        <v>46095</v>
      </c>
      <c r="B89" s="9">
        <v>3342472.5084799998</v>
      </c>
      <c r="C89" s="10">
        <v>919853.24444000004</v>
      </c>
      <c r="D89" s="10">
        <v>710761.85389999999</v>
      </c>
      <c r="E89" s="10">
        <v>195770.62437999999</v>
      </c>
      <c r="F89" s="10"/>
      <c r="G89" s="10">
        <v>571908.13199999998</v>
      </c>
      <c r="H89" s="10"/>
      <c r="I89" s="10">
        <v>154497.24489999999</v>
      </c>
      <c r="J89" s="10">
        <v>57931.733</v>
      </c>
      <c r="K89" s="10">
        <v>146516.83452</v>
      </c>
      <c r="L89" s="10">
        <v>157540.38248</v>
      </c>
      <c r="M89" s="10">
        <v>153264.6851</v>
      </c>
      <c r="N89" s="10">
        <v>31555.8789</v>
      </c>
      <c r="O89" s="10">
        <v>85658.223679999996</v>
      </c>
      <c r="P89" s="10">
        <v>127915.4694</v>
      </c>
      <c r="Q89" s="10"/>
      <c r="R89" s="10"/>
      <c r="S89" s="10">
        <v>29298.201779999999</v>
      </c>
      <c r="T89" s="10"/>
    </row>
    <row r="90" spans="1:20" x14ac:dyDescent="0.35">
      <c r="A90" s="8">
        <v>46094</v>
      </c>
      <c r="B90" s="9">
        <v>3923889.0821480001</v>
      </c>
      <c r="C90" s="10">
        <v>1152260.8365199999</v>
      </c>
      <c r="D90" s="10">
        <v>912016.7254</v>
      </c>
      <c r="E90" s="10">
        <v>546461.79839999997</v>
      </c>
      <c r="F90" s="10"/>
      <c r="G90" s="10">
        <v>495090.63987999997</v>
      </c>
      <c r="H90" s="10"/>
      <c r="I90" s="10">
        <v>79526.37384</v>
      </c>
      <c r="J90" s="10">
        <v>88129.126799999998</v>
      </c>
      <c r="K90" s="10">
        <v>141476.08705999999</v>
      </c>
      <c r="L90" s="10">
        <v>59855.883779999996</v>
      </c>
      <c r="M90" s="10">
        <v>160529.22083999999</v>
      </c>
      <c r="N90" s="10">
        <v>38456.017480000002</v>
      </c>
      <c r="O90" s="10">
        <v>155648.67612799999</v>
      </c>
      <c r="P90" s="10">
        <v>29663.295900000001</v>
      </c>
      <c r="Q90" s="10"/>
      <c r="R90" s="10"/>
      <c r="S90" s="10">
        <v>64774.400119999998</v>
      </c>
      <c r="T9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7D49-B1C4-49A5-AB11-490F0CFB1E8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33" width="14" customWidth="1"/>
  </cols>
  <sheetData>
    <row r="1" spans="1:33" x14ac:dyDescent="0.35">
      <c r="A1" s="1" t="s">
        <v>0</v>
      </c>
      <c r="C1" s="3" t="s">
        <v>2</v>
      </c>
      <c r="D1" s="3" t="s">
        <v>2</v>
      </c>
      <c r="E1" s="3" t="s">
        <v>2</v>
      </c>
      <c r="F1" s="3" t="s">
        <v>2</v>
      </c>
      <c r="G1" s="4" t="s">
        <v>3</v>
      </c>
      <c r="H1" s="2" t="s">
        <v>1</v>
      </c>
      <c r="I1" s="2" t="s">
        <v>1</v>
      </c>
      <c r="J1" s="2" t="s">
        <v>1</v>
      </c>
      <c r="K1" s="4" t="s">
        <v>3</v>
      </c>
      <c r="L1" s="3" t="s">
        <v>2</v>
      </c>
      <c r="M1" s="3" t="s">
        <v>2</v>
      </c>
      <c r="N1" s="3" t="s">
        <v>2</v>
      </c>
      <c r="O1" s="4" t="s">
        <v>3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2" t="s">
        <v>1</v>
      </c>
      <c r="W1" s="4" t="s">
        <v>3</v>
      </c>
      <c r="X1" s="3" t="s">
        <v>2</v>
      </c>
      <c r="Y1" s="3" t="s">
        <v>2</v>
      </c>
      <c r="Z1" s="3" t="s">
        <v>2</v>
      </c>
      <c r="AA1" s="3" t="s">
        <v>2</v>
      </c>
      <c r="AB1" s="3" t="s">
        <v>2</v>
      </c>
      <c r="AC1" s="2" t="s">
        <v>1</v>
      </c>
      <c r="AD1" s="4" t="s">
        <v>3</v>
      </c>
      <c r="AE1" s="3" t="s">
        <v>2</v>
      </c>
      <c r="AF1" s="3" t="s">
        <v>2</v>
      </c>
      <c r="AG1" s="2" t="s">
        <v>1</v>
      </c>
    </row>
    <row r="2" spans="1:33" x14ac:dyDescent="0.35">
      <c r="A2" s="7" t="s">
        <v>6</v>
      </c>
      <c r="B2" s="7" t="s">
        <v>7</v>
      </c>
      <c r="C2" s="7" t="s">
        <v>23</v>
      </c>
      <c r="D2" s="7" t="s">
        <v>15</v>
      </c>
      <c r="E2" s="7" t="s">
        <v>14</v>
      </c>
      <c r="F2" s="7" t="s">
        <v>18</v>
      </c>
      <c r="G2" s="7" t="s">
        <v>20</v>
      </c>
      <c r="H2" s="7" t="s">
        <v>8</v>
      </c>
      <c r="I2" s="7" t="s">
        <v>10</v>
      </c>
      <c r="J2" s="7" t="s">
        <v>11</v>
      </c>
      <c r="K2" s="7" t="s">
        <v>34</v>
      </c>
      <c r="L2" s="7" t="s">
        <v>31</v>
      </c>
      <c r="M2" s="7" t="s">
        <v>13</v>
      </c>
      <c r="N2" s="7" t="s">
        <v>27</v>
      </c>
      <c r="O2" s="7" t="s">
        <v>28</v>
      </c>
      <c r="P2" s="7" t="s">
        <v>32</v>
      </c>
      <c r="Q2" s="7" t="s">
        <v>19</v>
      </c>
      <c r="R2" s="7" t="s">
        <v>26</v>
      </c>
      <c r="S2" s="7" t="s">
        <v>17</v>
      </c>
      <c r="T2" s="7" t="s">
        <v>12</v>
      </c>
      <c r="U2" s="7" t="s">
        <v>16</v>
      </c>
      <c r="V2" s="7" t="s">
        <v>204</v>
      </c>
      <c r="W2" s="7" t="s">
        <v>205</v>
      </c>
      <c r="X2" s="7" t="s">
        <v>83</v>
      </c>
      <c r="Y2" s="7" t="s">
        <v>25</v>
      </c>
      <c r="Z2" s="7" t="s">
        <v>206</v>
      </c>
      <c r="AA2" s="7" t="s">
        <v>171</v>
      </c>
      <c r="AB2" s="7" t="s">
        <v>21</v>
      </c>
      <c r="AC2" s="7" t="s">
        <v>22</v>
      </c>
      <c r="AD2" s="7" t="s">
        <v>137</v>
      </c>
      <c r="AE2" s="7" t="s">
        <v>39</v>
      </c>
      <c r="AF2" s="7" t="s">
        <v>104</v>
      </c>
      <c r="AG2" s="7" t="s">
        <v>9</v>
      </c>
    </row>
    <row r="3" spans="1:33" x14ac:dyDescent="0.35">
      <c r="A3" s="8">
        <v>46162</v>
      </c>
      <c r="B3" s="9">
        <v>81446947.776570007</v>
      </c>
      <c r="C3" s="10">
        <v>7881680.0986000001</v>
      </c>
      <c r="D3" s="10">
        <v>12836953.276760001</v>
      </c>
      <c r="E3" s="10">
        <v>13616202.846899999</v>
      </c>
      <c r="F3" s="10">
        <v>13213293.002800001</v>
      </c>
      <c r="G3" s="10">
        <v>8632634.4513000008</v>
      </c>
      <c r="H3" s="10">
        <v>3375100.2071099998</v>
      </c>
      <c r="I3" s="10">
        <v>10187679.7564</v>
      </c>
      <c r="J3" s="10">
        <v>8816229.0664000008</v>
      </c>
      <c r="K3" s="10">
        <v>282130.87770000001</v>
      </c>
      <c r="L3" s="10">
        <v>229172.93700000001</v>
      </c>
      <c r="M3" s="10">
        <v>159952.5943</v>
      </c>
      <c r="N3" s="10">
        <v>147210.50279999999</v>
      </c>
      <c r="O3" s="10">
        <v>154717.18049999999</v>
      </c>
      <c r="P3" s="10">
        <v>166079.87549999999</v>
      </c>
      <c r="Q3" s="10">
        <v>114154.5177</v>
      </c>
      <c r="R3" s="10">
        <v>102104.8116</v>
      </c>
      <c r="S3" s="10">
        <v>64621.937100000003</v>
      </c>
      <c r="T3" s="10">
        <v>58600.190399999999</v>
      </c>
      <c r="U3" s="10">
        <v>625911.9388</v>
      </c>
      <c r="V3" s="10">
        <v>36523.752899999999</v>
      </c>
      <c r="W3" s="10">
        <v>16615.9457</v>
      </c>
      <c r="X3" s="10"/>
      <c r="Y3" s="10">
        <v>52998.346599999997</v>
      </c>
      <c r="Z3" s="10">
        <v>44502.618900000001</v>
      </c>
      <c r="AA3" s="10"/>
      <c r="AB3" s="10">
        <v>38800.917099999999</v>
      </c>
      <c r="AC3" s="10">
        <v>532676.89</v>
      </c>
      <c r="AD3" s="10"/>
      <c r="AE3" s="10"/>
      <c r="AF3" s="10">
        <v>33013.522199999999</v>
      </c>
      <c r="AG3" s="10">
        <v>27385.713500000002</v>
      </c>
    </row>
    <row r="4" spans="1:33" x14ac:dyDescent="0.35">
      <c r="A4" s="8">
        <v>46161</v>
      </c>
      <c r="B4" s="9">
        <v>78153458.093360007</v>
      </c>
      <c r="C4" s="10">
        <v>6997664.1796000004</v>
      </c>
      <c r="D4" s="10">
        <v>13588364.252660001</v>
      </c>
      <c r="E4" s="10">
        <v>13822877.419740001</v>
      </c>
      <c r="F4" s="10">
        <v>12601894.5583</v>
      </c>
      <c r="G4" s="10">
        <v>8854358.7610999998</v>
      </c>
      <c r="H4" s="10">
        <v>3668531.59876</v>
      </c>
      <c r="I4" s="10">
        <v>8845024.6974999998</v>
      </c>
      <c r="J4" s="10">
        <v>7541948.0607000003</v>
      </c>
      <c r="K4" s="10">
        <v>283459.65840000001</v>
      </c>
      <c r="L4" s="10">
        <v>233776.89689999999</v>
      </c>
      <c r="M4" s="10">
        <v>158561.31570000001</v>
      </c>
      <c r="N4" s="10">
        <v>151180.8737</v>
      </c>
      <c r="O4" s="10">
        <v>184454.36189999999</v>
      </c>
      <c r="P4" s="10">
        <v>162038.12710000001</v>
      </c>
      <c r="Q4" s="10">
        <v>99372.323600000003</v>
      </c>
      <c r="R4" s="10">
        <v>101838.12609999999</v>
      </c>
      <c r="S4" s="10">
        <v>65363.578999999998</v>
      </c>
      <c r="T4" s="10">
        <v>59305.250800000002</v>
      </c>
      <c r="U4" s="10">
        <v>103511.7061</v>
      </c>
      <c r="V4" s="10">
        <v>34018.9594</v>
      </c>
      <c r="W4" s="10">
        <v>16929.562399999999</v>
      </c>
      <c r="X4" s="10"/>
      <c r="Y4" s="10">
        <v>52881.6656</v>
      </c>
      <c r="Z4" s="10">
        <v>44055.839399999997</v>
      </c>
      <c r="AA4" s="10"/>
      <c r="AB4" s="10">
        <v>39317.163699999997</v>
      </c>
      <c r="AC4" s="10">
        <v>349189.152</v>
      </c>
      <c r="AD4" s="10"/>
      <c r="AE4" s="10"/>
      <c r="AF4" s="10">
        <v>59040.040500000003</v>
      </c>
      <c r="AG4" s="10">
        <v>34499.962699999996</v>
      </c>
    </row>
    <row r="5" spans="1:33" x14ac:dyDescent="0.35">
      <c r="A5" s="8">
        <v>46160</v>
      </c>
      <c r="B5" s="9">
        <v>83882652.762950003</v>
      </c>
      <c r="C5" s="10">
        <v>6618212.8563999999</v>
      </c>
      <c r="D5" s="10">
        <v>13137165.458629999</v>
      </c>
      <c r="E5" s="10">
        <v>13801813.75388</v>
      </c>
      <c r="F5" s="10">
        <v>13317020.866800001</v>
      </c>
      <c r="G5" s="10">
        <v>11088621.958799999</v>
      </c>
      <c r="H5" s="10">
        <v>3662726.9332400002</v>
      </c>
      <c r="I5" s="10">
        <v>10247077.2717</v>
      </c>
      <c r="J5" s="10">
        <v>9202335.8253000006</v>
      </c>
      <c r="K5" s="10">
        <v>283644.54350000003</v>
      </c>
      <c r="L5" s="10">
        <v>235981.85889999999</v>
      </c>
      <c r="M5" s="10">
        <v>162800.10010000001</v>
      </c>
      <c r="N5" s="10">
        <v>155857.69130000001</v>
      </c>
      <c r="O5" s="10">
        <v>167817.69940000001</v>
      </c>
      <c r="P5" s="10">
        <v>166578.39120000001</v>
      </c>
      <c r="Q5" s="10">
        <v>108478.84390000001</v>
      </c>
      <c r="R5" s="10">
        <v>121521.57889999999</v>
      </c>
      <c r="S5" s="10">
        <v>66726.956600000005</v>
      </c>
      <c r="T5" s="10">
        <v>61729.651400000002</v>
      </c>
      <c r="U5" s="10">
        <v>135469.5503</v>
      </c>
      <c r="V5" s="10">
        <v>241450.67490000001</v>
      </c>
      <c r="W5" s="10">
        <v>17746.185399999998</v>
      </c>
      <c r="X5" s="10"/>
      <c r="Y5" s="10">
        <v>65617.033100000001</v>
      </c>
      <c r="Z5" s="10">
        <v>43694.491699999999</v>
      </c>
      <c r="AA5" s="10"/>
      <c r="AB5" s="10">
        <v>39957.925900000002</v>
      </c>
      <c r="AC5" s="10">
        <v>595971.89</v>
      </c>
      <c r="AD5" s="10"/>
      <c r="AE5" s="10"/>
      <c r="AF5" s="10">
        <v>34134.580199999997</v>
      </c>
      <c r="AG5" s="10">
        <v>102498.1915</v>
      </c>
    </row>
    <row r="6" spans="1:33" x14ac:dyDescent="0.35">
      <c r="A6" s="8">
        <v>46159</v>
      </c>
      <c r="B6" s="9">
        <v>29736744.500530001</v>
      </c>
      <c r="C6" s="10">
        <v>66109.948900000003</v>
      </c>
      <c r="D6" s="10">
        <v>6440597.9741700003</v>
      </c>
      <c r="E6" s="10">
        <v>6599773.2232100004</v>
      </c>
      <c r="F6" s="10">
        <v>3614410.5414</v>
      </c>
      <c r="G6" s="10">
        <v>4033075.5260999999</v>
      </c>
      <c r="H6" s="10">
        <v>1806445.8106500001</v>
      </c>
      <c r="I6" s="10">
        <v>2517324.7327999999</v>
      </c>
      <c r="J6" s="10">
        <v>2784744.5216000001</v>
      </c>
      <c r="K6" s="10">
        <v>281218.59840000002</v>
      </c>
      <c r="L6" s="10">
        <v>234330.49830000001</v>
      </c>
      <c r="M6" s="10">
        <v>161997.56229999999</v>
      </c>
      <c r="N6" s="10">
        <v>151910.79879999999</v>
      </c>
      <c r="O6" s="10">
        <v>165637.1422</v>
      </c>
      <c r="P6" s="10">
        <v>161014.1992</v>
      </c>
      <c r="Q6" s="10">
        <v>101207.71339999999</v>
      </c>
      <c r="R6" s="10">
        <v>101572.6293</v>
      </c>
      <c r="S6" s="10">
        <v>67062.035000000003</v>
      </c>
      <c r="T6" s="10">
        <v>150720.0447</v>
      </c>
      <c r="U6" s="10">
        <v>88437.1921</v>
      </c>
      <c r="V6" s="10"/>
      <c r="W6" s="10"/>
      <c r="X6" s="10"/>
      <c r="Y6" s="10">
        <v>51697.033000000003</v>
      </c>
      <c r="Z6" s="10"/>
      <c r="AA6" s="10"/>
      <c r="AB6" s="10">
        <v>39255.028100000003</v>
      </c>
      <c r="AC6" s="10">
        <v>103822.99099999999</v>
      </c>
      <c r="AD6" s="10"/>
      <c r="AE6" s="10"/>
      <c r="AF6" s="10"/>
      <c r="AG6" s="10">
        <v>14378.7559</v>
      </c>
    </row>
    <row r="7" spans="1:33" x14ac:dyDescent="0.35">
      <c r="A7" s="8">
        <v>46158</v>
      </c>
      <c r="B7" s="9">
        <v>24239183.655870002</v>
      </c>
      <c r="C7" s="10">
        <v>2017515.2209999999</v>
      </c>
      <c r="D7" s="10">
        <v>5518670.3414700003</v>
      </c>
      <c r="E7" s="10">
        <v>4474163.0903399996</v>
      </c>
      <c r="F7" s="10">
        <v>2888132.3402999998</v>
      </c>
      <c r="G7" s="10">
        <v>2435788.6071000001</v>
      </c>
      <c r="H7" s="10">
        <v>1010579.67476</v>
      </c>
      <c r="I7" s="10">
        <v>2129765.8357000002</v>
      </c>
      <c r="J7" s="10">
        <v>2012761.9427</v>
      </c>
      <c r="K7" s="10">
        <v>284960.24050000001</v>
      </c>
      <c r="L7" s="10">
        <v>234779.30989999999</v>
      </c>
      <c r="M7" s="10">
        <v>161766.96479999999</v>
      </c>
      <c r="N7" s="10">
        <v>153481.57639999999</v>
      </c>
      <c r="O7" s="10">
        <v>161037.77410000001</v>
      </c>
      <c r="P7" s="10">
        <v>162659.0434</v>
      </c>
      <c r="Q7" s="10">
        <v>98827.036200000002</v>
      </c>
      <c r="R7" s="10">
        <v>100975.58960000001</v>
      </c>
      <c r="S7" s="10">
        <v>67860.414099999995</v>
      </c>
      <c r="T7" s="10">
        <v>65500.494200000001</v>
      </c>
      <c r="U7" s="10">
        <v>88087.669399999999</v>
      </c>
      <c r="V7" s="10">
        <v>7.4154</v>
      </c>
      <c r="W7" s="10">
        <v>1.6112</v>
      </c>
      <c r="X7" s="10"/>
      <c r="Y7" s="10">
        <v>51301.238899999997</v>
      </c>
      <c r="Z7" s="10">
        <v>6.6817000000000002</v>
      </c>
      <c r="AA7" s="10"/>
      <c r="AB7" s="10">
        <v>39341.3007</v>
      </c>
      <c r="AC7" s="10">
        <v>74418.243000000002</v>
      </c>
      <c r="AD7" s="10"/>
      <c r="AE7" s="10"/>
      <c r="AF7" s="10">
        <v>1.3873</v>
      </c>
      <c r="AG7" s="10">
        <v>6792.6117000000004</v>
      </c>
    </row>
    <row r="8" spans="1:33" x14ac:dyDescent="0.35">
      <c r="A8" s="8">
        <v>46157</v>
      </c>
      <c r="B8" s="9">
        <v>77317790.852500007</v>
      </c>
      <c r="C8" s="10">
        <v>3102221.0532999998</v>
      </c>
      <c r="D8" s="10">
        <v>13863058.310249999</v>
      </c>
      <c r="E8" s="10">
        <v>13678773.067810001</v>
      </c>
      <c r="F8" s="10">
        <v>12911847.3781</v>
      </c>
      <c r="G8" s="10">
        <v>11864771.7223</v>
      </c>
      <c r="H8" s="10">
        <v>3802796.9260399998</v>
      </c>
      <c r="I8" s="10">
        <v>8211172.5344000002</v>
      </c>
      <c r="J8" s="10">
        <v>7269804.6037999997</v>
      </c>
      <c r="K8" s="10">
        <v>295738.06800000003</v>
      </c>
      <c r="L8" s="10">
        <v>238319.6537</v>
      </c>
      <c r="M8" s="10">
        <v>172088.30600000001</v>
      </c>
      <c r="N8" s="10">
        <v>155173.67929999999</v>
      </c>
      <c r="O8" s="10">
        <v>161078.77170000001</v>
      </c>
      <c r="P8" s="10">
        <v>160727.5362</v>
      </c>
      <c r="Q8" s="10">
        <v>110302.9375</v>
      </c>
      <c r="R8" s="10">
        <v>141742.5392</v>
      </c>
      <c r="S8" s="10">
        <v>71588.676900000006</v>
      </c>
      <c r="T8" s="10">
        <v>64502.732900000003</v>
      </c>
      <c r="U8" s="10">
        <v>94788.971000000005</v>
      </c>
      <c r="V8" s="10">
        <v>250257.74960000001</v>
      </c>
      <c r="W8" s="10">
        <v>16121.0427</v>
      </c>
      <c r="X8" s="10"/>
      <c r="Y8" s="10">
        <v>53148.541100000002</v>
      </c>
      <c r="Z8" s="10">
        <v>43685.6371</v>
      </c>
      <c r="AA8" s="10"/>
      <c r="AB8" s="10">
        <v>40810.266900000002</v>
      </c>
      <c r="AC8" s="10">
        <v>400947.22700000001</v>
      </c>
      <c r="AD8" s="10"/>
      <c r="AE8" s="10"/>
      <c r="AF8" s="10">
        <v>27503.935099999999</v>
      </c>
      <c r="AG8" s="10">
        <v>114818.9846</v>
      </c>
    </row>
    <row r="9" spans="1:33" x14ac:dyDescent="0.35">
      <c r="A9" s="8">
        <v>46156</v>
      </c>
      <c r="B9" s="9">
        <v>68891929.248140007</v>
      </c>
      <c r="C9" s="10">
        <v>3400622.5784</v>
      </c>
      <c r="D9" s="10">
        <v>13758945.750530001</v>
      </c>
      <c r="E9" s="10">
        <v>13002673.68331</v>
      </c>
      <c r="F9" s="10">
        <v>12738682.267200001</v>
      </c>
      <c r="G9" s="10">
        <v>9498259.4477999993</v>
      </c>
      <c r="H9" s="10">
        <v>3195774.5310999998</v>
      </c>
      <c r="I9" s="10">
        <v>6035201.2638999997</v>
      </c>
      <c r="J9" s="10">
        <v>5018008.3411999997</v>
      </c>
      <c r="K9" s="10">
        <v>290270.29489999998</v>
      </c>
      <c r="L9" s="10">
        <v>240439.82550000001</v>
      </c>
      <c r="M9" s="10">
        <v>204333.2053</v>
      </c>
      <c r="N9" s="10">
        <v>157073.79060000001</v>
      </c>
      <c r="O9" s="10">
        <v>171324.59239999999</v>
      </c>
      <c r="P9" s="10">
        <v>157590.58100000001</v>
      </c>
      <c r="Q9" s="10">
        <v>113287.82859999999</v>
      </c>
      <c r="R9" s="10">
        <v>109115.2567</v>
      </c>
      <c r="S9" s="10">
        <v>72219.784599999999</v>
      </c>
      <c r="T9" s="10">
        <v>68160.406900000002</v>
      </c>
      <c r="U9" s="10">
        <v>109493.1762</v>
      </c>
      <c r="V9" s="10">
        <v>31641.6175</v>
      </c>
      <c r="W9" s="10">
        <v>17632.208299999998</v>
      </c>
      <c r="X9" s="10"/>
      <c r="Y9" s="10">
        <v>52005.202499999999</v>
      </c>
      <c r="Z9" s="10">
        <v>43930.9931</v>
      </c>
      <c r="AA9" s="10"/>
      <c r="AB9" s="10">
        <v>40850.4493</v>
      </c>
      <c r="AC9" s="10">
        <v>281973.81300000002</v>
      </c>
      <c r="AD9" s="10"/>
      <c r="AE9" s="10"/>
      <c r="AF9" s="10">
        <v>28307.481899999999</v>
      </c>
      <c r="AG9" s="10">
        <v>54110.876400000001</v>
      </c>
    </row>
    <row r="10" spans="1:33" x14ac:dyDescent="0.35">
      <c r="A10" s="8">
        <v>46155</v>
      </c>
      <c r="B10" s="9">
        <v>63167130.950620003</v>
      </c>
      <c r="C10" s="10">
        <v>4364227.8044999996</v>
      </c>
      <c r="D10" s="10">
        <v>13321259.741049999</v>
      </c>
      <c r="E10" s="10">
        <v>12747335.476910001</v>
      </c>
      <c r="F10" s="10">
        <v>11898485.562999999</v>
      </c>
      <c r="G10" s="10">
        <v>10430984.354900001</v>
      </c>
      <c r="H10" s="10">
        <v>8185756.6064600004</v>
      </c>
      <c r="I10" s="10"/>
      <c r="J10" s="10"/>
      <c r="K10" s="10">
        <v>484403.5454</v>
      </c>
      <c r="L10" s="10">
        <v>236982.50709999999</v>
      </c>
      <c r="M10" s="10">
        <v>175176.60029999999</v>
      </c>
      <c r="N10" s="10">
        <v>154121.37530000001</v>
      </c>
      <c r="O10" s="10">
        <v>175654.94760000001</v>
      </c>
      <c r="P10" s="10">
        <v>158726.20199999999</v>
      </c>
      <c r="Q10" s="10">
        <v>108952.83199999999</v>
      </c>
      <c r="R10" s="10">
        <v>103805.96950000001</v>
      </c>
      <c r="S10" s="10">
        <v>73667.119600000005</v>
      </c>
      <c r="T10" s="10">
        <v>202119.6202</v>
      </c>
      <c r="U10" s="10">
        <v>90951.972800000003</v>
      </c>
      <c r="V10" s="10">
        <v>31598.502</v>
      </c>
      <c r="W10" s="10">
        <v>16368.869199999999</v>
      </c>
      <c r="X10" s="10"/>
      <c r="Y10" s="10">
        <v>53752.186199999996</v>
      </c>
      <c r="Z10" s="10">
        <v>44015.749300000003</v>
      </c>
      <c r="AA10" s="10"/>
      <c r="AB10" s="10">
        <v>40360.405400000003</v>
      </c>
      <c r="AC10" s="10"/>
      <c r="AD10" s="10"/>
      <c r="AE10" s="10"/>
      <c r="AF10" s="10">
        <v>37149.152600000001</v>
      </c>
      <c r="AG10" s="10">
        <v>31273.847300000001</v>
      </c>
    </row>
    <row r="11" spans="1:33" x14ac:dyDescent="0.35">
      <c r="A11" s="8">
        <v>46154</v>
      </c>
      <c r="B11" s="9">
        <v>55963931.528269999</v>
      </c>
      <c r="C11" s="10">
        <v>4916982.1765000001</v>
      </c>
      <c r="D11" s="10">
        <v>13728214.97467</v>
      </c>
      <c r="E11" s="10">
        <v>9660072.1700100005</v>
      </c>
      <c r="F11" s="10">
        <v>9076164.6958000008</v>
      </c>
      <c r="G11" s="10">
        <v>8221859.7328000003</v>
      </c>
      <c r="H11" s="10">
        <v>8309940.7728899997</v>
      </c>
      <c r="I11" s="10"/>
      <c r="J11" s="10"/>
      <c r="K11" s="10">
        <v>385384.44790000003</v>
      </c>
      <c r="L11" s="10">
        <v>234978.11970000001</v>
      </c>
      <c r="M11" s="10">
        <v>172305.1997</v>
      </c>
      <c r="N11" s="10">
        <v>151939.4589</v>
      </c>
      <c r="O11" s="10">
        <v>176681.2003</v>
      </c>
      <c r="P11" s="10">
        <v>159261.47899999999</v>
      </c>
      <c r="Q11" s="10">
        <v>112676.045</v>
      </c>
      <c r="R11" s="10">
        <v>103479.88</v>
      </c>
      <c r="S11" s="10">
        <v>78148.527700000006</v>
      </c>
      <c r="T11" s="10">
        <v>80075.442299999995</v>
      </c>
      <c r="U11" s="10">
        <v>114291.59020000001</v>
      </c>
      <c r="V11" s="10">
        <v>34693.6198</v>
      </c>
      <c r="W11" s="10">
        <v>16102.948200000001</v>
      </c>
      <c r="X11" s="10"/>
      <c r="Y11" s="10">
        <v>76784.801099999997</v>
      </c>
      <c r="Z11" s="10">
        <v>43883.341500000002</v>
      </c>
      <c r="AA11" s="10"/>
      <c r="AB11" s="10">
        <v>40872.589399999997</v>
      </c>
      <c r="AC11" s="10"/>
      <c r="AD11" s="10"/>
      <c r="AE11" s="10"/>
      <c r="AF11" s="10">
        <v>15393.459800000001</v>
      </c>
      <c r="AG11" s="10">
        <v>53744.855100000001</v>
      </c>
    </row>
    <row r="12" spans="1:33" x14ac:dyDescent="0.35">
      <c r="A12" s="8">
        <v>46153</v>
      </c>
      <c r="B12" s="9">
        <v>21876969.323169999</v>
      </c>
      <c r="C12" s="10">
        <v>4987953.7384000001</v>
      </c>
      <c r="D12" s="10">
        <v>13298640.669330001</v>
      </c>
      <c r="E12" s="10"/>
      <c r="F12" s="10"/>
      <c r="G12" s="10"/>
      <c r="H12" s="10">
        <v>1198414.6247400001</v>
      </c>
      <c r="I12" s="10"/>
      <c r="J12" s="10"/>
      <c r="K12" s="10">
        <v>296181.50280000002</v>
      </c>
      <c r="L12" s="10">
        <v>237668.72279999999</v>
      </c>
      <c r="M12" s="10">
        <v>174852.74359999999</v>
      </c>
      <c r="N12" s="10">
        <v>154509.35430000001</v>
      </c>
      <c r="O12" s="10">
        <v>157978.1355</v>
      </c>
      <c r="P12" s="10">
        <v>160749.31820000001</v>
      </c>
      <c r="Q12" s="10">
        <v>110295.29859999999</v>
      </c>
      <c r="R12" s="10">
        <v>105715.9743</v>
      </c>
      <c r="S12" s="10">
        <v>481132.20990000002</v>
      </c>
      <c r="T12" s="10">
        <v>126157.5714</v>
      </c>
      <c r="U12" s="10">
        <v>120518.73</v>
      </c>
      <c r="V12" s="10">
        <v>35728.430800000002</v>
      </c>
      <c r="W12" s="10">
        <v>17190.6512</v>
      </c>
      <c r="X12" s="10"/>
      <c r="Y12" s="10">
        <v>60169.8511</v>
      </c>
      <c r="Z12" s="10">
        <v>43774.907599999999</v>
      </c>
      <c r="AA12" s="10"/>
      <c r="AB12" s="10">
        <v>40749.989699999998</v>
      </c>
      <c r="AC12" s="10"/>
      <c r="AD12" s="10"/>
      <c r="AE12" s="10"/>
      <c r="AF12" s="10">
        <v>22770.224200000001</v>
      </c>
      <c r="AG12" s="10">
        <v>45816.674700000003</v>
      </c>
    </row>
    <row r="13" spans="1:33" x14ac:dyDescent="0.35">
      <c r="A13" s="8">
        <v>46152</v>
      </c>
      <c r="B13" s="9">
        <v>6893205.0901899999</v>
      </c>
      <c r="C13" s="10"/>
      <c r="D13" s="10">
        <v>5095012.13901</v>
      </c>
      <c r="E13" s="10"/>
      <c r="F13" s="10"/>
      <c r="G13" s="10"/>
      <c r="H13" s="10">
        <v>232110.01718</v>
      </c>
      <c r="I13" s="10"/>
      <c r="J13" s="10"/>
      <c r="K13" s="10"/>
      <c r="L13" s="10">
        <v>236169.5643</v>
      </c>
      <c r="M13" s="10">
        <v>174867.16329999999</v>
      </c>
      <c r="N13" s="10">
        <v>160625.47589999999</v>
      </c>
      <c r="O13" s="10"/>
      <c r="P13" s="10"/>
      <c r="Q13" s="10">
        <v>114197.6208</v>
      </c>
      <c r="R13" s="10">
        <v>106106.308</v>
      </c>
      <c r="S13" s="10">
        <v>480466.97759999998</v>
      </c>
      <c r="T13" s="10">
        <v>95939.707399999999</v>
      </c>
      <c r="U13" s="10">
        <v>90774.396299999993</v>
      </c>
      <c r="V13" s="10"/>
      <c r="W13" s="10"/>
      <c r="X13" s="10"/>
      <c r="Y13" s="10">
        <v>53572.953500000003</v>
      </c>
      <c r="Z13" s="10"/>
      <c r="AA13" s="10"/>
      <c r="AB13" s="10">
        <v>39784.913099999998</v>
      </c>
      <c r="AC13" s="10"/>
      <c r="AD13" s="10"/>
      <c r="AE13" s="10"/>
      <c r="AF13" s="10"/>
      <c r="AG13" s="10">
        <v>13577.853800000001</v>
      </c>
    </row>
    <row r="14" spans="1:33" x14ac:dyDescent="0.35">
      <c r="A14" s="8">
        <v>46151</v>
      </c>
      <c r="B14" s="9">
        <v>4931264.0188899999</v>
      </c>
      <c r="C14" s="10">
        <v>5.8752000000000004</v>
      </c>
      <c r="D14" s="10">
        <v>3646001.2934900001</v>
      </c>
      <c r="E14" s="10"/>
      <c r="F14" s="10"/>
      <c r="G14" s="10"/>
      <c r="H14" s="10">
        <v>190482.24359999999</v>
      </c>
      <c r="I14" s="10"/>
      <c r="J14" s="10"/>
      <c r="K14" s="10">
        <v>14.7584</v>
      </c>
      <c r="L14" s="10">
        <v>235954.19159999999</v>
      </c>
      <c r="M14" s="10">
        <v>165850.59640000001</v>
      </c>
      <c r="N14" s="10">
        <v>156879.26819999999</v>
      </c>
      <c r="O14" s="10">
        <v>14.214600000000001</v>
      </c>
      <c r="P14" s="10">
        <v>4.1519000000000004</v>
      </c>
      <c r="Q14" s="10">
        <v>104974.2387</v>
      </c>
      <c r="R14" s="10">
        <v>105903.0248</v>
      </c>
      <c r="S14" s="10">
        <v>77803.765299999999</v>
      </c>
      <c r="T14" s="10">
        <v>59922.700299999997</v>
      </c>
      <c r="U14" s="10">
        <v>84110.598299999998</v>
      </c>
      <c r="V14" s="10">
        <v>5.3171999999999997</v>
      </c>
      <c r="W14" s="10">
        <v>2.0874999999999999</v>
      </c>
      <c r="X14" s="10"/>
      <c r="Y14" s="10">
        <v>52562.188199999997</v>
      </c>
      <c r="Z14" s="10">
        <v>4.4703999999999997</v>
      </c>
      <c r="AA14" s="10"/>
      <c r="AB14" s="10">
        <v>39640.060599999997</v>
      </c>
      <c r="AC14" s="10"/>
      <c r="AD14" s="10"/>
      <c r="AE14" s="10"/>
      <c r="AF14" s="10">
        <v>1.9950000000000001</v>
      </c>
      <c r="AG14" s="10">
        <v>11126.9792</v>
      </c>
    </row>
    <row r="15" spans="1:33" x14ac:dyDescent="0.35">
      <c r="A15" s="8">
        <v>46150</v>
      </c>
      <c r="B15" s="9">
        <v>15589504.27868</v>
      </c>
      <c r="C15" s="10">
        <v>5697481.7768000001</v>
      </c>
      <c r="D15" s="10">
        <v>7830633.9670000002</v>
      </c>
      <c r="E15" s="10"/>
      <c r="F15" s="10"/>
      <c r="G15" s="10"/>
      <c r="H15" s="10">
        <v>216701.24677999999</v>
      </c>
      <c r="I15" s="10"/>
      <c r="J15" s="10"/>
      <c r="K15" s="10">
        <v>293947.7892</v>
      </c>
      <c r="L15" s="10">
        <v>238990.6709</v>
      </c>
      <c r="M15" s="10">
        <v>164793.00700000001</v>
      </c>
      <c r="N15" s="10">
        <v>155678.06770000001</v>
      </c>
      <c r="O15" s="10">
        <v>155336.71359999999</v>
      </c>
      <c r="P15" s="10">
        <v>163641.17869999999</v>
      </c>
      <c r="Q15" s="10">
        <v>100279.1056</v>
      </c>
      <c r="R15" s="10">
        <v>105358.033</v>
      </c>
      <c r="S15" s="10">
        <v>82603.601200000005</v>
      </c>
      <c r="T15" s="10">
        <v>63411.460700000003</v>
      </c>
      <c r="U15" s="10">
        <v>91365.568599999999</v>
      </c>
      <c r="V15" s="10">
        <v>30939.911700000001</v>
      </c>
      <c r="W15" s="10">
        <v>18133.8786</v>
      </c>
      <c r="X15" s="10"/>
      <c r="Y15" s="10">
        <v>54588.133199999997</v>
      </c>
      <c r="Z15" s="10">
        <v>43505.479500000001</v>
      </c>
      <c r="AA15" s="10"/>
      <c r="AB15" s="10">
        <v>40804.333500000001</v>
      </c>
      <c r="AC15" s="10"/>
      <c r="AD15" s="10"/>
      <c r="AE15" s="10"/>
      <c r="AF15" s="10">
        <v>23502.552800000001</v>
      </c>
      <c r="AG15" s="10">
        <v>17807.802599999999</v>
      </c>
    </row>
    <row r="16" spans="1:33" x14ac:dyDescent="0.35">
      <c r="A16" s="8">
        <v>46149</v>
      </c>
      <c r="B16" s="9">
        <v>6455766.7658900004</v>
      </c>
      <c r="C16" s="10">
        <v>4273865.6892999997</v>
      </c>
      <c r="D16" s="10"/>
      <c r="E16" s="10"/>
      <c r="F16" s="10"/>
      <c r="G16" s="10"/>
      <c r="H16" s="10">
        <v>276279.03578999999</v>
      </c>
      <c r="I16" s="10"/>
      <c r="J16" s="10"/>
      <c r="K16" s="10">
        <v>295571.45860000001</v>
      </c>
      <c r="L16" s="10">
        <v>242517.93789999999</v>
      </c>
      <c r="M16" s="10">
        <v>160127.35370000001</v>
      </c>
      <c r="N16" s="10">
        <v>156102.0263</v>
      </c>
      <c r="O16" s="10">
        <v>154361.0907</v>
      </c>
      <c r="P16" s="10">
        <v>162189.47279999999</v>
      </c>
      <c r="Q16" s="10">
        <v>104999.9712</v>
      </c>
      <c r="R16" s="10">
        <v>106244.7634</v>
      </c>
      <c r="S16" s="10">
        <v>75285.176399999997</v>
      </c>
      <c r="T16" s="10">
        <v>62831.691099999996</v>
      </c>
      <c r="U16" s="10">
        <v>97535.177500000005</v>
      </c>
      <c r="V16" s="10">
        <v>34052.122199999998</v>
      </c>
      <c r="W16" s="10">
        <v>17457.311900000001</v>
      </c>
      <c r="X16" s="10"/>
      <c r="Y16" s="10">
        <v>63616.583500000001</v>
      </c>
      <c r="Z16" s="10">
        <v>43715.882899999997</v>
      </c>
      <c r="AA16" s="10"/>
      <c r="AB16" s="10">
        <v>41397.591</v>
      </c>
      <c r="AC16" s="10"/>
      <c r="AD16" s="10"/>
      <c r="AE16" s="10"/>
      <c r="AF16" s="10">
        <v>12796.558199999999</v>
      </c>
      <c r="AG16" s="10">
        <v>74819.871499999994</v>
      </c>
    </row>
    <row r="17" spans="1:33" x14ac:dyDescent="0.35">
      <c r="A17" s="8">
        <v>46148</v>
      </c>
      <c r="B17" s="9">
        <v>4486451.9679100001</v>
      </c>
      <c r="C17" s="10">
        <v>2096567.0471000001</v>
      </c>
      <c r="D17" s="10"/>
      <c r="E17" s="10"/>
      <c r="F17" s="10"/>
      <c r="G17" s="10"/>
      <c r="H17" s="10">
        <v>245782.02830999999</v>
      </c>
      <c r="I17" s="10"/>
      <c r="J17" s="10"/>
      <c r="K17" s="10">
        <v>473539.9509</v>
      </c>
      <c r="L17" s="10">
        <v>238280.60320000001</v>
      </c>
      <c r="M17" s="10">
        <v>168685.40419999999</v>
      </c>
      <c r="N17" s="10">
        <v>154868.66250000001</v>
      </c>
      <c r="O17" s="10">
        <v>154726.6998</v>
      </c>
      <c r="P17" s="10">
        <v>159828.44409999999</v>
      </c>
      <c r="Q17" s="10">
        <v>103010.7678</v>
      </c>
      <c r="R17" s="10">
        <v>116152.6428</v>
      </c>
      <c r="S17" s="10">
        <v>106558.2139</v>
      </c>
      <c r="T17" s="10">
        <v>66245.377399999998</v>
      </c>
      <c r="U17" s="10">
        <v>89569.975000000006</v>
      </c>
      <c r="V17" s="10">
        <v>67335.467999999993</v>
      </c>
      <c r="W17" s="10">
        <v>17189.8069</v>
      </c>
      <c r="X17" s="10"/>
      <c r="Y17" s="10">
        <v>54370.0769</v>
      </c>
      <c r="Z17" s="10">
        <v>44205.991000000002</v>
      </c>
      <c r="AA17" s="10"/>
      <c r="AB17" s="10">
        <v>40645.4948</v>
      </c>
      <c r="AC17" s="10"/>
      <c r="AD17" s="10"/>
      <c r="AE17" s="10"/>
      <c r="AF17" s="10">
        <v>29382.1911</v>
      </c>
      <c r="AG17" s="10">
        <v>59507.122199999998</v>
      </c>
    </row>
    <row r="18" spans="1:33" x14ac:dyDescent="0.35">
      <c r="A18" s="8">
        <v>46147</v>
      </c>
      <c r="B18" s="9">
        <v>8312224.5308100004</v>
      </c>
      <c r="C18" s="10">
        <v>6172293.9455000004</v>
      </c>
      <c r="D18" s="10"/>
      <c r="E18" s="10"/>
      <c r="F18" s="10"/>
      <c r="G18" s="10"/>
      <c r="H18" s="10">
        <v>210494.77030999999</v>
      </c>
      <c r="I18" s="10"/>
      <c r="J18" s="10"/>
      <c r="K18" s="10">
        <v>352605.30190000002</v>
      </c>
      <c r="L18" s="10">
        <v>237887.27050000001</v>
      </c>
      <c r="M18" s="10">
        <v>157011.99900000001</v>
      </c>
      <c r="N18" s="10">
        <v>151425.15410000001</v>
      </c>
      <c r="O18" s="10">
        <v>151349.5944</v>
      </c>
      <c r="P18" s="10">
        <v>161110.25</v>
      </c>
      <c r="Q18" s="10">
        <v>108569.1007</v>
      </c>
      <c r="R18" s="10">
        <v>119557.2047</v>
      </c>
      <c r="S18" s="10">
        <v>93031.252500000002</v>
      </c>
      <c r="T18" s="10">
        <v>67184.575899999996</v>
      </c>
      <c r="U18" s="10">
        <v>77106.279299999995</v>
      </c>
      <c r="V18" s="10">
        <v>32096.8226</v>
      </c>
      <c r="W18" s="10">
        <v>16888.068500000001</v>
      </c>
      <c r="X18" s="10"/>
      <c r="Y18" s="10">
        <v>66872.534899999999</v>
      </c>
      <c r="Z18" s="10">
        <v>44123.531900000002</v>
      </c>
      <c r="AA18" s="10"/>
      <c r="AB18" s="10">
        <v>40127.588499999998</v>
      </c>
      <c r="AC18" s="10"/>
      <c r="AD18" s="10"/>
      <c r="AE18" s="10"/>
      <c r="AF18" s="10">
        <v>34225.724800000004</v>
      </c>
      <c r="AG18" s="10">
        <v>18263.560799999999</v>
      </c>
    </row>
    <row r="19" spans="1:33" x14ac:dyDescent="0.35">
      <c r="A19" s="8">
        <v>46146</v>
      </c>
      <c r="B19" s="9">
        <v>9135610.3688299991</v>
      </c>
      <c r="C19" s="10">
        <v>6628747.3106000004</v>
      </c>
      <c r="D19" s="10"/>
      <c r="E19" s="10"/>
      <c r="F19" s="10"/>
      <c r="G19" s="10"/>
      <c r="H19" s="10">
        <v>187470.47232999999</v>
      </c>
      <c r="I19" s="10"/>
      <c r="J19" s="10"/>
      <c r="K19" s="10">
        <v>280489.68709999998</v>
      </c>
      <c r="L19" s="10">
        <v>238721.30369999999</v>
      </c>
      <c r="M19" s="10">
        <v>154016.93830000001</v>
      </c>
      <c r="N19" s="10">
        <v>150870.06140000001</v>
      </c>
      <c r="O19" s="10">
        <v>149382.3034</v>
      </c>
      <c r="P19" s="10">
        <v>160070.26749999999</v>
      </c>
      <c r="Q19" s="10">
        <v>104666.70759999999</v>
      </c>
      <c r="R19" s="10">
        <v>107791.86440000001</v>
      </c>
      <c r="S19" s="10">
        <v>83084.972800000003</v>
      </c>
      <c r="T19" s="10">
        <v>70317.891399999993</v>
      </c>
      <c r="U19" s="10">
        <v>99702.371100000004</v>
      </c>
      <c r="V19" s="10">
        <v>243362.52129999999</v>
      </c>
      <c r="W19" s="10">
        <v>16838.4427</v>
      </c>
      <c r="X19" s="10"/>
      <c r="Y19" s="10">
        <v>62269.254500000003</v>
      </c>
      <c r="Z19" s="10">
        <v>43511.696900000003</v>
      </c>
      <c r="AA19" s="10"/>
      <c r="AB19" s="10">
        <v>49640.992700000003</v>
      </c>
      <c r="AC19" s="10"/>
      <c r="AD19" s="10"/>
      <c r="AE19" s="10"/>
      <c r="AF19" s="10">
        <v>294900.48670000001</v>
      </c>
      <c r="AG19" s="10">
        <v>9754.8223999999991</v>
      </c>
    </row>
    <row r="20" spans="1:33" x14ac:dyDescent="0.35">
      <c r="A20" s="8">
        <v>46145</v>
      </c>
      <c r="B20" s="9">
        <v>1253084.27981</v>
      </c>
      <c r="C20" s="10"/>
      <c r="D20" s="10"/>
      <c r="E20" s="10"/>
      <c r="F20" s="10"/>
      <c r="G20" s="10"/>
      <c r="H20" s="10">
        <v>194897.52221</v>
      </c>
      <c r="I20" s="10"/>
      <c r="J20" s="10"/>
      <c r="K20" s="10"/>
      <c r="L20" s="10">
        <v>236419.25880000001</v>
      </c>
      <c r="M20" s="10">
        <v>151704.7807</v>
      </c>
      <c r="N20" s="10">
        <v>148799.26800000001</v>
      </c>
      <c r="O20" s="10"/>
      <c r="P20" s="10"/>
      <c r="Q20" s="10">
        <v>100334.82180000001</v>
      </c>
      <c r="R20" s="10">
        <v>104240.97319999999</v>
      </c>
      <c r="S20" s="10">
        <v>79718.493900000001</v>
      </c>
      <c r="T20" s="10">
        <v>52108.721599999997</v>
      </c>
      <c r="U20" s="10">
        <v>77178.280799999993</v>
      </c>
      <c r="V20" s="10"/>
      <c r="W20" s="10"/>
      <c r="X20" s="10"/>
      <c r="Y20" s="10">
        <v>55731.031000000003</v>
      </c>
      <c r="Z20" s="10"/>
      <c r="AA20" s="10"/>
      <c r="AB20" s="10">
        <v>45594.358800000002</v>
      </c>
      <c r="AC20" s="10"/>
      <c r="AD20" s="10"/>
      <c r="AE20" s="10"/>
      <c r="AF20" s="10"/>
      <c r="AG20" s="10">
        <v>6356.7690000000002</v>
      </c>
    </row>
    <row r="21" spans="1:33" x14ac:dyDescent="0.35">
      <c r="A21" s="8">
        <v>46144</v>
      </c>
      <c r="B21" s="9">
        <v>1237605.7039099999</v>
      </c>
      <c r="C21" s="10">
        <v>5.6040000000000001</v>
      </c>
      <c r="D21" s="10"/>
      <c r="E21" s="10"/>
      <c r="F21" s="10"/>
      <c r="G21" s="10"/>
      <c r="H21" s="10">
        <v>192640.62291000001</v>
      </c>
      <c r="I21" s="10"/>
      <c r="J21" s="10"/>
      <c r="K21" s="10">
        <v>35.9711</v>
      </c>
      <c r="L21" s="10">
        <v>235134.76569999999</v>
      </c>
      <c r="M21" s="10">
        <v>151574.56090000001</v>
      </c>
      <c r="N21" s="10">
        <v>148251.16310000001</v>
      </c>
      <c r="O21" s="10">
        <v>33.632399999999997</v>
      </c>
      <c r="P21" s="10">
        <v>24.7972</v>
      </c>
      <c r="Q21" s="10">
        <v>99886.629700000005</v>
      </c>
      <c r="R21" s="10">
        <v>103932.166</v>
      </c>
      <c r="S21" s="10">
        <v>68754.365300000005</v>
      </c>
      <c r="T21" s="10">
        <v>59832.054300000003</v>
      </c>
      <c r="U21" s="10">
        <v>77878.845300000001</v>
      </c>
      <c r="V21" s="10">
        <v>11.572800000000001</v>
      </c>
      <c r="W21" s="10">
        <v>1.5411999999999999</v>
      </c>
      <c r="X21" s="10"/>
      <c r="Y21" s="10">
        <v>55498.71</v>
      </c>
      <c r="Z21" s="10">
        <v>6.7282000000000002</v>
      </c>
      <c r="AA21" s="10"/>
      <c r="AB21" s="10">
        <v>37836.953500000003</v>
      </c>
      <c r="AC21" s="10"/>
      <c r="AD21" s="10"/>
      <c r="AE21" s="10"/>
      <c r="AF21" s="10">
        <v>1.3116000000000001</v>
      </c>
      <c r="AG21" s="10">
        <v>6263.7087000000001</v>
      </c>
    </row>
    <row r="22" spans="1:33" x14ac:dyDescent="0.35">
      <c r="A22" s="8">
        <v>46143</v>
      </c>
      <c r="B22" s="9">
        <v>6103346.8591200002</v>
      </c>
      <c r="C22" s="10">
        <v>3814339.2149999999</v>
      </c>
      <c r="D22" s="10"/>
      <c r="E22" s="10"/>
      <c r="F22" s="10"/>
      <c r="G22" s="10"/>
      <c r="H22" s="10">
        <v>226218.49822000001</v>
      </c>
      <c r="I22" s="10"/>
      <c r="J22" s="10"/>
      <c r="K22" s="10">
        <v>288227.49920000002</v>
      </c>
      <c r="L22" s="10">
        <v>240928.6305</v>
      </c>
      <c r="M22" s="10">
        <v>152025.8216</v>
      </c>
      <c r="N22" s="10">
        <v>201121.03589999999</v>
      </c>
      <c r="O22" s="10">
        <v>150395.09090000001</v>
      </c>
      <c r="P22" s="10">
        <v>160046.0975</v>
      </c>
      <c r="Q22" s="10">
        <v>98496.588099999994</v>
      </c>
      <c r="R22" s="10">
        <v>106673.9133</v>
      </c>
      <c r="S22" s="10">
        <v>68636.567800000004</v>
      </c>
      <c r="T22" s="10">
        <v>57007.788399999998</v>
      </c>
      <c r="U22" s="10">
        <v>78648.960800000001</v>
      </c>
      <c r="V22" s="10">
        <v>266621.89279999997</v>
      </c>
      <c r="W22" s="10">
        <v>16720.1361</v>
      </c>
      <c r="X22" s="10"/>
      <c r="Y22" s="10">
        <v>55554.509400000003</v>
      </c>
      <c r="Z22" s="10">
        <v>43297.510799999996</v>
      </c>
      <c r="AA22" s="10"/>
      <c r="AB22" s="10">
        <v>38290.300999999999</v>
      </c>
      <c r="AC22" s="10"/>
      <c r="AD22" s="10"/>
      <c r="AE22" s="10"/>
      <c r="AF22" s="10">
        <v>19999.3213</v>
      </c>
      <c r="AG22" s="10">
        <v>20097.480500000001</v>
      </c>
    </row>
    <row r="23" spans="1:33" x14ac:dyDescent="0.35">
      <c r="A23" s="8">
        <v>46142</v>
      </c>
      <c r="B23" s="9">
        <v>8794803.3876399994</v>
      </c>
      <c r="C23" s="10">
        <v>6697529.9556999998</v>
      </c>
      <c r="D23" s="10"/>
      <c r="E23" s="10"/>
      <c r="F23" s="10"/>
      <c r="G23" s="10"/>
      <c r="H23" s="10">
        <v>218661.89984</v>
      </c>
      <c r="I23" s="10"/>
      <c r="J23" s="10"/>
      <c r="K23" s="10">
        <v>285712.76909999998</v>
      </c>
      <c r="L23" s="10">
        <v>246637.6666</v>
      </c>
      <c r="M23" s="10">
        <v>147680.7579</v>
      </c>
      <c r="N23" s="10">
        <v>204756.60070000001</v>
      </c>
      <c r="O23" s="10">
        <v>147414.7849</v>
      </c>
      <c r="P23" s="10">
        <v>160872.2727</v>
      </c>
      <c r="Q23" s="10">
        <v>95513.782000000007</v>
      </c>
      <c r="R23" s="10">
        <v>108010.6777</v>
      </c>
      <c r="S23" s="10">
        <v>63550.149400000002</v>
      </c>
      <c r="T23" s="10">
        <v>49959.719299999997</v>
      </c>
      <c r="U23" s="10">
        <v>138581.08979999999</v>
      </c>
      <c r="V23" s="10">
        <v>35200.713100000001</v>
      </c>
      <c r="W23" s="10">
        <v>16569.7039</v>
      </c>
      <c r="X23" s="10"/>
      <c r="Y23" s="10">
        <v>55603.818700000003</v>
      </c>
      <c r="Z23" s="10">
        <v>44073.380100000002</v>
      </c>
      <c r="AA23" s="10"/>
      <c r="AB23" s="10">
        <v>38136.369700000003</v>
      </c>
      <c r="AC23" s="10"/>
      <c r="AD23" s="10"/>
      <c r="AE23" s="10"/>
      <c r="AF23" s="10">
        <v>14674.402599999999</v>
      </c>
      <c r="AG23" s="10">
        <v>25662.873899999999</v>
      </c>
    </row>
    <row r="24" spans="1:33" x14ac:dyDescent="0.35">
      <c r="A24" s="8">
        <v>46141</v>
      </c>
      <c r="B24" s="9">
        <v>10116114.598619999</v>
      </c>
      <c r="C24" s="10">
        <v>7959846.3077999996</v>
      </c>
      <c r="D24" s="10"/>
      <c r="E24" s="10"/>
      <c r="F24" s="10"/>
      <c r="G24" s="10"/>
      <c r="H24" s="10">
        <v>204937.19962</v>
      </c>
      <c r="I24" s="10"/>
      <c r="J24" s="10"/>
      <c r="K24" s="10">
        <v>275214.25819999998</v>
      </c>
      <c r="L24" s="10">
        <v>271956.16269999999</v>
      </c>
      <c r="M24" s="10">
        <v>147704.82699999999</v>
      </c>
      <c r="N24" s="10">
        <v>204208.20699999999</v>
      </c>
      <c r="O24" s="10">
        <v>146008.15640000001</v>
      </c>
      <c r="P24" s="10">
        <v>168891.05960000001</v>
      </c>
      <c r="Q24" s="10">
        <v>99313.086800000005</v>
      </c>
      <c r="R24" s="10">
        <v>151552.20559999999</v>
      </c>
      <c r="S24" s="10">
        <v>63937.2327</v>
      </c>
      <c r="T24" s="10">
        <v>60034.472999999998</v>
      </c>
      <c r="U24" s="10">
        <v>111035.5659</v>
      </c>
      <c r="V24" s="10">
        <v>66753.388300000006</v>
      </c>
      <c r="W24" s="10">
        <v>16524.667000000001</v>
      </c>
      <c r="X24" s="10"/>
      <c r="Y24" s="10">
        <v>54734.068399999996</v>
      </c>
      <c r="Z24" s="10">
        <v>44122.620499999997</v>
      </c>
      <c r="AA24" s="10"/>
      <c r="AB24" s="10">
        <v>40475.761400000003</v>
      </c>
      <c r="AC24" s="10"/>
      <c r="AD24" s="10"/>
      <c r="AE24" s="10"/>
      <c r="AF24" s="10">
        <v>19758.5782</v>
      </c>
      <c r="AG24" s="10">
        <v>9106.7724999999991</v>
      </c>
    </row>
    <row r="25" spans="1:33" x14ac:dyDescent="0.35">
      <c r="A25" s="8">
        <v>46140</v>
      </c>
      <c r="B25" s="9">
        <v>8080960.9585300004</v>
      </c>
      <c r="C25" s="10">
        <v>5986706.2605999997</v>
      </c>
      <c r="D25" s="10"/>
      <c r="E25" s="10"/>
      <c r="F25" s="10"/>
      <c r="G25" s="10"/>
      <c r="H25" s="10">
        <v>207285.82923</v>
      </c>
      <c r="I25" s="10"/>
      <c r="J25" s="10"/>
      <c r="K25" s="10">
        <v>290157.03080000001</v>
      </c>
      <c r="L25" s="10">
        <v>262826.78509999998</v>
      </c>
      <c r="M25" s="10">
        <v>148400.53469999999</v>
      </c>
      <c r="N25" s="10">
        <v>137166.27830000001</v>
      </c>
      <c r="O25" s="10">
        <v>147838.2597</v>
      </c>
      <c r="P25" s="10">
        <v>166165.2163</v>
      </c>
      <c r="Q25" s="10">
        <v>101240.0947</v>
      </c>
      <c r="R25" s="10">
        <v>101635.6238</v>
      </c>
      <c r="S25" s="10">
        <v>65382.967299999997</v>
      </c>
      <c r="T25" s="10">
        <v>53984.353000000003</v>
      </c>
      <c r="U25" s="10">
        <v>153922.3493</v>
      </c>
      <c r="V25" s="10">
        <v>46603.911200000002</v>
      </c>
      <c r="W25" s="10">
        <v>22505.5756</v>
      </c>
      <c r="X25" s="10"/>
      <c r="Y25" s="10">
        <v>55583.493600000002</v>
      </c>
      <c r="Z25" s="10">
        <v>44681.923499999997</v>
      </c>
      <c r="AA25" s="10"/>
      <c r="AB25" s="10">
        <v>44495.621099999997</v>
      </c>
      <c r="AC25" s="10"/>
      <c r="AD25" s="10"/>
      <c r="AE25" s="10"/>
      <c r="AF25" s="10">
        <v>12855.4642</v>
      </c>
      <c r="AG25" s="10">
        <v>31523.386500000001</v>
      </c>
    </row>
    <row r="26" spans="1:33" x14ac:dyDescent="0.35">
      <c r="A26" s="8">
        <v>46139</v>
      </c>
      <c r="B26" s="9">
        <v>8947032.9540500008</v>
      </c>
      <c r="C26" s="10">
        <v>5772059.1832999997</v>
      </c>
      <c r="D26" s="10"/>
      <c r="E26" s="10"/>
      <c r="F26" s="10"/>
      <c r="G26" s="10"/>
      <c r="H26" s="10">
        <v>259893.92675000001</v>
      </c>
      <c r="I26" s="10"/>
      <c r="J26" s="10"/>
      <c r="K26" s="10">
        <v>379788.87099999998</v>
      </c>
      <c r="L26" s="10">
        <v>268141.08500000002</v>
      </c>
      <c r="M26" s="10">
        <v>147474.94680000001</v>
      </c>
      <c r="N26" s="10">
        <v>176867.82459999999</v>
      </c>
      <c r="O26" s="10">
        <v>465295.82250000001</v>
      </c>
      <c r="P26" s="10">
        <v>262329.04320000001</v>
      </c>
      <c r="Q26" s="10">
        <v>104428.0632</v>
      </c>
      <c r="R26" s="10">
        <v>142899.81109999999</v>
      </c>
      <c r="S26" s="10">
        <v>97966.151700000002</v>
      </c>
      <c r="T26" s="10">
        <v>51688.9231</v>
      </c>
      <c r="U26" s="10">
        <v>89612.647200000007</v>
      </c>
      <c r="V26" s="10">
        <v>233893.67</v>
      </c>
      <c r="W26" s="10">
        <v>100753.51</v>
      </c>
      <c r="X26" s="10">
        <v>57841.084799999997</v>
      </c>
      <c r="Y26" s="10">
        <v>55584.512999999999</v>
      </c>
      <c r="Z26" s="10">
        <v>43755.262499999997</v>
      </c>
      <c r="AA26" s="10">
        <v>30704.047299999998</v>
      </c>
      <c r="AB26" s="10">
        <v>44460.340199999999</v>
      </c>
      <c r="AC26" s="10"/>
      <c r="AD26" s="10">
        <v>34964.994599999998</v>
      </c>
      <c r="AE26" s="10">
        <v>28358.210899999998</v>
      </c>
      <c r="AF26" s="10">
        <v>87386.237500000003</v>
      </c>
      <c r="AG26" s="10">
        <v>10884.783799999999</v>
      </c>
    </row>
    <row r="27" spans="1:33" x14ac:dyDescent="0.35">
      <c r="A27" s="8">
        <v>46138</v>
      </c>
      <c r="B27" s="9">
        <v>1351296.6023599999</v>
      </c>
      <c r="C27" s="10"/>
      <c r="D27" s="10"/>
      <c r="E27" s="10"/>
      <c r="F27" s="10"/>
      <c r="G27" s="10"/>
      <c r="H27" s="10">
        <v>218259.89556</v>
      </c>
      <c r="I27" s="10"/>
      <c r="J27" s="10"/>
      <c r="K27" s="10"/>
      <c r="L27" s="10">
        <v>261310.47630000001</v>
      </c>
      <c r="M27" s="10">
        <v>180840.6226</v>
      </c>
      <c r="N27" s="10">
        <v>132648.0514</v>
      </c>
      <c r="O27" s="10"/>
      <c r="P27" s="10"/>
      <c r="Q27" s="10">
        <v>103342.0255</v>
      </c>
      <c r="R27" s="10">
        <v>102565.124</v>
      </c>
      <c r="S27" s="10">
        <v>93854.637600000002</v>
      </c>
      <c r="T27" s="10">
        <v>51889.754200000003</v>
      </c>
      <c r="U27" s="10">
        <v>80570.825100000002</v>
      </c>
      <c r="V27" s="10"/>
      <c r="W27" s="10"/>
      <c r="X27" s="10"/>
      <c r="Y27" s="10">
        <v>64790.705199999997</v>
      </c>
      <c r="Z27" s="10"/>
      <c r="AA27" s="10"/>
      <c r="AB27" s="10">
        <v>53394.5576</v>
      </c>
      <c r="AC27" s="10"/>
      <c r="AD27" s="10"/>
      <c r="AE27" s="10"/>
      <c r="AF27" s="10"/>
      <c r="AG27" s="10">
        <v>7829.9273000000003</v>
      </c>
    </row>
    <row r="28" spans="1:33" x14ac:dyDescent="0.35">
      <c r="A28" s="8">
        <v>46137</v>
      </c>
      <c r="B28" s="9">
        <v>1310385.2796499999</v>
      </c>
      <c r="C28" s="10">
        <v>1031.8242</v>
      </c>
      <c r="D28" s="10"/>
      <c r="E28" s="10"/>
      <c r="F28" s="10"/>
      <c r="G28" s="10"/>
      <c r="H28" s="10">
        <v>196546.33064999999</v>
      </c>
      <c r="I28" s="10"/>
      <c r="J28" s="10"/>
      <c r="K28" s="10">
        <v>7.1235999999999997</v>
      </c>
      <c r="L28" s="10">
        <v>260460.02970000001</v>
      </c>
      <c r="M28" s="10">
        <v>182051.1465</v>
      </c>
      <c r="N28" s="10">
        <v>132352.1753</v>
      </c>
      <c r="O28" s="10">
        <v>19.8462</v>
      </c>
      <c r="P28" s="10">
        <v>16.954799999999999</v>
      </c>
      <c r="Q28" s="10">
        <v>103092.5013</v>
      </c>
      <c r="R28" s="10">
        <v>101969.60370000001</v>
      </c>
      <c r="S28" s="10">
        <v>65843.231799999994</v>
      </c>
      <c r="T28" s="10">
        <v>52280.099600000001</v>
      </c>
      <c r="U28" s="10">
        <v>80567.684800000003</v>
      </c>
      <c r="V28" s="10">
        <v>1.3271999999999999</v>
      </c>
      <c r="W28" s="10">
        <v>4.4771999999999998</v>
      </c>
      <c r="X28" s="10">
        <v>17.706099999999999</v>
      </c>
      <c r="Y28" s="10">
        <v>63772.322500000002</v>
      </c>
      <c r="Z28" s="10">
        <v>6.7023999999999999</v>
      </c>
      <c r="AA28" s="10">
        <v>3.9693999999999998</v>
      </c>
      <c r="AB28" s="10">
        <v>64062.275999999998</v>
      </c>
      <c r="AC28" s="10"/>
      <c r="AD28" s="10">
        <v>5.5338000000000003</v>
      </c>
      <c r="AE28" s="10">
        <v>8.6265000000000001</v>
      </c>
      <c r="AF28" s="10">
        <v>0.44040000000000001</v>
      </c>
      <c r="AG28" s="10">
        <v>6263.3459999999995</v>
      </c>
    </row>
    <row r="29" spans="1:33" x14ac:dyDescent="0.35">
      <c r="A29" s="8">
        <v>46136</v>
      </c>
      <c r="B29" s="9">
        <v>10603429.678719999</v>
      </c>
      <c r="C29" s="10">
        <v>7836784.8958999999</v>
      </c>
      <c r="D29" s="10"/>
      <c r="E29" s="10"/>
      <c r="F29" s="10"/>
      <c r="G29" s="10"/>
      <c r="H29" s="10">
        <v>401899.56001999998</v>
      </c>
      <c r="I29" s="10"/>
      <c r="J29" s="10"/>
      <c r="K29" s="10">
        <v>282054.587</v>
      </c>
      <c r="L29" s="10">
        <v>259892.34510000001</v>
      </c>
      <c r="M29" s="10">
        <v>149934.92430000001</v>
      </c>
      <c r="N29" s="10">
        <v>133561.80710000001</v>
      </c>
      <c r="O29" s="10">
        <v>144836.77069999999</v>
      </c>
      <c r="P29" s="10">
        <v>163131.51759999999</v>
      </c>
      <c r="Q29" s="10">
        <v>103923.8795</v>
      </c>
      <c r="R29" s="10">
        <v>101239.3089</v>
      </c>
      <c r="S29" s="10">
        <v>78632.343500000003</v>
      </c>
      <c r="T29" s="10">
        <v>52941.067000000003</v>
      </c>
      <c r="U29" s="10">
        <v>87237.372199999998</v>
      </c>
      <c r="V29" s="10">
        <v>233298.89480000001</v>
      </c>
      <c r="W29" s="10">
        <v>16306.073</v>
      </c>
      <c r="X29" s="10">
        <v>136544.91089999999</v>
      </c>
      <c r="Y29" s="10">
        <v>55998.532800000001</v>
      </c>
      <c r="Z29" s="10">
        <v>43699.914400000001</v>
      </c>
      <c r="AA29" s="10">
        <v>77278.153000000006</v>
      </c>
      <c r="AB29" s="10">
        <v>43805.942799999997</v>
      </c>
      <c r="AC29" s="10"/>
      <c r="AD29" s="10">
        <v>81544.039600000004</v>
      </c>
      <c r="AE29" s="10">
        <v>68352.224900000001</v>
      </c>
      <c r="AF29" s="10">
        <v>12744.909100000001</v>
      </c>
      <c r="AG29" s="10">
        <v>37785.704599999997</v>
      </c>
    </row>
    <row r="30" spans="1:33" x14ac:dyDescent="0.35">
      <c r="A30" s="8">
        <v>46135</v>
      </c>
      <c r="B30" s="9">
        <v>10386725.30015</v>
      </c>
      <c r="C30" s="10">
        <v>7806789.2872000001</v>
      </c>
      <c r="D30" s="10"/>
      <c r="E30" s="10"/>
      <c r="F30" s="10"/>
      <c r="G30" s="10"/>
      <c r="H30" s="10">
        <v>244441.72255000001</v>
      </c>
      <c r="I30" s="10"/>
      <c r="J30" s="10"/>
      <c r="K30" s="10">
        <v>342276.64020000002</v>
      </c>
      <c r="L30" s="10">
        <v>261433.0858</v>
      </c>
      <c r="M30" s="10">
        <v>153818.1164</v>
      </c>
      <c r="N30" s="10">
        <v>132006.54800000001</v>
      </c>
      <c r="O30" s="10">
        <v>214270.21410000001</v>
      </c>
      <c r="P30" s="10">
        <v>164069.3567</v>
      </c>
      <c r="Q30" s="10">
        <v>106242.7507</v>
      </c>
      <c r="R30" s="10">
        <v>99123.614499999996</v>
      </c>
      <c r="S30" s="10">
        <v>69272.846699999995</v>
      </c>
      <c r="T30" s="10">
        <v>85793.141900000002</v>
      </c>
      <c r="U30" s="10">
        <v>81517.210900000005</v>
      </c>
      <c r="V30" s="10">
        <v>46431.547200000001</v>
      </c>
      <c r="W30" s="10">
        <v>16234.9036</v>
      </c>
      <c r="X30" s="10">
        <v>136842.63089999999</v>
      </c>
      <c r="Y30" s="10">
        <v>57992.395799999998</v>
      </c>
      <c r="Z30" s="10">
        <v>43734.360399999998</v>
      </c>
      <c r="AA30" s="10">
        <v>77622.854900000006</v>
      </c>
      <c r="AB30" s="10">
        <v>44907.506000000001</v>
      </c>
      <c r="AC30" s="10"/>
      <c r="AD30" s="10">
        <v>81362.5671</v>
      </c>
      <c r="AE30" s="10">
        <v>70215.919299999994</v>
      </c>
      <c r="AF30" s="10">
        <v>15068.2536</v>
      </c>
      <c r="AG30" s="10">
        <v>35257.825700000001</v>
      </c>
    </row>
    <row r="31" spans="1:33" x14ac:dyDescent="0.35">
      <c r="A31" s="8">
        <v>46134</v>
      </c>
      <c r="B31" s="9">
        <v>7530244.5200800002</v>
      </c>
      <c r="C31" s="10">
        <v>4817040.1710999999</v>
      </c>
      <c r="D31" s="10"/>
      <c r="E31" s="10"/>
      <c r="F31" s="10"/>
      <c r="G31" s="10"/>
      <c r="H31" s="10">
        <v>229109.42577999999</v>
      </c>
      <c r="I31" s="10"/>
      <c r="J31" s="10"/>
      <c r="K31" s="10">
        <v>281448.06459999998</v>
      </c>
      <c r="L31" s="10">
        <v>261387.4847</v>
      </c>
      <c r="M31" s="10">
        <v>341648.98340000003</v>
      </c>
      <c r="N31" s="10">
        <v>130704.29700000001</v>
      </c>
      <c r="O31" s="10">
        <v>157125.13070000001</v>
      </c>
      <c r="P31" s="10">
        <v>166180.36499999999</v>
      </c>
      <c r="Q31" s="10">
        <v>118062.7395</v>
      </c>
      <c r="R31" s="10">
        <v>98145.257500000007</v>
      </c>
      <c r="S31" s="10">
        <v>68731.941699999996</v>
      </c>
      <c r="T31" s="10">
        <v>75175.834499999997</v>
      </c>
      <c r="U31" s="10">
        <v>78741.456900000005</v>
      </c>
      <c r="V31" s="10">
        <v>29021.100699999999</v>
      </c>
      <c r="W31" s="10">
        <v>16836.1921</v>
      </c>
      <c r="X31" s="10">
        <v>135437.88879999999</v>
      </c>
      <c r="Y31" s="10">
        <v>58889.357499999998</v>
      </c>
      <c r="Z31" s="10">
        <v>100357.7732</v>
      </c>
      <c r="AA31" s="10">
        <v>78543.925000000003</v>
      </c>
      <c r="AB31" s="10">
        <v>46556.761400000003</v>
      </c>
      <c r="AC31" s="10"/>
      <c r="AD31" s="10">
        <v>81506.290200000003</v>
      </c>
      <c r="AE31" s="10">
        <v>72111.6973</v>
      </c>
      <c r="AF31" s="10">
        <v>23702.1888</v>
      </c>
      <c r="AG31" s="10">
        <v>63780.1927</v>
      </c>
    </row>
    <row r="32" spans="1:33" x14ac:dyDescent="0.35">
      <c r="A32" s="8">
        <v>46133</v>
      </c>
      <c r="B32" s="9">
        <v>6971717.13882</v>
      </c>
      <c r="C32" s="10">
        <v>4285609.5711000003</v>
      </c>
      <c r="D32" s="10"/>
      <c r="E32" s="10"/>
      <c r="F32" s="10"/>
      <c r="G32" s="10"/>
      <c r="H32" s="10">
        <v>231404.07321999999</v>
      </c>
      <c r="I32" s="10"/>
      <c r="J32" s="10"/>
      <c r="K32" s="10">
        <v>423292.46950000001</v>
      </c>
      <c r="L32" s="10">
        <v>262911.03370000003</v>
      </c>
      <c r="M32" s="10">
        <v>153459.5012</v>
      </c>
      <c r="N32" s="10">
        <v>130630.9197</v>
      </c>
      <c r="O32" s="10">
        <v>260858.4406</v>
      </c>
      <c r="P32" s="10">
        <v>163546.65609999999</v>
      </c>
      <c r="Q32" s="10">
        <v>108310.08259999999</v>
      </c>
      <c r="R32" s="10">
        <v>98940.333899999998</v>
      </c>
      <c r="S32" s="10">
        <v>69868.388999999996</v>
      </c>
      <c r="T32" s="10">
        <v>68813.926699999996</v>
      </c>
      <c r="U32" s="10">
        <v>78383.113599999997</v>
      </c>
      <c r="V32" s="10">
        <v>29894.915099999998</v>
      </c>
      <c r="W32" s="10">
        <v>16221.342500000001</v>
      </c>
      <c r="X32" s="10">
        <v>131049.2902</v>
      </c>
      <c r="Y32" s="10">
        <v>57389.9683</v>
      </c>
      <c r="Z32" s="10">
        <v>71328.667700000005</v>
      </c>
      <c r="AA32" s="10">
        <v>79297.0766</v>
      </c>
      <c r="AB32" s="10">
        <v>47572.958100000003</v>
      </c>
      <c r="AC32" s="10"/>
      <c r="AD32" s="10">
        <v>82679.840700000001</v>
      </c>
      <c r="AE32" s="10">
        <v>70230.038400000005</v>
      </c>
      <c r="AF32" s="10">
        <v>11632.208000000001</v>
      </c>
      <c r="AG32" s="10">
        <v>38392.3223</v>
      </c>
    </row>
    <row r="33" spans="1:33" x14ac:dyDescent="0.35">
      <c r="A33" s="8">
        <v>46132</v>
      </c>
      <c r="B33" s="9">
        <v>11496622.257270001</v>
      </c>
      <c r="C33" s="10">
        <v>7993864.7013999997</v>
      </c>
      <c r="D33" s="10"/>
      <c r="E33" s="10"/>
      <c r="F33" s="10"/>
      <c r="G33" s="10"/>
      <c r="H33" s="10">
        <v>214655.36527000001</v>
      </c>
      <c r="I33" s="10"/>
      <c r="J33" s="10"/>
      <c r="K33" s="10">
        <v>446383.89929999999</v>
      </c>
      <c r="L33" s="10">
        <v>265393.88189999998</v>
      </c>
      <c r="M33" s="10">
        <v>236119.5239</v>
      </c>
      <c r="N33" s="10">
        <v>131245.4546</v>
      </c>
      <c r="O33" s="10">
        <v>223585.88130000001</v>
      </c>
      <c r="P33" s="10">
        <v>161092.89660000001</v>
      </c>
      <c r="Q33" s="10">
        <v>245490.64420000001</v>
      </c>
      <c r="R33" s="10">
        <v>102339.7121</v>
      </c>
      <c r="S33" s="10">
        <v>458428.30959999998</v>
      </c>
      <c r="T33" s="10">
        <v>161068.4571</v>
      </c>
      <c r="U33" s="10">
        <v>93460.006299999994</v>
      </c>
      <c r="V33" s="10">
        <v>143523.39309999999</v>
      </c>
      <c r="W33" s="10">
        <v>16270.933199999999</v>
      </c>
      <c r="X33" s="10">
        <v>124666.7738</v>
      </c>
      <c r="Y33" s="10">
        <v>57627.291100000002</v>
      </c>
      <c r="Z33" s="10">
        <v>45502.892800000001</v>
      </c>
      <c r="AA33" s="10">
        <v>80005.327600000004</v>
      </c>
      <c r="AB33" s="10">
        <v>75823.387799999997</v>
      </c>
      <c r="AC33" s="10"/>
      <c r="AD33" s="10">
        <v>81039.782699999996</v>
      </c>
      <c r="AE33" s="10">
        <v>67889.328800000003</v>
      </c>
      <c r="AF33" s="10">
        <v>62626.844599999997</v>
      </c>
      <c r="AG33" s="10">
        <v>8517.5681999999997</v>
      </c>
    </row>
    <row r="34" spans="1:33" x14ac:dyDescent="0.35">
      <c r="A34" s="8">
        <v>46131</v>
      </c>
      <c r="B34" s="9">
        <v>2203021.3702400001</v>
      </c>
      <c r="C34" s="10"/>
      <c r="D34" s="10"/>
      <c r="E34" s="10"/>
      <c r="F34" s="10"/>
      <c r="G34" s="10"/>
      <c r="H34" s="10">
        <v>207073.71194000001</v>
      </c>
      <c r="I34" s="10"/>
      <c r="J34" s="10"/>
      <c r="K34" s="10"/>
      <c r="L34" s="10">
        <v>263366.32579999999</v>
      </c>
      <c r="M34" s="10">
        <v>236939.2745</v>
      </c>
      <c r="N34" s="10">
        <v>130233.0919</v>
      </c>
      <c r="O34" s="10"/>
      <c r="P34" s="10"/>
      <c r="Q34" s="10">
        <v>384694.32860000001</v>
      </c>
      <c r="R34" s="10">
        <v>96549.166100000002</v>
      </c>
      <c r="S34" s="10">
        <v>484252.99780000001</v>
      </c>
      <c r="T34" s="10">
        <v>155617.84280000001</v>
      </c>
      <c r="U34" s="10">
        <v>81734.514899999995</v>
      </c>
      <c r="V34" s="10"/>
      <c r="W34" s="10"/>
      <c r="X34" s="10"/>
      <c r="Y34" s="10">
        <v>56380.792999999998</v>
      </c>
      <c r="Z34" s="10"/>
      <c r="AA34" s="10"/>
      <c r="AB34" s="10">
        <v>83381.897800000006</v>
      </c>
      <c r="AC34" s="10"/>
      <c r="AD34" s="10"/>
      <c r="AE34" s="10"/>
      <c r="AF34" s="10"/>
      <c r="AG34" s="10">
        <v>22797.4251</v>
      </c>
    </row>
    <row r="35" spans="1:33" x14ac:dyDescent="0.35">
      <c r="A35" s="8">
        <v>46130</v>
      </c>
      <c r="B35" s="9">
        <v>1272425.61934</v>
      </c>
      <c r="C35" s="10">
        <v>2.7044000000000001</v>
      </c>
      <c r="D35" s="10"/>
      <c r="E35" s="10"/>
      <c r="F35" s="10"/>
      <c r="G35" s="10"/>
      <c r="H35" s="10">
        <v>212377.84714</v>
      </c>
      <c r="I35" s="10"/>
      <c r="J35" s="10"/>
      <c r="K35" s="10"/>
      <c r="L35" s="10">
        <v>263573.31849999999</v>
      </c>
      <c r="M35" s="10">
        <v>154797.90710000001</v>
      </c>
      <c r="N35" s="10">
        <v>131117.16260000001</v>
      </c>
      <c r="O35" s="10">
        <v>12.920199999999999</v>
      </c>
      <c r="P35" s="10">
        <v>8.4481999999999999</v>
      </c>
      <c r="Q35" s="10">
        <v>105368.29090000001</v>
      </c>
      <c r="R35" s="10">
        <v>98141.058900000004</v>
      </c>
      <c r="S35" s="10">
        <v>64676.783499999998</v>
      </c>
      <c r="T35" s="10">
        <v>54669.316500000001</v>
      </c>
      <c r="U35" s="10">
        <v>77101.856299999999</v>
      </c>
      <c r="V35" s="10"/>
      <c r="W35" s="10">
        <v>1.879</v>
      </c>
      <c r="X35" s="10">
        <v>6.48</v>
      </c>
      <c r="Y35" s="10">
        <v>56325.87</v>
      </c>
      <c r="Z35" s="10">
        <v>4.7659000000000002</v>
      </c>
      <c r="AA35" s="10">
        <v>16.7028</v>
      </c>
      <c r="AB35" s="10">
        <v>46697.895199999999</v>
      </c>
      <c r="AC35" s="10"/>
      <c r="AD35" s="10">
        <v>5.5157999999999996</v>
      </c>
      <c r="AE35" s="10">
        <v>6.9884000000000004</v>
      </c>
      <c r="AF35" s="10">
        <v>2.0617999999999999</v>
      </c>
      <c r="AG35" s="10">
        <v>7509.8462</v>
      </c>
    </row>
    <row r="36" spans="1:33" x14ac:dyDescent="0.35">
      <c r="A36" s="8">
        <v>46129</v>
      </c>
      <c r="B36" s="9">
        <v>11378650.3838</v>
      </c>
      <c r="C36" s="10">
        <v>8298605.2960000001</v>
      </c>
      <c r="D36" s="10"/>
      <c r="E36" s="10"/>
      <c r="F36" s="10"/>
      <c r="G36" s="10"/>
      <c r="H36" s="10">
        <v>641814.29630000005</v>
      </c>
      <c r="I36" s="10"/>
      <c r="J36" s="10"/>
      <c r="K36" s="10">
        <v>361466.90049999999</v>
      </c>
      <c r="L36" s="10">
        <v>264410.05119999999</v>
      </c>
      <c r="M36" s="10">
        <v>155784.8339</v>
      </c>
      <c r="N36" s="10">
        <v>131100.88579999999</v>
      </c>
      <c r="O36" s="10">
        <v>204124.96710000001</v>
      </c>
      <c r="P36" s="10">
        <v>163679.65340000001</v>
      </c>
      <c r="Q36" s="10">
        <v>107957.22500000001</v>
      </c>
      <c r="R36" s="10">
        <v>102415.8952</v>
      </c>
      <c r="S36" s="10">
        <v>63848.157099999997</v>
      </c>
      <c r="T36" s="10">
        <v>56563.415099999998</v>
      </c>
      <c r="U36" s="10">
        <v>77814.962899999999</v>
      </c>
      <c r="V36" s="10">
        <v>133094.8743</v>
      </c>
      <c r="W36" s="10">
        <v>16350.093199999999</v>
      </c>
      <c r="X36" s="10">
        <v>123752.0433</v>
      </c>
      <c r="Y36" s="10">
        <v>56633.965799999998</v>
      </c>
      <c r="Z36" s="10">
        <v>66592.756999999998</v>
      </c>
      <c r="AA36" s="10">
        <v>84175.441200000001</v>
      </c>
      <c r="AB36" s="10">
        <v>49361.790200000003</v>
      </c>
      <c r="AC36" s="10"/>
      <c r="AD36" s="10">
        <v>81208.533800000005</v>
      </c>
      <c r="AE36" s="10">
        <v>79578.503599999996</v>
      </c>
      <c r="AF36" s="10">
        <v>13271.6445</v>
      </c>
      <c r="AG36" s="10">
        <v>45044.197399999997</v>
      </c>
    </row>
    <row r="37" spans="1:33" x14ac:dyDescent="0.35">
      <c r="A37" s="8">
        <v>46128</v>
      </c>
      <c r="B37" s="9">
        <v>10849413.07745</v>
      </c>
      <c r="C37" s="10">
        <v>8174505.9797</v>
      </c>
      <c r="D37" s="10"/>
      <c r="E37" s="10"/>
      <c r="F37" s="10"/>
      <c r="G37" s="10"/>
      <c r="H37" s="10">
        <v>249692.64014999999</v>
      </c>
      <c r="I37" s="10"/>
      <c r="J37" s="10"/>
      <c r="K37" s="10">
        <v>271710.32569999999</v>
      </c>
      <c r="L37" s="10">
        <v>263342.36959999998</v>
      </c>
      <c r="M37" s="10">
        <v>164807.15150000001</v>
      </c>
      <c r="N37" s="10">
        <v>131427.0178</v>
      </c>
      <c r="O37" s="10">
        <v>306611.04879999999</v>
      </c>
      <c r="P37" s="10">
        <v>162491.6177</v>
      </c>
      <c r="Q37" s="10">
        <v>103045.66869999999</v>
      </c>
      <c r="R37" s="10">
        <v>101064.167</v>
      </c>
      <c r="S37" s="10">
        <v>56439.028899999998</v>
      </c>
      <c r="T37" s="10">
        <v>55720.991099999999</v>
      </c>
      <c r="U37" s="10">
        <v>80712.790699999998</v>
      </c>
      <c r="V37" s="10">
        <v>28975.138599999998</v>
      </c>
      <c r="W37" s="10">
        <v>16111.378000000001</v>
      </c>
      <c r="X37" s="10">
        <v>121643.0983</v>
      </c>
      <c r="Y37" s="10">
        <v>57337.527300000002</v>
      </c>
      <c r="Z37" s="10">
        <v>60981.145600000003</v>
      </c>
      <c r="AA37" s="10">
        <v>181691.02359999999</v>
      </c>
      <c r="AB37" s="10">
        <v>63793.462899999999</v>
      </c>
      <c r="AC37" s="10"/>
      <c r="AD37" s="10">
        <v>80655.060200000007</v>
      </c>
      <c r="AE37" s="10">
        <v>88792.162200000006</v>
      </c>
      <c r="AF37" s="10">
        <v>11818.120800000001</v>
      </c>
      <c r="AG37" s="10">
        <v>16044.1626</v>
      </c>
    </row>
    <row r="38" spans="1:33" x14ac:dyDescent="0.35">
      <c r="A38" s="8">
        <v>46127</v>
      </c>
      <c r="B38" s="9">
        <v>11050858.62699</v>
      </c>
      <c r="C38" s="10">
        <v>8431369.3819999993</v>
      </c>
      <c r="D38" s="10"/>
      <c r="E38" s="10"/>
      <c r="F38" s="10"/>
      <c r="G38" s="10"/>
      <c r="H38" s="10">
        <v>310211.17929</v>
      </c>
      <c r="I38" s="10"/>
      <c r="J38" s="10"/>
      <c r="K38" s="10">
        <v>270124.47409999999</v>
      </c>
      <c r="L38" s="10">
        <v>259779.55669999999</v>
      </c>
      <c r="M38" s="10">
        <v>177783.83489999999</v>
      </c>
      <c r="N38" s="10">
        <v>130067.19960000001</v>
      </c>
      <c r="O38" s="10">
        <v>140760.36600000001</v>
      </c>
      <c r="P38" s="10">
        <v>157220.198</v>
      </c>
      <c r="Q38" s="10">
        <v>98062.710300000006</v>
      </c>
      <c r="R38" s="10">
        <v>96391.816999999995</v>
      </c>
      <c r="S38" s="10">
        <v>54633.917999999998</v>
      </c>
      <c r="T38" s="10">
        <v>56497.921199999997</v>
      </c>
      <c r="U38" s="10">
        <v>76598.855100000001</v>
      </c>
      <c r="V38" s="10">
        <v>61365.302199999998</v>
      </c>
      <c r="W38" s="10">
        <v>15977.992200000001</v>
      </c>
      <c r="X38" s="10">
        <v>121754.106</v>
      </c>
      <c r="Y38" s="10">
        <v>57176.751300000004</v>
      </c>
      <c r="Z38" s="10">
        <v>46309.027300000002</v>
      </c>
      <c r="AA38" s="10">
        <v>259249.70600000001</v>
      </c>
      <c r="AB38" s="10">
        <v>63654.249499999998</v>
      </c>
      <c r="AC38" s="10"/>
      <c r="AD38" s="10">
        <v>78195.725399999996</v>
      </c>
      <c r="AE38" s="10">
        <v>65745.272800000006</v>
      </c>
      <c r="AF38" s="10">
        <v>11271.4782</v>
      </c>
      <c r="AG38" s="10">
        <v>10657.6039</v>
      </c>
    </row>
    <row r="39" spans="1:33" x14ac:dyDescent="0.35">
      <c r="A39" s="8">
        <v>46126</v>
      </c>
      <c r="B39" s="9">
        <v>11591355.05632</v>
      </c>
      <c r="C39" s="10">
        <v>8379731.2111</v>
      </c>
      <c r="D39" s="10"/>
      <c r="E39" s="10"/>
      <c r="F39" s="10"/>
      <c r="G39" s="10"/>
      <c r="H39" s="10">
        <v>306724.48472000001</v>
      </c>
      <c r="I39" s="10"/>
      <c r="J39" s="10"/>
      <c r="K39" s="10">
        <v>289402.5061</v>
      </c>
      <c r="L39" s="10">
        <v>253324.91680000001</v>
      </c>
      <c r="M39" s="10">
        <v>142693.4473</v>
      </c>
      <c r="N39" s="10">
        <v>147071.7475</v>
      </c>
      <c r="O39" s="10">
        <v>154170.0368</v>
      </c>
      <c r="P39" s="10">
        <v>154535.00880000001</v>
      </c>
      <c r="Q39" s="10">
        <v>94206.681800000006</v>
      </c>
      <c r="R39" s="10">
        <v>114963.92630000001</v>
      </c>
      <c r="S39" s="10">
        <v>53807.3269</v>
      </c>
      <c r="T39" s="10">
        <v>56220.032200000001</v>
      </c>
      <c r="U39" s="10">
        <v>94774.333400000003</v>
      </c>
      <c r="V39" s="10">
        <v>61879.816099999996</v>
      </c>
      <c r="W39" s="10">
        <v>16276.528</v>
      </c>
      <c r="X39" s="10">
        <v>121516.0925</v>
      </c>
      <c r="Y39" s="10">
        <v>53195.387900000002</v>
      </c>
      <c r="Z39" s="10">
        <v>713610.89850000001</v>
      </c>
      <c r="AA39" s="10">
        <v>123915.9491</v>
      </c>
      <c r="AB39" s="10">
        <v>42321.636599999998</v>
      </c>
      <c r="AC39" s="10"/>
      <c r="AD39" s="10">
        <v>79515.376799999998</v>
      </c>
      <c r="AE39" s="10">
        <v>70107.996700000003</v>
      </c>
      <c r="AF39" s="10">
        <v>11456.194</v>
      </c>
      <c r="AG39" s="10">
        <v>55933.520400000001</v>
      </c>
    </row>
    <row r="40" spans="1:33" x14ac:dyDescent="0.35">
      <c r="A40" s="8">
        <v>46125</v>
      </c>
      <c r="B40" s="9">
        <v>11150331.51945</v>
      </c>
      <c r="C40" s="10">
        <v>8268848.7204999998</v>
      </c>
      <c r="D40" s="10"/>
      <c r="E40" s="10"/>
      <c r="F40" s="10"/>
      <c r="G40" s="10"/>
      <c r="H40" s="10">
        <v>290730.39305000001</v>
      </c>
      <c r="I40" s="10"/>
      <c r="J40" s="10"/>
      <c r="K40" s="10">
        <v>497606.61739999999</v>
      </c>
      <c r="L40" s="10">
        <v>245310.67600000001</v>
      </c>
      <c r="M40" s="10">
        <v>138511.2058</v>
      </c>
      <c r="N40" s="10">
        <v>123200.8412</v>
      </c>
      <c r="O40" s="10">
        <v>149796.33720000001</v>
      </c>
      <c r="P40" s="10">
        <v>145590.5202</v>
      </c>
      <c r="Q40" s="10">
        <v>87973.227700000003</v>
      </c>
      <c r="R40" s="10">
        <v>91775.675700000007</v>
      </c>
      <c r="S40" s="10">
        <v>103260.1382</v>
      </c>
      <c r="T40" s="10">
        <v>135409.61569999999</v>
      </c>
      <c r="U40" s="10">
        <v>72605.150399999999</v>
      </c>
      <c r="V40" s="10">
        <v>53893.799299999999</v>
      </c>
      <c r="W40" s="10">
        <v>15446.982</v>
      </c>
      <c r="X40" s="10">
        <v>118418.65489999999</v>
      </c>
      <c r="Y40" s="10">
        <v>85623.100300000006</v>
      </c>
      <c r="Z40" s="10">
        <v>223236.36040000001</v>
      </c>
      <c r="AA40" s="10">
        <v>79982.982999999993</v>
      </c>
      <c r="AB40" s="10">
        <v>41763.051500000001</v>
      </c>
      <c r="AC40" s="10"/>
      <c r="AD40" s="10">
        <v>78130.516099999993</v>
      </c>
      <c r="AE40" s="10">
        <v>61379.282700000003</v>
      </c>
      <c r="AF40" s="10">
        <v>26632.721300000001</v>
      </c>
      <c r="AG40" s="10">
        <v>15204.948899999999</v>
      </c>
    </row>
    <row r="41" spans="1:33" x14ac:dyDescent="0.35">
      <c r="A41" s="8">
        <v>46124</v>
      </c>
      <c r="B41" s="9">
        <v>1325229.0334999999</v>
      </c>
      <c r="C41" s="10"/>
      <c r="D41" s="10"/>
      <c r="E41" s="10"/>
      <c r="F41" s="10"/>
      <c r="G41" s="10"/>
      <c r="H41" s="10">
        <v>243358.15</v>
      </c>
      <c r="I41" s="10"/>
      <c r="J41" s="10"/>
      <c r="K41" s="10"/>
      <c r="L41" s="10">
        <v>242059.06909999999</v>
      </c>
      <c r="M41" s="10">
        <v>134639.1017</v>
      </c>
      <c r="N41" s="10">
        <v>121962.3471</v>
      </c>
      <c r="O41" s="10"/>
      <c r="P41" s="10"/>
      <c r="Q41" s="10">
        <v>85487.953899999993</v>
      </c>
      <c r="R41" s="10">
        <v>91533.995699999999</v>
      </c>
      <c r="S41" s="10">
        <v>108409.02220000001</v>
      </c>
      <c r="T41" s="10">
        <v>129959.9071</v>
      </c>
      <c r="U41" s="10">
        <v>72431.267200000002</v>
      </c>
      <c r="V41" s="10"/>
      <c r="W41" s="10"/>
      <c r="X41" s="10"/>
      <c r="Y41" s="10">
        <v>49417.210099999997</v>
      </c>
      <c r="Z41" s="10"/>
      <c r="AA41" s="10"/>
      <c r="AB41" s="10">
        <v>35221.075100000002</v>
      </c>
      <c r="AC41" s="10"/>
      <c r="AD41" s="10"/>
      <c r="AE41" s="10"/>
      <c r="AF41" s="10"/>
      <c r="AG41" s="10">
        <v>10749.934300000001</v>
      </c>
    </row>
    <row r="42" spans="1:33" x14ac:dyDescent="0.35">
      <c r="A42" s="8">
        <v>46123</v>
      </c>
      <c r="B42" s="9">
        <v>1134795.19713</v>
      </c>
      <c r="C42" s="10">
        <v>865.85599999999999</v>
      </c>
      <c r="D42" s="10"/>
      <c r="E42" s="10"/>
      <c r="F42" s="10"/>
      <c r="G42" s="10"/>
      <c r="H42" s="10">
        <v>192434.98993000001</v>
      </c>
      <c r="I42" s="10"/>
      <c r="J42" s="10"/>
      <c r="K42" s="10">
        <v>20.396999999999998</v>
      </c>
      <c r="L42" s="10">
        <v>244553.00109999999</v>
      </c>
      <c r="M42" s="10">
        <v>136036.66500000001</v>
      </c>
      <c r="N42" s="10">
        <v>122311.1032</v>
      </c>
      <c r="O42" s="10">
        <v>12.236000000000001</v>
      </c>
      <c r="P42" s="10">
        <v>11.1487</v>
      </c>
      <c r="Q42" s="10">
        <v>86342.001999999993</v>
      </c>
      <c r="R42" s="10">
        <v>91747.358500000002</v>
      </c>
      <c r="S42" s="10">
        <v>49617.736199999999</v>
      </c>
      <c r="T42" s="10">
        <v>45087.560599999997</v>
      </c>
      <c r="U42" s="10">
        <v>72681.477400000003</v>
      </c>
      <c r="V42" s="10">
        <v>1.2472000000000001</v>
      </c>
      <c r="W42" s="10">
        <v>1.7723</v>
      </c>
      <c r="X42" s="10">
        <v>21.3354</v>
      </c>
      <c r="Y42" s="10">
        <v>50235.271999999997</v>
      </c>
      <c r="Z42" s="10">
        <v>1.2113</v>
      </c>
      <c r="AA42" s="10">
        <v>8.3423999999999996</v>
      </c>
      <c r="AB42" s="10">
        <v>35871.236799999999</v>
      </c>
      <c r="AC42" s="10"/>
      <c r="AD42" s="10">
        <v>13.096399999999999</v>
      </c>
      <c r="AE42" s="10">
        <v>5.5327999999999999</v>
      </c>
      <c r="AF42" s="10">
        <v>0.64049999999999996</v>
      </c>
      <c r="AG42" s="10">
        <v>6913.9784</v>
      </c>
    </row>
    <row r="43" spans="1:33" x14ac:dyDescent="0.35">
      <c r="A43" s="8">
        <v>46122</v>
      </c>
      <c r="B43" s="9">
        <v>10554361.709249999</v>
      </c>
      <c r="C43" s="10">
        <v>8343637.1272</v>
      </c>
      <c r="D43" s="10"/>
      <c r="E43" s="10"/>
      <c r="F43" s="10"/>
      <c r="G43" s="10"/>
      <c r="H43" s="10">
        <v>206326.31654999999</v>
      </c>
      <c r="I43" s="10"/>
      <c r="J43" s="10"/>
      <c r="K43" s="10">
        <v>272965.14520000003</v>
      </c>
      <c r="L43" s="10">
        <v>244907.198</v>
      </c>
      <c r="M43" s="10">
        <v>135415.63759999999</v>
      </c>
      <c r="N43" s="10">
        <v>123873.186</v>
      </c>
      <c r="O43" s="10">
        <v>137401.13769999999</v>
      </c>
      <c r="P43" s="10">
        <v>144720.36799999999</v>
      </c>
      <c r="Q43" s="10">
        <v>87641.367199999993</v>
      </c>
      <c r="R43" s="10">
        <v>91924.285300000003</v>
      </c>
      <c r="S43" s="10">
        <v>50573.171000000002</v>
      </c>
      <c r="T43" s="10">
        <v>45562.018799999998</v>
      </c>
      <c r="U43" s="10">
        <v>74242.863800000006</v>
      </c>
      <c r="V43" s="10">
        <v>40485.523699999998</v>
      </c>
      <c r="W43" s="10">
        <v>15545.757799999999</v>
      </c>
      <c r="X43" s="10">
        <v>118339.5524</v>
      </c>
      <c r="Y43" s="10">
        <v>53289.328800000003</v>
      </c>
      <c r="Z43" s="10">
        <v>49097.786699999997</v>
      </c>
      <c r="AA43" s="10">
        <v>81348.7693</v>
      </c>
      <c r="AB43" s="10">
        <v>36176.301899999999</v>
      </c>
      <c r="AC43" s="10"/>
      <c r="AD43" s="10">
        <v>77034.607099999994</v>
      </c>
      <c r="AE43" s="10">
        <v>53246.268900000003</v>
      </c>
      <c r="AF43" s="10">
        <v>60789.162600000003</v>
      </c>
      <c r="AG43" s="10">
        <v>9818.8276999999998</v>
      </c>
    </row>
    <row r="44" spans="1:33" x14ac:dyDescent="0.35">
      <c r="A44" s="8">
        <v>46121</v>
      </c>
      <c r="B44" s="9">
        <v>10586324.753040001</v>
      </c>
      <c r="C44" s="10">
        <v>8275863.7784000002</v>
      </c>
      <c r="D44" s="10"/>
      <c r="E44" s="10"/>
      <c r="F44" s="10"/>
      <c r="G44" s="10"/>
      <c r="H44" s="10">
        <v>287621.54294000001</v>
      </c>
      <c r="I44" s="10"/>
      <c r="J44" s="10"/>
      <c r="K44" s="10">
        <v>271634.2243</v>
      </c>
      <c r="L44" s="10">
        <v>243779.33480000001</v>
      </c>
      <c r="M44" s="10">
        <v>135434.75140000001</v>
      </c>
      <c r="N44" s="10">
        <v>123012.2978</v>
      </c>
      <c r="O44" s="10">
        <v>135660.98689999999</v>
      </c>
      <c r="P44" s="10">
        <v>144395.42069999999</v>
      </c>
      <c r="Q44" s="10">
        <v>90054.807400000005</v>
      </c>
      <c r="R44" s="10">
        <v>106471.0239</v>
      </c>
      <c r="S44" s="10">
        <v>50276.412700000001</v>
      </c>
      <c r="T44" s="10">
        <v>47803.459199999998</v>
      </c>
      <c r="U44" s="10">
        <v>70725.444099999993</v>
      </c>
      <c r="V44" s="10">
        <v>38143.651299999998</v>
      </c>
      <c r="W44" s="10">
        <v>18272.585999999999</v>
      </c>
      <c r="X44" s="10">
        <v>117508.7248</v>
      </c>
      <c r="Y44" s="10">
        <v>54944.847999999998</v>
      </c>
      <c r="Z44" s="10">
        <v>47475.011599999998</v>
      </c>
      <c r="AA44" s="10">
        <v>81766.683199999999</v>
      </c>
      <c r="AB44" s="10">
        <v>36760.582300000002</v>
      </c>
      <c r="AC44" s="10"/>
      <c r="AD44" s="10">
        <v>77728.993499999997</v>
      </c>
      <c r="AE44" s="10">
        <v>64869.207199999997</v>
      </c>
      <c r="AF44" s="10">
        <v>55978.679700000001</v>
      </c>
      <c r="AG44" s="10">
        <v>10142.3009</v>
      </c>
    </row>
    <row r="45" spans="1:33" x14ac:dyDescent="0.35">
      <c r="A45" s="8">
        <v>46120</v>
      </c>
      <c r="B45" s="9">
        <v>10757462.64697</v>
      </c>
      <c r="C45" s="10">
        <v>8329204.0160999997</v>
      </c>
      <c r="D45" s="10"/>
      <c r="E45" s="10"/>
      <c r="F45" s="10"/>
      <c r="G45" s="10"/>
      <c r="H45" s="10">
        <v>293038.23346999998</v>
      </c>
      <c r="I45" s="10"/>
      <c r="J45" s="10"/>
      <c r="K45" s="10">
        <v>272543.58439999999</v>
      </c>
      <c r="L45" s="10">
        <v>237229.6948</v>
      </c>
      <c r="M45" s="10">
        <v>140815.65979999999</v>
      </c>
      <c r="N45" s="10">
        <v>131613.6439</v>
      </c>
      <c r="O45" s="10">
        <v>174379.6275</v>
      </c>
      <c r="P45" s="10">
        <v>147370.16639999999</v>
      </c>
      <c r="Q45" s="10">
        <v>94289.608900000007</v>
      </c>
      <c r="R45" s="10">
        <v>86448.289799999999</v>
      </c>
      <c r="S45" s="10">
        <v>63943.427300000003</v>
      </c>
      <c r="T45" s="10">
        <v>53920.294699999999</v>
      </c>
      <c r="U45" s="10">
        <v>71041.061400000006</v>
      </c>
      <c r="V45" s="10">
        <v>34935.828500000003</v>
      </c>
      <c r="W45" s="10">
        <v>18827.028300000002</v>
      </c>
      <c r="X45" s="10">
        <v>119375.4378</v>
      </c>
      <c r="Y45" s="10">
        <v>71669.510699999999</v>
      </c>
      <c r="Z45" s="10">
        <v>46782.530299999999</v>
      </c>
      <c r="AA45" s="10">
        <v>81085.691000000006</v>
      </c>
      <c r="AB45" s="10">
        <v>38520.438800000004</v>
      </c>
      <c r="AC45" s="10"/>
      <c r="AD45" s="10">
        <v>80497.960900000005</v>
      </c>
      <c r="AE45" s="10">
        <v>56678.650199999996</v>
      </c>
      <c r="AF45" s="10">
        <v>86682.857399999994</v>
      </c>
      <c r="AG45" s="10">
        <v>26569.404600000002</v>
      </c>
    </row>
    <row r="46" spans="1:33" x14ac:dyDescent="0.35">
      <c r="A46" s="8">
        <v>46119</v>
      </c>
      <c r="B46" s="9">
        <v>10786830.595179999</v>
      </c>
      <c r="C46" s="10">
        <v>8201761.2905999999</v>
      </c>
      <c r="D46" s="10"/>
      <c r="E46" s="10"/>
      <c r="F46" s="10"/>
      <c r="G46" s="10"/>
      <c r="H46" s="10">
        <v>334547.89078000002</v>
      </c>
      <c r="I46" s="10"/>
      <c r="J46" s="10"/>
      <c r="K46" s="10">
        <v>345341.63179999997</v>
      </c>
      <c r="L46" s="10">
        <v>221949.89259999999</v>
      </c>
      <c r="M46" s="10">
        <v>172137.76149999999</v>
      </c>
      <c r="N46" s="10">
        <v>128373.8011</v>
      </c>
      <c r="O46" s="10">
        <v>152554.4038</v>
      </c>
      <c r="P46" s="10">
        <v>143989.1269</v>
      </c>
      <c r="Q46" s="10">
        <v>90749.702600000004</v>
      </c>
      <c r="R46" s="10">
        <v>82934.989799999996</v>
      </c>
      <c r="S46" s="10">
        <v>49233.091899999999</v>
      </c>
      <c r="T46" s="10">
        <v>49972.671699999999</v>
      </c>
      <c r="U46" s="10">
        <v>70442.477799999993</v>
      </c>
      <c r="V46" s="10">
        <v>128862.6265</v>
      </c>
      <c r="W46" s="10">
        <v>14679.716899999999</v>
      </c>
      <c r="X46" s="10">
        <v>144264.9467</v>
      </c>
      <c r="Y46" s="10">
        <v>57845.251700000001</v>
      </c>
      <c r="Z46" s="10">
        <v>98861.191500000001</v>
      </c>
      <c r="AA46" s="10">
        <v>82414.831999999995</v>
      </c>
      <c r="AB46" s="10">
        <v>36373.095800000003</v>
      </c>
      <c r="AC46" s="10"/>
      <c r="AD46" s="10">
        <v>78324.649000000005</v>
      </c>
      <c r="AE46" s="10">
        <v>55902.722600000001</v>
      </c>
      <c r="AF46" s="10">
        <v>26868.851200000001</v>
      </c>
      <c r="AG46" s="10">
        <v>18443.9784</v>
      </c>
    </row>
    <row r="47" spans="1:33" x14ac:dyDescent="0.35">
      <c r="A47" s="8">
        <v>46118</v>
      </c>
      <c r="B47" s="9">
        <v>10780200.163410001</v>
      </c>
      <c r="C47" s="10">
        <v>8223611.1645</v>
      </c>
      <c r="D47" s="10"/>
      <c r="E47" s="10"/>
      <c r="F47" s="10"/>
      <c r="G47" s="10"/>
      <c r="H47" s="10">
        <v>289289.64471000002</v>
      </c>
      <c r="I47" s="10"/>
      <c r="J47" s="10"/>
      <c r="K47" s="10">
        <v>326031.14899999998</v>
      </c>
      <c r="L47" s="10">
        <v>225900.03760000001</v>
      </c>
      <c r="M47" s="10">
        <v>168255.55790000001</v>
      </c>
      <c r="N47" s="10">
        <v>125472.38400000001</v>
      </c>
      <c r="O47" s="10">
        <v>151665.8585</v>
      </c>
      <c r="P47" s="10">
        <v>145362.11079999999</v>
      </c>
      <c r="Q47" s="10">
        <v>91402.396699999998</v>
      </c>
      <c r="R47" s="10">
        <v>81705.359800000006</v>
      </c>
      <c r="S47" s="10">
        <v>62332.376300000004</v>
      </c>
      <c r="T47" s="10">
        <v>52040.834999999999</v>
      </c>
      <c r="U47" s="10">
        <v>78290.990999999995</v>
      </c>
      <c r="V47" s="10">
        <v>255684.9731</v>
      </c>
      <c r="W47" s="10">
        <v>14772.858</v>
      </c>
      <c r="X47" s="10">
        <v>109654.44749999999</v>
      </c>
      <c r="Y47" s="10">
        <v>57940.6927</v>
      </c>
      <c r="Z47" s="10">
        <v>46398.464800000002</v>
      </c>
      <c r="AA47" s="10">
        <v>81794.082200000004</v>
      </c>
      <c r="AB47" s="10">
        <v>36279.888200000001</v>
      </c>
      <c r="AC47" s="10"/>
      <c r="AD47" s="10">
        <v>74222.038400000005</v>
      </c>
      <c r="AE47" s="10">
        <v>62842.510900000001</v>
      </c>
      <c r="AF47" s="10">
        <v>10496.159100000001</v>
      </c>
      <c r="AG47" s="10">
        <v>8754.1826999999994</v>
      </c>
    </row>
    <row r="48" spans="1:33" x14ac:dyDescent="0.35">
      <c r="A48" s="8">
        <v>46117</v>
      </c>
      <c r="B48" s="9">
        <v>33222.777130000002</v>
      </c>
      <c r="C48" s="10"/>
      <c r="D48" s="10"/>
      <c r="E48" s="10"/>
      <c r="F48" s="10"/>
      <c r="G48" s="10"/>
      <c r="H48" s="10">
        <v>32372.278330000001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>
        <v>850.49879999999996</v>
      </c>
    </row>
    <row r="49" spans="1:33" x14ac:dyDescent="0.35">
      <c r="A49" s="8">
        <v>46115</v>
      </c>
      <c r="B49" s="9">
        <v>33179.1515</v>
      </c>
      <c r="C49" s="10">
        <v>1797.0344</v>
      </c>
      <c r="D49" s="10"/>
      <c r="E49" s="10"/>
      <c r="F49" s="10"/>
      <c r="G49" s="10"/>
      <c r="H49" s="10">
        <v>29887.216899999999</v>
      </c>
      <c r="I49" s="10"/>
      <c r="J49" s="10"/>
      <c r="K49" s="10">
        <v>32.781799999999997</v>
      </c>
      <c r="L49" s="10">
        <v>28.7315</v>
      </c>
      <c r="M49" s="10">
        <v>3.6172</v>
      </c>
      <c r="N49" s="10">
        <v>17.746400000000001</v>
      </c>
      <c r="O49" s="10">
        <v>11.7014</v>
      </c>
      <c r="P49" s="10">
        <v>11.1981</v>
      </c>
      <c r="Q49" s="10">
        <v>20.585699999999999</v>
      </c>
      <c r="R49" s="10">
        <v>4.1929999999999996</v>
      </c>
      <c r="S49" s="10">
        <v>7.2098000000000004</v>
      </c>
      <c r="T49" s="10">
        <v>9.0792000000000002</v>
      </c>
      <c r="U49" s="10">
        <v>8.8345000000000002</v>
      </c>
      <c r="V49" s="10">
        <v>5.5502000000000002</v>
      </c>
      <c r="W49" s="10">
        <v>48.821100000000001</v>
      </c>
      <c r="X49" s="10">
        <v>11.081200000000001</v>
      </c>
      <c r="Y49" s="10">
        <v>2.9716</v>
      </c>
      <c r="Z49" s="10">
        <v>6.0071000000000003</v>
      </c>
      <c r="AA49" s="10">
        <v>6.2565</v>
      </c>
      <c r="AB49" s="10">
        <v>5.5065999999999997</v>
      </c>
      <c r="AC49" s="10"/>
      <c r="AD49" s="10">
        <v>7.5396000000000001</v>
      </c>
      <c r="AE49" s="10">
        <v>5.8444000000000003</v>
      </c>
      <c r="AF49" s="10">
        <v>1.7511000000000001</v>
      </c>
      <c r="AG49" s="10">
        <v>1237.8922</v>
      </c>
    </row>
    <row r="50" spans="1:33" x14ac:dyDescent="0.35">
      <c r="A50" s="8">
        <v>46114</v>
      </c>
      <c r="B50" s="9">
        <v>10727261.743930001</v>
      </c>
      <c r="C50" s="10">
        <v>8171842.6145000001</v>
      </c>
      <c r="D50" s="10"/>
      <c r="E50" s="10"/>
      <c r="F50" s="10"/>
      <c r="G50" s="10"/>
      <c r="H50" s="10">
        <v>209028.41772999999</v>
      </c>
      <c r="I50" s="10"/>
      <c r="J50" s="10"/>
      <c r="K50" s="10">
        <v>336564.95289999997</v>
      </c>
      <c r="L50" s="10">
        <v>221440.51670000001</v>
      </c>
      <c r="M50" s="10">
        <v>146267.3222</v>
      </c>
      <c r="N50" s="10">
        <v>118327.1823</v>
      </c>
      <c r="O50" s="10">
        <v>140635.20079999999</v>
      </c>
      <c r="P50" s="10">
        <v>157801.595</v>
      </c>
      <c r="Q50" s="10">
        <v>87973.623300000007</v>
      </c>
      <c r="R50" s="10">
        <v>81197.563899999994</v>
      </c>
      <c r="S50" s="10">
        <v>58969.390599999999</v>
      </c>
      <c r="T50" s="10">
        <v>48075.396999999997</v>
      </c>
      <c r="U50" s="10">
        <v>67744.467399999994</v>
      </c>
      <c r="V50" s="10">
        <v>306593.02710000001</v>
      </c>
      <c r="W50" s="10">
        <v>15741.3989</v>
      </c>
      <c r="X50" s="10">
        <v>106180.96799999999</v>
      </c>
      <c r="Y50" s="10">
        <v>56592.906600000002</v>
      </c>
      <c r="Z50" s="10">
        <v>46694.539400000001</v>
      </c>
      <c r="AA50" s="10">
        <v>83793.294599999994</v>
      </c>
      <c r="AB50" s="10">
        <v>35413.257700000002</v>
      </c>
      <c r="AC50" s="10"/>
      <c r="AD50" s="10">
        <v>72947.922900000005</v>
      </c>
      <c r="AE50" s="10">
        <v>82917.372900000002</v>
      </c>
      <c r="AF50" s="10">
        <v>26005.296200000001</v>
      </c>
      <c r="AG50" s="10">
        <v>48513.515299999999</v>
      </c>
    </row>
    <row r="51" spans="1:33" x14ac:dyDescent="0.35">
      <c r="A51" s="8">
        <v>46113</v>
      </c>
      <c r="B51" s="9">
        <v>10664411.45786</v>
      </c>
      <c r="C51" s="10">
        <v>8254454.5713</v>
      </c>
      <c r="D51" s="10"/>
      <c r="E51" s="10"/>
      <c r="F51" s="10"/>
      <c r="G51" s="10"/>
      <c r="H51" s="10">
        <v>267511.39305999997</v>
      </c>
      <c r="I51" s="10"/>
      <c r="J51" s="10"/>
      <c r="K51" s="10">
        <v>311586.85310000001</v>
      </c>
      <c r="L51" s="10">
        <v>224571.39430000001</v>
      </c>
      <c r="M51" s="10">
        <v>159736.29730000001</v>
      </c>
      <c r="N51" s="10">
        <v>123771.5358</v>
      </c>
      <c r="O51" s="10">
        <v>132359.2383</v>
      </c>
      <c r="P51" s="10">
        <v>164024.2936</v>
      </c>
      <c r="Q51" s="10">
        <v>91377.243700000006</v>
      </c>
      <c r="R51" s="10">
        <v>92285.849499999997</v>
      </c>
      <c r="S51" s="10">
        <v>48972.780700000003</v>
      </c>
      <c r="T51" s="10">
        <v>50104.641100000001</v>
      </c>
      <c r="U51" s="10">
        <v>79852.637700000007</v>
      </c>
      <c r="V51" s="10">
        <v>43654.526100000003</v>
      </c>
      <c r="W51" s="10">
        <v>31507.070599999999</v>
      </c>
      <c r="X51" s="10">
        <v>105539.26270000001</v>
      </c>
      <c r="Y51" s="10">
        <v>58836.307099999998</v>
      </c>
      <c r="Z51" s="10">
        <v>46648.6567</v>
      </c>
      <c r="AA51" s="10">
        <v>118962.5526</v>
      </c>
      <c r="AB51" s="10">
        <v>46818.132400000002</v>
      </c>
      <c r="AC51" s="10"/>
      <c r="AD51" s="10">
        <v>74441.596799999999</v>
      </c>
      <c r="AE51" s="10">
        <v>57277.253599999996</v>
      </c>
      <c r="AF51" s="10">
        <v>40412.819900000002</v>
      </c>
      <c r="AG51" s="10">
        <v>39704.549899999998</v>
      </c>
    </row>
    <row r="52" spans="1:33" x14ac:dyDescent="0.35">
      <c r="A52" s="8">
        <v>46112</v>
      </c>
      <c r="B52" s="9">
        <v>10283343.34086</v>
      </c>
      <c r="C52" s="10">
        <v>8012062.2796</v>
      </c>
      <c r="D52" s="10"/>
      <c r="E52" s="10"/>
      <c r="F52" s="10"/>
      <c r="G52" s="10"/>
      <c r="H52" s="10">
        <v>202581.99765999999</v>
      </c>
      <c r="I52" s="10"/>
      <c r="J52" s="10"/>
      <c r="K52" s="10">
        <v>278067.12430000002</v>
      </c>
      <c r="L52" s="10">
        <v>232300.935</v>
      </c>
      <c r="M52" s="10">
        <v>147573.02540000001</v>
      </c>
      <c r="N52" s="10">
        <v>129027.76390000001</v>
      </c>
      <c r="O52" s="10">
        <v>131308.2758</v>
      </c>
      <c r="P52" s="10">
        <v>142051.31299999999</v>
      </c>
      <c r="Q52" s="10">
        <v>86941.873600000006</v>
      </c>
      <c r="R52" s="10">
        <v>91792.264500000005</v>
      </c>
      <c r="S52" s="10">
        <v>48932.311000000002</v>
      </c>
      <c r="T52" s="10">
        <v>50921.263200000001</v>
      </c>
      <c r="U52" s="10">
        <v>69768.152600000001</v>
      </c>
      <c r="V52" s="10">
        <v>125978.32889999999</v>
      </c>
      <c r="W52" s="10">
        <v>25507.179700000001</v>
      </c>
      <c r="X52" s="10">
        <v>102782.54029999999</v>
      </c>
      <c r="Y52" s="10">
        <v>55598.811199999996</v>
      </c>
      <c r="Z52" s="10">
        <v>46030.5795</v>
      </c>
      <c r="AA52" s="10">
        <v>82874.910099999994</v>
      </c>
      <c r="AB52" s="10">
        <v>36675.917099999999</v>
      </c>
      <c r="AC52" s="10"/>
      <c r="AD52" s="10">
        <v>72283.006899999993</v>
      </c>
      <c r="AE52" s="10">
        <v>65175.546000000002</v>
      </c>
      <c r="AF52" s="10">
        <v>15223.843500000001</v>
      </c>
      <c r="AG52" s="10">
        <v>31884.098099999999</v>
      </c>
    </row>
    <row r="53" spans="1:33" x14ac:dyDescent="0.35">
      <c r="A53" s="8">
        <v>46111</v>
      </c>
      <c r="B53" s="9">
        <v>10529519.34114</v>
      </c>
      <c r="C53" s="10">
        <v>7948516.4153000005</v>
      </c>
      <c r="D53" s="10"/>
      <c r="E53" s="10"/>
      <c r="F53" s="10"/>
      <c r="G53" s="10"/>
      <c r="H53" s="10">
        <v>224776.98464000001</v>
      </c>
      <c r="I53" s="10"/>
      <c r="J53" s="10"/>
      <c r="K53" s="10">
        <v>258012.8878</v>
      </c>
      <c r="L53" s="10">
        <v>273601.47350000002</v>
      </c>
      <c r="M53" s="10">
        <v>151876.5368</v>
      </c>
      <c r="N53" s="10">
        <v>113357.9286</v>
      </c>
      <c r="O53" s="10">
        <v>125195.6011</v>
      </c>
      <c r="P53" s="10">
        <v>139867.12289999999</v>
      </c>
      <c r="Q53" s="10">
        <v>84246.664699999994</v>
      </c>
      <c r="R53" s="10">
        <v>98009.297600000005</v>
      </c>
      <c r="S53" s="10">
        <v>50136.939299999998</v>
      </c>
      <c r="T53" s="10">
        <v>99759.586599999995</v>
      </c>
      <c r="U53" s="10">
        <v>67559.733099999998</v>
      </c>
      <c r="V53" s="10">
        <v>210332.9143</v>
      </c>
      <c r="W53" s="10">
        <v>19754.673699999999</v>
      </c>
      <c r="X53" s="10">
        <v>109913.27220000001</v>
      </c>
      <c r="Y53" s="10">
        <v>56775.047299999998</v>
      </c>
      <c r="Z53" s="10">
        <v>124369.9932</v>
      </c>
      <c r="AA53" s="10">
        <v>81902.580900000001</v>
      </c>
      <c r="AB53" s="10">
        <v>47832.3943</v>
      </c>
      <c r="AC53" s="10"/>
      <c r="AD53" s="10">
        <v>71531.763000000006</v>
      </c>
      <c r="AE53" s="10">
        <v>53967.582399999999</v>
      </c>
      <c r="AF53" s="10">
        <v>86502.380600000004</v>
      </c>
      <c r="AG53" s="10">
        <v>31719.567299999999</v>
      </c>
    </row>
    <row r="54" spans="1:33" x14ac:dyDescent="0.35">
      <c r="A54" s="8">
        <v>46110</v>
      </c>
      <c r="B54" s="9">
        <v>20403.515009999999</v>
      </c>
      <c r="C54" s="10"/>
      <c r="D54" s="10"/>
      <c r="E54" s="10"/>
      <c r="F54" s="10"/>
      <c r="G54" s="10"/>
      <c r="H54" s="10">
        <v>19597.706310000001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>
        <v>805.80870000000004</v>
      </c>
    </row>
    <row r="55" spans="1:33" x14ac:dyDescent="0.35">
      <c r="A55" s="8">
        <v>46109</v>
      </c>
      <c r="B55" s="9">
        <v>196.08860000000001</v>
      </c>
      <c r="C55" s="10">
        <v>4.9467999999999996</v>
      </c>
      <c r="D55" s="10"/>
      <c r="E55" s="10"/>
      <c r="F55" s="10"/>
      <c r="G55" s="10"/>
      <c r="H55" s="10"/>
      <c r="I55" s="10"/>
      <c r="J55" s="10"/>
      <c r="K55" s="10">
        <v>18.984000000000002</v>
      </c>
      <c r="L55" s="10">
        <v>5.2047999999999996</v>
      </c>
      <c r="M55" s="10">
        <v>3.6086999999999998</v>
      </c>
      <c r="N55" s="10">
        <v>2.7271999999999998</v>
      </c>
      <c r="O55" s="10"/>
      <c r="P55" s="10">
        <v>10.6866</v>
      </c>
      <c r="Q55" s="10">
        <v>25.709399999999999</v>
      </c>
      <c r="R55" s="10">
        <v>5.9584000000000001</v>
      </c>
      <c r="S55" s="10">
        <v>3.7759</v>
      </c>
      <c r="T55" s="10">
        <v>10.1988</v>
      </c>
      <c r="U55" s="10">
        <v>6.6612</v>
      </c>
      <c r="V55" s="10">
        <v>2.5362</v>
      </c>
      <c r="W55" s="10"/>
      <c r="X55" s="10">
        <v>10.2964</v>
      </c>
      <c r="Y55" s="10">
        <v>15.554399999999999</v>
      </c>
      <c r="Z55" s="10">
        <v>3.5813999999999999</v>
      </c>
      <c r="AA55" s="10">
        <v>10.4352</v>
      </c>
      <c r="AB55" s="10">
        <v>5.2504</v>
      </c>
      <c r="AC55" s="10"/>
      <c r="AD55" s="10">
        <v>36.3827</v>
      </c>
      <c r="AE55" s="10">
        <v>12.4871</v>
      </c>
      <c r="AF55" s="10">
        <v>1.103</v>
      </c>
      <c r="AG55" s="10"/>
    </row>
    <row r="56" spans="1:33" x14ac:dyDescent="0.35">
      <c r="A56" s="8">
        <v>46108</v>
      </c>
      <c r="B56" s="9">
        <v>12041036.77792</v>
      </c>
      <c r="C56" s="10">
        <v>8126756.1283</v>
      </c>
      <c r="D56" s="10"/>
      <c r="E56" s="10"/>
      <c r="F56" s="10"/>
      <c r="G56" s="10"/>
      <c r="H56" s="10">
        <v>180963.42232000001</v>
      </c>
      <c r="I56" s="10"/>
      <c r="J56" s="10"/>
      <c r="K56" s="10">
        <v>267486.83860000002</v>
      </c>
      <c r="L56" s="10">
        <v>307360.62699999998</v>
      </c>
      <c r="M56" s="10">
        <v>145458.95980000001</v>
      </c>
      <c r="N56" s="10">
        <v>108010.0723</v>
      </c>
      <c r="O56" s="10">
        <v>127358.9786</v>
      </c>
      <c r="P56" s="10">
        <v>141148.55480000001</v>
      </c>
      <c r="Q56" s="10">
        <v>87648.558799999999</v>
      </c>
      <c r="R56" s="10">
        <v>83219.316800000001</v>
      </c>
      <c r="S56" s="10">
        <v>51203.458100000003</v>
      </c>
      <c r="T56" s="10">
        <v>205613.81409999999</v>
      </c>
      <c r="U56" s="10">
        <v>69024.170199999993</v>
      </c>
      <c r="V56" s="10">
        <v>171657.89079999999</v>
      </c>
      <c r="W56" s="10">
        <v>1277804.8448000001</v>
      </c>
      <c r="X56" s="10">
        <v>101548.898</v>
      </c>
      <c r="Y56" s="10">
        <v>57385.282899999998</v>
      </c>
      <c r="Z56" s="10">
        <v>46047.670700000002</v>
      </c>
      <c r="AA56" s="10">
        <v>81879.031799999997</v>
      </c>
      <c r="AB56" s="10">
        <v>45824.701399999998</v>
      </c>
      <c r="AC56" s="10"/>
      <c r="AD56" s="10">
        <v>72653.240699999995</v>
      </c>
      <c r="AE56" s="10">
        <v>54805.517699999997</v>
      </c>
      <c r="AF56" s="10">
        <v>188017.97820000001</v>
      </c>
      <c r="AG56" s="10">
        <v>42158.821199999998</v>
      </c>
    </row>
    <row r="57" spans="1:33" x14ac:dyDescent="0.35">
      <c r="A57" s="8">
        <v>46107</v>
      </c>
      <c r="B57" s="9">
        <v>11244254.13768</v>
      </c>
      <c r="C57" s="10">
        <v>8147560.5455999998</v>
      </c>
      <c r="D57" s="10"/>
      <c r="E57" s="10"/>
      <c r="F57" s="10"/>
      <c r="G57" s="10"/>
      <c r="H57" s="10">
        <v>190481.29957999999</v>
      </c>
      <c r="I57" s="10"/>
      <c r="J57" s="10"/>
      <c r="K57" s="10">
        <v>262703.91560000001</v>
      </c>
      <c r="L57" s="10">
        <v>225907.23759999999</v>
      </c>
      <c r="M57" s="10">
        <v>152264.33480000001</v>
      </c>
      <c r="N57" s="10">
        <v>112213.67049999999</v>
      </c>
      <c r="O57" s="10">
        <v>131654.73370000001</v>
      </c>
      <c r="P57" s="10">
        <v>173463.2959</v>
      </c>
      <c r="Q57" s="10">
        <v>92090.055200000003</v>
      </c>
      <c r="R57" s="10">
        <v>81528.895300000004</v>
      </c>
      <c r="S57" s="10">
        <v>53378.539499999999</v>
      </c>
      <c r="T57" s="10">
        <v>68176.562099999996</v>
      </c>
      <c r="U57" s="10">
        <v>68277.258199999997</v>
      </c>
      <c r="V57" s="10">
        <v>129741.1738</v>
      </c>
      <c r="W57" s="10">
        <v>770749.03949999996</v>
      </c>
      <c r="X57" s="10">
        <v>103879.265</v>
      </c>
      <c r="Y57" s="10">
        <v>59351.9349</v>
      </c>
      <c r="Z57" s="10">
        <v>46091.648500000003</v>
      </c>
      <c r="AA57" s="10">
        <v>85542.592900000003</v>
      </c>
      <c r="AB57" s="10">
        <v>37198.554300000003</v>
      </c>
      <c r="AC57" s="10"/>
      <c r="AD57" s="10">
        <v>73241.815700000006</v>
      </c>
      <c r="AE57" s="10">
        <v>76448.957800000004</v>
      </c>
      <c r="AF57" s="10">
        <v>73307.715800000005</v>
      </c>
      <c r="AG57" s="10">
        <v>29001.0959</v>
      </c>
    </row>
    <row r="58" spans="1:33" x14ac:dyDescent="0.35">
      <c r="A58" s="8">
        <v>46106</v>
      </c>
      <c r="B58" s="9">
        <v>10798525.238150001</v>
      </c>
      <c r="C58" s="10">
        <v>8110806.6486999998</v>
      </c>
      <c r="D58" s="10"/>
      <c r="E58" s="10"/>
      <c r="F58" s="10"/>
      <c r="G58" s="10"/>
      <c r="H58" s="10">
        <v>182940.11455</v>
      </c>
      <c r="I58" s="10"/>
      <c r="J58" s="10"/>
      <c r="K58" s="10">
        <v>264260.12099999998</v>
      </c>
      <c r="L58" s="10">
        <v>232521.97089999999</v>
      </c>
      <c r="M58" s="10">
        <v>174139.88130000001</v>
      </c>
      <c r="N58" s="10">
        <v>113326.1378</v>
      </c>
      <c r="O58" s="10">
        <v>131129.51879999999</v>
      </c>
      <c r="P58" s="10">
        <v>145307.0778</v>
      </c>
      <c r="Q58" s="10">
        <v>96254.936600000001</v>
      </c>
      <c r="R58" s="10">
        <v>98471.578500000003</v>
      </c>
      <c r="S58" s="10">
        <v>54836.9954</v>
      </c>
      <c r="T58" s="10">
        <v>157681.4957</v>
      </c>
      <c r="U58" s="10">
        <v>69219.8171</v>
      </c>
      <c r="V58" s="10">
        <v>25357.6518</v>
      </c>
      <c r="W58" s="10">
        <v>400068.42709999997</v>
      </c>
      <c r="X58" s="10">
        <v>104697.70269999999</v>
      </c>
      <c r="Y58" s="10">
        <v>61348.626799999998</v>
      </c>
      <c r="Z58" s="10">
        <v>45634.923900000002</v>
      </c>
      <c r="AA58" s="10">
        <v>79752.931599999996</v>
      </c>
      <c r="AB58" s="10">
        <v>37590.043700000002</v>
      </c>
      <c r="AC58" s="10"/>
      <c r="AD58" s="10">
        <v>74621.817599999995</v>
      </c>
      <c r="AE58" s="10">
        <v>57565.248500000002</v>
      </c>
      <c r="AF58" s="10">
        <v>55769.347199999997</v>
      </c>
      <c r="AG58" s="10">
        <v>25222.223099999999</v>
      </c>
    </row>
    <row r="59" spans="1:33" x14ac:dyDescent="0.35">
      <c r="A59" s="8">
        <v>46105</v>
      </c>
      <c r="B59" s="9">
        <v>10875438.96156</v>
      </c>
      <c r="C59" s="10">
        <v>8174715.0851999996</v>
      </c>
      <c r="D59" s="10"/>
      <c r="E59" s="10"/>
      <c r="F59" s="10"/>
      <c r="G59" s="10"/>
      <c r="H59" s="10">
        <v>197610.88365999999</v>
      </c>
      <c r="I59" s="10"/>
      <c r="J59" s="10"/>
      <c r="K59" s="10">
        <v>262887.80920000002</v>
      </c>
      <c r="L59" s="10">
        <v>235584.07139999999</v>
      </c>
      <c r="M59" s="10">
        <v>152598.34589999999</v>
      </c>
      <c r="N59" s="10">
        <v>115514.0356</v>
      </c>
      <c r="O59" s="10">
        <v>131567.34150000001</v>
      </c>
      <c r="P59" s="10">
        <v>155804.99069999999</v>
      </c>
      <c r="Q59" s="10">
        <v>100981.0531</v>
      </c>
      <c r="R59" s="10">
        <v>91641.052599999995</v>
      </c>
      <c r="S59" s="10">
        <v>54093.011500000001</v>
      </c>
      <c r="T59" s="10">
        <v>178349.82759999999</v>
      </c>
      <c r="U59" s="10">
        <v>67788.637900000002</v>
      </c>
      <c r="V59" s="10">
        <v>39357.728999999999</v>
      </c>
      <c r="W59" s="10">
        <v>375001.17849999998</v>
      </c>
      <c r="X59" s="10">
        <v>105028.8496</v>
      </c>
      <c r="Y59" s="10">
        <v>62092.134700000002</v>
      </c>
      <c r="Z59" s="10">
        <v>44547.328099999999</v>
      </c>
      <c r="AA59" s="10">
        <v>79345.167199999996</v>
      </c>
      <c r="AB59" s="10">
        <v>37276.140200000002</v>
      </c>
      <c r="AC59" s="10"/>
      <c r="AD59" s="10">
        <v>74134.401500000007</v>
      </c>
      <c r="AE59" s="10">
        <v>58245.247000000003</v>
      </c>
      <c r="AF59" s="10">
        <v>11769.747499999999</v>
      </c>
      <c r="AG59" s="10">
        <v>69504.892399999997</v>
      </c>
    </row>
    <row r="60" spans="1:33" x14ac:dyDescent="0.35">
      <c r="A60" s="8">
        <v>46104</v>
      </c>
      <c r="B60" s="9">
        <v>11139208.9636</v>
      </c>
      <c r="C60" s="10">
        <v>7959156.3009000001</v>
      </c>
      <c r="D60" s="10"/>
      <c r="E60" s="10"/>
      <c r="F60" s="10"/>
      <c r="G60" s="10"/>
      <c r="H60" s="10">
        <v>381190.30729999999</v>
      </c>
      <c r="I60" s="10"/>
      <c r="J60" s="10"/>
      <c r="K60" s="10">
        <v>275862.58750000002</v>
      </c>
      <c r="L60" s="10">
        <v>231296.3891</v>
      </c>
      <c r="M60" s="10">
        <v>172335.45759999999</v>
      </c>
      <c r="N60" s="10">
        <v>116926.0316</v>
      </c>
      <c r="O60" s="10">
        <v>142555.9993</v>
      </c>
      <c r="P60" s="10">
        <v>150734.07490000001</v>
      </c>
      <c r="Q60" s="10">
        <v>102803.1725</v>
      </c>
      <c r="R60" s="10">
        <v>80934.759099999996</v>
      </c>
      <c r="S60" s="10">
        <v>107111.44319999999</v>
      </c>
      <c r="T60" s="10">
        <v>205674.7745</v>
      </c>
      <c r="U60" s="10">
        <v>67503.943799999994</v>
      </c>
      <c r="V60" s="10">
        <v>56920.433700000001</v>
      </c>
      <c r="W60" s="10">
        <v>313509.55450000003</v>
      </c>
      <c r="X60" s="10">
        <v>109632.56200000001</v>
      </c>
      <c r="Y60" s="10">
        <v>60307.772700000001</v>
      </c>
      <c r="Z60" s="10">
        <v>44047.506300000001</v>
      </c>
      <c r="AA60" s="10">
        <v>79571.287700000001</v>
      </c>
      <c r="AB60" s="10">
        <v>36950.071600000003</v>
      </c>
      <c r="AC60" s="10"/>
      <c r="AD60" s="10">
        <v>72381.299599999998</v>
      </c>
      <c r="AE60" s="10">
        <v>142762.19390000001</v>
      </c>
      <c r="AF60" s="10">
        <v>148374.9105</v>
      </c>
      <c r="AG60" s="10">
        <v>80666.129799999995</v>
      </c>
    </row>
    <row r="61" spans="1:33" x14ac:dyDescent="0.35">
      <c r="A61" s="8">
        <v>46103</v>
      </c>
      <c r="B61" s="9">
        <v>16881.851269999999</v>
      </c>
      <c r="C61" s="10"/>
      <c r="D61" s="10"/>
      <c r="E61" s="10"/>
      <c r="F61" s="10"/>
      <c r="G61" s="10"/>
      <c r="H61" s="10">
        <v>15827.464669999999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>
        <v>1054.3866</v>
      </c>
    </row>
    <row r="62" spans="1:33" x14ac:dyDescent="0.35">
      <c r="A62" s="8">
        <v>46102</v>
      </c>
      <c r="B62" s="9">
        <v>1781.2040999999999</v>
      </c>
      <c r="C62" s="10">
        <v>1555.4476999999999</v>
      </c>
      <c r="D62" s="10"/>
      <c r="E62" s="10"/>
      <c r="F62" s="10"/>
      <c r="G62" s="10"/>
      <c r="H62" s="10"/>
      <c r="I62" s="10"/>
      <c r="J62" s="10"/>
      <c r="K62" s="10">
        <v>26.132400000000001</v>
      </c>
      <c r="L62" s="10">
        <v>17.937899999999999</v>
      </c>
      <c r="M62" s="10">
        <v>7.4489999999999998</v>
      </c>
      <c r="N62" s="10">
        <v>18.1585</v>
      </c>
      <c r="O62" s="10">
        <v>17.610199999999999</v>
      </c>
      <c r="P62" s="10">
        <v>38.348999999999997</v>
      </c>
      <c r="Q62" s="10">
        <v>3.9777999999999998</v>
      </c>
      <c r="R62" s="10">
        <v>12.423999999999999</v>
      </c>
      <c r="S62" s="10">
        <v>5.4676</v>
      </c>
      <c r="T62" s="10">
        <v>7.5834000000000001</v>
      </c>
      <c r="U62" s="10">
        <v>3.4965999999999999</v>
      </c>
      <c r="V62" s="10">
        <v>1.1998</v>
      </c>
      <c r="W62" s="10">
        <v>1.7090000000000001</v>
      </c>
      <c r="X62" s="10">
        <v>5.5651999999999999</v>
      </c>
      <c r="Y62" s="10">
        <v>1.5197000000000001</v>
      </c>
      <c r="Z62" s="10">
        <v>9.1430000000000007</v>
      </c>
      <c r="AA62" s="10">
        <v>10.319100000000001</v>
      </c>
      <c r="AB62" s="10">
        <v>2.1425999999999998</v>
      </c>
      <c r="AC62" s="10"/>
      <c r="AD62" s="10">
        <v>22.071000000000002</v>
      </c>
      <c r="AE62" s="10">
        <v>12.028</v>
      </c>
      <c r="AF62" s="10">
        <v>1.4725999999999999</v>
      </c>
      <c r="AG62" s="10"/>
    </row>
    <row r="63" spans="1:33" x14ac:dyDescent="0.35">
      <c r="A63" s="8">
        <v>46101</v>
      </c>
      <c r="B63" s="9">
        <v>10456276.76107</v>
      </c>
      <c r="C63" s="10">
        <v>8048477.7829999998</v>
      </c>
      <c r="D63" s="10"/>
      <c r="E63" s="10"/>
      <c r="F63" s="10"/>
      <c r="G63" s="10"/>
      <c r="H63" s="10">
        <v>199450.88996999999</v>
      </c>
      <c r="I63" s="10"/>
      <c r="J63" s="10"/>
      <c r="K63" s="10">
        <v>279013.63380000001</v>
      </c>
      <c r="L63" s="10">
        <v>233489.73939999999</v>
      </c>
      <c r="M63" s="10">
        <v>157277.88159999999</v>
      </c>
      <c r="N63" s="10">
        <v>118738.8018</v>
      </c>
      <c r="O63" s="10">
        <v>147495.3891</v>
      </c>
      <c r="P63" s="10">
        <v>150221.48120000001</v>
      </c>
      <c r="Q63" s="10">
        <v>104007.5704</v>
      </c>
      <c r="R63" s="10">
        <v>80076.7595</v>
      </c>
      <c r="S63" s="10">
        <v>53862.842700000001</v>
      </c>
      <c r="T63" s="10">
        <v>255618.8768</v>
      </c>
      <c r="U63" s="10">
        <v>68792.1391</v>
      </c>
      <c r="V63" s="10">
        <v>27067.1512</v>
      </c>
      <c r="W63" s="10">
        <v>15287.772000000001</v>
      </c>
      <c r="X63" s="10">
        <v>108767.3196</v>
      </c>
      <c r="Y63" s="10">
        <v>59464.802300000003</v>
      </c>
      <c r="Z63" s="10">
        <v>45611.717900000003</v>
      </c>
      <c r="AA63" s="10">
        <v>80077.439499999993</v>
      </c>
      <c r="AB63" s="10">
        <v>37578.886899999998</v>
      </c>
      <c r="AC63" s="10"/>
      <c r="AD63" s="10">
        <v>73608.191900000005</v>
      </c>
      <c r="AE63" s="10">
        <v>59203.594899999996</v>
      </c>
      <c r="AF63" s="10">
        <v>11404.7767</v>
      </c>
      <c r="AG63" s="10">
        <v>41681.319799999997</v>
      </c>
    </row>
    <row r="64" spans="1:33" x14ac:dyDescent="0.35">
      <c r="A64" s="8">
        <v>46100</v>
      </c>
      <c r="B64" s="9">
        <v>10930221.67998</v>
      </c>
      <c r="C64" s="10">
        <v>8033756.9347999999</v>
      </c>
      <c r="D64" s="10"/>
      <c r="E64" s="10"/>
      <c r="F64" s="10"/>
      <c r="G64" s="10"/>
      <c r="H64" s="10">
        <v>241204.87208</v>
      </c>
      <c r="I64" s="10"/>
      <c r="J64" s="10"/>
      <c r="K64" s="10">
        <v>294890.39539999998</v>
      </c>
      <c r="L64" s="10">
        <v>237324.8878</v>
      </c>
      <c r="M64" s="10">
        <v>177769.15489999999</v>
      </c>
      <c r="N64" s="10">
        <v>119101.2715</v>
      </c>
      <c r="O64" s="10">
        <v>160915.71090000001</v>
      </c>
      <c r="P64" s="10">
        <v>151128.02900000001</v>
      </c>
      <c r="Q64" s="10">
        <v>103701.9274</v>
      </c>
      <c r="R64" s="10">
        <v>80961.959300000002</v>
      </c>
      <c r="S64" s="10">
        <v>53803.988299999997</v>
      </c>
      <c r="T64" s="10">
        <v>501548.06280000001</v>
      </c>
      <c r="U64" s="10">
        <v>79292.069499999998</v>
      </c>
      <c r="V64" s="10">
        <v>27103.145199999999</v>
      </c>
      <c r="W64" s="10">
        <v>15512.6649</v>
      </c>
      <c r="X64" s="10">
        <v>108668.74739999999</v>
      </c>
      <c r="Y64" s="10">
        <v>59218.9709</v>
      </c>
      <c r="Z64" s="10">
        <v>44495.555899999999</v>
      </c>
      <c r="AA64" s="10">
        <v>80063.941600000006</v>
      </c>
      <c r="AB64" s="10">
        <v>38361.921699999999</v>
      </c>
      <c r="AC64" s="10"/>
      <c r="AD64" s="10">
        <v>72733.121199999994</v>
      </c>
      <c r="AE64" s="10">
        <v>153089.2144</v>
      </c>
      <c r="AF64" s="10">
        <v>15377.6185</v>
      </c>
      <c r="AG64" s="10">
        <v>80197.514599999995</v>
      </c>
    </row>
    <row r="65" spans="1:33" x14ac:dyDescent="0.35">
      <c r="A65" s="8">
        <v>46099</v>
      </c>
      <c r="B65" s="9">
        <v>10618815.358200001</v>
      </c>
      <c r="C65" s="10">
        <v>8074609.0582999997</v>
      </c>
      <c r="D65" s="10"/>
      <c r="E65" s="10"/>
      <c r="F65" s="10"/>
      <c r="G65" s="10"/>
      <c r="H65" s="10">
        <v>403774.66090000002</v>
      </c>
      <c r="I65" s="10"/>
      <c r="J65" s="10"/>
      <c r="K65" s="10">
        <v>271409.57890000002</v>
      </c>
      <c r="L65" s="10">
        <v>240932.39939999999</v>
      </c>
      <c r="M65" s="10">
        <v>168495.304</v>
      </c>
      <c r="N65" s="10">
        <v>120829.35619999999</v>
      </c>
      <c r="O65" s="10">
        <v>145508.53090000001</v>
      </c>
      <c r="P65" s="10">
        <v>154038.81229999999</v>
      </c>
      <c r="Q65" s="10">
        <v>108081.47410000001</v>
      </c>
      <c r="R65" s="10">
        <v>82234.895000000004</v>
      </c>
      <c r="S65" s="10">
        <v>67948.3315</v>
      </c>
      <c r="T65" s="10">
        <v>107054.42419999999</v>
      </c>
      <c r="U65" s="10">
        <v>70624.791200000007</v>
      </c>
      <c r="V65" s="10">
        <v>44283.443299999999</v>
      </c>
      <c r="W65" s="10">
        <v>15588.2001</v>
      </c>
      <c r="X65" s="10">
        <v>110177.988</v>
      </c>
      <c r="Y65" s="10">
        <v>60567.625200000002</v>
      </c>
      <c r="Z65" s="10">
        <v>44550.226499999997</v>
      </c>
      <c r="AA65" s="10">
        <v>84252.966100000005</v>
      </c>
      <c r="AB65" s="10">
        <v>39522.946900000003</v>
      </c>
      <c r="AC65" s="10"/>
      <c r="AD65" s="10">
        <v>75981.083299999998</v>
      </c>
      <c r="AE65" s="10">
        <v>59912.039700000001</v>
      </c>
      <c r="AF65" s="10">
        <v>27604.885200000001</v>
      </c>
      <c r="AG65" s="10">
        <v>40832.337</v>
      </c>
    </row>
    <row r="66" spans="1:33" x14ac:dyDescent="0.35">
      <c r="A66" s="8">
        <v>46098</v>
      </c>
      <c r="B66" s="9">
        <v>10768085.771500001</v>
      </c>
      <c r="C66" s="10">
        <v>8090646.1697000004</v>
      </c>
      <c r="D66" s="10"/>
      <c r="E66" s="10"/>
      <c r="F66" s="10"/>
      <c r="G66" s="10"/>
      <c r="H66" s="10">
        <v>591161.14930000005</v>
      </c>
      <c r="I66" s="10"/>
      <c r="J66" s="10"/>
      <c r="K66" s="10">
        <v>273497.0796</v>
      </c>
      <c r="L66" s="10">
        <v>244168.68410000001</v>
      </c>
      <c r="M66" s="10">
        <v>157546.8198</v>
      </c>
      <c r="N66" s="10">
        <v>119610.7534</v>
      </c>
      <c r="O66" s="10">
        <v>139421.5196</v>
      </c>
      <c r="P66" s="10">
        <v>157421.60140000001</v>
      </c>
      <c r="Q66" s="10">
        <v>106822.4023</v>
      </c>
      <c r="R66" s="10">
        <v>84140.357199999999</v>
      </c>
      <c r="S66" s="10">
        <v>58190.960899999998</v>
      </c>
      <c r="T66" s="10">
        <v>101765.2932</v>
      </c>
      <c r="U66" s="10">
        <v>71005.768299999996</v>
      </c>
      <c r="V66" s="10">
        <v>50511.688199999997</v>
      </c>
      <c r="W66" s="10">
        <v>15686.435100000001</v>
      </c>
      <c r="X66" s="10">
        <v>110754.9074</v>
      </c>
      <c r="Y66" s="10">
        <v>59608.170700000002</v>
      </c>
      <c r="Z66" s="10">
        <v>44742.800199999998</v>
      </c>
      <c r="AA66" s="10">
        <v>85798.1155</v>
      </c>
      <c r="AB66" s="10">
        <v>39201.057699999998</v>
      </c>
      <c r="AC66" s="10"/>
      <c r="AD66" s="10">
        <v>73940.263099999996</v>
      </c>
      <c r="AE66" s="10">
        <v>60349.140899999999</v>
      </c>
      <c r="AF66" s="10">
        <v>13383.8971</v>
      </c>
      <c r="AG66" s="10">
        <v>18710.736799999999</v>
      </c>
    </row>
    <row r="67" spans="1:33" x14ac:dyDescent="0.35">
      <c r="A67" s="8">
        <v>46097</v>
      </c>
      <c r="B67" s="9">
        <v>11206907.430369999</v>
      </c>
      <c r="C67" s="10">
        <v>8084310.6073000003</v>
      </c>
      <c r="D67" s="10"/>
      <c r="E67" s="10"/>
      <c r="F67" s="10"/>
      <c r="G67" s="10"/>
      <c r="H67" s="10">
        <v>633038.66407000006</v>
      </c>
      <c r="I67" s="10"/>
      <c r="J67" s="10"/>
      <c r="K67" s="10">
        <v>270346.30129999999</v>
      </c>
      <c r="L67" s="10">
        <v>245643.8873</v>
      </c>
      <c r="M67" s="10">
        <v>154876.3676</v>
      </c>
      <c r="N67" s="10">
        <v>146444.45569999999</v>
      </c>
      <c r="O67" s="10">
        <v>137922.421</v>
      </c>
      <c r="P67" s="10">
        <v>162042.7917</v>
      </c>
      <c r="Q67" s="10">
        <v>104261.6493</v>
      </c>
      <c r="R67" s="10">
        <v>84234.429300000003</v>
      </c>
      <c r="S67" s="10">
        <v>56547.398300000001</v>
      </c>
      <c r="T67" s="10">
        <v>236892.27710000001</v>
      </c>
      <c r="U67" s="10">
        <v>71285.956999999995</v>
      </c>
      <c r="V67" s="10">
        <v>174009.0355</v>
      </c>
      <c r="W67" s="10">
        <v>41847.147900000004</v>
      </c>
      <c r="X67" s="10">
        <v>109223.8688</v>
      </c>
      <c r="Y67" s="10">
        <v>59431.842900000003</v>
      </c>
      <c r="Z67" s="10">
        <v>71839.652600000001</v>
      </c>
      <c r="AA67" s="10">
        <v>89759.296000000002</v>
      </c>
      <c r="AB67" s="10">
        <v>43553.510199999997</v>
      </c>
      <c r="AC67" s="10"/>
      <c r="AD67" s="10">
        <v>73585.895799999998</v>
      </c>
      <c r="AE67" s="10">
        <v>67091.477499999994</v>
      </c>
      <c r="AF67" s="10">
        <v>37603.587599999999</v>
      </c>
      <c r="AG67" s="10">
        <v>51114.908600000002</v>
      </c>
    </row>
    <row r="68" spans="1:33" x14ac:dyDescent="0.35">
      <c r="A68" s="8">
        <v>46096</v>
      </c>
      <c r="B68" s="9">
        <v>30415.383870000001</v>
      </c>
      <c r="C68" s="10"/>
      <c r="D68" s="10"/>
      <c r="E68" s="10"/>
      <c r="F68" s="10"/>
      <c r="G68" s="10"/>
      <c r="H68" s="10">
        <v>29852.26857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>
        <v>563.11530000000005</v>
      </c>
    </row>
    <row r="69" spans="1:33" x14ac:dyDescent="0.35">
      <c r="A69" s="8">
        <v>46095</v>
      </c>
      <c r="B69" s="9">
        <v>1197.22</v>
      </c>
      <c r="C69" s="10">
        <v>976.48339999999996</v>
      </c>
      <c r="D69" s="10"/>
      <c r="E69" s="10"/>
      <c r="F69" s="10"/>
      <c r="G69" s="10"/>
      <c r="H69" s="10"/>
      <c r="I69" s="10"/>
      <c r="J69" s="10"/>
      <c r="K69" s="10">
        <v>26.509799999999998</v>
      </c>
      <c r="L69" s="10">
        <v>42.768099999999997</v>
      </c>
      <c r="M69" s="10">
        <v>11.694800000000001</v>
      </c>
      <c r="N69" s="10">
        <v>18.102</v>
      </c>
      <c r="O69" s="10">
        <v>5.9363999999999999</v>
      </c>
      <c r="P69" s="10">
        <v>19.7563</v>
      </c>
      <c r="Q69" s="10">
        <v>25.275400000000001</v>
      </c>
      <c r="R69" s="10">
        <v>16.584800000000001</v>
      </c>
      <c r="S69" s="10">
        <v>6.9212999999999996</v>
      </c>
      <c r="T69" s="10">
        <v>4.6055999999999999</v>
      </c>
      <c r="U69" s="10">
        <v>7.2065999999999999</v>
      </c>
      <c r="V69" s="10">
        <v>1.1785000000000001</v>
      </c>
      <c r="W69" s="10">
        <v>0.6986</v>
      </c>
      <c r="X69" s="10">
        <v>8.4519000000000002</v>
      </c>
      <c r="Y69" s="10">
        <v>9.0564</v>
      </c>
      <c r="Z69" s="10">
        <v>2.3136000000000001</v>
      </c>
      <c r="AA69" s="10">
        <v>4.4054000000000002</v>
      </c>
      <c r="AB69" s="10">
        <v>0.73070000000000002</v>
      </c>
      <c r="AC69" s="10"/>
      <c r="AD69" s="10"/>
      <c r="AE69" s="10">
        <v>7.7144000000000004</v>
      </c>
      <c r="AF69" s="10">
        <v>0.82599999999999996</v>
      </c>
      <c r="AG6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70"/>
  <sheetViews>
    <sheetView zoomScaleNormal="100" workbookViewId="0">
      <pane xSplit="1" ySplit="1" topLeftCell="AM2" activePane="bottomRight" state="frozen"/>
      <selection pane="topRight" activeCell="B1" sqref="B1"/>
      <selection pane="bottomLeft" activeCell="A2" sqref="A2"/>
      <selection pane="bottomRight" activeCell="Y1" activeCellId="5" sqref="A1:A1048576 C1:E1048576 O1:O1048576 R1:R1048576 V1:V1048576 Y1:Y1048576"/>
    </sheetView>
  </sheetViews>
  <sheetFormatPr defaultColWidth="8.6328125" defaultRowHeight="14.5" x14ac:dyDescent="0.35"/>
  <cols>
    <col min="1" max="1" width="12" customWidth="1"/>
    <col min="2" max="2" width="18" customWidth="1"/>
    <col min="3" max="42" width="14" customWidth="1"/>
  </cols>
  <sheetData>
    <row r="1" spans="1:42" x14ac:dyDescent="0.35">
      <c r="A1" s="1" t="s">
        <v>0</v>
      </c>
      <c r="C1" s="2" t="s">
        <v>1</v>
      </c>
      <c r="D1" s="2" t="s">
        <v>1</v>
      </c>
      <c r="E1" s="2" t="s">
        <v>1</v>
      </c>
      <c r="F1" s="3" t="s">
        <v>2</v>
      </c>
      <c r="G1" s="3" t="s">
        <v>2</v>
      </c>
      <c r="H1" s="4" t="s">
        <v>3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2" t="s">
        <v>1</v>
      </c>
      <c r="P1" s="3" t="s">
        <v>2</v>
      </c>
      <c r="Q1" s="3" t="s">
        <v>2</v>
      </c>
      <c r="R1" s="2" t="s">
        <v>1</v>
      </c>
      <c r="S1" s="3" t="s">
        <v>2</v>
      </c>
      <c r="T1" s="3" t="s">
        <v>2</v>
      </c>
      <c r="U1" s="4" t="s">
        <v>3</v>
      </c>
      <c r="V1" s="2" t="s">
        <v>1</v>
      </c>
      <c r="W1" s="5" t="s">
        <v>4</v>
      </c>
      <c r="X1" s="3" t="s">
        <v>2</v>
      </c>
      <c r="Y1" s="2" t="s">
        <v>1</v>
      </c>
      <c r="Z1" s="4" t="s">
        <v>3</v>
      </c>
      <c r="AA1" s="3" t="s">
        <v>2</v>
      </c>
      <c r="AB1" s="3" t="s">
        <v>2</v>
      </c>
      <c r="AC1" s="4" t="s">
        <v>3</v>
      </c>
      <c r="AD1" s="5" t="s">
        <v>4</v>
      </c>
      <c r="AE1" s="3" t="s">
        <v>2</v>
      </c>
      <c r="AF1" s="3" t="s">
        <v>2</v>
      </c>
      <c r="AG1" s="3" t="s">
        <v>2</v>
      </c>
      <c r="AH1" s="3" t="s">
        <v>2</v>
      </c>
      <c r="AI1" s="4" t="s">
        <v>3</v>
      </c>
      <c r="AJ1" s="3" t="s">
        <v>2</v>
      </c>
      <c r="AK1" s="3" t="s">
        <v>2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</row>
    <row r="2" spans="1:42" x14ac:dyDescent="0.3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26</v>
      </c>
      <c r="G2" s="7" t="s">
        <v>16</v>
      </c>
      <c r="H2" s="7" t="s">
        <v>28</v>
      </c>
      <c r="I2" s="7" t="s">
        <v>12</v>
      </c>
      <c r="J2" s="7" t="s">
        <v>31</v>
      </c>
      <c r="K2" s="7" t="s">
        <v>13</v>
      </c>
      <c r="L2" s="7" t="s">
        <v>23</v>
      </c>
      <c r="M2" s="7" t="s">
        <v>18</v>
      </c>
      <c r="N2" s="7" t="s">
        <v>14</v>
      </c>
      <c r="O2" s="7" t="s">
        <v>24</v>
      </c>
      <c r="P2" s="7" t="s">
        <v>32</v>
      </c>
      <c r="Q2" s="7" t="s">
        <v>15</v>
      </c>
      <c r="R2" s="7" t="s">
        <v>22</v>
      </c>
      <c r="S2" s="7" t="s">
        <v>17</v>
      </c>
      <c r="T2" s="7" t="s">
        <v>21</v>
      </c>
      <c r="U2" s="7" t="s">
        <v>20</v>
      </c>
      <c r="V2" s="7" t="s">
        <v>33</v>
      </c>
      <c r="W2" s="7" t="s">
        <v>35</v>
      </c>
      <c r="X2" s="7" t="s">
        <v>27</v>
      </c>
      <c r="Y2" s="7" t="s">
        <v>36</v>
      </c>
      <c r="Z2" s="7" t="s">
        <v>34</v>
      </c>
      <c r="AA2" s="7" t="s">
        <v>207</v>
      </c>
      <c r="AB2" s="7" t="s">
        <v>120</v>
      </c>
      <c r="AC2" s="7" t="s">
        <v>30</v>
      </c>
      <c r="AD2" s="7" t="s">
        <v>147</v>
      </c>
      <c r="AE2" s="7" t="s">
        <v>118</v>
      </c>
      <c r="AF2" s="7" t="s">
        <v>208</v>
      </c>
      <c r="AG2" s="7" t="s">
        <v>41</v>
      </c>
      <c r="AH2" s="7" t="s">
        <v>37</v>
      </c>
      <c r="AI2" s="7" t="s">
        <v>46</v>
      </c>
      <c r="AJ2" s="7" t="s">
        <v>29</v>
      </c>
      <c r="AK2" s="7" t="s">
        <v>209</v>
      </c>
      <c r="AL2" s="7" t="s">
        <v>210</v>
      </c>
      <c r="AM2" s="7" t="s">
        <v>19</v>
      </c>
      <c r="AN2" s="7" t="s">
        <v>48</v>
      </c>
      <c r="AO2" s="7" t="s">
        <v>54</v>
      </c>
      <c r="AP2" s="7" t="s">
        <v>25</v>
      </c>
    </row>
    <row r="3" spans="1:42" x14ac:dyDescent="0.35">
      <c r="A3" s="8">
        <v>46162</v>
      </c>
      <c r="B3" s="9">
        <v>32587403.41542</v>
      </c>
      <c r="C3" s="10">
        <v>7103890.5731499996</v>
      </c>
      <c r="D3" s="10">
        <v>12975040.17296</v>
      </c>
      <c r="E3" s="10">
        <v>9286219.9321100004</v>
      </c>
      <c r="F3" s="10">
        <v>38379.622900000002</v>
      </c>
      <c r="G3" s="10">
        <v>308833.08760000003</v>
      </c>
      <c r="H3" s="10"/>
      <c r="I3" s="10">
        <v>409112.88520000002</v>
      </c>
      <c r="J3" s="10">
        <v>13561.259400000001</v>
      </c>
      <c r="K3" s="10">
        <v>73944.948199999999</v>
      </c>
      <c r="L3" s="10">
        <v>1309.4341999999999</v>
      </c>
      <c r="M3" s="10">
        <v>107549.1342</v>
      </c>
      <c r="N3" s="10">
        <v>887500.61049999995</v>
      </c>
      <c r="O3" s="10">
        <v>17457.999039999999</v>
      </c>
      <c r="P3" s="10">
        <v>3439.4661000000001</v>
      </c>
      <c r="Q3" s="10">
        <v>395869.6715</v>
      </c>
      <c r="R3" s="10">
        <v>195985.52600000001</v>
      </c>
      <c r="S3" s="10">
        <v>28077.168399999999</v>
      </c>
      <c r="T3" s="10">
        <v>1891.0693000000001</v>
      </c>
      <c r="U3" s="10"/>
      <c r="V3" s="10">
        <v>11861.944799999999</v>
      </c>
      <c r="W3" s="10">
        <v>451280.7157</v>
      </c>
      <c r="X3" s="10">
        <v>67649.980899999995</v>
      </c>
      <c r="Y3" s="10">
        <v>1490.2310500000001</v>
      </c>
      <c r="Z3" s="10"/>
      <c r="AA3" s="10">
        <v>23600.069309999999</v>
      </c>
      <c r="AB3" s="10">
        <v>7939.0240000000003</v>
      </c>
      <c r="AC3" s="10">
        <v>26285.966499999999</v>
      </c>
      <c r="AD3" s="10">
        <v>17522.349300000002</v>
      </c>
      <c r="AE3" s="10">
        <v>71484.172699999996</v>
      </c>
      <c r="AF3" s="10">
        <v>4446.9682000000003</v>
      </c>
      <c r="AG3" s="10">
        <v>1160.2056</v>
      </c>
      <c r="AH3" s="10">
        <v>5964.4331000000002</v>
      </c>
      <c r="AI3" s="10"/>
      <c r="AJ3" s="10">
        <v>41503.562400000003</v>
      </c>
      <c r="AK3" s="10">
        <v>923.96270000000004</v>
      </c>
      <c r="AL3" s="10">
        <v>212.96799999999999</v>
      </c>
      <c r="AM3" s="10">
        <v>4879.8527999999997</v>
      </c>
      <c r="AN3" s="10">
        <v>598.43140000000005</v>
      </c>
      <c r="AO3" s="10">
        <v>492.43770000000001</v>
      </c>
      <c r="AP3" s="10">
        <v>43.578499999999998</v>
      </c>
    </row>
    <row r="4" spans="1:42" x14ac:dyDescent="0.35">
      <c r="A4" s="8">
        <v>46161</v>
      </c>
      <c r="B4" s="9">
        <v>29898848.92478</v>
      </c>
      <c r="C4" s="10">
        <v>8572685.1738399994</v>
      </c>
      <c r="D4" s="10">
        <v>8204645.3938999996</v>
      </c>
      <c r="E4" s="10">
        <v>3037113.2457499998</v>
      </c>
      <c r="F4" s="10">
        <v>42116.504399999998</v>
      </c>
      <c r="G4" s="10">
        <v>90264.367400000003</v>
      </c>
      <c r="H4" s="10"/>
      <c r="I4" s="10">
        <v>2229243.6310000001</v>
      </c>
      <c r="J4" s="10">
        <v>60859.448600000003</v>
      </c>
      <c r="K4" s="10">
        <v>238862.90839999999</v>
      </c>
      <c r="L4" s="10">
        <v>20316.6607</v>
      </c>
      <c r="M4" s="10">
        <v>926913.19530000002</v>
      </c>
      <c r="N4" s="10">
        <v>1828625.7579000001</v>
      </c>
      <c r="O4" s="10">
        <v>16319.992340000001</v>
      </c>
      <c r="P4" s="10">
        <v>93497.995500000005</v>
      </c>
      <c r="Q4" s="10">
        <v>2941902.4840000002</v>
      </c>
      <c r="R4" s="10">
        <v>69801.072899999999</v>
      </c>
      <c r="S4" s="10">
        <v>68561.428100000005</v>
      </c>
      <c r="T4" s="10">
        <v>24813.400699999998</v>
      </c>
      <c r="U4" s="10"/>
      <c r="V4" s="10">
        <v>6422.5409</v>
      </c>
      <c r="W4" s="10">
        <v>1145628.9972999999</v>
      </c>
      <c r="X4" s="10">
        <v>33932.142699999997</v>
      </c>
      <c r="Y4" s="10">
        <v>4136.0683600000002</v>
      </c>
      <c r="Z4" s="10"/>
      <c r="AA4" s="10">
        <v>18628.405490000001</v>
      </c>
      <c r="AB4" s="10">
        <v>408.34699999999998</v>
      </c>
      <c r="AC4" s="10">
        <v>156741.38579999999</v>
      </c>
      <c r="AD4" s="10">
        <v>3986.1891999999998</v>
      </c>
      <c r="AE4" s="10">
        <v>53201.1774</v>
      </c>
      <c r="AF4" s="10">
        <v>1234.489</v>
      </c>
      <c r="AG4" s="10">
        <v>2944.3458999999998</v>
      </c>
      <c r="AH4" s="10">
        <v>4459.2820000000002</v>
      </c>
      <c r="AI4" s="10"/>
      <c r="AJ4" s="10"/>
      <c r="AK4" s="10">
        <v>146.56</v>
      </c>
      <c r="AL4" s="10">
        <v>436.33300000000003</v>
      </c>
      <c r="AM4" s="10"/>
      <c r="AN4" s="10"/>
      <c r="AO4" s="10"/>
      <c r="AP4" s="10"/>
    </row>
    <row r="5" spans="1:42" x14ac:dyDescent="0.35">
      <c r="A5" s="8">
        <v>46160</v>
      </c>
      <c r="B5" s="9">
        <v>39667252.05686</v>
      </c>
      <c r="C5" s="10">
        <v>7591778.9729500003</v>
      </c>
      <c r="D5" s="10">
        <v>10786310.805609999</v>
      </c>
      <c r="E5" s="10">
        <v>14279362.66004</v>
      </c>
      <c r="F5" s="10">
        <v>111091.0077</v>
      </c>
      <c r="G5" s="10">
        <v>479020.14740000002</v>
      </c>
      <c r="H5" s="10"/>
      <c r="I5" s="10">
        <v>2050168.7387000001</v>
      </c>
      <c r="J5" s="10">
        <v>41542.462399999997</v>
      </c>
      <c r="K5" s="10">
        <v>280723.3051</v>
      </c>
      <c r="L5" s="10">
        <v>84850.378899999996</v>
      </c>
      <c r="M5" s="10">
        <v>795054.23899999994</v>
      </c>
      <c r="N5" s="10">
        <v>1367960.2165000001</v>
      </c>
      <c r="O5" s="10">
        <v>38225.818859999999</v>
      </c>
      <c r="P5" s="10">
        <v>65629.680200000003</v>
      </c>
      <c r="Q5" s="10">
        <v>801461.04169999994</v>
      </c>
      <c r="R5" s="10">
        <v>72599.531199999998</v>
      </c>
      <c r="S5" s="10">
        <v>388153.16409999999</v>
      </c>
      <c r="T5" s="10">
        <v>58893.308700000001</v>
      </c>
      <c r="U5" s="10"/>
      <c r="V5" s="10">
        <v>10378.3943</v>
      </c>
      <c r="W5" s="10">
        <v>131111.40239999999</v>
      </c>
      <c r="X5" s="10">
        <v>50666.4643</v>
      </c>
      <c r="Y5" s="10">
        <v>3071.8820099999998</v>
      </c>
      <c r="Z5" s="10"/>
      <c r="AA5" s="10">
        <v>100183.20779</v>
      </c>
      <c r="AB5" s="10">
        <v>1419.539</v>
      </c>
      <c r="AC5" s="10">
        <v>35899.234600000003</v>
      </c>
      <c r="AD5" s="10">
        <v>16750.144799999998</v>
      </c>
      <c r="AE5" s="10">
        <v>7358.3158999999996</v>
      </c>
      <c r="AF5" s="10"/>
      <c r="AG5" s="10">
        <v>8479.4647000000004</v>
      </c>
      <c r="AH5" s="10">
        <v>8766.5679999999993</v>
      </c>
      <c r="AI5" s="10"/>
      <c r="AJ5" s="10"/>
      <c r="AK5" s="10">
        <v>37.81</v>
      </c>
      <c r="AL5" s="10">
        <v>304.14999999999998</v>
      </c>
      <c r="AM5" s="10"/>
      <c r="AN5" s="10"/>
      <c r="AO5" s="10"/>
      <c r="AP5" s="10"/>
    </row>
    <row r="6" spans="1:42" x14ac:dyDescent="0.35">
      <c r="A6" s="8">
        <v>46159</v>
      </c>
      <c r="B6" s="9">
        <v>5799474.2528900001</v>
      </c>
      <c r="C6" s="10">
        <v>1745326.0532800001</v>
      </c>
      <c r="D6" s="10">
        <v>2372071.0746800001</v>
      </c>
      <c r="E6" s="10">
        <v>1134372.48694</v>
      </c>
      <c r="F6" s="10">
        <v>17776.647300000001</v>
      </c>
      <c r="G6" s="10">
        <v>65066.051500000001</v>
      </c>
      <c r="H6" s="10"/>
      <c r="I6" s="10">
        <v>18228.313600000001</v>
      </c>
      <c r="J6" s="10">
        <v>94390.358099999998</v>
      </c>
      <c r="K6" s="10">
        <v>19268.4876</v>
      </c>
      <c r="L6" s="10">
        <v>5948.9494999999997</v>
      </c>
      <c r="M6" s="10">
        <v>6377.6513999999997</v>
      </c>
      <c r="N6" s="10">
        <v>14826.3313</v>
      </c>
      <c r="O6" s="10">
        <v>4515.9644500000004</v>
      </c>
      <c r="P6" s="10"/>
      <c r="Q6" s="10">
        <v>8147.4165999999996</v>
      </c>
      <c r="R6" s="10">
        <v>18565.893700000001</v>
      </c>
      <c r="S6" s="10">
        <v>13349.605600000001</v>
      </c>
      <c r="T6" s="10">
        <v>148.7226</v>
      </c>
      <c r="U6" s="10"/>
      <c r="V6" s="10">
        <v>5043.1746999999996</v>
      </c>
      <c r="W6" s="10">
        <v>218811.6538</v>
      </c>
      <c r="X6" s="10">
        <v>12159.2017</v>
      </c>
      <c r="Y6" s="10">
        <v>222.30936</v>
      </c>
      <c r="Z6" s="10"/>
      <c r="AA6" s="10">
        <v>15680.45938</v>
      </c>
      <c r="AB6" s="10">
        <v>332.23200000000003</v>
      </c>
      <c r="AC6" s="10">
        <v>638.8673</v>
      </c>
      <c r="AD6" s="10">
        <v>198.8767</v>
      </c>
      <c r="AE6" s="10">
        <v>4655.3535000000002</v>
      </c>
      <c r="AF6" s="10">
        <v>116.214</v>
      </c>
      <c r="AG6" s="10">
        <v>3135.2658000000001</v>
      </c>
      <c r="AH6" s="10">
        <v>100.6365</v>
      </c>
      <c r="AI6" s="10"/>
      <c r="AJ6" s="10"/>
      <c r="AK6" s="10"/>
      <c r="AL6" s="10"/>
      <c r="AM6" s="10"/>
      <c r="AN6" s="10"/>
      <c r="AO6" s="10"/>
      <c r="AP6" s="10"/>
    </row>
    <row r="7" spans="1:42" x14ac:dyDescent="0.35">
      <c r="A7" s="8">
        <v>46158</v>
      </c>
      <c r="B7" s="9">
        <v>3505439.9878600002</v>
      </c>
      <c r="C7" s="10">
        <v>1709556.4439300001</v>
      </c>
      <c r="D7" s="10">
        <v>738661.64292000001</v>
      </c>
      <c r="E7" s="10">
        <v>546721.27878000005</v>
      </c>
      <c r="F7" s="10">
        <v>10747.678400000001</v>
      </c>
      <c r="G7" s="10">
        <v>63438.9853</v>
      </c>
      <c r="H7" s="10"/>
      <c r="I7" s="10">
        <v>20143.0488</v>
      </c>
      <c r="J7" s="10">
        <v>7892.9647000000004</v>
      </c>
      <c r="K7" s="10">
        <v>21611.315399999999</v>
      </c>
      <c r="L7" s="10">
        <v>14725.586300000001</v>
      </c>
      <c r="M7" s="10">
        <v>2618.6806000000001</v>
      </c>
      <c r="N7" s="10">
        <v>11619.4148</v>
      </c>
      <c r="O7" s="10">
        <v>267.40947</v>
      </c>
      <c r="P7" s="10">
        <v>1347.15</v>
      </c>
      <c r="Q7" s="10">
        <v>22096.572100000001</v>
      </c>
      <c r="R7" s="10">
        <v>16283.228300000001</v>
      </c>
      <c r="S7" s="10">
        <v>18679.304</v>
      </c>
      <c r="T7" s="10">
        <v>776.49839999999995</v>
      </c>
      <c r="U7" s="10"/>
      <c r="V7" s="10">
        <v>3463.7422000000001</v>
      </c>
      <c r="W7" s="10">
        <v>140455.64249999999</v>
      </c>
      <c r="X7" s="10">
        <v>11313.669900000001</v>
      </c>
      <c r="Y7" s="10">
        <v>599.96712000000002</v>
      </c>
      <c r="Z7" s="10"/>
      <c r="AA7" s="10">
        <v>122659.26944</v>
      </c>
      <c r="AB7" s="10">
        <v>4038.5970000000002</v>
      </c>
      <c r="AC7" s="10">
        <v>200.75649999999999</v>
      </c>
      <c r="AD7" s="10">
        <v>2269.5115999999998</v>
      </c>
      <c r="AE7" s="10">
        <v>662.61959999999999</v>
      </c>
      <c r="AF7" s="10">
        <v>6.0488</v>
      </c>
      <c r="AG7" s="10">
        <v>3012.5925000000002</v>
      </c>
      <c r="AH7" s="10">
        <v>9235.3032000000003</v>
      </c>
      <c r="AI7" s="10"/>
      <c r="AJ7" s="10"/>
      <c r="AK7" s="10">
        <v>113.8473</v>
      </c>
      <c r="AL7" s="10">
        <v>221.21799999999999</v>
      </c>
      <c r="AM7" s="10"/>
      <c r="AN7" s="10"/>
      <c r="AO7" s="10"/>
      <c r="AP7" s="10"/>
    </row>
    <row r="8" spans="1:42" x14ac:dyDescent="0.35">
      <c r="A8" s="8">
        <v>46157</v>
      </c>
      <c r="B8" s="9">
        <v>29653676.79171</v>
      </c>
      <c r="C8" s="10">
        <v>8787482.0480400007</v>
      </c>
      <c r="D8" s="10">
        <v>14313285.158360001</v>
      </c>
      <c r="E8" s="10">
        <v>3129801.8833599999</v>
      </c>
      <c r="F8" s="10">
        <v>7066.8720999999996</v>
      </c>
      <c r="G8" s="10">
        <v>384126.95409999997</v>
      </c>
      <c r="H8" s="10"/>
      <c r="I8" s="10">
        <v>899772.5466</v>
      </c>
      <c r="J8" s="10">
        <v>64921.879800000002</v>
      </c>
      <c r="K8" s="10">
        <v>178584.72159999999</v>
      </c>
      <c r="L8" s="10">
        <v>101105.84669999999</v>
      </c>
      <c r="M8" s="10">
        <v>210106.99840000001</v>
      </c>
      <c r="N8" s="10">
        <v>694395.23080000002</v>
      </c>
      <c r="O8" s="10">
        <v>29831.650369999999</v>
      </c>
      <c r="P8" s="10">
        <v>62754.667300000001</v>
      </c>
      <c r="Q8" s="10">
        <v>171827.88519999999</v>
      </c>
      <c r="R8" s="10">
        <v>97671.393200000006</v>
      </c>
      <c r="S8" s="10">
        <v>74185.891499999998</v>
      </c>
      <c r="T8" s="10">
        <v>28216.902699999999</v>
      </c>
      <c r="U8" s="10"/>
      <c r="V8" s="10">
        <v>11710.063399999999</v>
      </c>
      <c r="W8" s="10">
        <v>217945.92550000001</v>
      </c>
      <c r="X8" s="10">
        <v>24364.716700000001</v>
      </c>
      <c r="Y8" s="10">
        <v>7150.6556899999996</v>
      </c>
      <c r="Z8" s="10"/>
      <c r="AA8" s="10">
        <v>3461.5358900000001</v>
      </c>
      <c r="AB8" s="10">
        <v>72859.92</v>
      </c>
      <c r="AC8" s="10">
        <v>15778.998299999999</v>
      </c>
      <c r="AD8" s="10">
        <v>8341.2643000000007</v>
      </c>
      <c r="AE8" s="10">
        <v>11259.0429</v>
      </c>
      <c r="AF8" s="10">
        <v>346.935</v>
      </c>
      <c r="AG8" s="10">
        <v>18310.359100000001</v>
      </c>
      <c r="AH8" s="10">
        <v>23559.026399999999</v>
      </c>
      <c r="AI8" s="10"/>
      <c r="AJ8" s="10"/>
      <c r="AK8" s="10">
        <v>3341.3514</v>
      </c>
      <c r="AL8" s="10">
        <v>108.467</v>
      </c>
      <c r="AM8" s="10"/>
      <c r="AN8" s="10"/>
      <c r="AO8" s="10"/>
      <c r="AP8" s="10"/>
    </row>
    <row r="9" spans="1:42" x14ac:dyDescent="0.35">
      <c r="A9" s="8">
        <v>46156</v>
      </c>
      <c r="B9" s="9">
        <v>20780401.37982</v>
      </c>
      <c r="C9" s="10">
        <v>4511027.3376900004</v>
      </c>
      <c r="D9" s="10">
        <v>8473810.0816799998</v>
      </c>
      <c r="E9" s="10">
        <v>2890426.8369</v>
      </c>
      <c r="F9" s="10">
        <v>17617.9853</v>
      </c>
      <c r="G9" s="10">
        <v>498709.08199999999</v>
      </c>
      <c r="H9" s="10"/>
      <c r="I9" s="10">
        <v>2046146.0390999999</v>
      </c>
      <c r="J9" s="10">
        <v>56559.185599999997</v>
      </c>
      <c r="K9" s="10">
        <v>83939.5628</v>
      </c>
      <c r="L9" s="10">
        <v>62951.629800000002</v>
      </c>
      <c r="M9" s="10">
        <v>202120.18960000001</v>
      </c>
      <c r="N9" s="10">
        <v>1267835.0434000001</v>
      </c>
      <c r="O9" s="10">
        <v>12903.7325</v>
      </c>
      <c r="P9" s="10">
        <v>32681.1109</v>
      </c>
      <c r="Q9" s="10">
        <v>108890.4993</v>
      </c>
      <c r="R9" s="10">
        <v>152011.05480000001</v>
      </c>
      <c r="S9" s="10">
        <v>42184.831299999998</v>
      </c>
      <c r="T9" s="10">
        <v>5323.7307000000001</v>
      </c>
      <c r="U9" s="10"/>
      <c r="V9" s="10">
        <v>4870.6048000000001</v>
      </c>
      <c r="W9" s="10">
        <v>85304.656700000007</v>
      </c>
      <c r="X9" s="10">
        <v>24731.282899999998</v>
      </c>
      <c r="Y9" s="10">
        <v>3403.35581</v>
      </c>
      <c r="Z9" s="10"/>
      <c r="AA9" s="10">
        <v>9363.1207400000003</v>
      </c>
      <c r="AB9" s="10">
        <v>31750.323</v>
      </c>
      <c r="AC9" s="10">
        <v>17340.557400000002</v>
      </c>
      <c r="AD9" s="10">
        <v>42097.053099999997</v>
      </c>
      <c r="AE9" s="10">
        <v>18557.675899999998</v>
      </c>
      <c r="AF9" s="10">
        <v>1288.0232000000001</v>
      </c>
      <c r="AG9" s="10">
        <v>38926.423799999997</v>
      </c>
      <c r="AH9" s="10">
        <v>32991.161099999998</v>
      </c>
      <c r="AI9" s="10"/>
      <c r="AJ9" s="10"/>
      <c r="AK9" s="10">
        <v>1319.0060000000001</v>
      </c>
      <c r="AL9" s="10">
        <v>3320.2020000000002</v>
      </c>
      <c r="AM9" s="10"/>
      <c r="AN9" s="10"/>
      <c r="AO9" s="10"/>
      <c r="AP9" s="10"/>
    </row>
    <row r="10" spans="1:42" x14ac:dyDescent="0.35">
      <c r="A10" s="8">
        <v>46155</v>
      </c>
      <c r="B10" s="9">
        <v>22999294.188069999</v>
      </c>
      <c r="C10" s="10">
        <v>4038841.96061</v>
      </c>
      <c r="D10" s="10">
        <v>5590199.5318099996</v>
      </c>
      <c r="E10" s="10">
        <v>7788504.8503400004</v>
      </c>
      <c r="F10" s="10">
        <v>57263.548300000002</v>
      </c>
      <c r="G10" s="10">
        <v>389984.35859999998</v>
      </c>
      <c r="H10" s="10"/>
      <c r="I10" s="10">
        <v>1726191.3843</v>
      </c>
      <c r="J10" s="10">
        <v>27316.8194</v>
      </c>
      <c r="K10" s="10">
        <v>134451.0883</v>
      </c>
      <c r="L10" s="10">
        <v>58408.6466</v>
      </c>
      <c r="M10" s="10">
        <v>303357.39679999999</v>
      </c>
      <c r="N10" s="10">
        <v>2115167.986</v>
      </c>
      <c r="O10" s="10">
        <v>12466.238729999999</v>
      </c>
      <c r="P10" s="10">
        <v>34520.000099999997</v>
      </c>
      <c r="Q10" s="10">
        <v>100904.89109999999</v>
      </c>
      <c r="R10" s="10">
        <v>125207.34138</v>
      </c>
      <c r="S10" s="10">
        <v>91579.231</v>
      </c>
      <c r="T10" s="10">
        <v>25003.2497</v>
      </c>
      <c r="U10" s="10"/>
      <c r="V10" s="10">
        <v>15738.675499999999</v>
      </c>
      <c r="W10" s="10"/>
      <c r="X10" s="10">
        <v>57158.732199999999</v>
      </c>
      <c r="Y10" s="10">
        <v>7546.30728</v>
      </c>
      <c r="Z10" s="10"/>
      <c r="AA10" s="10">
        <v>23567.719219999999</v>
      </c>
      <c r="AB10" s="10">
        <v>33262.021999999997</v>
      </c>
      <c r="AC10" s="10">
        <v>78270.389599999995</v>
      </c>
      <c r="AD10" s="10">
        <v>22384.135399999999</v>
      </c>
      <c r="AE10" s="10">
        <v>26914.3698</v>
      </c>
      <c r="AF10" s="10">
        <v>2142.6491000000001</v>
      </c>
      <c r="AG10" s="10">
        <v>86737.621599999999</v>
      </c>
      <c r="AH10" s="10">
        <v>10785.1368</v>
      </c>
      <c r="AI10" s="10"/>
      <c r="AJ10" s="10"/>
      <c r="AK10" s="10">
        <v>7439.3315000000002</v>
      </c>
      <c r="AL10" s="10">
        <v>7978.5749999999998</v>
      </c>
      <c r="AM10" s="10"/>
      <c r="AN10" s="10"/>
      <c r="AO10" s="10"/>
      <c r="AP10" s="10"/>
    </row>
    <row r="11" spans="1:42" x14ac:dyDescent="0.35">
      <c r="A11" s="8">
        <v>46154</v>
      </c>
      <c r="B11" s="9">
        <v>32212432.410969999</v>
      </c>
      <c r="C11" s="10">
        <v>5658288.1020499999</v>
      </c>
      <c r="D11" s="10">
        <v>8353397.6879899995</v>
      </c>
      <c r="E11" s="10">
        <v>9297721.9649800006</v>
      </c>
      <c r="F11" s="10">
        <v>15489.4548</v>
      </c>
      <c r="G11" s="10">
        <v>224565.5454</v>
      </c>
      <c r="H11" s="10"/>
      <c r="I11" s="10">
        <v>5023994.3739999998</v>
      </c>
      <c r="J11" s="10">
        <v>18754.764200000001</v>
      </c>
      <c r="K11" s="10">
        <v>413635.66360000003</v>
      </c>
      <c r="L11" s="10">
        <v>66430.127900000007</v>
      </c>
      <c r="M11" s="10">
        <v>731996.43770000001</v>
      </c>
      <c r="N11" s="10">
        <v>1187187.4734</v>
      </c>
      <c r="O11" s="10">
        <v>21215.424559999999</v>
      </c>
      <c r="P11" s="10">
        <v>32577.824700000001</v>
      </c>
      <c r="Q11" s="10">
        <v>568058.76340000005</v>
      </c>
      <c r="R11" s="10">
        <v>149665.39158</v>
      </c>
      <c r="S11" s="10">
        <v>59888.197999999997</v>
      </c>
      <c r="T11" s="10">
        <v>30429.409299999999</v>
      </c>
      <c r="U11" s="10"/>
      <c r="V11" s="10">
        <v>7423.7236999999996</v>
      </c>
      <c r="W11" s="10"/>
      <c r="X11" s="10">
        <v>42868.9859</v>
      </c>
      <c r="Y11" s="10">
        <v>6581.3174600000002</v>
      </c>
      <c r="Z11" s="10"/>
      <c r="AA11" s="10">
        <v>103883.46965</v>
      </c>
      <c r="AB11" s="10">
        <v>60641.114999999998</v>
      </c>
      <c r="AC11" s="10">
        <v>42989.328200000004</v>
      </c>
      <c r="AD11" s="10">
        <v>36718.8609</v>
      </c>
      <c r="AE11" s="10">
        <v>20860.7104</v>
      </c>
      <c r="AF11" s="10">
        <v>6373.7924999999996</v>
      </c>
      <c r="AG11" s="10">
        <v>1238.9348</v>
      </c>
      <c r="AH11" s="10">
        <v>8173.4565000000002</v>
      </c>
      <c r="AI11" s="10"/>
      <c r="AJ11" s="10"/>
      <c r="AK11" s="10">
        <v>11793.4594</v>
      </c>
      <c r="AL11" s="10">
        <v>9588.6489999999994</v>
      </c>
      <c r="AM11" s="10"/>
      <c r="AN11" s="10"/>
      <c r="AO11" s="10"/>
      <c r="AP11" s="10"/>
    </row>
    <row r="12" spans="1:42" x14ac:dyDescent="0.35">
      <c r="A12" s="8">
        <v>46153</v>
      </c>
      <c r="B12" s="9">
        <v>32765392.89951</v>
      </c>
      <c r="C12" s="10">
        <v>5745013.0263200002</v>
      </c>
      <c r="D12" s="10">
        <v>10602816.703199999</v>
      </c>
      <c r="E12" s="10">
        <v>7817193.91072</v>
      </c>
      <c r="F12" s="10">
        <v>24519.356599999999</v>
      </c>
      <c r="G12" s="10">
        <v>658309.44590000005</v>
      </c>
      <c r="H12" s="10">
        <v>244893.7941</v>
      </c>
      <c r="I12" s="10">
        <v>4607633.7132999999</v>
      </c>
      <c r="J12" s="10">
        <v>54284.375599999999</v>
      </c>
      <c r="K12" s="10">
        <v>645649.1348</v>
      </c>
      <c r="L12" s="10">
        <v>32247.257000000001</v>
      </c>
      <c r="M12" s="10">
        <v>860957.0527</v>
      </c>
      <c r="N12" s="10">
        <v>222516.5448</v>
      </c>
      <c r="O12" s="10">
        <v>28110.162660000002</v>
      </c>
      <c r="P12" s="10">
        <v>45876.375599999999</v>
      </c>
      <c r="Q12" s="10">
        <v>262364.0148</v>
      </c>
      <c r="R12" s="10">
        <v>197214.05322</v>
      </c>
      <c r="S12" s="10">
        <v>119666.7887</v>
      </c>
      <c r="T12" s="10">
        <v>98821.196299999996</v>
      </c>
      <c r="U12" s="10">
        <v>138529.67770999999</v>
      </c>
      <c r="V12" s="10">
        <v>15832.7186</v>
      </c>
      <c r="W12" s="10"/>
      <c r="X12" s="10">
        <v>35484.350400000003</v>
      </c>
      <c r="Y12" s="10">
        <v>3678.22273</v>
      </c>
      <c r="Z12" s="10">
        <v>79200.778200000001</v>
      </c>
      <c r="AA12" s="10">
        <v>73559.089649999994</v>
      </c>
      <c r="AB12" s="10">
        <v>43883.154999999999</v>
      </c>
      <c r="AC12" s="10">
        <v>16271.4671</v>
      </c>
      <c r="AD12" s="10">
        <v>11433.105</v>
      </c>
      <c r="AE12" s="10">
        <v>14508.279</v>
      </c>
      <c r="AF12" s="10">
        <v>1264.7965999999999</v>
      </c>
      <c r="AG12" s="10">
        <v>5895.7272000000003</v>
      </c>
      <c r="AH12" s="10">
        <v>4714.8760000000002</v>
      </c>
      <c r="AI12" s="10">
        <v>37680.898300000001</v>
      </c>
      <c r="AJ12" s="10"/>
      <c r="AK12" s="10">
        <v>2360.5866999999998</v>
      </c>
      <c r="AL12" s="10">
        <v>13008.264999999999</v>
      </c>
      <c r="AM12" s="10"/>
      <c r="AN12" s="10"/>
      <c r="AO12" s="10"/>
      <c r="AP12" s="10"/>
    </row>
    <row r="13" spans="1:42" x14ac:dyDescent="0.35">
      <c r="A13" s="8">
        <v>46152</v>
      </c>
      <c r="B13" s="9">
        <v>10706504.16051</v>
      </c>
      <c r="C13" s="10">
        <v>963499.32239999995</v>
      </c>
      <c r="D13" s="10">
        <v>3159011.4288599999</v>
      </c>
      <c r="E13" s="10">
        <v>3974268.0656400002</v>
      </c>
      <c r="F13" s="10">
        <v>27818.421399999999</v>
      </c>
      <c r="G13" s="10">
        <v>536322.09069999994</v>
      </c>
      <c r="H13" s="10">
        <v>552022.26269999996</v>
      </c>
      <c r="I13" s="10">
        <v>320651.19959999999</v>
      </c>
      <c r="J13" s="10">
        <v>255.59440000000001</v>
      </c>
      <c r="K13" s="10">
        <v>132965.45860000001</v>
      </c>
      <c r="L13" s="10">
        <v>9826.3613000000005</v>
      </c>
      <c r="M13" s="10">
        <v>427811.23320000002</v>
      </c>
      <c r="N13" s="10">
        <v>72132.436000000002</v>
      </c>
      <c r="O13" s="10">
        <v>3290.5277700000001</v>
      </c>
      <c r="P13" s="10">
        <v>514.32420000000002</v>
      </c>
      <c r="Q13" s="10">
        <v>147714.31539999999</v>
      </c>
      <c r="R13" s="10">
        <v>88499.248980000004</v>
      </c>
      <c r="S13" s="10">
        <v>36259.455699999999</v>
      </c>
      <c r="T13" s="10">
        <v>18418.969000000001</v>
      </c>
      <c r="U13" s="10">
        <v>65076.426319999999</v>
      </c>
      <c r="V13" s="10">
        <v>119821.83440000001</v>
      </c>
      <c r="W13" s="10"/>
      <c r="X13" s="10">
        <v>18881.691999999999</v>
      </c>
      <c r="Y13" s="10">
        <v>1074.62384</v>
      </c>
      <c r="Z13" s="10">
        <v>15279.697700000001</v>
      </c>
      <c r="AA13" s="10">
        <v>11.419</v>
      </c>
      <c r="AB13" s="10">
        <v>4461.259</v>
      </c>
      <c r="AC13" s="10">
        <v>289.9196</v>
      </c>
      <c r="AD13" s="10">
        <v>208.7996</v>
      </c>
      <c r="AE13" s="10">
        <v>1005.7242</v>
      </c>
      <c r="AF13" s="10">
        <v>17.8536</v>
      </c>
      <c r="AG13" s="10">
        <v>312.30959999999999</v>
      </c>
      <c r="AH13" s="10">
        <v>816.01779999999997</v>
      </c>
      <c r="AI13" s="10">
        <v>7738.1819999999998</v>
      </c>
      <c r="AJ13" s="10"/>
      <c r="AK13" s="10"/>
      <c r="AL13" s="10">
        <v>227.68600000000001</v>
      </c>
      <c r="AM13" s="10"/>
      <c r="AN13" s="10"/>
      <c r="AO13" s="10"/>
      <c r="AP13" s="10"/>
    </row>
    <row r="14" spans="1:42" x14ac:dyDescent="0.35">
      <c r="A14" s="8">
        <v>46151</v>
      </c>
      <c r="B14" s="9">
        <v>3294832.80694</v>
      </c>
      <c r="C14" s="10">
        <v>179949.05346</v>
      </c>
      <c r="D14" s="10">
        <v>610046.00179000001</v>
      </c>
      <c r="E14" s="10">
        <v>1525806.4482799999</v>
      </c>
      <c r="F14" s="10">
        <v>21506.0203</v>
      </c>
      <c r="G14" s="10">
        <v>119434.9878</v>
      </c>
      <c r="H14" s="10">
        <v>71328.113400000002</v>
      </c>
      <c r="I14" s="10">
        <v>330643.0797</v>
      </c>
      <c r="J14" s="10">
        <v>104382.6099</v>
      </c>
      <c r="K14" s="10">
        <v>30774.484</v>
      </c>
      <c r="L14" s="10">
        <v>23524.642500000002</v>
      </c>
      <c r="M14" s="10">
        <v>22649.992699999999</v>
      </c>
      <c r="N14" s="10">
        <v>11755.389499999999</v>
      </c>
      <c r="O14" s="10">
        <v>15389.31494</v>
      </c>
      <c r="P14" s="10">
        <v>12383.7991</v>
      </c>
      <c r="Q14" s="10">
        <v>22196.2572</v>
      </c>
      <c r="R14" s="10">
        <v>54477.297919999997</v>
      </c>
      <c r="S14" s="10">
        <v>23070.316200000001</v>
      </c>
      <c r="T14" s="10">
        <v>1318.595</v>
      </c>
      <c r="U14" s="10">
        <v>16506.198899999999</v>
      </c>
      <c r="V14" s="10">
        <v>21553.2251</v>
      </c>
      <c r="W14" s="10"/>
      <c r="X14" s="10">
        <v>9045.0015000000003</v>
      </c>
      <c r="Y14" s="10">
        <v>750.87249999999995</v>
      </c>
      <c r="Z14" s="10">
        <v>33393.972999999998</v>
      </c>
      <c r="AA14" s="10">
        <v>765.92764999999997</v>
      </c>
      <c r="AB14" s="10">
        <v>11649.216</v>
      </c>
      <c r="AC14" s="10">
        <v>3071.6741999999999</v>
      </c>
      <c r="AD14" s="10">
        <v>4061.6977999999999</v>
      </c>
      <c r="AE14" s="10">
        <v>3488.2242000000001</v>
      </c>
      <c r="AF14" s="10"/>
      <c r="AG14" s="10">
        <v>420.69170000000003</v>
      </c>
      <c r="AH14" s="10">
        <v>353.32709999999997</v>
      </c>
      <c r="AI14" s="10">
        <v>8831.8845000000001</v>
      </c>
      <c r="AJ14" s="10"/>
      <c r="AK14" s="10">
        <v>289.22910000000002</v>
      </c>
      <c r="AL14" s="10">
        <v>15.26</v>
      </c>
      <c r="AM14" s="10"/>
      <c r="AN14" s="10"/>
      <c r="AO14" s="10"/>
      <c r="AP14" s="10"/>
    </row>
    <row r="15" spans="1:42" x14ac:dyDescent="0.35">
      <c r="A15" s="8">
        <v>46150</v>
      </c>
      <c r="B15" s="9">
        <v>33904946.547499999</v>
      </c>
      <c r="C15" s="10">
        <v>11734492.559660001</v>
      </c>
      <c r="D15" s="10">
        <v>10861725.414489999</v>
      </c>
      <c r="E15" s="10">
        <v>8272021.5199800003</v>
      </c>
      <c r="F15" s="10">
        <v>32504.722099999999</v>
      </c>
      <c r="G15" s="10">
        <v>252316.07389999999</v>
      </c>
      <c r="H15" s="10">
        <v>452500.88290000003</v>
      </c>
      <c r="I15" s="10">
        <v>215626.96049999999</v>
      </c>
      <c r="J15" s="10">
        <v>56043.551800000001</v>
      </c>
      <c r="K15" s="10">
        <v>209175.06080000001</v>
      </c>
      <c r="L15" s="10">
        <v>101711.4571</v>
      </c>
      <c r="M15" s="10">
        <v>376199.44530000002</v>
      </c>
      <c r="N15" s="10">
        <v>36790.462599999999</v>
      </c>
      <c r="O15" s="10">
        <v>18321.72898</v>
      </c>
      <c r="P15" s="10">
        <v>50176.733500000002</v>
      </c>
      <c r="Q15" s="10">
        <v>143208.23920000001</v>
      </c>
      <c r="R15" s="10">
        <v>256088.08838</v>
      </c>
      <c r="S15" s="10">
        <v>38776.429499999998</v>
      </c>
      <c r="T15" s="10">
        <v>33332.6679</v>
      </c>
      <c r="U15" s="10">
        <v>122289.09179999999</v>
      </c>
      <c r="V15" s="10">
        <v>19156.1888</v>
      </c>
      <c r="W15" s="10"/>
      <c r="X15" s="10">
        <v>10639.4797</v>
      </c>
      <c r="Y15" s="10">
        <v>29380.802930000002</v>
      </c>
      <c r="Z15" s="10">
        <v>69854.497700000007</v>
      </c>
      <c r="AA15" s="10">
        <v>61678.286480000002</v>
      </c>
      <c r="AB15" s="10">
        <v>113608.853</v>
      </c>
      <c r="AC15" s="10">
        <v>2672.0574999999999</v>
      </c>
      <c r="AD15" s="10">
        <v>182306.9399</v>
      </c>
      <c r="AE15" s="10">
        <v>93318.364600000001</v>
      </c>
      <c r="AF15" s="10">
        <v>1213.9756</v>
      </c>
      <c r="AG15" s="10">
        <v>92.153599999999997</v>
      </c>
      <c r="AH15" s="10">
        <v>1087.6964</v>
      </c>
      <c r="AI15" s="10">
        <v>56079.077700000002</v>
      </c>
      <c r="AJ15" s="10"/>
      <c r="AK15" s="10">
        <v>142.91419999999999</v>
      </c>
      <c r="AL15" s="10">
        <v>414.16899999999998</v>
      </c>
      <c r="AM15" s="10"/>
      <c r="AN15" s="10"/>
      <c r="AO15" s="10"/>
      <c r="AP15" s="10"/>
    </row>
    <row r="16" spans="1:42" x14ac:dyDescent="0.35">
      <c r="A16" s="8">
        <v>46149</v>
      </c>
      <c r="B16" s="9">
        <v>35942584.025389999</v>
      </c>
      <c r="C16" s="10">
        <v>7020068.5864599999</v>
      </c>
      <c r="D16" s="10">
        <v>10341216.902079999</v>
      </c>
      <c r="E16" s="10">
        <v>15656259.35922</v>
      </c>
      <c r="F16" s="10">
        <v>89678.367400000003</v>
      </c>
      <c r="G16" s="10">
        <v>179179.53760000001</v>
      </c>
      <c r="H16" s="10">
        <v>208079.30230000001</v>
      </c>
      <c r="I16" s="10">
        <v>244967.72270000001</v>
      </c>
      <c r="J16" s="10">
        <v>54330.412300000004</v>
      </c>
      <c r="K16" s="10">
        <v>400970.76179999998</v>
      </c>
      <c r="L16" s="10">
        <v>92980.573000000004</v>
      </c>
      <c r="M16" s="10">
        <v>184108.76139999999</v>
      </c>
      <c r="N16" s="10">
        <v>41282.786399999997</v>
      </c>
      <c r="O16" s="10">
        <v>35896.875200000002</v>
      </c>
      <c r="P16" s="10">
        <v>25594.55</v>
      </c>
      <c r="Q16" s="10">
        <v>98389.197799999994</v>
      </c>
      <c r="R16" s="10">
        <v>579946.71481999999</v>
      </c>
      <c r="S16" s="10">
        <v>80644.439700000003</v>
      </c>
      <c r="T16" s="10">
        <v>35189.926899999999</v>
      </c>
      <c r="U16" s="10">
        <v>103505.92428000001</v>
      </c>
      <c r="V16" s="10">
        <v>11192.033100000001</v>
      </c>
      <c r="W16" s="10"/>
      <c r="X16" s="10">
        <v>22265.900099999999</v>
      </c>
      <c r="Y16" s="10">
        <v>5114.4715500000002</v>
      </c>
      <c r="Z16" s="10">
        <v>81911.775599999994</v>
      </c>
      <c r="AA16" s="10">
        <v>124533.54708</v>
      </c>
      <c r="AB16" s="10">
        <v>159839.35200000001</v>
      </c>
      <c r="AC16" s="10">
        <v>950.24789999999996</v>
      </c>
      <c r="AD16" s="10">
        <v>30722.4555</v>
      </c>
      <c r="AE16" s="10">
        <v>1579.1579999999999</v>
      </c>
      <c r="AF16" s="10">
        <v>86.040199999999999</v>
      </c>
      <c r="AG16" s="10">
        <v>14397.9439</v>
      </c>
      <c r="AH16" s="10">
        <v>9562.2998000000007</v>
      </c>
      <c r="AI16" s="10">
        <v>6012.8352000000004</v>
      </c>
      <c r="AJ16" s="10"/>
      <c r="AK16" s="10">
        <v>308.27510000000001</v>
      </c>
      <c r="AL16" s="10">
        <v>1816.989</v>
      </c>
      <c r="AM16" s="10"/>
      <c r="AN16" s="10"/>
      <c r="AO16" s="10"/>
      <c r="AP16" s="10"/>
    </row>
    <row r="17" spans="1:42" x14ac:dyDescent="0.35">
      <c r="A17" s="8">
        <v>46148</v>
      </c>
      <c r="B17" s="9">
        <v>28648185.416390002</v>
      </c>
      <c r="C17" s="10">
        <v>3478052.6971300002</v>
      </c>
      <c r="D17" s="10">
        <v>5601207.73606</v>
      </c>
      <c r="E17" s="10">
        <v>17271242.864270002</v>
      </c>
      <c r="F17" s="10">
        <v>22002.463199999998</v>
      </c>
      <c r="G17" s="10">
        <v>261899.7942</v>
      </c>
      <c r="H17" s="10">
        <v>278002.27539999998</v>
      </c>
      <c r="I17" s="10">
        <v>325605.33360000001</v>
      </c>
      <c r="J17" s="10">
        <v>88657.862999999998</v>
      </c>
      <c r="K17" s="10">
        <v>170372.49559999999</v>
      </c>
      <c r="L17" s="10">
        <v>110213.0575</v>
      </c>
      <c r="M17" s="10">
        <v>188623.13829999999</v>
      </c>
      <c r="N17" s="10">
        <v>103928.5613</v>
      </c>
      <c r="O17" s="10">
        <v>13575.26095</v>
      </c>
      <c r="P17" s="10">
        <v>15680.840099999999</v>
      </c>
      <c r="Q17" s="10">
        <v>148229.77609999999</v>
      </c>
      <c r="R17" s="10">
        <v>154307.40774</v>
      </c>
      <c r="S17" s="10">
        <v>93418.1872</v>
      </c>
      <c r="T17" s="10">
        <v>47404.9764</v>
      </c>
      <c r="U17" s="10">
        <v>64440.786189999999</v>
      </c>
      <c r="V17" s="10">
        <v>1856.1974</v>
      </c>
      <c r="W17" s="10"/>
      <c r="X17" s="10">
        <v>14317.8879</v>
      </c>
      <c r="Y17" s="10">
        <v>7501.4104799999996</v>
      </c>
      <c r="Z17" s="10">
        <v>65862.348899999997</v>
      </c>
      <c r="AA17" s="10">
        <v>28344.56367</v>
      </c>
      <c r="AB17" s="10"/>
      <c r="AC17" s="10"/>
      <c r="AD17" s="10"/>
      <c r="AE17" s="10"/>
      <c r="AF17" s="10">
        <v>166.2525</v>
      </c>
      <c r="AG17" s="10">
        <v>36845.710400000004</v>
      </c>
      <c r="AH17" s="10">
        <v>15378.7066</v>
      </c>
      <c r="AI17" s="10">
        <v>40935.839099999997</v>
      </c>
      <c r="AJ17" s="10"/>
      <c r="AK17" s="10">
        <v>110.98520000000001</v>
      </c>
      <c r="AL17" s="10"/>
      <c r="AM17" s="10"/>
      <c r="AN17" s="10"/>
      <c r="AO17" s="10"/>
      <c r="AP17" s="10"/>
    </row>
    <row r="18" spans="1:42" x14ac:dyDescent="0.35">
      <c r="A18" s="8">
        <v>46147</v>
      </c>
      <c r="B18" s="9">
        <v>12787265.487950001</v>
      </c>
      <c r="C18" s="10">
        <v>1616142.3698</v>
      </c>
      <c r="D18" s="10">
        <v>3908934.7178099998</v>
      </c>
      <c r="E18" s="10">
        <v>4887074.7280999999</v>
      </c>
      <c r="F18" s="10">
        <v>25660.731299999999</v>
      </c>
      <c r="G18" s="10">
        <v>61794.970500000003</v>
      </c>
      <c r="H18" s="10">
        <v>432735.37550000002</v>
      </c>
      <c r="I18" s="10">
        <v>455836.61320000002</v>
      </c>
      <c r="J18" s="10">
        <v>158105.85639999999</v>
      </c>
      <c r="K18" s="10">
        <v>108163.2561</v>
      </c>
      <c r="L18" s="10">
        <v>112436.4491</v>
      </c>
      <c r="M18" s="10">
        <v>381528.17330000002</v>
      </c>
      <c r="N18" s="10">
        <v>83950.218399999998</v>
      </c>
      <c r="O18" s="10">
        <v>1633.77657</v>
      </c>
      <c r="P18" s="10">
        <v>3645.5358000000001</v>
      </c>
      <c r="Q18" s="10">
        <v>142367.8339</v>
      </c>
      <c r="R18" s="10">
        <v>84910.888260000007</v>
      </c>
      <c r="S18" s="10">
        <v>90318.198099999994</v>
      </c>
      <c r="T18" s="10">
        <v>74976.927899999995</v>
      </c>
      <c r="U18" s="10">
        <v>34368.933449999997</v>
      </c>
      <c r="V18" s="10">
        <v>518.58690000000001</v>
      </c>
      <c r="W18" s="10"/>
      <c r="X18" s="10">
        <v>41571.592299999997</v>
      </c>
      <c r="Y18" s="10">
        <v>5860.2881699999998</v>
      </c>
      <c r="Z18" s="10">
        <v>42845.945299999999</v>
      </c>
      <c r="AA18" s="10">
        <v>1250.62129</v>
      </c>
      <c r="AB18" s="10"/>
      <c r="AC18" s="10"/>
      <c r="AD18" s="10"/>
      <c r="AE18" s="10"/>
      <c r="AF18" s="10">
        <v>593.33360000000005</v>
      </c>
      <c r="AG18" s="10">
        <v>105.0348</v>
      </c>
      <c r="AH18" s="10">
        <v>3915.7624000000001</v>
      </c>
      <c r="AI18" s="10">
        <v>25516.239699999998</v>
      </c>
      <c r="AJ18" s="10"/>
      <c r="AK18" s="10">
        <v>502.53</v>
      </c>
      <c r="AL18" s="10"/>
      <c r="AM18" s="10"/>
      <c r="AN18" s="10"/>
      <c r="AO18" s="10"/>
      <c r="AP18" s="10"/>
    </row>
    <row r="19" spans="1:42" x14ac:dyDescent="0.35">
      <c r="A19" s="8">
        <v>46146</v>
      </c>
      <c r="B19" s="9">
        <v>54437739.786640003</v>
      </c>
      <c r="C19" s="10">
        <v>2676104.9568699999</v>
      </c>
      <c r="D19" s="10">
        <v>34656597.72682</v>
      </c>
      <c r="E19" s="10">
        <v>13546738.24563</v>
      </c>
      <c r="F19" s="10">
        <v>105351.1663</v>
      </c>
      <c r="G19" s="10">
        <v>241880.2095</v>
      </c>
      <c r="H19" s="10">
        <v>862353.51289999997</v>
      </c>
      <c r="I19" s="10">
        <v>513610.18910000002</v>
      </c>
      <c r="J19" s="10">
        <v>31666.489099999999</v>
      </c>
      <c r="K19" s="10">
        <v>418058.94530000002</v>
      </c>
      <c r="L19" s="10">
        <v>57826.440600000002</v>
      </c>
      <c r="M19" s="10">
        <v>181675.90580000001</v>
      </c>
      <c r="N19" s="10">
        <v>64316.144899999999</v>
      </c>
      <c r="O19" s="10">
        <v>74891.214789999998</v>
      </c>
      <c r="P19" s="10">
        <v>18875.924500000001</v>
      </c>
      <c r="Q19" s="10">
        <v>329120.152</v>
      </c>
      <c r="R19" s="10">
        <v>65826.495880000002</v>
      </c>
      <c r="S19" s="10">
        <v>280667.51980000001</v>
      </c>
      <c r="T19" s="10">
        <v>112603.23880000001</v>
      </c>
      <c r="U19" s="10">
        <v>37092.367429999998</v>
      </c>
      <c r="V19" s="10">
        <v>3561.0716000000002</v>
      </c>
      <c r="W19" s="10"/>
      <c r="X19" s="10">
        <v>39642.571499999998</v>
      </c>
      <c r="Y19" s="10">
        <v>17966.93363</v>
      </c>
      <c r="Z19" s="10">
        <v>74751.686100000006</v>
      </c>
      <c r="AA19" s="10">
        <v>13513.950290000001</v>
      </c>
      <c r="AB19" s="10"/>
      <c r="AC19" s="10"/>
      <c r="AD19" s="10"/>
      <c r="AE19" s="10"/>
      <c r="AF19" s="10">
        <v>2695.2377000000001</v>
      </c>
      <c r="AG19" s="10">
        <v>49.443100000000001</v>
      </c>
      <c r="AH19" s="10">
        <v>10153.5959</v>
      </c>
      <c r="AI19" s="10"/>
      <c r="AJ19" s="10"/>
      <c r="AK19" s="10">
        <v>148.45079999999999</v>
      </c>
      <c r="AL19" s="10"/>
      <c r="AM19" s="10"/>
      <c r="AN19" s="10"/>
      <c r="AO19" s="10"/>
      <c r="AP19" s="10"/>
    </row>
    <row r="20" spans="1:42" x14ac:dyDescent="0.35">
      <c r="A20" s="8">
        <v>46145</v>
      </c>
      <c r="B20" s="9">
        <v>17298407.214639999</v>
      </c>
      <c r="C20" s="10">
        <v>1199171.36625</v>
      </c>
      <c r="D20" s="10">
        <v>4787872.8140399996</v>
      </c>
      <c r="E20" s="10">
        <v>10021153.16718</v>
      </c>
      <c r="F20" s="10">
        <v>34212.2189</v>
      </c>
      <c r="G20" s="10">
        <v>74508.2497</v>
      </c>
      <c r="H20" s="10">
        <v>19498.185399999998</v>
      </c>
      <c r="I20" s="10">
        <v>5496.3959000000004</v>
      </c>
      <c r="J20" s="10">
        <v>59163.970500000003</v>
      </c>
      <c r="K20" s="10">
        <v>209384.25320000001</v>
      </c>
      <c r="L20" s="10">
        <v>3170.9283</v>
      </c>
      <c r="M20" s="10">
        <v>35666.670700000002</v>
      </c>
      <c r="N20" s="10">
        <v>97988.122000000003</v>
      </c>
      <c r="O20" s="10">
        <v>29142.152829999999</v>
      </c>
      <c r="P20" s="10">
        <v>9574.0188999999991</v>
      </c>
      <c r="Q20" s="10">
        <v>492442.99530000001</v>
      </c>
      <c r="R20" s="10">
        <v>34358.278960000003</v>
      </c>
      <c r="S20" s="10">
        <v>25399.970499999999</v>
      </c>
      <c r="T20" s="10">
        <v>58111.022199999999</v>
      </c>
      <c r="U20" s="10">
        <v>3943.26341</v>
      </c>
      <c r="V20" s="10">
        <v>20242.9745</v>
      </c>
      <c r="W20" s="10"/>
      <c r="X20" s="10">
        <v>6738.3127000000004</v>
      </c>
      <c r="Y20" s="10">
        <v>31918.268120000001</v>
      </c>
      <c r="Z20" s="10">
        <v>30035.648300000001</v>
      </c>
      <c r="AA20" s="10">
        <v>48.752549999999999</v>
      </c>
      <c r="AB20" s="10"/>
      <c r="AC20" s="10"/>
      <c r="AD20" s="10"/>
      <c r="AE20" s="10"/>
      <c r="AF20" s="10"/>
      <c r="AG20" s="10">
        <v>49.110100000000003</v>
      </c>
      <c r="AH20" s="10">
        <v>9027.1031999999996</v>
      </c>
      <c r="AI20" s="10"/>
      <c r="AJ20" s="10"/>
      <c r="AK20" s="10">
        <v>89.001000000000005</v>
      </c>
      <c r="AL20" s="10"/>
      <c r="AM20" s="10"/>
      <c r="AN20" s="10"/>
      <c r="AO20" s="10"/>
      <c r="AP20" s="10"/>
    </row>
    <row r="21" spans="1:42" x14ac:dyDescent="0.35">
      <c r="A21" s="8">
        <v>46144</v>
      </c>
      <c r="B21" s="9">
        <v>4889801.0298499996</v>
      </c>
      <c r="C21" s="10">
        <v>79720.562789999996</v>
      </c>
      <c r="D21" s="10">
        <v>107581.50781</v>
      </c>
      <c r="E21" s="10">
        <v>2462935.72217</v>
      </c>
      <c r="F21" s="10">
        <v>21700.3508</v>
      </c>
      <c r="G21" s="10">
        <v>37678.282399999996</v>
      </c>
      <c r="H21" s="10">
        <v>206887.76809999999</v>
      </c>
      <c r="I21" s="10">
        <v>10154.2752</v>
      </c>
      <c r="J21" s="10">
        <v>9189.1617999999999</v>
      </c>
      <c r="K21" s="10">
        <v>58460.923499999997</v>
      </c>
      <c r="L21" s="10">
        <v>11023.7852</v>
      </c>
      <c r="M21" s="10">
        <v>502583.07189999998</v>
      </c>
      <c r="N21" s="10">
        <v>541436.66379999998</v>
      </c>
      <c r="O21" s="10">
        <v>11683.56177</v>
      </c>
      <c r="P21" s="10">
        <v>16.591200000000001</v>
      </c>
      <c r="Q21" s="10">
        <v>803278.12919999997</v>
      </c>
      <c r="R21" s="10">
        <v>64.433000000000007</v>
      </c>
      <c r="S21" s="10">
        <v>9682.5354000000007</v>
      </c>
      <c r="T21" s="10">
        <v>299.52080000000001</v>
      </c>
      <c r="U21" s="10"/>
      <c r="V21" s="10">
        <v>1046.4649999999999</v>
      </c>
      <c r="W21" s="10"/>
      <c r="X21" s="10">
        <v>5506.4142000000002</v>
      </c>
      <c r="Y21" s="10">
        <v>154.14188999999999</v>
      </c>
      <c r="Z21" s="10">
        <v>7199.9669999999996</v>
      </c>
      <c r="AA21" s="10">
        <v>1000.03542</v>
      </c>
      <c r="AB21" s="10"/>
      <c r="AC21" s="10"/>
      <c r="AD21" s="10"/>
      <c r="AE21" s="10"/>
      <c r="AF21" s="10">
        <v>39</v>
      </c>
      <c r="AG21" s="10">
        <v>394.8</v>
      </c>
      <c r="AH21" s="10">
        <v>83.359499999999997</v>
      </c>
      <c r="AI21" s="10"/>
      <c r="AJ21" s="10"/>
      <c r="AK21" s="10"/>
      <c r="AL21" s="10"/>
      <c r="AM21" s="10"/>
      <c r="AN21" s="10"/>
      <c r="AO21" s="10"/>
      <c r="AP21" s="10"/>
    </row>
    <row r="22" spans="1:42" x14ac:dyDescent="0.35">
      <c r="A22" s="8">
        <v>46143</v>
      </c>
      <c r="B22" s="9">
        <v>17563870.401579998</v>
      </c>
      <c r="C22" s="10">
        <v>3270516.7242399999</v>
      </c>
      <c r="D22" s="10">
        <v>3897229.23043</v>
      </c>
      <c r="E22" s="10">
        <v>8302514.9472599998</v>
      </c>
      <c r="F22" s="10">
        <v>62433.438000000002</v>
      </c>
      <c r="G22" s="10">
        <v>186180.7738</v>
      </c>
      <c r="H22" s="10">
        <v>667028.46649999998</v>
      </c>
      <c r="I22" s="10">
        <v>42648.367100000003</v>
      </c>
      <c r="J22" s="10">
        <v>57114.429400000001</v>
      </c>
      <c r="K22" s="10">
        <v>341777.71509999997</v>
      </c>
      <c r="L22" s="10">
        <v>180698.4387</v>
      </c>
      <c r="M22" s="10">
        <v>142868.50030000001</v>
      </c>
      <c r="N22" s="10">
        <v>833.25390000000004</v>
      </c>
      <c r="O22" s="10">
        <v>2534.45784</v>
      </c>
      <c r="P22" s="10">
        <v>2286.9041000000002</v>
      </c>
      <c r="Q22" s="10">
        <v>138443.20069999999</v>
      </c>
      <c r="R22" s="10">
        <v>7690.6106</v>
      </c>
      <c r="S22" s="10">
        <v>75322.709900000002</v>
      </c>
      <c r="T22" s="10">
        <v>67704.229399999997</v>
      </c>
      <c r="U22" s="10">
        <v>5944.0012399999996</v>
      </c>
      <c r="V22" s="10">
        <v>819.90899999999999</v>
      </c>
      <c r="W22" s="10"/>
      <c r="X22" s="10">
        <v>35426.688600000001</v>
      </c>
      <c r="Y22" s="10">
        <v>5883.3106699999998</v>
      </c>
      <c r="Z22" s="10">
        <v>66199.250499999995</v>
      </c>
      <c r="AA22" s="10">
        <v>111.503</v>
      </c>
      <c r="AB22" s="10"/>
      <c r="AC22" s="10"/>
      <c r="AD22" s="10"/>
      <c r="AE22" s="10"/>
      <c r="AF22" s="10">
        <v>219.73740000000001</v>
      </c>
      <c r="AG22" s="10">
        <v>3267.5828000000001</v>
      </c>
      <c r="AH22" s="10"/>
      <c r="AI22" s="10"/>
      <c r="AJ22" s="10"/>
      <c r="AK22" s="10">
        <v>172.02109999999999</v>
      </c>
      <c r="AL22" s="10"/>
      <c r="AM22" s="10"/>
      <c r="AN22" s="10"/>
      <c r="AO22" s="10"/>
      <c r="AP22" s="10"/>
    </row>
    <row r="23" spans="1:42" x14ac:dyDescent="0.35">
      <c r="A23" s="8">
        <v>46142</v>
      </c>
      <c r="B23" s="9">
        <v>18447063.486200001</v>
      </c>
      <c r="C23" s="10">
        <v>2630147.7377800001</v>
      </c>
      <c r="D23" s="10">
        <v>3873013.7483299999</v>
      </c>
      <c r="E23" s="10">
        <v>9823533.7774199992</v>
      </c>
      <c r="F23" s="10">
        <v>222280.97750000001</v>
      </c>
      <c r="G23" s="10">
        <v>239437.1447</v>
      </c>
      <c r="H23" s="10">
        <v>140306.003</v>
      </c>
      <c r="I23" s="10">
        <v>39005.194300000003</v>
      </c>
      <c r="J23" s="10">
        <v>77904.028399999996</v>
      </c>
      <c r="K23" s="10">
        <v>149069.98869999999</v>
      </c>
      <c r="L23" s="10">
        <v>221127.4866</v>
      </c>
      <c r="M23" s="10">
        <v>125236.6704</v>
      </c>
      <c r="N23" s="10">
        <v>6188.1277</v>
      </c>
      <c r="O23" s="10">
        <v>11051.84312</v>
      </c>
      <c r="P23" s="10">
        <v>94711.320600000006</v>
      </c>
      <c r="Q23" s="10">
        <v>192083.4143</v>
      </c>
      <c r="R23" s="10">
        <v>54865.483079999998</v>
      </c>
      <c r="S23" s="10">
        <v>37184.705999999998</v>
      </c>
      <c r="T23" s="10">
        <v>147108.86559999999</v>
      </c>
      <c r="U23" s="10">
        <v>30825.944759999998</v>
      </c>
      <c r="V23" s="10">
        <v>23992.9591</v>
      </c>
      <c r="W23" s="10"/>
      <c r="X23" s="10">
        <v>152176.9866</v>
      </c>
      <c r="Y23" s="10">
        <v>3509.1499899999999</v>
      </c>
      <c r="Z23" s="10">
        <v>110803.29859999999</v>
      </c>
      <c r="AA23" s="10">
        <v>21614.97582</v>
      </c>
      <c r="AB23" s="10"/>
      <c r="AC23" s="10"/>
      <c r="AD23" s="10"/>
      <c r="AE23" s="10"/>
      <c r="AF23" s="10">
        <v>14367.314200000001</v>
      </c>
      <c r="AG23" s="10">
        <v>909.43960000000004</v>
      </c>
      <c r="AH23" s="10"/>
      <c r="AI23" s="10"/>
      <c r="AJ23" s="10"/>
      <c r="AK23" s="10">
        <v>4606.8999999999996</v>
      </c>
      <c r="AL23" s="10"/>
      <c r="AM23" s="10"/>
      <c r="AN23" s="10"/>
      <c r="AO23" s="10"/>
      <c r="AP23" s="10"/>
    </row>
    <row r="24" spans="1:42" x14ac:dyDescent="0.35">
      <c r="A24" s="8">
        <v>46141</v>
      </c>
      <c r="B24" s="9">
        <v>22866497.925930001</v>
      </c>
      <c r="C24" s="10">
        <v>3998115.7431299998</v>
      </c>
      <c r="D24" s="10">
        <v>5675985.5302400002</v>
      </c>
      <c r="E24" s="10">
        <v>9743543.2978700008</v>
      </c>
      <c r="F24" s="10">
        <v>1026732.6192</v>
      </c>
      <c r="G24" s="10">
        <v>325126.91230000003</v>
      </c>
      <c r="H24" s="10">
        <v>187752.76879999999</v>
      </c>
      <c r="I24" s="10">
        <v>148913.6379</v>
      </c>
      <c r="J24" s="10">
        <v>281018.08279999997</v>
      </c>
      <c r="K24" s="10">
        <v>121346.75350000001</v>
      </c>
      <c r="L24" s="10">
        <v>42809.217600000004</v>
      </c>
      <c r="M24" s="10">
        <v>163738.7372</v>
      </c>
      <c r="N24" s="10">
        <v>922.97159999999997</v>
      </c>
      <c r="O24" s="10">
        <v>3136.58068</v>
      </c>
      <c r="P24" s="10">
        <v>360371.03730000003</v>
      </c>
      <c r="Q24" s="10">
        <v>24839.9228</v>
      </c>
      <c r="R24" s="10">
        <v>17886.108700000001</v>
      </c>
      <c r="S24" s="10">
        <v>45944.180500000002</v>
      </c>
      <c r="T24" s="10">
        <v>389220.62349999999</v>
      </c>
      <c r="U24" s="10">
        <v>30237.520919999999</v>
      </c>
      <c r="V24" s="10">
        <v>12074.9935</v>
      </c>
      <c r="W24" s="10"/>
      <c r="X24" s="10">
        <v>205012.31779999999</v>
      </c>
      <c r="Y24" s="10">
        <v>25756.930189999999</v>
      </c>
      <c r="Z24" s="10">
        <v>24066.193599999999</v>
      </c>
      <c r="AA24" s="10">
        <v>561.89559999999994</v>
      </c>
      <c r="AB24" s="10"/>
      <c r="AC24" s="10"/>
      <c r="AD24" s="10"/>
      <c r="AE24" s="10"/>
      <c r="AF24" s="10">
        <v>8227.5321000000004</v>
      </c>
      <c r="AG24" s="10">
        <v>128.1728</v>
      </c>
      <c r="AH24" s="10">
        <v>2301.5668000000001</v>
      </c>
      <c r="AI24" s="10"/>
      <c r="AJ24" s="10"/>
      <c r="AK24" s="10">
        <v>726.077</v>
      </c>
      <c r="AL24" s="10"/>
      <c r="AM24" s="10"/>
      <c r="AN24" s="10"/>
      <c r="AO24" s="10"/>
      <c r="AP24" s="10"/>
    </row>
    <row r="25" spans="1:42" x14ac:dyDescent="0.35">
      <c r="A25" s="8">
        <v>46140</v>
      </c>
      <c r="B25" s="9">
        <v>20291094.814970002</v>
      </c>
      <c r="C25" s="10">
        <v>4759015.3487499999</v>
      </c>
      <c r="D25" s="10">
        <v>6243159.9503499996</v>
      </c>
      <c r="E25" s="10">
        <v>7359906.7261699997</v>
      </c>
      <c r="F25" s="10">
        <v>106307.67019999999</v>
      </c>
      <c r="G25" s="10">
        <v>221289.57509999999</v>
      </c>
      <c r="H25" s="10">
        <v>677731.50179999997</v>
      </c>
      <c r="I25" s="10">
        <v>98340.141300000003</v>
      </c>
      <c r="J25" s="10">
        <v>32352.8315</v>
      </c>
      <c r="K25" s="10">
        <v>163635.49729999999</v>
      </c>
      <c r="L25" s="10">
        <v>77298.1204</v>
      </c>
      <c r="M25" s="10">
        <v>193321.23009999999</v>
      </c>
      <c r="N25" s="10">
        <v>3176.1158</v>
      </c>
      <c r="O25" s="10">
        <v>635.11653000000001</v>
      </c>
      <c r="P25" s="10">
        <v>6464.7137000000002</v>
      </c>
      <c r="Q25" s="10">
        <v>36108.918599999997</v>
      </c>
      <c r="R25" s="10">
        <v>26044.884239999999</v>
      </c>
      <c r="S25" s="10">
        <v>79711.232699999993</v>
      </c>
      <c r="T25" s="10">
        <v>99704.214999999997</v>
      </c>
      <c r="U25" s="10">
        <v>15908.34474</v>
      </c>
      <c r="V25" s="10">
        <v>25654.856</v>
      </c>
      <c r="W25" s="10"/>
      <c r="X25" s="10">
        <v>18585.536100000001</v>
      </c>
      <c r="Y25" s="10">
        <v>1575.47911</v>
      </c>
      <c r="Z25" s="10">
        <v>18126.952399999998</v>
      </c>
      <c r="AA25" s="10">
        <v>1491.3610799999999</v>
      </c>
      <c r="AB25" s="10"/>
      <c r="AC25" s="10"/>
      <c r="AD25" s="10"/>
      <c r="AE25" s="10"/>
      <c r="AF25" s="10">
        <v>895.59010000000001</v>
      </c>
      <c r="AG25" s="10">
        <v>11599.0244</v>
      </c>
      <c r="AH25" s="10">
        <v>11966.7117</v>
      </c>
      <c r="AI25" s="10"/>
      <c r="AJ25" s="10"/>
      <c r="AK25" s="10">
        <v>1087.1697999999999</v>
      </c>
      <c r="AL25" s="10"/>
      <c r="AM25" s="10"/>
      <c r="AN25" s="10"/>
      <c r="AO25" s="10"/>
      <c r="AP25" s="10"/>
    </row>
    <row r="26" spans="1:42" x14ac:dyDescent="0.35">
      <c r="A26" s="8">
        <v>46139</v>
      </c>
      <c r="B26" s="9">
        <v>12484741.176349999</v>
      </c>
      <c r="C26" s="10">
        <v>2595695.5366099998</v>
      </c>
      <c r="D26" s="10">
        <v>3678166.3371799998</v>
      </c>
      <c r="E26" s="10">
        <v>4083296.1036899998</v>
      </c>
      <c r="F26" s="10">
        <v>109193.0788</v>
      </c>
      <c r="G26" s="10">
        <v>265099.79719999997</v>
      </c>
      <c r="H26" s="10">
        <v>316747.83419999998</v>
      </c>
      <c r="I26" s="10">
        <v>123979.54489999999</v>
      </c>
      <c r="J26" s="10">
        <v>136166.4797</v>
      </c>
      <c r="K26" s="10">
        <v>213270.0894</v>
      </c>
      <c r="L26" s="10">
        <v>47596.778299999998</v>
      </c>
      <c r="M26" s="10">
        <v>286354.58039999998</v>
      </c>
      <c r="N26" s="10">
        <v>42013.6895</v>
      </c>
      <c r="O26" s="10">
        <v>682.83849999999995</v>
      </c>
      <c r="P26" s="10">
        <v>198124.0797</v>
      </c>
      <c r="Q26" s="10">
        <v>42639.611900000004</v>
      </c>
      <c r="R26" s="10">
        <v>6905.93948</v>
      </c>
      <c r="S26" s="10">
        <v>96258.483699999997</v>
      </c>
      <c r="T26" s="10">
        <v>104481.0114</v>
      </c>
      <c r="U26" s="10">
        <v>20665.626489999999</v>
      </c>
      <c r="V26" s="10">
        <v>5444.7551000000003</v>
      </c>
      <c r="W26" s="10"/>
      <c r="X26" s="10">
        <v>54200.441700000003</v>
      </c>
      <c r="Y26" s="10">
        <v>1092.3973599999999</v>
      </c>
      <c r="Z26" s="10">
        <v>19346.4107</v>
      </c>
      <c r="AA26" s="10">
        <v>12294.711740000001</v>
      </c>
      <c r="AB26" s="10"/>
      <c r="AC26" s="10"/>
      <c r="AD26" s="10"/>
      <c r="AE26" s="10"/>
      <c r="AF26" s="10">
        <v>1122.7016000000001</v>
      </c>
      <c r="AG26" s="10"/>
      <c r="AH26" s="10">
        <v>23902.3171</v>
      </c>
      <c r="AI26" s="10"/>
      <c r="AJ26" s="10"/>
      <c r="AK26" s="10"/>
      <c r="AL26" s="10"/>
      <c r="AM26" s="10"/>
      <c r="AN26" s="10"/>
      <c r="AO26" s="10"/>
      <c r="AP26" s="10"/>
    </row>
    <row r="27" spans="1:42" x14ac:dyDescent="0.35">
      <c r="A27" s="8">
        <v>46138</v>
      </c>
      <c r="B27" s="9">
        <v>4866319.1091900002</v>
      </c>
      <c r="C27" s="10">
        <v>1229327.0286099999</v>
      </c>
      <c r="D27" s="10">
        <v>977301.65116000001</v>
      </c>
      <c r="E27" s="10">
        <v>1905829.3944300001</v>
      </c>
      <c r="F27" s="10">
        <v>33474.784299999999</v>
      </c>
      <c r="G27" s="10">
        <v>100299.92110000001</v>
      </c>
      <c r="H27" s="10">
        <v>25970.0851</v>
      </c>
      <c r="I27" s="10">
        <v>166919.0925</v>
      </c>
      <c r="J27" s="10">
        <v>4898.4186</v>
      </c>
      <c r="K27" s="10">
        <v>97583.263300000006</v>
      </c>
      <c r="L27" s="10">
        <v>675.02809999999999</v>
      </c>
      <c r="M27" s="10">
        <v>19762.133600000001</v>
      </c>
      <c r="N27" s="10">
        <v>19.974499999999999</v>
      </c>
      <c r="O27" s="10">
        <v>8033.8470200000002</v>
      </c>
      <c r="P27" s="10">
        <v>6561.2737999999999</v>
      </c>
      <c r="Q27" s="10">
        <v>628.27800000000002</v>
      </c>
      <c r="R27" s="10">
        <v>1792.3949</v>
      </c>
      <c r="S27" s="10">
        <v>85487.267399999997</v>
      </c>
      <c r="T27" s="10">
        <v>63587.575599999996</v>
      </c>
      <c r="U27" s="10">
        <v>12122.190570000001</v>
      </c>
      <c r="V27" s="10">
        <v>8878.1082000000006</v>
      </c>
      <c r="W27" s="10"/>
      <c r="X27" s="10">
        <v>14657.6109</v>
      </c>
      <c r="Y27" s="10">
        <v>369.14800000000002</v>
      </c>
      <c r="Z27" s="10">
        <v>64723.371700000003</v>
      </c>
      <c r="AA27" s="10"/>
      <c r="AB27" s="10"/>
      <c r="AC27" s="10"/>
      <c r="AD27" s="10"/>
      <c r="AE27" s="10"/>
      <c r="AF27" s="10"/>
      <c r="AG27" s="10">
        <v>106.1056</v>
      </c>
      <c r="AH27" s="10">
        <v>37283.2448</v>
      </c>
      <c r="AI27" s="10"/>
      <c r="AJ27" s="10"/>
      <c r="AK27" s="10">
        <v>27.917400000000001</v>
      </c>
      <c r="AL27" s="10"/>
      <c r="AM27" s="10"/>
      <c r="AN27" s="10"/>
      <c r="AO27" s="10"/>
      <c r="AP27" s="10"/>
    </row>
    <row r="28" spans="1:42" x14ac:dyDescent="0.35">
      <c r="A28" s="8">
        <v>46137</v>
      </c>
      <c r="B28" s="9">
        <v>3175816.1954700002</v>
      </c>
      <c r="C28" s="10">
        <v>884018.24112000002</v>
      </c>
      <c r="D28" s="10">
        <v>121515.38587</v>
      </c>
      <c r="E28" s="10">
        <v>1762574.7834000001</v>
      </c>
      <c r="F28" s="10">
        <v>18726.0779</v>
      </c>
      <c r="G28" s="10">
        <v>56833.149599999997</v>
      </c>
      <c r="H28" s="10">
        <v>4996.2335999999996</v>
      </c>
      <c r="I28" s="10">
        <v>10282.491900000001</v>
      </c>
      <c r="J28" s="10"/>
      <c r="K28" s="10">
        <v>112850.5864</v>
      </c>
      <c r="L28" s="10">
        <v>4521.5182000000004</v>
      </c>
      <c r="M28" s="10">
        <v>13929.9548</v>
      </c>
      <c r="N28" s="10">
        <v>9.9423999999999992</v>
      </c>
      <c r="O28" s="10">
        <v>1967.95921</v>
      </c>
      <c r="P28" s="10">
        <v>12437.634099999999</v>
      </c>
      <c r="Q28" s="10">
        <v>3234.1835000000001</v>
      </c>
      <c r="R28" s="10">
        <v>499.11169999999998</v>
      </c>
      <c r="S28" s="10">
        <v>16888.176800000001</v>
      </c>
      <c r="T28" s="10">
        <v>46240.602899999998</v>
      </c>
      <c r="U28" s="10">
        <v>41392.101620000001</v>
      </c>
      <c r="V28" s="10">
        <v>61.0015</v>
      </c>
      <c r="W28" s="10"/>
      <c r="X28" s="10">
        <v>41777.984400000001</v>
      </c>
      <c r="Y28" s="10">
        <v>1769.2954500000001</v>
      </c>
      <c r="Z28" s="10">
        <v>15981.2996</v>
      </c>
      <c r="AA28" s="10"/>
      <c r="AB28" s="10"/>
      <c r="AC28" s="10"/>
      <c r="AD28" s="10"/>
      <c r="AE28" s="10"/>
      <c r="AF28" s="10"/>
      <c r="AG28" s="10">
        <v>328.33159999999998</v>
      </c>
      <c r="AH28" s="10">
        <v>2980.1478999999999</v>
      </c>
      <c r="AI28" s="10"/>
      <c r="AJ28" s="10"/>
      <c r="AK28" s="10"/>
      <c r="AL28" s="10"/>
      <c r="AM28" s="10"/>
      <c r="AN28" s="10"/>
      <c r="AO28" s="10"/>
      <c r="AP28" s="10"/>
    </row>
    <row r="29" spans="1:42" x14ac:dyDescent="0.35">
      <c r="A29" s="8">
        <v>46136</v>
      </c>
      <c r="B29" s="9">
        <v>19597911.67216</v>
      </c>
      <c r="C29" s="10">
        <v>2518203.2781600002</v>
      </c>
      <c r="D29" s="10">
        <v>6202453.5445400001</v>
      </c>
      <c r="E29" s="10">
        <v>8857427.4762399998</v>
      </c>
      <c r="F29" s="10">
        <v>81100.694300000003</v>
      </c>
      <c r="G29" s="10">
        <v>162426.58100000001</v>
      </c>
      <c r="H29" s="10">
        <v>179443.54459999999</v>
      </c>
      <c r="I29" s="10">
        <v>115153.8725</v>
      </c>
      <c r="J29" s="10">
        <v>31429.29</v>
      </c>
      <c r="K29" s="10">
        <v>267556.17950000003</v>
      </c>
      <c r="L29" s="10">
        <v>91443.060100000002</v>
      </c>
      <c r="M29" s="10">
        <v>675528.66480000003</v>
      </c>
      <c r="N29" s="10">
        <v>12168.168100000001</v>
      </c>
      <c r="O29" s="10">
        <v>2409.17697</v>
      </c>
      <c r="P29" s="10">
        <v>41953.258000000002</v>
      </c>
      <c r="Q29" s="10">
        <v>95122.933799999999</v>
      </c>
      <c r="R29" s="10">
        <v>22767.049599999998</v>
      </c>
      <c r="S29" s="10">
        <v>31254.608400000001</v>
      </c>
      <c r="T29" s="10">
        <v>75795.953699999998</v>
      </c>
      <c r="U29" s="10">
        <v>10826.40919</v>
      </c>
      <c r="V29" s="10">
        <v>4602.0397000000003</v>
      </c>
      <c r="W29" s="10"/>
      <c r="X29" s="10">
        <v>36412.981899999999</v>
      </c>
      <c r="Y29" s="10">
        <v>1266.45886</v>
      </c>
      <c r="Z29" s="10">
        <v>5791.9686000000002</v>
      </c>
      <c r="AA29" s="10">
        <v>6544.9002</v>
      </c>
      <c r="AB29" s="10"/>
      <c r="AC29" s="10"/>
      <c r="AD29" s="10"/>
      <c r="AE29" s="10"/>
      <c r="AF29" s="10">
        <v>45515.902399999999</v>
      </c>
      <c r="AG29" s="10">
        <v>17114.434700000002</v>
      </c>
      <c r="AH29" s="10">
        <v>6156.4108999999999</v>
      </c>
      <c r="AI29" s="10"/>
      <c r="AJ29" s="10"/>
      <c r="AK29" s="10">
        <v>42.831400000000002</v>
      </c>
      <c r="AL29" s="10"/>
      <c r="AM29" s="10"/>
      <c r="AN29" s="10"/>
      <c r="AO29" s="10"/>
      <c r="AP29" s="10"/>
    </row>
    <row r="30" spans="1:42" x14ac:dyDescent="0.35">
      <c r="A30" s="8">
        <v>46135</v>
      </c>
      <c r="B30" s="9">
        <v>34506083.707489997</v>
      </c>
      <c r="C30" s="10">
        <v>4869783.9316499997</v>
      </c>
      <c r="D30" s="10">
        <v>11865815.009500001</v>
      </c>
      <c r="E30" s="10">
        <v>14976760.859060001</v>
      </c>
      <c r="F30" s="10">
        <v>76939.324099999998</v>
      </c>
      <c r="G30" s="10">
        <v>141689.7697</v>
      </c>
      <c r="H30" s="10">
        <v>300208.80619999999</v>
      </c>
      <c r="I30" s="10">
        <v>312626.8394</v>
      </c>
      <c r="J30" s="10">
        <v>111678.05130000001</v>
      </c>
      <c r="K30" s="10">
        <v>636736.92390000005</v>
      </c>
      <c r="L30" s="10">
        <v>111158.09570000001</v>
      </c>
      <c r="M30" s="10">
        <v>364130.46269999997</v>
      </c>
      <c r="N30" s="10">
        <v>43837.380700000002</v>
      </c>
      <c r="O30" s="10">
        <v>1223.0118600000001</v>
      </c>
      <c r="P30" s="10">
        <v>39538.588499999998</v>
      </c>
      <c r="Q30" s="10">
        <v>9536.0257999999994</v>
      </c>
      <c r="R30" s="10">
        <v>50294.506500000003</v>
      </c>
      <c r="S30" s="10">
        <v>206911.6637</v>
      </c>
      <c r="T30" s="10">
        <v>131516.56899999999</v>
      </c>
      <c r="U30" s="10">
        <v>28097.973129999998</v>
      </c>
      <c r="V30" s="10">
        <v>43031.715900000003</v>
      </c>
      <c r="W30" s="10"/>
      <c r="X30" s="10">
        <v>41536.237699999998</v>
      </c>
      <c r="Y30" s="10">
        <v>1479.06791</v>
      </c>
      <c r="Z30" s="10">
        <v>23422.7641</v>
      </c>
      <c r="AA30" s="10">
        <v>1524.44058</v>
      </c>
      <c r="AB30" s="10"/>
      <c r="AC30" s="10"/>
      <c r="AD30" s="10"/>
      <c r="AE30" s="10"/>
      <c r="AF30" s="10">
        <v>116072.93769999999</v>
      </c>
      <c r="AG30" s="10">
        <v>162.566</v>
      </c>
      <c r="AH30" s="10">
        <v>152.60659999999999</v>
      </c>
      <c r="AI30" s="10"/>
      <c r="AJ30" s="10"/>
      <c r="AK30" s="10">
        <v>217.57859999999999</v>
      </c>
      <c r="AL30" s="10"/>
      <c r="AM30" s="10"/>
      <c r="AN30" s="10"/>
      <c r="AO30" s="10"/>
      <c r="AP30" s="10"/>
    </row>
    <row r="31" spans="1:42" x14ac:dyDescent="0.35">
      <c r="A31" s="8">
        <v>46134</v>
      </c>
      <c r="B31" s="9">
        <v>19392145.662280001</v>
      </c>
      <c r="C31" s="10">
        <v>3004410.0274299998</v>
      </c>
      <c r="D31" s="10">
        <v>5364541.2747999998</v>
      </c>
      <c r="E31" s="10">
        <v>9141041.6154900007</v>
      </c>
      <c r="F31" s="10">
        <v>90360.767300000007</v>
      </c>
      <c r="G31" s="10">
        <v>37288.1132</v>
      </c>
      <c r="H31" s="10">
        <v>314523.3763</v>
      </c>
      <c r="I31" s="10">
        <v>230770.2696</v>
      </c>
      <c r="J31" s="10">
        <v>10710.597299999999</v>
      </c>
      <c r="K31" s="10">
        <v>611297.60199999996</v>
      </c>
      <c r="L31" s="10">
        <v>70526.700500000006</v>
      </c>
      <c r="M31" s="10">
        <v>35402.827599999997</v>
      </c>
      <c r="N31" s="10">
        <v>11769.675300000001</v>
      </c>
      <c r="O31" s="10">
        <v>7024.6547200000005</v>
      </c>
      <c r="P31" s="10">
        <v>11530.8359</v>
      </c>
      <c r="Q31" s="10">
        <v>216.47280000000001</v>
      </c>
      <c r="R31" s="10">
        <v>32944.78357</v>
      </c>
      <c r="S31" s="10">
        <v>119800.844</v>
      </c>
      <c r="T31" s="10">
        <v>61961.802900000002</v>
      </c>
      <c r="U31" s="10">
        <v>16554.275570000002</v>
      </c>
      <c r="V31" s="10">
        <v>58172.556700000001</v>
      </c>
      <c r="W31" s="10"/>
      <c r="X31" s="10">
        <v>28130.9686</v>
      </c>
      <c r="Y31" s="10">
        <v>2199.1930000000002</v>
      </c>
      <c r="Z31" s="10">
        <v>40739.379099999998</v>
      </c>
      <c r="AA31" s="10">
        <v>5131.6291000000001</v>
      </c>
      <c r="AB31" s="10"/>
      <c r="AC31" s="10"/>
      <c r="AD31" s="10"/>
      <c r="AE31" s="10"/>
      <c r="AF31" s="10">
        <v>80737.783899999995</v>
      </c>
      <c r="AG31" s="10">
        <v>4357.6355999999996</v>
      </c>
      <c r="AH31" s="10"/>
      <c r="AI31" s="10"/>
      <c r="AJ31" s="10"/>
      <c r="AK31" s="10"/>
      <c r="AL31" s="10"/>
      <c r="AM31" s="10"/>
      <c r="AN31" s="10"/>
      <c r="AO31" s="10"/>
      <c r="AP31" s="10"/>
    </row>
    <row r="32" spans="1:42" x14ac:dyDescent="0.35">
      <c r="A32" s="8">
        <v>46133</v>
      </c>
      <c r="B32" s="9">
        <v>30397096.335220002</v>
      </c>
      <c r="C32" s="10">
        <v>5852960.9933000002</v>
      </c>
      <c r="D32" s="10">
        <v>7173768.0510400003</v>
      </c>
      <c r="E32" s="10">
        <v>15735136.819460001</v>
      </c>
      <c r="F32" s="10">
        <v>63627.222199999997</v>
      </c>
      <c r="G32" s="10">
        <v>122842.10890000001</v>
      </c>
      <c r="H32" s="10">
        <v>284337.42830000003</v>
      </c>
      <c r="I32" s="10">
        <v>226820.83720000001</v>
      </c>
      <c r="J32" s="10">
        <v>48257.745300000002</v>
      </c>
      <c r="K32" s="10">
        <v>215546.92009999999</v>
      </c>
      <c r="L32" s="10">
        <v>160819.47990000001</v>
      </c>
      <c r="M32" s="10">
        <v>87853.544500000004</v>
      </c>
      <c r="N32" s="10">
        <v>19383.828600000001</v>
      </c>
      <c r="O32" s="10">
        <v>13660.82712</v>
      </c>
      <c r="P32" s="10">
        <v>14628.8266</v>
      </c>
      <c r="Q32" s="10">
        <v>8054.8552</v>
      </c>
      <c r="R32" s="10">
        <v>22021.923760000001</v>
      </c>
      <c r="S32" s="10">
        <v>68398.720100000006</v>
      </c>
      <c r="T32" s="10">
        <v>82433.278200000001</v>
      </c>
      <c r="U32" s="10">
        <v>37630.275520000003</v>
      </c>
      <c r="V32" s="10">
        <v>16717.357899999999</v>
      </c>
      <c r="W32" s="10"/>
      <c r="X32" s="10">
        <v>6406.4465</v>
      </c>
      <c r="Y32" s="10">
        <v>2884.77124</v>
      </c>
      <c r="Z32" s="10">
        <v>120589.11749999999</v>
      </c>
      <c r="AA32" s="10">
        <v>722.70717999999999</v>
      </c>
      <c r="AB32" s="10"/>
      <c r="AC32" s="10"/>
      <c r="AD32" s="10"/>
      <c r="AE32" s="10"/>
      <c r="AF32" s="10">
        <v>11065.2302</v>
      </c>
      <c r="AG32" s="10">
        <v>227.82320000000001</v>
      </c>
      <c r="AH32" s="10">
        <v>125.52800000000001</v>
      </c>
      <c r="AI32" s="10"/>
      <c r="AJ32" s="10"/>
      <c r="AK32" s="10">
        <v>173.66820000000001</v>
      </c>
      <c r="AL32" s="10"/>
      <c r="AM32" s="10"/>
      <c r="AN32" s="10"/>
      <c r="AO32" s="10"/>
      <c r="AP32" s="10"/>
    </row>
    <row r="33" spans="1:42" x14ac:dyDescent="0.35">
      <c r="A33" s="8">
        <v>46132</v>
      </c>
      <c r="B33" s="9">
        <v>31976688.197450001</v>
      </c>
      <c r="C33" s="10">
        <v>3667360.2055799998</v>
      </c>
      <c r="D33" s="10">
        <v>5197902.8760299999</v>
      </c>
      <c r="E33" s="10">
        <v>20632978.94788</v>
      </c>
      <c r="F33" s="10">
        <v>86099.683600000004</v>
      </c>
      <c r="G33" s="10">
        <v>157208.27119999999</v>
      </c>
      <c r="H33" s="10">
        <v>125178.19100000001</v>
      </c>
      <c r="I33" s="10">
        <v>309658.51390000002</v>
      </c>
      <c r="J33" s="10">
        <v>31703.836299999999</v>
      </c>
      <c r="K33" s="10">
        <v>858493.65850000002</v>
      </c>
      <c r="L33" s="10">
        <v>89173.582200000004</v>
      </c>
      <c r="M33" s="10">
        <v>68509.311199999996</v>
      </c>
      <c r="N33" s="10">
        <v>51176.873</v>
      </c>
      <c r="O33" s="10">
        <v>8418.5818099999997</v>
      </c>
      <c r="P33" s="10">
        <v>17935.0288</v>
      </c>
      <c r="Q33" s="10">
        <v>27434.3364</v>
      </c>
      <c r="R33" s="10">
        <v>15446.19695</v>
      </c>
      <c r="S33" s="10">
        <v>258115.8266</v>
      </c>
      <c r="T33" s="10">
        <v>168465.03520000001</v>
      </c>
      <c r="U33" s="10">
        <v>67369.609509999995</v>
      </c>
      <c r="V33" s="10">
        <v>19489.554499999998</v>
      </c>
      <c r="W33" s="10"/>
      <c r="X33" s="10">
        <v>26921.512500000001</v>
      </c>
      <c r="Y33" s="10">
        <v>1375.41146</v>
      </c>
      <c r="Z33" s="10">
        <v>82968.358999999997</v>
      </c>
      <c r="AA33" s="10">
        <v>646.84542999999996</v>
      </c>
      <c r="AB33" s="10"/>
      <c r="AC33" s="10"/>
      <c r="AD33" s="10"/>
      <c r="AE33" s="10"/>
      <c r="AF33" s="10"/>
      <c r="AG33" s="10">
        <v>4603.1080000000002</v>
      </c>
      <c r="AH33" s="10">
        <v>2054.8409000000001</v>
      </c>
      <c r="AI33" s="10"/>
      <c r="AJ33" s="10"/>
      <c r="AK33" s="10"/>
      <c r="AL33" s="10"/>
      <c r="AM33" s="10"/>
      <c r="AN33" s="10"/>
      <c r="AO33" s="10"/>
      <c r="AP33" s="10"/>
    </row>
    <row r="34" spans="1:42" x14ac:dyDescent="0.35">
      <c r="A34" s="8">
        <v>46131</v>
      </c>
      <c r="B34" s="9">
        <v>20258011.964140002</v>
      </c>
      <c r="C34" s="10">
        <v>2730810.8011400001</v>
      </c>
      <c r="D34" s="10">
        <v>3256899.7467499999</v>
      </c>
      <c r="E34" s="10">
        <v>13434936.977940001</v>
      </c>
      <c r="F34" s="10">
        <v>82770.518700000001</v>
      </c>
      <c r="G34" s="10">
        <v>35305.348299999998</v>
      </c>
      <c r="H34" s="10">
        <v>112185.571</v>
      </c>
      <c r="I34" s="10">
        <v>58761.756099999999</v>
      </c>
      <c r="J34" s="10">
        <v>52610.374400000001</v>
      </c>
      <c r="K34" s="10">
        <v>89031.770999999993</v>
      </c>
      <c r="L34" s="10">
        <v>23975.9467</v>
      </c>
      <c r="M34" s="10">
        <v>4366.8329000000003</v>
      </c>
      <c r="N34" s="10">
        <v>17820.088500000002</v>
      </c>
      <c r="O34" s="10">
        <v>31489.68693</v>
      </c>
      <c r="P34" s="10">
        <v>8.4336000000000002</v>
      </c>
      <c r="Q34" s="10">
        <v>22733.294000000002</v>
      </c>
      <c r="R34" s="10">
        <v>12768.88228</v>
      </c>
      <c r="S34" s="10">
        <v>132850.24960000001</v>
      </c>
      <c r="T34" s="10">
        <v>30564.513200000001</v>
      </c>
      <c r="U34" s="10">
        <v>61924.596519999999</v>
      </c>
      <c r="V34" s="10">
        <v>2009.0806</v>
      </c>
      <c r="W34" s="10"/>
      <c r="X34" s="10">
        <v>4891.1772000000001</v>
      </c>
      <c r="Y34" s="10">
        <v>2635.2600699999998</v>
      </c>
      <c r="Z34" s="10">
        <v>51747.556100000002</v>
      </c>
      <c r="AA34" s="10">
        <v>238.83061000000001</v>
      </c>
      <c r="AB34" s="10"/>
      <c r="AC34" s="10"/>
      <c r="AD34" s="10"/>
      <c r="AE34" s="10"/>
      <c r="AF34" s="10"/>
      <c r="AG34" s="10">
        <v>4268.3119999999999</v>
      </c>
      <c r="AH34" s="10">
        <v>406.358</v>
      </c>
      <c r="AI34" s="10"/>
      <c r="AJ34" s="10"/>
      <c r="AK34" s="10"/>
      <c r="AL34" s="10"/>
      <c r="AM34" s="10"/>
      <c r="AN34" s="10"/>
      <c r="AO34" s="10"/>
      <c r="AP34" s="10"/>
    </row>
    <row r="35" spans="1:42" x14ac:dyDescent="0.35">
      <c r="A35" s="8">
        <v>46130</v>
      </c>
      <c r="B35" s="9">
        <v>11589071.75044</v>
      </c>
      <c r="C35" s="10">
        <v>896819.57892</v>
      </c>
      <c r="D35" s="10">
        <v>1034371.06316</v>
      </c>
      <c r="E35" s="10">
        <v>8693026.9843300004</v>
      </c>
      <c r="F35" s="10">
        <v>55.083599999999997</v>
      </c>
      <c r="G35" s="10">
        <v>38767.015399999997</v>
      </c>
      <c r="H35" s="10">
        <v>63370.733</v>
      </c>
      <c r="I35" s="10">
        <v>77667.348299999998</v>
      </c>
      <c r="J35" s="10">
        <v>80096.560700000002</v>
      </c>
      <c r="K35" s="10">
        <v>164865.62160000001</v>
      </c>
      <c r="L35" s="10">
        <v>54935.053999999996</v>
      </c>
      <c r="M35" s="10">
        <v>11617.504999999999</v>
      </c>
      <c r="N35" s="10">
        <v>72822.365900000004</v>
      </c>
      <c r="O35" s="10">
        <v>16.85528</v>
      </c>
      <c r="P35" s="10">
        <v>37.088999999999999</v>
      </c>
      <c r="Q35" s="10">
        <v>44657.730300000003</v>
      </c>
      <c r="R35" s="10">
        <v>284.34356000000002</v>
      </c>
      <c r="S35" s="10">
        <v>161914.66279999999</v>
      </c>
      <c r="T35" s="10">
        <v>103938.23850000001</v>
      </c>
      <c r="U35" s="10">
        <v>3194.72604</v>
      </c>
      <c r="V35" s="10">
        <v>18.4635</v>
      </c>
      <c r="W35" s="10"/>
      <c r="X35" s="10">
        <v>11896.1628</v>
      </c>
      <c r="Y35" s="10"/>
      <c r="Z35" s="10">
        <v>73874.561199999996</v>
      </c>
      <c r="AA35" s="10">
        <v>393.46695</v>
      </c>
      <c r="AB35" s="10"/>
      <c r="AC35" s="10"/>
      <c r="AD35" s="10"/>
      <c r="AE35" s="10"/>
      <c r="AF35" s="10"/>
      <c r="AG35" s="10"/>
      <c r="AH35" s="10">
        <v>430.53660000000002</v>
      </c>
      <c r="AI35" s="10"/>
      <c r="AJ35" s="10"/>
      <c r="AK35" s="10"/>
      <c r="AL35" s="10"/>
      <c r="AM35" s="10"/>
      <c r="AN35" s="10"/>
      <c r="AO35" s="10"/>
      <c r="AP35" s="10"/>
    </row>
    <row r="36" spans="1:42" x14ac:dyDescent="0.35">
      <c r="A36" s="8">
        <v>46129</v>
      </c>
      <c r="B36" s="9">
        <v>36718285.57361</v>
      </c>
      <c r="C36" s="10">
        <v>4737957.7078099996</v>
      </c>
      <c r="D36" s="10">
        <v>7774304.69484</v>
      </c>
      <c r="E36" s="10">
        <v>22002407.71336</v>
      </c>
      <c r="F36" s="10">
        <v>59271.8462</v>
      </c>
      <c r="G36" s="10">
        <v>86349.784799999994</v>
      </c>
      <c r="H36" s="10">
        <v>467539.30290000001</v>
      </c>
      <c r="I36" s="10">
        <v>260664.34049999999</v>
      </c>
      <c r="J36" s="10">
        <v>29679.789499999999</v>
      </c>
      <c r="K36" s="10">
        <v>422952.97700000001</v>
      </c>
      <c r="L36" s="10">
        <v>62183.916400000002</v>
      </c>
      <c r="M36" s="10">
        <v>163832.37169999999</v>
      </c>
      <c r="N36" s="10">
        <v>11331.477000000001</v>
      </c>
      <c r="O36" s="10">
        <v>143047.39451000001</v>
      </c>
      <c r="P36" s="10">
        <v>19415.256000000001</v>
      </c>
      <c r="Q36" s="10">
        <v>2019.9182000000001</v>
      </c>
      <c r="R36" s="10">
        <v>14425.736370000001</v>
      </c>
      <c r="S36" s="10">
        <v>89067.290299999993</v>
      </c>
      <c r="T36" s="10">
        <v>153246.6623</v>
      </c>
      <c r="U36" s="10">
        <v>19360.765920000002</v>
      </c>
      <c r="V36" s="10">
        <v>6908.0033999999996</v>
      </c>
      <c r="W36" s="10"/>
      <c r="X36" s="10">
        <v>16532.330699999999</v>
      </c>
      <c r="Y36" s="10">
        <v>3255.7795500000002</v>
      </c>
      <c r="Z36" s="10">
        <v>60931.7192</v>
      </c>
      <c r="AA36" s="10">
        <v>103909.18775</v>
      </c>
      <c r="AB36" s="10"/>
      <c r="AC36" s="10"/>
      <c r="AD36" s="10"/>
      <c r="AE36" s="10"/>
      <c r="AF36" s="10"/>
      <c r="AG36" s="10">
        <v>792.51930000000004</v>
      </c>
      <c r="AH36" s="10">
        <v>6896.0667000000003</v>
      </c>
      <c r="AI36" s="10"/>
      <c r="AJ36" s="10"/>
      <c r="AK36" s="10">
        <v>1.0214000000000001</v>
      </c>
      <c r="AL36" s="10"/>
      <c r="AM36" s="10"/>
      <c r="AN36" s="10"/>
      <c r="AO36" s="10"/>
      <c r="AP36" s="10"/>
    </row>
    <row r="37" spans="1:42" x14ac:dyDescent="0.35">
      <c r="A37" s="8">
        <v>46128</v>
      </c>
      <c r="B37" s="9">
        <v>21921273.7709</v>
      </c>
      <c r="C37" s="10">
        <v>2884294.3226800002</v>
      </c>
      <c r="D37" s="10">
        <v>6836571.7145999996</v>
      </c>
      <c r="E37" s="10">
        <v>10484207.06569</v>
      </c>
      <c r="F37" s="10">
        <v>21132.793900000001</v>
      </c>
      <c r="G37" s="10">
        <v>63805.134299999998</v>
      </c>
      <c r="H37" s="10">
        <v>173963.78210000001</v>
      </c>
      <c r="I37" s="10">
        <v>168296.22039999999</v>
      </c>
      <c r="J37" s="10">
        <v>46654.178099999997</v>
      </c>
      <c r="K37" s="10">
        <v>170927.4841</v>
      </c>
      <c r="L37" s="10">
        <v>45665.506399999998</v>
      </c>
      <c r="M37" s="10">
        <v>176242.90429999999</v>
      </c>
      <c r="N37" s="10">
        <v>19601.772799999999</v>
      </c>
      <c r="O37" s="10">
        <v>192282.85834999999</v>
      </c>
      <c r="P37" s="10">
        <v>41859.2068</v>
      </c>
      <c r="Q37" s="10">
        <v>46049.054499999998</v>
      </c>
      <c r="R37" s="10">
        <v>14338.73402</v>
      </c>
      <c r="S37" s="10">
        <v>71762.068599999999</v>
      </c>
      <c r="T37" s="10">
        <v>213957.52590000001</v>
      </c>
      <c r="U37" s="10">
        <v>14941.991389999999</v>
      </c>
      <c r="V37" s="10">
        <v>5945.8594999999996</v>
      </c>
      <c r="W37" s="10"/>
      <c r="X37" s="10">
        <v>11626.034799999999</v>
      </c>
      <c r="Y37" s="10">
        <v>2171.3719900000001</v>
      </c>
      <c r="Z37" s="10">
        <v>27145.780200000001</v>
      </c>
      <c r="AA37" s="10">
        <v>164743.87127999999</v>
      </c>
      <c r="AB37" s="10"/>
      <c r="AC37" s="10"/>
      <c r="AD37" s="10"/>
      <c r="AE37" s="10"/>
      <c r="AF37" s="10"/>
      <c r="AG37" s="10">
        <v>11200.7479</v>
      </c>
      <c r="AH37" s="10">
        <v>8350.0666999999994</v>
      </c>
      <c r="AI37" s="10"/>
      <c r="AJ37" s="10"/>
      <c r="AK37" s="10">
        <v>3535.7195999999999</v>
      </c>
      <c r="AL37" s="10"/>
      <c r="AM37" s="10"/>
      <c r="AN37" s="10"/>
      <c r="AO37" s="10"/>
      <c r="AP37" s="10"/>
    </row>
    <row r="38" spans="1:42" x14ac:dyDescent="0.35">
      <c r="A38" s="8">
        <v>46127</v>
      </c>
      <c r="B38" s="9">
        <v>37694731.588909999</v>
      </c>
      <c r="C38" s="10">
        <v>3943411.3972399998</v>
      </c>
      <c r="D38" s="10">
        <v>14694334.383719999</v>
      </c>
      <c r="E38" s="10">
        <v>17245516.494729999</v>
      </c>
      <c r="F38" s="10">
        <v>43300.166299999997</v>
      </c>
      <c r="G38" s="10">
        <v>175507.57139999999</v>
      </c>
      <c r="H38" s="10">
        <v>249966.06359999999</v>
      </c>
      <c r="I38" s="10">
        <v>163428.361</v>
      </c>
      <c r="J38" s="10">
        <v>52842.210500000001</v>
      </c>
      <c r="K38" s="10">
        <v>404175.03279999999</v>
      </c>
      <c r="L38" s="10">
        <v>9579.0375000000004</v>
      </c>
      <c r="M38" s="10">
        <v>183077.02290000001</v>
      </c>
      <c r="N38" s="10">
        <v>1080.7291</v>
      </c>
      <c r="O38" s="10">
        <v>2487.8310999999999</v>
      </c>
      <c r="P38" s="10">
        <v>38161.897499999999</v>
      </c>
      <c r="Q38" s="10">
        <v>35532.479899999998</v>
      </c>
      <c r="R38" s="10">
        <v>14624.81775</v>
      </c>
      <c r="S38" s="10">
        <v>54114.702700000002</v>
      </c>
      <c r="T38" s="10">
        <v>261749.4565</v>
      </c>
      <c r="U38" s="10">
        <v>3133.51883</v>
      </c>
      <c r="V38" s="10">
        <v>55911.023399999998</v>
      </c>
      <c r="W38" s="10"/>
      <c r="X38" s="10">
        <v>13772.294400000001</v>
      </c>
      <c r="Y38" s="10">
        <v>1928.6813400000001</v>
      </c>
      <c r="Z38" s="10">
        <v>46179.698400000001</v>
      </c>
      <c r="AA38" s="10"/>
      <c r="AB38" s="10"/>
      <c r="AC38" s="10"/>
      <c r="AD38" s="10"/>
      <c r="AE38" s="10"/>
      <c r="AF38" s="10"/>
      <c r="AG38" s="10">
        <v>155.3699</v>
      </c>
      <c r="AH38" s="10">
        <v>693.61270000000002</v>
      </c>
      <c r="AI38" s="10"/>
      <c r="AJ38" s="10"/>
      <c r="AK38" s="10">
        <v>67.733699999999999</v>
      </c>
      <c r="AL38" s="10"/>
      <c r="AM38" s="10"/>
      <c r="AN38" s="10"/>
      <c r="AO38" s="10"/>
      <c r="AP38" s="10"/>
    </row>
    <row r="39" spans="1:42" x14ac:dyDescent="0.35">
      <c r="A39" s="8">
        <v>46126</v>
      </c>
      <c r="B39" s="9">
        <v>41815703.416210003</v>
      </c>
      <c r="C39" s="10">
        <v>5706431.6040700004</v>
      </c>
      <c r="D39" s="10">
        <v>10620693.68874</v>
      </c>
      <c r="E39" s="10">
        <v>23744764.54738</v>
      </c>
      <c r="F39" s="10">
        <v>84991.543999999994</v>
      </c>
      <c r="G39" s="10">
        <v>87898.989400000006</v>
      </c>
      <c r="H39" s="10">
        <v>203669.46290000001</v>
      </c>
      <c r="I39" s="10">
        <v>322232.58039999998</v>
      </c>
      <c r="J39" s="10">
        <v>155191.0863</v>
      </c>
      <c r="K39" s="10">
        <v>298762.777</v>
      </c>
      <c r="L39" s="10">
        <v>6158.4057000000003</v>
      </c>
      <c r="M39" s="10">
        <v>103336.0209</v>
      </c>
      <c r="N39" s="10">
        <v>4732.2830000000004</v>
      </c>
      <c r="O39" s="10">
        <v>2506.58086</v>
      </c>
      <c r="P39" s="10">
        <v>12985.2657</v>
      </c>
      <c r="Q39" s="10">
        <v>77435.979099999997</v>
      </c>
      <c r="R39" s="10">
        <v>39379.581400000003</v>
      </c>
      <c r="S39" s="10">
        <v>87529.089099999997</v>
      </c>
      <c r="T39" s="10">
        <v>92259.5</v>
      </c>
      <c r="U39" s="10">
        <v>41830.670789999996</v>
      </c>
      <c r="V39" s="10">
        <v>77521.915599999993</v>
      </c>
      <c r="W39" s="10"/>
      <c r="X39" s="10">
        <v>8611.5985000000001</v>
      </c>
      <c r="Y39" s="10">
        <v>2496.3631700000001</v>
      </c>
      <c r="Z39" s="10">
        <v>28213.801500000001</v>
      </c>
      <c r="AA39" s="10"/>
      <c r="AB39" s="10"/>
      <c r="AC39" s="10"/>
      <c r="AD39" s="10"/>
      <c r="AE39" s="10"/>
      <c r="AF39" s="10"/>
      <c r="AG39" s="10">
        <v>21.770499999999998</v>
      </c>
      <c r="AH39" s="10">
        <v>5806.1768000000002</v>
      </c>
      <c r="AI39" s="10"/>
      <c r="AJ39" s="10"/>
      <c r="AK39" s="10">
        <v>242.13339999999999</v>
      </c>
      <c r="AL39" s="10"/>
      <c r="AM39" s="10"/>
      <c r="AN39" s="10"/>
      <c r="AO39" s="10"/>
      <c r="AP39" s="10"/>
    </row>
    <row r="40" spans="1:42" x14ac:dyDescent="0.35">
      <c r="A40" s="8">
        <v>46125</v>
      </c>
      <c r="B40" s="9">
        <v>48185923.27595</v>
      </c>
      <c r="C40" s="10">
        <v>5102591.0325600002</v>
      </c>
      <c r="D40" s="10">
        <v>10138698.50224</v>
      </c>
      <c r="E40" s="10">
        <v>31027725.451930001</v>
      </c>
      <c r="F40" s="10">
        <v>25649.773000000001</v>
      </c>
      <c r="G40" s="10">
        <v>136170.09390000001</v>
      </c>
      <c r="H40" s="10">
        <v>518127.40399999998</v>
      </c>
      <c r="I40" s="10">
        <v>88785.123300000007</v>
      </c>
      <c r="J40" s="10">
        <v>83491.927100000001</v>
      </c>
      <c r="K40" s="10">
        <v>161545.5454</v>
      </c>
      <c r="L40" s="10">
        <v>14811.4964</v>
      </c>
      <c r="M40" s="10">
        <v>139454.943</v>
      </c>
      <c r="N40" s="10">
        <v>116512.03569999999</v>
      </c>
      <c r="O40" s="10">
        <v>28859.739130000002</v>
      </c>
      <c r="P40" s="10">
        <v>7153.2727000000004</v>
      </c>
      <c r="Q40" s="10">
        <v>132224.47760000001</v>
      </c>
      <c r="R40" s="10">
        <v>239113.77638</v>
      </c>
      <c r="S40" s="10">
        <v>48157.905400000003</v>
      </c>
      <c r="T40" s="10">
        <v>16480.072199999999</v>
      </c>
      <c r="U40" s="10">
        <v>55390.66689</v>
      </c>
      <c r="V40" s="10">
        <v>1611.2560000000001</v>
      </c>
      <c r="W40" s="10"/>
      <c r="X40" s="10">
        <v>26616.704000000002</v>
      </c>
      <c r="Y40" s="10">
        <v>11474.114219999999</v>
      </c>
      <c r="Z40" s="10">
        <v>62938.047500000001</v>
      </c>
      <c r="AA40" s="10"/>
      <c r="AB40" s="10"/>
      <c r="AC40" s="10"/>
      <c r="AD40" s="10"/>
      <c r="AE40" s="10"/>
      <c r="AF40" s="10"/>
      <c r="AG40" s="10">
        <v>165.90020000000001</v>
      </c>
      <c r="AH40" s="10">
        <v>1954.2402</v>
      </c>
      <c r="AI40" s="10"/>
      <c r="AJ40" s="10"/>
      <c r="AK40" s="10">
        <v>219.77500000000001</v>
      </c>
      <c r="AL40" s="10"/>
      <c r="AM40" s="10"/>
      <c r="AN40" s="10"/>
      <c r="AO40" s="10"/>
      <c r="AP40" s="10"/>
    </row>
    <row r="41" spans="1:42" x14ac:dyDescent="0.35">
      <c r="A41" s="8">
        <v>46124</v>
      </c>
      <c r="B41" s="9">
        <v>44639327.542429999</v>
      </c>
      <c r="C41" s="10">
        <v>2842393.9189499998</v>
      </c>
      <c r="D41" s="10">
        <v>3659548.3950499999</v>
      </c>
      <c r="E41" s="10">
        <v>35759524.714639999</v>
      </c>
      <c r="F41" s="10">
        <v>48917.393900000003</v>
      </c>
      <c r="G41" s="10">
        <v>180409.34890000001</v>
      </c>
      <c r="H41" s="10">
        <v>651446.68059999996</v>
      </c>
      <c r="I41" s="10">
        <v>83445.355100000001</v>
      </c>
      <c r="J41" s="10">
        <v>60012.472199999997</v>
      </c>
      <c r="K41" s="10">
        <v>207760.34169999999</v>
      </c>
      <c r="L41" s="10">
        <v>24083.3344</v>
      </c>
      <c r="M41" s="10">
        <v>124459.80349999999</v>
      </c>
      <c r="N41" s="10">
        <v>170701.21720000001</v>
      </c>
      <c r="O41" s="10">
        <v>9224.3552500000005</v>
      </c>
      <c r="P41" s="10">
        <v>782.41340000000002</v>
      </c>
      <c r="Q41" s="10">
        <v>178364.87210000001</v>
      </c>
      <c r="R41" s="10">
        <v>226702.45753000001</v>
      </c>
      <c r="S41" s="10">
        <v>68274.022299999997</v>
      </c>
      <c r="T41" s="10">
        <v>32533.2225</v>
      </c>
      <c r="U41" s="10">
        <v>127584.34512</v>
      </c>
      <c r="V41" s="10">
        <v>90715.583899999998</v>
      </c>
      <c r="W41" s="10"/>
      <c r="X41" s="10">
        <v>26782.711299999999</v>
      </c>
      <c r="Y41" s="10">
        <v>25096.429690000001</v>
      </c>
      <c r="Z41" s="10">
        <v>35016.627699999997</v>
      </c>
      <c r="AA41" s="10"/>
      <c r="AB41" s="10"/>
      <c r="AC41" s="10"/>
      <c r="AD41" s="10"/>
      <c r="AE41" s="10"/>
      <c r="AF41" s="10"/>
      <c r="AG41" s="10">
        <v>455.8383</v>
      </c>
      <c r="AH41" s="10">
        <v>5066.3981999999996</v>
      </c>
      <c r="AI41" s="10"/>
      <c r="AJ41" s="10"/>
      <c r="AK41" s="10">
        <v>25.289000000000001</v>
      </c>
      <c r="AL41" s="10"/>
      <c r="AM41" s="10"/>
      <c r="AN41" s="10"/>
      <c r="AO41" s="10"/>
      <c r="AP41" s="10"/>
    </row>
    <row r="42" spans="1:42" x14ac:dyDescent="0.35">
      <c r="A42" s="8">
        <v>46123</v>
      </c>
      <c r="B42" s="9">
        <v>9254260.5289500002</v>
      </c>
      <c r="C42" s="10">
        <v>152388.00975999999</v>
      </c>
      <c r="D42" s="10">
        <v>513688.56448</v>
      </c>
      <c r="E42" s="10">
        <v>7834662.5481200004</v>
      </c>
      <c r="F42" s="10">
        <v>101123.0373</v>
      </c>
      <c r="G42" s="10">
        <v>75991.502299999993</v>
      </c>
      <c r="H42" s="10">
        <v>1634.8146999999999</v>
      </c>
      <c r="I42" s="10">
        <v>173835.44270000001</v>
      </c>
      <c r="J42" s="10">
        <v>189.084</v>
      </c>
      <c r="K42" s="10">
        <v>83195.942299999995</v>
      </c>
      <c r="L42" s="10">
        <v>629.14480000000003</v>
      </c>
      <c r="M42" s="10">
        <v>35716.253799999999</v>
      </c>
      <c r="N42" s="10">
        <v>23307.049900000002</v>
      </c>
      <c r="O42" s="10">
        <v>207.09341000000001</v>
      </c>
      <c r="P42" s="10">
        <v>597.66</v>
      </c>
      <c r="Q42" s="10">
        <v>9877.4141</v>
      </c>
      <c r="R42" s="10">
        <v>132420.51498000001</v>
      </c>
      <c r="S42" s="10">
        <v>10663.903200000001</v>
      </c>
      <c r="T42" s="10">
        <v>27505.576400000002</v>
      </c>
      <c r="U42" s="10">
        <v>26452.802319999999</v>
      </c>
      <c r="V42" s="10">
        <v>4287.5257000000001</v>
      </c>
      <c r="W42" s="10"/>
      <c r="X42" s="10">
        <v>27912.446800000002</v>
      </c>
      <c r="Y42" s="10">
        <v>2895.2576800000002</v>
      </c>
      <c r="Z42" s="10">
        <v>14930.6456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>
        <v>148.2946</v>
      </c>
      <c r="AL42" s="10"/>
      <c r="AM42" s="10"/>
      <c r="AN42" s="10"/>
      <c r="AO42" s="10"/>
      <c r="AP42" s="10"/>
    </row>
    <row r="43" spans="1:42" x14ac:dyDescent="0.35">
      <c r="A43" s="8">
        <v>46122</v>
      </c>
      <c r="B43" s="9">
        <v>44201619.631549999</v>
      </c>
      <c r="C43" s="10">
        <v>3447873.10445</v>
      </c>
      <c r="D43" s="10">
        <v>7048832.16677</v>
      </c>
      <c r="E43" s="10">
        <v>32535402.650339998</v>
      </c>
      <c r="F43" s="10">
        <v>124902.38800000001</v>
      </c>
      <c r="G43" s="10">
        <v>95567.940199999997</v>
      </c>
      <c r="H43" s="10">
        <v>72324.510399999999</v>
      </c>
      <c r="I43" s="10">
        <v>226277.0226</v>
      </c>
      <c r="J43" s="10">
        <v>32846.300199999998</v>
      </c>
      <c r="K43" s="10">
        <v>124102.247</v>
      </c>
      <c r="L43" s="10">
        <v>19511.0524</v>
      </c>
      <c r="M43" s="10">
        <v>103278.3269</v>
      </c>
      <c r="N43" s="10">
        <v>24377.873899999999</v>
      </c>
      <c r="O43" s="10">
        <v>3355.9447399999999</v>
      </c>
      <c r="P43" s="10">
        <v>3775.9328</v>
      </c>
      <c r="Q43" s="10">
        <v>19965.890800000001</v>
      </c>
      <c r="R43" s="10">
        <v>163236.23118999999</v>
      </c>
      <c r="S43" s="10">
        <v>47037.950299999997</v>
      </c>
      <c r="T43" s="10">
        <v>54155.647400000002</v>
      </c>
      <c r="U43" s="10">
        <v>14134.27441</v>
      </c>
      <c r="V43" s="10">
        <v>1071.6976999999999</v>
      </c>
      <c r="W43" s="10"/>
      <c r="X43" s="10">
        <v>6980.9551000000001</v>
      </c>
      <c r="Y43" s="10">
        <v>15519.57105</v>
      </c>
      <c r="Z43" s="10">
        <v>16628.033800000001</v>
      </c>
      <c r="AA43" s="10"/>
      <c r="AB43" s="10"/>
      <c r="AC43" s="10"/>
      <c r="AD43" s="10"/>
      <c r="AE43" s="10"/>
      <c r="AF43" s="10"/>
      <c r="AG43" s="10">
        <v>12.78</v>
      </c>
      <c r="AH43" s="10">
        <v>439.0831</v>
      </c>
      <c r="AI43" s="10"/>
      <c r="AJ43" s="10"/>
      <c r="AK43" s="10">
        <v>10.055999999999999</v>
      </c>
      <c r="AL43" s="10"/>
      <c r="AM43" s="10"/>
      <c r="AN43" s="10"/>
      <c r="AO43" s="10"/>
      <c r="AP43" s="10"/>
    </row>
    <row r="44" spans="1:42" x14ac:dyDescent="0.35">
      <c r="A44" s="8">
        <v>46121</v>
      </c>
      <c r="B44" s="9">
        <v>73588660.991479993</v>
      </c>
      <c r="C44" s="10">
        <v>4216342.5308299996</v>
      </c>
      <c r="D44" s="10">
        <v>8593333.0353299994</v>
      </c>
      <c r="E44" s="10">
        <v>59390627.808540002</v>
      </c>
      <c r="F44" s="10">
        <v>9831.0382000000009</v>
      </c>
      <c r="G44" s="10">
        <v>32025.8285</v>
      </c>
      <c r="H44" s="10">
        <v>94396.938200000004</v>
      </c>
      <c r="I44" s="10">
        <v>153589.83290000001</v>
      </c>
      <c r="J44" s="10">
        <v>50198.152099999999</v>
      </c>
      <c r="K44" s="10">
        <v>346257.58559999999</v>
      </c>
      <c r="L44" s="10">
        <v>5125.2551999999996</v>
      </c>
      <c r="M44" s="10">
        <v>327988.52439999999</v>
      </c>
      <c r="N44" s="10">
        <v>34249.866999999998</v>
      </c>
      <c r="O44" s="10">
        <v>16433.38219</v>
      </c>
      <c r="P44" s="10">
        <v>3636.491</v>
      </c>
      <c r="Q44" s="10">
        <v>21228.2896</v>
      </c>
      <c r="R44" s="10">
        <v>120679.49889</v>
      </c>
      <c r="S44" s="10">
        <v>83926.431299999997</v>
      </c>
      <c r="T44" s="10">
        <v>28919.791700000002</v>
      </c>
      <c r="U44" s="10">
        <v>23101.126619999999</v>
      </c>
      <c r="V44" s="10">
        <v>4998.8267999999998</v>
      </c>
      <c r="W44" s="10"/>
      <c r="X44" s="10">
        <v>18688.467199999999</v>
      </c>
      <c r="Y44" s="10">
        <v>8161.9093800000001</v>
      </c>
      <c r="Z44" s="10">
        <v>4485.6671999999999</v>
      </c>
      <c r="AA44" s="10"/>
      <c r="AB44" s="10"/>
      <c r="AC44" s="10"/>
      <c r="AD44" s="10"/>
      <c r="AE44" s="10"/>
      <c r="AF44" s="10"/>
      <c r="AG44" s="10"/>
      <c r="AH44" s="10">
        <v>434.71280000000002</v>
      </c>
      <c r="AI44" s="10"/>
      <c r="AJ44" s="10"/>
      <c r="AK44" s="10"/>
      <c r="AL44" s="10"/>
      <c r="AM44" s="10"/>
      <c r="AN44" s="10"/>
      <c r="AO44" s="10"/>
      <c r="AP44" s="10"/>
    </row>
    <row r="45" spans="1:42" x14ac:dyDescent="0.35">
      <c r="A45" s="8">
        <v>46120</v>
      </c>
      <c r="B45" s="9">
        <v>91947628.280300006</v>
      </c>
      <c r="C45" s="10">
        <v>9431548.8518800009</v>
      </c>
      <c r="D45" s="10">
        <v>20915910.06366</v>
      </c>
      <c r="E45" s="10">
        <v>59790359.220789999</v>
      </c>
      <c r="F45" s="10">
        <v>67814.222299999994</v>
      </c>
      <c r="G45" s="10">
        <v>194258.766</v>
      </c>
      <c r="H45" s="10">
        <v>300136.51419999998</v>
      </c>
      <c r="I45" s="10">
        <v>196358.2916</v>
      </c>
      <c r="J45" s="10">
        <v>209433.1471</v>
      </c>
      <c r="K45" s="10">
        <v>279775.29470000003</v>
      </c>
      <c r="L45" s="10">
        <v>48883.277999999998</v>
      </c>
      <c r="M45" s="10">
        <v>36352.934000000001</v>
      </c>
      <c r="N45" s="10">
        <v>15889.0916</v>
      </c>
      <c r="O45" s="10">
        <v>9653.5201899999993</v>
      </c>
      <c r="P45" s="10">
        <v>28355.593000000001</v>
      </c>
      <c r="Q45" s="10">
        <v>14313.838100000001</v>
      </c>
      <c r="R45" s="10">
        <v>151081.54342999999</v>
      </c>
      <c r="S45" s="10">
        <v>117544.5092</v>
      </c>
      <c r="T45" s="10">
        <v>8553.8315999999995</v>
      </c>
      <c r="U45" s="10">
        <v>28078.21068</v>
      </c>
      <c r="V45" s="10">
        <v>36904.548699999999</v>
      </c>
      <c r="W45" s="10"/>
      <c r="X45" s="10">
        <v>22197.114399999999</v>
      </c>
      <c r="Y45" s="10">
        <v>39917.592570000001</v>
      </c>
      <c r="Z45" s="10">
        <v>3600.3647000000001</v>
      </c>
      <c r="AA45" s="10"/>
      <c r="AB45" s="10"/>
      <c r="AC45" s="10"/>
      <c r="AD45" s="10"/>
      <c r="AE45" s="10"/>
      <c r="AF45" s="10"/>
      <c r="AG45" s="10"/>
      <c r="AH45" s="10">
        <v>707.93790000000001</v>
      </c>
      <c r="AI45" s="10"/>
      <c r="AJ45" s="10"/>
      <c r="AK45" s="10"/>
      <c r="AL45" s="10"/>
      <c r="AM45" s="10"/>
      <c r="AN45" s="10"/>
      <c r="AO45" s="10"/>
      <c r="AP45" s="10"/>
    </row>
    <row r="46" spans="1:42" x14ac:dyDescent="0.35">
      <c r="A46" s="8">
        <v>46119</v>
      </c>
      <c r="B46" s="9">
        <v>123910834.29786</v>
      </c>
      <c r="C46" s="10">
        <v>14347481.42489</v>
      </c>
      <c r="D46" s="10">
        <v>19046718.415989999</v>
      </c>
      <c r="E46" s="10">
        <v>86780057.708680004</v>
      </c>
      <c r="F46" s="10">
        <v>164538.7047</v>
      </c>
      <c r="G46" s="10">
        <v>177879.20670000001</v>
      </c>
      <c r="H46" s="10">
        <v>367792.64720000001</v>
      </c>
      <c r="I46" s="10">
        <v>95769.661200000002</v>
      </c>
      <c r="J46" s="10">
        <v>119611.4471</v>
      </c>
      <c r="K46" s="10">
        <v>333283.00400000002</v>
      </c>
      <c r="L46" s="10">
        <v>239164.03200000001</v>
      </c>
      <c r="M46" s="10">
        <v>795471.19920000003</v>
      </c>
      <c r="N46" s="10">
        <v>693.39229999999998</v>
      </c>
      <c r="O46" s="10">
        <v>231719.97119000001</v>
      </c>
      <c r="P46" s="10">
        <v>20396.755399999998</v>
      </c>
      <c r="Q46" s="10">
        <v>13961.492700000001</v>
      </c>
      <c r="R46" s="10">
        <v>359916.93724</v>
      </c>
      <c r="S46" s="10">
        <v>395746.23749999999</v>
      </c>
      <c r="T46" s="10">
        <v>252120.10949999999</v>
      </c>
      <c r="U46" s="10">
        <v>40393.770360000002</v>
      </c>
      <c r="V46" s="10">
        <v>18800.646700000001</v>
      </c>
      <c r="W46" s="10"/>
      <c r="X46" s="10">
        <v>45396.353600000002</v>
      </c>
      <c r="Y46" s="10">
        <v>63921.179709999997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</row>
    <row r="47" spans="1:42" x14ac:dyDescent="0.35">
      <c r="A47" s="8">
        <v>46118</v>
      </c>
      <c r="B47" s="9">
        <v>62870313.594180003</v>
      </c>
      <c r="C47" s="10">
        <v>8201753.5173500003</v>
      </c>
      <c r="D47" s="10">
        <v>15138974.78538</v>
      </c>
      <c r="E47" s="10">
        <v>36568374.194109999</v>
      </c>
      <c r="F47" s="10">
        <v>28419.5173</v>
      </c>
      <c r="G47" s="10">
        <v>159194.01629999999</v>
      </c>
      <c r="H47" s="10">
        <v>686582.90560000006</v>
      </c>
      <c r="I47" s="10">
        <v>261218.07509999999</v>
      </c>
      <c r="J47" s="10">
        <v>25610.7739</v>
      </c>
      <c r="K47" s="10">
        <v>319550.91139999998</v>
      </c>
      <c r="L47" s="10">
        <v>158890.10380000001</v>
      </c>
      <c r="M47" s="10">
        <v>426455.8002</v>
      </c>
      <c r="N47" s="10">
        <v>36984.1702</v>
      </c>
      <c r="O47" s="10">
        <v>48701.851869999999</v>
      </c>
      <c r="P47" s="10">
        <v>11342.196900000001</v>
      </c>
      <c r="Q47" s="10">
        <v>22583.055</v>
      </c>
      <c r="R47" s="10">
        <v>131317.36303000001</v>
      </c>
      <c r="S47" s="10">
        <v>260792.26259999999</v>
      </c>
      <c r="T47" s="10">
        <v>256872.348</v>
      </c>
      <c r="U47" s="10">
        <v>70282.403829999996</v>
      </c>
      <c r="V47" s="10">
        <v>8490.9526999999998</v>
      </c>
      <c r="W47" s="10"/>
      <c r="X47" s="10">
        <v>15926.708699999999</v>
      </c>
      <c r="Y47" s="10">
        <v>31995.680909999999</v>
      </c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</row>
    <row r="48" spans="1:42" x14ac:dyDescent="0.35">
      <c r="A48" s="8">
        <v>46117</v>
      </c>
      <c r="B48" s="9">
        <v>26106909.78466</v>
      </c>
      <c r="C48" s="10">
        <v>4261447.4401700003</v>
      </c>
      <c r="D48" s="10">
        <v>5268398.8544899998</v>
      </c>
      <c r="E48" s="10">
        <v>15588080.92032</v>
      </c>
      <c r="F48" s="10">
        <v>28543.5815</v>
      </c>
      <c r="G48" s="10">
        <v>73099.178</v>
      </c>
      <c r="H48" s="10">
        <v>62216.033300000003</v>
      </c>
      <c r="I48" s="10">
        <v>23142.912400000001</v>
      </c>
      <c r="J48" s="10">
        <v>1431.3324</v>
      </c>
      <c r="K48" s="10">
        <v>125756.64810000001</v>
      </c>
      <c r="L48" s="10">
        <v>32323.441800000001</v>
      </c>
      <c r="M48" s="10">
        <v>13326.595799999999</v>
      </c>
      <c r="N48" s="10">
        <v>509.57299999999998</v>
      </c>
      <c r="O48" s="10">
        <v>257289.05147000001</v>
      </c>
      <c r="P48" s="10">
        <v>33.466999999999999</v>
      </c>
      <c r="Q48" s="10">
        <v>229.75479999999999</v>
      </c>
      <c r="R48" s="10">
        <v>49546.720860000001</v>
      </c>
      <c r="S48" s="10">
        <v>31062.391</v>
      </c>
      <c r="T48" s="10">
        <v>6276.0573999999997</v>
      </c>
      <c r="U48" s="10">
        <v>163175.90734999999</v>
      </c>
      <c r="V48" s="10">
        <v>1666.5319999999999</v>
      </c>
      <c r="W48" s="10"/>
      <c r="X48" s="10">
        <v>31210.2709</v>
      </c>
      <c r="Y48" s="10">
        <v>88143.120599999995</v>
      </c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</row>
    <row r="49" spans="1:42" x14ac:dyDescent="0.35">
      <c r="A49" s="8">
        <v>46116</v>
      </c>
      <c r="B49" s="9">
        <v>4114888.5718800002</v>
      </c>
      <c r="C49" s="10">
        <v>685796.42153000005</v>
      </c>
      <c r="D49" s="10">
        <v>396578.88548</v>
      </c>
      <c r="E49" s="10">
        <v>2759289.59717</v>
      </c>
      <c r="F49" s="10">
        <v>55030.539799999999</v>
      </c>
      <c r="G49" s="10">
        <v>5332.6449000000002</v>
      </c>
      <c r="H49" s="10">
        <v>46221.873099999997</v>
      </c>
      <c r="I49" s="10">
        <v>6377.8680000000004</v>
      </c>
      <c r="J49" s="10">
        <v>3413.0054</v>
      </c>
      <c r="K49" s="10">
        <v>70129.375599999999</v>
      </c>
      <c r="L49" s="10">
        <v>173.70160000000001</v>
      </c>
      <c r="M49" s="10">
        <v>3431.3398000000002</v>
      </c>
      <c r="N49" s="10"/>
      <c r="O49" s="10">
        <v>1199.74316</v>
      </c>
      <c r="P49" s="10">
        <v>15.186</v>
      </c>
      <c r="Q49" s="10">
        <v>14.16</v>
      </c>
      <c r="R49" s="10">
        <v>3823.7540100000001</v>
      </c>
      <c r="S49" s="10">
        <v>2876.6731</v>
      </c>
      <c r="T49" s="10">
        <v>577.18579999999997</v>
      </c>
      <c r="U49" s="10">
        <v>12005.58049</v>
      </c>
      <c r="V49" s="10">
        <v>2611.2053999999998</v>
      </c>
      <c r="W49" s="10"/>
      <c r="X49" s="10">
        <v>16907.458200000001</v>
      </c>
      <c r="Y49" s="10">
        <v>43082.373339999998</v>
      </c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 x14ac:dyDescent="0.35">
      <c r="A50" s="8">
        <v>46115</v>
      </c>
      <c r="B50" s="9">
        <v>10062516.930299999</v>
      </c>
      <c r="C50" s="10">
        <v>1349337.18316</v>
      </c>
      <c r="D50" s="10">
        <v>928718.28521</v>
      </c>
      <c r="E50" s="10">
        <v>6865356.5183300003</v>
      </c>
      <c r="F50" s="10">
        <v>108706.8594</v>
      </c>
      <c r="G50" s="10">
        <v>59027.947399999997</v>
      </c>
      <c r="H50" s="10">
        <v>98513.524799999999</v>
      </c>
      <c r="I50" s="10">
        <v>108537.6562</v>
      </c>
      <c r="J50" s="10">
        <v>34701.098700000002</v>
      </c>
      <c r="K50" s="10">
        <v>186890.12909999999</v>
      </c>
      <c r="L50" s="10"/>
      <c r="M50" s="10">
        <v>4449.2984999999999</v>
      </c>
      <c r="N50" s="10">
        <v>222.08019999999999</v>
      </c>
      <c r="O50" s="10">
        <v>186127.22334999999</v>
      </c>
      <c r="P50" s="10">
        <v>463.05</v>
      </c>
      <c r="Q50" s="10">
        <v>27.339400000000001</v>
      </c>
      <c r="R50" s="10">
        <v>45383.859420000001</v>
      </c>
      <c r="S50" s="10">
        <v>4649.4798000000001</v>
      </c>
      <c r="T50" s="10">
        <v>102.48220000000001</v>
      </c>
      <c r="U50" s="10"/>
      <c r="V50" s="10">
        <v>51447.741699999999</v>
      </c>
      <c r="W50" s="10"/>
      <c r="X50" s="10">
        <v>11134.967000000001</v>
      </c>
      <c r="Y50" s="10">
        <v>18720.206429999998</v>
      </c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 x14ac:dyDescent="0.35">
      <c r="A51" s="8">
        <v>46114</v>
      </c>
      <c r="B51" s="9">
        <v>74130264.389899999</v>
      </c>
      <c r="C51" s="10">
        <v>12673127.09856</v>
      </c>
      <c r="D51" s="10">
        <v>20320352.472770002</v>
      </c>
      <c r="E51" s="10">
        <v>37867954.938019998</v>
      </c>
      <c r="F51" s="10">
        <v>159057.7378</v>
      </c>
      <c r="G51" s="10">
        <v>271296.13530000002</v>
      </c>
      <c r="H51" s="10">
        <v>167193.2795</v>
      </c>
      <c r="I51" s="10">
        <v>199477.96950000001</v>
      </c>
      <c r="J51" s="10">
        <v>99383.953899999993</v>
      </c>
      <c r="K51" s="10">
        <v>593493.22239999997</v>
      </c>
      <c r="L51" s="10">
        <v>16444.482100000001</v>
      </c>
      <c r="M51" s="10">
        <v>526959.91350000002</v>
      </c>
      <c r="N51" s="10">
        <v>110721.262</v>
      </c>
      <c r="O51" s="10">
        <v>100676.58530000001</v>
      </c>
      <c r="P51" s="10">
        <v>40658.035799999998</v>
      </c>
      <c r="Q51" s="10">
        <v>89432.84</v>
      </c>
      <c r="R51" s="10">
        <v>101523.40647</v>
      </c>
      <c r="S51" s="10">
        <v>265562.49160000001</v>
      </c>
      <c r="T51" s="10">
        <v>163916.90890000001</v>
      </c>
      <c r="U51" s="10">
        <v>69871.954360000003</v>
      </c>
      <c r="V51" s="10">
        <v>66880.258300000001</v>
      </c>
      <c r="W51" s="10"/>
      <c r="X51" s="10">
        <v>73663.062000000005</v>
      </c>
      <c r="Y51" s="10">
        <v>152616.38182000001</v>
      </c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 x14ac:dyDescent="0.35">
      <c r="A52" s="8">
        <v>46113</v>
      </c>
      <c r="B52" s="9">
        <v>34889082.98071</v>
      </c>
      <c r="C52" s="10">
        <v>5247028.8669800004</v>
      </c>
      <c r="D52" s="10">
        <v>8768213.6814200003</v>
      </c>
      <c r="E52" s="10">
        <v>18649648.603319999</v>
      </c>
      <c r="F52" s="10">
        <v>100530.2209</v>
      </c>
      <c r="G52" s="10">
        <v>158081.53090000001</v>
      </c>
      <c r="H52" s="10">
        <v>140679.85920000001</v>
      </c>
      <c r="I52" s="10">
        <v>102984.7381</v>
      </c>
      <c r="J52" s="10">
        <v>224223.2291</v>
      </c>
      <c r="K52" s="10">
        <v>382059.44819999998</v>
      </c>
      <c r="L52" s="10">
        <v>63894.53</v>
      </c>
      <c r="M52" s="10">
        <v>435890.41220000002</v>
      </c>
      <c r="N52" s="10">
        <v>40430.111700000001</v>
      </c>
      <c r="O52" s="10">
        <v>56036.365310000001</v>
      </c>
      <c r="P52" s="10">
        <v>4008.3723</v>
      </c>
      <c r="Q52" s="10">
        <v>39300.837500000001</v>
      </c>
      <c r="R52" s="10">
        <v>69909.351720000006</v>
      </c>
      <c r="S52" s="10">
        <v>162919.1845</v>
      </c>
      <c r="T52" s="10">
        <v>124304.43369999999</v>
      </c>
      <c r="U52" s="10">
        <v>5277.5282900000002</v>
      </c>
      <c r="V52" s="10">
        <v>15904.030500000001</v>
      </c>
      <c r="W52" s="10"/>
      <c r="X52" s="10">
        <v>85799.695500000002</v>
      </c>
      <c r="Y52" s="10">
        <v>11957.94937</v>
      </c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 x14ac:dyDescent="0.35">
      <c r="A53" s="8">
        <v>46112</v>
      </c>
      <c r="B53" s="9">
        <v>35285899.912349999</v>
      </c>
      <c r="C53" s="10">
        <v>6395495.2901100004</v>
      </c>
      <c r="D53" s="10">
        <v>14241830.771849999</v>
      </c>
      <c r="E53" s="10">
        <v>11875196.43536</v>
      </c>
      <c r="F53" s="10">
        <v>136737.3671</v>
      </c>
      <c r="G53" s="10">
        <v>191512.87040000001</v>
      </c>
      <c r="H53" s="10">
        <v>409745.4302</v>
      </c>
      <c r="I53" s="10">
        <v>255145.35879999999</v>
      </c>
      <c r="J53" s="10">
        <v>231734.83439999999</v>
      </c>
      <c r="K53" s="10">
        <v>467521.84409999999</v>
      </c>
      <c r="L53" s="10">
        <v>58038.292399999998</v>
      </c>
      <c r="M53" s="10">
        <v>118958.4108</v>
      </c>
      <c r="N53" s="10">
        <v>11917.106599999999</v>
      </c>
      <c r="O53" s="10">
        <v>70111.31942</v>
      </c>
      <c r="P53" s="10">
        <v>61231.573100000001</v>
      </c>
      <c r="Q53" s="10">
        <v>6714.6274999999996</v>
      </c>
      <c r="R53" s="10">
        <v>81375.085959999997</v>
      </c>
      <c r="S53" s="10">
        <v>218485.8406</v>
      </c>
      <c r="T53" s="10">
        <v>271884.13400000002</v>
      </c>
      <c r="U53" s="10">
        <v>14078.86269</v>
      </c>
      <c r="V53" s="10">
        <v>38351.4427</v>
      </c>
      <c r="W53" s="10"/>
      <c r="X53" s="10">
        <v>94921.424599999998</v>
      </c>
      <c r="Y53" s="10">
        <v>34911.589659999998</v>
      </c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 x14ac:dyDescent="0.35">
      <c r="A54" s="8">
        <v>46111</v>
      </c>
      <c r="B54" s="9">
        <v>33086028.440469999</v>
      </c>
      <c r="C54" s="10">
        <v>5894901.4619000005</v>
      </c>
      <c r="D54" s="10">
        <v>13644246.03194</v>
      </c>
      <c r="E54" s="10">
        <v>10989586.64256</v>
      </c>
      <c r="F54" s="10">
        <v>123362.1872</v>
      </c>
      <c r="G54" s="10">
        <v>190152.26509999999</v>
      </c>
      <c r="H54" s="10">
        <v>263297.53370000003</v>
      </c>
      <c r="I54" s="10">
        <v>364966.04430000001</v>
      </c>
      <c r="J54" s="10">
        <v>239579.7531</v>
      </c>
      <c r="K54" s="10">
        <v>458083.73</v>
      </c>
      <c r="L54" s="10">
        <v>80660.388500000001</v>
      </c>
      <c r="M54" s="10">
        <v>111273.79</v>
      </c>
      <c r="N54" s="10">
        <v>12130.893599999999</v>
      </c>
      <c r="O54" s="10">
        <v>56361.168460000001</v>
      </c>
      <c r="P54" s="10">
        <v>70805.545499999993</v>
      </c>
      <c r="Q54" s="10">
        <v>3378.9454000000001</v>
      </c>
      <c r="R54" s="10">
        <v>98533.939339999997</v>
      </c>
      <c r="S54" s="10">
        <v>158694.11929999999</v>
      </c>
      <c r="T54" s="10">
        <v>157436.46040000001</v>
      </c>
      <c r="U54" s="10">
        <v>71172.655639999997</v>
      </c>
      <c r="V54" s="10">
        <v>12445.258900000001</v>
      </c>
      <c r="W54" s="10"/>
      <c r="X54" s="10">
        <v>57535.793899999997</v>
      </c>
      <c r="Y54" s="10">
        <v>27423.831730000002</v>
      </c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 x14ac:dyDescent="0.35">
      <c r="A55" s="8">
        <v>46110</v>
      </c>
      <c r="B55" s="9">
        <v>10029968.86473</v>
      </c>
      <c r="C55" s="10">
        <v>2128130.35299</v>
      </c>
      <c r="D55" s="10">
        <v>2564412.4</v>
      </c>
      <c r="E55" s="10">
        <v>4615311.74969</v>
      </c>
      <c r="F55" s="10">
        <v>29267.193800000001</v>
      </c>
      <c r="G55" s="10">
        <v>50395.211600000002</v>
      </c>
      <c r="H55" s="10">
        <v>8322.1327999999994</v>
      </c>
      <c r="I55" s="10">
        <v>35731.2863</v>
      </c>
      <c r="J55" s="10">
        <v>59413.267599999999</v>
      </c>
      <c r="K55" s="10">
        <v>75388.013200000001</v>
      </c>
      <c r="L55" s="10">
        <v>11596.279500000001</v>
      </c>
      <c r="M55" s="10">
        <v>17263.327799999999</v>
      </c>
      <c r="N55" s="10">
        <v>200.80500000000001</v>
      </c>
      <c r="O55" s="10">
        <v>46798.64271</v>
      </c>
      <c r="P55" s="10">
        <v>5737.2716</v>
      </c>
      <c r="Q55" s="10">
        <v>457.41840000000002</v>
      </c>
      <c r="R55" s="10">
        <v>174049.95366999999</v>
      </c>
      <c r="S55" s="10">
        <v>33979.988100000002</v>
      </c>
      <c r="T55" s="10">
        <v>5143.2550000000001</v>
      </c>
      <c r="U55" s="10">
        <v>73912.726680000007</v>
      </c>
      <c r="V55" s="10">
        <v>2712.3404999999998</v>
      </c>
      <c r="W55" s="10"/>
      <c r="X55" s="10">
        <v>55916.341500000002</v>
      </c>
      <c r="Y55" s="10">
        <v>35828.906289999999</v>
      </c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 x14ac:dyDescent="0.35">
      <c r="A56" s="8">
        <v>46109</v>
      </c>
      <c r="B56" s="9">
        <v>3847273.77997</v>
      </c>
      <c r="C56" s="10">
        <v>358512.25949999999</v>
      </c>
      <c r="D56" s="10">
        <v>305190.53214999998</v>
      </c>
      <c r="E56" s="10">
        <v>2623091.8442799998</v>
      </c>
      <c r="F56" s="10">
        <v>27314.286700000001</v>
      </c>
      <c r="G56" s="10">
        <v>77442.940100000007</v>
      </c>
      <c r="H56" s="10">
        <v>1166.8886</v>
      </c>
      <c r="I56" s="10">
        <v>147874.4852</v>
      </c>
      <c r="J56" s="10">
        <v>46588.226799999997</v>
      </c>
      <c r="K56" s="10">
        <v>77976.042499999996</v>
      </c>
      <c r="L56" s="10">
        <v>9248.5458999999992</v>
      </c>
      <c r="M56" s="10">
        <v>9814.4745999999996</v>
      </c>
      <c r="N56" s="10">
        <v>39.044499999999999</v>
      </c>
      <c r="O56" s="10">
        <v>9271.4872200000009</v>
      </c>
      <c r="P56" s="10">
        <v>39.450400000000002</v>
      </c>
      <c r="Q56" s="10">
        <v>836.23800000000006</v>
      </c>
      <c r="R56" s="10">
        <v>36579.389660000001</v>
      </c>
      <c r="S56" s="10">
        <v>9735.4843999999994</v>
      </c>
      <c r="T56" s="10">
        <v>3256.3112000000001</v>
      </c>
      <c r="U56" s="10">
        <v>1436.0579700000001</v>
      </c>
      <c r="V56" s="10">
        <v>5401.1451999999999</v>
      </c>
      <c r="W56" s="10"/>
      <c r="X56" s="10">
        <v>95756.375899999999</v>
      </c>
      <c r="Y56" s="10">
        <v>702.26918999999998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 x14ac:dyDescent="0.35">
      <c r="A57" s="8">
        <v>46108</v>
      </c>
      <c r="B57" s="9">
        <v>29836017.400290001</v>
      </c>
      <c r="C57" s="10">
        <v>10589406.741869999</v>
      </c>
      <c r="D57" s="10">
        <v>8780012.3992400002</v>
      </c>
      <c r="E57" s="10">
        <v>7805790.92172</v>
      </c>
      <c r="F57" s="10">
        <v>72533.221099999995</v>
      </c>
      <c r="G57" s="10">
        <v>274034.28090000001</v>
      </c>
      <c r="H57" s="10">
        <v>236638.22630000001</v>
      </c>
      <c r="I57" s="10">
        <v>445218.97979999997</v>
      </c>
      <c r="J57" s="10">
        <v>216964.58350000001</v>
      </c>
      <c r="K57" s="10">
        <v>315215.34909999999</v>
      </c>
      <c r="L57" s="10">
        <v>86195.0527</v>
      </c>
      <c r="M57" s="10">
        <v>169203.58679999999</v>
      </c>
      <c r="N57" s="10">
        <v>9376.4210999999996</v>
      </c>
      <c r="O57" s="10">
        <v>163931.48963</v>
      </c>
      <c r="P57" s="10">
        <v>38290.148099999999</v>
      </c>
      <c r="Q57" s="10">
        <v>9270.4971999999998</v>
      </c>
      <c r="R57" s="10">
        <v>115782.03204000001</v>
      </c>
      <c r="S57" s="10">
        <v>219793.16639999999</v>
      </c>
      <c r="T57" s="10">
        <v>89195.478199999998</v>
      </c>
      <c r="U57" s="10">
        <v>53561.166499999999</v>
      </c>
      <c r="V57" s="10">
        <v>45695.188999999998</v>
      </c>
      <c r="W57" s="10"/>
      <c r="X57" s="10">
        <v>41848.752200000003</v>
      </c>
      <c r="Y57" s="10">
        <v>58059.716890000003</v>
      </c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  <row r="58" spans="1:42" x14ac:dyDescent="0.35">
      <c r="A58" s="8">
        <v>46107</v>
      </c>
      <c r="B58" s="9">
        <v>74226789.978359997</v>
      </c>
      <c r="C58" s="10">
        <v>30811858.38098</v>
      </c>
      <c r="D58" s="10">
        <v>33130011.435369998</v>
      </c>
      <c r="E58" s="10">
        <v>7214074.1803099997</v>
      </c>
      <c r="F58" s="10">
        <v>39279.407200000001</v>
      </c>
      <c r="G58" s="10">
        <v>214566.36139999999</v>
      </c>
      <c r="H58" s="10">
        <v>562856.25190000003</v>
      </c>
      <c r="I58" s="10">
        <v>277827.44949999999</v>
      </c>
      <c r="J58" s="10">
        <v>169524.8045</v>
      </c>
      <c r="K58" s="10">
        <v>384883.99290000001</v>
      </c>
      <c r="L58" s="10">
        <v>149002.7697</v>
      </c>
      <c r="M58" s="10">
        <v>31852.849600000001</v>
      </c>
      <c r="N58" s="10">
        <v>11425.688200000001</v>
      </c>
      <c r="O58" s="10">
        <v>648700.02951999998</v>
      </c>
      <c r="P58" s="10">
        <v>180511.5534</v>
      </c>
      <c r="Q58" s="10">
        <v>1484.0900999999999</v>
      </c>
      <c r="R58" s="10">
        <v>58888.726580000002</v>
      </c>
      <c r="S58" s="10">
        <v>25787.225299999998</v>
      </c>
      <c r="T58" s="10">
        <v>95378.776700000002</v>
      </c>
      <c r="U58" s="10">
        <v>86547.250010000003</v>
      </c>
      <c r="V58" s="10">
        <v>46410.210099999997</v>
      </c>
      <c r="W58" s="10"/>
      <c r="X58" s="10">
        <v>39419.922100000003</v>
      </c>
      <c r="Y58" s="10">
        <v>46498.622990000003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</row>
    <row r="59" spans="1:42" x14ac:dyDescent="0.35">
      <c r="A59" s="8">
        <v>46106</v>
      </c>
      <c r="B59" s="9">
        <v>99209598.659459993</v>
      </c>
      <c r="C59" s="10">
        <v>42579792.658770002</v>
      </c>
      <c r="D59" s="10">
        <v>30470570.96181</v>
      </c>
      <c r="E59" s="10">
        <v>9126734.1818599999</v>
      </c>
      <c r="F59" s="10">
        <v>50408.202299999997</v>
      </c>
      <c r="G59" s="10">
        <v>4951081.1993000004</v>
      </c>
      <c r="H59" s="10">
        <v>4197827.1415999997</v>
      </c>
      <c r="I59" s="10">
        <v>797067.07380000001</v>
      </c>
      <c r="J59" s="10">
        <v>2018941.8125</v>
      </c>
      <c r="K59" s="10">
        <v>818056.92660000001</v>
      </c>
      <c r="L59" s="10">
        <v>2097662.5707</v>
      </c>
      <c r="M59" s="10">
        <v>157908.65</v>
      </c>
      <c r="N59" s="10">
        <v>11676.746499999999</v>
      </c>
      <c r="O59" s="10">
        <v>682393.17674999998</v>
      </c>
      <c r="P59" s="10">
        <v>939605.04760000005</v>
      </c>
      <c r="Q59" s="10">
        <v>7088.4340000000002</v>
      </c>
      <c r="R59" s="10">
        <v>41878.310709999998</v>
      </c>
      <c r="S59" s="10">
        <v>69644.909799999994</v>
      </c>
      <c r="T59" s="10">
        <v>114138.179</v>
      </c>
      <c r="U59" s="10">
        <v>5296.6401999999998</v>
      </c>
      <c r="V59" s="10">
        <v>42205.568399999996</v>
      </c>
      <c r="W59" s="10"/>
      <c r="X59" s="10">
        <v>5271.6295</v>
      </c>
      <c r="Y59" s="10">
        <v>24348.637760000001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</row>
    <row r="60" spans="1:42" x14ac:dyDescent="0.35">
      <c r="A60" s="8">
        <v>46105</v>
      </c>
      <c r="B60" s="9">
        <v>246694734.68059999</v>
      </c>
      <c r="C60" s="10">
        <v>167102904.68193999</v>
      </c>
      <c r="D60" s="10">
        <v>43233971.060709998</v>
      </c>
      <c r="E60" s="10">
        <v>13534247.07367</v>
      </c>
      <c r="F60" s="10">
        <v>150234.54500000001</v>
      </c>
      <c r="G60" s="10">
        <v>7893793.8510999996</v>
      </c>
      <c r="H60" s="10">
        <v>4617497.7307000002</v>
      </c>
      <c r="I60" s="10">
        <v>1650327.6062</v>
      </c>
      <c r="J60" s="10">
        <v>2263794.7431000001</v>
      </c>
      <c r="K60" s="10">
        <v>766844.65370000002</v>
      </c>
      <c r="L60" s="10">
        <v>1912579.9595999999</v>
      </c>
      <c r="M60" s="10">
        <v>153246.62289999999</v>
      </c>
      <c r="N60" s="10">
        <v>1077.348</v>
      </c>
      <c r="O60" s="10">
        <v>1647191.7151200001</v>
      </c>
      <c r="P60" s="10">
        <v>950200.46719999996</v>
      </c>
      <c r="Q60" s="10">
        <v>633.05999999999995</v>
      </c>
      <c r="R60" s="10">
        <v>212676.12815</v>
      </c>
      <c r="S60" s="10">
        <v>165234.8155</v>
      </c>
      <c r="T60" s="10">
        <v>117925.66650000001</v>
      </c>
      <c r="U60" s="10">
        <v>136331.29980000001</v>
      </c>
      <c r="V60" s="10">
        <v>28027.514500000001</v>
      </c>
      <c r="W60" s="10"/>
      <c r="X60" s="10"/>
      <c r="Y60" s="10">
        <v>155994.13720999999</v>
      </c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</row>
    <row r="61" spans="1:42" x14ac:dyDescent="0.35">
      <c r="A61" s="8">
        <v>46104</v>
      </c>
      <c r="B61" s="9">
        <v>345149016.74146003</v>
      </c>
      <c r="C61" s="10">
        <v>215203200.34327</v>
      </c>
      <c r="D61" s="10">
        <v>79553789.373840004</v>
      </c>
      <c r="E61" s="10">
        <v>23840160.549699999</v>
      </c>
      <c r="F61" s="10">
        <v>267310.81319999998</v>
      </c>
      <c r="G61" s="10">
        <v>6563897.2187000001</v>
      </c>
      <c r="H61" s="10">
        <v>3922438.7</v>
      </c>
      <c r="I61" s="10">
        <v>2407942.3270999999</v>
      </c>
      <c r="J61" s="10">
        <v>2350770.9046999998</v>
      </c>
      <c r="K61" s="10">
        <v>1092167.5708999999</v>
      </c>
      <c r="L61" s="10">
        <v>2250426.8174000001</v>
      </c>
      <c r="M61" s="10">
        <v>560685.1361</v>
      </c>
      <c r="N61" s="10">
        <v>16910.472000000002</v>
      </c>
      <c r="O61" s="10">
        <v>3343981.84675</v>
      </c>
      <c r="P61" s="10">
        <v>1021551.0333</v>
      </c>
      <c r="Q61" s="10">
        <v>4699.7550000000001</v>
      </c>
      <c r="R61" s="10">
        <v>173655.15474999999</v>
      </c>
      <c r="S61" s="10">
        <v>559965.57010000001</v>
      </c>
      <c r="T61" s="10">
        <v>570919.49239999999</v>
      </c>
      <c r="U61" s="10">
        <v>437911.39487999998</v>
      </c>
      <c r="V61" s="10">
        <v>687026.22869999998</v>
      </c>
      <c r="W61" s="10"/>
      <c r="X61" s="10"/>
      <c r="Y61" s="10">
        <v>319606.03866999998</v>
      </c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</row>
    <row r="62" spans="1:42" x14ac:dyDescent="0.35">
      <c r="A62" s="8">
        <v>46103</v>
      </c>
      <c r="B62" s="9">
        <v>70124814.518480003</v>
      </c>
      <c r="C62" s="10">
        <v>51468332.56408</v>
      </c>
      <c r="D62" s="10">
        <v>9324830.3393300008</v>
      </c>
      <c r="E62" s="10">
        <v>7472374.4607300004</v>
      </c>
      <c r="F62" s="10">
        <v>17783.698</v>
      </c>
      <c r="G62" s="10">
        <v>22684.603500000001</v>
      </c>
      <c r="H62" s="10">
        <v>45773.6895</v>
      </c>
      <c r="I62" s="10">
        <v>228204.08799999999</v>
      </c>
      <c r="J62" s="10">
        <v>6826.8518000000004</v>
      </c>
      <c r="K62" s="10">
        <v>117982.7464</v>
      </c>
      <c r="L62" s="10">
        <v>7690.6212999999998</v>
      </c>
      <c r="M62" s="10">
        <v>70954.294599999994</v>
      </c>
      <c r="N62" s="10">
        <v>10158.3727</v>
      </c>
      <c r="O62" s="10">
        <v>138304.20332</v>
      </c>
      <c r="P62" s="10">
        <v>7052.2331999999997</v>
      </c>
      <c r="Q62" s="10">
        <v>7.1162000000000001</v>
      </c>
      <c r="R62" s="10">
        <v>202575.15620999999</v>
      </c>
      <c r="S62" s="10">
        <v>324019.82500000001</v>
      </c>
      <c r="T62" s="10">
        <v>71179.843699999998</v>
      </c>
      <c r="U62" s="10">
        <v>265559.16148000001</v>
      </c>
      <c r="V62" s="10">
        <v>293086.26689999999</v>
      </c>
      <c r="W62" s="10"/>
      <c r="X62" s="10"/>
      <c r="Y62" s="10">
        <v>29434.382529999999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</row>
    <row r="63" spans="1:42" x14ac:dyDescent="0.35">
      <c r="A63" s="8">
        <v>46102</v>
      </c>
      <c r="B63" s="9">
        <v>88726505.259900004</v>
      </c>
      <c r="C63" s="10">
        <v>12442498.35421</v>
      </c>
      <c r="D63" s="10">
        <v>658959.59669999999</v>
      </c>
      <c r="E63" s="10">
        <v>3888913.3777999999</v>
      </c>
      <c r="F63" s="10">
        <v>70928376.461700007</v>
      </c>
      <c r="G63" s="10">
        <v>173516.79930000001</v>
      </c>
      <c r="H63" s="10">
        <v>130218.1201</v>
      </c>
      <c r="I63" s="10">
        <v>76378.100399999996</v>
      </c>
      <c r="J63" s="10">
        <v>54188.879000000001</v>
      </c>
      <c r="K63" s="10">
        <v>85734.381599999993</v>
      </c>
      <c r="L63" s="10">
        <v>290.25479999999999</v>
      </c>
      <c r="M63" s="10">
        <v>78037.516499999998</v>
      </c>
      <c r="N63" s="10">
        <v>2503.556</v>
      </c>
      <c r="O63" s="10">
        <v>28248.49754</v>
      </c>
      <c r="P63" s="10">
        <v>7119.6617999999999</v>
      </c>
      <c r="Q63" s="10"/>
      <c r="R63" s="10">
        <v>57479.367539999999</v>
      </c>
      <c r="S63" s="10">
        <v>24205.718499999999</v>
      </c>
      <c r="T63" s="10">
        <v>36292.907099999997</v>
      </c>
      <c r="U63" s="10">
        <v>2027.36356</v>
      </c>
      <c r="V63" s="10">
        <v>35699.074200000003</v>
      </c>
      <c r="W63" s="10"/>
      <c r="X63" s="10"/>
      <c r="Y63" s="10">
        <v>15817.271549999999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</row>
    <row r="64" spans="1:42" x14ac:dyDescent="0.35">
      <c r="A64" s="8">
        <v>46101</v>
      </c>
      <c r="B64" s="9">
        <v>172649959.18454</v>
      </c>
      <c r="C64" s="10">
        <v>58549773.75457</v>
      </c>
      <c r="D64" s="10">
        <v>81198415.001890004</v>
      </c>
      <c r="E64" s="10">
        <v>9182926.7850700002</v>
      </c>
      <c r="F64" s="10">
        <v>165019.0134</v>
      </c>
      <c r="G64" s="10">
        <v>7090948.3913000003</v>
      </c>
      <c r="H64" s="10">
        <v>3432610.7039999999</v>
      </c>
      <c r="I64" s="10">
        <v>2515521.2025000001</v>
      </c>
      <c r="J64" s="10">
        <v>2162728.1475</v>
      </c>
      <c r="K64" s="10">
        <v>901946.23179999995</v>
      </c>
      <c r="L64" s="10">
        <v>2043143.4317999999</v>
      </c>
      <c r="M64" s="10">
        <v>609903.68969999999</v>
      </c>
      <c r="N64" s="10">
        <v>5858.3206</v>
      </c>
      <c r="O64" s="10">
        <v>664902.14087</v>
      </c>
      <c r="P64" s="10">
        <v>974581.96680000005</v>
      </c>
      <c r="Q64" s="10">
        <v>3399.614</v>
      </c>
      <c r="R64" s="10">
        <v>1869732.8008000001</v>
      </c>
      <c r="S64" s="10">
        <v>490036.14270000003</v>
      </c>
      <c r="T64" s="10">
        <v>610228.94270000001</v>
      </c>
      <c r="U64" s="10">
        <v>56822.375090000001</v>
      </c>
      <c r="V64" s="10">
        <v>9071.7186999999994</v>
      </c>
      <c r="W64" s="10"/>
      <c r="X64" s="10"/>
      <c r="Y64" s="10">
        <v>112388.80875</v>
      </c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 x14ac:dyDescent="0.35">
      <c r="A65" s="8">
        <v>46100</v>
      </c>
      <c r="B65" s="9">
        <v>263123395.00920999</v>
      </c>
      <c r="C65" s="10">
        <v>89880322.906079993</v>
      </c>
      <c r="D65" s="10">
        <v>137770951.23054999</v>
      </c>
      <c r="E65" s="10">
        <v>14240434.787599999</v>
      </c>
      <c r="F65" s="10">
        <v>311173.12949999998</v>
      </c>
      <c r="G65" s="10">
        <v>7030761.3206000002</v>
      </c>
      <c r="H65" s="10">
        <v>3208959.1148999999</v>
      </c>
      <c r="I65" s="10">
        <v>1886400.7992</v>
      </c>
      <c r="J65" s="10">
        <v>1992009.9441</v>
      </c>
      <c r="K65" s="10">
        <v>711302.88069999998</v>
      </c>
      <c r="L65" s="10">
        <v>2276167.3750999998</v>
      </c>
      <c r="M65" s="10">
        <v>471012.2205</v>
      </c>
      <c r="N65" s="10">
        <v>9089.1851000000006</v>
      </c>
      <c r="O65" s="10">
        <v>966906.37202000001</v>
      </c>
      <c r="P65" s="10">
        <v>1209549.716</v>
      </c>
      <c r="Q65" s="10">
        <v>18658.924200000001</v>
      </c>
      <c r="R65" s="10">
        <v>167052.25943999999</v>
      </c>
      <c r="S65" s="10">
        <v>231341.9425</v>
      </c>
      <c r="T65" s="10">
        <v>540295.59680000006</v>
      </c>
      <c r="U65" s="10">
        <v>91900.949900000007</v>
      </c>
      <c r="V65" s="10">
        <v>25666.184000000001</v>
      </c>
      <c r="W65" s="10"/>
      <c r="X65" s="10"/>
      <c r="Y65" s="10">
        <v>83438.170419999995</v>
      </c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6" spans="1:42" x14ac:dyDescent="0.35">
      <c r="A66" s="8">
        <v>46099</v>
      </c>
      <c r="B66" s="9">
        <v>272785478.68629998</v>
      </c>
      <c r="C66" s="10">
        <v>94062437.083729997</v>
      </c>
      <c r="D66" s="10">
        <v>151457182.62963</v>
      </c>
      <c r="E66" s="10">
        <v>12205440.237159999</v>
      </c>
      <c r="F66" s="10">
        <v>125127.0839</v>
      </c>
      <c r="G66" s="10">
        <v>4389821.8896000003</v>
      </c>
      <c r="H66" s="10">
        <v>2852032.9734999998</v>
      </c>
      <c r="I66" s="10">
        <v>1097428.9754999999</v>
      </c>
      <c r="J66" s="10">
        <v>2341549.6198999998</v>
      </c>
      <c r="K66" s="10">
        <v>349270.08750000002</v>
      </c>
      <c r="L66" s="10">
        <v>1750121.4927000001</v>
      </c>
      <c r="M66" s="10">
        <v>405275.3075</v>
      </c>
      <c r="N66" s="10">
        <v>4562.3217000000004</v>
      </c>
      <c r="O66" s="10">
        <v>329727.68307999999</v>
      </c>
      <c r="P66" s="10">
        <v>895538.37309999997</v>
      </c>
      <c r="Q66" s="10">
        <v>11956.490100000001</v>
      </c>
      <c r="R66" s="10">
        <v>153166.91649</v>
      </c>
      <c r="S66" s="10">
        <v>12272.068300000001</v>
      </c>
      <c r="T66" s="10">
        <v>240855.04399999999</v>
      </c>
      <c r="U66" s="10">
        <v>30355.65929</v>
      </c>
      <c r="V66" s="10">
        <v>33625.969899999996</v>
      </c>
      <c r="W66" s="10"/>
      <c r="X66" s="10"/>
      <c r="Y66" s="10">
        <v>37730.779719999999</v>
      </c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</row>
    <row r="67" spans="1:42" x14ac:dyDescent="0.35">
      <c r="A67" s="8">
        <v>46098</v>
      </c>
      <c r="B67" s="9">
        <v>202912107.69409999</v>
      </c>
      <c r="C67" s="10">
        <v>88220442.761150002</v>
      </c>
      <c r="D67" s="10">
        <v>89510157.689659998</v>
      </c>
      <c r="E67" s="10">
        <v>6863468.0472900001</v>
      </c>
      <c r="F67" s="10">
        <v>236095.80619999999</v>
      </c>
      <c r="G67" s="10">
        <v>6678107.6123000002</v>
      </c>
      <c r="H67" s="10">
        <v>3274325.6801</v>
      </c>
      <c r="I67" s="10">
        <v>546474.59409999999</v>
      </c>
      <c r="J67" s="10">
        <v>2665919.3975999998</v>
      </c>
      <c r="K67" s="10">
        <v>381880.2549</v>
      </c>
      <c r="L67" s="10">
        <v>2444141.4495000001</v>
      </c>
      <c r="M67" s="10">
        <v>357919.4339</v>
      </c>
      <c r="N67" s="10">
        <v>89.072999999999993</v>
      </c>
      <c r="O67" s="10">
        <v>462340.39052000002</v>
      </c>
      <c r="P67" s="10">
        <v>1014483.9839</v>
      </c>
      <c r="Q67" s="10">
        <v>6112.0423000000001</v>
      </c>
      <c r="R67" s="10">
        <v>14879.60932</v>
      </c>
      <c r="S67" s="10"/>
      <c r="T67" s="10">
        <v>111535.5855</v>
      </c>
      <c r="U67" s="10">
        <v>84725.910080000001</v>
      </c>
      <c r="V67" s="10">
        <v>20916.303800000002</v>
      </c>
      <c r="W67" s="10"/>
      <c r="X67" s="10"/>
      <c r="Y67" s="10">
        <v>18092.06898</v>
      </c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</row>
    <row r="68" spans="1:42" x14ac:dyDescent="0.35">
      <c r="A68" s="8">
        <v>46097</v>
      </c>
      <c r="B68" s="9">
        <v>204150766.93079001</v>
      </c>
      <c r="C68" s="10">
        <v>103928471.42066</v>
      </c>
      <c r="D68" s="10">
        <v>72496225.857160002</v>
      </c>
      <c r="E68" s="10">
        <v>8670835.5048900004</v>
      </c>
      <c r="F68" s="10">
        <v>108311.8489</v>
      </c>
      <c r="G68" s="10">
        <v>7575016.585</v>
      </c>
      <c r="H68" s="10">
        <v>3597591.9597999998</v>
      </c>
      <c r="I68" s="10">
        <v>779618.20719999995</v>
      </c>
      <c r="J68" s="10">
        <v>2044744.7726</v>
      </c>
      <c r="K68" s="10">
        <v>724548.05969999998</v>
      </c>
      <c r="L68" s="10">
        <v>1814460.7079</v>
      </c>
      <c r="M68" s="10">
        <v>589312.59490000003</v>
      </c>
      <c r="N68" s="10">
        <v>2926.6190999999999</v>
      </c>
      <c r="O68" s="10">
        <v>338236.27341999998</v>
      </c>
      <c r="P68" s="10">
        <v>1008107.9849</v>
      </c>
      <c r="Q68" s="10">
        <v>37270.349699999999</v>
      </c>
      <c r="R68" s="10">
        <v>50631.578439999997</v>
      </c>
      <c r="S68" s="10"/>
      <c r="T68" s="10">
        <v>186429.2274</v>
      </c>
      <c r="U68" s="10">
        <v>83115.251629999999</v>
      </c>
      <c r="V68" s="10">
        <v>46223.961000000003</v>
      </c>
      <c r="W68" s="10"/>
      <c r="X68" s="10"/>
      <c r="Y68" s="10">
        <v>68688.166490000003</v>
      </c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</row>
    <row r="69" spans="1:42" x14ac:dyDescent="0.35">
      <c r="A69" s="8">
        <v>46096</v>
      </c>
      <c r="B69" s="9">
        <v>38687584.086709999</v>
      </c>
      <c r="C69" s="10">
        <v>21760176.15151</v>
      </c>
      <c r="D69" s="10">
        <v>5365478.4977900004</v>
      </c>
      <c r="E69" s="10">
        <v>10971992.353189999</v>
      </c>
      <c r="F69" s="10">
        <v>70.509200000000007</v>
      </c>
      <c r="G69" s="10">
        <v>6820.4053999999996</v>
      </c>
      <c r="H69" s="10">
        <v>61595.184399999998</v>
      </c>
      <c r="I69" s="10">
        <v>82991.551399999997</v>
      </c>
      <c r="J69" s="10">
        <v>86669.447499999995</v>
      </c>
      <c r="K69" s="10">
        <v>46760.991199999997</v>
      </c>
      <c r="L69" s="10">
        <v>60.131500000000003</v>
      </c>
      <c r="M69" s="10">
        <v>2686.1394</v>
      </c>
      <c r="N69" s="10"/>
      <c r="O69" s="10">
        <v>80697.194560000004</v>
      </c>
      <c r="P69" s="10">
        <v>146.13149999999999</v>
      </c>
      <c r="Q69" s="10"/>
      <c r="R69" s="10">
        <v>109860.81945</v>
      </c>
      <c r="S69" s="10"/>
      <c r="T69" s="10">
        <v>19744.1234</v>
      </c>
      <c r="U69" s="10">
        <v>5208.0669399999997</v>
      </c>
      <c r="V69" s="10">
        <v>26114.8249</v>
      </c>
      <c r="W69" s="10"/>
      <c r="X69" s="10"/>
      <c r="Y69" s="10">
        <v>60511.563470000001</v>
      </c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</row>
    <row r="70" spans="1:42" x14ac:dyDescent="0.35">
      <c r="A70" s="8">
        <v>46095</v>
      </c>
      <c r="B70" s="9">
        <v>23415148.662179999</v>
      </c>
      <c r="C70" s="10">
        <v>13597547.34058</v>
      </c>
      <c r="D70" s="10">
        <v>542984.25794000004</v>
      </c>
      <c r="E70" s="10">
        <v>8334496.9252699995</v>
      </c>
      <c r="F70" s="10">
        <v>3659.5082000000002</v>
      </c>
      <c r="G70" s="10">
        <v>25310.141199999998</v>
      </c>
      <c r="H70" s="10">
        <v>28466.599399999999</v>
      </c>
      <c r="I70" s="10">
        <v>50261.348899999997</v>
      </c>
      <c r="J70" s="10">
        <v>5185.6351000000004</v>
      </c>
      <c r="K70" s="10">
        <v>27732.611199999999</v>
      </c>
      <c r="L70" s="10">
        <v>1551.1729</v>
      </c>
      <c r="M70" s="10">
        <v>4382.7912999999999</v>
      </c>
      <c r="N70" s="10"/>
      <c r="O70" s="10">
        <v>63015.955520000003</v>
      </c>
      <c r="P70" s="10">
        <v>2656.0515999999998</v>
      </c>
      <c r="Q70" s="10"/>
      <c r="R70" s="10">
        <v>607807.84291000001</v>
      </c>
      <c r="S70" s="10"/>
      <c r="T70" s="10">
        <v>269.76600000000002</v>
      </c>
      <c r="U70" s="10">
        <v>34913.102319999998</v>
      </c>
      <c r="V70" s="10">
        <v>77634.460699999996</v>
      </c>
      <c r="W70" s="10"/>
      <c r="X70" s="10"/>
      <c r="Y70" s="10">
        <v>7273.1511399999999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27" width="14" customWidth="1"/>
  </cols>
  <sheetData>
    <row r="1" spans="1:27" x14ac:dyDescent="0.35">
      <c r="A1" s="1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4" t="s">
        <v>3</v>
      </c>
      <c r="I1" s="4" t="s">
        <v>3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3" t="s">
        <v>2</v>
      </c>
      <c r="P1" s="2" t="s">
        <v>1</v>
      </c>
      <c r="Q1" s="3" t="s">
        <v>2</v>
      </c>
      <c r="R1" s="3" t="s">
        <v>2</v>
      </c>
      <c r="S1" s="3" t="s">
        <v>2</v>
      </c>
      <c r="T1" s="2" t="s">
        <v>1</v>
      </c>
      <c r="U1" s="3" t="s">
        <v>2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4" t="s">
        <v>3</v>
      </c>
    </row>
    <row r="2" spans="1:27" x14ac:dyDescent="0.35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22</v>
      </c>
      <c r="G2" s="7" t="s">
        <v>33</v>
      </c>
      <c r="H2" s="7" t="s">
        <v>28</v>
      </c>
      <c r="I2" s="7" t="s">
        <v>34</v>
      </c>
      <c r="J2" s="7" t="s">
        <v>12</v>
      </c>
      <c r="K2" s="7" t="s">
        <v>29</v>
      </c>
      <c r="L2" s="7" t="s">
        <v>17</v>
      </c>
      <c r="M2" s="7" t="s">
        <v>31</v>
      </c>
      <c r="N2" s="7" t="s">
        <v>23</v>
      </c>
      <c r="O2" s="7" t="s">
        <v>26</v>
      </c>
      <c r="P2" s="7" t="s">
        <v>211</v>
      </c>
      <c r="Q2" s="7" t="s">
        <v>13</v>
      </c>
      <c r="R2" s="7" t="s">
        <v>197</v>
      </c>
      <c r="S2" s="7" t="s">
        <v>16</v>
      </c>
      <c r="T2" s="7" t="s">
        <v>212</v>
      </c>
      <c r="U2" s="7" t="s">
        <v>25</v>
      </c>
      <c r="V2" s="7" t="s">
        <v>19</v>
      </c>
      <c r="W2" s="7" t="s">
        <v>18</v>
      </c>
      <c r="X2" s="7" t="s">
        <v>21</v>
      </c>
      <c r="Y2" s="7" t="s">
        <v>48</v>
      </c>
      <c r="Z2" s="7" t="s">
        <v>32</v>
      </c>
      <c r="AA2" s="7" t="s">
        <v>201</v>
      </c>
    </row>
    <row r="3" spans="1:27" x14ac:dyDescent="0.35">
      <c r="A3" s="8">
        <v>46162</v>
      </c>
      <c r="B3" s="9">
        <v>220464897.54028001</v>
      </c>
      <c r="C3" s="10">
        <v>58990409.284809999</v>
      </c>
      <c r="D3" s="10">
        <v>57496062.286799997</v>
      </c>
      <c r="E3" s="10">
        <v>41880548.060489997</v>
      </c>
      <c r="F3" s="10">
        <v>2153556.0496</v>
      </c>
      <c r="G3" s="10">
        <v>2962554.23948</v>
      </c>
      <c r="H3" s="10">
        <v>4617708.6655700002</v>
      </c>
      <c r="I3" s="10">
        <v>3833415.0411700001</v>
      </c>
      <c r="J3" s="10">
        <v>4435025.2109000003</v>
      </c>
      <c r="K3" s="10">
        <v>1197632.9129000001</v>
      </c>
      <c r="L3" s="10">
        <v>3277395.9794000001</v>
      </c>
      <c r="M3" s="10">
        <v>2899437.6520600002</v>
      </c>
      <c r="N3" s="10">
        <v>2650804.5548</v>
      </c>
      <c r="O3" s="10">
        <v>3084756.977</v>
      </c>
      <c r="P3" s="10">
        <v>2456971.0255</v>
      </c>
      <c r="Q3" s="10">
        <v>2941328.7897999999</v>
      </c>
      <c r="R3" s="10">
        <v>2746039.8604000001</v>
      </c>
      <c r="S3" s="10">
        <v>2580609.2568999999</v>
      </c>
      <c r="T3" s="10">
        <v>2067112.2438000001</v>
      </c>
      <c r="U3" s="10">
        <v>1963846.2010999999</v>
      </c>
      <c r="V3" s="10">
        <v>1808577.1192999999</v>
      </c>
      <c r="W3" s="10">
        <v>5381898.2520000003</v>
      </c>
      <c r="X3" s="10">
        <v>1413261.449</v>
      </c>
      <c r="Y3" s="10">
        <v>3802900.9040000001</v>
      </c>
      <c r="Z3" s="10">
        <v>3823045.5235000001</v>
      </c>
      <c r="AA3" s="10"/>
    </row>
    <row r="4" spans="1:27" x14ac:dyDescent="0.35">
      <c r="A4" s="8">
        <v>46161</v>
      </c>
      <c r="B4" s="9">
        <v>222136040.93149999</v>
      </c>
      <c r="C4" s="10">
        <v>60398184.530940004</v>
      </c>
      <c r="D4" s="10">
        <v>57638567.081100002</v>
      </c>
      <c r="E4" s="10">
        <v>41790419.692950003</v>
      </c>
      <c r="F4" s="10">
        <v>2298793.2201</v>
      </c>
      <c r="G4" s="10">
        <v>2959729.3662200002</v>
      </c>
      <c r="H4" s="10">
        <v>4724815.3653199999</v>
      </c>
      <c r="I4" s="10">
        <v>3970114.7361300001</v>
      </c>
      <c r="J4" s="10">
        <v>4269108.4552999996</v>
      </c>
      <c r="K4" s="10">
        <v>1144640.0666</v>
      </c>
      <c r="L4" s="10">
        <v>3325880.3514</v>
      </c>
      <c r="M4" s="10">
        <v>2731435.4782400001</v>
      </c>
      <c r="N4" s="10">
        <v>2819895.2862</v>
      </c>
      <c r="O4" s="10">
        <v>3105532.1161000002</v>
      </c>
      <c r="P4" s="10">
        <v>2406549.693</v>
      </c>
      <c r="Q4" s="10">
        <v>2945638.3513000002</v>
      </c>
      <c r="R4" s="10">
        <v>2915658.7615</v>
      </c>
      <c r="S4" s="10">
        <v>2613247.2102000001</v>
      </c>
      <c r="T4" s="10">
        <v>2109299.2577</v>
      </c>
      <c r="U4" s="10">
        <v>1884923.0955999999</v>
      </c>
      <c r="V4" s="10">
        <v>1858289.6816</v>
      </c>
      <c r="W4" s="10">
        <v>4940814.5301000001</v>
      </c>
      <c r="X4" s="10">
        <v>1450960.7635999999</v>
      </c>
      <c r="Y4" s="10">
        <v>3825599.1959000002</v>
      </c>
      <c r="Z4" s="10">
        <v>4007944.6444000001</v>
      </c>
      <c r="AA4" s="10"/>
    </row>
    <row r="5" spans="1:27" x14ac:dyDescent="0.35">
      <c r="A5" s="8">
        <v>46160</v>
      </c>
      <c r="B5" s="9">
        <v>206690362.95409</v>
      </c>
      <c r="C5" s="10">
        <v>51738702.899999999</v>
      </c>
      <c r="D5" s="10">
        <v>51197593.947700001</v>
      </c>
      <c r="E5" s="10">
        <v>41207472.182899997</v>
      </c>
      <c r="F5" s="10">
        <v>2245680.7116999999</v>
      </c>
      <c r="G5" s="10">
        <v>3068061.0245099999</v>
      </c>
      <c r="H5" s="10">
        <v>4187868.3367400002</v>
      </c>
      <c r="I5" s="10">
        <v>4034360.27452</v>
      </c>
      <c r="J5" s="10">
        <v>4407380.5214</v>
      </c>
      <c r="K5" s="10">
        <v>1165012.4302999999</v>
      </c>
      <c r="L5" s="10">
        <v>3281028.1751999999</v>
      </c>
      <c r="M5" s="10">
        <v>2905885.2025199998</v>
      </c>
      <c r="N5" s="10">
        <v>2835022.7714999998</v>
      </c>
      <c r="O5" s="10">
        <v>3279076.2584000002</v>
      </c>
      <c r="P5" s="10">
        <v>2338562.5293999999</v>
      </c>
      <c r="Q5" s="10">
        <v>3047769.4687999999</v>
      </c>
      <c r="R5" s="10">
        <v>2791628.8254</v>
      </c>
      <c r="S5" s="10">
        <v>2540245.9887999999</v>
      </c>
      <c r="T5" s="10">
        <v>2053486.2927999999</v>
      </c>
      <c r="U5" s="10">
        <v>2000702.4820999999</v>
      </c>
      <c r="V5" s="10">
        <v>1839267.2112</v>
      </c>
      <c r="W5" s="10">
        <v>5108790.9993000003</v>
      </c>
      <c r="X5" s="10">
        <v>1498526.6507000001</v>
      </c>
      <c r="Y5" s="10">
        <v>3921447.648</v>
      </c>
      <c r="Z5" s="10">
        <v>3996790.1201999998</v>
      </c>
      <c r="AA5" s="10"/>
    </row>
    <row r="6" spans="1:27" x14ac:dyDescent="0.35">
      <c r="A6" s="8">
        <v>46159</v>
      </c>
      <c r="B6" s="9">
        <v>204892504.43004</v>
      </c>
      <c r="C6" s="10">
        <v>51178628.426239997</v>
      </c>
      <c r="D6" s="10">
        <v>50298029.489699997</v>
      </c>
      <c r="E6" s="10">
        <v>40003856.17977</v>
      </c>
      <c r="F6" s="10">
        <v>2864118.1154</v>
      </c>
      <c r="G6" s="10">
        <v>3020455.7720900001</v>
      </c>
      <c r="H6" s="10">
        <v>4474354.5712900003</v>
      </c>
      <c r="I6" s="10">
        <v>3821962.39756</v>
      </c>
      <c r="J6" s="10">
        <v>4462885.4809999997</v>
      </c>
      <c r="K6" s="10">
        <v>1152068.149</v>
      </c>
      <c r="L6" s="10">
        <v>3273418.6935000001</v>
      </c>
      <c r="M6" s="10">
        <v>3073083.5454899999</v>
      </c>
      <c r="N6" s="10">
        <v>2841295.2033000002</v>
      </c>
      <c r="O6" s="10">
        <v>3031084.8650000002</v>
      </c>
      <c r="P6" s="10">
        <v>2560818.6405000002</v>
      </c>
      <c r="Q6" s="10">
        <v>3020832.4901000001</v>
      </c>
      <c r="R6" s="10">
        <v>2915405.7030000002</v>
      </c>
      <c r="S6" s="10">
        <v>2552980.0271000001</v>
      </c>
      <c r="T6" s="10">
        <v>2245826.4396000002</v>
      </c>
      <c r="U6" s="10">
        <v>1956358.568</v>
      </c>
      <c r="V6" s="10">
        <v>1771154.7852</v>
      </c>
      <c r="W6" s="10">
        <v>4954376.1721999999</v>
      </c>
      <c r="X6" s="10">
        <v>1430541.4789</v>
      </c>
      <c r="Y6" s="10">
        <v>4016092.4147000001</v>
      </c>
      <c r="Z6" s="10">
        <v>3972876.8213999998</v>
      </c>
      <c r="AA6" s="10"/>
    </row>
    <row r="7" spans="1:27" x14ac:dyDescent="0.35">
      <c r="A7" s="8">
        <v>46158</v>
      </c>
      <c r="B7" s="9">
        <v>204959176.50703999</v>
      </c>
      <c r="C7" s="10">
        <v>51038224.96221</v>
      </c>
      <c r="D7" s="10">
        <v>50938909.738700002</v>
      </c>
      <c r="E7" s="10">
        <v>40027596.638949998</v>
      </c>
      <c r="F7" s="10">
        <v>2662393.7592000002</v>
      </c>
      <c r="G7" s="10">
        <v>2887674.69019</v>
      </c>
      <c r="H7" s="10">
        <v>4649192.2603500001</v>
      </c>
      <c r="I7" s="10">
        <v>3894695.6749100001</v>
      </c>
      <c r="J7" s="10">
        <v>4650997.0053000003</v>
      </c>
      <c r="K7" s="10">
        <v>1169072.2775999999</v>
      </c>
      <c r="L7" s="10">
        <v>3490034.2581000002</v>
      </c>
      <c r="M7" s="10">
        <v>2872147.7807300002</v>
      </c>
      <c r="N7" s="10">
        <v>2759117.6187999998</v>
      </c>
      <c r="O7" s="10">
        <v>2935615.3173000002</v>
      </c>
      <c r="P7" s="10">
        <v>2550008.6856999998</v>
      </c>
      <c r="Q7" s="10">
        <v>3025469.2181000002</v>
      </c>
      <c r="R7" s="10">
        <v>2722937.9350999999</v>
      </c>
      <c r="S7" s="10">
        <v>2554559.2456</v>
      </c>
      <c r="T7" s="10">
        <v>2178922.7212</v>
      </c>
      <c r="U7" s="10">
        <v>1858312.9672000001</v>
      </c>
      <c r="V7" s="10">
        <v>1794921.5471000001</v>
      </c>
      <c r="W7" s="10">
        <v>4948780.7927000001</v>
      </c>
      <c r="X7" s="10">
        <v>1394952.0674999999</v>
      </c>
      <c r="Y7" s="10">
        <v>3995578.2023999998</v>
      </c>
      <c r="Z7" s="10">
        <v>3959061.1420999998</v>
      </c>
      <c r="AA7" s="10"/>
    </row>
    <row r="8" spans="1:27" x14ac:dyDescent="0.35">
      <c r="A8" s="8">
        <v>46157</v>
      </c>
      <c r="B8" s="9">
        <v>207637682.95605999</v>
      </c>
      <c r="C8" s="10">
        <v>51706772.146600001</v>
      </c>
      <c r="D8" s="10">
        <v>50733241.890600003</v>
      </c>
      <c r="E8" s="10">
        <v>41408850.325240001</v>
      </c>
      <c r="F8" s="10">
        <v>2322493.1061999998</v>
      </c>
      <c r="G8" s="10">
        <v>3068791.0255399998</v>
      </c>
      <c r="H8" s="10">
        <v>4633244.1973799998</v>
      </c>
      <c r="I8" s="10">
        <v>3904758.4204500001</v>
      </c>
      <c r="J8" s="10">
        <v>4535702.0835999995</v>
      </c>
      <c r="K8" s="10">
        <v>1210373.0208999999</v>
      </c>
      <c r="L8" s="10">
        <v>3442837.9730000002</v>
      </c>
      <c r="M8" s="10">
        <v>2930324.61595</v>
      </c>
      <c r="N8" s="10">
        <v>2934698.0296999998</v>
      </c>
      <c r="O8" s="10">
        <v>3100442.1811000002</v>
      </c>
      <c r="P8" s="10">
        <v>2316802.7059999998</v>
      </c>
      <c r="Q8" s="10">
        <v>3067589.9193000002</v>
      </c>
      <c r="R8" s="10">
        <v>2787822.9767999998</v>
      </c>
      <c r="S8" s="10">
        <v>2760446.9013999999</v>
      </c>
      <c r="T8" s="10">
        <v>2231410.2053</v>
      </c>
      <c r="U8" s="10">
        <v>1852239.6296000001</v>
      </c>
      <c r="V8" s="10">
        <v>1954801.1281999999</v>
      </c>
      <c r="W8" s="10">
        <v>5270523.0902000004</v>
      </c>
      <c r="X8" s="10">
        <v>1514652.9849</v>
      </c>
      <c r="Y8" s="10">
        <v>4053618.2955999998</v>
      </c>
      <c r="Z8" s="10">
        <v>3895246.1025</v>
      </c>
      <c r="AA8" s="10"/>
    </row>
    <row r="9" spans="1:27" x14ac:dyDescent="0.35">
      <c r="A9" s="8">
        <v>46156</v>
      </c>
      <c r="B9" s="9">
        <v>207806553.53159001</v>
      </c>
      <c r="C9" s="10">
        <v>51619119.493600003</v>
      </c>
      <c r="D9" s="10">
        <v>50422064.879100002</v>
      </c>
      <c r="E9" s="10">
        <v>41066777.145609997</v>
      </c>
      <c r="F9" s="10">
        <v>2194659.5550000002</v>
      </c>
      <c r="G9" s="10">
        <v>3135885.1115600001</v>
      </c>
      <c r="H9" s="10">
        <v>4658306.7819999997</v>
      </c>
      <c r="I9" s="10">
        <v>3625133.9075799999</v>
      </c>
      <c r="J9" s="10">
        <v>5080304.2348999996</v>
      </c>
      <c r="K9" s="10">
        <v>1231561.4010999999</v>
      </c>
      <c r="L9" s="10">
        <v>3689103.7091999999</v>
      </c>
      <c r="M9" s="10">
        <v>2959854.06764</v>
      </c>
      <c r="N9" s="10">
        <v>2746209.0101999999</v>
      </c>
      <c r="O9" s="10">
        <v>3238493.2987000002</v>
      </c>
      <c r="P9" s="10">
        <v>2452927.9989999998</v>
      </c>
      <c r="Q9" s="10">
        <v>3087533.3724000002</v>
      </c>
      <c r="R9" s="10">
        <v>2884816.9937</v>
      </c>
      <c r="S9" s="10">
        <v>2697308.4948999998</v>
      </c>
      <c r="T9" s="10">
        <v>2379639.8919000002</v>
      </c>
      <c r="U9" s="10">
        <v>1830857.9491000001</v>
      </c>
      <c r="V9" s="10">
        <v>2007180.1314000001</v>
      </c>
      <c r="W9" s="10">
        <v>5511214.5718999999</v>
      </c>
      <c r="X9" s="10">
        <v>1449734.0560999999</v>
      </c>
      <c r="Y9" s="10">
        <v>4015078.5865000002</v>
      </c>
      <c r="Z9" s="10">
        <v>3822788.8884999999</v>
      </c>
      <c r="AA9" s="10"/>
    </row>
    <row r="10" spans="1:27" x14ac:dyDescent="0.35">
      <c r="A10" s="8">
        <v>46155</v>
      </c>
      <c r="B10" s="9">
        <v>207527304.50314</v>
      </c>
      <c r="C10" s="10">
        <v>51458523.495839998</v>
      </c>
      <c r="D10" s="10">
        <v>50145230.530599996</v>
      </c>
      <c r="E10" s="10">
        <v>40617117.268540002</v>
      </c>
      <c r="F10" s="10">
        <v>2253028.0266999998</v>
      </c>
      <c r="G10" s="10">
        <v>3125783.3462399999</v>
      </c>
      <c r="H10" s="10">
        <v>4660351.9499500003</v>
      </c>
      <c r="I10" s="10">
        <v>3995463.2201</v>
      </c>
      <c r="J10" s="10">
        <v>5052130.9412000002</v>
      </c>
      <c r="K10" s="10">
        <v>1287638.5759000001</v>
      </c>
      <c r="L10" s="10">
        <v>3672003.7028999999</v>
      </c>
      <c r="M10" s="10">
        <v>2945903.1038700002</v>
      </c>
      <c r="N10" s="10">
        <v>2904826.3613</v>
      </c>
      <c r="O10" s="10">
        <v>3130779.6606000001</v>
      </c>
      <c r="P10" s="10">
        <v>2527328.9734999998</v>
      </c>
      <c r="Q10" s="10">
        <v>3257839.6137000001</v>
      </c>
      <c r="R10" s="10">
        <v>2739262.5676000002</v>
      </c>
      <c r="S10" s="10">
        <v>2560062.4465999999</v>
      </c>
      <c r="T10" s="10">
        <v>2423326.6490000002</v>
      </c>
      <c r="U10" s="10">
        <v>1888833.9628999999</v>
      </c>
      <c r="V10" s="10">
        <v>1999747.7759</v>
      </c>
      <c r="W10" s="10">
        <v>5681636.8596999999</v>
      </c>
      <c r="X10" s="10">
        <v>1463624.7593</v>
      </c>
      <c r="Y10" s="10">
        <v>3958771.3358</v>
      </c>
      <c r="Z10" s="10">
        <v>3778089.3753999998</v>
      </c>
      <c r="AA10" s="10"/>
    </row>
    <row r="11" spans="1:27" x14ac:dyDescent="0.35">
      <c r="A11" s="8">
        <v>46154</v>
      </c>
      <c r="B11" s="9">
        <v>208967831.72106999</v>
      </c>
      <c r="C11" s="10">
        <v>51762606.810549997</v>
      </c>
      <c r="D11" s="10">
        <v>50503035.940700002</v>
      </c>
      <c r="E11" s="10">
        <v>41274018.158670001</v>
      </c>
      <c r="F11" s="10">
        <v>2333793.6836000001</v>
      </c>
      <c r="G11" s="10">
        <v>3235087.51706</v>
      </c>
      <c r="H11" s="10">
        <v>4611524.9514100002</v>
      </c>
      <c r="I11" s="10">
        <v>3811357.92588</v>
      </c>
      <c r="J11" s="10">
        <v>5313809.1344999997</v>
      </c>
      <c r="K11" s="10">
        <v>1295781.9256</v>
      </c>
      <c r="L11" s="10">
        <v>3677762.9361999999</v>
      </c>
      <c r="M11" s="10">
        <v>2869238.0702</v>
      </c>
      <c r="N11" s="10">
        <v>2633778.5377000002</v>
      </c>
      <c r="O11" s="10">
        <v>3189423.3848999999</v>
      </c>
      <c r="P11" s="10">
        <v>2524240.7486999999</v>
      </c>
      <c r="Q11" s="10">
        <v>3183908.1825000001</v>
      </c>
      <c r="R11" s="10">
        <v>2703086.6211999999</v>
      </c>
      <c r="S11" s="10">
        <v>2539200.6061999998</v>
      </c>
      <c r="T11" s="10">
        <v>2497116.2705999999</v>
      </c>
      <c r="U11" s="10">
        <v>1920565.6923</v>
      </c>
      <c r="V11" s="10">
        <v>1998422.2183999999</v>
      </c>
      <c r="W11" s="10">
        <v>5577010.9747000001</v>
      </c>
      <c r="X11" s="10">
        <v>1491317.9002</v>
      </c>
      <c r="Y11" s="10">
        <v>4043813.7581000002</v>
      </c>
      <c r="Z11" s="10">
        <v>3977929.7711999998</v>
      </c>
      <c r="AA11" s="10"/>
    </row>
    <row r="12" spans="1:27" x14ac:dyDescent="0.35">
      <c r="A12" s="8">
        <v>46153</v>
      </c>
      <c r="B12" s="9">
        <v>211020281.78119001</v>
      </c>
      <c r="C12" s="10">
        <v>51672916.712049998</v>
      </c>
      <c r="D12" s="10">
        <v>50518644.0999</v>
      </c>
      <c r="E12" s="10">
        <v>42610572.076719999</v>
      </c>
      <c r="F12" s="10">
        <v>2413059.8796000001</v>
      </c>
      <c r="G12" s="10">
        <v>3036363.4739700002</v>
      </c>
      <c r="H12" s="10">
        <v>4815759.8401899999</v>
      </c>
      <c r="I12" s="10">
        <v>3928041.58347</v>
      </c>
      <c r="J12" s="10">
        <v>5452695.8583000004</v>
      </c>
      <c r="K12" s="10">
        <v>1336252.5297999999</v>
      </c>
      <c r="L12" s="10">
        <v>3580587.8744000001</v>
      </c>
      <c r="M12" s="10">
        <v>2952305.5335900001</v>
      </c>
      <c r="N12" s="10">
        <v>2748657.8892000001</v>
      </c>
      <c r="O12" s="10">
        <v>3229667.7741999999</v>
      </c>
      <c r="P12" s="10">
        <v>2383580.9363000002</v>
      </c>
      <c r="Q12" s="10">
        <v>3081976.4948999998</v>
      </c>
      <c r="R12" s="10">
        <v>2964371.4498999999</v>
      </c>
      <c r="S12" s="10">
        <v>2612286.6593999998</v>
      </c>
      <c r="T12" s="10">
        <v>2299350.7389000002</v>
      </c>
      <c r="U12" s="10">
        <v>1883218.9716</v>
      </c>
      <c r="V12" s="10">
        <v>2008768.4812</v>
      </c>
      <c r="W12" s="10">
        <v>6079414.3315000003</v>
      </c>
      <c r="X12" s="10">
        <v>1449835.8166</v>
      </c>
      <c r="Y12" s="10">
        <v>4005968.1264</v>
      </c>
      <c r="Z12" s="10">
        <v>3955984.6491</v>
      </c>
      <c r="AA12" s="10"/>
    </row>
    <row r="13" spans="1:27" x14ac:dyDescent="0.35">
      <c r="A13" s="8">
        <v>46152</v>
      </c>
      <c r="B13" s="9">
        <v>206617735.77465001</v>
      </c>
      <c r="C13" s="10">
        <v>50966956.750940003</v>
      </c>
      <c r="D13" s="10">
        <v>50719457.165700004</v>
      </c>
      <c r="E13" s="10">
        <v>40425120.488370001</v>
      </c>
      <c r="F13" s="10">
        <v>2031154.3269</v>
      </c>
      <c r="G13" s="10">
        <v>3073395.38179</v>
      </c>
      <c r="H13" s="10">
        <v>4562406.5772399995</v>
      </c>
      <c r="I13" s="10">
        <v>4107438.8237399999</v>
      </c>
      <c r="J13" s="10">
        <v>4565874.0267000003</v>
      </c>
      <c r="K13" s="10">
        <v>1314326.4567</v>
      </c>
      <c r="L13" s="10">
        <v>3597847.7596999998</v>
      </c>
      <c r="M13" s="10">
        <v>2931412.7228700002</v>
      </c>
      <c r="N13" s="10">
        <v>2695305.6255999999</v>
      </c>
      <c r="O13" s="10">
        <v>3259214.2519</v>
      </c>
      <c r="P13" s="10">
        <v>2543173.5512999999</v>
      </c>
      <c r="Q13" s="10">
        <v>3090764.2538000001</v>
      </c>
      <c r="R13" s="10">
        <v>2879024.6838000002</v>
      </c>
      <c r="S13" s="10">
        <v>2557231.0937000001</v>
      </c>
      <c r="T13" s="10">
        <v>2310206.7776000001</v>
      </c>
      <c r="U13" s="10">
        <v>1848446.3881000001</v>
      </c>
      <c r="V13" s="10">
        <v>1887345.6222000001</v>
      </c>
      <c r="W13" s="10">
        <v>5761579.4945</v>
      </c>
      <c r="X13" s="10">
        <v>1432081.2401000001</v>
      </c>
      <c r="Y13" s="10">
        <v>4119107.4835999999</v>
      </c>
      <c r="Z13" s="10">
        <v>3938864.8278000001</v>
      </c>
      <c r="AA13" s="10"/>
    </row>
    <row r="14" spans="1:27" x14ac:dyDescent="0.35">
      <c r="A14" s="8">
        <v>46151</v>
      </c>
      <c r="B14" s="9">
        <v>235291604.12597999</v>
      </c>
      <c r="C14" s="10">
        <v>66256494.22208</v>
      </c>
      <c r="D14" s="10">
        <v>64813148.520999998</v>
      </c>
      <c r="E14" s="10">
        <v>40359453.804899998</v>
      </c>
      <c r="F14" s="10">
        <v>2181937.4559999998</v>
      </c>
      <c r="G14" s="10">
        <v>2958681.1902600001</v>
      </c>
      <c r="H14" s="10">
        <v>4449718.8622599998</v>
      </c>
      <c r="I14" s="10">
        <v>3951208.6381000001</v>
      </c>
      <c r="J14" s="10">
        <v>4436217.6558999997</v>
      </c>
      <c r="K14" s="10">
        <v>1272117.1243</v>
      </c>
      <c r="L14" s="10">
        <v>3646902.6844000001</v>
      </c>
      <c r="M14" s="10">
        <v>2878286.5383799998</v>
      </c>
      <c r="N14" s="10">
        <v>2682032.8670000001</v>
      </c>
      <c r="O14" s="10">
        <v>3303561.1828999999</v>
      </c>
      <c r="P14" s="10">
        <v>2572494.9953999999</v>
      </c>
      <c r="Q14" s="10">
        <v>2985088.6458000001</v>
      </c>
      <c r="R14" s="10">
        <v>2672157.6283999998</v>
      </c>
      <c r="S14" s="10">
        <v>2386511.1757</v>
      </c>
      <c r="T14" s="10">
        <v>2471145.0633</v>
      </c>
      <c r="U14" s="10">
        <v>1932665.8703000001</v>
      </c>
      <c r="V14" s="10">
        <v>1921481.6126000001</v>
      </c>
      <c r="W14" s="10">
        <v>5782945.3097000001</v>
      </c>
      <c r="X14" s="10">
        <v>1454881.8071999999</v>
      </c>
      <c r="Y14" s="10">
        <v>4044495.4959999998</v>
      </c>
      <c r="Z14" s="10">
        <v>3877975.7741</v>
      </c>
      <c r="AA14" s="10"/>
    </row>
    <row r="15" spans="1:27" x14ac:dyDescent="0.35">
      <c r="A15" s="8">
        <v>46150</v>
      </c>
      <c r="B15" s="9">
        <v>271508972.55541003</v>
      </c>
      <c r="C15" s="10">
        <v>81287838.490439996</v>
      </c>
      <c r="D15" s="10">
        <v>81276693.290900007</v>
      </c>
      <c r="E15" s="10">
        <v>44628308.197839998</v>
      </c>
      <c r="F15" s="10">
        <v>2301751.571</v>
      </c>
      <c r="G15" s="10">
        <v>2916199.9941400001</v>
      </c>
      <c r="H15" s="10">
        <v>4661601.0774900001</v>
      </c>
      <c r="I15" s="10">
        <v>3949977.8738000002</v>
      </c>
      <c r="J15" s="10">
        <v>4336247.074</v>
      </c>
      <c r="K15" s="10">
        <v>2508462.4977000002</v>
      </c>
      <c r="L15" s="10">
        <v>3475157.3922999999</v>
      </c>
      <c r="M15" s="10">
        <v>2890446.3467999999</v>
      </c>
      <c r="N15" s="10">
        <v>2746815.5674999999</v>
      </c>
      <c r="O15" s="10">
        <v>3139784.1491</v>
      </c>
      <c r="P15" s="10">
        <v>2407093.5822999999</v>
      </c>
      <c r="Q15" s="10">
        <v>2891004.9333000001</v>
      </c>
      <c r="R15" s="10">
        <v>2893574.3325999998</v>
      </c>
      <c r="S15" s="10">
        <v>2461018.4841999998</v>
      </c>
      <c r="T15" s="10">
        <v>2284765.6811000002</v>
      </c>
      <c r="U15" s="10">
        <v>1956753.774</v>
      </c>
      <c r="V15" s="10">
        <v>1838438.1706999999</v>
      </c>
      <c r="W15" s="10">
        <v>5225140.4287999999</v>
      </c>
      <c r="X15" s="10">
        <v>1494405.7852</v>
      </c>
      <c r="Y15" s="10">
        <v>3989298.1112000002</v>
      </c>
      <c r="Z15" s="10">
        <v>3948195.7489999998</v>
      </c>
      <c r="AA15" s="10"/>
    </row>
    <row r="16" spans="1:27" x14ac:dyDescent="0.35">
      <c r="A16" s="8">
        <v>46149</v>
      </c>
      <c r="B16" s="9">
        <v>281696245.83978999</v>
      </c>
      <c r="C16" s="10">
        <v>82202719.780750006</v>
      </c>
      <c r="D16" s="10">
        <v>80446378.510199994</v>
      </c>
      <c r="E16" s="10">
        <v>49261216.628349997</v>
      </c>
      <c r="F16" s="10">
        <v>5095400.6794999996</v>
      </c>
      <c r="G16" s="10">
        <v>2975603.3578900001</v>
      </c>
      <c r="H16" s="10">
        <v>4628218.0655100001</v>
      </c>
      <c r="I16" s="10">
        <v>3935057.4901299998</v>
      </c>
      <c r="J16" s="10">
        <v>4325019.0955999997</v>
      </c>
      <c r="K16" s="10">
        <v>4743448.8426999999</v>
      </c>
      <c r="L16" s="10">
        <v>3589252.2064999999</v>
      </c>
      <c r="M16" s="10">
        <v>3029263.6813599998</v>
      </c>
      <c r="N16" s="10">
        <v>2894406.1329000001</v>
      </c>
      <c r="O16" s="10">
        <v>3335361.0290999999</v>
      </c>
      <c r="P16" s="10">
        <v>2567741.2648999998</v>
      </c>
      <c r="Q16" s="10">
        <v>2775546.2536999998</v>
      </c>
      <c r="R16" s="10">
        <v>2809457.7908999999</v>
      </c>
      <c r="S16" s="10">
        <v>2384769.8516000002</v>
      </c>
      <c r="T16" s="10">
        <v>2222691.6184999999</v>
      </c>
      <c r="U16" s="10">
        <v>1943111.0131000001</v>
      </c>
      <c r="V16" s="10">
        <v>1893713.9216</v>
      </c>
      <c r="W16" s="10">
        <v>5208603.5954999998</v>
      </c>
      <c r="X16" s="10">
        <v>1464191.04</v>
      </c>
      <c r="Y16" s="10">
        <v>4089228.4216999998</v>
      </c>
      <c r="Z16" s="10">
        <v>3875845.5677999998</v>
      </c>
      <c r="AA16" s="10"/>
    </row>
    <row r="17" spans="1:27" x14ac:dyDescent="0.35">
      <c r="A17" s="8">
        <v>46148</v>
      </c>
      <c r="B17" s="9">
        <v>275018730.09424001</v>
      </c>
      <c r="C17" s="10">
        <v>81730902.672910005</v>
      </c>
      <c r="D17" s="10">
        <v>80318482.310399994</v>
      </c>
      <c r="E17" s="10">
        <v>45902895.853100002</v>
      </c>
      <c r="F17" s="10">
        <v>2307795.9471</v>
      </c>
      <c r="G17" s="10">
        <v>2857963.8496400001</v>
      </c>
      <c r="H17" s="10">
        <v>4348355.6205099998</v>
      </c>
      <c r="I17" s="10">
        <v>3827617.5317500001</v>
      </c>
      <c r="J17" s="10">
        <v>4758814.1029000003</v>
      </c>
      <c r="K17" s="10">
        <v>4966851.5061999997</v>
      </c>
      <c r="L17" s="10">
        <v>3740982.5477999998</v>
      </c>
      <c r="M17" s="10">
        <v>2751566.53553</v>
      </c>
      <c r="N17" s="10">
        <v>2642198.8528</v>
      </c>
      <c r="O17" s="10">
        <v>3400286.1113</v>
      </c>
      <c r="P17" s="10">
        <v>2494009.406</v>
      </c>
      <c r="Q17" s="10">
        <v>2922053.4369999999</v>
      </c>
      <c r="R17" s="10">
        <v>2887949.2116</v>
      </c>
      <c r="S17" s="10">
        <v>2428087.1320000002</v>
      </c>
      <c r="T17" s="10">
        <v>2096647.8838</v>
      </c>
      <c r="U17" s="10">
        <v>1927637.9491000001</v>
      </c>
      <c r="V17" s="10">
        <v>1843672.68</v>
      </c>
      <c r="W17" s="10">
        <v>5231010.3696999997</v>
      </c>
      <c r="X17" s="10">
        <v>1495650.5342999999</v>
      </c>
      <c r="Y17" s="10">
        <v>4200757.5169000002</v>
      </c>
      <c r="Z17" s="10">
        <v>3936540.5318999998</v>
      </c>
      <c r="AA17" s="10"/>
    </row>
    <row r="18" spans="1:27" x14ac:dyDescent="0.35">
      <c r="A18" s="8">
        <v>46147</v>
      </c>
      <c r="B18" s="9">
        <v>267429884.72465</v>
      </c>
      <c r="C18" s="10">
        <v>81371288.667590007</v>
      </c>
      <c r="D18" s="10">
        <v>80135583.7773</v>
      </c>
      <c r="E18" s="10">
        <v>40826549.968149997</v>
      </c>
      <c r="F18" s="10">
        <v>1956246.2279000001</v>
      </c>
      <c r="G18" s="10">
        <v>2797018.1732600001</v>
      </c>
      <c r="H18" s="10">
        <v>4434331.9981699996</v>
      </c>
      <c r="I18" s="10">
        <v>3765960.3092999998</v>
      </c>
      <c r="J18" s="10">
        <v>4926254.4063999997</v>
      </c>
      <c r="K18" s="10">
        <v>4345480.1743999999</v>
      </c>
      <c r="L18" s="10">
        <v>3669660.4737999998</v>
      </c>
      <c r="M18" s="10">
        <v>2828684.2080799998</v>
      </c>
      <c r="N18" s="10">
        <v>2639583.8319999999</v>
      </c>
      <c r="O18" s="10">
        <v>3157657.5690000001</v>
      </c>
      <c r="P18" s="10">
        <v>2378903.2990000001</v>
      </c>
      <c r="Q18" s="10">
        <v>2867519.6227000002</v>
      </c>
      <c r="R18" s="10">
        <v>2666315.9528000001</v>
      </c>
      <c r="S18" s="10">
        <v>2354669.2376000001</v>
      </c>
      <c r="T18" s="10">
        <v>2100814.2546999999</v>
      </c>
      <c r="U18" s="10">
        <v>2024343.8186999999</v>
      </c>
      <c r="V18" s="10">
        <v>1991351.5374</v>
      </c>
      <c r="W18" s="10">
        <v>4861610.5388000002</v>
      </c>
      <c r="X18" s="10">
        <v>1496321.9375</v>
      </c>
      <c r="Y18" s="10">
        <v>3933729.8804000001</v>
      </c>
      <c r="Z18" s="10">
        <v>3900004.8596999999</v>
      </c>
      <c r="AA18" s="10"/>
    </row>
    <row r="19" spans="1:27" x14ac:dyDescent="0.35">
      <c r="A19" s="8">
        <v>46146</v>
      </c>
      <c r="B19" s="9">
        <v>269264554.86579001</v>
      </c>
      <c r="C19" s="10">
        <v>81656061.246240005</v>
      </c>
      <c r="D19" s="10">
        <v>80554756.169699997</v>
      </c>
      <c r="E19" s="10">
        <v>43078040.231059998</v>
      </c>
      <c r="F19" s="10">
        <v>2064214.1239</v>
      </c>
      <c r="G19" s="10">
        <v>2875164.4940499999</v>
      </c>
      <c r="H19" s="10">
        <v>4207618.8194700005</v>
      </c>
      <c r="I19" s="10">
        <v>3763833.2960299999</v>
      </c>
      <c r="J19" s="10">
        <v>4236622.6516000004</v>
      </c>
      <c r="K19" s="10">
        <v>4125541.3755000001</v>
      </c>
      <c r="L19" s="10">
        <v>3831019.7181000002</v>
      </c>
      <c r="M19" s="10">
        <v>2775551.8328399998</v>
      </c>
      <c r="N19" s="10">
        <v>2657761.8886000002</v>
      </c>
      <c r="O19" s="10">
        <v>3050214.3144</v>
      </c>
      <c r="P19" s="10">
        <v>2410037.7527999999</v>
      </c>
      <c r="Q19" s="10">
        <v>2768751.7146999999</v>
      </c>
      <c r="R19" s="10">
        <v>2681016.6987999999</v>
      </c>
      <c r="S19" s="10">
        <v>2305932.4717999999</v>
      </c>
      <c r="T19" s="10">
        <v>2028338.4672000001</v>
      </c>
      <c r="U19" s="10">
        <v>2085265.9643999999</v>
      </c>
      <c r="V19" s="10">
        <v>1938058.564</v>
      </c>
      <c r="W19" s="10">
        <v>4776157.5301999999</v>
      </c>
      <c r="X19" s="10">
        <v>1491422.6942</v>
      </c>
      <c r="Y19" s="10">
        <v>4057597.8750999998</v>
      </c>
      <c r="Z19" s="10">
        <v>3845574.9711000002</v>
      </c>
      <c r="AA19" s="10"/>
    </row>
    <row r="20" spans="1:27" x14ac:dyDescent="0.35">
      <c r="A20" s="8">
        <v>46145</v>
      </c>
      <c r="B20" s="9">
        <v>266260064.20280001</v>
      </c>
      <c r="C20" s="10">
        <v>81025548.92622</v>
      </c>
      <c r="D20" s="10">
        <v>80018209.842700005</v>
      </c>
      <c r="E20" s="10">
        <v>40211696.333559997</v>
      </c>
      <c r="F20" s="10">
        <v>1935141.7381</v>
      </c>
      <c r="G20" s="10">
        <v>2795216.4110099999</v>
      </c>
      <c r="H20" s="10">
        <v>4397134.4759099996</v>
      </c>
      <c r="I20" s="10">
        <v>3692569.1140700001</v>
      </c>
      <c r="J20" s="10">
        <v>3879957.6173</v>
      </c>
      <c r="K20" s="10">
        <v>5219665.1725000003</v>
      </c>
      <c r="L20" s="10">
        <v>3448696.6372000002</v>
      </c>
      <c r="M20" s="10">
        <v>2971996.5571300001</v>
      </c>
      <c r="N20" s="10">
        <v>2632132.1562999999</v>
      </c>
      <c r="O20" s="10">
        <v>3229390.8631000002</v>
      </c>
      <c r="P20" s="10">
        <v>2494796.3110000002</v>
      </c>
      <c r="Q20" s="10">
        <v>2792058.2308999998</v>
      </c>
      <c r="R20" s="10">
        <v>2770455.2836000002</v>
      </c>
      <c r="S20" s="10">
        <v>2402976.0639</v>
      </c>
      <c r="T20" s="10">
        <v>2340253.4783999999</v>
      </c>
      <c r="U20" s="10">
        <v>2102008.2529000002</v>
      </c>
      <c r="V20" s="10">
        <v>1893554.2492</v>
      </c>
      <c r="W20" s="10">
        <v>4683498.5365000004</v>
      </c>
      <c r="X20" s="10">
        <v>1427055.6525999999</v>
      </c>
      <c r="Y20" s="10">
        <v>3892234.8243</v>
      </c>
      <c r="Z20" s="10">
        <v>4003817.4744000002</v>
      </c>
      <c r="AA20" s="10"/>
    </row>
    <row r="21" spans="1:27" x14ac:dyDescent="0.35">
      <c r="A21" s="8">
        <v>46144</v>
      </c>
      <c r="B21" s="9">
        <v>267188529.24388999</v>
      </c>
      <c r="C21" s="10">
        <v>81035685.598499998</v>
      </c>
      <c r="D21" s="10">
        <v>80764511.940799996</v>
      </c>
      <c r="E21" s="10">
        <v>40126376.608850002</v>
      </c>
      <c r="F21" s="10">
        <v>1972869.5116000001</v>
      </c>
      <c r="G21" s="10">
        <v>2844371.64218</v>
      </c>
      <c r="H21" s="10">
        <v>4321106.2284300001</v>
      </c>
      <c r="I21" s="10">
        <v>3696528.9795400002</v>
      </c>
      <c r="J21" s="10">
        <v>3844440.1727</v>
      </c>
      <c r="K21" s="10">
        <v>5847495.9283999996</v>
      </c>
      <c r="L21" s="10">
        <v>3459814.8519000001</v>
      </c>
      <c r="M21" s="10">
        <v>2841200.5468899999</v>
      </c>
      <c r="N21" s="10">
        <v>2600182.7398000001</v>
      </c>
      <c r="O21" s="10">
        <v>3208392.4178999998</v>
      </c>
      <c r="P21" s="10">
        <v>2505624.9410999999</v>
      </c>
      <c r="Q21" s="10">
        <v>2822586.5935999998</v>
      </c>
      <c r="R21" s="10">
        <v>2721793.5236999998</v>
      </c>
      <c r="S21" s="10">
        <v>2316650.5907000001</v>
      </c>
      <c r="T21" s="10">
        <v>2313535.8053000001</v>
      </c>
      <c r="U21" s="10">
        <v>2065360.2947</v>
      </c>
      <c r="V21" s="10">
        <v>1857551.1595000001</v>
      </c>
      <c r="W21" s="10">
        <v>4795107.9603000004</v>
      </c>
      <c r="X21" s="10">
        <v>1412665.7745999999</v>
      </c>
      <c r="Y21" s="10">
        <v>3956494.6112000002</v>
      </c>
      <c r="Z21" s="10">
        <v>3858180.8217000002</v>
      </c>
      <c r="AA21" s="10"/>
    </row>
    <row r="22" spans="1:27" x14ac:dyDescent="0.35">
      <c r="A22" s="8">
        <v>46143</v>
      </c>
      <c r="B22" s="9">
        <v>265931064.99326</v>
      </c>
      <c r="C22" s="10">
        <v>82083678.291820005</v>
      </c>
      <c r="D22" s="10">
        <v>81193879.303499997</v>
      </c>
      <c r="E22" s="10">
        <v>41169163.576399997</v>
      </c>
      <c r="F22" s="10">
        <v>1989329.7856000001</v>
      </c>
      <c r="G22" s="10">
        <v>2748036.06568</v>
      </c>
      <c r="H22" s="10">
        <v>4416395.6900399998</v>
      </c>
      <c r="I22" s="10">
        <v>3945795.42282</v>
      </c>
      <c r="J22" s="10">
        <v>3693282.4278000002</v>
      </c>
      <c r="K22" s="10">
        <v>5723965.7914000005</v>
      </c>
      <c r="L22" s="10">
        <v>3312544.2034</v>
      </c>
      <c r="M22" s="10">
        <v>2906018.6529999999</v>
      </c>
      <c r="N22" s="10">
        <v>2666967.6066999999</v>
      </c>
      <c r="O22" s="10">
        <v>3077998.1949999998</v>
      </c>
      <c r="P22" s="10">
        <v>2421281.6784000001</v>
      </c>
      <c r="Q22" s="10">
        <v>2755870.6941999998</v>
      </c>
      <c r="R22" s="10">
        <v>2742462.7178000002</v>
      </c>
      <c r="S22" s="10">
        <v>2418265.1346999998</v>
      </c>
      <c r="T22" s="10">
        <v>2141182.2604999999</v>
      </c>
      <c r="U22" s="10">
        <v>2011876.4387000001</v>
      </c>
      <c r="V22" s="10">
        <v>1789006.5022</v>
      </c>
      <c r="W22" s="10">
        <v>3444516.7437</v>
      </c>
      <c r="X22" s="10">
        <v>1428848.0832</v>
      </c>
      <c r="Y22" s="10">
        <v>2921718.3982000002</v>
      </c>
      <c r="Z22" s="10">
        <v>2928981.3284999998</v>
      </c>
      <c r="AA22" s="10"/>
    </row>
    <row r="23" spans="1:27" x14ac:dyDescent="0.35">
      <c r="A23" s="8">
        <v>46142</v>
      </c>
      <c r="B23" s="9">
        <v>254174016.67473</v>
      </c>
      <c r="C23" s="10">
        <v>81914896.207000002</v>
      </c>
      <c r="D23" s="10">
        <v>80191055.265699998</v>
      </c>
      <c r="E23" s="10">
        <v>40777537.624349996</v>
      </c>
      <c r="F23" s="10">
        <v>1851448.5663999999</v>
      </c>
      <c r="G23" s="10">
        <v>2878086.7713299999</v>
      </c>
      <c r="H23" s="10">
        <v>4188377.4462899999</v>
      </c>
      <c r="I23" s="10">
        <v>3989922.7350499998</v>
      </c>
      <c r="J23" s="10">
        <v>3595945.8525999999</v>
      </c>
      <c r="K23" s="10">
        <v>5446276.3893999998</v>
      </c>
      <c r="L23" s="10">
        <v>3309204.2382</v>
      </c>
      <c r="M23" s="10">
        <v>2885131.3069099998</v>
      </c>
      <c r="N23" s="10">
        <v>2581764.503</v>
      </c>
      <c r="O23" s="10">
        <v>3171777.9684000001</v>
      </c>
      <c r="P23" s="10">
        <v>2437601.6423999998</v>
      </c>
      <c r="Q23" s="10">
        <v>2654643.7626999998</v>
      </c>
      <c r="R23" s="10">
        <v>2639689.9087</v>
      </c>
      <c r="S23" s="10">
        <v>2459610.9769000001</v>
      </c>
      <c r="T23" s="10">
        <v>2074644.7842999999</v>
      </c>
      <c r="U23" s="10">
        <v>1985985.5974999999</v>
      </c>
      <c r="V23" s="10">
        <v>1797935.4294</v>
      </c>
      <c r="W23" s="10"/>
      <c r="X23" s="10">
        <v>1342479.6982</v>
      </c>
      <c r="Y23" s="10"/>
      <c r="Z23" s="10"/>
      <c r="AA23" s="10"/>
    </row>
    <row r="24" spans="1:27" x14ac:dyDescent="0.35">
      <c r="A24" s="8">
        <v>46141</v>
      </c>
      <c r="B24" s="9">
        <v>254049937.44823</v>
      </c>
      <c r="C24" s="10">
        <v>81246473.894490004</v>
      </c>
      <c r="D24" s="10">
        <v>80146743.019800007</v>
      </c>
      <c r="E24" s="10">
        <v>41017296.552780002</v>
      </c>
      <c r="F24" s="10">
        <v>1932437.5767000001</v>
      </c>
      <c r="G24" s="10">
        <v>2698537.5767999999</v>
      </c>
      <c r="H24" s="10">
        <v>4532045.6417899998</v>
      </c>
      <c r="I24" s="10">
        <v>3717635.2050299998</v>
      </c>
      <c r="J24" s="10">
        <v>3782690.0931000002</v>
      </c>
      <c r="K24" s="10">
        <v>5446807.9841</v>
      </c>
      <c r="L24" s="10">
        <v>3164691.8558999998</v>
      </c>
      <c r="M24" s="10">
        <v>3240632.0157400002</v>
      </c>
      <c r="N24" s="10">
        <v>2703563.4696999998</v>
      </c>
      <c r="O24" s="10">
        <v>3125218.9298</v>
      </c>
      <c r="P24" s="10">
        <v>2544558.9794000001</v>
      </c>
      <c r="Q24" s="10">
        <v>2673024.6453999998</v>
      </c>
      <c r="R24" s="10">
        <v>2557896.8624999998</v>
      </c>
      <c r="S24" s="10">
        <v>2430335.0252999999</v>
      </c>
      <c r="T24" s="10">
        <v>2020854.6451000001</v>
      </c>
      <c r="U24" s="10">
        <v>1919221.3859000001</v>
      </c>
      <c r="V24" s="10">
        <v>1802929.7312</v>
      </c>
      <c r="W24" s="10"/>
      <c r="X24" s="10">
        <v>1346342.3577000001</v>
      </c>
      <c r="Y24" s="10"/>
      <c r="Z24" s="10"/>
      <c r="AA24" s="10"/>
    </row>
    <row r="25" spans="1:27" x14ac:dyDescent="0.35">
      <c r="A25" s="8">
        <v>46140</v>
      </c>
      <c r="B25" s="9">
        <v>252999861.21689999</v>
      </c>
      <c r="C25" s="10">
        <v>81061356.247920007</v>
      </c>
      <c r="D25" s="10">
        <v>80480535.092899993</v>
      </c>
      <c r="E25" s="10">
        <v>40478718.428340003</v>
      </c>
      <c r="F25" s="10">
        <v>1852293.4733</v>
      </c>
      <c r="G25" s="10">
        <v>2850195.0098299999</v>
      </c>
      <c r="H25" s="10">
        <v>4310075.71863</v>
      </c>
      <c r="I25" s="10">
        <v>3667612.8264299999</v>
      </c>
      <c r="J25" s="10">
        <v>3662819.6239</v>
      </c>
      <c r="K25" s="10">
        <v>5168652.3000999996</v>
      </c>
      <c r="L25" s="10">
        <v>3251726.9199000001</v>
      </c>
      <c r="M25" s="10">
        <v>3118013.64965</v>
      </c>
      <c r="N25" s="10">
        <v>2442642.2333</v>
      </c>
      <c r="O25" s="10">
        <v>3110966.7749000001</v>
      </c>
      <c r="P25" s="10">
        <v>2393898.8160999999</v>
      </c>
      <c r="Q25" s="10">
        <v>2698459.2963999999</v>
      </c>
      <c r="R25" s="10">
        <v>2424420.4372</v>
      </c>
      <c r="S25" s="10">
        <v>2481170.0312000001</v>
      </c>
      <c r="T25" s="10">
        <v>2068238.6958000001</v>
      </c>
      <c r="U25" s="10">
        <v>2001549.2426</v>
      </c>
      <c r="V25" s="10">
        <v>1874364.9552</v>
      </c>
      <c r="W25" s="10"/>
      <c r="X25" s="10">
        <v>1602151.4432999999</v>
      </c>
      <c r="Y25" s="10"/>
      <c r="Z25" s="10"/>
      <c r="AA25" s="10"/>
    </row>
    <row r="26" spans="1:27" x14ac:dyDescent="0.35">
      <c r="A26" s="8">
        <v>46139</v>
      </c>
      <c r="B26" s="9">
        <v>262975158.76291999</v>
      </c>
      <c r="C26" s="10">
        <v>82252534.968679994</v>
      </c>
      <c r="D26" s="10">
        <v>88009438.655599996</v>
      </c>
      <c r="E26" s="10">
        <v>40176692.244889997</v>
      </c>
      <c r="F26" s="10">
        <v>2059787.0268000001</v>
      </c>
      <c r="G26" s="10">
        <v>2926371.2018900001</v>
      </c>
      <c r="H26" s="10">
        <v>4354685.34143</v>
      </c>
      <c r="I26" s="10">
        <v>3800848.1792100002</v>
      </c>
      <c r="J26" s="10">
        <v>3769110.7004</v>
      </c>
      <c r="K26" s="10">
        <v>5607671.2569000004</v>
      </c>
      <c r="L26" s="10">
        <v>3468041.7826</v>
      </c>
      <c r="M26" s="10">
        <v>3081612.7059200001</v>
      </c>
      <c r="N26" s="10">
        <v>2516718.0943999998</v>
      </c>
      <c r="O26" s="10">
        <v>3045136.4586</v>
      </c>
      <c r="P26" s="10">
        <v>2507713.0531000001</v>
      </c>
      <c r="Q26" s="10">
        <v>2795028.7017000001</v>
      </c>
      <c r="R26" s="10">
        <v>2504599.2864000001</v>
      </c>
      <c r="S26" s="10">
        <v>2499459.6296000001</v>
      </c>
      <c r="T26" s="10">
        <v>2052225.4254000001</v>
      </c>
      <c r="U26" s="10">
        <v>2059110.5327999999</v>
      </c>
      <c r="V26" s="10">
        <v>1886838.1836000001</v>
      </c>
      <c r="W26" s="10"/>
      <c r="X26" s="10">
        <v>1601535.3330000001</v>
      </c>
      <c r="Y26" s="10"/>
      <c r="Z26" s="10"/>
      <c r="AA26" s="10"/>
    </row>
    <row r="27" spans="1:27" x14ac:dyDescent="0.35">
      <c r="A27" s="8">
        <v>46138</v>
      </c>
      <c r="B27" s="9">
        <v>212397055.79883</v>
      </c>
      <c r="C27" s="10">
        <v>81882863.057740003</v>
      </c>
      <c r="D27" s="10">
        <v>38545313.893299997</v>
      </c>
      <c r="E27" s="10">
        <v>40023564.225220002</v>
      </c>
      <c r="F27" s="10">
        <v>1971991.0796000001</v>
      </c>
      <c r="G27" s="10">
        <v>3060969.7372400002</v>
      </c>
      <c r="H27" s="10">
        <v>4667180.04036</v>
      </c>
      <c r="I27" s="10">
        <v>3782982.6069100001</v>
      </c>
      <c r="J27" s="10">
        <v>3801409.6875</v>
      </c>
      <c r="K27" s="10">
        <v>5120492.5155999996</v>
      </c>
      <c r="L27" s="10">
        <v>3107522.2418999998</v>
      </c>
      <c r="M27" s="10">
        <v>3215556.2795600002</v>
      </c>
      <c r="N27" s="10">
        <v>2530947.5723999999</v>
      </c>
      <c r="O27" s="10">
        <v>3135456.0918999999</v>
      </c>
      <c r="P27" s="10">
        <v>2473224.5605000001</v>
      </c>
      <c r="Q27" s="10">
        <v>2574819.6143999998</v>
      </c>
      <c r="R27" s="10">
        <v>2462025.7176999999</v>
      </c>
      <c r="S27" s="10">
        <v>2402363.2673999998</v>
      </c>
      <c r="T27" s="10">
        <v>2136399.9353</v>
      </c>
      <c r="U27" s="10">
        <v>2021421.1740000001</v>
      </c>
      <c r="V27" s="10">
        <v>1912952.1287</v>
      </c>
      <c r="W27" s="10"/>
      <c r="X27" s="10">
        <v>1567600.3716</v>
      </c>
      <c r="Y27" s="10"/>
      <c r="Z27" s="10"/>
      <c r="AA27" s="10"/>
    </row>
    <row r="28" spans="1:27" x14ac:dyDescent="0.35">
      <c r="A28" s="8">
        <v>46137</v>
      </c>
      <c r="B28" s="9">
        <v>254128143.92174</v>
      </c>
      <c r="C28" s="10">
        <v>81270598.036660001</v>
      </c>
      <c r="D28" s="10">
        <v>80630436.034799993</v>
      </c>
      <c r="E28" s="10">
        <v>40039851.348269999</v>
      </c>
      <c r="F28" s="10">
        <v>1958694.1969999999</v>
      </c>
      <c r="G28" s="10">
        <v>2956593.1043099998</v>
      </c>
      <c r="H28" s="10">
        <v>4129330.0065700002</v>
      </c>
      <c r="I28" s="10">
        <v>3894226.1823900002</v>
      </c>
      <c r="J28" s="10">
        <v>3781768.6932999999</v>
      </c>
      <c r="K28" s="10">
        <v>5410596.6527000004</v>
      </c>
      <c r="L28" s="10">
        <v>3337589.2703</v>
      </c>
      <c r="M28" s="10">
        <v>3255479.15264</v>
      </c>
      <c r="N28" s="10">
        <v>2523006.8424</v>
      </c>
      <c r="O28" s="10">
        <v>3048494.6568</v>
      </c>
      <c r="P28" s="10">
        <v>2505811.4589999998</v>
      </c>
      <c r="Q28" s="10">
        <v>2825764.3023999999</v>
      </c>
      <c r="R28" s="10">
        <v>2494590.3558</v>
      </c>
      <c r="S28" s="10">
        <v>2435096.7793000001</v>
      </c>
      <c r="T28" s="10">
        <v>2082750.5331999999</v>
      </c>
      <c r="U28" s="10">
        <v>2033140.6477999999</v>
      </c>
      <c r="V28" s="10">
        <v>1899292.4876000001</v>
      </c>
      <c r="W28" s="10"/>
      <c r="X28" s="10">
        <v>1615033.1784999999</v>
      </c>
      <c r="Y28" s="10"/>
      <c r="Z28" s="10"/>
      <c r="AA28" s="10"/>
    </row>
    <row r="29" spans="1:27" x14ac:dyDescent="0.35">
      <c r="A29" s="8">
        <v>46136</v>
      </c>
      <c r="B29" s="9">
        <v>264210884.41912001</v>
      </c>
      <c r="C29" s="10">
        <v>81386501.157440007</v>
      </c>
      <c r="D29" s="10">
        <v>80227958.799400002</v>
      </c>
      <c r="E29" s="10">
        <v>40429390.272569999</v>
      </c>
      <c r="F29" s="10">
        <v>6744939.6584999999</v>
      </c>
      <c r="G29" s="10">
        <v>8869415.1685199998</v>
      </c>
      <c r="H29" s="10">
        <v>4241264.7553700004</v>
      </c>
      <c r="I29" s="10">
        <v>3697550.33133</v>
      </c>
      <c r="J29" s="10">
        <v>3768109.6734000002</v>
      </c>
      <c r="K29" s="10">
        <v>5136091.6079000002</v>
      </c>
      <c r="L29" s="10">
        <v>3317410.8842000002</v>
      </c>
      <c r="M29" s="10">
        <v>3098853.1104899999</v>
      </c>
      <c r="N29" s="10">
        <v>2483703.9607000002</v>
      </c>
      <c r="O29" s="10">
        <v>3184956.4049999998</v>
      </c>
      <c r="P29" s="10">
        <v>2499932.2239000001</v>
      </c>
      <c r="Q29" s="10">
        <v>2664149.8626999999</v>
      </c>
      <c r="R29" s="10">
        <v>2360236</v>
      </c>
      <c r="S29" s="10">
        <v>2486085.1398</v>
      </c>
      <c r="T29" s="10">
        <v>2091320.3185000001</v>
      </c>
      <c r="U29" s="10">
        <v>2073054.4364</v>
      </c>
      <c r="V29" s="10">
        <v>1916463.5569</v>
      </c>
      <c r="W29" s="10"/>
      <c r="X29" s="10">
        <v>1533497.0961</v>
      </c>
      <c r="Y29" s="10"/>
      <c r="Z29" s="10"/>
      <c r="AA29" s="10"/>
    </row>
    <row r="30" spans="1:27" x14ac:dyDescent="0.35">
      <c r="A30" s="8">
        <v>46135</v>
      </c>
      <c r="B30" s="9">
        <v>277720007.59232998</v>
      </c>
      <c r="C30" s="10">
        <v>83592715.693330005</v>
      </c>
      <c r="D30" s="10">
        <v>81115766.392700002</v>
      </c>
      <c r="E30" s="10">
        <v>41036577.821170002</v>
      </c>
      <c r="F30" s="10">
        <v>12656075.243000001</v>
      </c>
      <c r="G30" s="10">
        <v>13015531.603530001</v>
      </c>
      <c r="H30" s="10">
        <v>4219542.4181000004</v>
      </c>
      <c r="I30" s="10">
        <v>3667619.35476</v>
      </c>
      <c r="J30" s="10">
        <v>3974981.4490999999</v>
      </c>
      <c r="K30" s="10">
        <v>4890649.3280999996</v>
      </c>
      <c r="L30" s="10">
        <v>3475740.4635999999</v>
      </c>
      <c r="M30" s="10">
        <v>3038838.1954399999</v>
      </c>
      <c r="N30" s="10">
        <v>2475752.8626000001</v>
      </c>
      <c r="O30" s="10">
        <v>2978942.9824999999</v>
      </c>
      <c r="P30" s="10">
        <v>2451521.8457999998</v>
      </c>
      <c r="Q30" s="10">
        <v>2712972.5088</v>
      </c>
      <c r="R30" s="10">
        <v>2360020.0068999999</v>
      </c>
      <c r="S30" s="10">
        <v>2252108.7766</v>
      </c>
      <c r="T30" s="10">
        <v>2096138.2037</v>
      </c>
      <c r="U30" s="10">
        <v>2119394.7604</v>
      </c>
      <c r="V30" s="10">
        <v>1925712.0697999999</v>
      </c>
      <c r="W30" s="10"/>
      <c r="X30" s="10">
        <v>1663405.6124</v>
      </c>
      <c r="Y30" s="10"/>
      <c r="Z30" s="10"/>
      <c r="AA30" s="10"/>
    </row>
    <row r="31" spans="1:27" x14ac:dyDescent="0.35">
      <c r="A31" s="8">
        <v>46134</v>
      </c>
      <c r="B31" s="9">
        <v>243485440.79569</v>
      </c>
      <c r="C31" s="10">
        <v>71480714.013449997</v>
      </c>
      <c r="D31" s="10">
        <v>79927789.509499997</v>
      </c>
      <c r="E31" s="10">
        <v>40192797.826569997</v>
      </c>
      <c r="F31" s="10">
        <v>2085416.0800999999</v>
      </c>
      <c r="G31" s="10">
        <v>2859034.2180300001</v>
      </c>
      <c r="H31" s="10">
        <v>4171240.0698299999</v>
      </c>
      <c r="I31" s="10">
        <v>3916679.84338</v>
      </c>
      <c r="J31" s="10">
        <v>3655718.7505999999</v>
      </c>
      <c r="K31" s="10">
        <v>4823761.7155999998</v>
      </c>
      <c r="L31" s="10">
        <v>3499815.3588999999</v>
      </c>
      <c r="M31" s="10">
        <v>3197128.8786300002</v>
      </c>
      <c r="N31" s="10">
        <v>2555048.4953000001</v>
      </c>
      <c r="O31" s="10">
        <v>2930772.7426999998</v>
      </c>
      <c r="P31" s="10">
        <v>2615776.8157000002</v>
      </c>
      <c r="Q31" s="10">
        <v>2918030.1641000002</v>
      </c>
      <c r="R31" s="10">
        <v>2368937.5622</v>
      </c>
      <c r="S31" s="10">
        <v>2343933.2404</v>
      </c>
      <c r="T31" s="10">
        <v>2219975.0918000001</v>
      </c>
      <c r="U31" s="10">
        <v>2147741.2491000001</v>
      </c>
      <c r="V31" s="10">
        <v>1931934.3354</v>
      </c>
      <c r="W31" s="10"/>
      <c r="X31" s="10">
        <v>1643194.8344000001</v>
      </c>
      <c r="Y31" s="10"/>
      <c r="Z31" s="10"/>
      <c r="AA31" s="10"/>
    </row>
    <row r="32" spans="1:27" x14ac:dyDescent="0.35">
      <c r="A32" s="8">
        <v>46133</v>
      </c>
      <c r="B32" s="9">
        <v>267819701.92188999</v>
      </c>
      <c r="C32" s="10">
        <v>94385671.002090007</v>
      </c>
      <c r="D32" s="10">
        <v>81149645.751900002</v>
      </c>
      <c r="E32" s="10">
        <v>40419191.950560004</v>
      </c>
      <c r="F32" s="10">
        <v>1942067.5412000001</v>
      </c>
      <c r="G32" s="10">
        <v>3062740.1634</v>
      </c>
      <c r="H32" s="10">
        <v>4209128.0998499999</v>
      </c>
      <c r="I32" s="10">
        <v>3860074.2918799999</v>
      </c>
      <c r="J32" s="10">
        <v>4082814.0647</v>
      </c>
      <c r="K32" s="10">
        <v>4359350.8454</v>
      </c>
      <c r="L32" s="10">
        <v>3488987.7722999998</v>
      </c>
      <c r="M32" s="10">
        <v>3288014.5229099998</v>
      </c>
      <c r="N32" s="10">
        <v>2469597.8774999999</v>
      </c>
      <c r="O32" s="10">
        <v>3019673.4235999999</v>
      </c>
      <c r="P32" s="10">
        <v>2560583.2011000002</v>
      </c>
      <c r="Q32" s="10">
        <v>2874021.1833000001</v>
      </c>
      <c r="R32" s="10">
        <v>2339322.5849000001</v>
      </c>
      <c r="S32" s="10">
        <v>2504250.7957000001</v>
      </c>
      <c r="T32" s="10">
        <v>2182883.4775</v>
      </c>
      <c r="U32" s="10">
        <v>1960051.9291999999</v>
      </c>
      <c r="V32" s="10">
        <v>2007849.3241999999</v>
      </c>
      <c r="W32" s="10"/>
      <c r="X32" s="10">
        <v>1653782.1187</v>
      </c>
      <c r="Y32" s="10"/>
      <c r="Z32" s="10"/>
      <c r="AA32" s="10"/>
    </row>
    <row r="33" spans="1:27" x14ac:dyDescent="0.35">
      <c r="A33" s="8">
        <v>46132</v>
      </c>
      <c r="B33" s="9">
        <v>248656245.09906</v>
      </c>
      <c r="C33" s="10">
        <v>79232637.900749996</v>
      </c>
      <c r="D33" s="10">
        <v>78715358.087799996</v>
      </c>
      <c r="E33" s="10">
        <v>40469540.916840002</v>
      </c>
      <c r="F33" s="10">
        <v>2036659.8936999999</v>
      </c>
      <c r="G33" s="10">
        <v>2866488.5081600002</v>
      </c>
      <c r="H33" s="10">
        <v>4062561.4082900002</v>
      </c>
      <c r="I33" s="10">
        <v>3871368.7378199999</v>
      </c>
      <c r="J33" s="10">
        <v>3908916.3525999999</v>
      </c>
      <c r="K33" s="10">
        <v>3093292.3355999999</v>
      </c>
      <c r="L33" s="10">
        <v>3427032.5723999999</v>
      </c>
      <c r="M33" s="10">
        <v>3394024.0246000001</v>
      </c>
      <c r="N33" s="10">
        <v>2490059.8870999999</v>
      </c>
      <c r="O33" s="10">
        <v>2731823.6466000001</v>
      </c>
      <c r="P33" s="10">
        <v>2652468.2678</v>
      </c>
      <c r="Q33" s="10">
        <v>2926547.6814000001</v>
      </c>
      <c r="R33" s="10">
        <v>2456131.1645999998</v>
      </c>
      <c r="S33" s="10">
        <v>2369037.9545999998</v>
      </c>
      <c r="T33" s="10">
        <v>2195776.2897999999</v>
      </c>
      <c r="U33" s="10">
        <v>2082647.9358999999</v>
      </c>
      <c r="V33" s="10">
        <v>1972921.4206999999</v>
      </c>
      <c r="W33" s="10"/>
      <c r="X33" s="10">
        <v>1700950.112</v>
      </c>
      <c r="Y33" s="10"/>
      <c r="Z33" s="10"/>
      <c r="AA33" s="10"/>
    </row>
    <row r="34" spans="1:27" x14ac:dyDescent="0.35">
      <c r="A34" s="8">
        <v>46131</v>
      </c>
      <c r="B34" s="9">
        <v>260346146.25801</v>
      </c>
      <c r="C34" s="10">
        <v>85590988.188820004</v>
      </c>
      <c r="D34" s="10">
        <v>84020918.666700006</v>
      </c>
      <c r="E34" s="10">
        <v>41038175.658840001</v>
      </c>
      <c r="F34" s="10">
        <v>1963100.1783</v>
      </c>
      <c r="G34" s="10">
        <v>3124558.2763399999</v>
      </c>
      <c r="H34" s="10">
        <v>4153862.0657000002</v>
      </c>
      <c r="I34" s="10">
        <v>3714723.16071</v>
      </c>
      <c r="J34" s="10">
        <v>4152895.9057</v>
      </c>
      <c r="K34" s="10">
        <v>2325540.4556999998</v>
      </c>
      <c r="L34" s="10">
        <v>3094687.4750999999</v>
      </c>
      <c r="M34" s="10">
        <v>3401658.3103999998</v>
      </c>
      <c r="N34" s="10">
        <v>2571553.3483000002</v>
      </c>
      <c r="O34" s="10">
        <v>2955202.9224999999</v>
      </c>
      <c r="P34" s="10">
        <v>2679250.9550000001</v>
      </c>
      <c r="Q34" s="10">
        <v>2876914.6137000001</v>
      </c>
      <c r="R34" s="10">
        <v>2428659.6831</v>
      </c>
      <c r="S34" s="10">
        <v>2311959.3215999999</v>
      </c>
      <c r="T34" s="10">
        <v>2020448.5020000001</v>
      </c>
      <c r="U34" s="10">
        <v>2108335.0211999998</v>
      </c>
      <c r="V34" s="10">
        <v>1986840.9565999999</v>
      </c>
      <c r="W34" s="10"/>
      <c r="X34" s="10">
        <v>1825872.5917</v>
      </c>
      <c r="Y34" s="10"/>
      <c r="Z34" s="10"/>
      <c r="AA34" s="10"/>
    </row>
    <row r="35" spans="1:27" x14ac:dyDescent="0.35">
      <c r="A35" s="8">
        <v>46130</v>
      </c>
      <c r="B35" s="9">
        <v>253916107.18494999</v>
      </c>
      <c r="C35" s="10">
        <v>82036238.027459994</v>
      </c>
      <c r="D35" s="10">
        <v>80346444.618100002</v>
      </c>
      <c r="E35" s="10">
        <v>40607364.799220003</v>
      </c>
      <c r="F35" s="10">
        <v>1960378.365</v>
      </c>
      <c r="G35" s="10">
        <v>2974726.5136899999</v>
      </c>
      <c r="H35" s="10">
        <v>4047097.6143800002</v>
      </c>
      <c r="I35" s="10">
        <v>3839419.10482</v>
      </c>
      <c r="J35" s="10">
        <v>4135658.9920999999</v>
      </c>
      <c r="K35" s="10">
        <v>2990824.3591</v>
      </c>
      <c r="L35" s="10">
        <v>3289308.2725999998</v>
      </c>
      <c r="M35" s="10">
        <v>3162596.3072799998</v>
      </c>
      <c r="N35" s="10">
        <v>2570509.0580000002</v>
      </c>
      <c r="O35" s="10">
        <v>2998160.7895</v>
      </c>
      <c r="P35" s="10">
        <v>3571622.9929999998</v>
      </c>
      <c r="Q35" s="10">
        <v>2869667.7503999998</v>
      </c>
      <c r="R35" s="10">
        <v>2298602.3645000001</v>
      </c>
      <c r="S35" s="10">
        <v>2412601.1531000002</v>
      </c>
      <c r="T35" s="10">
        <v>1988696.2505999999</v>
      </c>
      <c r="U35" s="10">
        <v>2162170.8550999998</v>
      </c>
      <c r="V35" s="10">
        <v>1927276.0515000001</v>
      </c>
      <c r="W35" s="10"/>
      <c r="X35" s="10">
        <v>1726742.9454999999</v>
      </c>
      <c r="Y35" s="10"/>
      <c r="Z35" s="10"/>
      <c r="AA35" s="10"/>
    </row>
    <row r="36" spans="1:27" x14ac:dyDescent="0.35">
      <c r="A36" s="8">
        <v>46129</v>
      </c>
      <c r="B36" s="9">
        <v>254765284.27372</v>
      </c>
      <c r="C36" s="10">
        <v>82393948.382139996</v>
      </c>
      <c r="D36" s="10">
        <v>80704453.829300001</v>
      </c>
      <c r="E36" s="10">
        <v>41483973.344080001</v>
      </c>
      <c r="F36" s="10">
        <v>1972897.5769</v>
      </c>
      <c r="G36" s="10">
        <v>2878907.5595999998</v>
      </c>
      <c r="H36" s="10">
        <v>4220561.1174699999</v>
      </c>
      <c r="I36" s="10">
        <v>3844381.2686800002</v>
      </c>
      <c r="J36" s="10">
        <v>4125861.4457</v>
      </c>
      <c r="K36" s="10">
        <v>3237029.2121000001</v>
      </c>
      <c r="L36" s="10">
        <v>3107197.4597999998</v>
      </c>
      <c r="M36" s="10">
        <v>3282848.9119500001</v>
      </c>
      <c r="N36" s="10">
        <v>2531560.8081</v>
      </c>
      <c r="O36" s="10">
        <v>2917109.0775000001</v>
      </c>
      <c r="P36" s="10">
        <v>2540390.5578999999</v>
      </c>
      <c r="Q36" s="10">
        <v>2708144.3813</v>
      </c>
      <c r="R36" s="10">
        <v>2418418.3594999998</v>
      </c>
      <c r="S36" s="10">
        <v>2374941.7083000001</v>
      </c>
      <c r="T36" s="10">
        <v>2278800.7365999999</v>
      </c>
      <c r="U36" s="10">
        <v>2055894.8673</v>
      </c>
      <c r="V36" s="10">
        <v>1892328.6063999999</v>
      </c>
      <c r="W36" s="10"/>
      <c r="X36" s="10">
        <v>1795635.0630999999</v>
      </c>
      <c r="Y36" s="10"/>
      <c r="Z36" s="10"/>
      <c r="AA36" s="10"/>
    </row>
    <row r="37" spans="1:27" x14ac:dyDescent="0.35">
      <c r="A37" s="8">
        <v>46128</v>
      </c>
      <c r="B37" s="9">
        <v>252084215.79811001</v>
      </c>
      <c r="C37" s="10">
        <v>82152958.405440003</v>
      </c>
      <c r="D37" s="10">
        <v>80219647.778799996</v>
      </c>
      <c r="E37" s="10">
        <v>40380736.812380001</v>
      </c>
      <c r="F37" s="10">
        <v>2021670.9069999999</v>
      </c>
      <c r="G37" s="10">
        <v>3012347.3310699998</v>
      </c>
      <c r="H37" s="10">
        <v>4069591.6496700002</v>
      </c>
      <c r="I37" s="10">
        <v>3678188.4176099999</v>
      </c>
      <c r="J37" s="10">
        <v>3942969.0362999998</v>
      </c>
      <c r="K37" s="10">
        <v>3200630.7837999999</v>
      </c>
      <c r="L37" s="10">
        <v>2748707.4906000001</v>
      </c>
      <c r="M37" s="10">
        <v>3071647.4265399999</v>
      </c>
      <c r="N37" s="10">
        <v>2478592.9685</v>
      </c>
      <c r="O37" s="10">
        <v>2993570.9106000001</v>
      </c>
      <c r="P37" s="10">
        <v>2657583.2329000002</v>
      </c>
      <c r="Q37" s="10">
        <v>2747466.9389</v>
      </c>
      <c r="R37" s="10">
        <v>2421331.7066000002</v>
      </c>
      <c r="S37" s="10">
        <v>2298141.2533999998</v>
      </c>
      <c r="T37" s="10">
        <v>2276186.0351999998</v>
      </c>
      <c r="U37" s="10">
        <v>2091616.8992999999</v>
      </c>
      <c r="V37" s="10">
        <v>1909987.5523999999</v>
      </c>
      <c r="W37" s="10"/>
      <c r="X37" s="10">
        <v>1710642.2611</v>
      </c>
      <c r="Y37" s="10"/>
      <c r="Z37" s="10"/>
      <c r="AA37" s="10"/>
    </row>
    <row r="38" spans="1:27" x14ac:dyDescent="0.35">
      <c r="A38" s="8">
        <v>46127</v>
      </c>
      <c r="B38" s="9">
        <v>251310320.32683</v>
      </c>
      <c r="C38" s="10">
        <v>82410937.982989997</v>
      </c>
      <c r="D38" s="10">
        <v>79943958.845100001</v>
      </c>
      <c r="E38" s="10">
        <v>40360794.17362</v>
      </c>
      <c r="F38" s="10">
        <v>2187165.6976999999</v>
      </c>
      <c r="G38" s="10">
        <v>2669038.9037000001</v>
      </c>
      <c r="H38" s="10">
        <v>3953335.8289100002</v>
      </c>
      <c r="I38" s="10">
        <v>3633674.9078199998</v>
      </c>
      <c r="J38" s="10">
        <v>4284297.2297</v>
      </c>
      <c r="K38" s="10">
        <v>3116175.5625999998</v>
      </c>
      <c r="L38" s="10">
        <v>2623325.7012</v>
      </c>
      <c r="M38" s="10">
        <v>3143944.3719899999</v>
      </c>
      <c r="N38" s="10">
        <v>2508772.5608999999</v>
      </c>
      <c r="O38" s="10">
        <v>3024954.1329999999</v>
      </c>
      <c r="P38" s="10">
        <v>2605440.5290999999</v>
      </c>
      <c r="Q38" s="10">
        <v>2669020.5029000002</v>
      </c>
      <c r="R38" s="10">
        <v>2247841.1285999999</v>
      </c>
      <c r="S38" s="10">
        <v>2332173.9249</v>
      </c>
      <c r="T38" s="10">
        <v>2249881.2741</v>
      </c>
      <c r="U38" s="10">
        <v>1899239.7627000001</v>
      </c>
      <c r="V38" s="10">
        <v>1806471.7475999999</v>
      </c>
      <c r="W38" s="10"/>
      <c r="X38" s="10">
        <v>1639875.5577</v>
      </c>
      <c r="Y38" s="10"/>
      <c r="Z38" s="10"/>
      <c r="AA38" s="10"/>
    </row>
    <row r="39" spans="1:27" x14ac:dyDescent="0.35">
      <c r="A39" s="8">
        <v>46126</v>
      </c>
      <c r="B39" s="9">
        <v>252490470.49270999</v>
      </c>
      <c r="C39" s="10">
        <v>82551185.930820003</v>
      </c>
      <c r="D39" s="10">
        <v>80566856.750499994</v>
      </c>
      <c r="E39" s="10">
        <v>41073766.319669999</v>
      </c>
      <c r="F39" s="10">
        <v>2102503.8846999998</v>
      </c>
      <c r="G39" s="10">
        <v>3025478.8397300001</v>
      </c>
      <c r="H39" s="10">
        <v>4011099.5570399999</v>
      </c>
      <c r="I39" s="10">
        <v>3611526.0726200002</v>
      </c>
      <c r="J39" s="10">
        <v>4237130.5070000002</v>
      </c>
      <c r="K39" s="10">
        <v>2860254.8366999999</v>
      </c>
      <c r="L39" s="10">
        <v>2797714.9391999999</v>
      </c>
      <c r="M39" s="10">
        <v>2934606.2832300002</v>
      </c>
      <c r="N39" s="10">
        <v>2513954.6123000002</v>
      </c>
      <c r="O39" s="10">
        <v>2947656.3681999999</v>
      </c>
      <c r="P39" s="10">
        <v>2681352.7612999999</v>
      </c>
      <c r="Q39" s="10">
        <v>2612505.4737</v>
      </c>
      <c r="R39" s="10">
        <v>2418120.9413999999</v>
      </c>
      <c r="S39" s="10">
        <v>2265680.6041000001</v>
      </c>
      <c r="T39" s="10">
        <v>2209468.3322000001</v>
      </c>
      <c r="U39" s="10">
        <v>1838491.6621999999</v>
      </c>
      <c r="V39" s="10">
        <v>1750476.0125</v>
      </c>
      <c r="W39" s="10"/>
      <c r="X39" s="10">
        <v>1480639.8036</v>
      </c>
      <c r="Y39" s="10"/>
      <c r="Z39" s="10"/>
      <c r="AA39" s="10"/>
    </row>
    <row r="40" spans="1:27" x14ac:dyDescent="0.35">
      <c r="A40" s="8">
        <v>46125</v>
      </c>
      <c r="B40" s="9">
        <v>247456355.52581</v>
      </c>
      <c r="C40" s="10">
        <v>80275231.153840005</v>
      </c>
      <c r="D40" s="10">
        <v>78368611.393199995</v>
      </c>
      <c r="E40" s="10">
        <v>41525632.639749996</v>
      </c>
      <c r="F40" s="10">
        <v>2538776.4739999999</v>
      </c>
      <c r="G40" s="10">
        <v>2818115.7724899999</v>
      </c>
      <c r="H40" s="10">
        <v>3973573.6668799999</v>
      </c>
      <c r="I40" s="10">
        <v>3686456.85152</v>
      </c>
      <c r="J40" s="10">
        <v>3527279.1375000002</v>
      </c>
      <c r="K40" s="10">
        <v>2898837.2735000001</v>
      </c>
      <c r="L40" s="10">
        <v>2483631.1828000001</v>
      </c>
      <c r="M40" s="10">
        <v>2790369.5411299998</v>
      </c>
      <c r="N40" s="10">
        <v>2561777.2892999998</v>
      </c>
      <c r="O40" s="10">
        <v>2857682.7121000001</v>
      </c>
      <c r="P40" s="10">
        <v>2574324.9112999998</v>
      </c>
      <c r="Q40" s="10">
        <v>2590677.4495999999</v>
      </c>
      <c r="R40" s="10">
        <v>2192664.9454000001</v>
      </c>
      <c r="S40" s="10">
        <v>2341001.2917999998</v>
      </c>
      <c r="T40" s="10">
        <v>2202228.1367000001</v>
      </c>
      <c r="U40" s="10">
        <v>2051439.5064000001</v>
      </c>
      <c r="V40" s="10">
        <v>1849320.8204000001</v>
      </c>
      <c r="W40" s="10"/>
      <c r="X40" s="10">
        <v>1347023.2072000001</v>
      </c>
      <c r="Y40" s="10"/>
      <c r="Z40" s="10"/>
      <c r="AA40" s="10">
        <v>1700.1690000000001</v>
      </c>
    </row>
    <row r="41" spans="1:27" x14ac:dyDescent="0.35">
      <c r="A41" s="8">
        <v>46124</v>
      </c>
      <c r="B41" s="9">
        <v>260947377.00378999</v>
      </c>
      <c r="C41" s="10">
        <v>85911520.1074</v>
      </c>
      <c r="D41" s="10">
        <v>83996083.500300005</v>
      </c>
      <c r="E41" s="10">
        <v>42977759.679509997</v>
      </c>
      <c r="F41" s="10">
        <v>2155686.6438000002</v>
      </c>
      <c r="G41" s="10">
        <v>2818369.9121699999</v>
      </c>
      <c r="H41" s="10">
        <v>4028548.1122400002</v>
      </c>
      <c r="I41" s="10">
        <v>3740455.2233000002</v>
      </c>
      <c r="J41" s="10">
        <v>3531980.8659999999</v>
      </c>
      <c r="K41" s="10">
        <v>3067345.7930999999</v>
      </c>
      <c r="L41" s="10">
        <v>2637496.9062000001</v>
      </c>
      <c r="M41" s="10">
        <v>2873969.2088700002</v>
      </c>
      <c r="N41" s="10">
        <v>2386740.8931</v>
      </c>
      <c r="O41" s="10">
        <v>2794429.0854000002</v>
      </c>
      <c r="P41" s="10">
        <v>2577268.0991000002</v>
      </c>
      <c r="Q41" s="10">
        <v>2694063.3851000001</v>
      </c>
      <c r="R41" s="10">
        <v>2326686.0586999999</v>
      </c>
      <c r="S41" s="10">
        <v>2401418.8771000002</v>
      </c>
      <c r="T41" s="10">
        <v>2037017.8160999999</v>
      </c>
      <c r="U41" s="10">
        <v>2074824.2169999999</v>
      </c>
      <c r="V41" s="10">
        <v>2577219.1320000002</v>
      </c>
      <c r="W41" s="10"/>
      <c r="X41" s="10">
        <v>1334185.5437</v>
      </c>
      <c r="Y41" s="10"/>
      <c r="Z41" s="10"/>
      <c r="AA41" s="10">
        <v>4307.9435999999996</v>
      </c>
    </row>
    <row r="42" spans="1:27" x14ac:dyDescent="0.35">
      <c r="A42" s="8">
        <v>46123</v>
      </c>
      <c r="B42" s="9">
        <v>259314959.84411001</v>
      </c>
      <c r="C42" s="10">
        <v>81397412.7104</v>
      </c>
      <c r="D42" s="10">
        <v>79778547.513400003</v>
      </c>
      <c r="E42" s="10">
        <v>40352078.946500003</v>
      </c>
      <c r="F42" s="10">
        <v>2171512.2751000002</v>
      </c>
      <c r="G42" s="10">
        <v>13240533.65316</v>
      </c>
      <c r="H42" s="10">
        <v>4087783.0674800002</v>
      </c>
      <c r="I42" s="10">
        <v>3386998.79844</v>
      </c>
      <c r="J42" s="10">
        <v>3509434.7327000001</v>
      </c>
      <c r="K42" s="10">
        <v>3944939.2102000001</v>
      </c>
      <c r="L42" s="10">
        <v>2516540.2030000002</v>
      </c>
      <c r="M42" s="10">
        <v>3044784.9543300001</v>
      </c>
      <c r="N42" s="10">
        <v>2465348.1162999999</v>
      </c>
      <c r="O42" s="10">
        <v>2818159.4202000001</v>
      </c>
      <c r="P42" s="10">
        <v>2580936.2538999999</v>
      </c>
      <c r="Q42" s="10">
        <v>2493436.0128000001</v>
      </c>
      <c r="R42" s="10">
        <v>2335323.5247999998</v>
      </c>
      <c r="S42" s="10">
        <v>2201304.5861</v>
      </c>
      <c r="T42" s="10">
        <v>2168439.3889000001</v>
      </c>
      <c r="U42" s="10">
        <v>1853009.3274999999</v>
      </c>
      <c r="V42" s="10">
        <v>1604399.6295</v>
      </c>
      <c r="W42" s="10"/>
      <c r="X42" s="10">
        <v>1363338.385</v>
      </c>
      <c r="Y42" s="10"/>
      <c r="Z42" s="10"/>
      <c r="AA42" s="10">
        <v>699.13440000000003</v>
      </c>
    </row>
    <row r="43" spans="1:27" x14ac:dyDescent="0.35">
      <c r="A43" s="8">
        <v>46122</v>
      </c>
      <c r="B43" s="9">
        <v>266250835.10914001</v>
      </c>
      <c r="C43" s="10">
        <v>82898439.566630006</v>
      </c>
      <c r="D43" s="10">
        <v>79863741.937999994</v>
      </c>
      <c r="E43" s="10">
        <v>41311805.783699997</v>
      </c>
      <c r="F43" s="10">
        <v>2226400.7803000002</v>
      </c>
      <c r="G43" s="10">
        <v>17535158.740510002</v>
      </c>
      <c r="H43" s="10">
        <v>4029347.2945599998</v>
      </c>
      <c r="I43" s="10">
        <v>3473866.5907600001</v>
      </c>
      <c r="J43" s="10">
        <v>3254297.5504999999</v>
      </c>
      <c r="K43" s="10">
        <v>3885075.7725999998</v>
      </c>
      <c r="L43" s="10">
        <v>2572275.5144000002</v>
      </c>
      <c r="M43" s="10">
        <v>3036652.1871799999</v>
      </c>
      <c r="N43" s="10">
        <v>2544282.7220999999</v>
      </c>
      <c r="O43" s="10">
        <v>2860015.1331000002</v>
      </c>
      <c r="P43" s="10">
        <v>2623694.7579999999</v>
      </c>
      <c r="Q43" s="10">
        <v>2413179.7744</v>
      </c>
      <c r="R43" s="10">
        <v>2600479.0373999998</v>
      </c>
      <c r="S43" s="10">
        <v>2167076.0866999999</v>
      </c>
      <c r="T43" s="10">
        <v>2123228.1502999999</v>
      </c>
      <c r="U43" s="10">
        <v>1841015.6780000001</v>
      </c>
      <c r="V43" s="10">
        <v>1670003.1383</v>
      </c>
      <c r="W43" s="10"/>
      <c r="X43" s="10">
        <v>1318360.5414</v>
      </c>
      <c r="Y43" s="10"/>
      <c r="Z43" s="10"/>
      <c r="AA43" s="10">
        <v>2438.3703</v>
      </c>
    </row>
    <row r="44" spans="1:27" x14ac:dyDescent="0.35">
      <c r="A44" s="8">
        <v>46121</v>
      </c>
      <c r="B44" s="9">
        <v>259001257.00896001</v>
      </c>
      <c r="C44" s="10">
        <v>70104817.616040006</v>
      </c>
      <c r="D44" s="10">
        <v>79588402.746600002</v>
      </c>
      <c r="E44" s="10">
        <v>47370243.400880001</v>
      </c>
      <c r="F44" s="10">
        <v>2417652.2812000001</v>
      </c>
      <c r="G44" s="10">
        <v>17835168.885529999</v>
      </c>
      <c r="H44" s="10">
        <v>3968772.5077599999</v>
      </c>
      <c r="I44" s="10">
        <v>3619662.1127499999</v>
      </c>
      <c r="J44" s="10">
        <v>3553279.8095</v>
      </c>
      <c r="K44" s="10">
        <v>3721243.1858000001</v>
      </c>
      <c r="L44" s="10">
        <v>2461129.6997000002</v>
      </c>
      <c r="M44" s="10">
        <v>2829507.0784</v>
      </c>
      <c r="N44" s="10">
        <v>2480004.5321</v>
      </c>
      <c r="O44" s="10">
        <v>2676523.0921999998</v>
      </c>
      <c r="P44" s="10">
        <v>2476625.2837</v>
      </c>
      <c r="Q44" s="10">
        <v>2543758.5937000001</v>
      </c>
      <c r="R44" s="10">
        <v>2303921.4194999998</v>
      </c>
      <c r="S44" s="10">
        <v>2105870.2064</v>
      </c>
      <c r="T44" s="10">
        <v>1982397.139</v>
      </c>
      <c r="U44" s="10">
        <v>1979199.9619</v>
      </c>
      <c r="V44" s="10">
        <v>1686388.4247999999</v>
      </c>
      <c r="W44" s="10"/>
      <c r="X44" s="10">
        <v>1296490.1780000001</v>
      </c>
      <c r="Y44" s="10"/>
      <c r="Z44" s="10"/>
      <c r="AA44" s="10">
        <v>198.8535</v>
      </c>
    </row>
    <row r="45" spans="1:27" x14ac:dyDescent="0.35">
      <c r="A45" s="8">
        <v>46120</v>
      </c>
      <c r="B45" s="9">
        <v>258439486.62136999</v>
      </c>
      <c r="C45" s="10">
        <v>76101143.190809995</v>
      </c>
      <c r="D45" s="10">
        <v>72304651.387799993</v>
      </c>
      <c r="E45" s="10">
        <v>45826280.684029996</v>
      </c>
      <c r="F45" s="10">
        <v>3803583.7766999998</v>
      </c>
      <c r="G45" s="10">
        <v>18030148.73773</v>
      </c>
      <c r="H45" s="10">
        <v>4054727.2645399999</v>
      </c>
      <c r="I45" s="10">
        <v>3792753.4934399999</v>
      </c>
      <c r="J45" s="10">
        <v>3867076.0024999999</v>
      </c>
      <c r="K45" s="10">
        <v>3624519.2782000001</v>
      </c>
      <c r="L45" s="10">
        <v>2603363.4271</v>
      </c>
      <c r="M45" s="10">
        <v>2817255.6074199998</v>
      </c>
      <c r="N45" s="10">
        <v>2430995.7489</v>
      </c>
      <c r="O45" s="10">
        <v>2537143.8821</v>
      </c>
      <c r="P45" s="10">
        <v>2441107.3429999999</v>
      </c>
      <c r="Q45" s="10">
        <v>2541947.6252000001</v>
      </c>
      <c r="R45" s="10">
        <v>2188570.4896999998</v>
      </c>
      <c r="S45" s="10">
        <v>2106697.1055999999</v>
      </c>
      <c r="T45" s="10">
        <v>2197810.9931999999</v>
      </c>
      <c r="U45" s="10">
        <v>2126211.9186999998</v>
      </c>
      <c r="V45" s="10">
        <v>1643692.2805999999</v>
      </c>
      <c r="W45" s="10"/>
      <c r="X45" s="10">
        <v>1397288.4044999999</v>
      </c>
      <c r="Y45" s="10"/>
      <c r="Z45" s="10"/>
      <c r="AA45" s="10">
        <v>2517.9796000000001</v>
      </c>
    </row>
    <row r="46" spans="1:27" x14ac:dyDescent="0.35">
      <c r="A46" s="8">
        <v>46119</v>
      </c>
      <c r="B46" s="9">
        <v>322672043.08037001</v>
      </c>
      <c r="C46" s="10">
        <v>119538327.10512</v>
      </c>
      <c r="D46" s="10">
        <v>94030252.689500004</v>
      </c>
      <c r="E46" s="10">
        <v>47206625.649920002</v>
      </c>
      <c r="F46" s="10">
        <v>2151239.4155999999</v>
      </c>
      <c r="G46" s="10">
        <v>18971911.681680001</v>
      </c>
      <c r="H46" s="10">
        <v>3755162.01884</v>
      </c>
      <c r="I46" s="10">
        <v>3388360.0772799999</v>
      </c>
      <c r="J46" s="10">
        <v>3715902.8188</v>
      </c>
      <c r="K46" s="10">
        <v>3563054.682</v>
      </c>
      <c r="L46" s="10">
        <v>2362694.3834000002</v>
      </c>
      <c r="M46" s="10">
        <v>2672451.0604300001</v>
      </c>
      <c r="N46" s="10">
        <v>2356642.3746000002</v>
      </c>
      <c r="O46" s="10">
        <v>2479171.1028</v>
      </c>
      <c r="P46" s="10">
        <v>2490741.0372000001</v>
      </c>
      <c r="Q46" s="10">
        <v>2466922.4539999999</v>
      </c>
      <c r="R46" s="10">
        <v>2141694.5578000001</v>
      </c>
      <c r="S46" s="10">
        <v>2216497.3695</v>
      </c>
      <c r="T46" s="10">
        <v>2047525.6325000001</v>
      </c>
      <c r="U46" s="10">
        <v>2106783.7933</v>
      </c>
      <c r="V46" s="10">
        <v>1653828.7768999999</v>
      </c>
      <c r="W46" s="10"/>
      <c r="X46" s="10">
        <v>1355629.3987</v>
      </c>
      <c r="Y46" s="10"/>
      <c r="Z46" s="10"/>
      <c r="AA46" s="10">
        <v>625.00049999999999</v>
      </c>
    </row>
    <row r="47" spans="1:27" x14ac:dyDescent="0.35">
      <c r="A47" s="8">
        <v>46118</v>
      </c>
      <c r="B47" s="9">
        <v>290452910.42754</v>
      </c>
      <c r="C47" s="10">
        <v>78777337.856790006</v>
      </c>
      <c r="D47" s="10">
        <v>77635276.424700007</v>
      </c>
      <c r="E47" s="10">
        <v>42252134.866120003</v>
      </c>
      <c r="F47" s="10">
        <v>30622039.840399999</v>
      </c>
      <c r="G47" s="10">
        <v>19759946.055550002</v>
      </c>
      <c r="H47" s="10">
        <v>4011886.40484</v>
      </c>
      <c r="I47" s="10">
        <v>3270976.22212</v>
      </c>
      <c r="J47" s="10">
        <v>3613079.389</v>
      </c>
      <c r="K47" s="10">
        <v>3495894.8879</v>
      </c>
      <c r="L47" s="10">
        <v>2370617.1663000002</v>
      </c>
      <c r="M47" s="10">
        <v>2821671.8669199999</v>
      </c>
      <c r="N47" s="10">
        <v>2526686.1716</v>
      </c>
      <c r="O47" s="10">
        <v>2551793.7777999998</v>
      </c>
      <c r="P47" s="10">
        <v>2561953.5391000002</v>
      </c>
      <c r="Q47" s="10">
        <v>2556839.0666999999</v>
      </c>
      <c r="R47" s="10">
        <v>2297008.1949999998</v>
      </c>
      <c r="S47" s="10">
        <v>2108910.2258000001</v>
      </c>
      <c r="T47" s="10">
        <v>2078617.1817000001</v>
      </c>
      <c r="U47" s="10">
        <v>2097000.6362999999</v>
      </c>
      <c r="V47" s="10">
        <v>1659982.4638</v>
      </c>
      <c r="W47" s="10"/>
      <c r="X47" s="10">
        <v>1383258.1891000001</v>
      </c>
      <c r="Y47" s="10"/>
      <c r="Z47" s="10"/>
      <c r="AA47" s="10"/>
    </row>
    <row r="48" spans="1:27" x14ac:dyDescent="0.35">
      <c r="A48" s="8">
        <v>46117</v>
      </c>
      <c r="B48" s="9">
        <v>327759727.55118001</v>
      </c>
      <c r="C48" s="10">
        <v>89496716.30934</v>
      </c>
      <c r="D48" s="10">
        <v>84225098.029599994</v>
      </c>
      <c r="E48" s="10">
        <v>40984340.680490002</v>
      </c>
      <c r="F48" s="10">
        <v>53189330.670699999</v>
      </c>
      <c r="G48" s="10">
        <v>19817949.686689999</v>
      </c>
      <c r="H48" s="10">
        <v>3923129.8819400002</v>
      </c>
      <c r="I48" s="10">
        <v>3304424.3192500002</v>
      </c>
      <c r="J48" s="10">
        <v>3498871.6664</v>
      </c>
      <c r="K48" s="10">
        <v>3219085.7225000001</v>
      </c>
      <c r="L48" s="10">
        <v>2385878.9177000001</v>
      </c>
      <c r="M48" s="10">
        <v>2741995.1748700002</v>
      </c>
      <c r="N48" s="10">
        <v>2186859.3703999999</v>
      </c>
      <c r="O48" s="10">
        <v>2406332.5353000001</v>
      </c>
      <c r="P48" s="10">
        <v>2393533.1512000002</v>
      </c>
      <c r="Q48" s="10">
        <v>2587520.8867000001</v>
      </c>
      <c r="R48" s="10">
        <v>2343196.6683999998</v>
      </c>
      <c r="S48" s="10">
        <v>2032030.3413</v>
      </c>
      <c r="T48" s="10">
        <v>1945772.2694000001</v>
      </c>
      <c r="U48" s="10">
        <v>2163018.9031000002</v>
      </c>
      <c r="V48" s="10">
        <v>1628865.2716999999</v>
      </c>
      <c r="W48" s="10"/>
      <c r="X48" s="10">
        <v>1285578.409</v>
      </c>
      <c r="Y48" s="10"/>
      <c r="Z48" s="10"/>
      <c r="AA48" s="10">
        <v>198.68520000000001</v>
      </c>
    </row>
    <row r="49" spans="1:27" x14ac:dyDescent="0.35">
      <c r="A49" s="8">
        <v>46116</v>
      </c>
      <c r="B49" s="9">
        <v>314611359.83467001</v>
      </c>
      <c r="C49" s="10">
        <v>77044186.562069997</v>
      </c>
      <c r="D49" s="10">
        <v>80009402.701299995</v>
      </c>
      <c r="E49" s="10">
        <v>40186017.50592</v>
      </c>
      <c r="F49" s="10">
        <v>56343591.477499999</v>
      </c>
      <c r="G49" s="10">
        <v>19984407.31067</v>
      </c>
      <c r="H49" s="10">
        <v>3768515.1338900002</v>
      </c>
      <c r="I49" s="10">
        <v>4116513.423</v>
      </c>
      <c r="J49" s="10">
        <v>3518691.6477000001</v>
      </c>
      <c r="K49" s="10">
        <v>3515404.99</v>
      </c>
      <c r="L49" s="10">
        <v>2310149.6601999998</v>
      </c>
      <c r="M49" s="10">
        <v>2671491.48232</v>
      </c>
      <c r="N49" s="10">
        <v>2312824.6693000002</v>
      </c>
      <c r="O49" s="10">
        <v>2519180.7969</v>
      </c>
      <c r="P49" s="10">
        <v>2428111.4728000001</v>
      </c>
      <c r="Q49" s="10">
        <v>2518283.6675999998</v>
      </c>
      <c r="R49" s="10">
        <v>2173721.1864</v>
      </c>
      <c r="S49" s="10">
        <v>2003111.1425000001</v>
      </c>
      <c r="T49" s="10">
        <v>2079589.0526000001</v>
      </c>
      <c r="U49" s="10">
        <v>2217492.8917</v>
      </c>
      <c r="V49" s="10">
        <v>1583783.4249</v>
      </c>
      <c r="W49" s="10"/>
      <c r="X49" s="10">
        <v>1306889.6354</v>
      </c>
      <c r="Y49" s="10"/>
      <c r="Z49" s="10"/>
      <c r="AA49" s="10"/>
    </row>
    <row r="50" spans="1:27" x14ac:dyDescent="0.35">
      <c r="A50" s="8">
        <v>46115</v>
      </c>
      <c r="B50" s="9">
        <v>225639479.36627999</v>
      </c>
      <c r="C50" s="10">
        <v>11665663.980939999</v>
      </c>
      <c r="D50" s="10">
        <v>52078241.135899998</v>
      </c>
      <c r="E50" s="10">
        <v>40623672.512659997</v>
      </c>
      <c r="F50" s="10">
        <v>60541088.251999997</v>
      </c>
      <c r="G50" s="10">
        <v>20093226.927590001</v>
      </c>
      <c r="H50" s="10">
        <v>3937841.4180600001</v>
      </c>
      <c r="I50" s="10">
        <v>3344534.98594</v>
      </c>
      <c r="J50" s="10">
        <v>3483024.1943000001</v>
      </c>
      <c r="K50" s="10">
        <v>3446166.0732999998</v>
      </c>
      <c r="L50" s="10">
        <v>2336532.9632000001</v>
      </c>
      <c r="M50" s="10">
        <v>2919958.93879</v>
      </c>
      <c r="N50" s="10">
        <v>2436038.2817000002</v>
      </c>
      <c r="O50" s="10">
        <v>2488943.7623000001</v>
      </c>
      <c r="P50" s="10">
        <v>2634910.9696999998</v>
      </c>
      <c r="Q50" s="10">
        <v>2393535.3741000001</v>
      </c>
      <c r="R50" s="10">
        <v>2086795.2538999999</v>
      </c>
      <c r="S50" s="10">
        <v>2098823.9967</v>
      </c>
      <c r="T50" s="10">
        <v>2050621.6683</v>
      </c>
      <c r="U50" s="10">
        <v>2014176.7755</v>
      </c>
      <c r="V50" s="10">
        <v>1690278.0286000001</v>
      </c>
      <c r="W50" s="10"/>
      <c r="X50" s="10">
        <v>1275403.8728</v>
      </c>
      <c r="Y50" s="10"/>
      <c r="Z50" s="10"/>
      <c r="AA50" s="10"/>
    </row>
    <row r="51" spans="1:27" x14ac:dyDescent="0.35">
      <c r="A51" s="8">
        <v>46114</v>
      </c>
      <c r="B51" s="9">
        <v>427942640.12481999</v>
      </c>
      <c r="C51" s="10">
        <v>155015368.30562001</v>
      </c>
      <c r="D51" s="10">
        <v>109838331.4499</v>
      </c>
      <c r="E51" s="10">
        <v>42444490.266549997</v>
      </c>
      <c r="F51" s="10">
        <v>60027280.994800001</v>
      </c>
      <c r="G51" s="10">
        <v>19991054.41886</v>
      </c>
      <c r="H51" s="10">
        <v>3833076.79171</v>
      </c>
      <c r="I51" s="10">
        <v>3652277.7408500002</v>
      </c>
      <c r="J51" s="10">
        <v>3436452.4027999998</v>
      </c>
      <c r="K51" s="10">
        <v>3496047.2330999998</v>
      </c>
      <c r="L51" s="10">
        <v>2438705.3001999999</v>
      </c>
      <c r="M51" s="10">
        <v>2621324.87023</v>
      </c>
      <c r="N51" s="10">
        <v>2343168.9770999998</v>
      </c>
      <c r="O51" s="10">
        <v>2467929.9375999998</v>
      </c>
      <c r="P51" s="10">
        <v>2442811.8897000002</v>
      </c>
      <c r="Q51" s="10">
        <v>2539494.2296000002</v>
      </c>
      <c r="R51" s="10">
        <v>2202494.2149</v>
      </c>
      <c r="S51" s="10">
        <v>2126966.6065000002</v>
      </c>
      <c r="T51" s="10">
        <v>1998024.7261999999</v>
      </c>
      <c r="U51" s="10">
        <v>2068869.0588</v>
      </c>
      <c r="V51" s="10">
        <v>1694412.5168000001</v>
      </c>
      <c r="W51" s="10"/>
      <c r="X51" s="10">
        <v>1264058.193</v>
      </c>
      <c r="Y51" s="10"/>
      <c r="Z51" s="10"/>
      <c r="AA51" s="10"/>
    </row>
    <row r="52" spans="1:27" x14ac:dyDescent="0.35">
      <c r="A52" s="8">
        <v>46113</v>
      </c>
      <c r="B52" s="9">
        <v>381517393.89722002</v>
      </c>
      <c r="C52" s="10">
        <v>119494142.53396</v>
      </c>
      <c r="D52" s="10">
        <v>99287600.278999999</v>
      </c>
      <c r="E52" s="10">
        <v>41424764.96649</v>
      </c>
      <c r="F52" s="10">
        <v>60002758.951800004</v>
      </c>
      <c r="G52" s="10">
        <v>19987805.458980002</v>
      </c>
      <c r="H52" s="10">
        <v>3762224.3372499999</v>
      </c>
      <c r="I52" s="10">
        <v>3473700.23312</v>
      </c>
      <c r="J52" s="10">
        <v>3809005.0896999999</v>
      </c>
      <c r="K52" s="10">
        <v>3421450.5366000002</v>
      </c>
      <c r="L52" s="10">
        <v>2411435.1603999999</v>
      </c>
      <c r="M52" s="10">
        <v>2725818.8088199999</v>
      </c>
      <c r="N52" s="10">
        <v>2433267.5729</v>
      </c>
      <c r="O52" s="10">
        <v>2434329.1576</v>
      </c>
      <c r="P52" s="10">
        <v>2645470.3163000001</v>
      </c>
      <c r="Q52" s="10">
        <v>2636255.0192</v>
      </c>
      <c r="R52" s="10">
        <v>2217953.6765999999</v>
      </c>
      <c r="S52" s="10">
        <v>2108720.2815999999</v>
      </c>
      <c r="T52" s="10">
        <v>2077402.0371000001</v>
      </c>
      <c r="U52" s="10">
        <v>2067780.916</v>
      </c>
      <c r="V52" s="10">
        <v>1717695.5393000001</v>
      </c>
      <c r="W52" s="10"/>
      <c r="X52" s="10">
        <v>1377513.9401</v>
      </c>
      <c r="Y52" s="10"/>
      <c r="Z52" s="10"/>
      <c r="AA52" s="10">
        <v>299.08440000000002</v>
      </c>
    </row>
    <row r="53" spans="1:27" x14ac:dyDescent="0.35">
      <c r="A53" s="8">
        <v>46112</v>
      </c>
      <c r="B53" s="9">
        <v>524651332.19142002</v>
      </c>
      <c r="C53" s="10">
        <v>156801983.17701</v>
      </c>
      <c r="D53" s="10">
        <v>206134224.07350001</v>
      </c>
      <c r="E53" s="10">
        <v>41739439.116290003</v>
      </c>
      <c r="F53" s="10">
        <v>60132987.708499998</v>
      </c>
      <c r="G53" s="10">
        <v>19997268.845800001</v>
      </c>
      <c r="H53" s="10">
        <v>3591918.3185000001</v>
      </c>
      <c r="I53" s="10">
        <v>3494767.8798500001</v>
      </c>
      <c r="J53" s="10">
        <v>3594910.7785999998</v>
      </c>
      <c r="K53" s="10">
        <v>3170134.7760999999</v>
      </c>
      <c r="L53" s="10">
        <v>2550394.6960999998</v>
      </c>
      <c r="M53" s="10">
        <v>2635084.4069699999</v>
      </c>
      <c r="N53" s="10">
        <v>2311352.0991000002</v>
      </c>
      <c r="O53" s="10">
        <v>2343325.8491000002</v>
      </c>
      <c r="P53" s="10">
        <v>2501469.3961</v>
      </c>
      <c r="Q53" s="10">
        <v>2565014.4468</v>
      </c>
      <c r="R53" s="10">
        <v>2056031.9927000001</v>
      </c>
      <c r="S53" s="10">
        <v>2040266.6521999999</v>
      </c>
      <c r="T53" s="10">
        <v>2078690.8840999999</v>
      </c>
      <c r="U53" s="10">
        <v>2017427.375</v>
      </c>
      <c r="V53" s="10">
        <v>1649876.4354000001</v>
      </c>
      <c r="W53" s="10"/>
      <c r="X53" s="10">
        <v>1244583.3635</v>
      </c>
      <c r="Y53" s="10"/>
      <c r="Z53" s="10"/>
      <c r="AA53" s="10">
        <v>179.92019999999999</v>
      </c>
    </row>
    <row r="54" spans="1:27" x14ac:dyDescent="0.35">
      <c r="A54" s="8">
        <v>46111</v>
      </c>
      <c r="B54" s="9">
        <v>325254862.73641998</v>
      </c>
      <c r="C54" s="10">
        <v>9153725.5278099999</v>
      </c>
      <c r="D54" s="10">
        <v>155221363.16409999</v>
      </c>
      <c r="E54" s="10">
        <v>41216714.697729997</v>
      </c>
      <c r="F54" s="10">
        <v>60272348.183399998</v>
      </c>
      <c r="G54" s="10">
        <v>19995044.41815</v>
      </c>
      <c r="H54" s="10">
        <v>3570248.80908</v>
      </c>
      <c r="I54" s="10">
        <v>3417336.27514</v>
      </c>
      <c r="J54" s="10">
        <v>3338206.8725000001</v>
      </c>
      <c r="K54" s="10">
        <v>3254402.6431999998</v>
      </c>
      <c r="L54" s="10">
        <v>2468572.0915000001</v>
      </c>
      <c r="M54" s="10">
        <v>2578175.9065100001</v>
      </c>
      <c r="N54" s="10">
        <v>2365907.5529</v>
      </c>
      <c r="O54" s="10">
        <v>2499158.3401000001</v>
      </c>
      <c r="P54" s="10">
        <v>2552085.0310999998</v>
      </c>
      <c r="Q54" s="10">
        <v>2618157.1708</v>
      </c>
      <c r="R54" s="10">
        <v>2006721.2367</v>
      </c>
      <c r="S54" s="10">
        <v>2064885.2039000001</v>
      </c>
      <c r="T54" s="10">
        <v>1932667.9864000001</v>
      </c>
      <c r="U54" s="10">
        <v>1946053.3999000001</v>
      </c>
      <c r="V54" s="10">
        <v>1507216.8955000001</v>
      </c>
      <c r="W54" s="10"/>
      <c r="X54" s="10">
        <v>1275118.7496</v>
      </c>
      <c r="Y54" s="10"/>
      <c r="Z54" s="10"/>
      <c r="AA54" s="10">
        <v>752.58040000000005</v>
      </c>
    </row>
    <row r="55" spans="1:27" x14ac:dyDescent="0.35">
      <c r="A55" s="8">
        <v>46110</v>
      </c>
      <c r="B55" s="9">
        <v>194209648.79251999</v>
      </c>
      <c r="C55" s="10">
        <v>5000204.4051900003</v>
      </c>
      <c r="D55" s="10">
        <v>30350887.1483</v>
      </c>
      <c r="E55" s="10">
        <v>40948745.297349997</v>
      </c>
      <c r="F55" s="10">
        <v>58417450.686800003</v>
      </c>
      <c r="G55" s="10">
        <v>19869460.91863</v>
      </c>
      <c r="H55" s="10">
        <v>4015667.2510799998</v>
      </c>
      <c r="I55" s="10">
        <v>3298889.14383</v>
      </c>
      <c r="J55" s="10">
        <v>3580926.3522999999</v>
      </c>
      <c r="K55" s="10">
        <v>3211727.9991000001</v>
      </c>
      <c r="L55" s="10">
        <v>2475858.9794000001</v>
      </c>
      <c r="M55" s="10">
        <v>2566001.59564</v>
      </c>
      <c r="N55" s="10">
        <v>2322261.1025999999</v>
      </c>
      <c r="O55" s="10">
        <v>2334313.3084999998</v>
      </c>
      <c r="P55" s="10">
        <v>2424754.5473000002</v>
      </c>
      <c r="Q55" s="10">
        <v>2674131.0444999998</v>
      </c>
      <c r="R55" s="10">
        <v>1894019.7045</v>
      </c>
      <c r="S55" s="10">
        <v>1929756.8484</v>
      </c>
      <c r="T55" s="10">
        <v>1975137.0259</v>
      </c>
      <c r="U55" s="10">
        <v>2111166.1000999999</v>
      </c>
      <c r="V55" s="10">
        <v>1544406.8991</v>
      </c>
      <c r="W55" s="10"/>
      <c r="X55" s="10">
        <v>1263280.7385</v>
      </c>
      <c r="Y55" s="10"/>
      <c r="Z55" s="10"/>
      <c r="AA55" s="10">
        <v>601.69550000000004</v>
      </c>
    </row>
    <row r="56" spans="1:27" x14ac:dyDescent="0.35">
      <c r="A56" s="8">
        <v>46109</v>
      </c>
      <c r="B56" s="9">
        <v>163815614.80274999</v>
      </c>
      <c r="C56" s="10">
        <v>3859472.9780799998</v>
      </c>
      <c r="D56" s="10">
        <v>5362398.8550000004</v>
      </c>
      <c r="E56" s="10">
        <v>41363689.972879998</v>
      </c>
      <c r="F56" s="10">
        <v>53773924.565800004</v>
      </c>
      <c r="G56" s="10">
        <v>19771695.807580002</v>
      </c>
      <c r="H56" s="10">
        <v>4099879.09877</v>
      </c>
      <c r="I56" s="10">
        <v>3385339.7386599998</v>
      </c>
      <c r="J56" s="10">
        <v>3682807.6993</v>
      </c>
      <c r="K56" s="10">
        <v>3130369.946</v>
      </c>
      <c r="L56" s="10">
        <v>2359070.7031</v>
      </c>
      <c r="M56" s="10">
        <v>2443622.0668799998</v>
      </c>
      <c r="N56" s="10">
        <v>2363800.0430999999</v>
      </c>
      <c r="O56" s="10">
        <v>2384443.5133000002</v>
      </c>
      <c r="P56" s="10">
        <v>2490488.9002999999</v>
      </c>
      <c r="Q56" s="10">
        <v>2600168.3213999998</v>
      </c>
      <c r="R56" s="10">
        <v>2037511.5201999999</v>
      </c>
      <c r="S56" s="10">
        <v>1877959.3762999999</v>
      </c>
      <c r="T56" s="10">
        <v>1941591.8676</v>
      </c>
      <c r="U56" s="10">
        <v>2116861.3824</v>
      </c>
      <c r="V56" s="10">
        <v>1523729.2860999999</v>
      </c>
      <c r="W56" s="10"/>
      <c r="X56" s="10">
        <v>1246789.1599999999</v>
      </c>
      <c r="Y56" s="10"/>
      <c r="Z56" s="10"/>
      <c r="AA56" s="10"/>
    </row>
    <row r="57" spans="1:27" x14ac:dyDescent="0.35">
      <c r="A57" s="8">
        <v>46108</v>
      </c>
      <c r="B57" s="9">
        <v>488964327.68753999</v>
      </c>
      <c r="C57" s="10">
        <v>168626012.42050999</v>
      </c>
      <c r="D57" s="10">
        <v>170511832.19780001</v>
      </c>
      <c r="E57" s="10">
        <v>42347676.793990001</v>
      </c>
      <c r="F57" s="10">
        <v>48616920.215400003</v>
      </c>
      <c r="G57" s="10">
        <v>20215005.75609</v>
      </c>
      <c r="H57" s="10">
        <v>4002642.0031300001</v>
      </c>
      <c r="I57" s="10">
        <v>3448699.2643599999</v>
      </c>
      <c r="J57" s="10">
        <v>3801228.4896</v>
      </c>
      <c r="K57" s="10">
        <v>3375024.6274999999</v>
      </c>
      <c r="L57" s="10">
        <v>2463588.7996999999</v>
      </c>
      <c r="M57" s="10">
        <v>2458990.7702600001</v>
      </c>
      <c r="N57" s="10">
        <v>2560078.6754000001</v>
      </c>
      <c r="O57" s="10">
        <v>2110196.4071999998</v>
      </c>
      <c r="P57" s="10">
        <v>2285603.9139</v>
      </c>
      <c r="Q57" s="10">
        <v>2230622.2626999998</v>
      </c>
      <c r="R57" s="10">
        <v>1838565.6547000001</v>
      </c>
      <c r="S57" s="10">
        <v>1871815.7667</v>
      </c>
      <c r="T57" s="10">
        <v>1773677.834</v>
      </c>
      <c r="U57" s="10">
        <v>2007994.7120999999</v>
      </c>
      <c r="V57" s="10">
        <v>1330467.2512999999</v>
      </c>
      <c r="W57" s="10"/>
      <c r="X57" s="10">
        <v>1079422.0012999999</v>
      </c>
      <c r="Y57" s="10"/>
      <c r="Z57" s="10"/>
      <c r="AA57" s="10">
        <v>8261.8698999999997</v>
      </c>
    </row>
    <row r="58" spans="1:27" x14ac:dyDescent="0.35">
      <c r="A58" s="8">
        <v>46107</v>
      </c>
      <c r="B58" s="9">
        <v>675609859.69639003</v>
      </c>
      <c r="C58" s="10">
        <v>264521497.32297999</v>
      </c>
      <c r="D58" s="10">
        <v>248765858.65700001</v>
      </c>
      <c r="E58" s="10">
        <v>40722780.775300004</v>
      </c>
      <c r="F58" s="10">
        <v>60084011.3204</v>
      </c>
      <c r="G58" s="10">
        <v>20000991.173110001</v>
      </c>
      <c r="H58" s="10">
        <v>3718375.8757799999</v>
      </c>
      <c r="I58" s="10">
        <v>3222204.93224</v>
      </c>
      <c r="J58" s="10">
        <v>3896256.6321999999</v>
      </c>
      <c r="K58" s="10">
        <v>3433912.4915999998</v>
      </c>
      <c r="L58" s="10">
        <v>2651051.6154999998</v>
      </c>
      <c r="M58" s="10">
        <v>2925931.2491799998</v>
      </c>
      <c r="N58" s="10">
        <v>2375634.2143000001</v>
      </c>
      <c r="O58" s="10">
        <v>2561324.2374999998</v>
      </c>
      <c r="P58" s="10">
        <v>2516350.7286</v>
      </c>
      <c r="Q58" s="10">
        <v>2738426.4774000002</v>
      </c>
      <c r="R58" s="10">
        <v>2096312.3872</v>
      </c>
      <c r="S58" s="10">
        <v>2208494.3676999998</v>
      </c>
      <c r="T58" s="10">
        <v>1956748.7944</v>
      </c>
      <c r="U58" s="10">
        <v>2193569.7741999999</v>
      </c>
      <c r="V58" s="10">
        <v>1692631.4357</v>
      </c>
      <c r="W58" s="10"/>
      <c r="X58" s="10">
        <v>1327495.2341</v>
      </c>
      <c r="Y58" s="10"/>
      <c r="Z58" s="10"/>
      <c r="AA58" s="10"/>
    </row>
    <row r="59" spans="1:27" x14ac:dyDescent="0.35">
      <c r="A59" s="8">
        <v>46106</v>
      </c>
      <c r="B59" s="9">
        <v>552721946.61751997</v>
      </c>
      <c r="C59" s="10">
        <v>217817087.28549999</v>
      </c>
      <c r="D59" s="10">
        <v>170025223.88330001</v>
      </c>
      <c r="E59" s="10">
        <v>42386146.814740002</v>
      </c>
      <c r="F59" s="10">
        <v>60207794.586000003</v>
      </c>
      <c r="G59" s="10">
        <v>20017419.294939999</v>
      </c>
      <c r="H59" s="10">
        <v>3870171.60873</v>
      </c>
      <c r="I59" s="10">
        <v>3295946.81403</v>
      </c>
      <c r="J59" s="10">
        <v>4131013.4216999998</v>
      </c>
      <c r="K59" s="10">
        <v>3408029.446</v>
      </c>
      <c r="L59" s="10">
        <v>2781386.0266999998</v>
      </c>
      <c r="M59" s="10">
        <v>2782286.7037800001</v>
      </c>
      <c r="N59" s="10">
        <v>2411282.8678000001</v>
      </c>
      <c r="O59" s="10">
        <v>2529741.3708000001</v>
      </c>
      <c r="P59" s="10">
        <v>2460959.1090000002</v>
      </c>
      <c r="Q59" s="10">
        <v>3026877.9476999999</v>
      </c>
      <c r="R59" s="10">
        <v>2075107.1076</v>
      </c>
      <c r="S59" s="10">
        <v>2053837.3263999999</v>
      </c>
      <c r="T59" s="10">
        <v>2048094.9476000001</v>
      </c>
      <c r="U59" s="10">
        <v>2234188.9084999999</v>
      </c>
      <c r="V59" s="10">
        <v>1795591.1632000001</v>
      </c>
      <c r="W59" s="10"/>
      <c r="X59" s="10">
        <v>1361542.4558000001</v>
      </c>
      <c r="Y59" s="10"/>
      <c r="Z59" s="10"/>
      <c r="AA59" s="10">
        <v>2217.5277000000001</v>
      </c>
    </row>
    <row r="60" spans="1:27" x14ac:dyDescent="0.35">
      <c r="A60" s="8">
        <v>46105</v>
      </c>
      <c r="B60" s="9">
        <v>702117980.44430006</v>
      </c>
      <c r="C60" s="10">
        <v>303783384.85675001</v>
      </c>
      <c r="D60" s="10">
        <v>209290626.10929999</v>
      </c>
      <c r="E60" s="10">
        <v>43445793.667120002</v>
      </c>
      <c r="F60" s="10">
        <v>60243572.240400001</v>
      </c>
      <c r="G60" s="10">
        <v>20154722.653039999</v>
      </c>
      <c r="H60" s="10">
        <v>9237996.1610599998</v>
      </c>
      <c r="I60" s="10">
        <v>15730969.827129999</v>
      </c>
      <c r="J60" s="10">
        <v>4725004.6937999995</v>
      </c>
      <c r="K60" s="10">
        <v>3385334.2809000001</v>
      </c>
      <c r="L60" s="10">
        <v>2651103.7840999998</v>
      </c>
      <c r="M60" s="10">
        <v>3155685.8895999999</v>
      </c>
      <c r="N60" s="10">
        <v>3481678.5147000002</v>
      </c>
      <c r="O60" s="10">
        <v>2557227.8525</v>
      </c>
      <c r="P60" s="10">
        <v>2468272.1290000002</v>
      </c>
      <c r="Q60" s="10">
        <v>2801651.7711999998</v>
      </c>
      <c r="R60" s="10">
        <v>2632619.6554</v>
      </c>
      <c r="S60" s="10">
        <v>2241971.3289000001</v>
      </c>
      <c r="T60" s="10">
        <v>2320343.3843</v>
      </c>
      <c r="U60" s="10">
        <v>2680228.4456000002</v>
      </c>
      <c r="V60" s="10">
        <v>2816308.8039000002</v>
      </c>
      <c r="W60" s="10"/>
      <c r="X60" s="10">
        <v>2308453.3821</v>
      </c>
      <c r="Y60" s="10"/>
      <c r="Z60" s="10"/>
      <c r="AA60" s="10">
        <v>5031.0135</v>
      </c>
    </row>
    <row r="61" spans="1:27" x14ac:dyDescent="0.35">
      <c r="A61" s="8">
        <v>46104</v>
      </c>
      <c r="B61" s="9">
        <v>1184437730.8521099</v>
      </c>
      <c r="C61" s="10">
        <v>626084373.61039996</v>
      </c>
      <c r="D61" s="10">
        <v>371337769.34619999</v>
      </c>
      <c r="E61" s="10">
        <v>43571747.413560003</v>
      </c>
      <c r="F61" s="10">
        <v>60250562.782399997</v>
      </c>
      <c r="G61" s="10">
        <v>20476332.973680001</v>
      </c>
      <c r="H61" s="10">
        <v>8988260.4711399991</v>
      </c>
      <c r="I61" s="10">
        <v>11619363.545639999</v>
      </c>
      <c r="J61" s="10">
        <v>4914769.1885000002</v>
      </c>
      <c r="K61" s="10">
        <v>3528137.7966</v>
      </c>
      <c r="L61" s="10">
        <v>2775061.4378</v>
      </c>
      <c r="M61" s="10">
        <v>3414903.58189</v>
      </c>
      <c r="N61" s="10">
        <v>2708611.9896999998</v>
      </c>
      <c r="O61" s="10">
        <v>2603209.3585999999</v>
      </c>
      <c r="P61" s="10">
        <v>3336471.8569999998</v>
      </c>
      <c r="Q61" s="10">
        <v>2848838.6510000001</v>
      </c>
      <c r="R61" s="10">
        <v>3241373.5318</v>
      </c>
      <c r="S61" s="10">
        <v>3823959.2431999999</v>
      </c>
      <c r="T61" s="10">
        <v>2111091.0614</v>
      </c>
      <c r="U61" s="10">
        <v>2664880.9128999999</v>
      </c>
      <c r="V61" s="10">
        <v>2480889.0482000001</v>
      </c>
      <c r="W61" s="10"/>
      <c r="X61" s="10">
        <v>1649581.4826</v>
      </c>
      <c r="Y61" s="10"/>
      <c r="Z61" s="10"/>
      <c r="AA61" s="10">
        <v>7541.5679</v>
      </c>
    </row>
    <row r="62" spans="1:27" x14ac:dyDescent="0.35">
      <c r="A62" s="8">
        <v>46103</v>
      </c>
      <c r="B62" s="9">
        <v>273587460.68036002</v>
      </c>
      <c r="C62" s="10">
        <v>69867047.459959999</v>
      </c>
      <c r="D62" s="10">
        <v>30432934.933699999</v>
      </c>
      <c r="E62" s="10">
        <v>44754102.553640001</v>
      </c>
      <c r="F62" s="10">
        <v>57815006.150200002</v>
      </c>
      <c r="G62" s="10">
        <v>20012733.498969998</v>
      </c>
      <c r="H62" s="10">
        <v>5879214.5915900003</v>
      </c>
      <c r="I62" s="10">
        <v>8424472.6990799997</v>
      </c>
      <c r="J62" s="10">
        <v>4978167.3296999997</v>
      </c>
      <c r="K62" s="10">
        <v>3305205.162</v>
      </c>
      <c r="L62" s="10">
        <v>2695011.3321000002</v>
      </c>
      <c r="M62" s="10">
        <v>2828873.9877200001</v>
      </c>
      <c r="N62" s="10">
        <v>2322549.8736999999</v>
      </c>
      <c r="O62" s="10">
        <v>2455468.6296000001</v>
      </c>
      <c r="P62" s="10">
        <v>3435739.6071000001</v>
      </c>
      <c r="Q62" s="10">
        <v>2795234.5893000001</v>
      </c>
      <c r="R62" s="10">
        <v>2102031.3366</v>
      </c>
      <c r="S62" s="10">
        <v>2072561.9942000001</v>
      </c>
      <c r="T62" s="10">
        <v>1855273.3947999999</v>
      </c>
      <c r="U62" s="10">
        <v>2113999.3352000001</v>
      </c>
      <c r="V62" s="10">
        <v>2082070.4283</v>
      </c>
      <c r="W62" s="10"/>
      <c r="X62" s="10">
        <v>1355563.2546999999</v>
      </c>
      <c r="Y62" s="10"/>
      <c r="Z62" s="10"/>
      <c r="AA62" s="10">
        <v>4198.5382</v>
      </c>
    </row>
    <row r="63" spans="1:27" x14ac:dyDescent="0.35">
      <c r="A63" s="8">
        <v>46102</v>
      </c>
      <c r="B63" s="9">
        <v>211443330.43808001</v>
      </c>
      <c r="C63" s="10">
        <v>30644651.64931</v>
      </c>
      <c r="D63" s="10">
        <v>9107523.2222000007</v>
      </c>
      <c r="E63" s="10">
        <v>40870869.612980001</v>
      </c>
      <c r="F63" s="10">
        <v>59458852.749700002</v>
      </c>
      <c r="G63" s="10">
        <v>21367145.85983</v>
      </c>
      <c r="H63" s="10">
        <v>5551080.1052299999</v>
      </c>
      <c r="I63" s="10">
        <v>7647553.8633199995</v>
      </c>
      <c r="J63" s="10">
        <v>4758753.3838999998</v>
      </c>
      <c r="K63" s="10">
        <v>3175422.5432000002</v>
      </c>
      <c r="L63" s="10">
        <v>2719977.0946999998</v>
      </c>
      <c r="M63" s="10">
        <v>2709316.8515099999</v>
      </c>
      <c r="N63" s="10">
        <v>2347510.8764999998</v>
      </c>
      <c r="O63" s="10">
        <v>2457233.7806000002</v>
      </c>
      <c r="P63" s="10">
        <v>4347769.9578999998</v>
      </c>
      <c r="Q63" s="10">
        <v>2579017.5906000002</v>
      </c>
      <c r="R63" s="10">
        <v>2193664.3099000002</v>
      </c>
      <c r="S63" s="10">
        <v>1984721.6052000001</v>
      </c>
      <c r="T63" s="10">
        <v>1963134.453</v>
      </c>
      <c r="U63" s="10">
        <v>2254559.5611999999</v>
      </c>
      <c r="V63" s="10">
        <v>1954261.9173999999</v>
      </c>
      <c r="W63" s="10"/>
      <c r="X63" s="10">
        <v>1349494.8689999999</v>
      </c>
      <c r="Y63" s="10"/>
      <c r="Z63" s="10"/>
      <c r="AA63" s="10">
        <v>814.58090000000004</v>
      </c>
    </row>
    <row r="64" spans="1:27" x14ac:dyDescent="0.35">
      <c r="A64" s="8">
        <v>46101</v>
      </c>
      <c r="B64" s="9">
        <v>653532876.88608003</v>
      </c>
      <c r="C64" s="10">
        <v>243790930.43305001</v>
      </c>
      <c r="D64" s="10">
        <v>230126816.60589999</v>
      </c>
      <c r="E64" s="10">
        <v>41113945.070409998</v>
      </c>
      <c r="F64" s="10">
        <v>60301642.228799999</v>
      </c>
      <c r="G64" s="10">
        <v>20256209.779970001</v>
      </c>
      <c r="H64" s="10">
        <v>8692611.5792200007</v>
      </c>
      <c r="I64" s="10">
        <v>11311042.54916</v>
      </c>
      <c r="J64" s="10">
        <v>5064008.1003</v>
      </c>
      <c r="K64" s="10">
        <v>3216699.5532999998</v>
      </c>
      <c r="L64" s="10">
        <v>2732620.889</v>
      </c>
      <c r="M64" s="10">
        <v>2933200.10837</v>
      </c>
      <c r="N64" s="10">
        <v>2409714.574</v>
      </c>
      <c r="O64" s="10">
        <v>2481464.0863999999</v>
      </c>
      <c r="P64" s="10">
        <v>4809917.9714000002</v>
      </c>
      <c r="Q64" s="10">
        <v>2809919.5838000001</v>
      </c>
      <c r="R64" s="10">
        <v>2016361.8333999999</v>
      </c>
      <c r="S64" s="10">
        <v>2034070.8976</v>
      </c>
      <c r="T64" s="10">
        <v>2021538.0190000001</v>
      </c>
      <c r="U64" s="10">
        <v>2123459.8865999999</v>
      </c>
      <c r="V64" s="10">
        <v>1991987.0815999999</v>
      </c>
      <c r="W64" s="10"/>
      <c r="X64" s="10">
        <v>1293694.5634000001</v>
      </c>
      <c r="Y64" s="10"/>
      <c r="Z64" s="10"/>
      <c r="AA64" s="10">
        <v>1021.4914</v>
      </c>
    </row>
    <row r="65" spans="1:27" x14ac:dyDescent="0.35">
      <c r="A65" s="8">
        <v>46100</v>
      </c>
      <c r="B65" s="9">
        <v>817349284.40970004</v>
      </c>
      <c r="C65" s="10">
        <v>323152547.74845999</v>
      </c>
      <c r="D65" s="10">
        <v>310948531.3524</v>
      </c>
      <c r="E65" s="10">
        <v>43916339.382639997</v>
      </c>
      <c r="F65" s="10">
        <v>60354235.639600001</v>
      </c>
      <c r="G65" s="10">
        <v>21574123.51145</v>
      </c>
      <c r="H65" s="10">
        <v>7973879.4542100001</v>
      </c>
      <c r="I65" s="10">
        <v>8389679.4584400002</v>
      </c>
      <c r="J65" s="10">
        <v>5066411.6365999999</v>
      </c>
      <c r="K65" s="10">
        <v>3290891.1938999998</v>
      </c>
      <c r="L65" s="10">
        <v>2926798.1397000002</v>
      </c>
      <c r="M65" s="10">
        <v>3241176.8906</v>
      </c>
      <c r="N65" s="10">
        <v>5844239.5025000004</v>
      </c>
      <c r="O65" s="10">
        <v>2571691.4415000002</v>
      </c>
      <c r="P65" s="10">
        <v>2522583.1019000001</v>
      </c>
      <c r="Q65" s="10">
        <v>3115808.6351999999</v>
      </c>
      <c r="R65" s="10">
        <v>2342664.7793000001</v>
      </c>
      <c r="S65" s="10">
        <v>2256313.3056999999</v>
      </c>
      <c r="T65" s="10">
        <v>2089938.5459</v>
      </c>
      <c r="U65" s="10">
        <v>2263314.9892000002</v>
      </c>
      <c r="V65" s="10">
        <v>2001689.9373999999</v>
      </c>
      <c r="W65" s="10"/>
      <c r="X65" s="10">
        <v>1503909.5788</v>
      </c>
      <c r="Y65" s="10"/>
      <c r="Z65" s="10"/>
      <c r="AA65" s="10">
        <v>2516.1842999999999</v>
      </c>
    </row>
    <row r="66" spans="1:27" x14ac:dyDescent="0.35">
      <c r="A66" s="8">
        <v>46099</v>
      </c>
      <c r="B66" s="9">
        <v>522460438.88881999</v>
      </c>
      <c r="C66" s="10">
        <v>170754311.76080999</v>
      </c>
      <c r="D66" s="10">
        <v>170543160.98750001</v>
      </c>
      <c r="E66" s="10">
        <v>43752087.414389998</v>
      </c>
      <c r="F66" s="10">
        <v>60181065.131200001</v>
      </c>
      <c r="G66" s="10">
        <v>21037333.430100001</v>
      </c>
      <c r="H66" s="10">
        <v>8169404.9532700004</v>
      </c>
      <c r="I66" s="10">
        <v>10002203.26761</v>
      </c>
      <c r="J66" s="10">
        <v>5454506.9567</v>
      </c>
      <c r="K66" s="10">
        <v>3292578.7102000001</v>
      </c>
      <c r="L66" s="10">
        <v>2802158.9855</v>
      </c>
      <c r="M66" s="10">
        <v>3175641.5066399998</v>
      </c>
      <c r="N66" s="10">
        <v>2406725.3820000002</v>
      </c>
      <c r="O66" s="10">
        <v>2671572.6033999999</v>
      </c>
      <c r="P66" s="10">
        <v>2581880.0561000002</v>
      </c>
      <c r="Q66" s="10">
        <v>3198144.7063000002</v>
      </c>
      <c r="R66" s="10">
        <v>2248117.3492000001</v>
      </c>
      <c r="S66" s="10">
        <v>2125943.0778999999</v>
      </c>
      <c r="T66" s="10">
        <v>2213044.0913999998</v>
      </c>
      <c r="U66" s="10">
        <v>2303919.1605000002</v>
      </c>
      <c r="V66" s="10">
        <v>1996027.2135000001</v>
      </c>
      <c r="W66" s="10"/>
      <c r="X66" s="10">
        <v>1529052.9219</v>
      </c>
      <c r="Y66" s="10"/>
      <c r="Z66" s="10"/>
      <c r="AA66" s="10">
        <v>21559.222699999998</v>
      </c>
    </row>
    <row r="67" spans="1:27" x14ac:dyDescent="0.35">
      <c r="A67" s="8">
        <v>46098</v>
      </c>
      <c r="B67" s="9">
        <v>430439901.57712001</v>
      </c>
      <c r="C67" s="10">
        <v>97759911.557040006</v>
      </c>
      <c r="D67" s="10">
        <v>113484881.9267</v>
      </c>
      <c r="E67" s="10">
        <v>43009374.242399998</v>
      </c>
      <c r="F67" s="10">
        <v>60322873.033299997</v>
      </c>
      <c r="G67" s="10">
        <v>28570925.391559999</v>
      </c>
      <c r="H67" s="10">
        <v>10634055.92083</v>
      </c>
      <c r="I67" s="10">
        <v>9084793.2798900008</v>
      </c>
      <c r="J67" s="10">
        <v>5127581.2396999998</v>
      </c>
      <c r="K67" s="10">
        <v>3458648.2472999999</v>
      </c>
      <c r="L67" s="10">
        <v>3005272.2407999998</v>
      </c>
      <c r="M67" s="10">
        <v>2991506.4583000001</v>
      </c>
      <c r="N67" s="10">
        <v>20364353.878699999</v>
      </c>
      <c r="O67" s="10">
        <v>2580558.9363000002</v>
      </c>
      <c r="P67" s="10">
        <v>14518444.896299999</v>
      </c>
      <c r="Q67" s="10">
        <v>3264561.9185000001</v>
      </c>
      <c r="R67" s="10">
        <v>2219859.5041</v>
      </c>
      <c r="S67" s="10">
        <v>2051504.1292999999</v>
      </c>
      <c r="T67" s="10">
        <v>2283018.0304</v>
      </c>
      <c r="U67" s="10">
        <v>2213722.9835999999</v>
      </c>
      <c r="V67" s="10">
        <v>2026643.1048000001</v>
      </c>
      <c r="W67" s="10"/>
      <c r="X67" s="10">
        <v>1449406.2561999999</v>
      </c>
      <c r="Y67" s="10"/>
      <c r="Z67" s="10"/>
      <c r="AA67" s="10">
        <v>18004.401099999999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7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31" width="14" customWidth="1"/>
  </cols>
  <sheetData>
    <row r="1" spans="1:31" x14ac:dyDescent="0.35">
      <c r="A1" s="1" t="s">
        <v>0</v>
      </c>
      <c r="C1" s="6" t="s">
        <v>5</v>
      </c>
      <c r="D1" s="2" t="s">
        <v>1</v>
      </c>
      <c r="E1" s="2" t="s">
        <v>1</v>
      </c>
      <c r="F1" s="6" t="s">
        <v>5</v>
      </c>
      <c r="G1" s="4" t="s">
        <v>3</v>
      </c>
      <c r="H1" s="4" t="s">
        <v>3</v>
      </c>
      <c r="I1" s="6" t="s">
        <v>5</v>
      </c>
      <c r="J1" s="6" t="s">
        <v>5</v>
      </c>
      <c r="K1" s="3" t="s">
        <v>2</v>
      </c>
      <c r="L1" s="6" t="s">
        <v>5</v>
      </c>
      <c r="M1" s="3" t="s">
        <v>2</v>
      </c>
      <c r="N1" s="3" t="s">
        <v>2</v>
      </c>
      <c r="O1" s="3" t="s">
        <v>2</v>
      </c>
      <c r="P1" s="3" t="s">
        <v>2</v>
      </c>
      <c r="Q1" s="6" t="s">
        <v>5</v>
      </c>
      <c r="R1" s="2" t="s">
        <v>1</v>
      </c>
      <c r="S1" s="6" t="s">
        <v>5</v>
      </c>
      <c r="T1" s="6" t="s">
        <v>5</v>
      </c>
      <c r="U1" s="3" t="s">
        <v>2</v>
      </c>
      <c r="V1" s="6" t="s">
        <v>5</v>
      </c>
      <c r="W1" s="3" t="s">
        <v>2</v>
      </c>
      <c r="X1" s="3" t="s">
        <v>2</v>
      </c>
      <c r="Y1" s="3" t="s">
        <v>2</v>
      </c>
      <c r="Z1" s="6" t="s">
        <v>5</v>
      </c>
      <c r="AA1" s="6" t="s">
        <v>5</v>
      </c>
      <c r="AB1" s="6" t="s">
        <v>5</v>
      </c>
      <c r="AC1" s="6" t="s">
        <v>5</v>
      </c>
      <c r="AD1" s="6" t="s">
        <v>5</v>
      </c>
      <c r="AE1" s="6" t="s">
        <v>5</v>
      </c>
    </row>
    <row r="2" spans="1:31" x14ac:dyDescent="0.35">
      <c r="A2" s="7" t="s">
        <v>6</v>
      </c>
      <c r="B2" s="7" t="s">
        <v>7</v>
      </c>
      <c r="C2" s="7" t="s">
        <v>199</v>
      </c>
      <c r="D2" s="7" t="s">
        <v>8</v>
      </c>
      <c r="E2" s="7" t="s">
        <v>9</v>
      </c>
      <c r="F2" s="7" t="s">
        <v>155</v>
      </c>
      <c r="G2" s="7" t="s">
        <v>28</v>
      </c>
      <c r="H2" s="7" t="s">
        <v>34</v>
      </c>
      <c r="I2" s="7" t="s">
        <v>213</v>
      </c>
      <c r="J2" s="7" t="s">
        <v>139</v>
      </c>
      <c r="K2" s="7" t="s">
        <v>31</v>
      </c>
      <c r="L2" s="7" t="s">
        <v>214</v>
      </c>
      <c r="M2" s="7" t="s">
        <v>13</v>
      </c>
      <c r="N2" s="7" t="s">
        <v>19</v>
      </c>
      <c r="O2" s="7" t="s">
        <v>21</v>
      </c>
      <c r="P2" s="7" t="s">
        <v>16</v>
      </c>
      <c r="Q2" s="7" t="s">
        <v>215</v>
      </c>
      <c r="R2" s="7" t="s">
        <v>216</v>
      </c>
      <c r="S2" s="7" t="s">
        <v>217</v>
      </c>
      <c r="T2" s="7" t="s">
        <v>218</v>
      </c>
      <c r="U2" s="7" t="s">
        <v>197</v>
      </c>
      <c r="V2" s="7" t="s">
        <v>219</v>
      </c>
      <c r="W2" s="7" t="s">
        <v>26</v>
      </c>
      <c r="X2" s="7" t="s">
        <v>32</v>
      </c>
      <c r="Y2" s="7" t="s">
        <v>23</v>
      </c>
      <c r="Z2" s="7" t="s">
        <v>220</v>
      </c>
      <c r="AA2" s="7" t="s">
        <v>221</v>
      </c>
      <c r="AB2" s="7" t="s">
        <v>222</v>
      </c>
      <c r="AC2" s="7" t="s">
        <v>223</v>
      </c>
      <c r="AD2" s="7" t="s">
        <v>224</v>
      </c>
      <c r="AE2" s="7" t="s">
        <v>225</v>
      </c>
    </row>
    <row r="3" spans="1:31" x14ac:dyDescent="0.35">
      <c r="A3" s="8">
        <v>46187</v>
      </c>
      <c r="B3" s="9">
        <v>406359.22551199998</v>
      </c>
      <c r="C3" s="10">
        <v>290322.09999999998</v>
      </c>
      <c r="D3" s="10">
        <v>6856.495312</v>
      </c>
      <c r="E3" s="10">
        <v>8956.6301999999996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>
        <v>100224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x14ac:dyDescent="0.35">
      <c r="A4" s="8">
        <v>46185</v>
      </c>
      <c r="B4" s="9">
        <v>2584176.7987000002</v>
      </c>
      <c r="C4" s="10">
        <v>1845755.3972</v>
      </c>
      <c r="D4" s="10">
        <v>45665.231050000002</v>
      </c>
      <c r="E4" s="10">
        <v>97563.565000000002</v>
      </c>
      <c r="F4" s="10">
        <v>25661.056</v>
      </c>
      <c r="G4" s="10">
        <v>154554.93265999999</v>
      </c>
      <c r="H4" s="10">
        <v>362647.31766</v>
      </c>
      <c r="I4" s="10"/>
      <c r="J4" s="10"/>
      <c r="K4" s="10"/>
      <c r="L4" s="10"/>
      <c r="M4" s="10">
        <v>50728.271685</v>
      </c>
      <c r="N4" s="10">
        <v>443.38950999999997</v>
      </c>
      <c r="O4" s="10"/>
      <c r="P4" s="10"/>
      <c r="Q4" s="10">
        <v>649.93293500000004</v>
      </c>
      <c r="R4" s="10"/>
      <c r="S4" s="10"/>
      <c r="T4" s="10"/>
      <c r="U4" s="10"/>
      <c r="V4" s="10"/>
      <c r="W4" s="10"/>
      <c r="X4" s="10">
        <v>507.70499999999998</v>
      </c>
      <c r="Y4" s="10"/>
      <c r="Z4" s="10"/>
      <c r="AA4" s="10"/>
      <c r="AB4" s="10"/>
      <c r="AC4" s="10"/>
      <c r="AD4" s="10"/>
      <c r="AE4" s="10"/>
    </row>
    <row r="5" spans="1:31" x14ac:dyDescent="0.35">
      <c r="A5" s="8">
        <v>46184</v>
      </c>
      <c r="B5" s="9">
        <v>8914497.3851679992</v>
      </c>
      <c r="C5" s="10">
        <v>65101.301615999997</v>
      </c>
      <c r="D5" s="10">
        <v>586738.28081200004</v>
      </c>
      <c r="E5" s="10">
        <v>15720.593439</v>
      </c>
      <c r="F5" s="10">
        <v>6599689.5103040002</v>
      </c>
      <c r="G5" s="10">
        <v>68302.727100000004</v>
      </c>
      <c r="H5" s="10">
        <v>65711.135200000004</v>
      </c>
      <c r="I5" s="10"/>
      <c r="J5" s="10">
        <v>193666.966304</v>
      </c>
      <c r="K5" s="10"/>
      <c r="L5" s="10"/>
      <c r="M5" s="10">
        <v>10182.15351</v>
      </c>
      <c r="N5" s="10"/>
      <c r="O5" s="10">
        <v>1286718.034485</v>
      </c>
      <c r="P5" s="10">
        <v>12851.4797</v>
      </c>
      <c r="Q5" s="10"/>
      <c r="R5" s="10"/>
      <c r="S5" s="10">
        <v>297.93</v>
      </c>
      <c r="T5" s="10"/>
      <c r="U5" s="10"/>
      <c r="V5" s="10">
        <v>4035.0989</v>
      </c>
      <c r="W5" s="10"/>
      <c r="X5" s="10"/>
      <c r="Y5" s="10">
        <v>2878.3473979999999</v>
      </c>
      <c r="Z5" s="10">
        <v>2603.8263999999999</v>
      </c>
      <c r="AA5" s="10"/>
      <c r="AB5" s="10"/>
      <c r="AC5" s="10"/>
      <c r="AD5" s="10"/>
      <c r="AE5" s="10"/>
    </row>
    <row r="6" spans="1:31" x14ac:dyDescent="0.35">
      <c r="A6" s="8">
        <v>46183</v>
      </c>
      <c r="B6" s="9">
        <v>15956847.289465999</v>
      </c>
      <c r="C6" s="10">
        <v>404492.97549999697</v>
      </c>
      <c r="D6" s="10">
        <v>6345060.0760580404</v>
      </c>
      <c r="E6" s="10">
        <v>70863.315083999507</v>
      </c>
      <c r="F6" s="10">
        <v>9063989.2400000002</v>
      </c>
      <c r="G6" s="10">
        <v>28703.980100000001</v>
      </c>
      <c r="H6" s="10">
        <v>33110.113924999998</v>
      </c>
      <c r="I6" s="10"/>
      <c r="J6" s="10">
        <v>1851.726304</v>
      </c>
      <c r="K6" s="10"/>
      <c r="L6" s="10"/>
      <c r="M6" s="10">
        <v>4414.5806599999996</v>
      </c>
      <c r="N6" s="10"/>
      <c r="O6" s="10"/>
      <c r="P6" s="10"/>
      <c r="Q6" s="10">
        <v>326.18293499999999</v>
      </c>
      <c r="R6" s="10"/>
      <c r="S6" s="10"/>
      <c r="T6" s="10"/>
      <c r="U6" s="10"/>
      <c r="V6" s="10">
        <v>4035.0989</v>
      </c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35">
      <c r="A7" s="8">
        <v>46182</v>
      </c>
      <c r="B7" s="9">
        <v>9478375.7067551892</v>
      </c>
      <c r="C7" s="10">
        <v>1987390.8833000001</v>
      </c>
      <c r="D7" s="10">
        <v>2558413.76688619</v>
      </c>
      <c r="E7" s="10">
        <v>3058538.1001539999</v>
      </c>
      <c r="F7" s="10">
        <v>1233576.9820000001</v>
      </c>
      <c r="G7" s="10">
        <v>46353.853224999999</v>
      </c>
      <c r="H7" s="10">
        <v>64877.788724999999</v>
      </c>
      <c r="I7" s="10">
        <v>1061.5319999999999</v>
      </c>
      <c r="J7" s="10">
        <v>372922.68</v>
      </c>
      <c r="K7" s="10"/>
      <c r="L7" s="10"/>
      <c r="M7" s="10">
        <v>12338.089555</v>
      </c>
      <c r="N7" s="10"/>
      <c r="O7" s="10">
        <v>1236.640625</v>
      </c>
      <c r="P7" s="10"/>
      <c r="Q7" s="10"/>
      <c r="R7" s="10"/>
      <c r="S7" s="10"/>
      <c r="T7" s="10"/>
      <c r="U7" s="10"/>
      <c r="V7" s="10">
        <v>133906.7378</v>
      </c>
      <c r="W7" s="10"/>
      <c r="X7" s="10">
        <v>7758.6524849975003</v>
      </c>
      <c r="Y7" s="10"/>
      <c r="Z7" s="10"/>
      <c r="AA7" s="10"/>
      <c r="AB7" s="10"/>
      <c r="AC7" s="10"/>
      <c r="AD7" s="10"/>
      <c r="AE7" s="10"/>
    </row>
    <row r="8" spans="1:31" x14ac:dyDescent="0.35">
      <c r="A8" s="8">
        <v>46181</v>
      </c>
      <c r="B8" s="9">
        <v>1461134.0186858999</v>
      </c>
      <c r="C8" s="10">
        <v>920309.50765000004</v>
      </c>
      <c r="D8" s="10">
        <v>76619.905381896198</v>
      </c>
      <c r="E8" s="10">
        <v>17969.246370000001</v>
      </c>
      <c r="F8" s="10"/>
      <c r="G8" s="10">
        <v>5120.5524999999998</v>
      </c>
      <c r="H8" s="10">
        <v>83358.78</v>
      </c>
      <c r="I8" s="10"/>
      <c r="J8" s="10">
        <v>2625.68</v>
      </c>
      <c r="K8" s="10"/>
      <c r="L8" s="10"/>
      <c r="M8" s="10"/>
      <c r="N8" s="10"/>
      <c r="O8" s="10">
        <v>5200.640625</v>
      </c>
      <c r="P8" s="10">
        <v>985.96573999999998</v>
      </c>
      <c r="Q8" s="10"/>
      <c r="R8" s="10"/>
      <c r="S8" s="10"/>
      <c r="T8" s="10"/>
      <c r="U8" s="10"/>
      <c r="V8" s="10">
        <v>338660</v>
      </c>
      <c r="W8" s="10"/>
      <c r="X8" s="10"/>
      <c r="Y8" s="10">
        <v>9490.9404190000005</v>
      </c>
      <c r="Z8" s="10"/>
      <c r="AA8" s="10"/>
      <c r="AB8" s="10">
        <v>792.8</v>
      </c>
      <c r="AC8" s="10"/>
      <c r="AD8" s="10"/>
      <c r="AE8" s="10"/>
    </row>
    <row r="9" spans="1:31" x14ac:dyDescent="0.35">
      <c r="A9" s="8">
        <v>46180</v>
      </c>
      <c r="B9" s="9">
        <v>121795.6825</v>
      </c>
      <c r="C9" s="10">
        <v>110396.94</v>
      </c>
      <c r="D9" s="10">
        <v>1113.1375</v>
      </c>
      <c r="E9" s="10">
        <v>118.825</v>
      </c>
      <c r="F9" s="10">
        <v>10166.780000000001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x14ac:dyDescent="0.35">
      <c r="A10" s="8">
        <v>46178</v>
      </c>
      <c r="B10" s="9">
        <v>9308324.8901969995</v>
      </c>
      <c r="C10" s="10">
        <v>240299.20119999899</v>
      </c>
      <c r="D10" s="10">
        <v>5550766.9025950003</v>
      </c>
      <c r="E10" s="10">
        <v>3335409.638332</v>
      </c>
      <c r="F10" s="10">
        <v>38200.32</v>
      </c>
      <c r="G10" s="10">
        <v>11193.243525</v>
      </c>
      <c r="H10" s="10">
        <v>107682.46552500001</v>
      </c>
      <c r="I10" s="10"/>
      <c r="J10" s="10">
        <v>2425.4499999999998</v>
      </c>
      <c r="K10" s="10"/>
      <c r="L10" s="10"/>
      <c r="M10" s="10">
        <v>9263.2854499999994</v>
      </c>
      <c r="N10" s="10"/>
      <c r="O10" s="10"/>
      <c r="P10" s="10">
        <v>5115.7528400000001</v>
      </c>
      <c r="Q10" s="10"/>
      <c r="R10" s="10"/>
      <c r="S10" s="10">
        <v>2133.7543700000001</v>
      </c>
      <c r="T10" s="10"/>
      <c r="U10" s="10"/>
      <c r="V10" s="10"/>
      <c r="W10" s="10">
        <v>1176.8459800000001</v>
      </c>
      <c r="X10" s="10"/>
      <c r="Y10" s="10"/>
      <c r="Z10" s="10"/>
      <c r="AA10" s="10"/>
      <c r="AB10" s="10">
        <v>4658.0303800000002</v>
      </c>
      <c r="AC10" s="10"/>
      <c r="AD10" s="10"/>
      <c r="AE10" s="10"/>
    </row>
    <row r="11" spans="1:31" x14ac:dyDescent="0.35">
      <c r="A11" s="8">
        <v>46177</v>
      </c>
      <c r="B11" s="9">
        <v>11489271.739977</v>
      </c>
      <c r="C11" s="10">
        <v>502476.46737000003</v>
      </c>
      <c r="D11" s="10">
        <v>3344182.3143659998</v>
      </c>
      <c r="E11" s="10">
        <v>153953.82700398899</v>
      </c>
      <c r="F11" s="10">
        <v>5608522.909</v>
      </c>
      <c r="G11" s="10"/>
      <c r="H11" s="10">
        <v>1843793.815461</v>
      </c>
      <c r="I11" s="10"/>
      <c r="J11" s="10">
        <v>1940</v>
      </c>
      <c r="K11" s="10"/>
      <c r="L11" s="10"/>
      <c r="M11" s="10">
        <v>5018.6655549999996</v>
      </c>
      <c r="N11" s="10">
        <v>1770.8042399999999</v>
      </c>
      <c r="O11" s="10">
        <v>4928.8120600000002</v>
      </c>
      <c r="P11" s="10">
        <v>6261.6709199999996</v>
      </c>
      <c r="Q11" s="10">
        <v>5873.75</v>
      </c>
      <c r="R11" s="10"/>
      <c r="S11" s="10"/>
      <c r="T11" s="10"/>
      <c r="U11" s="10"/>
      <c r="V11" s="10"/>
      <c r="W11" s="10"/>
      <c r="X11" s="10">
        <v>6586.7040010000001</v>
      </c>
      <c r="Y11" s="10"/>
      <c r="Z11" s="10"/>
      <c r="AA11" s="10"/>
      <c r="AB11" s="10"/>
      <c r="AC11" s="10"/>
      <c r="AD11" s="10">
        <v>3962</v>
      </c>
      <c r="AE11" s="10"/>
    </row>
    <row r="12" spans="1:31" x14ac:dyDescent="0.35">
      <c r="A12" s="8">
        <v>46176</v>
      </c>
      <c r="B12" s="9">
        <v>468446.073202</v>
      </c>
      <c r="C12" s="10">
        <v>71729.5</v>
      </c>
      <c r="D12" s="10">
        <v>149143.71361000001</v>
      </c>
      <c r="E12" s="10">
        <v>71569.806184000001</v>
      </c>
      <c r="F12" s="10">
        <v>14881.7</v>
      </c>
      <c r="G12" s="10"/>
      <c r="H12" s="10">
        <v>46853.693523000002</v>
      </c>
      <c r="I12" s="10"/>
      <c r="J12" s="10">
        <v>74711.919099999999</v>
      </c>
      <c r="K12" s="10">
        <v>4709.0958799999999</v>
      </c>
      <c r="L12" s="10"/>
      <c r="M12" s="10">
        <v>6398.3785799999996</v>
      </c>
      <c r="N12" s="10">
        <v>4131.5768099999996</v>
      </c>
      <c r="O12" s="10"/>
      <c r="P12" s="10">
        <v>17845.29074</v>
      </c>
      <c r="Q12" s="10"/>
      <c r="R12" s="10"/>
      <c r="S12" s="10"/>
      <c r="T12" s="10">
        <v>2158.6875</v>
      </c>
      <c r="U12" s="10"/>
      <c r="V12" s="10"/>
      <c r="W12" s="10"/>
      <c r="X12" s="10">
        <v>350.711275</v>
      </c>
      <c r="Y12" s="10"/>
      <c r="Z12" s="10"/>
      <c r="AA12" s="10"/>
      <c r="AB12" s="10"/>
      <c r="AC12" s="10"/>
      <c r="AD12" s="10">
        <v>3962</v>
      </c>
      <c r="AE12" s="10"/>
    </row>
    <row r="13" spans="1:31" x14ac:dyDescent="0.35">
      <c r="A13" s="8">
        <v>46175</v>
      </c>
      <c r="B13" s="9">
        <v>5312222.8087379597</v>
      </c>
      <c r="C13" s="10">
        <v>2436917.905913</v>
      </c>
      <c r="D13" s="10">
        <v>1122453.5987140001</v>
      </c>
      <c r="E13" s="10">
        <v>1660047.42851596</v>
      </c>
      <c r="F13" s="10">
        <v>39114.644999999997</v>
      </c>
      <c r="G13" s="10">
        <v>2584.4680699999999</v>
      </c>
      <c r="H13" s="10"/>
      <c r="I13" s="10"/>
      <c r="J13" s="10">
        <v>4164.2370000000001</v>
      </c>
      <c r="K13" s="10"/>
      <c r="L13" s="10">
        <v>324.48836</v>
      </c>
      <c r="M13" s="10"/>
      <c r="N13" s="10">
        <v>4280.7972399999999</v>
      </c>
      <c r="O13" s="10"/>
      <c r="P13" s="10">
        <v>26657.745569999999</v>
      </c>
      <c r="Q13" s="10"/>
      <c r="R13" s="10"/>
      <c r="S13" s="10"/>
      <c r="T13" s="10"/>
      <c r="U13" s="10">
        <v>139.117999999349</v>
      </c>
      <c r="V13" s="10"/>
      <c r="W13" s="10">
        <v>8189.23585</v>
      </c>
      <c r="X13" s="10">
        <v>597.898775</v>
      </c>
      <c r="Y13" s="10">
        <v>6751.2417299999997</v>
      </c>
      <c r="Z13" s="10"/>
      <c r="AA13" s="10"/>
      <c r="AB13" s="10"/>
      <c r="AC13" s="10"/>
      <c r="AD13" s="10"/>
      <c r="AE13" s="10"/>
    </row>
    <row r="14" spans="1:31" x14ac:dyDescent="0.35">
      <c r="A14" s="8">
        <v>46174</v>
      </c>
      <c r="B14" s="9">
        <v>20124087.486451998</v>
      </c>
      <c r="C14" s="10">
        <v>4236769.4709999701</v>
      </c>
      <c r="D14" s="10">
        <v>434074.02030199999</v>
      </c>
      <c r="E14" s="10">
        <v>1923660.7746240001</v>
      </c>
      <c r="F14" s="10">
        <v>8797137.9719999991</v>
      </c>
      <c r="G14" s="10">
        <v>2392586.500391</v>
      </c>
      <c r="H14" s="10">
        <v>2296326.8665999998</v>
      </c>
      <c r="I14" s="10"/>
      <c r="J14" s="10">
        <v>5119.7803999999996</v>
      </c>
      <c r="K14" s="10">
        <v>4452.0441300000002</v>
      </c>
      <c r="L14" s="10"/>
      <c r="M14" s="10">
        <v>3661.4615699999999</v>
      </c>
      <c r="N14" s="10">
        <v>6637.9916599999997</v>
      </c>
      <c r="O14" s="10">
        <v>7388.6816650000001</v>
      </c>
      <c r="P14" s="10">
        <v>9098.2017300000007</v>
      </c>
      <c r="Q14" s="10"/>
      <c r="R14" s="10"/>
      <c r="S14" s="10">
        <v>2515.69</v>
      </c>
      <c r="T14" s="10"/>
      <c r="U14" s="10"/>
      <c r="V14" s="10"/>
      <c r="W14" s="10"/>
      <c r="X14" s="10"/>
      <c r="Y14" s="10"/>
      <c r="Z14" s="10"/>
      <c r="AA14" s="10"/>
      <c r="AB14" s="10">
        <v>4658.0303800000002</v>
      </c>
      <c r="AC14" s="10"/>
      <c r="AD14" s="10"/>
      <c r="AE14" s="10"/>
    </row>
    <row r="15" spans="1:31" x14ac:dyDescent="0.35">
      <c r="A15" s="8">
        <v>46173</v>
      </c>
      <c r="B15" s="9">
        <v>2852121.013512</v>
      </c>
      <c r="C15" s="10"/>
      <c r="D15" s="10"/>
      <c r="E15" s="10">
        <v>2852121.013512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35">
      <c r="A16" s="8">
        <v>46171</v>
      </c>
      <c r="B16" s="9">
        <v>3427075.3179870001</v>
      </c>
      <c r="C16" s="10">
        <v>15162.102999999999</v>
      </c>
      <c r="D16" s="10">
        <v>859682.26096999994</v>
      </c>
      <c r="E16" s="10">
        <v>2277703.1930320002</v>
      </c>
      <c r="F16" s="10">
        <v>14381.665999999999</v>
      </c>
      <c r="G16" s="10">
        <v>8173.1280699999998</v>
      </c>
      <c r="H16" s="10">
        <v>132117.21937000001</v>
      </c>
      <c r="I16" s="10"/>
      <c r="J16" s="10">
        <v>6210.68</v>
      </c>
      <c r="K16" s="10"/>
      <c r="L16" s="10"/>
      <c r="M16" s="10">
        <v>17111.08396</v>
      </c>
      <c r="N16" s="10"/>
      <c r="O16" s="10"/>
      <c r="P16" s="10"/>
      <c r="Q16" s="10"/>
      <c r="R16" s="10"/>
      <c r="S16" s="10">
        <v>4848.9307799999997</v>
      </c>
      <c r="T16" s="10"/>
      <c r="U16" s="10">
        <v>82120.696314999994</v>
      </c>
      <c r="V16" s="10"/>
      <c r="W16" s="10"/>
      <c r="X16" s="10">
        <v>8323.2627400000001</v>
      </c>
      <c r="Y16" s="10"/>
      <c r="Z16" s="10"/>
      <c r="AA16" s="10">
        <v>1241.09375</v>
      </c>
      <c r="AB16" s="10"/>
      <c r="AC16" s="10"/>
      <c r="AD16" s="10"/>
      <c r="AE16" s="10"/>
    </row>
    <row r="17" spans="1:31" x14ac:dyDescent="0.35">
      <c r="A17" s="8">
        <v>46170</v>
      </c>
      <c r="B17" s="9">
        <v>6345466.7366233496</v>
      </c>
      <c r="C17" s="10">
        <v>191228.42600000001</v>
      </c>
      <c r="D17" s="10">
        <v>4932806.90264335</v>
      </c>
      <c r="E17" s="10">
        <v>37576.671601000002</v>
      </c>
      <c r="F17" s="10">
        <v>62493.038</v>
      </c>
      <c r="G17" s="10">
        <v>1062922.3260300001</v>
      </c>
      <c r="H17" s="10">
        <v>23662.486269000001</v>
      </c>
      <c r="I17" s="10"/>
      <c r="J17" s="10">
        <v>23936.93</v>
      </c>
      <c r="K17" s="10"/>
      <c r="L17" s="10"/>
      <c r="M17" s="10"/>
      <c r="N17" s="10"/>
      <c r="O17" s="10"/>
      <c r="P17" s="10"/>
      <c r="Q17" s="10"/>
      <c r="R17" s="10"/>
      <c r="S17" s="10">
        <v>3010.9790800000001</v>
      </c>
      <c r="T17" s="10">
        <v>418.37400000000002</v>
      </c>
      <c r="U17" s="10"/>
      <c r="V17" s="10"/>
      <c r="W17" s="10">
        <v>4773.0892599999997</v>
      </c>
      <c r="X17" s="10">
        <v>2637.5137399999999</v>
      </c>
      <c r="Y17" s="10"/>
      <c r="Z17" s="10"/>
      <c r="AA17" s="10"/>
      <c r="AB17" s="10"/>
      <c r="AC17" s="10"/>
      <c r="AD17" s="10"/>
      <c r="AE17" s="10"/>
    </row>
    <row r="18" spans="1:31" x14ac:dyDescent="0.35">
      <c r="A18" s="8">
        <v>46169</v>
      </c>
      <c r="B18" s="9">
        <v>9840392.6228899099</v>
      </c>
      <c r="C18" s="10">
        <v>4789335.5520000001</v>
      </c>
      <c r="D18" s="10">
        <v>4607221.4675199203</v>
      </c>
      <c r="E18" s="10">
        <v>328432.64941499999</v>
      </c>
      <c r="F18" s="10">
        <v>21798.95</v>
      </c>
      <c r="G18" s="10"/>
      <c r="H18" s="10">
        <v>7165.7530500000003</v>
      </c>
      <c r="I18" s="10"/>
      <c r="J18" s="10">
        <v>40692.633999999998</v>
      </c>
      <c r="K18" s="10"/>
      <c r="L18" s="10"/>
      <c r="M18" s="10">
        <v>249.4375</v>
      </c>
      <c r="N18" s="10"/>
      <c r="O18" s="10"/>
      <c r="P18" s="10">
        <v>4020.130885</v>
      </c>
      <c r="Q18" s="10"/>
      <c r="R18" s="10"/>
      <c r="S18" s="10"/>
      <c r="T18" s="10"/>
      <c r="U18" s="10"/>
      <c r="V18" s="10"/>
      <c r="W18" s="10">
        <v>26229.0585299841</v>
      </c>
      <c r="X18" s="10">
        <v>15246.98999</v>
      </c>
      <c r="Y18" s="10"/>
      <c r="Z18" s="10"/>
      <c r="AA18" s="10"/>
      <c r="AB18" s="10"/>
      <c r="AC18" s="10"/>
      <c r="AD18" s="10"/>
      <c r="AE18" s="10"/>
    </row>
    <row r="19" spans="1:31" x14ac:dyDescent="0.35">
      <c r="A19" s="8">
        <v>46168</v>
      </c>
      <c r="B19" s="9">
        <v>9352252.5185749605</v>
      </c>
      <c r="C19" s="10">
        <v>3509409.49</v>
      </c>
      <c r="D19" s="10">
        <v>3678047.1467749998</v>
      </c>
      <c r="E19" s="10">
        <v>1433276.176244</v>
      </c>
      <c r="F19" s="10">
        <v>57964.288337999998</v>
      </c>
      <c r="G19" s="10">
        <v>639198.91974499996</v>
      </c>
      <c r="H19" s="10">
        <v>869.31503999999995</v>
      </c>
      <c r="I19" s="10"/>
      <c r="J19" s="10">
        <v>6984.66</v>
      </c>
      <c r="K19" s="10"/>
      <c r="L19" s="10"/>
      <c r="M19" s="10">
        <v>251.4633</v>
      </c>
      <c r="N19" s="10">
        <v>985.61068999999998</v>
      </c>
      <c r="O19" s="10"/>
      <c r="P19" s="10">
        <v>1159.9769899999999</v>
      </c>
      <c r="Q19" s="10">
        <v>16856.358519961799</v>
      </c>
      <c r="R19" s="10"/>
      <c r="S19" s="10"/>
      <c r="T19" s="10"/>
      <c r="U19" s="10">
        <v>2010.272283</v>
      </c>
      <c r="V19" s="10"/>
      <c r="W19" s="10"/>
      <c r="X19" s="10">
        <v>5238.8406500000001</v>
      </c>
      <c r="Y19" s="10"/>
      <c r="Z19" s="10"/>
      <c r="AA19" s="10"/>
      <c r="AB19" s="10"/>
      <c r="AC19" s="10"/>
      <c r="AD19" s="10"/>
      <c r="AE19" s="10"/>
    </row>
    <row r="20" spans="1:31" x14ac:dyDescent="0.35">
      <c r="A20" s="8">
        <v>46167</v>
      </c>
      <c r="B20" s="9">
        <v>2298199.9382259501</v>
      </c>
      <c r="C20" s="10">
        <v>730898.25800000003</v>
      </c>
      <c r="D20" s="10">
        <v>93063.1408359997</v>
      </c>
      <c r="E20" s="10">
        <v>1405309.06739</v>
      </c>
      <c r="F20" s="10">
        <v>33217.370000000003</v>
      </c>
      <c r="G20" s="10"/>
      <c r="H20" s="10"/>
      <c r="I20" s="10">
        <v>1061.5319999999999</v>
      </c>
      <c r="J20" s="10">
        <v>22622.17</v>
      </c>
      <c r="K20" s="10"/>
      <c r="L20" s="10"/>
      <c r="M20" s="10"/>
      <c r="N20" s="10"/>
      <c r="O20" s="10"/>
      <c r="P20" s="10"/>
      <c r="Q20" s="10">
        <v>9869.7124999522093</v>
      </c>
      <c r="R20" s="10"/>
      <c r="S20" s="10"/>
      <c r="T20" s="10">
        <v>2158.6875</v>
      </c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35">
      <c r="A21" s="8">
        <v>46166</v>
      </c>
      <c r="B21" s="9">
        <v>1557762.88918996</v>
      </c>
      <c r="C21" s="10"/>
      <c r="D21" s="10">
        <v>11752.748149999999</v>
      </c>
      <c r="E21" s="10">
        <v>1535562.66823999</v>
      </c>
      <c r="F21" s="10"/>
      <c r="G21" s="10"/>
      <c r="H21" s="10"/>
      <c r="I21" s="10">
        <v>9448.9727999999996</v>
      </c>
      <c r="J21" s="10"/>
      <c r="K21" s="10"/>
      <c r="L21" s="10"/>
      <c r="M21" s="10"/>
      <c r="N21" s="10"/>
      <c r="O21" s="10"/>
      <c r="P21" s="10"/>
      <c r="Q21" s="10">
        <v>998.49999997465704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35">
      <c r="A22" s="8">
        <v>46164</v>
      </c>
      <c r="B22" s="9">
        <v>17534727.199988</v>
      </c>
      <c r="C22" s="10">
        <v>40879.785250000001</v>
      </c>
      <c r="D22" s="10">
        <v>13005613.480136</v>
      </c>
      <c r="E22" s="10">
        <v>1726862.1842179999</v>
      </c>
      <c r="F22" s="10"/>
      <c r="G22" s="10">
        <v>1186360.5391500001</v>
      </c>
      <c r="H22" s="10">
        <v>286220.15000000002</v>
      </c>
      <c r="I22" s="10">
        <v>18889.996800000001</v>
      </c>
      <c r="J22" s="10">
        <v>772052.219408</v>
      </c>
      <c r="K22" s="10">
        <v>487.0265</v>
      </c>
      <c r="L22" s="10"/>
      <c r="M22" s="10">
        <v>14197.572845000001</v>
      </c>
      <c r="N22" s="10"/>
      <c r="O22" s="10"/>
      <c r="P22" s="10">
        <v>472042.45830499998</v>
      </c>
      <c r="Q22" s="10"/>
      <c r="R22" s="10"/>
      <c r="S22" s="10"/>
      <c r="T22" s="10">
        <v>6209.2046399999999</v>
      </c>
      <c r="U22" s="10">
        <v>247.1875</v>
      </c>
      <c r="V22" s="10"/>
      <c r="W22" s="10">
        <v>370.99217499999997</v>
      </c>
      <c r="X22" s="10">
        <v>4294.403061</v>
      </c>
      <c r="Y22" s="10"/>
      <c r="Z22" s="10"/>
      <c r="AA22" s="10"/>
      <c r="AB22" s="10"/>
      <c r="AC22" s="10"/>
      <c r="AD22" s="10"/>
      <c r="AE22" s="10"/>
    </row>
    <row r="23" spans="1:31" x14ac:dyDescent="0.35">
      <c r="A23" s="8">
        <v>46163</v>
      </c>
      <c r="B23" s="9">
        <v>2573406.3864950002</v>
      </c>
      <c r="C23" s="10">
        <v>831966.88525000005</v>
      </c>
      <c r="D23" s="10">
        <v>788956.800804</v>
      </c>
      <c r="E23" s="10">
        <v>46437.158685998496</v>
      </c>
      <c r="F23" s="10">
        <v>287083.73942599999</v>
      </c>
      <c r="G23" s="10">
        <v>6702.2322750000003</v>
      </c>
      <c r="H23" s="10">
        <v>2101</v>
      </c>
      <c r="I23" s="10"/>
      <c r="J23" s="10">
        <v>250800.45492799999</v>
      </c>
      <c r="K23" s="10">
        <v>4712.1499409999997</v>
      </c>
      <c r="L23" s="10"/>
      <c r="M23" s="10">
        <v>131121.04652500001</v>
      </c>
      <c r="N23" s="10"/>
      <c r="O23" s="10"/>
      <c r="P23" s="10"/>
      <c r="Q23" s="10">
        <v>1001.64602</v>
      </c>
      <c r="R23" s="10"/>
      <c r="S23" s="10">
        <v>97600</v>
      </c>
      <c r="T23" s="10">
        <v>124923.27264</v>
      </c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35">
      <c r="A24" s="8">
        <v>46162</v>
      </c>
      <c r="B24" s="9">
        <v>3623491.3573790002</v>
      </c>
      <c r="C24" s="10">
        <v>654313.07799999998</v>
      </c>
      <c r="D24" s="10">
        <v>92320.599944999994</v>
      </c>
      <c r="E24" s="10">
        <v>1504014.7201340001</v>
      </c>
      <c r="F24" s="10">
        <v>20644.661550000001</v>
      </c>
      <c r="G24" s="10">
        <v>2840.7118</v>
      </c>
      <c r="H24" s="10">
        <v>74823.938999999998</v>
      </c>
      <c r="I24" s="10">
        <v>9441.0239999999994</v>
      </c>
      <c r="J24" s="10">
        <v>334024.37900000002</v>
      </c>
      <c r="K24" s="10">
        <v>39944.080001000002</v>
      </c>
      <c r="L24" s="10"/>
      <c r="M24" s="10">
        <v>4022.9638669999999</v>
      </c>
      <c r="N24" s="10">
        <v>34306.588029999999</v>
      </c>
      <c r="O24" s="10"/>
      <c r="P24" s="10">
        <v>484008.47996999999</v>
      </c>
      <c r="Q24" s="10">
        <v>2991</v>
      </c>
      <c r="R24" s="10"/>
      <c r="S24" s="10">
        <v>146387.5</v>
      </c>
      <c r="T24" s="10">
        <v>208829.00391</v>
      </c>
      <c r="U24" s="10">
        <v>1831.9184749999999</v>
      </c>
      <c r="V24" s="10"/>
      <c r="W24" s="10">
        <v>980.73115499999994</v>
      </c>
      <c r="X24" s="10">
        <v>7765.9785419999998</v>
      </c>
      <c r="Y24" s="10"/>
      <c r="Z24" s="10"/>
      <c r="AA24" s="10"/>
      <c r="AB24" s="10"/>
      <c r="AC24" s="10"/>
      <c r="AD24" s="10"/>
      <c r="AE24" s="10"/>
    </row>
    <row r="25" spans="1:31" x14ac:dyDescent="0.35">
      <c r="A25" s="8">
        <v>46161</v>
      </c>
      <c r="B25" s="9">
        <v>6720069.6856140001</v>
      </c>
      <c r="C25" s="10">
        <v>4163723.3374800002</v>
      </c>
      <c r="D25" s="10">
        <v>390412.83718999999</v>
      </c>
      <c r="E25" s="10">
        <v>1668521.7483910001</v>
      </c>
      <c r="F25" s="10">
        <v>64973.256176000003</v>
      </c>
      <c r="G25" s="10">
        <v>4786.7574750000003</v>
      </c>
      <c r="H25" s="10">
        <v>2588.9971850000002</v>
      </c>
      <c r="I25" s="10"/>
      <c r="J25" s="10">
        <v>75593.413304000002</v>
      </c>
      <c r="K25" s="10">
        <v>384.99158499999999</v>
      </c>
      <c r="L25" s="10"/>
      <c r="M25" s="10">
        <v>132330.06273000001</v>
      </c>
      <c r="N25" s="10">
        <v>4482.3381399999998</v>
      </c>
      <c r="O25" s="10"/>
      <c r="P25" s="10"/>
      <c r="Q25" s="10">
        <v>5986.5</v>
      </c>
      <c r="R25" s="10"/>
      <c r="S25" s="10">
        <v>297.93</v>
      </c>
      <c r="T25" s="10"/>
      <c r="U25" s="10">
        <v>118465.727593</v>
      </c>
      <c r="V25" s="10"/>
      <c r="W25" s="10">
        <v>75405.055605000001</v>
      </c>
      <c r="X25" s="10">
        <v>12116.732760000001</v>
      </c>
      <c r="Y25" s="10"/>
      <c r="Z25" s="10"/>
      <c r="AA25" s="10"/>
      <c r="AB25" s="10"/>
      <c r="AC25" s="10"/>
      <c r="AD25" s="10"/>
      <c r="AE25" s="10"/>
    </row>
    <row r="26" spans="1:31" x14ac:dyDescent="0.35">
      <c r="A26" s="8">
        <v>46160</v>
      </c>
      <c r="B26" s="9">
        <v>10429713.351216</v>
      </c>
      <c r="C26" s="10">
        <v>6672955.4816399999</v>
      </c>
      <c r="D26" s="10">
        <v>1279430.5647169999</v>
      </c>
      <c r="E26" s="10">
        <v>2159540.6944109998</v>
      </c>
      <c r="F26" s="10">
        <v>1021.539786</v>
      </c>
      <c r="G26" s="10">
        <v>5559.8205500000004</v>
      </c>
      <c r="H26" s="10">
        <v>6907.2504280000003</v>
      </c>
      <c r="I26" s="10"/>
      <c r="J26" s="10">
        <v>41470.466353999996</v>
      </c>
      <c r="K26" s="10"/>
      <c r="L26" s="10"/>
      <c r="M26" s="10">
        <v>167253.34664500001</v>
      </c>
      <c r="N26" s="10">
        <v>20873.181400000001</v>
      </c>
      <c r="O26" s="10"/>
      <c r="P26" s="10"/>
      <c r="Q26" s="10">
        <v>1997</v>
      </c>
      <c r="R26" s="10"/>
      <c r="S26" s="10"/>
      <c r="T26" s="10"/>
      <c r="U26" s="10">
        <v>4853.2511599999998</v>
      </c>
      <c r="V26" s="10"/>
      <c r="W26" s="10">
        <v>58650.816624999999</v>
      </c>
      <c r="X26" s="10"/>
      <c r="Y26" s="10">
        <v>9199.9375</v>
      </c>
      <c r="Z26" s="10"/>
      <c r="AA26" s="10"/>
      <c r="AB26" s="10"/>
      <c r="AC26" s="10"/>
      <c r="AD26" s="10"/>
      <c r="AE26" s="10"/>
    </row>
    <row r="27" spans="1:31" x14ac:dyDescent="0.35">
      <c r="A27" s="8">
        <v>46159</v>
      </c>
      <c r="B27" s="9">
        <v>126885.03750000001</v>
      </c>
      <c r="C27" s="10">
        <v>124123.25</v>
      </c>
      <c r="D27" s="10">
        <v>2761.7874999999999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35">
      <c r="A28" s="8">
        <v>46157</v>
      </c>
      <c r="B28" s="9">
        <v>24719965.947207998</v>
      </c>
      <c r="C28" s="10">
        <v>13760817.6526</v>
      </c>
      <c r="D28" s="10">
        <v>1972599.96221198</v>
      </c>
      <c r="E28" s="10">
        <v>8524526.4421810005</v>
      </c>
      <c r="F28" s="10">
        <v>19700.774786000002</v>
      </c>
      <c r="G28" s="10">
        <v>128003.98609999999</v>
      </c>
      <c r="H28" s="10">
        <v>8937.8789990000005</v>
      </c>
      <c r="I28" s="10"/>
      <c r="J28" s="10">
        <v>10291.893539999999</v>
      </c>
      <c r="K28" s="10">
        <v>202.78189499999999</v>
      </c>
      <c r="L28" s="10"/>
      <c r="M28" s="10">
        <v>175397.89415000001</v>
      </c>
      <c r="N28" s="10">
        <v>4015.1069200000002</v>
      </c>
      <c r="O28" s="10"/>
      <c r="P28" s="10">
        <v>999.11132499999997</v>
      </c>
      <c r="Q28" s="10"/>
      <c r="R28" s="10"/>
      <c r="S28" s="10"/>
      <c r="T28" s="10"/>
      <c r="U28" s="10">
        <v>247.1875</v>
      </c>
      <c r="V28" s="10"/>
      <c r="W28" s="10">
        <v>107305.019235</v>
      </c>
      <c r="X28" s="10">
        <v>5089.2809850000003</v>
      </c>
      <c r="Y28" s="10">
        <v>589.88103000000001</v>
      </c>
      <c r="Z28" s="10"/>
      <c r="AA28" s="10">
        <v>1241.09375</v>
      </c>
      <c r="AB28" s="10"/>
      <c r="AC28" s="10"/>
      <c r="AD28" s="10"/>
      <c r="AE28" s="10"/>
    </row>
    <row r="29" spans="1:31" x14ac:dyDescent="0.35">
      <c r="A29" s="8">
        <v>46156</v>
      </c>
      <c r="B29" s="9">
        <v>14319112.001576001</v>
      </c>
      <c r="C29" s="10">
        <v>11982952.312557001</v>
      </c>
      <c r="D29" s="10">
        <v>712091.96499699994</v>
      </c>
      <c r="E29" s="10">
        <v>229045.45666</v>
      </c>
      <c r="F29" s="10">
        <v>4534.4013819995498</v>
      </c>
      <c r="G29" s="10">
        <v>902000.56636499998</v>
      </c>
      <c r="H29" s="10">
        <v>380121.43598999898</v>
      </c>
      <c r="I29" s="10"/>
      <c r="J29" s="10">
        <v>18399.108749999999</v>
      </c>
      <c r="K29" s="10"/>
      <c r="L29" s="10">
        <v>324.48836</v>
      </c>
      <c r="M29" s="10">
        <v>51515.799545000002</v>
      </c>
      <c r="N29" s="10">
        <v>6154.7107649999998</v>
      </c>
      <c r="O29" s="10"/>
      <c r="P29" s="10">
        <v>8679.7916499999992</v>
      </c>
      <c r="Q29" s="10"/>
      <c r="R29" s="10"/>
      <c r="S29" s="10"/>
      <c r="T29" s="10"/>
      <c r="U29" s="10"/>
      <c r="V29" s="10">
        <v>990</v>
      </c>
      <c r="W29" s="10">
        <v>21077.397679999998</v>
      </c>
      <c r="X29" s="10">
        <v>1224.566875</v>
      </c>
      <c r="Y29" s="10"/>
      <c r="Z29" s="10"/>
      <c r="AA29" s="10"/>
      <c r="AB29" s="10"/>
      <c r="AC29" s="10"/>
      <c r="AD29" s="10"/>
      <c r="AE29" s="10"/>
    </row>
    <row r="30" spans="1:31" x14ac:dyDescent="0.35">
      <c r="A30" s="8">
        <v>46155</v>
      </c>
      <c r="B30" s="9">
        <v>6893020.9905019701</v>
      </c>
      <c r="C30" s="10">
        <v>5053083.4473750005</v>
      </c>
      <c r="D30" s="10">
        <v>466064.052723</v>
      </c>
      <c r="E30" s="10">
        <v>1062359.24388797</v>
      </c>
      <c r="F30" s="10">
        <v>40944.690366000003</v>
      </c>
      <c r="G30" s="10">
        <v>38538.498124999998</v>
      </c>
      <c r="H30" s="10">
        <v>103972.8925</v>
      </c>
      <c r="I30" s="10"/>
      <c r="J30" s="10">
        <v>22230.265555000002</v>
      </c>
      <c r="K30" s="10">
        <v>1957.23065</v>
      </c>
      <c r="L30" s="10"/>
      <c r="M30" s="10">
        <v>60106.623800000001</v>
      </c>
      <c r="N30" s="10">
        <v>1097.76125</v>
      </c>
      <c r="O30" s="10"/>
      <c r="P30" s="10">
        <v>41676.284269999996</v>
      </c>
      <c r="Q30" s="10"/>
      <c r="R30" s="10"/>
      <c r="S30" s="10"/>
      <c r="T30" s="10"/>
      <c r="U30" s="10"/>
      <c r="V30" s="10">
        <v>990</v>
      </c>
      <c r="W30" s="10"/>
      <c r="X30" s="10"/>
      <c r="Y30" s="10"/>
      <c r="Z30" s="10"/>
      <c r="AA30" s="10"/>
      <c r="AB30" s="10"/>
      <c r="AC30" s="10"/>
      <c r="AD30" s="10"/>
      <c r="AE30" s="10"/>
    </row>
    <row r="31" spans="1:31" x14ac:dyDescent="0.35">
      <c r="A31" s="8">
        <v>46154</v>
      </c>
      <c r="B31" s="9">
        <v>44342438.240651697</v>
      </c>
      <c r="C31" s="10">
        <v>32842188.549936</v>
      </c>
      <c r="D31" s="10">
        <v>357600.154056</v>
      </c>
      <c r="E31" s="10">
        <v>10641610.216278</v>
      </c>
      <c r="F31" s="10">
        <v>780.23680000000002</v>
      </c>
      <c r="G31" s="10">
        <v>43554.281077</v>
      </c>
      <c r="H31" s="10">
        <v>20931.372159999999</v>
      </c>
      <c r="I31" s="10"/>
      <c r="J31" s="10">
        <v>16366.4445</v>
      </c>
      <c r="K31" s="10">
        <v>2397.9479999999999</v>
      </c>
      <c r="L31" s="10">
        <v>19903.6814999419</v>
      </c>
      <c r="M31" s="10">
        <v>98387.576845999996</v>
      </c>
      <c r="N31" s="10">
        <v>3045.0519450000002</v>
      </c>
      <c r="O31" s="10"/>
      <c r="P31" s="10"/>
      <c r="Q31" s="10"/>
      <c r="R31" s="10"/>
      <c r="S31" s="10">
        <v>2133.7543700000001</v>
      </c>
      <c r="T31" s="10">
        <v>244460.0575</v>
      </c>
      <c r="U31" s="10">
        <v>1526.8100538000001</v>
      </c>
      <c r="V31" s="10"/>
      <c r="W31" s="10">
        <v>618.32029999999997</v>
      </c>
      <c r="X31" s="10"/>
      <c r="Y31" s="10">
        <v>44661.253279999997</v>
      </c>
      <c r="Z31" s="10"/>
      <c r="AA31" s="10"/>
      <c r="AB31" s="10">
        <v>2272.5320499999998</v>
      </c>
      <c r="AC31" s="10"/>
      <c r="AD31" s="10"/>
      <c r="AE31" s="10"/>
    </row>
    <row r="32" spans="1:31" x14ac:dyDescent="0.35">
      <c r="A32" s="8">
        <v>46153</v>
      </c>
      <c r="B32" s="9">
        <v>14237445.890069</v>
      </c>
      <c r="C32" s="10">
        <v>12969560.430862</v>
      </c>
      <c r="D32" s="10">
        <v>333290.39920300001</v>
      </c>
      <c r="E32" s="10">
        <v>607130.64843699895</v>
      </c>
      <c r="F32" s="10">
        <v>780.23680000000002</v>
      </c>
      <c r="G32" s="10">
        <v>1724.2943250000001</v>
      </c>
      <c r="H32" s="10">
        <v>217718.91</v>
      </c>
      <c r="I32" s="10"/>
      <c r="J32" s="10">
        <v>53214.403200000001</v>
      </c>
      <c r="K32" s="10">
        <v>182.20968999999999</v>
      </c>
      <c r="L32" s="10"/>
      <c r="M32" s="10">
        <v>36158.183669999999</v>
      </c>
      <c r="N32" s="10">
        <v>3549.5954000000002</v>
      </c>
      <c r="O32" s="10">
        <v>3095.7249999999999</v>
      </c>
      <c r="P32" s="10">
        <v>748.39687500000002</v>
      </c>
      <c r="Q32" s="10"/>
      <c r="R32" s="10"/>
      <c r="S32" s="10"/>
      <c r="T32" s="10"/>
      <c r="U32" s="10">
        <v>370.99217499999997</v>
      </c>
      <c r="V32" s="10"/>
      <c r="W32" s="10">
        <v>3848.0650599999999</v>
      </c>
      <c r="X32" s="10"/>
      <c r="Y32" s="10">
        <v>1113.7743720000001</v>
      </c>
      <c r="Z32" s="10"/>
      <c r="AA32" s="10"/>
      <c r="AB32" s="10"/>
      <c r="AC32" s="10">
        <v>4959.625</v>
      </c>
      <c r="AD32" s="10"/>
      <c r="AE32" s="10"/>
    </row>
    <row r="33" spans="1:31" x14ac:dyDescent="0.35">
      <c r="A33" s="8">
        <v>46152</v>
      </c>
      <c r="B33" s="9">
        <v>2187096.260059</v>
      </c>
      <c r="C33" s="10">
        <v>302</v>
      </c>
      <c r="D33" s="10"/>
      <c r="E33" s="10">
        <v>2186794.260059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35">
      <c r="A34" s="8">
        <v>46150</v>
      </c>
      <c r="B34" s="9">
        <v>22939539.162243899</v>
      </c>
      <c r="C34" s="10">
        <v>13164204.202500001</v>
      </c>
      <c r="D34" s="10">
        <v>63620.936838991198</v>
      </c>
      <c r="E34" s="10">
        <v>7101733.3149039997</v>
      </c>
      <c r="F34" s="10">
        <v>14247.474378000001</v>
      </c>
      <c r="G34" s="10">
        <v>969016.38613799994</v>
      </c>
      <c r="H34" s="10">
        <v>767057.49</v>
      </c>
      <c r="I34" s="10"/>
      <c r="J34" s="10">
        <v>228094.274324</v>
      </c>
      <c r="K34" s="10">
        <v>2110.4405139999999</v>
      </c>
      <c r="L34" s="10"/>
      <c r="M34" s="10">
        <v>619095.96885693597</v>
      </c>
      <c r="N34" s="10">
        <v>897.97500000000002</v>
      </c>
      <c r="O34" s="10"/>
      <c r="P34" s="10">
        <v>3752.7612899999999</v>
      </c>
      <c r="Q34" s="10"/>
      <c r="R34" s="10"/>
      <c r="S34" s="10"/>
      <c r="T34" s="10"/>
      <c r="U34" s="10"/>
      <c r="V34" s="10"/>
      <c r="W34" s="10">
        <v>748.3125</v>
      </c>
      <c r="X34" s="10"/>
      <c r="Y34" s="10"/>
      <c r="Z34" s="10"/>
      <c r="AA34" s="10"/>
      <c r="AB34" s="10"/>
      <c r="AC34" s="10">
        <v>4959.625</v>
      </c>
      <c r="AD34" s="10"/>
      <c r="AE34" s="10"/>
    </row>
    <row r="35" spans="1:31" x14ac:dyDescent="0.35">
      <c r="A35" s="8">
        <v>46149</v>
      </c>
      <c r="B35" s="9">
        <v>26591420.835397501</v>
      </c>
      <c r="C35" s="10">
        <v>20413803.026206002</v>
      </c>
      <c r="D35" s="10">
        <v>877822.47490997997</v>
      </c>
      <c r="E35" s="10">
        <v>5155838.1916389996</v>
      </c>
      <c r="F35" s="10">
        <v>5920.4160000000002</v>
      </c>
      <c r="G35" s="10">
        <v>65686.217887999999</v>
      </c>
      <c r="H35" s="10"/>
      <c r="I35" s="10"/>
      <c r="J35" s="10">
        <v>44425.489074500001</v>
      </c>
      <c r="K35" s="10"/>
      <c r="L35" s="10"/>
      <c r="M35" s="10">
        <v>13216.080910000001</v>
      </c>
      <c r="N35" s="10"/>
      <c r="O35" s="10">
        <v>249.4375</v>
      </c>
      <c r="P35" s="10">
        <v>4554.2538699999996</v>
      </c>
      <c r="Q35" s="10">
        <v>1254.18999999691</v>
      </c>
      <c r="R35" s="10"/>
      <c r="S35" s="10"/>
      <c r="T35" s="10"/>
      <c r="U35" s="10">
        <v>7865.1297199999999</v>
      </c>
      <c r="V35" s="10"/>
      <c r="W35" s="10"/>
      <c r="X35" s="10">
        <v>785.92768000000001</v>
      </c>
      <c r="Y35" s="10"/>
      <c r="Z35" s="10"/>
      <c r="AA35" s="10"/>
      <c r="AB35" s="10"/>
      <c r="AC35" s="10"/>
      <c r="AD35" s="10"/>
      <c r="AE35" s="10"/>
    </row>
    <row r="36" spans="1:31" x14ac:dyDescent="0.35">
      <c r="A36" s="8">
        <v>46148</v>
      </c>
      <c r="B36" s="9">
        <v>59509753.078935899</v>
      </c>
      <c r="C36" s="10">
        <v>57774834.312311903</v>
      </c>
      <c r="D36" s="10">
        <v>564159.09122596798</v>
      </c>
      <c r="E36" s="10">
        <v>257099.368796</v>
      </c>
      <c r="F36" s="10">
        <v>17553.697221999999</v>
      </c>
      <c r="G36" s="10">
        <v>253094.710077986</v>
      </c>
      <c r="H36" s="10">
        <v>553769.81905000005</v>
      </c>
      <c r="I36" s="10">
        <v>820.95</v>
      </c>
      <c r="J36" s="10">
        <v>21459.051087</v>
      </c>
      <c r="K36" s="10">
        <v>2526.9268149999998</v>
      </c>
      <c r="L36" s="10"/>
      <c r="M36" s="10">
        <v>40745.095445999999</v>
      </c>
      <c r="N36" s="10">
        <v>99.786249999999995</v>
      </c>
      <c r="O36" s="10">
        <v>99.786249999999995</v>
      </c>
      <c r="P36" s="10">
        <v>12145.920558</v>
      </c>
      <c r="Q36" s="10">
        <v>1886.8175000000001</v>
      </c>
      <c r="R36" s="10"/>
      <c r="S36" s="10"/>
      <c r="T36" s="10">
        <v>300.95999999999998</v>
      </c>
      <c r="U36" s="10">
        <v>6001.6883859999998</v>
      </c>
      <c r="V36" s="10"/>
      <c r="W36" s="10"/>
      <c r="X36" s="10"/>
      <c r="Y36" s="10">
        <v>3155.0979600000001</v>
      </c>
      <c r="Z36" s="10"/>
      <c r="AA36" s="10"/>
      <c r="AB36" s="10"/>
      <c r="AC36" s="10"/>
      <c r="AD36" s="10"/>
      <c r="AE36" s="10"/>
    </row>
    <row r="37" spans="1:31" x14ac:dyDescent="0.35">
      <c r="A37" s="8">
        <v>46147</v>
      </c>
      <c r="B37" s="9">
        <v>17856174.149287</v>
      </c>
      <c r="C37" s="10">
        <v>12964726.003997</v>
      </c>
      <c r="D37" s="10">
        <v>3313941.0444240002</v>
      </c>
      <c r="E37" s="10">
        <v>268283.42776200001</v>
      </c>
      <c r="F37" s="10">
        <v>629.23708799999997</v>
      </c>
      <c r="G37" s="10">
        <v>1158507.1133600001</v>
      </c>
      <c r="H37" s="10">
        <v>96058.686388999995</v>
      </c>
      <c r="I37" s="10"/>
      <c r="J37" s="10">
        <v>22603.797658</v>
      </c>
      <c r="K37" s="10">
        <v>3544.8062</v>
      </c>
      <c r="L37" s="10"/>
      <c r="M37" s="10"/>
      <c r="N37" s="10">
        <v>99.786249999999995</v>
      </c>
      <c r="O37" s="10"/>
      <c r="P37" s="10">
        <v>202.44347500000001</v>
      </c>
      <c r="Q37" s="10">
        <v>23125</v>
      </c>
      <c r="R37" s="10"/>
      <c r="S37" s="10">
        <v>1275.5496740000001</v>
      </c>
      <c r="T37" s="10"/>
      <c r="U37" s="10"/>
      <c r="V37" s="10"/>
      <c r="W37" s="10">
        <v>3177.2530099999999</v>
      </c>
      <c r="X37" s="10"/>
      <c r="Y37" s="10"/>
      <c r="Z37" s="10"/>
      <c r="AA37" s="10"/>
      <c r="AB37" s="10"/>
      <c r="AC37" s="10"/>
      <c r="AD37" s="10"/>
      <c r="AE37" s="10"/>
    </row>
    <row r="38" spans="1:31" x14ac:dyDescent="0.35">
      <c r="A38" s="8">
        <v>46146</v>
      </c>
      <c r="B38" s="9">
        <v>21097465.758126501</v>
      </c>
      <c r="C38" s="10">
        <v>13283135.658</v>
      </c>
      <c r="D38" s="10">
        <v>6520371.2697555004</v>
      </c>
      <c r="E38" s="10">
        <v>149795.18530899999</v>
      </c>
      <c r="F38" s="10">
        <v>4553.9099139999998</v>
      </c>
      <c r="G38" s="10">
        <v>862222.22707300005</v>
      </c>
      <c r="H38" s="10">
        <v>96400</v>
      </c>
      <c r="I38" s="10"/>
      <c r="J38" s="10">
        <v>38394.874389999997</v>
      </c>
      <c r="K38" s="10">
        <v>1015.909055</v>
      </c>
      <c r="L38" s="10">
        <v>17820</v>
      </c>
      <c r="M38" s="10">
        <v>765.89979200000005</v>
      </c>
      <c r="N38" s="10">
        <v>247.328125</v>
      </c>
      <c r="O38" s="10"/>
      <c r="P38" s="10">
        <v>199.55</v>
      </c>
      <c r="Q38" s="10">
        <v>23125</v>
      </c>
      <c r="R38" s="10"/>
      <c r="S38" s="10"/>
      <c r="T38" s="10">
        <v>97288.884000000005</v>
      </c>
      <c r="U38" s="10">
        <v>615.96096499999999</v>
      </c>
      <c r="V38" s="10"/>
      <c r="W38" s="10">
        <v>616.01085</v>
      </c>
      <c r="X38" s="10">
        <v>898.09089800000004</v>
      </c>
      <c r="Y38" s="10"/>
      <c r="Z38" s="10"/>
      <c r="AA38" s="10"/>
      <c r="AB38" s="10"/>
      <c r="AC38" s="10"/>
      <c r="AD38" s="10"/>
      <c r="AE38" s="10"/>
    </row>
    <row r="39" spans="1:31" x14ac:dyDescent="0.35">
      <c r="A39" s="8">
        <v>46145</v>
      </c>
      <c r="B39" s="9">
        <v>1294806.38059</v>
      </c>
      <c r="C39" s="10"/>
      <c r="D39" s="10">
        <v>31853.032500000001</v>
      </c>
      <c r="E39" s="10">
        <v>1260397.8400000001</v>
      </c>
      <c r="F39" s="10">
        <v>324.93723999999997</v>
      </c>
      <c r="G39" s="10"/>
      <c r="H39" s="10"/>
      <c r="I39" s="10"/>
      <c r="J39" s="10">
        <v>1916.37</v>
      </c>
      <c r="K39" s="10"/>
      <c r="L39" s="10"/>
      <c r="M39" s="10"/>
      <c r="N39" s="10"/>
      <c r="O39" s="10"/>
      <c r="P39" s="10"/>
      <c r="Q39" s="10"/>
      <c r="R39" s="10">
        <v>314.20085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x14ac:dyDescent="0.35">
      <c r="A40" s="8">
        <v>46143</v>
      </c>
      <c r="B40" s="9">
        <v>13422315.318208899</v>
      </c>
      <c r="C40" s="10">
        <v>9151516.8106500003</v>
      </c>
      <c r="D40" s="10">
        <v>930741.33189799997</v>
      </c>
      <c r="E40" s="10">
        <v>2471870.0858699102</v>
      </c>
      <c r="F40" s="10">
        <v>59054.939875999997</v>
      </c>
      <c r="G40" s="10">
        <v>279735.56062900001</v>
      </c>
      <c r="H40" s="10">
        <v>407996.30999999901</v>
      </c>
      <c r="I40" s="10"/>
      <c r="J40" s="10">
        <v>54171.695399999997</v>
      </c>
      <c r="K40" s="10">
        <v>2556.7035799999999</v>
      </c>
      <c r="L40" s="10"/>
      <c r="M40" s="10">
        <v>23232.997780999998</v>
      </c>
      <c r="N40" s="10">
        <v>24323.237125</v>
      </c>
      <c r="O40" s="10">
        <v>5021.3157600000004</v>
      </c>
      <c r="P40" s="10">
        <v>504.76173</v>
      </c>
      <c r="Q40" s="10"/>
      <c r="R40" s="10">
        <v>2346.0034500000002</v>
      </c>
      <c r="S40" s="10"/>
      <c r="T40" s="10"/>
      <c r="U40" s="10">
        <v>2395.8960000000002</v>
      </c>
      <c r="V40" s="10"/>
      <c r="W40" s="10">
        <v>3600.7369349999999</v>
      </c>
      <c r="X40" s="10">
        <v>277.05652500000002</v>
      </c>
      <c r="Y40" s="10"/>
      <c r="Z40" s="10"/>
      <c r="AA40" s="10">
        <v>2969.875</v>
      </c>
      <c r="AB40" s="10"/>
      <c r="AC40" s="10"/>
      <c r="AD40" s="10"/>
      <c r="AE40" s="10"/>
    </row>
    <row r="41" spans="1:31" x14ac:dyDescent="0.35">
      <c r="A41" s="8">
        <v>46142</v>
      </c>
      <c r="B41" s="9">
        <v>12060955.552953999</v>
      </c>
      <c r="C41" s="10">
        <v>6840079.1965819998</v>
      </c>
      <c r="D41" s="10">
        <v>349348.76240200002</v>
      </c>
      <c r="E41" s="10">
        <v>478206.45515599998</v>
      </c>
      <c r="F41" s="10"/>
      <c r="G41" s="10">
        <v>3605771.8605889999</v>
      </c>
      <c r="H41" s="10">
        <v>600219.71337099303</v>
      </c>
      <c r="I41" s="10"/>
      <c r="J41" s="10">
        <v>34780.981282000001</v>
      </c>
      <c r="K41" s="10">
        <v>78363.897014000002</v>
      </c>
      <c r="L41" s="10"/>
      <c r="M41" s="10">
        <v>7543.7551249999997</v>
      </c>
      <c r="N41" s="10">
        <v>17000.471799999999</v>
      </c>
      <c r="O41" s="10">
        <v>1347.3956250000001</v>
      </c>
      <c r="P41" s="10">
        <v>4138.3373320000001</v>
      </c>
      <c r="Q41" s="10"/>
      <c r="R41" s="10"/>
      <c r="S41" s="10"/>
      <c r="T41" s="10"/>
      <c r="U41" s="10">
        <v>33987.925994999998</v>
      </c>
      <c r="V41" s="10"/>
      <c r="W41" s="10">
        <v>5361.4074039999996</v>
      </c>
      <c r="X41" s="10">
        <v>4805.3932770000001</v>
      </c>
      <c r="Y41" s="10"/>
      <c r="Z41" s="10"/>
      <c r="AA41" s="10"/>
      <c r="AB41" s="10"/>
      <c r="AC41" s="10"/>
      <c r="AD41" s="10"/>
      <c r="AE41" s="10"/>
    </row>
    <row r="42" spans="1:31" x14ac:dyDescent="0.35">
      <c r="A42" s="8">
        <v>46141</v>
      </c>
      <c r="B42" s="9">
        <v>11559938.584703</v>
      </c>
      <c r="C42" s="10">
        <v>3507254.1855000001</v>
      </c>
      <c r="D42" s="10">
        <v>2323624.1468659998</v>
      </c>
      <c r="E42" s="10">
        <v>320401.70624199999</v>
      </c>
      <c r="F42" s="10"/>
      <c r="G42" s="10">
        <v>3815802.4145960002</v>
      </c>
      <c r="H42" s="10">
        <v>53915.548350999998</v>
      </c>
      <c r="I42" s="10">
        <v>1462500</v>
      </c>
      <c r="J42" s="10">
        <v>18098.333439999999</v>
      </c>
      <c r="K42" s="10"/>
      <c r="L42" s="10"/>
      <c r="M42" s="10">
        <v>7543.7551249999997</v>
      </c>
      <c r="N42" s="10">
        <v>5489.9487499999996</v>
      </c>
      <c r="O42" s="10">
        <v>1247.609375</v>
      </c>
      <c r="P42" s="10"/>
      <c r="Q42" s="10"/>
      <c r="R42" s="10"/>
      <c r="S42" s="10"/>
      <c r="T42" s="10">
        <v>595.45924000000002</v>
      </c>
      <c r="U42" s="10">
        <v>32491.465527</v>
      </c>
      <c r="V42" s="10"/>
      <c r="W42" s="10">
        <v>1496.79375</v>
      </c>
      <c r="X42" s="10">
        <v>4091.9549609999999</v>
      </c>
      <c r="Y42" s="10">
        <v>3063.38798</v>
      </c>
      <c r="Z42" s="10"/>
      <c r="AA42" s="10">
        <v>2321.875</v>
      </c>
      <c r="AB42" s="10"/>
      <c r="AC42" s="10"/>
      <c r="AD42" s="10"/>
      <c r="AE42" s="10"/>
    </row>
    <row r="43" spans="1:31" x14ac:dyDescent="0.35">
      <c r="A43" s="8">
        <v>46140</v>
      </c>
      <c r="B43" s="9">
        <v>7559445.8789139902</v>
      </c>
      <c r="C43" s="10">
        <v>2540254.6778549999</v>
      </c>
      <c r="D43" s="10">
        <v>4061009.6345139998</v>
      </c>
      <c r="E43" s="10">
        <v>925459.99881999404</v>
      </c>
      <c r="F43" s="10"/>
      <c r="G43" s="10">
        <v>2044.3426649999999</v>
      </c>
      <c r="H43" s="10"/>
      <c r="I43" s="10"/>
      <c r="J43" s="10">
        <v>20618.05949</v>
      </c>
      <c r="K43" s="10"/>
      <c r="L43" s="10"/>
      <c r="M43" s="10"/>
      <c r="N43" s="10">
        <v>4090.54457</v>
      </c>
      <c r="O43" s="10"/>
      <c r="P43" s="10">
        <v>990.07916999999998</v>
      </c>
      <c r="Q43" s="10"/>
      <c r="R43" s="10"/>
      <c r="S43" s="10"/>
      <c r="T43" s="10"/>
      <c r="U43" s="10">
        <v>1086.5011500000001</v>
      </c>
      <c r="V43" s="10"/>
      <c r="W43" s="10">
        <v>29.948699999999999</v>
      </c>
      <c r="X43" s="10">
        <v>798.70399999999995</v>
      </c>
      <c r="Y43" s="10">
        <v>3063.38798</v>
      </c>
      <c r="Z43" s="10"/>
      <c r="AA43" s="10"/>
      <c r="AB43" s="10"/>
      <c r="AC43" s="10"/>
      <c r="AD43" s="10"/>
      <c r="AE43" s="10"/>
    </row>
    <row r="44" spans="1:31" x14ac:dyDescent="0.35">
      <c r="A44" s="8">
        <v>46139</v>
      </c>
      <c r="B44" s="9">
        <v>5728029.1347442996</v>
      </c>
      <c r="C44" s="10">
        <v>2926361.8563549998</v>
      </c>
      <c r="D44" s="10">
        <v>173761.36287000001</v>
      </c>
      <c r="E44" s="10">
        <v>182136.82370400001</v>
      </c>
      <c r="F44" s="10">
        <v>2146142.9019999998</v>
      </c>
      <c r="G44" s="10">
        <v>4558.3695699999998</v>
      </c>
      <c r="H44" s="10">
        <v>263608.90370000002</v>
      </c>
      <c r="I44" s="10"/>
      <c r="J44" s="10">
        <v>8900.2191700000003</v>
      </c>
      <c r="K44" s="10">
        <v>886.70060999999998</v>
      </c>
      <c r="L44" s="10"/>
      <c r="M44" s="10">
        <v>991.16485</v>
      </c>
      <c r="N44" s="10">
        <v>498.93124999999998</v>
      </c>
      <c r="O44" s="10"/>
      <c r="P44" s="10">
        <v>1113.1026535000001</v>
      </c>
      <c r="Q44" s="10"/>
      <c r="R44" s="10"/>
      <c r="S44" s="10">
        <v>3867.41435</v>
      </c>
      <c r="T44" s="10"/>
      <c r="U44" s="10">
        <v>3010.3656538</v>
      </c>
      <c r="V44" s="10"/>
      <c r="W44" s="10">
        <v>2624.4440079999999</v>
      </c>
      <c r="X44" s="10">
        <v>798.70399999999995</v>
      </c>
      <c r="Y44" s="10"/>
      <c r="Z44" s="10"/>
      <c r="AA44" s="10">
        <v>8767.8700000000008</v>
      </c>
      <c r="AB44" s="10"/>
      <c r="AC44" s="10"/>
      <c r="AD44" s="10"/>
      <c r="AE44" s="10"/>
    </row>
    <row r="45" spans="1:31" x14ac:dyDescent="0.35">
      <c r="A45" s="8">
        <v>46138</v>
      </c>
      <c r="B45" s="9">
        <v>342273.739726</v>
      </c>
      <c r="C45" s="10"/>
      <c r="D45" s="10">
        <v>41999.96875</v>
      </c>
      <c r="E45" s="10">
        <v>296149.650976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>
        <v>4124.12</v>
      </c>
      <c r="AB45" s="10"/>
      <c r="AC45" s="10"/>
      <c r="AD45" s="10"/>
      <c r="AE45" s="10"/>
    </row>
    <row r="46" spans="1:31" x14ac:dyDescent="0.35">
      <c r="A46" s="8">
        <v>46136</v>
      </c>
      <c r="B46" s="9">
        <v>15253818.3621765</v>
      </c>
      <c r="C46" s="10">
        <v>1120723.308</v>
      </c>
      <c r="D46" s="10">
        <v>9928542.7474160008</v>
      </c>
      <c r="E46" s="10">
        <v>1148291.713038</v>
      </c>
      <c r="F46" s="10"/>
      <c r="G46" s="10">
        <v>2277227.4500000002</v>
      </c>
      <c r="H46" s="10">
        <v>578761.09183799999</v>
      </c>
      <c r="I46" s="10">
        <v>98000</v>
      </c>
      <c r="J46" s="10">
        <v>41745.539816999997</v>
      </c>
      <c r="K46" s="10"/>
      <c r="L46" s="10"/>
      <c r="M46" s="10"/>
      <c r="N46" s="10">
        <v>321.03081200000003</v>
      </c>
      <c r="O46" s="10"/>
      <c r="P46" s="10">
        <v>52711.870620499998</v>
      </c>
      <c r="Q46" s="10">
        <v>326.88325500000002</v>
      </c>
      <c r="R46" s="10"/>
      <c r="S46" s="10"/>
      <c r="T46" s="10"/>
      <c r="U46" s="10">
        <v>3965.8</v>
      </c>
      <c r="V46" s="10"/>
      <c r="W46" s="10">
        <v>425.363767</v>
      </c>
      <c r="X46" s="10">
        <v>1658.088788</v>
      </c>
      <c r="Y46" s="10">
        <v>1117.474825</v>
      </c>
      <c r="Z46" s="10"/>
      <c r="AA46" s="10"/>
      <c r="AB46" s="10"/>
      <c r="AC46" s="10"/>
      <c r="AD46" s="10"/>
      <c r="AE46" s="10"/>
    </row>
    <row r="47" spans="1:31" x14ac:dyDescent="0.35">
      <c r="A47" s="8">
        <v>46135</v>
      </c>
      <c r="B47" s="9">
        <v>23370127.914910998</v>
      </c>
      <c r="C47" s="10">
        <v>384286.45374199998</v>
      </c>
      <c r="D47" s="10">
        <v>18195823.950784001</v>
      </c>
      <c r="E47" s="10">
        <v>116267.92703999901</v>
      </c>
      <c r="F47" s="10">
        <v>2462693.6800000002</v>
      </c>
      <c r="G47" s="10">
        <v>226233.41268400001</v>
      </c>
      <c r="H47" s="10">
        <v>95500</v>
      </c>
      <c r="I47" s="10">
        <v>1267500</v>
      </c>
      <c r="J47" s="10">
        <v>147982.49076700001</v>
      </c>
      <c r="K47" s="10">
        <v>646.18020899999999</v>
      </c>
      <c r="L47" s="10"/>
      <c r="M47" s="10">
        <v>997.86249999999995</v>
      </c>
      <c r="N47" s="10"/>
      <c r="O47" s="10"/>
      <c r="P47" s="10">
        <v>4232.0686139999998</v>
      </c>
      <c r="Q47" s="10">
        <v>444098.650555</v>
      </c>
      <c r="R47" s="10"/>
      <c r="S47" s="10"/>
      <c r="T47" s="10">
        <v>396</v>
      </c>
      <c r="U47" s="10">
        <v>1655.0742749999999</v>
      </c>
      <c r="V47" s="10"/>
      <c r="W47" s="10">
        <v>6123.7784259999999</v>
      </c>
      <c r="X47" s="10">
        <v>14322.072199</v>
      </c>
      <c r="Y47" s="10">
        <v>1368.313116</v>
      </c>
      <c r="Z47" s="10"/>
      <c r="AA47" s="10"/>
      <c r="AB47" s="10"/>
      <c r="AC47" s="10"/>
      <c r="AD47" s="10"/>
      <c r="AE47" s="10"/>
    </row>
    <row r="48" spans="1:31" x14ac:dyDescent="0.35">
      <c r="A48" s="8">
        <v>46134</v>
      </c>
      <c r="B48" s="9">
        <v>9068575.2108360007</v>
      </c>
      <c r="C48" s="10">
        <v>1544947.1850000001</v>
      </c>
      <c r="D48" s="10">
        <v>6595474.3532750001</v>
      </c>
      <c r="E48" s="10">
        <v>103744.254028</v>
      </c>
      <c r="F48" s="10"/>
      <c r="G48" s="10">
        <v>143649.24233800001</v>
      </c>
      <c r="H48" s="10">
        <v>14468.0175</v>
      </c>
      <c r="I48" s="10"/>
      <c r="J48" s="10">
        <v>532332.53884000005</v>
      </c>
      <c r="K48" s="10"/>
      <c r="L48" s="10"/>
      <c r="M48" s="10">
        <v>5991.6864999999998</v>
      </c>
      <c r="N48" s="10">
        <v>494.65625</v>
      </c>
      <c r="O48" s="10">
        <v>20372.46</v>
      </c>
      <c r="P48" s="10">
        <v>149.66249999999999</v>
      </c>
      <c r="Q48" s="10">
        <v>521.76729999999998</v>
      </c>
      <c r="R48" s="10"/>
      <c r="S48" s="10">
        <v>99500</v>
      </c>
      <c r="T48" s="10"/>
      <c r="U48" s="10"/>
      <c r="V48" s="10"/>
      <c r="W48" s="10">
        <v>814.77047600000003</v>
      </c>
      <c r="X48" s="10">
        <v>5853.1910040000002</v>
      </c>
      <c r="Y48" s="10">
        <v>261.42582499999997</v>
      </c>
      <c r="Z48" s="10"/>
      <c r="AA48" s="10"/>
      <c r="AB48" s="10"/>
      <c r="AC48" s="10"/>
      <c r="AD48" s="10"/>
      <c r="AE48" s="10"/>
    </row>
    <row r="49" spans="1:31" x14ac:dyDescent="0.35">
      <c r="A49" s="8">
        <v>46133</v>
      </c>
      <c r="B49" s="9">
        <v>4912730.34394</v>
      </c>
      <c r="C49" s="10">
        <v>1301133.8803280001</v>
      </c>
      <c r="D49" s="10">
        <v>3037735.825623</v>
      </c>
      <c r="E49" s="10">
        <v>296592.38510399999</v>
      </c>
      <c r="F49" s="10">
        <v>141060.008584</v>
      </c>
      <c r="G49" s="10">
        <v>11231.032499999999</v>
      </c>
      <c r="H49" s="10">
        <v>51684.408100000001</v>
      </c>
      <c r="I49" s="10"/>
      <c r="J49" s="10">
        <v>30246.919708000001</v>
      </c>
      <c r="K49" s="10"/>
      <c r="L49" s="10"/>
      <c r="M49" s="10"/>
      <c r="N49" s="10"/>
      <c r="O49" s="10">
        <v>35919</v>
      </c>
      <c r="P49" s="10"/>
      <c r="Q49" s="10"/>
      <c r="R49" s="10"/>
      <c r="S49" s="10">
        <v>3867.41435</v>
      </c>
      <c r="T49" s="10">
        <v>396</v>
      </c>
      <c r="U49" s="10"/>
      <c r="V49" s="10"/>
      <c r="W49" s="10">
        <v>937.17805699999997</v>
      </c>
      <c r="X49" s="10">
        <v>1664.865761</v>
      </c>
      <c r="Y49" s="10">
        <v>261.42582499999997</v>
      </c>
      <c r="Z49" s="10"/>
      <c r="AA49" s="10"/>
      <c r="AB49" s="10"/>
      <c r="AC49" s="10"/>
      <c r="AD49" s="10"/>
      <c r="AE49" s="10"/>
    </row>
    <row r="50" spans="1:31" x14ac:dyDescent="0.35">
      <c r="A50" s="8">
        <v>46132</v>
      </c>
      <c r="B50" s="9">
        <v>1918479.3101895</v>
      </c>
      <c r="C50" s="10">
        <v>380303.163</v>
      </c>
      <c r="D50" s="10">
        <v>845607.15578050003</v>
      </c>
      <c r="E50" s="10">
        <v>455973.26942899998</v>
      </c>
      <c r="F50" s="10"/>
      <c r="G50" s="10"/>
      <c r="H50" s="10">
        <v>96202.5</v>
      </c>
      <c r="I50" s="10"/>
      <c r="J50" s="10">
        <v>22262.950980000001</v>
      </c>
      <c r="K50" s="10"/>
      <c r="L50" s="10"/>
      <c r="M50" s="10"/>
      <c r="N50" s="10"/>
      <c r="O50" s="10">
        <v>14966.25</v>
      </c>
      <c r="P50" s="10">
        <v>149.66249999999999</v>
      </c>
      <c r="Q50" s="10"/>
      <c r="R50" s="10"/>
      <c r="S50" s="10">
        <v>100890.69</v>
      </c>
      <c r="T50" s="10">
        <v>418.37400000000002</v>
      </c>
      <c r="U50" s="10"/>
      <c r="V50" s="10"/>
      <c r="W50" s="10">
        <v>675.75223200000005</v>
      </c>
      <c r="X50" s="10"/>
      <c r="Y50" s="10">
        <v>1029.5422679999999</v>
      </c>
      <c r="Z50" s="10"/>
      <c r="AA50" s="10"/>
      <c r="AB50" s="10"/>
      <c r="AC50" s="10"/>
      <c r="AD50" s="10"/>
      <c r="AE50" s="10"/>
    </row>
    <row r="51" spans="1:31" x14ac:dyDescent="0.35">
      <c r="A51" s="8">
        <v>46131</v>
      </c>
      <c r="B51" s="9">
        <v>1902187.0108709999</v>
      </c>
      <c r="C51" s="10">
        <v>1357550.605</v>
      </c>
      <c r="D51" s="10">
        <v>541592.70290899999</v>
      </c>
      <c r="E51" s="10">
        <v>3043.7029619999998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 spans="1:31" x14ac:dyDescent="0.35">
      <c r="A52" s="8">
        <v>46129</v>
      </c>
      <c r="B52" s="9">
        <v>3212179.6926489901</v>
      </c>
      <c r="C52" s="10">
        <v>2000935.05614</v>
      </c>
      <c r="D52" s="10">
        <v>327539.15306899499</v>
      </c>
      <c r="E52" s="10">
        <v>80502.504512</v>
      </c>
      <c r="F52" s="10">
        <v>107893.716</v>
      </c>
      <c r="G52" s="10">
        <v>63440.411872999997</v>
      </c>
      <c r="H52" s="10">
        <v>187447.742881999</v>
      </c>
      <c r="I52" s="10"/>
      <c r="J52" s="10">
        <v>96108.080262000003</v>
      </c>
      <c r="K52" s="10">
        <v>132101.07999999999</v>
      </c>
      <c r="L52" s="10"/>
      <c r="M52" s="10">
        <v>119094.66753399999</v>
      </c>
      <c r="N52" s="10">
        <v>3835.8593999999998</v>
      </c>
      <c r="O52" s="10"/>
      <c r="P52" s="10">
        <v>14852.727584</v>
      </c>
      <c r="Q52" s="10"/>
      <c r="R52" s="10"/>
      <c r="S52" s="10">
        <v>1390.69</v>
      </c>
      <c r="T52" s="10">
        <v>1980</v>
      </c>
      <c r="U52" s="10">
        <v>1362.398942</v>
      </c>
      <c r="V52" s="10">
        <v>150.78399999999999</v>
      </c>
      <c r="W52" s="10">
        <v>2161.0309419999999</v>
      </c>
      <c r="X52" s="10">
        <v>61813.110908998802</v>
      </c>
      <c r="Y52" s="10">
        <v>9570.6785999999993</v>
      </c>
      <c r="Z52" s="10"/>
      <c r="AA52" s="10"/>
      <c r="AB52" s="10"/>
      <c r="AC52" s="10"/>
      <c r="AD52" s="10"/>
      <c r="AE52" s="10"/>
    </row>
    <row r="53" spans="1:31" x14ac:dyDescent="0.35">
      <c r="A53" s="8">
        <v>46128</v>
      </c>
      <c r="B53" s="9">
        <v>3267939.0696667498</v>
      </c>
      <c r="C53" s="10">
        <v>770093.65800000005</v>
      </c>
      <c r="D53" s="10">
        <v>796704.02838399599</v>
      </c>
      <c r="E53" s="10">
        <v>125906.01030381001</v>
      </c>
      <c r="F53" s="10">
        <v>1714.912</v>
      </c>
      <c r="G53" s="10">
        <v>356718.34852599999</v>
      </c>
      <c r="H53" s="10">
        <v>730794.92818000005</v>
      </c>
      <c r="I53" s="10">
        <v>132110.88339999999</v>
      </c>
      <c r="J53" s="10">
        <v>98825.261958999996</v>
      </c>
      <c r="K53" s="10">
        <v>5589.9302089973398</v>
      </c>
      <c r="L53" s="10"/>
      <c r="M53" s="10">
        <v>5970.8754029799302</v>
      </c>
      <c r="N53" s="10">
        <v>157851.75402197399</v>
      </c>
      <c r="O53" s="10">
        <v>27701.588845999999</v>
      </c>
      <c r="P53" s="10">
        <v>13875.173482</v>
      </c>
      <c r="Q53" s="10"/>
      <c r="R53" s="10"/>
      <c r="S53" s="10"/>
      <c r="T53" s="10"/>
      <c r="U53" s="10">
        <v>837.93449999999996</v>
      </c>
      <c r="V53" s="10"/>
      <c r="W53" s="10">
        <v>599.23050000000001</v>
      </c>
      <c r="X53" s="10">
        <v>6713.3375869890297</v>
      </c>
      <c r="Y53" s="10">
        <v>7449.8322749999998</v>
      </c>
      <c r="Z53" s="10">
        <v>28481.382089999999</v>
      </c>
      <c r="AA53" s="10"/>
      <c r="AB53" s="10"/>
      <c r="AC53" s="10"/>
      <c r="AD53" s="10"/>
      <c r="AE53" s="10"/>
    </row>
    <row r="54" spans="1:31" x14ac:dyDescent="0.35">
      <c r="A54" s="8">
        <v>46127</v>
      </c>
      <c r="B54" s="9">
        <v>19974565.283484999</v>
      </c>
      <c r="C54" s="10">
        <v>4799951.4082000004</v>
      </c>
      <c r="D54" s="10">
        <v>1288755.2523719999</v>
      </c>
      <c r="E54" s="10">
        <v>8930896.0088999998</v>
      </c>
      <c r="F54" s="10">
        <v>22921.514088</v>
      </c>
      <c r="G54" s="10">
        <v>580155.57133199996</v>
      </c>
      <c r="H54" s="10">
        <v>1229244.57262598</v>
      </c>
      <c r="I54" s="10">
        <v>2439889.6334000002</v>
      </c>
      <c r="J54" s="10">
        <v>1306.9090000000001</v>
      </c>
      <c r="K54" s="10"/>
      <c r="L54" s="10"/>
      <c r="M54" s="10">
        <v>121691.432604</v>
      </c>
      <c r="N54" s="10">
        <v>973.74725000000001</v>
      </c>
      <c r="O54" s="10">
        <v>22462.875</v>
      </c>
      <c r="P54" s="10">
        <v>26010.975139999999</v>
      </c>
      <c r="Q54" s="10">
        <v>489500</v>
      </c>
      <c r="R54" s="10"/>
      <c r="S54" s="10"/>
      <c r="T54" s="10">
        <v>1980</v>
      </c>
      <c r="U54" s="10">
        <v>218.911</v>
      </c>
      <c r="V54" s="10">
        <v>150.78399999999999</v>
      </c>
      <c r="W54" s="10">
        <v>599.23050000000001</v>
      </c>
      <c r="X54" s="10">
        <v>12328.877246</v>
      </c>
      <c r="Y54" s="10">
        <v>5527.5808269999998</v>
      </c>
      <c r="Z54" s="10"/>
      <c r="AA54" s="10"/>
      <c r="AB54" s="10"/>
      <c r="AC54" s="10"/>
      <c r="AD54" s="10"/>
      <c r="AE54" s="10"/>
    </row>
    <row r="55" spans="1:31" x14ac:dyDescent="0.35">
      <c r="A55" s="8">
        <v>46126</v>
      </c>
      <c r="B55" s="9">
        <v>4377854.7802208597</v>
      </c>
      <c r="C55" s="10">
        <v>29492.696999995998</v>
      </c>
      <c r="D55" s="10">
        <v>1188048.5651469801</v>
      </c>
      <c r="E55" s="10">
        <v>330749.44092188397</v>
      </c>
      <c r="F55" s="10">
        <v>728860.53700000001</v>
      </c>
      <c r="G55" s="10">
        <v>878715.431828</v>
      </c>
      <c r="H55" s="10">
        <v>865683.512414</v>
      </c>
      <c r="I55" s="10">
        <v>60029.516499999998</v>
      </c>
      <c r="J55" s="10">
        <v>90321.30098</v>
      </c>
      <c r="K55" s="10">
        <v>137119.358125</v>
      </c>
      <c r="L55" s="10"/>
      <c r="M55" s="10">
        <v>11920.528829999999</v>
      </c>
      <c r="N55" s="10">
        <v>6098.3230000000003</v>
      </c>
      <c r="O55" s="10">
        <v>1020.80673999905</v>
      </c>
      <c r="P55" s="10"/>
      <c r="Q55" s="10"/>
      <c r="R55" s="10"/>
      <c r="S55" s="10"/>
      <c r="T55" s="10"/>
      <c r="U55" s="10">
        <v>7414.5823499999997</v>
      </c>
      <c r="V55" s="10">
        <v>301.56799999999998</v>
      </c>
      <c r="W55" s="10">
        <v>2518.5701130000002</v>
      </c>
      <c r="X55" s="10">
        <v>8006.1474319999998</v>
      </c>
      <c r="Y55" s="10">
        <v>3072.5117500000001</v>
      </c>
      <c r="Z55" s="10">
        <v>28481.382089999999</v>
      </c>
      <c r="AA55" s="10"/>
      <c r="AB55" s="10"/>
      <c r="AC55" s="10"/>
      <c r="AD55" s="10"/>
      <c r="AE55" s="10"/>
    </row>
    <row r="56" spans="1:31" x14ac:dyDescent="0.35">
      <c r="A56" s="8">
        <v>46125</v>
      </c>
      <c r="B56" s="9">
        <v>3734583.2927310001</v>
      </c>
      <c r="C56" s="10">
        <v>516652.02799999999</v>
      </c>
      <c r="D56" s="10">
        <v>564390.56420200004</v>
      </c>
      <c r="E56" s="10">
        <v>186541.93525000001</v>
      </c>
      <c r="F56" s="10">
        <v>1358</v>
      </c>
      <c r="G56" s="10">
        <v>1059656.11204</v>
      </c>
      <c r="H56" s="10">
        <v>301961.979612</v>
      </c>
      <c r="I56" s="10">
        <v>97943.75</v>
      </c>
      <c r="J56" s="10">
        <v>290791.61</v>
      </c>
      <c r="K56" s="10">
        <v>111463.968125</v>
      </c>
      <c r="L56" s="10">
        <v>499615.2</v>
      </c>
      <c r="M56" s="10">
        <v>18971.346099999999</v>
      </c>
      <c r="N56" s="10">
        <v>158.84800000000001</v>
      </c>
      <c r="O56" s="10"/>
      <c r="P56" s="10"/>
      <c r="Q56" s="10"/>
      <c r="R56" s="10">
        <v>367.90108099818502</v>
      </c>
      <c r="S56" s="10">
        <v>48762.5</v>
      </c>
      <c r="T56" s="10"/>
      <c r="U56" s="10">
        <v>28655.654429999999</v>
      </c>
      <c r="V56" s="10"/>
      <c r="W56" s="10">
        <v>1608.653959</v>
      </c>
      <c r="X56" s="10">
        <v>2962.6325569999999</v>
      </c>
      <c r="Y56" s="10">
        <v>2720.609375</v>
      </c>
      <c r="Z56" s="10"/>
      <c r="AA56" s="10"/>
      <c r="AB56" s="10"/>
      <c r="AC56" s="10"/>
      <c r="AD56" s="10"/>
      <c r="AE56" s="10"/>
    </row>
    <row r="57" spans="1:31" x14ac:dyDescent="0.35">
      <c r="A57" s="8">
        <v>46124</v>
      </c>
      <c r="B57" s="9">
        <v>540226.99884999997</v>
      </c>
      <c r="C57" s="10">
        <v>348743</v>
      </c>
      <c r="D57" s="10">
        <v>151773.325385</v>
      </c>
      <c r="E57" s="10">
        <v>1431.762115</v>
      </c>
      <c r="F57" s="10">
        <v>1940</v>
      </c>
      <c r="G57" s="10"/>
      <c r="H57" s="10"/>
      <c r="I57" s="10"/>
      <c r="J57" s="10">
        <v>1304.14725</v>
      </c>
      <c r="K57" s="10"/>
      <c r="L57" s="10"/>
      <c r="M57" s="10"/>
      <c r="N57" s="10"/>
      <c r="O57" s="10"/>
      <c r="P57" s="10"/>
      <c r="Q57" s="10">
        <v>35034.7641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x14ac:dyDescent="0.35">
      <c r="A58" s="8">
        <v>46122</v>
      </c>
      <c r="B58" s="9">
        <v>1700935.99926995</v>
      </c>
      <c r="C58" s="10">
        <v>546515.901483953</v>
      </c>
      <c r="D58" s="10">
        <v>345074.36848900001</v>
      </c>
      <c r="E58" s="10">
        <v>35644.436677999998</v>
      </c>
      <c r="F58" s="10">
        <v>762.42</v>
      </c>
      <c r="G58" s="10">
        <v>3522.93138</v>
      </c>
      <c r="H58" s="10">
        <v>14311.746499999999</v>
      </c>
      <c r="I58" s="10"/>
      <c r="J58" s="10">
        <v>579012.46774999995</v>
      </c>
      <c r="K58" s="10"/>
      <c r="L58" s="10"/>
      <c r="M58" s="10">
        <v>60712.370524999998</v>
      </c>
      <c r="N58" s="10"/>
      <c r="O58" s="10"/>
      <c r="P58" s="10">
        <v>748.39687500000002</v>
      </c>
      <c r="Q58" s="10">
        <v>35821.844100000002</v>
      </c>
      <c r="R58" s="10">
        <v>6521.0228009979601</v>
      </c>
      <c r="S58" s="10"/>
      <c r="T58" s="10"/>
      <c r="U58" s="10">
        <v>62014.27678</v>
      </c>
      <c r="V58" s="10"/>
      <c r="W58" s="10">
        <v>6050.1717580000004</v>
      </c>
      <c r="X58" s="10">
        <v>999.14499999999998</v>
      </c>
      <c r="Y58" s="10">
        <v>1845.69</v>
      </c>
      <c r="Z58" s="10">
        <v>303.78915000000001</v>
      </c>
      <c r="AA58" s="10">
        <v>1075.02</v>
      </c>
      <c r="AB58" s="10"/>
      <c r="AC58" s="10"/>
      <c r="AD58" s="10"/>
      <c r="AE58" s="10"/>
    </row>
    <row r="59" spans="1:31" x14ac:dyDescent="0.35">
      <c r="A59" s="8">
        <v>46121</v>
      </c>
      <c r="B59" s="9">
        <v>8685069.8987639993</v>
      </c>
      <c r="C59" s="10">
        <v>1120465.6305</v>
      </c>
      <c r="D59" s="10">
        <v>1462104.9170599999</v>
      </c>
      <c r="E59" s="10">
        <v>54181.555159000003</v>
      </c>
      <c r="F59" s="10">
        <v>4389.76</v>
      </c>
      <c r="G59" s="10">
        <v>2165302.1910600001</v>
      </c>
      <c r="H59" s="10">
        <v>2265003.5843250002</v>
      </c>
      <c r="I59" s="10"/>
      <c r="J59" s="10">
        <v>380714.58299999998</v>
      </c>
      <c r="K59" s="10">
        <v>759498.431278</v>
      </c>
      <c r="L59" s="10">
        <v>439560</v>
      </c>
      <c r="M59" s="10">
        <v>7396.0560429999996</v>
      </c>
      <c r="N59" s="10"/>
      <c r="O59" s="10"/>
      <c r="P59" s="10">
        <v>365.290888</v>
      </c>
      <c r="Q59" s="10">
        <v>765.10802999999999</v>
      </c>
      <c r="R59" s="10"/>
      <c r="S59" s="10"/>
      <c r="T59" s="10"/>
      <c r="U59" s="10"/>
      <c r="V59" s="10">
        <v>784.38400000000001</v>
      </c>
      <c r="W59" s="10">
        <v>6836.6843040000003</v>
      </c>
      <c r="X59" s="10">
        <v>499.46562499999999</v>
      </c>
      <c r="Y59" s="10">
        <v>15544.021472</v>
      </c>
      <c r="Z59" s="10">
        <v>1299.8960199999999</v>
      </c>
      <c r="AA59" s="10">
        <v>358.34</v>
      </c>
      <c r="AB59" s="10"/>
      <c r="AC59" s="10"/>
      <c r="AD59" s="10"/>
      <c r="AE59" s="10"/>
    </row>
    <row r="60" spans="1:31" x14ac:dyDescent="0.35">
      <c r="A60" s="8">
        <v>46120</v>
      </c>
      <c r="B60" s="9">
        <v>19291695.848738</v>
      </c>
      <c r="C60" s="10">
        <v>13172926.502</v>
      </c>
      <c r="D60" s="10">
        <v>392385.69086099998</v>
      </c>
      <c r="E60" s="10">
        <v>149399.88230198299</v>
      </c>
      <c r="F60" s="10">
        <v>1940</v>
      </c>
      <c r="G60" s="10">
        <v>3134350.6862360002</v>
      </c>
      <c r="H60" s="10">
        <v>1564202.4395039999</v>
      </c>
      <c r="I60" s="10">
        <v>2092.5675000000001</v>
      </c>
      <c r="J60" s="10">
        <v>142747.47810000001</v>
      </c>
      <c r="K60" s="10">
        <v>663119.28578399995</v>
      </c>
      <c r="L60" s="10"/>
      <c r="M60" s="10">
        <v>6674.203125</v>
      </c>
      <c r="N60" s="10"/>
      <c r="O60" s="10"/>
      <c r="P60" s="10">
        <v>14020.012000000001</v>
      </c>
      <c r="Q60" s="10"/>
      <c r="R60" s="10"/>
      <c r="S60" s="10">
        <v>24375</v>
      </c>
      <c r="T60" s="10"/>
      <c r="U60" s="10">
        <v>11231.978846</v>
      </c>
      <c r="V60" s="10"/>
      <c r="W60" s="10">
        <v>1513.4862499999999</v>
      </c>
      <c r="X60" s="10">
        <v>1617.3640499999999</v>
      </c>
      <c r="Y60" s="10"/>
      <c r="Z60" s="10">
        <v>9099.2721799999999</v>
      </c>
      <c r="AA60" s="10"/>
      <c r="AB60" s="10"/>
      <c r="AC60" s="10"/>
      <c r="AD60" s="10"/>
      <c r="AE60" s="10"/>
    </row>
    <row r="61" spans="1:31" x14ac:dyDescent="0.35">
      <c r="A61" s="8">
        <v>46119</v>
      </c>
      <c r="B61" s="9">
        <v>3530578.20503593</v>
      </c>
      <c r="C61" s="10">
        <v>352886.76391199999</v>
      </c>
      <c r="D61" s="10">
        <v>1566209.222352</v>
      </c>
      <c r="E61" s="10">
        <v>209822.60065193599</v>
      </c>
      <c r="F61" s="10">
        <v>245486.67208799999</v>
      </c>
      <c r="G61" s="10">
        <v>631426.81270799995</v>
      </c>
      <c r="H61" s="10">
        <v>281034.59999999998</v>
      </c>
      <c r="I61" s="10"/>
      <c r="J61" s="10">
        <v>199511.391424</v>
      </c>
      <c r="K61" s="10"/>
      <c r="L61" s="10"/>
      <c r="M61" s="10">
        <v>16366.863699989901</v>
      </c>
      <c r="N61" s="10"/>
      <c r="O61" s="10"/>
      <c r="P61" s="10"/>
      <c r="Q61" s="10">
        <v>5274.2</v>
      </c>
      <c r="R61" s="10"/>
      <c r="S61" s="10">
        <v>9750</v>
      </c>
      <c r="T61" s="10">
        <v>405.9</v>
      </c>
      <c r="U61" s="10">
        <v>3812.9860250000002</v>
      </c>
      <c r="V61" s="10"/>
      <c r="W61" s="10">
        <v>370.99217499999997</v>
      </c>
      <c r="X61" s="10"/>
      <c r="Y61" s="10"/>
      <c r="Z61" s="10"/>
      <c r="AA61" s="10">
        <v>8219.2000000000007</v>
      </c>
      <c r="AB61" s="10"/>
      <c r="AC61" s="10"/>
      <c r="AD61" s="10"/>
      <c r="AE61" s="10"/>
    </row>
    <row r="62" spans="1:31" x14ac:dyDescent="0.35">
      <c r="A62" s="8">
        <v>46118</v>
      </c>
      <c r="B62" s="9">
        <v>2510544.6037709899</v>
      </c>
      <c r="C62" s="10">
        <v>290361.28216200002</v>
      </c>
      <c r="D62" s="10">
        <v>885705.45016200002</v>
      </c>
      <c r="E62" s="10">
        <v>674700.07515799999</v>
      </c>
      <c r="F62" s="10">
        <v>76801.64</v>
      </c>
      <c r="G62" s="10">
        <v>535431.20551599504</v>
      </c>
      <c r="H62" s="10">
        <v>12406.025002</v>
      </c>
      <c r="I62" s="10">
        <v>2685.5055000000002</v>
      </c>
      <c r="J62" s="10">
        <v>21951.198144999998</v>
      </c>
      <c r="K62" s="10"/>
      <c r="L62" s="10"/>
      <c r="M62" s="10">
        <v>9026.3374999970802</v>
      </c>
      <c r="N62" s="10">
        <v>1228.556501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>
        <v>247.328125</v>
      </c>
      <c r="Z62" s="10"/>
      <c r="AA62" s="10"/>
      <c r="AB62" s="10"/>
      <c r="AC62" s="10"/>
      <c r="AD62" s="10"/>
      <c r="AE62" s="10"/>
    </row>
    <row r="63" spans="1:31" x14ac:dyDescent="0.35">
      <c r="A63" s="8">
        <v>46117</v>
      </c>
      <c r="B63" s="9">
        <v>5280508.1843219995</v>
      </c>
      <c r="C63" s="10">
        <v>2768882.5150000001</v>
      </c>
      <c r="D63" s="10">
        <v>2273266.738018</v>
      </c>
      <c r="E63" s="10">
        <v>238358.931304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spans="1:31" x14ac:dyDescent="0.35">
      <c r="A64" s="8">
        <v>46115</v>
      </c>
      <c r="B64" s="9">
        <v>24393795.030000001</v>
      </c>
      <c r="C64" s="10">
        <v>24339353.337000001</v>
      </c>
      <c r="D64" s="10"/>
      <c r="E64" s="10"/>
      <c r="F64" s="10">
        <v>582</v>
      </c>
      <c r="G64" s="10"/>
      <c r="H64" s="10"/>
      <c r="I64" s="10"/>
      <c r="J64" s="10">
        <v>43622.192999999999</v>
      </c>
      <c r="K64" s="10"/>
      <c r="L64" s="10"/>
      <c r="M64" s="10"/>
      <c r="N64" s="10"/>
      <c r="O64" s="10"/>
      <c r="P64" s="10"/>
      <c r="Q64" s="10"/>
      <c r="R64" s="10"/>
      <c r="S64" s="10">
        <v>10237.5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x14ac:dyDescent="0.35">
      <c r="A65" s="8">
        <v>46114</v>
      </c>
      <c r="B65" s="9">
        <v>12981064.833086999</v>
      </c>
      <c r="C65" s="10">
        <v>527072.65959599905</v>
      </c>
      <c r="D65" s="10">
        <v>3109381.2831649799</v>
      </c>
      <c r="E65" s="10">
        <v>1508812.3395680001</v>
      </c>
      <c r="F65" s="10">
        <v>4686801.4994440004</v>
      </c>
      <c r="G65" s="10">
        <v>1816176.6638799999</v>
      </c>
      <c r="H65" s="10">
        <v>375073.63928599999</v>
      </c>
      <c r="I65" s="10"/>
      <c r="J65" s="10">
        <v>86063.842373000007</v>
      </c>
      <c r="K65" s="10">
        <v>227836.59062499899</v>
      </c>
      <c r="L65" s="10">
        <v>543610.40960000001</v>
      </c>
      <c r="M65" s="10">
        <v>5453.5204999999996</v>
      </c>
      <c r="N65" s="10">
        <v>72132.291249999995</v>
      </c>
      <c r="O65" s="10"/>
      <c r="P65" s="10">
        <v>12471.875</v>
      </c>
      <c r="Q65" s="10">
        <v>925</v>
      </c>
      <c r="R65" s="10"/>
      <c r="S65" s="10">
        <v>487.5</v>
      </c>
      <c r="T65" s="10">
        <v>7443.75</v>
      </c>
      <c r="U65" s="10">
        <v>208.99227500000001</v>
      </c>
      <c r="V65" s="10"/>
      <c r="W65" s="10">
        <v>370.99217499999997</v>
      </c>
      <c r="X65" s="10">
        <v>741.98434999999995</v>
      </c>
      <c r="Y65" s="10"/>
      <c r="Z65" s="10"/>
      <c r="AA65" s="10"/>
      <c r="AB65" s="10"/>
      <c r="AC65" s="10"/>
      <c r="AD65" s="10"/>
      <c r="AE65" s="10"/>
    </row>
    <row r="66" spans="1:31" x14ac:dyDescent="0.35">
      <c r="A66" s="8">
        <v>46113</v>
      </c>
      <c r="B66" s="9">
        <v>25700722.560481999</v>
      </c>
      <c r="C66" s="10">
        <v>12045475.187715</v>
      </c>
      <c r="D66" s="10">
        <v>6380826.2422569701</v>
      </c>
      <c r="E66" s="10">
        <v>3932988.5833840002</v>
      </c>
      <c r="F66" s="10">
        <v>54520.559000000001</v>
      </c>
      <c r="G66" s="10">
        <v>1729940.00657</v>
      </c>
      <c r="H66" s="10">
        <v>307217.65220000001</v>
      </c>
      <c r="I66" s="10">
        <v>941662.08849999995</v>
      </c>
      <c r="J66" s="10">
        <v>38224.563025000003</v>
      </c>
      <c r="K66" s="10">
        <v>227836.59062500001</v>
      </c>
      <c r="L66" s="10"/>
      <c r="M66" s="10">
        <v>1742.51875</v>
      </c>
      <c r="N66" s="10">
        <v>248.93125000000001</v>
      </c>
      <c r="O66" s="10"/>
      <c r="P66" s="10">
        <v>12471.875</v>
      </c>
      <c r="Q66" s="10">
        <v>1054.5</v>
      </c>
      <c r="R66" s="10"/>
      <c r="S66" s="10">
        <v>11091.826056</v>
      </c>
      <c r="T66" s="10">
        <v>7443.75</v>
      </c>
      <c r="U66" s="10">
        <v>6581.87565</v>
      </c>
      <c r="V66" s="10"/>
      <c r="W66" s="10"/>
      <c r="X66" s="10">
        <v>1395.8105</v>
      </c>
      <c r="Y66" s="10"/>
      <c r="Z66" s="10"/>
      <c r="AA66" s="10"/>
      <c r="AB66" s="10"/>
      <c r="AC66" s="10"/>
      <c r="AD66" s="10"/>
      <c r="AE66" s="10"/>
    </row>
    <row r="67" spans="1:31" x14ac:dyDescent="0.35">
      <c r="A67" s="8">
        <v>46112</v>
      </c>
      <c r="B67" s="9">
        <v>8326489.9381949902</v>
      </c>
      <c r="C67" s="10">
        <v>1843080.652</v>
      </c>
      <c r="D67" s="10">
        <v>1648991.8939409901</v>
      </c>
      <c r="E67" s="10">
        <v>1762213.940746</v>
      </c>
      <c r="F67" s="10">
        <v>3975.2860000000001</v>
      </c>
      <c r="G67" s="10">
        <v>1152882.6682239999</v>
      </c>
      <c r="H67" s="10">
        <v>258644.60603</v>
      </c>
      <c r="I67" s="10">
        <v>1484383.875</v>
      </c>
      <c r="J67" s="10">
        <v>36693.78</v>
      </c>
      <c r="K67" s="10">
        <v>1622.3785539999999</v>
      </c>
      <c r="L67" s="10"/>
      <c r="M67" s="10">
        <v>8568.6049999999996</v>
      </c>
      <c r="N67" s="10">
        <v>2377.3413999999998</v>
      </c>
      <c r="O67" s="10"/>
      <c r="P67" s="10">
        <v>20648.433499999999</v>
      </c>
      <c r="Q67" s="10"/>
      <c r="R67" s="10"/>
      <c r="S67" s="10">
        <v>48652.5</v>
      </c>
      <c r="T67" s="10">
        <v>842.09400000000005</v>
      </c>
      <c r="U67" s="10">
        <v>52911.883800000003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spans="1:31" x14ac:dyDescent="0.35">
      <c r="A68" s="8">
        <v>46111</v>
      </c>
      <c r="B68" s="9">
        <v>13337475.243348001</v>
      </c>
      <c r="C68" s="10">
        <v>10370907.5111</v>
      </c>
      <c r="D68" s="10">
        <v>1507358.6032779999</v>
      </c>
      <c r="E68" s="10">
        <v>286047.53819400002</v>
      </c>
      <c r="F68" s="10">
        <v>2659.44</v>
      </c>
      <c r="G68" s="10">
        <v>428248.43302900001</v>
      </c>
      <c r="H68" s="10">
        <v>124404.686084</v>
      </c>
      <c r="I68" s="10"/>
      <c r="J68" s="10">
        <v>29219.360288</v>
      </c>
      <c r="K68" s="10">
        <v>5483.4537499999997</v>
      </c>
      <c r="L68" s="10">
        <v>523292.22</v>
      </c>
      <c r="M68" s="10">
        <v>5787.1731250000003</v>
      </c>
      <c r="N68" s="10">
        <v>1533.4165</v>
      </c>
      <c r="O68" s="10"/>
      <c r="P68" s="10"/>
      <c r="Q68" s="10"/>
      <c r="R68" s="10"/>
      <c r="S68" s="10"/>
      <c r="T68" s="10">
        <v>436.19400000000002</v>
      </c>
      <c r="U68" s="10">
        <v>51847</v>
      </c>
      <c r="V68" s="10">
        <v>150.78399999999999</v>
      </c>
      <c r="W68" s="10"/>
      <c r="X68" s="10"/>
      <c r="Y68" s="10">
        <v>99.43</v>
      </c>
      <c r="Z68" s="10"/>
      <c r="AA68" s="10"/>
      <c r="AB68" s="10"/>
      <c r="AC68" s="10"/>
      <c r="AD68" s="10"/>
      <c r="AE68" s="10"/>
    </row>
    <row r="69" spans="1:31" x14ac:dyDescent="0.35">
      <c r="A69" s="8">
        <v>46110</v>
      </c>
      <c r="B69" s="9">
        <v>1636569.4551820001</v>
      </c>
      <c r="C69" s="10">
        <v>752.21299999857104</v>
      </c>
      <c r="D69" s="10">
        <v>34632.854292000004</v>
      </c>
      <c r="E69" s="10">
        <v>122036.34164</v>
      </c>
      <c r="F69" s="10"/>
      <c r="G69" s="10"/>
      <c r="H69" s="10"/>
      <c r="I69" s="10">
        <v>1451793.4035</v>
      </c>
      <c r="J69" s="10">
        <v>27354.642749999999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x14ac:dyDescent="0.35">
      <c r="A70" s="8">
        <v>46108</v>
      </c>
      <c r="B70" s="9">
        <v>24702618.815097701</v>
      </c>
      <c r="C70" s="10">
        <v>3544091.9823119901</v>
      </c>
      <c r="D70" s="10">
        <v>16369846.176098</v>
      </c>
      <c r="E70" s="10">
        <v>2096003.73318476</v>
      </c>
      <c r="F70" s="10"/>
      <c r="G70" s="10">
        <v>530001.78109299997</v>
      </c>
      <c r="H70" s="10">
        <v>2096124.5070559999</v>
      </c>
      <c r="I70" s="10"/>
      <c r="J70" s="10">
        <v>22765.325400000002</v>
      </c>
      <c r="K70" s="10">
        <v>14632.856577</v>
      </c>
      <c r="L70" s="10">
        <v>3893.8422599999999</v>
      </c>
      <c r="M70" s="10">
        <v>6101.70607498147</v>
      </c>
      <c r="N70" s="10">
        <v>988.75</v>
      </c>
      <c r="O70" s="10"/>
      <c r="P70" s="10">
        <v>1222.2938099999999</v>
      </c>
      <c r="Q70" s="10"/>
      <c r="R70" s="10"/>
      <c r="S70" s="10"/>
      <c r="T70" s="10">
        <v>347.82047999999998</v>
      </c>
      <c r="U70" s="10">
        <v>6006.0111999896699</v>
      </c>
      <c r="V70" s="10"/>
      <c r="W70" s="10"/>
      <c r="X70" s="10">
        <v>8851.7693500000005</v>
      </c>
      <c r="Y70" s="10">
        <v>1131.1227719999999</v>
      </c>
      <c r="Z70" s="10"/>
      <c r="AA70" s="10">
        <v>609.13742999999999</v>
      </c>
      <c r="AB70" s="10"/>
      <c r="AC70" s="10"/>
      <c r="AD70" s="10"/>
      <c r="AE70" s="10"/>
    </row>
    <row r="71" spans="1:31" x14ac:dyDescent="0.35">
      <c r="A71" s="8">
        <v>46107</v>
      </c>
      <c r="B71" s="9">
        <v>15906314.6411996</v>
      </c>
      <c r="C71" s="10">
        <v>6603481.4950000001</v>
      </c>
      <c r="D71" s="10">
        <v>6210082.1502900003</v>
      </c>
      <c r="E71" s="10">
        <v>1107330.619777</v>
      </c>
      <c r="F71" s="10"/>
      <c r="G71" s="10">
        <v>760110.79759968002</v>
      </c>
      <c r="H71" s="10">
        <v>660815.21658992802</v>
      </c>
      <c r="I71" s="10">
        <v>2934.43</v>
      </c>
      <c r="J71" s="10">
        <v>255056.92600000001</v>
      </c>
      <c r="K71" s="10">
        <v>9433.6143749999992</v>
      </c>
      <c r="L71" s="10">
        <v>261130.14413999999</v>
      </c>
      <c r="M71" s="10">
        <v>3969.5840750000002</v>
      </c>
      <c r="N71" s="10">
        <v>3488.8743679999998</v>
      </c>
      <c r="O71" s="10">
        <v>498.875</v>
      </c>
      <c r="P71" s="10">
        <v>22439.687809999999</v>
      </c>
      <c r="Q71" s="10"/>
      <c r="R71" s="10"/>
      <c r="S71" s="10"/>
      <c r="T71" s="10"/>
      <c r="U71" s="10">
        <v>3486.59375</v>
      </c>
      <c r="V71" s="10"/>
      <c r="W71" s="10">
        <v>267.114375</v>
      </c>
      <c r="X71" s="10">
        <v>1563.202125</v>
      </c>
      <c r="Y71" s="10">
        <v>225.31592499999999</v>
      </c>
      <c r="Z71" s="10"/>
      <c r="AA71" s="10"/>
      <c r="AB71" s="10"/>
      <c r="AC71" s="10"/>
      <c r="AD71" s="10"/>
      <c r="AE71" s="10"/>
    </row>
    <row r="72" spans="1:31" x14ac:dyDescent="0.35">
      <c r="A72" s="8">
        <v>46106</v>
      </c>
      <c r="B72" s="9">
        <v>29170522.520925101</v>
      </c>
      <c r="C72" s="10">
        <v>3192511.2925749999</v>
      </c>
      <c r="D72" s="10">
        <v>22544675.474374101</v>
      </c>
      <c r="E72" s="10">
        <v>422400.787281</v>
      </c>
      <c r="F72" s="10">
        <v>22337.19</v>
      </c>
      <c r="G72" s="10">
        <v>1232654.22624</v>
      </c>
      <c r="H72" s="10">
        <v>573459.85785899998</v>
      </c>
      <c r="I72" s="10">
        <v>4078.31</v>
      </c>
      <c r="J72" s="10">
        <v>15917.63</v>
      </c>
      <c r="K72" s="10"/>
      <c r="L72" s="10">
        <v>243310.14413999999</v>
      </c>
      <c r="M72" s="10">
        <v>247.328125</v>
      </c>
      <c r="N72" s="10"/>
      <c r="O72" s="10"/>
      <c r="P72" s="10"/>
      <c r="Q72" s="10">
        <v>17535.165375</v>
      </c>
      <c r="R72" s="10">
        <v>759500</v>
      </c>
      <c r="S72" s="10">
        <v>121875</v>
      </c>
      <c r="T72" s="10"/>
      <c r="U72" s="10">
        <v>677.91745000000003</v>
      </c>
      <c r="V72" s="10"/>
      <c r="W72" s="10"/>
      <c r="X72" s="10">
        <v>18637.713105999999</v>
      </c>
      <c r="Y72" s="10">
        <v>704.48440000000005</v>
      </c>
      <c r="Z72" s="10"/>
      <c r="AA72" s="10"/>
      <c r="AB72" s="10"/>
      <c r="AC72" s="10"/>
      <c r="AD72" s="10"/>
      <c r="AE72" s="10"/>
    </row>
    <row r="73" spans="1:31" x14ac:dyDescent="0.35">
      <c r="A73" s="8">
        <v>46105</v>
      </c>
      <c r="B73" s="9">
        <v>11583903.5085185</v>
      </c>
      <c r="C73" s="10">
        <v>3321787.5543</v>
      </c>
      <c r="D73" s="10">
        <v>5476495.0342375198</v>
      </c>
      <c r="E73" s="10">
        <v>1771421.9544589999</v>
      </c>
      <c r="F73" s="10">
        <v>521.57299999999998</v>
      </c>
      <c r="G73" s="10">
        <v>560232.43680000002</v>
      </c>
      <c r="H73" s="10"/>
      <c r="I73" s="10">
        <v>8266.81</v>
      </c>
      <c r="J73" s="10"/>
      <c r="K73" s="10">
        <v>226447.89124999999</v>
      </c>
      <c r="L73" s="10"/>
      <c r="M73" s="10">
        <v>6649.8142500000004</v>
      </c>
      <c r="N73" s="10">
        <v>163749.48593600001</v>
      </c>
      <c r="O73" s="10"/>
      <c r="P73" s="10">
        <v>299.59500000000003</v>
      </c>
      <c r="Q73" s="10"/>
      <c r="R73" s="10"/>
      <c r="S73" s="10"/>
      <c r="T73" s="10"/>
      <c r="U73" s="10">
        <v>7653.362075</v>
      </c>
      <c r="V73" s="10"/>
      <c r="W73" s="10">
        <v>792.08775000000003</v>
      </c>
      <c r="X73" s="10">
        <v>39585.909460974501</v>
      </c>
      <c r="Y73" s="10"/>
      <c r="Z73" s="10"/>
      <c r="AA73" s="10"/>
      <c r="AB73" s="10"/>
      <c r="AC73" s="10"/>
      <c r="AD73" s="10"/>
      <c r="AE73" s="10"/>
    </row>
    <row r="74" spans="1:31" x14ac:dyDescent="0.35">
      <c r="A74" s="8">
        <v>46104</v>
      </c>
      <c r="B74" s="9">
        <v>23796211.831714701</v>
      </c>
      <c r="C74" s="10">
        <v>3114860.5844100001</v>
      </c>
      <c r="D74" s="10">
        <v>9957171.6621707603</v>
      </c>
      <c r="E74" s="10">
        <v>2198039.9714469798</v>
      </c>
      <c r="F74" s="10">
        <v>5311754.4730000002</v>
      </c>
      <c r="G74" s="10">
        <v>1533137.9038120001</v>
      </c>
      <c r="H74" s="10">
        <v>306816.533658</v>
      </c>
      <c r="I74" s="10">
        <v>9023.3269820000005</v>
      </c>
      <c r="J74" s="10">
        <v>477545.71</v>
      </c>
      <c r="K74" s="10">
        <v>222588.79999999999</v>
      </c>
      <c r="L74" s="10"/>
      <c r="M74" s="10">
        <v>5810.2421750000003</v>
      </c>
      <c r="N74" s="10">
        <v>633260.61238900002</v>
      </c>
      <c r="O74" s="10"/>
      <c r="P74" s="10">
        <v>1995.7249999999999</v>
      </c>
      <c r="Q74" s="10"/>
      <c r="R74" s="10"/>
      <c r="S74" s="10">
        <v>3184.436146</v>
      </c>
      <c r="T74" s="10"/>
      <c r="U74" s="10"/>
      <c r="V74" s="10"/>
      <c r="W74" s="10">
        <v>772.30150000000003</v>
      </c>
      <c r="X74" s="10">
        <v>17439.714349999998</v>
      </c>
      <c r="Y74" s="10">
        <v>370.99217499999997</v>
      </c>
      <c r="Z74" s="10"/>
      <c r="AA74" s="10">
        <v>668.76250000000005</v>
      </c>
      <c r="AB74" s="10"/>
      <c r="AC74" s="10">
        <v>1770.08</v>
      </c>
      <c r="AD74" s="10"/>
      <c r="AE74" s="10"/>
    </row>
    <row r="75" spans="1:31" x14ac:dyDescent="0.35">
      <c r="A75" s="8">
        <v>46103</v>
      </c>
      <c r="B75" s="9">
        <v>684716.04159499996</v>
      </c>
      <c r="C75" s="10">
        <v>571793.57299999997</v>
      </c>
      <c r="D75" s="10">
        <v>77902.973924999998</v>
      </c>
      <c r="E75" s="10">
        <v>35019.49467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x14ac:dyDescent="0.35">
      <c r="A76" s="8">
        <v>46101</v>
      </c>
      <c r="B76" s="9">
        <v>15555549.365412399</v>
      </c>
      <c r="C76" s="10">
        <v>1177170.0959598999</v>
      </c>
      <c r="D76" s="10">
        <v>2538807.8809939902</v>
      </c>
      <c r="E76" s="10">
        <v>10526192.3494015</v>
      </c>
      <c r="F76" s="10">
        <v>3522.6</v>
      </c>
      <c r="G76" s="10">
        <v>850659.68859000003</v>
      </c>
      <c r="H76" s="10">
        <v>392674.3824688</v>
      </c>
      <c r="I76" s="10">
        <v>710.22729900000002</v>
      </c>
      <c r="J76" s="10">
        <v>51517.77</v>
      </c>
      <c r="K76" s="10">
        <v>2038.6405090000001</v>
      </c>
      <c r="L76" s="10"/>
      <c r="M76" s="10">
        <v>4579.9721399999999</v>
      </c>
      <c r="N76" s="10">
        <v>1463.7246749999999</v>
      </c>
      <c r="O76" s="10"/>
      <c r="P76" s="10">
        <v>2231.1081152018701</v>
      </c>
      <c r="Q76" s="10"/>
      <c r="R76" s="10"/>
      <c r="S76" s="10"/>
      <c r="T76" s="10"/>
      <c r="U76" s="10">
        <v>494.375</v>
      </c>
      <c r="V76" s="10"/>
      <c r="W76" s="10">
        <v>1390.27025</v>
      </c>
      <c r="X76" s="10">
        <v>1128.9797349999999</v>
      </c>
      <c r="Y76" s="10">
        <v>967.30027500000006</v>
      </c>
      <c r="Z76" s="10"/>
      <c r="AA76" s="10"/>
      <c r="AB76" s="10"/>
      <c r="AC76" s="10"/>
      <c r="AD76" s="10"/>
      <c r="AE76" s="10"/>
    </row>
    <row r="77" spans="1:31" x14ac:dyDescent="0.35">
      <c r="A77" s="8">
        <v>46100</v>
      </c>
      <c r="B77" s="9">
        <v>22752876.327997599</v>
      </c>
      <c r="C77" s="10">
        <v>4560476.2355169998</v>
      </c>
      <c r="D77" s="10">
        <v>4409048.2642935999</v>
      </c>
      <c r="E77" s="10">
        <v>6923945.0865619797</v>
      </c>
      <c r="F77" s="10">
        <v>3480448.2650000001</v>
      </c>
      <c r="G77" s="10">
        <v>1156709.96799</v>
      </c>
      <c r="H77" s="10">
        <v>618967.12620199996</v>
      </c>
      <c r="I77" s="10">
        <v>694.75</v>
      </c>
      <c r="J77" s="10">
        <v>1551304.38</v>
      </c>
      <c r="K77" s="10">
        <v>5070.0019499999999</v>
      </c>
      <c r="L77" s="10"/>
      <c r="M77" s="10">
        <v>17215.715875000002</v>
      </c>
      <c r="N77" s="10">
        <v>2122.1068749999999</v>
      </c>
      <c r="O77" s="10"/>
      <c r="P77" s="10"/>
      <c r="Q77" s="10"/>
      <c r="R77" s="10"/>
      <c r="S77" s="10"/>
      <c r="T77" s="10"/>
      <c r="U77" s="10">
        <v>2914.5878250000001</v>
      </c>
      <c r="V77" s="10"/>
      <c r="W77" s="10">
        <v>174.119</v>
      </c>
      <c r="X77" s="10">
        <v>16272.057488</v>
      </c>
      <c r="Y77" s="10"/>
      <c r="Z77" s="10"/>
      <c r="AA77" s="10">
        <v>7513.6634199999999</v>
      </c>
      <c r="AB77" s="10"/>
      <c r="AC77" s="10"/>
      <c r="AD77" s="10"/>
      <c r="AE77" s="10"/>
    </row>
    <row r="78" spans="1:31" x14ac:dyDescent="0.35">
      <c r="A78" s="8">
        <v>46099</v>
      </c>
      <c r="B78" s="9">
        <v>15031210.73711</v>
      </c>
      <c r="C78" s="10">
        <v>6715031.5826519998</v>
      </c>
      <c r="D78" s="10">
        <v>2230767.5841720002</v>
      </c>
      <c r="E78" s="10">
        <v>3622921.127146</v>
      </c>
      <c r="F78" s="10">
        <v>311477.57980000001</v>
      </c>
      <c r="G78" s="10">
        <v>375443.22764</v>
      </c>
      <c r="H78" s="10">
        <v>626.46450000000004</v>
      </c>
      <c r="I78" s="10">
        <v>793913.91139699996</v>
      </c>
      <c r="J78" s="10">
        <v>135631.18108800001</v>
      </c>
      <c r="K78" s="10">
        <v>382816.73749999999</v>
      </c>
      <c r="L78" s="10">
        <v>19903.681499999999</v>
      </c>
      <c r="M78" s="10">
        <v>6417.976275</v>
      </c>
      <c r="N78" s="10">
        <v>408457.45519399998</v>
      </c>
      <c r="O78" s="10">
        <v>498.875</v>
      </c>
      <c r="P78" s="10">
        <v>598.98074999999994</v>
      </c>
      <c r="Q78" s="10">
        <v>595.73618599999998</v>
      </c>
      <c r="R78" s="10"/>
      <c r="S78" s="10">
        <v>791.78880000000004</v>
      </c>
      <c r="T78" s="10"/>
      <c r="U78" s="10">
        <v>2471.875</v>
      </c>
      <c r="V78" s="10"/>
      <c r="W78" s="10">
        <v>247.328125</v>
      </c>
      <c r="X78" s="10">
        <v>19932.5</v>
      </c>
      <c r="Y78" s="10">
        <v>247.328125</v>
      </c>
      <c r="Z78" s="10"/>
      <c r="AA78" s="10">
        <v>467.81526000000002</v>
      </c>
      <c r="AB78" s="10"/>
      <c r="AC78" s="10"/>
      <c r="AD78" s="10"/>
      <c r="AE78" s="10">
        <v>1950.001</v>
      </c>
    </row>
    <row r="79" spans="1:31" x14ac:dyDescent="0.35">
      <c r="A79" s="8">
        <v>46098</v>
      </c>
      <c r="B79" s="9">
        <v>11101203.0789338</v>
      </c>
      <c r="C79" s="10">
        <v>4119908.6719320002</v>
      </c>
      <c r="D79" s="10">
        <v>3206169.0661328002</v>
      </c>
      <c r="E79" s="10">
        <v>2695179.8309839899</v>
      </c>
      <c r="F79" s="10">
        <v>114198.11</v>
      </c>
      <c r="G79" s="10">
        <v>435399.52494999999</v>
      </c>
      <c r="H79" s="10">
        <v>3740.5250000000001</v>
      </c>
      <c r="I79" s="10">
        <v>641.54999999999995</v>
      </c>
      <c r="J79" s="10">
        <v>17105.89</v>
      </c>
      <c r="K79" s="10">
        <v>260234.03049999999</v>
      </c>
      <c r="L79" s="10"/>
      <c r="M79" s="10">
        <v>1262.386575</v>
      </c>
      <c r="N79" s="10">
        <v>215958.05658500001</v>
      </c>
      <c r="O79" s="10">
        <v>997.80624999999998</v>
      </c>
      <c r="P79" s="10">
        <v>7882.2250000000004</v>
      </c>
      <c r="Q79" s="10"/>
      <c r="R79" s="10"/>
      <c r="S79" s="10">
        <v>791.78880000000004</v>
      </c>
      <c r="T79" s="10"/>
      <c r="U79" s="10">
        <v>2694.2229750000001</v>
      </c>
      <c r="V79" s="10"/>
      <c r="W79" s="10">
        <v>14755.79025</v>
      </c>
      <c r="X79" s="10"/>
      <c r="Y79" s="10">
        <v>3965.8</v>
      </c>
      <c r="Z79" s="10"/>
      <c r="AA79" s="10"/>
      <c r="AB79" s="10"/>
      <c r="AC79" s="10"/>
      <c r="AD79" s="10"/>
      <c r="AE79" s="10">
        <v>317.803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7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67" width="14" customWidth="1"/>
  </cols>
  <sheetData>
    <row r="1" spans="1:67" x14ac:dyDescent="0.35">
      <c r="A1" s="1" t="s">
        <v>0</v>
      </c>
      <c r="C1" s="2" t="s">
        <v>1</v>
      </c>
      <c r="D1" s="2" t="s">
        <v>1</v>
      </c>
      <c r="E1" s="4" t="s">
        <v>3</v>
      </c>
      <c r="F1" s="2" t="s">
        <v>1</v>
      </c>
      <c r="G1" s="4" t="s">
        <v>3</v>
      </c>
      <c r="H1" s="6" t="s">
        <v>5</v>
      </c>
      <c r="I1" s="3" t="s">
        <v>2</v>
      </c>
      <c r="J1" s="3" t="s">
        <v>2</v>
      </c>
      <c r="K1" s="4" t="s">
        <v>3</v>
      </c>
      <c r="L1" s="2" t="s">
        <v>1</v>
      </c>
      <c r="M1" s="6" t="s">
        <v>5</v>
      </c>
      <c r="N1" s="3" t="s">
        <v>2</v>
      </c>
      <c r="O1" s="2" t="s">
        <v>1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3" t="s">
        <v>2</v>
      </c>
      <c r="W1" s="3" t="s">
        <v>2</v>
      </c>
      <c r="X1" s="3" t="s">
        <v>2</v>
      </c>
      <c r="Y1" s="4" t="s">
        <v>3</v>
      </c>
      <c r="Z1" s="3" t="s">
        <v>2</v>
      </c>
      <c r="AA1" s="3" t="s">
        <v>2</v>
      </c>
      <c r="AB1" s="6" t="s">
        <v>5</v>
      </c>
      <c r="AC1" s="3" t="s">
        <v>2</v>
      </c>
      <c r="AD1" s="3" t="s">
        <v>2</v>
      </c>
      <c r="AE1" s="4" t="s">
        <v>3</v>
      </c>
      <c r="AF1" s="3" t="s">
        <v>2</v>
      </c>
      <c r="AG1" s="3" t="s">
        <v>2</v>
      </c>
      <c r="AH1" s="4" t="s">
        <v>3</v>
      </c>
      <c r="AI1" s="4" t="s">
        <v>3</v>
      </c>
      <c r="AJ1" s="3" t="s">
        <v>2</v>
      </c>
      <c r="AK1" s="3" t="s">
        <v>2</v>
      </c>
      <c r="AL1" s="11" t="s">
        <v>226</v>
      </c>
      <c r="AM1" s="3" t="s">
        <v>2</v>
      </c>
      <c r="AN1" s="3" t="s">
        <v>2</v>
      </c>
      <c r="AO1" s="4" t="s">
        <v>3</v>
      </c>
      <c r="AP1" s="3" t="s">
        <v>2</v>
      </c>
      <c r="AQ1" s="6" t="s">
        <v>5</v>
      </c>
      <c r="AR1" s="6" t="s">
        <v>5</v>
      </c>
      <c r="AS1" s="6" t="s">
        <v>5</v>
      </c>
      <c r="AT1" s="3" t="s">
        <v>2</v>
      </c>
      <c r="AU1" s="3" t="s">
        <v>2</v>
      </c>
      <c r="AV1" s="3" t="s">
        <v>2</v>
      </c>
      <c r="AW1" s="11" t="s">
        <v>226</v>
      </c>
      <c r="AX1" s="6" t="s">
        <v>5</v>
      </c>
      <c r="AY1" s="6" t="s">
        <v>5</v>
      </c>
      <c r="AZ1" s="2" t="s">
        <v>1</v>
      </c>
      <c r="BA1" s="3" t="s">
        <v>2</v>
      </c>
      <c r="BB1" s="3" t="s">
        <v>2</v>
      </c>
      <c r="BC1" s="2" t="s">
        <v>1</v>
      </c>
      <c r="BD1" s="3" t="s">
        <v>2</v>
      </c>
      <c r="BE1" s="2" t="s">
        <v>1</v>
      </c>
      <c r="BF1" s="3" t="s">
        <v>2</v>
      </c>
      <c r="BG1" s="3" t="s">
        <v>2</v>
      </c>
      <c r="BH1" s="6" t="s">
        <v>5</v>
      </c>
      <c r="BI1" s="3" t="s">
        <v>2</v>
      </c>
      <c r="BJ1" s="4" t="s">
        <v>3</v>
      </c>
      <c r="BK1" s="4" t="s">
        <v>3</v>
      </c>
      <c r="BL1" s="3" t="s">
        <v>2</v>
      </c>
      <c r="BM1" s="3" t="s">
        <v>2</v>
      </c>
      <c r="BN1" s="3" t="s">
        <v>2</v>
      </c>
      <c r="BO1" s="4" t="s">
        <v>3</v>
      </c>
    </row>
    <row r="2" spans="1:67" x14ac:dyDescent="0.35">
      <c r="A2" s="7" t="s">
        <v>6</v>
      </c>
      <c r="B2" s="7" t="s">
        <v>7</v>
      </c>
      <c r="C2" s="7" t="s">
        <v>8</v>
      </c>
      <c r="D2" s="7" t="s">
        <v>10</v>
      </c>
      <c r="E2" s="7" t="s">
        <v>227</v>
      </c>
      <c r="F2" s="7" t="s">
        <v>198</v>
      </c>
      <c r="G2" s="7" t="s">
        <v>201</v>
      </c>
      <c r="H2" s="7" t="s">
        <v>199</v>
      </c>
      <c r="I2" s="7" t="s">
        <v>228</v>
      </c>
      <c r="J2" s="7" t="s">
        <v>151</v>
      </c>
      <c r="K2" s="7" t="s">
        <v>229</v>
      </c>
      <c r="L2" s="7" t="s">
        <v>9</v>
      </c>
      <c r="M2" s="7" t="s">
        <v>139</v>
      </c>
      <c r="N2" s="7" t="s">
        <v>16</v>
      </c>
      <c r="O2" s="7" t="s">
        <v>230</v>
      </c>
      <c r="P2" s="7" t="s">
        <v>44</v>
      </c>
      <c r="Q2" s="7" t="s">
        <v>26</v>
      </c>
      <c r="R2" s="7" t="s">
        <v>14</v>
      </c>
      <c r="S2" s="7" t="s">
        <v>104</v>
      </c>
      <c r="T2" s="7" t="s">
        <v>29</v>
      </c>
      <c r="U2" s="7" t="s">
        <v>15</v>
      </c>
      <c r="V2" s="7" t="s">
        <v>197</v>
      </c>
      <c r="W2" s="7" t="s">
        <v>18</v>
      </c>
      <c r="X2" s="7" t="s">
        <v>231</v>
      </c>
      <c r="Y2" s="7" t="s">
        <v>232</v>
      </c>
      <c r="Z2" s="7" t="s">
        <v>13</v>
      </c>
      <c r="AA2" s="7" t="s">
        <v>21</v>
      </c>
      <c r="AB2" s="7" t="s">
        <v>221</v>
      </c>
      <c r="AC2" s="7" t="s">
        <v>233</v>
      </c>
      <c r="AD2" s="7" t="s">
        <v>32</v>
      </c>
      <c r="AE2" s="7" t="s">
        <v>234</v>
      </c>
      <c r="AF2" s="7" t="s">
        <v>17</v>
      </c>
      <c r="AG2" s="7" t="s">
        <v>235</v>
      </c>
      <c r="AH2" s="7" t="s">
        <v>236</v>
      </c>
      <c r="AI2" s="7" t="s">
        <v>237</v>
      </c>
      <c r="AJ2" s="7" t="s">
        <v>12</v>
      </c>
      <c r="AK2" s="7" t="s">
        <v>238</v>
      </c>
      <c r="AL2" s="7" t="s">
        <v>239</v>
      </c>
      <c r="AM2" s="7" t="s">
        <v>19</v>
      </c>
      <c r="AN2" s="7" t="s">
        <v>80</v>
      </c>
      <c r="AO2" s="7" t="s">
        <v>240</v>
      </c>
      <c r="AP2" s="7" t="s">
        <v>39</v>
      </c>
      <c r="AQ2" s="7" t="s">
        <v>155</v>
      </c>
      <c r="AR2" s="7" t="s">
        <v>217</v>
      </c>
      <c r="AS2" s="7" t="s">
        <v>213</v>
      </c>
      <c r="AT2" s="7" t="s">
        <v>31</v>
      </c>
      <c r="AU2" s="7" t="s">
        <v>23</v>
      </c>
      <c r="AV2" s="7" t="s">
        <v>241</v>
      </c>
      <c r="AW2" s="7" t="s">
        <v>242</v>
      </c>
      <c r="AX2" s="7" t="s">
        <v>243</v>
      </c>
      <c r="AY2" s="7" t="s">
        <v>215</v>
      </c>
      <c r="AZ2" s="7" t="s">
        <v>24</v>
      </c>
      <c r="BA2" s="7" t="s">
        <v>37</v>
      </c>
      <c r="BB2" s="7" t="s">
        <v>25</v>
      </c>
      <c r="BC2" s="7" t="s">
        <v>36</v>
      </c>
      <c r="BD2" s="7" t="s">
        <v>48</v>
      </c>
      <c r="BE2" s="7" t="s">
        <v>244</v>
      </c>
      <c r="BF2" s="7" t="s">
        <v>245</v>
      </c>
      <c r="BG2" s="7" t="s">
        <v>50</v>
      </c>
      <c r="BH2" s="7" t="s">
        <v>225</v>
      </c>
      <c r="BI2" s="7" t="s">
        <v>64</v>
      </c>
      <c r="BJ2" s="7" t="s">
        <v>46</v>
      </c>
      <c r="BK2" s="7" t="s">
        <v>116</v>
      </c>
      <c r="BL2" s="7" t="s">
        <v>246</v>
      </c>
      <c r="BM2" s="7" t="s">
        <v>93</v>
      </c>
      <c r="BN2" s="7" t="s">
        <v>101</v>
      </c>
      <c r="BO2" s="7" t="s">
        <v>247</v>
      </c>
    </row>
    <row r="3" spans="1:67" x14ac:dyDescent="0.35">
      <c r="A3" s="8">
        <v>46187</v>
      </c>
      <c r="B3" s="9">
        <v>6610479.8303690003</v>
      </c>
      <c r="C3" s="10">
        <v>1177430.4990699999</v>
      </c>
      <c r="D3" s="10">
        <v>227132.191762</v>
      </c>
      <c r="E3" s="10">
        <v>4207308.0671600001</v>
      </c>
      <c r="F3" s="10"/>
      <c r="G3" s="10">
        <v>309038.84940000001</v>
      </c>
      <c r="H3" s="10">
        <v>1477.5</v>
      </c>
      <c r="I3" s="10"/>
      <c r="J3" s="10"/>
      <c r="K3" s="10">
        <v>471767.94797699997</v>
      </c>
      <c r="L3" s="10">
        <v>216075.65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>
        <v>249.125</v>
      </c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</row>
    <row r="4" spans="1:67" x14ac:dyDescent="0.35">
      <c r="A4" s="8">
        <v>46185</v>
      </c>
      <c r="B4" s="9">
        <v>72065912.108934507</v>
      </c>
      <c r="C4" s="10">
        <v>10807543.751998801</v>
      </c>
      <c r="D4" s="10">
        <v>279852.06843849999</v>
      </c>
      <c r="E4" s="10">
        <v>38589927.301930003</v>
      </c>
      <c r="F4" s="10">
        <v>79431.101874999993</v>
      </c>
      <c r="G4" s="10">
        <v>4589073.8714349996</v>
      </c>
      <c r="H4" s="10">
        <v>8298653.9965500003</v>
      </c>
      <c r="I4" s="10">
        <v>41914.871176000001</v>
      </c>
      <c r="J4" s="10">
        <v>3957.0762</v>
      </c>
      <c r="K4" s="10">
        <v>572225.92019500001</v>
      </c>
      <c r="L4" s="10">
        <v>525801.17807999998</v>
      </c>
      <c r="M4" s="10">
        <v>9268.0745119999992</v>
      </c>
      <c r="N4" s="10">
        <v>54902.33195</v>
      </c>
      <c r="O4" s="10">
        <v>187018.74877121599</v>
      </c>
      <c r="P4" s="10">
        <v>182886.72610999999</v>
      </c>
      <c r="Q4" s="10">
        <v>7700.1820399999997</v>
      </c>
      <c r="R4" s="10">
        <v>93901.445510000005</v>
      </c>
      <c r="S4" s="10">
        <v>10.7934</v>
      </c>
      <c r="T4" s="10">
        <v>5965.7276199999997</v>
      </c>
      <c r="U4" s="10">
        <v>11810.743</v>
      </c>
      <c r="V4" s="10">
        <v>15412.097400000001</v>
      </c>
      <c r="W4" s="10">
        <v>4927221.7129079998</v>
      </c>
      <c r="X4" s="10">
        <v>10.7934</v>
      </c>
      <c r="Y4" s="10">
        <v>29746.7945</v>
      </c>
      <c r="Z4" s="10">
        <v>103304.89969999999</v>
      </c>
      <c r="AA4" s="10">
        <v>10006.993399999999</v>
      </c>
      <c r="AB4" s="10">
        <v>10.7967</v>
      </c>
      <c r="AC4" s="10">
        <v>33.53772</v>
      </c>
      <c r="AD4" s="10">
        <v>7548.6092799999997</v>
      </c>
      <c r="AE4" s="10">
        <v>25915.688740000001</v>
      </c>
      <c r="AF4" s="10">
        <v>18382.143400000001</v>
      </c>
      <c r="AG4" s="10">
        <v>10.7934</v>
      </c>
      <c r="AH4" s="10">
        <v>2507.1682999999998</v>
      </c>
      <c r="AI4" s="10">
        <v>3850.7966999999999</v>
      </c>
      <c r="AJ4" s="10">
        <v>4812.87835</v>
      </c>
      <c r="AK4" s="10">
        <v>3166.5018</v>
      </c>
      <c r="AL4" s="10">
        <v>508.54450000000003</v>
      </c>
      <c r="AM4" s="10">
        <v>2890.7934</v>
      </c>
      <c r="AN4" s="10">
        <v>10.7934</v>
      </c>
      <c r="AO4" s="10">
        <v>354607.79450000002</v>
      </c>
      <c r="AP4" s="10">
        <v>10.7934</v>
      </c>
      <c r="AQ4" s="10">
        <v>30143.046699999999</v>
      </c>
      <c r="AR4" s="10">
        <v>259.92169999999999</v>
      </c>
      <c r="AS4" s="10">
        <v>10.7967</v>
      </c>
      <c r="AT4" s="10">
        <v>61687.289900000003</v>
      </c>
      <c r="AU4" s="10">
        <v>411111.65447200002</v>
      </c>
      <c r="AV4" s="10">
        <v>44559.687400000003</v>
      </c>
      <c r="AW4" s="10">
        <v>10.794499999999999</v>
      </c>
      <c r="AX4" s="10">
        <v>1438.8217</v>
      </c>
      <c r="AY4" s="10">
        <v>366692.39669999998</v>
      </c>
      <c r="AZ4" s="10">
        <v>820883.79449999996</v>
      </c>
      <c r="BA4" s="10">
        <v>296431.69339999999</v>
      </c>
      <c r="BB4" s="10">
        <v>3903.6876000000002</v>
      </c>
      <c r="BC4" s="10">
        <v>106205.13338</v>
      </c>
      <c r="BD4" s="10">
        <v>14108.977933</v>
      </c>
      <c r="BE4" s="10">
        <v>259.66950000000003</v>
      </c>
      <c r="BF4" s="10">
        <v>10.7934</v>
      </c>
      <c r="BG4" s="10">
        <v>41394.929889999999</v>
      </c>
      <c r="BH4" s="10">
        <v>928.62225000000001</v>
      </c>
      <c r="BI4" s="10">
        <v>8655.0036</v>
      </c>
      <c r="BJ4" s="10">
        <v>580.64449999999999</v>
      </c>
      <c r="BK4" s="10">
        <v>4751.9944999999998</v>
      </c>
      <c r="BL4" s="10">
        <v>10.7934</v>
      </c>
      <c r="BM4" s="10">
        <v>10.7934</v>
      </c>
      <c r="BN4" s="10">
        <v>33.53772</v>
      </c>
      <c r="BO4" s="10">
        <v>10.794499999999999</v>
      </c>
    </row>
    <row r="5" spans="1:67" x14ac:dyDescent="0.35">
      <c r="A5" s="8">
        <v>46184</v>
      </c>
      <c r="B5" s="9">
        <v>185906653.77718899</v>
      </c>
      <c r="C5" s="10">
        <v>1924351.7802289999</v>
      </c>
      <c r="D5" s="10">
        <v>2233957.7549990001</v>
      </c>
      <c r="E5" s="10">
        <v>75488673.352283999</v>
      </c>
      <c r="F5" s="10">
        <v>25746968.269423001</v>
      </c>
      <c r="G5" s="10">
        <v>9211713.2323460001</v>
      </c>
      <c r="H5" s="10">
        <v>52526780.289729998</v>
      </c>
      <c r="I5" s="10">
        <v>1264.6961759999999</v>
      </c>
      <c r="J5" s="10">
        <v>924994.79339999997</v>
      </c>
      <c r="K5" s="10">
        <v>129641.41766825</v>
      </c>
      <c r="L5" s="10">
        <v>167201.38154</v>
      </c>
      <c r="M5" s="10">
        <v>86838.628400000001</v>
      </c>
      <c r="N5" s="10">
        <v>533861.34524000005</v>
      </c>
      <c r="O5" s="10">
        <v>734055.91775400005</v>
      </c>
      <c r="P5" s="10">
        <v>20744.155849999999</v>
      </c>
      <c r="Q5" s="10">
        <v>236877.57775999999</v>
      </c>
      <c r="R5" s="10">
        <v>1924607.475471</v>
      </c>
      <c r="S5" s="10">
        <v>10.7934</v>
      </c>
      <c r="T5" s="10">
        <v>39198.693399999996</v>
      </c>
      <c r="U5" s="10">
        <v>895157.40560000006</v>
      </c>
      <c r="V5" s="10">
        <v>42144.865599999997</v>
      </c>
      <c r="W5" s="10">
        <v>319466.8922</v>
      </c>
      <c r="X5" s="10">
        <v>3276393.6453999998</v>
      </c>
      <c r="Y5" s="10">
        <v>1932.00198</v>
      </c>
      <c r="Z5" s="10">
        <v>8750.9683640000003</v>
      </c>
      <c r="AA5" s="10">
        <v>2810163.9368500002</v>
      </c>
      <c r="AB5" s="10">
        <v>35.2592</v>
      </c>
      <c r="AC5" s="10">
        <v>10.7934</v>
      </c>
      <c r="AD5" s="10">
        <v>219737.530849</v>
      </c>
      <c r="AE5" s="10">
        <v>21340.725569999999</v>
      </c>
      <c r="AF5" s="10">
        <v>1769.099301</v>
      </c>
      <c r="AG5" s="10">
        <v>589198.79339999997</v>
      </c>
      <c r="AH5" s="10">
        <v>68598.600999999995</v>
      </c>
      <c r="AI5" s="10">
        <v>52129.212699999996</v>
      </c>
      <c r="AJ5" s="10">
        <v>819608.61332</v>
      </c>
      <c r="AK5" s="10">
        <v>10.7934</v>
      </c>
      <c r="AL5" s="10">
        <v>78402.794500000004</v>
      </c>
      <c r="AM5" s="10">
        <v>876412.726945</v>
      </c>
      <c r="AN5" s="10">
        <v>508.29340000000002</v>
      </c>
      <c r="AO5" s="10">
        <v>199662.83124999999</v>
      </c>
      <c r="AP5" s="10">
        <v>51801.003400000001</v>
      </c>
      <c r="AQ5" s="10">
        <v>38589.312449999998</v>
      </c>
      <c r="AR5" s="10">
        <v>640162.65367499995</v>
      </c>
      <c r="AS5" s="10">
        <v>589.53120000000001</v>
      </c>
      <c r="AT5" s="10">
        <v>14340.358437000001</v>
      </c>
      <c r="AU5" s="10">
        <v>68598.740955999994</v>
      </c>
      <c r="AV5" s="10">
        <v>4174.4434000000001</v>
      </c>
      <c r="AW5" s="10">
        <v>10.794499999999999</v>
      </c>
      <c r="AX5" s="10">
        <v>55215.527199999997</v>
      </c>
      <c r="AY5" s="10">
        <v>1785125.2592</v>
      </c>
      <c r="AZ5" s="10">
        <v>522882.54450000002</v>
      </c>
      <c r="BA5" s="10">
        <v>10.7934</v>
      </c>
      <c r="BB5" s="10">
        <v>1641.03514</v>
      </c>
      <c r="BC5" s="10">
        <v>1087.3169800000001</v>
      </c>
      <c r="BD5" s="10">
        <v>2501.2934</v>
      </c>
      <c r="BE5" s="10">
        <v>259.66950000000003</v>
      </c>
      <c r="BF5" s="10">
        <v>10.7934</v>
      </c>
      <c r="BG5" s="10">
        <v>10.7934</v>
      </c>
      <c r="BH5" s="10">
        <v>1822.5125</v>
      </c>
      <c r="BI5" s="10">
        <v>3914.9852000000001</v>
      </c>
      <c r="BJ5" s="10">
        <v>500121.405852</v>
      </c>
      <c r="BK5" s="10">
        <v>538.07050000000004</v>
      </c>
      <c r="BL5" s="10">
        <v>35.218400000000003</v>
      </c>
      <c r="BM5" s="10">
        <v>10.7934</v>
      </c>
      <c r="BN5" s="10">
        <v>10.7934</v>
      </c>
      <c r="BO5" s="10">
        <v>10.794499999999999</v>
      </c>
    </row>
    <row r="6" spans="1:67" x14ac:dyDescent="0.35">
      <c r="A6" s="8">
        <v>46183</v>
      </c>
      <c r="B6" s="9">
        <v>102746890.088691</v>
      </c>
      <c r="C6" s="10">
        <v>5389656.0430875998</v>
      </c>
      <c r="D6" s="10">
        <v>1949725.4644230001</v>
      </c>
      <c r="E6" s="10">
        <v>78413629.339232996</v>
      </c>
      <c r="F6" s="10">
        <v>700823.17755999998</v>
      </c>
      <c r="G6" s="10">
        <v>5335522.5717230001</v>
      </c>
      <c r="H6" s="10">
        <v>992737.01806000003</v>
      </c>
      <c r="I6" s="10">
        <v>540.67359999999996</v>
      </c>
      <c r="J6" s="10">
        <v>4409.0968000000003</v>
      </c>
      <c r="K6" s="10">
        <v>104785.60520424999</v>
      </c>
      <c r="L6" s="10">
        <v>121190.00259400001</v>
      </c>
      <c r="M6" s="10">
        <v>234410.76035</v>
      </c>
      <c r="N6" s="10">
        <v>81805.412599999996</v>
      </c>
      <c r="O6" s="10">
        <v>603744.50845451502</v>
      </c>
      <c r="P6" s="10">
        <v>10880.21018</v>
      </c>
      <c r="Q6" s="10">
        <v>60476.877054999997</v>
      </c>
      <c r="R6" s="10">
        <v>139576.11538500001</v>
      </c>
      <c r="S6" s="10">
        <v>43.1736</v>
      </c>
      <c r="T6" s="10">
        <v>222343.89355199999</v>
      </c>
      <c r="U6" s="10">
        <v>164733.17360000001</v>
      </c>
      <c r="V6" s="10">
        <v>168232.56511600001</v>
      </c>
      <c r="W6" s="10">
        <v>21740.838220000001</v>
      </c>
      <c r="X6" s="10">
        <v>3560.3735999999999</v>
      </c>
      <c r="Y6" s="10">
        <v>43.177999999999997</v>
      </c>
      <c r="Z6" s="10">
        <v>196132.31630999999</v>
      </c>
      <c r="AA6" s="10">
        <v>280689.37359999999</v>
      </c>
      <c r="AB6" s="10">
        <v>1288.8117999999999</v>
      </c>
      <c r="AC6" s="10">
        <v>43.1736</v>
      </c>
      <c r="AD6" s="10">
        <v>23536.549419999999</v>
      </c>
      <c r="AE6" s="10">
        <v>13503.770780000001</v>
      </c>
      <c r="AF6" s="10">
        <v>43.1736</v>
      </c>
      <c r="AG6" s="10">
        <v>43.1736</v>
      </c>
      <c r="AH6" s="10">
        <v>14435.999299999999</v>
      </c>
      <c r="AI6" s="10">
        <v>16706.1168</v>
      </c>
      <c r="AJ6" s="10">
        <v>12869.901599999999</v>
      </c>
      <c r="AK6" s="10">
        <v>97.508600000000001</v>
      </c>
      <c r="AL6" s="10">
        <v>43.177999999999997</v>
      </c>
      <c r="AM6" s="10">
        <v>1742.1736000000001</v>
      </c>
      <c r="AN6" s="10">
        <v>540.67359999999996</v>
      </c>
      <c r="AO6" s="10">
        <v>6894522.0787300402</v>
      </c>
      <c r="AP6" s="10">
        <v>10631.6111</v>
      </c>
      <c r="AQ6" s="10">
        <v>12722.218675</v>
      </c>
      <c r="AR6" s="10">
        <v>414496.95555000001</v>
      </c>
      <c r="AS6" s="10">
        <v>21656.459074999999</v>
      </c>
      <c r="AT6" s="10">
        <v>56834.931243999999</v>
      </c>
      <c r="AU6" s="10">
        <v>13496.8336</v>
      </c>
      <c r="AV6" s="10">
        <v>3080.2775999999999</v>
      </c>
      <c r="AW6" s="10">
        <v>604.36900000000003</v>
      </c>
      <c r="AX6" s="10">
        <v>3028.5862999999999</v>
      </c>
      <c r="AY6" s="10">
        <v>738.74704999999994</v>
      </c>
      <c r="AZ6" s="10">
        <v>1042.6679999999999</v>
      </c>
      <c r="BA6" s="10">
        <v>53.966999999999999</v>
      </c>
      <c r="BB6" s="10">
        <v>43.1736</v>
      </c>
      <c r="BC6" s="10">
        <v>5707.010824</v>
      </c>
      <c r="BD6" s="10">
        <v>9300.9768000000004</v>
      </c>
      <c r="BE6" s="10">
        <v>82.298000000000002</v>
      </c>
      <c r="BF6" s="10">
        <v>43.1736</v>
      </c>
      <c r="BG6" s="10">
        <v>140.22471999999999</v>
      </c>
      <c r="BH6" s="10">
        <v>580.048</v>
      </c>
      <c r="BI6" s="10">
        <v>123.901616</v>
      </c>
      <c r="BJ6" s="10">
        <v>5346.7380000000003</v>
      </c>
      <c r="BK6" s="10">
        <v>1040.778</v>
      </c>
      <c r="BL6" s="10">
        <v>4999.2592000000004</v>
      </c>
      <c r="BM6" s="10">
        <v>43.1736</v>
      </c>
      <c r="BN6" s="10">
        <v>160.48560000000001</v>
      </c>
      <c r="BO6" s="10">
        <v>43.177999999999997</v>
      </c>
    </row>
    <row r="7" spans="1:67" x14ac:dyDescent="0.35">
      <c r="A7" s="8">
        <v>46182</v>
      </c>
      <c r="B7" s="9">
        <v>117996549.94201</v>
      </c>
      <c r="C7" s="10">
        <v>2060569.4728999999</v>
      </c>
      <c r="D7" s="10">
        <v>4499093.2305650003</v>
      </c>
      <c r="E7" s="10">
        <v>61481001.463863596</v>
      </c>
      <c r="F7" s="10">
        <v>2031149.0504640001</v>
      </c>
      <c r="G7" s="10">
        <v>26562628.857838001</v>
      </c>
      <c r="H7" s="10">
        <v>1821863.1653</v>
      </c>
      <c r="I7" s="10">
        <v>300781.592</v>
      </c>
      <c r="J7" s="10">
        <v>906667.85964000004</v>
      </c>
      <c r="K7" s="10">
        <v>782516.22413949203</v>
      </c>
      <c r="L7" s="10">
        <v>434938.99871999997</v>
      </c>
      <c r="M7" s="10">
        <v>374850.900792</v>
      </c>
      <c r="N7" s="10">
        <v>2444786.4766541198</v>
      </c>
      <c r="O7" s="10">
        <v>49404.240585</v>
      </c>
      <c r="P7" s="10">
        <v>313575.30270399997</v>
      </c>
      <c r="Q7" s="10">
        <v>26795.277038</v>
      </c>
      <c r="R7" s="10">
        <v>2377901.6881400002</v>
      </c>
      <c r="S7" s="10">
        <v>6410.5186999999996</v>
      </c>
      <c r="T7" s="10">
        <v>34215.39</v>
      </c>
      <c r="U7" s="10">
        <v>99260.110092000003</v>
      </c>
      <c r="V7" s="10">
        <v>133116.13186200001</v>
      </c>
      <c r="W7" s="10">
        <v>52721.26</v>
      </c>
      <c r="X7" s="10">
        <v>100306.834</v>
      </c>
      <c r="Y7" s="10">
        <v>4189237.2584460001</v>
      </c>
      <c r="Z7" s="10">
        <v>716963.17293</v>
      </c>
      <c r="AA7" s="10">
        <v>278426.49839999998</v>
      </c>
      <c r="AB7" s="10">
        <v>1443.721</v>
      </c>
      <c r="AC7" s="10">
        <v>7116.5367489999999</v>
      </c>
      <c r="AD7" s="10">
        <v>32752.76138</v>
      </c>
      <c r="AE7" s="10">
        <v>16286.52958</v>
      </c>
      <c r="AF7" s="10">
        <v>3201518.6860500001</v>
      </c>
      <c r="AG7" s="10">
        <v>47135.567999999999</v>
      </c>
      <c r="AH7" s="10">
        <v>179703.66510000001</v>
      </c>
      <c r="AI7" s="10">
        <v>94135.034880000007</v>
      </c>
      <c r="AJ7" s="10">
        <v>12777.07872</v>
      </c>
      <c r="AK7" s="10">
        <v>42007.973832000003</v>
      </c>
      <c r="AL7" s="10">
        <v>49749</v>
      </c>
      <c r="AM7" s="10">
        <v>527.50854500000003</v>
      </c>
      <c r="AN7" s="10">
        <v>1513.9445000000001</v>
      </c>
      <c r="AO7" s="10">
        <v>29988.378572000001</v>
      </c>
      <c r="AP7" s="10">
        <v>739216.25749999995</v>
      </c>
      <c r="AQ7" s="10">
        <v>82238.181874999995</v>
      </c>
      <c r="AR7" s="10">
        <v>249633.74296500001</v>
      </c>
      <c r="AS7" s="10">
        <v>159518.03159999999</v>
      </c>
      <c r="AT7" s="10">
        <v>21654.04</v>
      </c>
      <c r="AU7" s="10">
        <v>152168.81789999999</v>
      </c>
      <c r="AV7" s="10">
        <v>524747.158605</v>
      </c>
      <c r="AW7" s="10"/>
      <c r="AX7" s="10">
        <v>3759.1734999999999</v>
      </c>
      <c r="AY7" s="10">
        <v>51071.438399999999</v>
      </c>
      <c r="AZ7" s="10">
        <v>23516.048889999998</v>
      </c>
      <c r="BA7" s="10">
        <v>8492.7999999999993</v>
      </c>
      <c r="BB7" s="10">
        <v>46001.5</v>
      </c>
      <c r="BC7" s="10">
        <v>64086.415821000002</v>
      </c>
      <c r="BD7" s="10">
        <v>5812.3675000000003</v>
      </c>
      <c r="BE7" s="10">
        <v>497.75</v>
      </c>
      <c r="BF7" s="10">
        <v>993</v>
      </c>
      <c r="BG7" s="10"/>
      <c r="BH7" s="10">
        <v>248.875</v>
      </c>
      <c r="BI7" s="10">
        <v>12442.0892</v>
      </c>
      <c r="BJ7" s="10">
        <v>49555.119848000002</v>
      </c>
      <c r="BK7" s="10"/>
      <c r="BL7" s="10"/>
      <c r="BM7" s="10">
        <v>4513.0189250000003</v>
      </c>
      <c r="BN7" s="10">
        <v>546.7518</v>
      </c>
      <c r="BO7" s="10"/>
    </row>
    <row r="8" spans="1:67" x14ac:dyDescent="0.35">
      <c r="A8" s="8">
        <v>46181</v>
      </c>
      <c r="B8" s="9">
        <v>167643130.96872401</v>
      </c>
      <c r="C8" s="10">
        <v>1438294.4741130001</v>
      </c>
      <c r="D8" s="10">
        <v>37274430.644610003</v>
      </c>
      <c r="E8" s="10">
        <v>46821165.571885496</v>
      </c>
      <c r="F8" s="10">
        <v>31643348.404300999</v>
      </c>
      <c r="G8" s="10">
        <v>7222910.1629149998</v>
      </c>
      <c r="H8" s="10">
        <v>471611.93975000002</v>
      </c>
      <c r="I8" s="10">
        <v>5986150</v>
      </c>
      <c r="J8" s="10">
        <v>893778.57842000003</v>
      </c>
      <c r="K8" s="10">
        <v>424570.43688499997</v>
      </c>
      <c r="L8" s="10">
        <v>11282782.839699</v>
      </c>
      <c r="M8" s="10">
        <v>460227.47350000002</v>
      </c>
      <c r="N8" s="10">
        <v>563192.07648799999</v>
      </c>
      <c r="O8" s="10">
        <v>69614.442587719997</v>
      </c>
      <c r="P8" s="10">
        <v>674640.96095400001</v>
      </c>
      <c r="Q8" s="10">
        <v>211016.77187200001</v>
      </c>
      <c r="R8" s="10">
        <v>68756.490000000005</v>
      </c>
      <c r="S8" s="10">
        <v>1140018</v>
      </c>
      <c r="T8" s="10">
        <v>273944.11709100002</v>
      </c>
      <c r="U8" s="10">
        <v>170159.92</v>
      </c>
      <c r="V8" s="10">
        <v>468956.74528500001</v>
      </c>
      <c r="W8" s="10">
        <v>165755.43964500001</v>
      </c>
      <c r="X8" s="10">
        <v>7077702.5524800001</v>
      </c>
      <c r="Y8" s="10">
        <v>561019.748303</v>
      </c>
      <c r="Z8" s="10">
        <v>136744.579953682</v>
      </c>
      <c r="AA8" s="10">
        <v>145830.1</v>
      </c>
      <c r="AB8" s="10">
        <v>2337.9852999999998</v>
      </c>
      <c r="AC8" s="10"/>
      <c r="AD8" s="10">
        <v>14144.556</v>
      </c>
      <c r="AE8" s="10">
        <v>9902.7405999999992</v>
      </c>
      <c r="AF8" s="10">
        <v>3202766.3110500001</v>
      </c>
      <c r="AG8" s="10">
        <v>106030.38</v>
      </c>
      <c r="AH8" s="10">
        <v>20669.0275</v>
      </c>
      <c r="AI8" s="10">
        <v>19830.778399999999</v>
      </c>
      <c r="AJ8" s="10">
        <v>18150.605707999999</v>
      </c>
      <c r="AK8" s="10"/>
      <c r="AL8" s="10">
        <v>999.4</v>
      </c>
      <c r="AM8" s="10"/>
      <c r="AN8" s="10">
        <v>4439.45</v>
      </c>
      <c r="AO8" s="10">
        <v>8642.5499999999993</v>
      </c>
      <c r="AP8" s="10">
        <v>13122.174999999999</v>
      </c>
      <c r="AQ8" s="10">
        <v>60536.639999999999</v>
      </c>
      <c r="AR8" s="10">
        <v>9840</v>
      </c>
      <c r="AS8" s="10">
        <v>14113.769200000001</v>
      </c>
      <c r="AT8" s="10">
        <v>4181.66</v>
      </c>
      <c r="AU8" s="10">
        <v>441447.71450900001</v>
      </c>
      <c r="AV8" s="10">
        <v>7648545.6580100097</v>
      </c>
      <c r="AW8" s="10"/>
      <c r="AX8" s="10">
        <v>7545.8585000000003</v>
      </c>
      <c r="AY8" s="10">
        <v>110110.493814</v>
      </c>
      <c r="AZ8" s="10">
        <v>5319.2698399999999</v>
      </c>
      <c r="BA8" s="10">
        <v>1494</v>
      </c>
      <c r="BB8" s="10">
        <v>11335.3</v>
      </c>
      <c r="BC8" s="10">
        <v>123526.03124</v>
      </c>
      <c r="BD8" s="10">
        <v>248.75</v>
      </c>
      <c r="BE8" s="10"/>
      <c r="BF8" s="10">
        <v>993</v>
      </c>
      <c r="BG8" s="10"/>
      <c r="BH8" s="10">
        <v>248.875</v>
      </c>
      <c r="BI8" s="10">
        <v>2235.1840000000002</v>
      </c>
      <c r="BJ8" s="10">
        <v>152.98431500000001</v>
      </c>
      <c r="BK8" s="10"/>
      <c r="BL8" s="10"/>
      <c r="BM8" s="10"/>
      <c r="BN8" s="10">
        <v>133099.6</v>
      </c>
      <c r="BO8" s="10">
        <v>497.75</v>
      </c>
    </row>
    <row r="9" spans="1:67" x14ac:dyDescent="0.35">
      <c r="A9" s="8">
        <v>46180</v>
      </c>
      <c r="B9" s="9">
        <v>5689374.5986954998</v>
      </c>
      <c r="C9" s="10">
        <v>12429.8932</v>
      </c>
      <c r="D9" s="10">
        <v>3596833.6988499998</v>
      </c>
      <c r="E9" s="10">
        <v>674959.76954849996</v>
      </c>
      <c r="F9" s="10"/>
      <c r="G9" s="10">
        <v>551327.62549999997</v>
      </c>
      <c r="H9" s="10">
        <v>420.51752499999998</v>
      </c>
      <c r="I9" s="10"/>
      <c r="J9" s="10"/>
      <c r="K9" s="10">
        <v>275696.58519999997</v>
      </c>
      <c r="L9" s="10">
        <v>576596.10199700005</v>
      </c>
      <c r="M9" s="10">
        <v>483.01740000000001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>
        <v>487.5</v>
      </c>
      <c r="AI9" s="10"/>
      <c r="AJ9" s="10"/>
      <c r="AK9" s="10"/>
      <c r="AL9" s="10"/>
      <c r="AM9" s="10"/>
      <c r="AN9" s="10"/>
      <c r="AO9" s="10"/>
      <c r="AP9" s="10"/>
      <c r="AQ9" s="10">
        <v>139.889475</v>
      </c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</row>
    <row r="10" spans="1:67" x14ac:dyDescent="0.35">
      <c r="A10" s="8">
        <v>46178</v>
      </c>
      <c r="B10" s="9">
        <v>166462998.45112401</v>
      </c>
      <c r="C10" s="10">
        <v>4906114.9078837996</v>
      </c>
      <c r="D10" s="10">
        <v>13557017.368789</v>
      </c>
      <c r="E10" s="10">
        <v>44655361.687114999</v>
      </c>
      <c r="F10" s="10">
        <v>9933105.7263249997</v>
      </c>
      <c r="G10" s="10">
        <v>4745795.6881670002</v>
      </c>
      <c r="H10" s="10">
        <v>253834.153965</v>
      </c>
      <c r="I10" s="10">
        <v>13277377.607999999</v>
      </c>
      <c r="J10" s="10">
        <v>4209564</v>
      </c>
      <c r="K10" s="10">
        <v>489047.10420905799</v>
      </c>
      <c r="L10" s="10">
        <v>19264012.561171599</v>
      </c>
      <c r="M10" s="10">
        <v>289883.755213</v>
      </c>
      <c r="N10" s="10">
        <v>2706502.9171710201</v>
      </c>
      <c r="O10" s="10">
        <v>410214.635274</v>
      </c>
      <c r="P10" s="10">
        <v>175659.2</v>
      </c>
      <c r="Q10" s="10">
        <v>772432.98847500002</v>
      </c>
      <c r="R10" s="10">
        <v>602406.45863999997</v>
      </c>
      <c r="S10" s="10">
        <v>7894100.2374999998</v>
      </c>
      <c r="T10" s="10">
        <v>45770.493543496297</v>
      </c>
      <c r="U10" s="10">
        <v>73267.213659999994</v>
      </c>
      <c r="V10" s="10">
        <v>19632.75</v>
      </c>
      <c r="W10" s="10">
        <v>2740853.767364</v>
      </c>
      <c r="X10" s="10">
        <v>9294596.7494610101</v>
      </c>
      <c r="Y10" s="10">
        <v>11847947.438405</v>
      </c>
      <c r="Z10" s="10">
        <v>1525461.0485499999</v>
      </c>
      <c r="AA10" s="10">
        <v>205126.88625000001</v>
      </c>
      <c r="AB10" s="10"/>
      <c r="AC10" s="10">
        <v>13849.531999999999</v>
      </c>
      <c r="AD10" s="10">
        <v>18417.303765000001</v>
      </c>
      <c r="AE10" s="10">
        <v>3791.8078</v>
      </c>
      <c r="AF10" s="10">
        <v>3563687.8764216001</v>
      </c>
      <c r="AG10" s="10">
        <v>339785.099475</v>
      </c>
      <c r="AH10" s="10">
        <v>10062.561900000001</v>
      </c>
      <c r="AI10" s="10">
        <v>56694.9614</v>
      </c>
      <c r="AJ10" s="10">
        <v>86684.698150204102</v>
      </c>
      <c r="AK10" s="10">
        <v>39613.019999999997</v>
      </c>
      <c r="AL10" s="10"/>
      <c r="AM10" s="10">
        <v>32369.042799999999</v>
      </c>
      <c r="AN10" s="10">
        <v>998</v>
      </c>
      <c r="AO10" s="10">
        <v>2988608.5470512402</v>
      </c>
      <c r="AP10" s="10">
        <v>16399.7318514</v>
      </c>
      <c r="AQ10" s="10">
        <v>93029.100229999996</v>
      </c>
      <c r="AR10" s="10"/>
      <c r="AS10" s="10">
        <v>44796</v>
      </c>
      <c r="AT10" s="10">
        <v>2884073.6535169999</v>
      </c>
      <c r="AU10" s="10">
        <v>933070.85179500002</v>
      </c>
      <c r="AV10" s="10">
        <v>1186424.8937250001</v>
      </c>
      <c r="AW10" s="10"/>
      <c r="AX10" s="10">
        <v>4764.4870000000001</v>
      </c>
      <c r="AY10" s="10">
        <v>53631.377307000002</v>
      </c>
      <c r="AZ10" s="10">
        <v>9379.5963800000009</v>
      </c>
      <c r="BA10" s="10"/>
      <c r="BB10" s="10">
        <v>11406.4635</v>
      </c>
      <c r="BC10" s="10">
        <v>34978.410607999998</v>
      </c>
      <c r="BD10" s="10">
        <v>8256.6330899999994</v>
      </c>
      <c r="BE10" s="10">
        <v>49.084350000000001</v>
      </c>
      <c r="BF10" s="10"/>
      <c r="BG10" s="10"/>
      <c r="BH10" s="10">
        <v>841.07500000000005</v>
      </c>
      <c r="BI10" s="10">
        <v>89907.089875000005</v>
      </c>
      <c r="BJ10" s="10">
        <v>24066.494999999999</v>
      </c>
      <c r="BK10" s="10">
        <v>11518.712</v>
      </c>
      <c r="BL10" s="10">
        <v>965</v>
      </c>
      <c r="BM10" s="10">
        <v>5790</v>
      </c>
      <c r="BN10" s="10"/>
      <c r="BO10" s="10"/>
    </row>
    <row r="11" spans="1:67" x14ac:dyDescent="0.35">
      <c r="A11" s="8">
        <v>46177</v>
      </c>
      <c r="B11" s="9">
        <v>143630603.83741</v>
      </c>
      <c r="C11" s="10">
        <v>1920962.170718</v>
      </c>
      <c r="D11" s="10">
        <v>5138847.7020850005</v>
      </c>
      <c r="E11" s="10">
        <v>89087279.238799706</v>
      </c>
      <c r="F11" s="10">
        <v>3716909.262536</v>
      </c>
      <c r="G11" s="10">
        <v>3261258.2944908501</v>
      </c>
      <c r="H11" s="10">
        <v>703523.13538999995</v>
      </c>
      <c r="I11" s="10">
        <v>15519660.27152</v>
      </c>
      <c r="J11" s="10">
        <v>7614038.5199999996</v>
      </c>
      <c r="K11" s="10">
        <v>278659.99377695</v>
      </c>
      <c r="L11" s="10">
        <v>1878409.0842289999</v>
      </c>
      <c r="M11" s="10">
        <v>333558.04849075002</v>
      </c>
      <c r="N11" s="10">
        <v>1469516.00131164</v>
      </c>
      <c r="O11" s="10">
        <v>60811.818605</v>
      </c>
      <c r="P11" s="10">
        <v>33317.961597000001</v>
      </c>
      <c r="Q11" s="10"/>
      <c r="R11" s="10">
        <v>92263.372069999998</v>
      </c>
      <c r="S11" s="10">
        <v>2937162</v>
      </c>
      <c r="T11" s="10">
        <v>169635.75</v>
      </c>
      <c r="U11" s="10">
        <v>169828.866951</v>
      </c>
      <c r="V11" s="10">
        <v>7674.9</v>
      </c>
      <c r="W11" s="10">
        <v>1483014.05</v>
      </c>
      <c r="X11" s="10">
        <v>3321261.2760000001</v>
      </c>
      <c r="Y11" s="10">
        <v>6134.2524000000003</v>
      </c>
      <c r="Z11" s="10">
        <v>97705.22</v>
      </c>
      <c r="AA11" s="10">
        <v>1114421.4125000001</v>
      </c>
      <c r="AB11" s="10">
        <v>178.93799999999999</v>
      </c>
      <c r="AC11" s="10">
        <v>3617.7</v>
      </c>
      <c r="AD11" s="10">
        <v>998</v>
      </c>
      <c r="AE11" s="10">
        <v>4018.2608</v>
      </c>
      <c r="AF11" s="10">
        <v>6565.125</v>
      </c>
      <c r="AG11" s="10">
        <v>325815.66600000003</v>
      </c>
      <c r="AH11" s="10">
        <v>50413.501100000001</v>
      </c>
      <c r="AI11" s="10">
        <v>3526.2168000000001</v>
      </c>
      <c r="AJ11" s="10">
        <v>15682.936739999999</v>
      </c>
      <c r="AK11" s="10">
        <v>7531.2</v>
      </c>
      <c r="AL11" s="10"/>
      <c r="AM11" s="10">
        <v>7237.5</v>
      </c>
      <c r="AN11" s="10"/>
      <c r="AO11" s="10">
        <v>9973.5</v>
      </c>
      <c r="AP11" s="10">
        <v>22312.272499999999</v>
      </c>
      <c r="AQ11" s="10"/>
      <c r="AR11" s="10">
        <v>329631.25</v>
      </c>
      <c r="AS11" s="10">
        <v>43085.212650000001</v>
      </c>
      <c r="AT11" s="10">
        <v>560720.4</v>
      </c>
      <c r="AU11" s="10">
        <v>984948.61390600004</v>
      </c>
      <c r="AV11" s="10">
        <v>78538.708790000004</v>
      </c>
      <c r="AW11" s="10"/>
      <c r="AX11" s="10">
        <v>3095.7767939999999</v>
      </c>
      <c r="AY11" s="10">
        <v>15948</v>
      </c>
      <c r="AZ11" s="10">
        <v>6174.1693690000002</v>
      </c>
      <c r="BA11" s="10">
        <v>482.5</v>
      </c>
      <c r="BB11" s="10">
        <v>17052</v>
      </c>
      <c r="BC11" s="10"/>
      <c r="BD11" s="10">
        <v>412206.880145</v>
      </c>
      <c r="BE11" s="10">
        <v>297747</v>
      </c>
      <c r="BF11" s="10"/>
      <c r="BG11" s="10"/>
      <c r="BH11" s="10"/>
      <c r="BI11" s="10">
        <v>2035.787</v>
      </c>
      <c r="BJ11" s="10"/>
      <c r="BK11" s="10"/>
      <c r="BL11" s="10">
        <v>482.5</v>
      </c>
      <c r="BM11" s="10">
        <v>4342.5</v>
      </c>
      <c r="BN11" s="10"/>
      <c r="BO11" s="10">
        <v>389.11834499999998</v>
      </c>
    </row>
    <row r="12" spans="1:67" x14ac:dyDescent="0.35">
      <c r="A12" s="8">
        <v>46176</v>
      </c>
      <c r="B12" s="9">
        <v>117031589.626075</v>
      </c>
      <c r="C12" s="10">
        <v>1494656.4959191999</v>
      </c>
      <c r="D12" s="10">
        <v>6585723.6683299998</v>
      </c>
      <c r="E12" s="10">
        <v>39627661.554874003</v>
      </c>
      <c r="F12" s="10">
        <v>6703229.6365299998</v>
      </c>
      <c r="G12" s="10">
        <v>567398.075046952</v>
      </c>
      <c r="H12" s="10">
        <v>382922.51947699999</v>
      </c>
      <c r="I12" s="10">
        <v>26950246.504560001</v>
      </c>
      <c r="J12" s="10">
        <v>6871224.7575540002</v>
      </c>
      <c r="K12" s="10">
        <v>238315.07292000001</v>
      </c>
      <c r="L12" s="10">
        <v>3947459.1243830002</v>
      </c>
      <c r="M12" s="10">
        <v>687705.67971725005</v>
      </c>
      <c r="N12" s="10">
        <v>4351515.6218830002</v>
      </c>
      <c r="O12" s="10">
        <v>154583.86394000001</v>
      </c>
      <c r="P12" s="10">
        <v>606410.43547200004</v>
      </c>
      <c r="Q12" s="10">
        <v>38965.975274999997</v>
      </c>
      <c r="R12" s="10">
        <v>2713282.1535160001</v>
      </c>
      <c r="S12" s="10">
        <v>2248395.9750000001</v>
      </c>
      <c r="T12" s="10">
        <v>301143.30885799997</v>
      </c>
      <c r="U12" s="10">
        <v>251909.89788199999</v>
      </c>
      <c r="V12" s="10">
        <v>4264</v>
      </c>
      <c r="W12" s="10">
        <v>4484208.6366419997</v>
      </c>
      <c r="X12" s="10">
        <v>3835413.6266600001</v>
      </c>
      <c r="Y12" s="10">
        <v>323688.01563500002</v>
      </c>
      <c r="Z12" s="10">
        <v>122307.34130499999</v>
      </c>
      <c r="AA12" s="10">
        <v>1034200</v>
      </c>
      <c r="AB12" s="10"/>
      <c r="AC12" s="10">
        <v>67.5184</v>
      </c>
      <c r="AD12" s="10">
        <v>85071.55</v>
      </c>
      <c r="AE12" s="10">
        <v>7471.73</v>
      </c>
      <c r="AF12" s="10">
        <v>2997</v>
      </c>
      <c r="AG12" s="10"/>
      <c r="AH12" s="10">
        <v>24624.5327</v>
      </c>
      <c r="AI12" s="10">
        <v>63083.199999999997</v>
      </c>
      <c r="AJ12" s="10">
        <v>942651.04492300004</v>
      </c>
      <c r="AK12" s="10">
        <v>5243.0174999999999</v>
      </c>
      <c r="AL12" s="10"/>
      <c r="AM12" s="10"/>
      <c r="AN12" s="10">
        <v>2619.5625</v>
      </c>
      <c r="AO12" s="10">
        <v>26367.33856</v>
      </c>
      <c r="AP12" s="10">
        <v>148067.78794559999</v>
      </c>
      <c r="AQ12" s="10">
        <v>167985.7604</v>
      </c>
      <c r="AR12" s="10">
        <v>19401.882399999999</v>
      </c>
      <c r="AS12" s="10">
        <v>84902.245949999997</v>
      </c>
      <c r="AT12" s="10">
        <v>48744.380585999999</v>
      </c>
      <c r="AU12" s="10">
        <v>3110.2712799999999</v>
      </c>
      <c r="AV12" s="10">
        <v>730904.14192600001</v>
      </c>
      <c r="AW12" s="10"/>
      <c r="AX12" s="10">
        <v>3340.1167999999998</v>
      </c>
      <c r="AY12" s="10">
        <v>27689.279999999999</v>
      </c>
      <c r="AZ12" s="10">
        <v>12893.95487</v>
      </c>
      <c r="BA12" s="10"/>
      <c r="BB12" s="10">
        <v>13099.606159999999</v>
      </c>
      <c r="BC12" s="10">
        <v>30990.367403</v>
      </c>
      <c r="BD12" s="10">
        <v>2296.3409999999999</v>
      </c>
      <c r="BE12" s="10">
        <v>49.084350000000001</v>
      </c>
      <c r="BF12" s="10">
        <v>1794.24</v>
      </c>
      <c r="BG12" s="10">
        <v>64.402500000000003</v>
      </c>
      <c r="BH12" s="10"/>
      <c r="BI12" s="10">
        <v>38574.791525000001</v>
      </c>
      <c r="BJ12" s="10">
        <v>649.94235000000003</v>
      </c>
      <c r="BK12" s="10"/>
      <c r="BL12" s="10">
        <v>5925.0321999999996</v>
      </c>
      <c r="BM12" s="10">
        <v>2227.7098249999999</v>
      </c>
      <c r="BN12" s="10"/>
      <c r="BO12" s="10">
        <v>1849.8506420000001</v>
      </c>
    </row>
    <row r="13" spans="1:67" x14ac:dyDescent="0.35">
      <c r="A13" s="8">
        <v>46175</v>
      </c>
      <c r="B13" s="9">
        <v>74969548.201646701</v>
      </c>
      <c r="C13" s="10">
        <v>1996696.2388820001</v>
      </c>
      <c r="D13" s="10">
        <v>9619800.7703699991</v>
      </c>
      <c r="E13" s="10">
        <v>2564893.908396</v>
      </c>
      <c r="F13" s="10">
        <v>5340259.4725059997</v>
      </c>
      <c r="G13" s="10">
        <v>1028101.2341</v>
      </c>
      <c r="H13" s="10">
        <v>1973672.1189999999</v>
      </c>
      <c r="I13" s="10">
        <v>24753761.195625</v>
      </c>
      <c r="J13" s="10">
        <v>10630690.331780201</v>
      </c>
      <c r="K13" s="10">
        <v>284913.115864299</v>
      </c>
      <c r="L13" s="10">
        <v>883248.34651599999</v>
      </c>
      <c r="M13" s="10">
        <v>297671.083094</v>
      </c>
      <c r="N13" s="10">
        <v>334812.03167114098</v>
      </c>
      <c r="O13" s="10">
        <v>134741.10222999999</v>
      </c>
      <c r="P13" s="10">
        <v>359521.65</v>
      </c>
      <c r="Q13" s="10">
        <v>49390.712778000001</v>
      </c>
      <c r="R13" s="10">
        <v>812249.71903499996</v>
      </c>
      <c r="S13" s="10">
        <v>1560687</v>
      </c>
      <c r="T13" s="10">
        <v>59299</v>
      </c>
      <c r="U13" s="10">
        <v>301340</v>
      </c>
      <c r="V13" s="10">
        <v>1274288.664076</v>
      </c>
      <c r="W13" s="10">
        <v>2674271.58635</v>
      </c>
      <c r="X13" s="10">
        <v>1411780.5007</v>
      </c>
      <c r="Y13" s="10">
        <v>22245.095986</v>
      </c>
      <c r="Z13" s="10">
        <v>301803.19042499998</v>
      </c>
      <c r="AA13" s="10">
        <v>1746578.5</v>
      </c>
      <c r="AB13" s="10"/>
      <c r="AC13" s="10">
        <v>21744.498248</v>
      </c>
      <c r="AD13" s="10">
        <v>320264.31069100002</v>
      </c>
      <c r="AE13" s="10">
        <v>1222.268</v>
      </c>
      <c r="AF13" s="10">
        <v>44142.039715500003</v>
      </c>
      <c r="AG13" s="10">
        <v>315114</v>
      </c>
      <c r="AH13" s="10">
        <v>61659.701500000003</v>
      </c>
      <c r="AI13" s="10">
        <v>8844.9920000000002</v>
      </c>
      <c r="AJ13" s="10">
        <v>933313.00597000006</v>
      </c>
      <c r="AK13" s="10">
        <v>9449.3024999999998</v>
      </c>
      <c r="AL13" s="10"/>
      <c r="AM13" s="10">
        <v>49600.784815500003</v>
      </c>
      <c r="AN13" s="10">
        <v>149.89567600000001</v>
      </c>
      <c r="AO13" s="10">
        <v>248.875</v>
      </c>
      <c r="AP13" s="10">
        <v>426028.95624999999</v>
      </c>
      <c r="AQ13" s="10">
        <v>237889.9552</v>
      </c>
      <c r="AR13" s="10"/>
      <c r="AS13" s="10">
        <v>10496.876</v>
      </c>
      <c r="AT13" s="10">
        <v>294134.48946000001</v>
      </c>
      <c r="AU13" s="10">
        <v>40192</v>
      </c>
      <c r="AV13" s="10"/>
      <c r="AW13" s="10"/>
      <c r="AX13" s="10">
        <v>604061.01352000004</v>
      </c>
      <c r="AY13" s="10">
        <v>15948</v>
      </c>
      <c r="AZ13" s="10">
        <v>5995.5971650000001</v>
      </c>
      <c r="BA13" s="10"/>
      <c r="BB13" s="10">
        <v>44353.599999999999</v>
      </c>
      <c r="BC13" s="10">
        <v>105196.76818899999</v>
      </c>
      <c r="BD13" s="10">
        <v>912301.42458800005</v>
      </c>
      <c r="BE13" s="10"/>
      <c r="BF13" s="10"/>
      <c r="BG13" s="10">
        <v>21392.444024</v>
      </c>
      <c r="BH13" s="10"/>
      <c r="BI13" s="10">
        <v>53606.421750000001</v>
      </c>
      <c r="BJ13" s="10"/>
      <c r="BK13" s="10">
        <v>11518.712</v>
      </c>
      <c r="BL13" s="10">
        <v>3961.7</v>
      </c>
      <c r="BM13" s="10"/>
      <c r="BN13" s="10"/>
      <c r="BO13" s="10"/>
    </row>
    <row r="14" spans="1:67" x14ac:dyDescent="0.35">
      <c r="A14" s="8">
        <v>46174</v>
      </c>
      <c r="B14" s="9">
        <v>81794173.571533501</v>
      </c>
      <c r="C14" s="10">
        <v>1236533.5825072001</v>
      </c>
      <c r="D14" s="10">
        <v>17266701.693535</v>
      </c>
      <c r="E14" s="10">
        <v>10167772.218998499</v>
      </c>
      <c r="F14" s="10">
        <v>960624.42332199996</v>
      </c>
      <c r="G14" s="10">
        <v>1654928.84249582</v>
      </c>
      <c r="H14" s="10">
        <v>1696197.0460000001</v>
      </c>
      <c r="I14" s="10">
        <v>11869705.097704999</v>
      </c>
      <c r="J14" s="10">
        <v>5535437.0912300004</v>
      </c>
      <c r="K14" s="10">
        <v>362029.74974499998</v>
      </c>
      <c r="L14" s="10">
        <v>177833.33444000001</v>
      </c>
      <c r="M14" s="10">
        <v>181184.97625000001</v>
      </c>
      <c r="N14" s="10">
        <v>3718466.6658290001</v>
      </c>
      <c r="O14" s="10">
        <v>158813.07018800001</v>
      </c>
      <c r="P14" s="10">
        <v>875106.59545000002</v>
      </c>
      <c r="Q14" s="10">
        <v>24874.55</v>
      </c>
      <c r="R14" s="10">
        <v>1892839.391206</v>
      </c>
      <c r="S14" s="10">
        <v>2506083</v>
      </c>
      <c r="T14" s="10">
        <v>299867.27500000002</v>
      </c>
      <c r="U14" s="10">
        <v>329524.18400000001</v>
      </c>
      <c r="V14" s="10">
        <v>510984.39836599998</v>
      </c>
      <c r="W14" s="10">
        <v>2230194.09</v>
      </c>
      <c r="X14" s="10">
        <v>773401.23135999998</v>
      </c>
      <c r="Y14" s="10">
        <v>6972927.9976000004</v>
      </c>
      <c r="Z14" s="10">
        <v>364475.70722400001</v>
      </c>
      <c r="AA14" s="10">
        <v>1745349.7021600001</v>
      </c>
      <c r="AB14" s="10">
        <v>29454</v>
      </c>
      <c r="AC14" s="10">
        <v>7072.5858559999997</v>
      </c>
      <c r="AD14" s="10">
        <v>1605265.056779</v>
      </c>
      <c r="AE14" s="10">
        <v>359.0625</v>
      </c>
      <c r="AF14" s="10">
        <v>71272.225349999993</v>
      </c>
      <c r="AG14" s="10">
        <v>475756.35749999998</v>
      </c>
      <c r="AH14" s="10">
        <v>5296.5030699999998</v>
      </c>
      <c r="AI14" s="10">
        <v>48948.383300000001</v>
      </c>
      <c r="AJ14" s="10">
        <v>14653.750284</v>
      </c>
      <c r="AK14" s="10">
        <v>3994.4140200000002</v>
      </c>
      <c r="AL14" s="10">
        <v>4290695.2414250001</v>
      </c>
      <c r="AM14" s="10">
        <v>100326.8246545</v>
      </c>
      <c r="AN14" s="10">
        <v>9999.6774989999994</v>
      </c>
      <c r="AO14" s="10">
        <v>10670.995845507799</v>
      </c>
      <c r="AP14" s="10">
        <v>574533.36818999995</v>
      </c>
      <c r="AQ14" s="10">
        <v>61057.455000000002</v>
      </c>
      <c r="AR14" s="10">
        <v>14724</v>
      </c>
      <c r="AS14" s="10">
        <v>34278.288</v>
      </c>
      <c r="AT14" s="10">
        <v>408692.40874099999</v>
      </c>
      <c r="AU14" s="10">
        <v>72843.598800000007</v>
      </c>
      <c r="AV14" s="10"/>
      <c r="AW14" s="10">
        <v>289339.29432500002</v>
      </c>
      <c r="AX14" s="10">
        <v>2990</v>
      </c>
      <c r="AY14" s="10">
        <v>37428</v>
      </c>
      <c r="AZ14" s="10">
        <v>7394.774034</v>
      </c>
      <c r="BA14" s="10">
        <v>2191.3348799999999</v>
      </c>
      <c r="BB14" s="10">
        <v>76015.035640000002</v>
      </c>
      <c r="BC14" s="10">
        <v>868.92300999999998</v>
      </c>
      <c r="BD14" s="10">
        <v>20138.009460000001</v>
      </c>
      <c r="BE14" s="10"/>
      <c r="BF14" s="10">
        <v>2790.24</v>
      </c>
      <c r="BG14" s="10">
        <v>341.66902399999998</v>
      </c>
      <c r="BH14" s="10">
        <v>1764.91875</v>
      </c>
      <c r="BI14" s="10">
        <v>196.26098500000001</v>
      </c>
      <c r="BJ14" s="10"/>
      <c r="BK14" s="10"/>
      <c r="BL14" s="10">
        <v>965</v>
      </c>
      <c r="BM14" s="10"/>
      <c r="BN14" s="10"/>
      <c r="BO14" s="10"/>
    </row>
    <row r="15" spans="1:67" x14ac:dyDescent="0.35">
      <c r="A15" s="8">
        <v>46173</v>
      </c>
      <c r="B15" s="9">
        <v>3770649.3051539999</v>
      </c>
      <c r="C15" s="10">
        <v>20225.827237000001</v>
      </c>
      <c r="D15" s="10">
        <v>22786.069737000002</v>
      </c>
      <c r="E15" s="10">
        <v>16730.668900000001</v>
      </c>
      <c r="F15" s="10"/>
      <c r="G15" s="10">
        <v>27180.532316000001</v>
      </c>
      <c r="H15" s="10">
        <v>2426976</v>
      </c>
      <c r="I15" s="10"/>
      <c r="J15" s="10"/>
      <c r="K15" s="10">
        <v>1193943.5</v>
      </c>
      <c r="L15" s="10">
        <v>10124.637664</v>
      </c>
      <c r="M15" s="10">
        <v>41655.131800000003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>
        <v>359.0625</v>
      </c>
      <c r="AF15" s="10"/>
      <c r="AG15" s="10"/>
      <c r="AH15" s="10">
        <v>1986</v>
      </c>
      <c r="AI15" s="10"/>
      <c r="AJ15" s="10"/>
      <c r="AK15" s="10"/>
      <c r="AL15" s="10"/>
      <c r="AM15" s="10"/>
      <c r="AN15" s="10"/>
      <c r="AO15" s="10"/>
      <c r="AP15" s="10"/>
      <c r="AQ15" s="10">
        <v>8681.875</v>
      </c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</row>
    <row r="16" spans="1:67" x14ac:dyDescent="0.35">
      <c r="A16" s="8">
        <v>46171</v>
      </c>
      <c r="B16" s="9">
        <v>143586916.75163999</v>
      </c>
      <c r="C16" s="10">
        <v>30543329.843256</v>
      </c>
      <c r="D16" s="10">
        <v>1575168.3430620001</v>
      </c>
      <c r="E16" s="10">
        <v>604846.92890000006</v>
      </c>
      <c r="F16" s="10">
        <v>15332566.297116</v>
      </c>
      <c r="G16" s="10">
        <v>1514490.0260620001</v>
      </c>
      <c r="H16" s="10">
        <v>2353882.8202</v>
      </c>
      <c r="I16" s="10">
        <v>15961097.757425001</v>
      </c>
      <c r="J16" s="10">
        <v>21483955.028999999</v>
      </c>
      <c r="K16" s="10">
        <v>1420871.6273749999</v>
      </c>
      <c r="L16" s="10">
        <v>1556434.9960700001</v>
      </c>
      <c r="M16" s="10">
        <v>692094.40164299996</v>
      </c>
      <c r="N16" s="10">
        <v>924203.49795999995</v>
      </c>
      <c r="O16" s="10">
        <v>68911.382964999997</v>
      </c>
      <c r="P16" s="10">
        <v>306537.34840000002</v>
      </c>
      <c r="Q16" s="10">
        <v>48329.65</v>
      </c>
      <c r="R16" s="10">
        <v>15412194.525</v>
      </c>
      <c r="S16" s="10">
        <v>1642504.35</v>
      </c>
      <c r="T16" s="10">
        <v>4860364.97646295</v>
      </c>
      <c r="U16" s="10">
        <v>5443269.125</v>
      </c>
      <c r="V16" s="10">
        <v>7240624.625</v>
      </c>
      <c r="W16" s="10">
        <v>287780.07199999999</v>
      </c>
      <c r="X16" s="10">
        <v>2485265.73</v>
      </c>
      <c r="Y16" s="10">
        <v>7451.8259029999999</v>
      </c>
      <c r="Z16" s="10">
        <v>281644.64837900002</v>
      </c>
      <c r="AA16" s="10">
        <v>4163493.2015630002</v>
      </c>
      <c r="AB16" s="10">
        <v>206835.549696</v>
      </c>
      <c r="AC16" s="10">
        <v>1506.8789999999999</v>
      </c>
      <c r="AD16" s="10">
        <v>116011.05952</v>
      </c>
      <c r="AE16" s="10">
        <v>4634.8266000000003</v>
      </c>
      <c r="AF16" s="10">
        <v>120575.75</v>
      </c>
      <c r="AG16" s="10">
        <v>326994</v>
      </c>
      <c r="AH16" s="10">
        <v>5848.21</v>
      </c>
      <c r="AI16" s="10">
        <v>59328.941727999998</v>
      </c>
      <c r="AJ16" s="10">
        <v>72579.621849999996</v>
      </c>
      <c r="AK16" s="10">
        <v>7202.1450199999999</v>
      </c>
      <c r="AL16" s="10">
        <v>5063172.1745250002</v>
      </c>
      <c r="AM16" s="10">
        <v>74265</v>
      </c>
      <c r="AN16" s="10">
        <v>583.20000000000005</v>
      </c>
      <c r="AO16" s="10">
        <v>48868.540480000003</v>
      </c>
      <c r="AP16" s="10">
        <v>26192.465184000001</v>
      </c>
      <c r="AQ16" s="10">
        <v>51575.034200000002</v>
      </c>
      <c r="AR16" s="10">
        <v>132552</v>
      </c>
      <c r="AS16" s="10">
        <v>29454</v>
      </c>
      <c r="AT16" s="10">
        <v>182466.42</v>
      </c>
      <c r="AU16" s="10">
        <v>51435.54</v>
      </c>
      <c r="AV16" s="10"/>
      <c r="AW16" s="10">
        <v>224793.56663700001</v>
      </c>
      <c r="AX16" s="10">
        <v>116.736</v>
      </c>
      <c r="AY16" s="10">
        <v>53376</v>
      </c>
      <c r="AZ16" s="10">
        <v>490.03449999999998</v>
      </c>
      <c r="BA16" s="10">
        <v>8573.9750000000004</v>
      </c>
      <c r="BB16" s="10">
        <v>437526.51996499998</v>
      </c>
      <c r="BC16" s="10">
        <v>12263.340647999999</v>
      </c>
      <c r="BD16" s="10">
        <v>34901.836360000001</v>
      </c>
      <c r="BE16" s="10"/>
      <c r="BF16" s="10"/>
      <c r="BG16" s="10">
        <v>8339.76</v>
      </c>
      <c r="BH16" s="10"/>
      <c r="BI16" s="10">
        <v>3122.5859850000002</v>
      </c>
      <c r="BJ16" s="10"/>
      <c r="BK16" s="10"/>
      <c r="BL16" s="10">
        <v>328.01</v>
      </c>
      <c r="BM16" s="10">
        <v>9690</v>
      </c>
      <c r="BN16" s="10"/>
      <c r="BO16" s="10"/>
    </row>
    <row r="17" spans="1:67" x14ac:dyDescent="0.35">
      <c r="A17" s="8">
        <v>46170</v>
      </c>
      <c r="B17" s="9">
        <v>128670909.207614</v>
      </c>
      <c r="C17" s="10">
        <v>12381984.5855438</v>
      </c>
      <c r="D17" s="10">
        <v>17165426.449530002</v>
      </c>
      <c r="E17" s="10">
        <v>875422.62589200004</v>
      </c>
      <c r="F17" s="10">
        <v>20053299.999864999</v>
      </c>
      <c r="G17" s="10">
        <v>1378775.0346175099</v>
      </c>
      <c r="H17" s="10">
        <v>5232232.0959999999</v>
      </c>
      <c r="I17" s="10">
        <v>19180051.648965999</v>
      </c>
      <c r="J17" s="10">
        <v>18788681.0390178</v>
      </c>
      <c r="K17" s="10">
        <v>578189.94479215005</v>
      </c>
      <c r="L17" s="10">
        <v>7616116.8412880003</v>
      </c>
      <c r="M17" s="10">
        <v>779009.99071100005</v>
      </c>
      <c r="N17" s="10">
        <v>1182846.0132200001</v>
      </c>
      <c r="O17" s="10">
        <v>84788.432568999997</v>
      </c>
      <c r="P17" s="10">
        <v>950762.27720000001</v>
      </c>
      <c r="Q17" s="10">
        <v>75043.05</v>
      </c>
      <c r="R17" s="10">
        <v>2818125.05</v>
      </c>
      <c r="S17" s="10">
        <v>6540234</v>
      </c>
      <c r="T17" s="10">
        <v>301910.632293</v>
      </c>
      <c r="U17" s="10">
        <v>340767.37199999997</v>
      </c>
      <c r="V17" s="10">
        <v>78784.855081999995</v>
      </c>
      <c r="W17" s="10">
        <v>1029391.269902</v>
      </c>
      <c r="X17" s="10">
        <v>2042196.0959999999</v>
      </c>
      <c r="Y17" s="10">
        <v>45870.288460000003</v>
      </c>
      <c r="Z17" s="10">
        <v>450451.34308597801</v>
      </c>
      <c r="AA17" s="10">
        <v>3947463.0423340001</v>
      </c>
      <c r="AB17" s="10">
        <v>1091656.3732960001</v>
      </c>
      <c r="AC17" s="10"/>
      <c r="AD17" s="10">
        <v>89103.006659999999</v>
      </c>
      <c r="AE17" s="10">
        <v>5137.1396000000004</v>
      </c>
      <c r="AF17" s="10">
        <v>42636.136129999999</v>
      </c>
      <c r="AG17" s="10">
        <v>1249713.8325</v>
      </c>
      <c r="AH17" s="10">
        <v>11801.1325</v>
      </c>
      <c r="AI17" s="10">
        <v>49503.025869999998</v>
      </c>
      <c r="AJ17" s="10">
        <v>259837.902115</v>
      </c>
      <c r="AK17" s="10">
        <v>23791.324676</v>
      </c>
      <c r="AL17" s="10">
        <v>855369.25</v>
      </c>
      <c r="AM17" s="10">
        <v>107803.18676500001</v>
      </c>
      <c r="AN17" s="10"/>
      <c r="AO17" s="10">
        <v>53138.589354999996</v>
      </c>
      <c r="AP17" s="10">
        <v>59153.662655</v>
      </c>
      <c r="AQ17" s="10">
        <v>3698.16</v>
      </c>
      <c r="AR17" s="10"/>
      <c r="AS17" s="10">
        <v>38288.25</v>
      </c>
      <c r="AT17" s="10">
        <v>185703.52957000001</v>
      </c>
      <c r="AU17" s="10">
        <v>22766</v>
      </c>
      <c r="AV17" s="10"/>
      <c r="AW17" s="10">
        <v>74057.5</v>
      </c>
      <c r="AX17" s="10">
        <v>7750</v>
      </c>
      <c r="AY17" s="10">
        <v>24114.850182416001</v>
      </c>
      <c r="AZ17" s="10"/>
      <c r="BA17" s="10">
        <v>3314.2159999999999</v>
      </c>
      <c r="BB17" s="10">
        <v>124868.9553</v>
      </c>
      <c r="BC17" s="10">
        <v>7180.8454199999996</v>
      </c>
      <c r="BD17" s="10">
        <v>24560.66</v>
      </c>
      <c r="BE17" s="10">
        <v>297747</v>
      </c>
      <c r="BF17" s="10"/>
      <c r="BG17" s="10">
        <v>1445</v>
      </c>
      <c r="BH17" s="10"/>
      <c r="BI17" s="10">
        <v>26004.275000000001</v>
      </c>
      <c r="BJ17" s="10"/>
      <c r="BK17" s="10"/>
      <c r="BL17" s="10">
        <v>2895</v>
      </c>
      <c r="BM17" s="10">
        <v>10046.425649999999</v>
      </c>
      <c r="BN17" s="10"/>
      <c r="BO17" s="10"/>
    </row>
    <row r="18" spans="1:67" x14ac:dyDescent="0.35">
      <c r="A18" s="8">
        <v>46169</v>
      </c>
      <c r="B18" s="9">
        <v>130489394.68632901</v>
      </c>
      <c r="C18" s="10">
        <v>8830787.4512920007</v>
      </c>
      <c r="D18" s="10">
        <v>25153713.9815735</v>
      </c>
      <c r="E18" s="10">
        <v>13230653.433148</v>
      </c>
      <c r="F18" s="10">
        <v>17321061.738952</v>
      </c>
      <c r="G18" s="10">
        <v>1015067.4198039999</v>
      </c>
      <c r="H18" s="10">
        <v>3033926.1298000002</v>
      </c>
      <c r="I18" s="10">
        <v>13008291.916866001</v>
      </c>
      <c r="J18" s="10">
        <v>10946041.014</v>
      </c>
      <c r="K18" s="10">
        <v>5155721.0658695502</v>
      </c>
      <c r="L18" s="10">
        <v>6502513.1412586998</v>
      </c>
      <c r="M18" s="10">
        <v>67322.705790000007</v>
      </c>
      <c r="N18" s="10">
        <v>1263575.526082</v>
      </c>
      <c r="O18" s="10">
        <v>333305.94625799998</v>
      </c>
      <c r="P18" s="10">
        <v>2692178.3859999999</v>
      </c>
      <c r="Q18" s="10">
        <v>119507.052778</v>
      </c>
      <c r="R18" s="10">
        <v>4002900.4173150002</v>
      </c>
      <c r="S18" s="10">
        <v>4031172</v>
      </c>
      <c r="T18" s="10">
        <v>238760.439751</v>
      </c>
      <c r="U18" s="10">
        <v>289553.99400000001</v>
      </c>
      <c r="V18" s="10">
        <v>2010324.49184</v>
      </c>
      <c r="W18" s="10">
        <v>1736155.66</v>
      </c>
      <c r="X18" s="10">
        <v>1581456</v>
      </c>
      <c r="Y18" s="10">
        <v>1028703.66346</v>
      </c>
      <c r="Z18" s="10">
        <v>291986.02862400003</v>
      </c>
      <c r="AA18" s="10">
        <v>3834578.3757310002</v>
      </c>
      <c r="AB18" s="10">
        <v>11031.262000000001</v>
      </c>
      <c r="AC18" s="10">
        <v>249.125</v>
      </c>
      <c r="AD18" s="10">
        <v>40554</v>
      </c>
      <c r="AE18" s="10">
        <v>2091.6999999999998</v>
      </c>
      <c r="AF18" s="10">
        <v>2702.6932499999998</v>
      </c>
      <c r="AG18" s="10">
        <v>1526074.0004400001</v>
      </c>
      <c r="AH18" s="10">
        <v>13008.372499999999</v>
      </c>
      <c r="AI18" s="10">
        <v>25521.005044000001</v>
      </c>
      <c r="AJ18" s="10">
        <v>121368.348</v>
      </c>
      <c r="AK18" s="10">
        <v>6180.3649999999998</v>
      </c>
      <c r="AL18" s="10"/>
      <c r="AM18" s="10">
        <v>68011</v>
      </c>
      <c r="AN18" s="10">
        <v>90.495549999999994</v>
      </c>
      <c r="AO18" s="10">
        <v>5019.4652249999999</v>
      </c>
      <c r="AP18" s="10">
        <v>21566.933962999999</v>
      </c>
      <c r="AQ18" s="10"/>
      <c r="AR18" s="10">
        <v>58914</v>
      </c>
      <c r="AS18" s="10">
        <v>7480</v>
      </c>
      <c r="AT18" s="10">
        <v>188314.426675</v>
      </c>
      <c r="AU18" s="10">
        <v>898.89</v>
      </c>
      <c r="AV18" s="10"/>
      <c r="AW18" s="10"/>
      <c r="AX18" s="10">
        <v>101395.66499999999</v>
      </c>
      <c r="AY18" s="10">
        <v>44583</v>
      </c>
      <c r="AZ18" s="10">
        <v>415121.01293000003</v>
      </c>
      <c r="BA18" s="10">
        <v>36340.384879999998</v>
      </c>
      <c r="BB18" s="10"/>
      <c r="BC18" s="10">
        <v>16838.095420000001</v>
      </c>
      <c r="BD18" s="10">
        <v>45252.059435000003</v>
      </c>
      <c r="BE18" s="10"/>
      <c r="BF18" s="10">
        <v>1284.5999999999999</v>
      </c>
      <c r="BG18" s="10">
        <v>1334.2780700000001</v>
      </c>
      <c r="BH18" s="10">
        <v>930</v>
      </c>
      <c r="BI18" s="10">
        <v>1390.008104</v>
      </c>
      <c r="BJ18" s="10"/>
      <c r="BK18" s="10">
        <v>5533</v>
      </c>
      <c r="BL18" s="10">
        <v>1008.994</v>
      </c>
      <c r="BM18" s="10">
        <v>49.525649999999999</v>
      </c>
      <c r="BN18" s="10"/>
      <c r="BO18" s="10"/>
    </row>
    <row r="19" spans="1:67" x14ac:dyDescent="0.35">
      <c r="A19" s="8">
        <v>46168</v>
      </c>
      <c r="B19" s="9">
        <v>89373364.232279003</v>
      </c>
      <c r="C19" s="10">
        <v>6077152.5882510003</v>
      </c>
      <c r="D19" s="10">
        <v>7466835.8250050005</v>
      </c>
      <c r="E19" s="10">
        <v>13522258.563558999</v>
      </c>
      <c r="F19" s="10">
        <v>9705775.4159960002</v>
      </c>
      <c r="G19" s="10">
        <v>1117469.8803089799</v>
      </c>
      <c r="H19" s="10">
        <v>212897.214824</v>
      </c>
      <c r="I19" s="10">
        <v>10116993</v>
      </c>
      <c r="J19" s="10">
        <v>9524962.7786640003</v>
      </c>
      <c r="K19" s="10">
        <v>2189609.999173</v>
      </c>
      <c r="L19" s="10">
        <v>5017059.2120820004</v>
      </c>
      <c r="M19" s="10">
        <v>452278.13480975002</v>
      </c>
      <c r="N19" s="10">
        <v>537763.05464999995</v>
      </c>
      <c r="O19" s="10">
        <v>53568.960359999997</v>
      </c>
      <c r="P19" s="10">
        <v>2163973.762875</v>
      </c>
      <c r="Q19" s="10">
        <v>117091.0996</v>
      </c>
      <c r="R19" s="10">
        <v>4504974.1093570003</v>
      </c>
      <c r="S19" s="10">
        <v>5101398</v>
      </c>
      <c r="T19" s="10">
        <v>204140.912619952</v>
      </c>
      <c r="U19" s="10">
        <v>128698.98699999999</v>
      </c>
      <c r="V19" s="10">
        <v>1713696.642583</v>
      </c>
      <c r="W19" s="10">
        <v>1674522.86188</v>
      </c>
      <c r="X19" s="10">
        <v>2290576.740737</v>
      </c>
      <c r="Y19" s="10">
        <v>13856</v>
      </c>
      <c r="Z19" s="10">
        <v>308101.75663600001</v>
      </c>
      <c r="AA19" s="10">
        <v>371773.5</v>
      </c>
      <c r="AB19" s="10">
        <v>3658.125</v>
      </c>
      <c r="AC19" s="10">
        <v>14414.8792085</v>
      </c>
      <c r="AD19" s="10">
        <v>44954.135029999998</v>
      </c>
      <c r="AE19" s="10">
        <v>4261.53</v>
      </c>
      <c r="AF19" s="10">
        <v>10132.5</v>
      </c>
      <c r="AG19" s="10">
        <v>1248606.0003599999</v>
      </c>
      <c r="AH19" s="10">
        <v>72492.443570000003</v>
      </c>
      <c r="AI19" s="10">
        <v>56047.958299999998</v>
      </c>
      <c r="AJ19" s="10">
        <v>1169081.001076</v>
      </c>
      <c r="AK19" s="10">
        <v>1493.21</v>
      </c>
      <c r="AL19" s="10">
        <v>63881</v>
      </c>
      <c r="AM19" s="10">
        <v>123863.15184614999</v>
      </c>
      <c r="AN19" s="10">
        <v>7988.27207</v>
      </c>
      <c r="AO19" s="10">
        <v>11140.202685</v>
      </c>
      <c r="AP19" s="10">
        <v>1447.5</v>
      </c>
      <c r="AQ19" s="10">
        <v>24619.783599999999</v>
      </c>
      <c r="AR19" s="10">
        <v>23814.240000000002</v>
      </c>
      <c r="AS19" s="10">
        <v>22640.1908</v>
      </c>
      <c r="AT19" s="10">
        <v>578779.91704700002</v>
      </c>
      <c r="AU19" s="10">
        <v>78676.654200000004</v>
      </c>
      <c r="AV19" s="10"/>
      <c r="AW19" s="10">
        <v>1210.0326027000001</v>
      </c>
      <c r="AX19" s="10">
        <v>471400</v>
      </c>
      <c r="AY19" s="10">
        <v>45622.584000000003</v>
      </c>
      <c r="AZ19" s="10">
        <v>36495.255429999997</v>
      </c>
      <c r="BA19" s="10">
        <v>25449.1</v>
      </c>
      <c r="BB19" s="10">
        <v>97045</v>
      </c>
      <c r="BC19" s="10">
        <v>899.6</v>
      </c>
      <c r="BD19" s="10">
        <v>25249.62989</v>
      </c>
      <c r="BE19" s="10"/>
      <c r="BF19" s="10">
        <v>497645.020693</v>
      </c>
      <c r="BG19" s="10">
        <v>1750.3039000000001</v>
      </c>
      <c r="BH19" s="10"/>
      <c r="BI19" s="10">
        <v>1930</v>
      </c>
      <c r="BJ19" s="10"/>
      <c r="BK19" s="10">
        <v>4578.6000000000004</v>
      </c>
      <c r="BL19" s="10">
        <v>3223.01</v>
      </c>
      <c r="BM19" s="10">
        <v>11444.4</v>
      </c>
      <c r="BN19" s="10"/>
      <c r="BO19" s="10"/>
    </row>
    <row r="20" spans="1:67" x14ac:dyDescent="0.35">
      <c r="A20" s="8">
        <v>46167</v>
      </c>
      <c r="B20" s="9">
        <v>30699251.941656999</v>
      </c>
      <c r="C20" s="10">
        <v>8197966.5862459997</v>
      </c>
      <c r="D20" s="10">
        <v>4843136.0044045001</v>
      </c>
      <c r="E20" s="10">
        <v>3874445.823963</v>
      </c>
      <c r="F20" s="10">
        <v>5799298.0535490001</v>
      </c>
      <c r="G20" s="10">
        <v>305699.39472753397</v>
      </c>
      <c r="H20" s="10">
        <v>4879426.0813279999</v>
      </c>
      <c r="I20" s="10"/>
      <c r="J20" s="10"/>
      <c r="K20" s="10">
        <v>2179002.1722499998</v>
      </c>
      <c r="L20" s="10">
        <v>35675.469749999997</v>
      </c>
      <c r="M20" s="10">
        <v>36003.168228000002</v>
      </c>
      <c r="N20" s="10"/>
      <c r="O20" s="10">
        <v>168403.86921100001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>
        <v>37560</v>
      </c>
      <c r="AC20" s="10"/>
      <c r="AD20" s="10"/>
      <c r="AE20" s="10"/>
      <c r="AF20" s="10"/>
      <c r="AG20" s="10"/>
      <c r="AH20" s="10">
        <v>50927.030500000001</v>
      </c>
      <c r="AI20" s="10">
        <v>69198.601339999994</v>
      </c>
      <c r="AJ20" s="10"/>
      <c r="AK20" s="10"/>
      <c r="AL20" s="10"/>
      <c r="AM20" s="10"/>
      <c r="AN20" s="10"/>
      <c r="AO20" s="10"/>
      <c r="AP20" s="10"/>
      <c r="AQ20" s="10">
        <v>25375.95</v>
      </c>
      <c r="AR20" s="10">
        <v>58914</v>
      </c>
      <c r="AS20" s="10">
        <v>25180</v>
      </c>
      <c r="AT20" s="10"/>
      <c r="AU20" s="10"/>
      <c r="AV20" s="10"/>
      <c r="AW20" s="10"/>
      <c r="AX20" s="10"/>
      <c r="AY20" s="10">
        <v>111713.19216000001</v>
      </c>
      <c r="AZ20" s="10"/>
      <c r="BA20" s="10"/>
      <c r="BB20" s="10"/>
      <c r="BC20" s="10">
        <v>1326.5440000000001</v>
      </c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</row>
    <row r="21" spans="1:67" x14ac:dyDescent="0.35">
      <c r="A21" s="8">
        <v>46166</v>
      </c>
      <c r="B21" s="9">
        <v>2765356.5636899602</v>
      </c>
      <c r="C21" s="10">
        <v>332174.74619999999</v>
      </c>
      <c r="D21" s="10">
        <v>170821.52465000001</v>
      </c>
      <c r="E21" s="10">
        <v>204769.37791000001</v>
      </c>
      <c r="F21" s="10"/>
      <c r="G21" s="10">
        <v>258057.94072000001</v>
      </c>
      <c r="H21" s="10">
        <v>334068.07627999998</v>
      </c>
      <c r="I21" s="10"/>
      <c r="J21" s="10"/>
      <c r="K21" s="10">
        <v>1072770</v>
      </c>
      <c r="L21" s="10">
        <v>11786.198257738701</v>
      </c>
      <c r="M21" s="10">
        <v>16884.36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>
        <v>2494.39714</v>
      </c>
      <c r="AJ21" s="10"/>
      <c r="AK21" s="10"/>
      <c r="AL21" s="10"/>
      <c r="AM21" s="10"/>
      <c r="AN21" s="10"/>
      <c r="AO21" s="10"/>
      <c r="AP21" s="10"/>
      <c r="AQ21" s="10">
        <v>11549.299732220001</v>
      </c>
      <c r="AR21" s="10">
        <v>349980.64279999997</v>
      </c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</row>
    <row r="22" spans="1:67" x14ac:dyDescent="0.35">
      <c r="A22" s="8">
        <v>46164</v>
      </c>
      <c r="B22" s="9">
        <v>76624993.921203002</v>
      </c>
      <c r="C22" s="10">
        <v>818752.72879199998</v>
      </c>
      <c r="D22" s="10">
        <v>8779927.2673160005</v>
      </c>
      <c r="E22" s="10">
        <v>863431.45478983095</v>
      </c>
      <c r="F22" s="10">
        <v>581988.48422800004</v>
      </c>
      <c r="G22" s="10">
        <v>773304.91355167504</v>
      </c>
      <c r="H22" s="10">
        <v>2254304.1822000002</v>
      </c>
      <c r="I22" s="10">
        <v>18990160</v>
      </c>
      <c r="J22" s="10">
        <v>15145134.33804</v>
      </c>
      <c r="K22" s="10">
        <v>2001574.5218150001</v>
      </c>
      <c r="L22" s="10">
        <v>37219.248323</v>
      </c>
      <c r="M22" s="10">
        <v>912809.54093899997</v>
      </c>
      <c r="N22" s="10">
        <v>2173627.3513110001</v>
      </c>
      <c r="O22" s="10">
        <v>14299819.101123</v>
      </c>
      <c r="P22" s="10">
        <v>228669.16132399999</v>
      </c>
      <c r="Q22" s="10">
        <v>15779.925134999999</v>
      </c>
      <c r="R22" s="10">
        <v>28330.063999999998</v>
      </c>
      <c r="S22" s="10">
        <v>2498061.9</v>
      </c>
      <c r="T22" s="10">
        <v>17658.6066426</v>
      </c>
      <c r="U22" s="10">
        <v>9432.75</v>
      </c>
      <c r="V22" s="10">
        <v>210540</v>
      </c>
      <c r="W22" s="10">
        <v>1326132.5</v>
      </c>
      <c r="X22" s="10">
        <v>110479.94500000001</v>
      </c>
      <c r="Y22" s="10">
        <v>2480.5</v>
      </c>
      <c r="Z22" s="10">
        <v>1394178.7046646399</v>
      </c>
      <c r="AA22" s="10">
        <v>103156.5</v>
      </c>
      <c r="AB22" s="10"/>
      <c r="AC22" s="10">
        <v>1357.53</v>
      </c>
      <c r="AD22" s="10">
        <v>1900</v>
      </c>
      <c r="AE22" s="10">
        <v>1016.43</v>
      </c>
      <c r="AF22" s="10">
        <v>965</v>
      </c>
      <c r="AG22" s="10">
        <v>832684.46860799997</v>
      </c>
      <c r="AH22" s="10">
        <v>65468.578000000001</v>
      </c>
      <c r="AI22" s="10">
        <v>5603.1711999999998</v>
      </c>
      <c r="AJ22" s="10">
        <v>35333.895301395998</v>
      </c>
      <c r="AK22" s="10">
        <v>898.89</v>
      </c>
      <c r="AL22" s="10"/>
      <c r="AM22" s="10">
        <v>250259.10877885</v>
      </c>
      <c r="AN22" s="10">
        <v>501252.296225</v>
      </c>
      <c r="AO22" s="10">
        <v>10861.992555999999</v>
      </c>
      <c r="AP22" s="10">
        <v>28664.78</v>
      </c>
      <c r="AQ22" s="10">
        <v>6527.2811700000002</v>
      </c>
      <c r="AR22" s="10"/>
      <c r="AS22" s="10">
        <v>9680</v>
      </c>
      <c r="AT22" s="10">
        <v>1900</v>
      </c>
      <c r="AU22" s="10">
        <v>2850</v>
      </c>
      <c r="AV22" s="10"/>
      <c r="AW22" s="10"/>
      <c r="AX22" s="10">
        <v>471400</v>
      </c>
      <c r="AY22" s="10">
        <v>7974</v>
      </c>
      <c r="AZ22" s="10">
        <v>409169.125</v>
      </c>
      <c r="BA22" s="10">
        <v>15951.2</v>
      </c>
      <c r="BB22" s="10">
        <v>39842.5</v>
      </c>
      <c r="BC22" s="10">
        <v>41303.435168999997</v>
      </c>
      <c r="BD22" s="10">
        <v>300801.05</v>
      </c>
      <c r="BE22" s="10"/>
      <c r="BF22" s="10">
        <v>998</v>
      </c>
      <c r="BG22" s="10">
        <v>965</v>
      </c>
      <c r="BH22" s="10"/>
      <c r="BI22" s="10">
        <v>1447.5</v>
      </c>
      <c r="BJ22" s="10"/>
      <c r="BK22" s="10"/>
      <c r="BL22" s="10">
        <v>965</v>
      </c>
      <c r="BM22" s="10"/>
      <c r="BN22" s="10"/>
      <c r="BO22" s="10"/>
    </row>
    <row r="23" spans="1:67" x14ac:dyDescent="0.35">
      <c r="A23" s="8">
        <v>46163</v>
      </c>
      <c r="B23" s="9">
        <v>244110396.989245</v>
      </c>
      <c r="C23" s="10">
        <v>2494101.3855111999</v>
      </c>
      <c r="D23" s="10">
        <v>77174355.346434996</v>
      </c>
      <c r="E23" s="10">
        <v>73006063.171170101</v>
      </c>
      <c r="F23" s="10">
        <v>2498962.7437749999</v>
      </c>
      <c r="G23" s="10">
        <v>1317648.8141385</v>
      </c>
      <c r="H23" s="10">
        <v>929329.72435200005</v>
      </c>
      <c r="I23" s="10">
        <v>40029532.5</v>
      </c>
      <c r="J23" s="10">
        <v>4709357.7798600001</v>
      </c>
      <c r="K23" s="10">
        <v>41783.229160000003</v>
      </c>
      <c r="L23" s="10">
        <v>9969871.2636102997</v>
      </c>
      <c r="M23" s="10">
        <v>459066.95881049999</v>
      </c>
      <c r="N23" s="10">
        <v>558183.35681400006</v>
      </c>
      <c r="O23" s="10">
        <v>14292875.491583999</v>
      </c>
      <c r="P23" s="10">
        <v>733053.42598000006</v>
      </c>
      <c r="Q23" s="10">
        <v>227818.41631199999</v>
      </c>
      <c r="R23" s="10">
        <v>32435.911217688299</v>
      </c>
      <c r="S23" s="10">
        <v>1914510</v>
      </c>
      <c r="T23" s="10">
        <v>5043205.1861199997</v>
      </c>
      <c r="U23" s="10">
        <v>209176.27</v>
      </c>
      <c r="V23" s="10">
        <v>313899.85334199999</v>
      </c>
      <c r="W23" s="10">
        <v>2222915</v>
      </c>
      <c r="X23" s="10">
        <v>184428.69998500001</v>
      </c>
      <c r="Y23" s="10"/>
      <c r="Z23" s="10">
        <v>710326.81328255497</v>
      </c>
      <c r="AA23" s="10">
        <v>59522.5</v>
      </c>
      <c r="AB23" s="10">
        <v>4840</v>
      </c>
      <c r="AC23" s="10">
        <v>1058.28</v>
      </c>
      <c r="AD23" s="10">
        <v>174518.24583</v>
      </c>
      <c r="AE23" s="10">
        <v>1516.58</v>
      </c>
      <c r="AF23" s="10"/>
      <c r="AG23" s="10">
        <v>555799.06852800003</v>
      </c>
      <c r="AH23" s="10">
        <v>28446.978599999999</v>
      </c>
      <c r="AI23" s="10">
        <v>38625.135199999997</v>
      </c>
      <c r="AJ23" s="10">
        <v>61102.155222000001</v>
      </c>
      <c r="AK23" s="10">
        <v>694917.62520000001</v>
      </c>
      <c r="AL23" s="10">
        <v>195996</v>
      </c>
      <c r="AM23" s="10">
        <v>308237.22141</v>
      </c>
      <c r="AN23" s="10">
        <v>291.3</v>
      </c>
      <c r="AO23" s="10">
        <v>35856.794809999999</v>
      </c>
      <c r="AP23" s="10">
        <v>975</v>
      </c>
      <c r="AQ23" s="10">
        <v>61361.886120000003</v>
      </c>
      <c r="AR23" s="10">
        <v>242003.3217</v>
      </c>
      <c r="AS23" s="10">
        <v>7393.0888000000004</v>
      </c>
      <c r="AT23" s="10">
        <v>56545.741520000003</v>
      </c>
      <c r="AU23" s="10">
        <v>85791.15</v>
      </c>
      <c r="AV23" s="10"/>
      <c r="AW23" s="10"/>
      <c r="AX23" s="10">
        <v>462009.1</v>
      </c>
      <c r="AY23" s="10">
        <v>15948</v>
      </c>
      <c r="AZ23" s="10">
        <v>394217.1</v>
      </c>
      <c r="BA23" s="10">
        <v>62855.84822</v>
      </c>
      <c r="BB23" s="10">
        <v>22950.81827</v>
      </c>
      <c r="BC23" s="10">
        <v>34845.078330999997</v>
      </c>
      <c r="BD23" s="10">
        <v>2344</v>
      </c>
      <c r="BE23" s="10">
        <v>416841.00003</v>
      </c>
      <c r="BF23" s="10">
        <v>997645.62199999997</v>
      </c>
      <c r="BG23" s="10">
        <v>2221</v>
      </c>
      <c r="BH23" s="10"/>
      <c r="BI23" s="10">
        <v>392.008104</v>
      </c>
      <c r="BJ23" s="10"/>
      <c r="BK23" s="10">
        <v>9896</v>
      </c>
      <c r="BL23" s="10">
        <v>482.5</v>
      </c>
      <c r="BM23" s="10">
        <v>49.499890000000001</v>
      </c>
      <c r="BN23" s="10"/>
      <c r="BO23" s="10"/>
    </row>
    <row r="24" spans="1:67" x14ac:dyDescent="0.35">
      <c r="A24" s="8">
        <v>46162</v>
      </c>
      <c r="B24" s="9">
        <v>247046778.48135799</v>
      </c>
      <c r="C24" s="10">
        <v>1600177.1680238</v>
      </c>
      <c r="D24" s="10">
        <v>88763244.567587003</v>
      </c>
      <c r="E24" s="10">
        <v>38318712.857684001</v>
      </c>
      <c r="F24" s="10">
        <v>6501785.0388120003</v>
      </c>
      <c r="G24" s="10">
        <v>22762583.909251001</v>
      </c>
      <c r="H24" s="10">
        <v>1497892.9632000001</v>
      </c>
      <c r="I24" s="10">
        <v>29056460</v>
      </c>
      <c r="J24" s="10">
        <v>10288117.821343999</v>
      </c>
      <c r="K24" s="10">
        <v>131134.95892500001</v>
      </c>
      <c r="L24" s="10">
        <v>4076016.9201190001</v>
      </c>
      <c r="M24" s="10">
        <v>1738619.0682305</v>
      </c>
      <c r="N24" s="10">
        <v>12243495.4519812</v>
      </c>
      <c r="O24" s="10">
        <v>118724.54556499999</v>
      </c>
      <c r="P24" s="10">
        <v>2950897.3536720001</v>
      </c>
      <c r="Q24" s="10">
        <v>283280.85803900001</v>
      </c>
      <c r="R24" s="10">
        <v>6946971.1241650004</v>
      </c>
      <c r="S24" s="10">
        <v>1474829.43</v>
      </c>
      <c r="T24" s="10">
        <v>6129428.103135</v>
      </c>
      <c r="U24" s="10">
        <v>4695884.1164469998</v>
      </c>
      <c r="V24" s="10">
        <v>17183.110671999999</v>
      </c>
      <c r="W24" s="10">
        <v>2354211.6170000001</v>
      </c>
      <c r="X24" s="10">
        <v>33299.694345000004</v>
      </c>
      <c r="Y24" s="10">
        <v>5865.25</v>
      </c>
      <c r="Z24" s="10">
        <v>347680.661884</v>
      </c>
      <c r="AA24" s="10"/>
      <c r="AB24" s="10">
        <v>4840</v>
      </c>
      <c r="AC24" s="10">
        <v>13250.558376000001</v>
      </c>
      <c r="AD24" s="10">
        <v>180917.47683</v>
      </c>
      <c r="AE24" s="10">
        <v>19353.189999999999</v>
      </c>
      <c r="AF24" s="10"/>
      <c r="AG24" s="10">
        <v>419123.13011999999</v>
      </c>
      <c r="AH24" s="10">
        <v>35843.203099999999</v>
      </c>
      <c r="AI24" s="10">
        <v>813987.95</v>
      </c>
      <c r="AJ24" s="10">
        <v>3440.14</v>
      </c>
      <c r="AK24" s="10">
        <v>1418.748</v>
      </c>
      <c r="AL24" s="10"/>
      <c r="AM24" s="10">
        <v>1172452.9217050001</v>
      </c>
      <c r="AN24" s="10">
        <v>1004.796225</v>
      </c>
      <c r="AO24" s="10">
        <v>3126.55</v>
      </c>
      <c r="AP24" s="10">
        <v>414645</v>
      </c>
      <c r="AQ24" s="10">
        <v>546071.55258199002</v>
      </c>
      <c r="AR24" s="10"/>
      <c r="AS24" s="10">
        <v>4938.7</v>
      </c>
      <c r="AT24" s="10">
        <v>25984</v>
      </c>
      <c r="AU24" s="10">
        <v>440652.50400000002</v>
      </c>
      <c r="AV24" s="10"/>
      <c r="AW24" s="10"/>
      <c r="AX24" s="10"/>
      <c r="AY24" s="10">
        <v>77514.053811999998</v>
      </c>
      <c r="AZ24" s="10">
        <v>394912.35</v>
      </c>
      <c r="BA24" s="10">
        <v>299.43</v>
      </c>
      <c r="BB24" s="10">
        <v>1178.5463</v>
      </c>
      <c r="BC24" s="10">
        <v>86721.620590000006</v>
      </c>
      <c r="BD24" s="10">
        <v>4688</v>
      </c>
      <c r="BE24" s="10">
        <v>499.65</v>
      </c>
      <c r="BF24" s="10">
        <v>812.800656</v>
      </c>
      <c r="BG24" s="10"/>
      <c r="BH24" s="10"/>
      <c r="BI24" s="10"/>
      <c r="BJ24" s="10"/>
      <c r="BK24" s="10">
        <v>41591.019440119999</v>
      </c>
      <c r="BL24" s="10">
        <v>1013.99954</v>
      </c>
      <c r="BM24" s="10"/>
      <c r="BN24" s="10"/>
      <c r="BO24" s="10"/>
    </row>
    <row r="25" spans="1:67" x14ac:dyDescent="0.35">
      <c r="A25" s="8">
        <v>46161</v>
      </c>
      <c r="B25" s="9">
        <v>170105353.41798201</v>
      </c>
      <c r="C25" s="10">
        <v>3875923.7895749998</v>
      </c>
      <c r="D25" s="10">
        <v>2956355.9756800001</v>
      </c>
      <c r="E25" s="10">
        <v>38688108.434275001</v>
      </c>
      <c r="F25" s="10">
        <v>1569097.1534559999</v>
      </c>
      <c r="G25" s="10">
        <v>23398797.228464998</v>
      </c>
      <c r="H25" s="10">
        <v>188088.78709999999</v>
      </c>
      <c r="I25" s="10">
        <v>15212589.25</v>
      </c>
      <c r="J25" s="10">
        <v>4895848.4200799996</v>
      </c>
      <c r="K25" s="10">
        <v>73726.266000000003</v>
      </c>
      <c r="L25" s="10">
        <v>5223884.6748360004</v>
      </c>
      <c r="M25" s="10">
        <v>2351169.76224072</v>
      </c>
      <c r="N25" s="10">
        <v>30887359.351316299</v>
      </c>
      <c r="O25" s="10">
        <v>412367.53605260001</v>
      </c>
      <c r="P25" s="10">
        <v>1416447.2128000001</v>
      </c>
      <c r="Q25" s="10">
        <v>258331.24330999999</v>
      </c>
      <c r="R25" s="10">
        <v>10014832.650815999</v>
      </c>
      <c r="S25" s="10">
        <v>3852804</v>
      </c>
      <c r="T25" s="10">
        <v>82730.061149999994</v>
      </c>
      <c r="U25" s="10">
        <v>6037000.0783000002</v>
      </c>
      <c r="V25" s="10">
        <v>234436.94954999999</v>
      </c>
      <c r="W25" s="10">
        <v>948502.85</v>
      </c>
      <c r="X25" s="10">
        <v>416202.00011999998</v>
      </c>
      <c r="Y25" s="10">
        <v>6164</v>
      </c>
      <c r="Z25" s="10">
        <v>472925.80594594497</v>
      </c>
      <c r="AA25" s="10">
        <v>14218</v>
      </c>
      <c r="AB25" s="10"/>
      <c r="AC25" s="10">
        <v>11108136.218251999</v>
      </c>
      <c r="AD25" s="10">
        <v>536255.53107999999</v>
      </c>
      <c r="AE25" s="10">
        <v>46044.555</v>
      </c>
      <c r="AF25" s="10">
        <v>2412.5</v>
      </c>
      <c r="AG25" s="10">
        <v>2765310.6</v>
      </c>
      <c r="AH25" s="10">
        <v>19565.132600000001</v>
      </c>
      <c r="AI25" s="10">
        <v>802396.91500000004</v>
      </c>
      <c r="AJ25" s="10">
        <v>177334.3373474</v>
      </c>
      <c r="AK25" s="10">
        <v>3866.65</v>
      </c>
      <c r="AL25" s="10"/>
      <c r="AM25" s="10">
        <v>382113.121638602</v>
      </c>
      <c r="AN25" s="10">
        <v>380.91899999999998</v>
      </c>
      <c r="AO25" s="10">
        <v>15407.928228999999</v>
      </c>
      <c r="AP25" s="10">
        <v>1930</v>
      </c>
      <c r="AQ25" s="10">
        <v>450123.44234499999</v>
      </c>
      <c r="AR25" s="10">
        <v>6604</v>
      </c>
      <c r="AS25" s="10">
        <v>124714.2072</v>
      </c>
      <c r="AT25" s="10">
        <v>13300</v>
      </c>
      <c r="AU25" s="10">
        <v>10551.45</v>
      </c>
      <c r="AV25" s="10"/>
      <c r="AW25" s="10">
        <v>14600.6875</v>
      </c>
      <c r="AX25" s="10">
        <v>6935.2950199999996</v>
      </c>
      <c r="AY25" s="10">
        <v>17344.760399999999</v>
      </c>
      <c r="AZ25" s="10">
        <v>3929.7073399999999</v>
      </c>
      <c r="BA25" s="10">
        <v>3377.5</v>
      </c>
      <c r="BB25" s="10">
        <v>13110.75</v>
      </c>
      <c r="BC25" s="10">
        <v>26967.710193999999</v>
      </c>
      <c r="BD25" s="10">
        <v>26886</v>
      </c>
      <c r="BE25" s="10"/>
      <c r="BF25" s="10">
        <v>17623.098488</v>
      </c>
      <c r="BG25" s="10">
        <v>1790.9425000000001</v>
      </c>
      <c r="BH25" s="10">
        <v>1836.95625</v>
      </c>
      <c r="BI25" s="10">
        <v>482.5</v>
      </c>
      <c r="BJ25" s="10"/>
      <c r="BK25" s="10">
        <v>13646.52163988</v>
      </c>
      <c r="BL25" s="10">
        <v>2412.5</v>
      </c>
      <c r="BM25" s="10">
        <v>49.499890000000001</v>
      </c>
      <c r="BN25" s="10"/>
      <c r="BO25" s="10"/>
    </row>
    <row r="26" spans="1:67" x14ac:dyDescent="0.35">
      <c r="A26" s="8">
        <v>46160</v>
      </c>
      <c r="B26" s="9">
        <v>59642959.431525499</v>
      </c>
      <c r="C26" s="10">
        <v>3767704.8424637499</v>
      </c>
      <c r="D26" s="10">
        <v>1731155.47182764</v>
      </c>
      <c r="E26" s="10">
        <v>1106719.2936780001</v>
      </c>
      <c r="F26" s="10">
        <v>1834663.118393</v>
      </c>
      <c r="G26" s="10">
        <v>947767.131437</v>
      </c>
      <c r="H26" s="10">
        <v>183151.33110000001</v>
      </c>
      <c r="I26" s="10">
        <v>3109263.1969499998</v>
      </c>
      <c r="J26" s="10">
        <v>4011483.12</v>
      </c>
      <c r="K26" s="10">
        <v>21638.463500000002</v>
      </c>
      <c r="L26" s="10">
        <v>1671398.8181429999</v>
      </c>
      <c r="M26" s="10">
        <v>1251735.4670259999</v>
      </c>
      <c r="N26" s="10">
        <v>483068.99917999998</v>
      </c>
      <c r="O26" s="10">
        <v>282171.18309499999</v>
      </c>
      <c r="P26" s="10">
        <v>717443.52165000001</v>
      </c>
      <c r="Q26" s="10">
        <v>33399.800134999998</v>
      </c>
      <c r="R26" s="10">
        <v>5158919.3407619996</v>
      </c>
      <c r="S26" s="10">
        <v>4364159.3099999996</v>
      </c>
      <c r="T26" s="10">
        <v>346980.64720000001</v>
      </c>
      <c r="U26" s="10">
        <v>3024456.820725</v>
      </c>
      <c r="V26" s="10">
        <v>326562.62669</v>
      </c>
      <c r="W26" s="10">
        <v>5636309.2272640001</v>
      </c>
      <c r="X26" s="10">
        <v>843627.30024000001</v>
      </c>
      <c r="Y26" s="10">
        <v>962.89618499999995</v>
      </c>
      <c r="Z26" s="10">
        <v>1045542.021934</v>
      </c>
      <c r="AA26" s="10">
        <v>54990</v>
      </c>
      <c r="AB26" s="10">
        <v>9989.65</v>
      </c>
      <c r="AC26" s="10">
        <v>9530548.3475470003</v>
      </c>
      <c r="AD26" s="10">
        <v>47554.969594000002</v>
      </c>
      <c r="AE26" s="10">
        <v>426046.86839830998</v>
      </c>
      <c r="AF26" s="10">
        <v>69760.774204999994</v>
      </c>
      <c r="AG26" s="10">
        <v>2572510.0005600001</v>
      </c>
      <c r="AH26" s="10">
        <v>234696.54639999999</v>
      </c>
      <c r="AI26" s="10">
        <v>6280.5420484400001</v>
      </c>
      <c r="AJ26" s="10">
        <v>806711.15272899996</v>
      </c>
      <c r="AK26" s="10">
        <v>1066067.041678</v>
      </c>
      <c r="AL26" s="10"/>
      <c r="AM26" s="10">
        <v>469082.61499999999</v>
      </c>
      <c r="AN26" s="10">
        <v>75982.315549999999</v>
      </c>
      <c r="AO26" s="10">
        <v>16700.770176999999</v>
      </c>
      <c r="AP26" s="10">
        <v>158599.25</v>
      </c>
      <c r="AQ26" s="10">
        <v>245854.03592677999</v>
      </c>
      <c r="AR26" s="10"/>
      <c r="AS26" s="10">
        <v>197.4</v>
      </c>
      <c r="AT26" s="10">
        <v>155170.67067799999</v>
      </c>
      <c r="AU26" s="10">
        <v>14724</v>
      </c>
      <c r="AV26" s="10"/>
      <c r="AW26" s="10">
        <v>4740</v>
      </c>
      <c r="AX26" s="10">
        <v>418.64482456000002</v>
      </c>
      <c r="AY26" s="10">
        <v>6151.9344000000001</v>
      </c>
      <c r="AZ26" s="10"/>
      <c r="BA26" s="10">
        <v>592930.34822000004</v>
      </c>
      <c r="BB26" s="10">
        <v>401962.86633599998</v>
      </c>
      <c r="BC26" s="10">
        <v>117791.23766499999</v>
      </c>
      <c r="BD26" s="10">
        <v>24814.5</v>
      </c>
      <c r="BE26" s="10"/>
      <c r="BF26" s="10">
        <v>482044.74220500002</v>
      </c>
      <c r="BG26" s="10">
        <v>49722.5</v>
      </c>
      <c r="BH26" s="10">
        <v>154.06672499999999</v>
      </c>
      <c r="BI26" s="10"/>
      <c r="BJ26" s="10"/>
      <c r="BK26" s="10">
        <v>94188.191080000004</v>
      </c>
      <c r="BL26" s="10">
        <v>3394.5</v>
      </c>
      <c r="BM26" s="10">
        <v>2895</v>
      </c>
      <c r="BN26" s="10"/>
      <c r="BO26" s="10"/>
    </row>
    <row r="27" spans="1:67" x14ac:dyDescent="0.35">
      <c r="A27" s="8">
        <v>46159</v>
      </c>
      <c r="B27" s="9">
        <v>23384117.409559</v>
      </c>
      <c r="C27" s="10">
        <v>86501.878800000006</v>
      </c>
      <c r="D27" s="10">
        <v>99632.394633999997</v>
      </c>
      <c r="E27" s="10">
        <v>19431585.2676</v>
      </c>
      <c r="F27" s="10"/>
      <c r="G27" s="10">
        <v>460218.911578</v>
      </c>
      <c r="H27" s="10"/>
      <c r="I27" s="10"/>
      <c r="J27" s="10"/>
      <c r="K27" s="10">
        <v>1156180</v>
      </c>
      <c r="L27" s="10">
        <v>171051.57125000001</v>
      </c>
      <c r="M27" s="10">
        <v>1969318.753697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>
        <v>1654.6320000000001</v>
      </c>
      <c r="AY27" s="10">
        <v>7974</v>
      </c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</row>
    <row r="28" spans="1:67" x14ac:dyDescent="0.35">
      <c r="A28" s="8">
        <v>46157</v>
      </c>
      <c r="B28" s="9">
        <v>153217936.24406201</v>
      </c>
      <c r="C28" s="10">
        <v>4347351.4432247002</v>
      </c>
      <c r="D28" s="10">
        <v>703185.41654050001</v>
      </c>
      <c r="E28" s="10">
        <v>41465136.388580397</v>
      </c>
      <c r="F28" s="10">
        <v>1220008.9187330001</v>
      </c>
      <c r="G28" s="10">
        <v>11158193.517439</v>
      </c>
      <c r="H28" s="10">
        <v>398607.83974999998</v>
      </c>
      <c r="I28" s="10">
        <v>13160318.564099999</v>
      </c>
      <c r="J28" s="10">
        <v>14533244.79012</v>
      </c>
      <c r="K28" s="10">
        <v>1188877.93961</v>
      </c>
      <c r="L28" s="10">
        <v>2396918.0672067101</v>
      </c>
      <c r="M28" s="10">
        <v>1773894.2161300001</v>
      </c>
      <c r="N28" s="10">
        <v>7570977.6886433996</v>
      </c>
      <c r="O28" s="10">
        <v>1234293.8488469999</v>
      </c>
      <c r="P28" s="10">
        <v>2215376.6</v>
      </c>
      <c r="Q28" s="10">
        <v>212179.10777</v>
      </c>
      <c r="R28" s="10">
        <v>6223355.5999999996</v>
      </c>
      <c r="S28" s="10">
        <v>11640676.23</v>
      </c>
      <c r="T28" s="10">
        <v>51199.1</v>
      </c>
      <c r="U28" s="10">
        <v>1891646</v>
      </c>
      <c r="V28" s="10">
        <v>55967.821049999999</v>
      </c>
      <c r="W28" s="10">
        <v>2577289.0190710002</v>
      </c>
      <c r="X28" s="10">
        <v>1665083.9301849999</v>
      </c>
      <c r="Y28" s="10">
        <v>509243.5</v>
      </c>
      <c r="Z28" s="10">
        <v>1822843.6213750001</v>
      </c>
      <c r="AA28" s="10">
        <v>11492.3</v>
      </c>
      <c r="AB28" s="10">
        <v>14141.38495</v>
      </c>
      <c r="AC28" s="10">
        <v>3316366.6999960002</v>
      </c>
      <c r="AD28" s="10">
        <v>71671.382933999994</v>
      </c>
      <c r="AE28" s="10">
        <v>426343.109</v>
      </c>
      <c r="AF28" s="10">
        <v>11287.5</v>
      </c>
      <c r="AG28" s="10">
        <v>2196253.4305199999</v>
      </c>
      <c r="AH28" s="10">
        <v>15638.240599999999</v>
      </c>
      <c r="AI28" s="10">
        <v>13452.3734</v>
      </c>
      <c r="AJ28" s="10">
        <v>2286309.9138850002</v>
      </c>
      <c r="AK28" s="10">
        <v>458192.70011999999</v>
      </c>
      <c r="AL28" s="10"/>
      <c r="AM28" s="10">
        <v>642371.77989729994</v>
      </c>
      <c r="AN28" s="10">
        <v>8352248.5984960096</v>
      </c>
      <c r="AO28" s="10">
        <v>624556.63699999999</v>
      </c>
      <c r="AP28" s="10">
        <v>24411.404579999999</v>
      </c>
      <c r="AQ28" s="10">
        <v>737077.48391299997</v>
      </c>
      <c r="AR28" s="10"/>
      <c r="AS28" s="10">
        <v>22291.640100000001</v>
      </c>
      <c r="AT28" s="10">
        <v>13355.02931</v>
      </c>
      <c r="AU28" s="10">
        <v>31223.415000000001</v>
      </c>
      <c r="AV28" s="10"/>
      <c r="AW28" s="10">
        <v>21887</v>
      </c>
      <c r="AX28" s="10">
        <v>90828.351498999997</v>
      </c>
      <c r="AY28" s="10">
        <v>75848.124750000003</v>
      </c>
      <c r="AZ28" s="10">
        <v>378628.58025</v>
      </c>
      <c r="BA28" s="10">
        <v>1909651.080729</v>
      </c>
      <c r="BB28" s="10">
        <v>99643.7</v>
      </c>
      <c r="BC28" s="10">
        <v>57366.684589999997</v>
      </c>
      <c r="BD28" s="10">
        <v>83057.694359999994</v>
      </c>
      <c r="BE28" s="10">
        <v>7944.1854549999998</v>
      </c>
      <c r="BF28" s="10">
        <v>4369.5</v>
      </c>
      <c r="BG28" s="10">
        <v>1132995</v>
      </c>
      <c r="BH28" s="10">
        <v>10399.908057000001</v>
      </c>
      <c r="BI28" s="10">
        <v>40850.49</v>
      </c>
      <c r="BJ28" s="10"/>
      <c r="BK28" s="10">
        <v>15470.752865</v>
      </c>
      <c r="BL28" s="10">
        <v>1978.99954</v>
      </c>
      <c r="BM28" s="10">
        <v>2461.9998900000001</v>
      </c>
      <c r="BN28" s="10"/>
      <c r="BO28" s="10"/>
    </row>
    <row r="29" spans="1:67" x14ac:dyDescent="0.35">
      <c r="A29" s="8">
        <v>46156</v>
      </c>
      <c r="B29" s="9">
        <v>192777414.60895699</v>
      </c>
      <c r="C29" s="10">
        <v>9093982.6409939993</v>
      </c>
      <c r="D29" s="10">
        <v>1280201.13790184</v>
      </c>
      <c r="E29" s="10">
        <v>960725.06260646402</v>
      </c>
      <c r="F29" s="10">
        <v>240837.07848299999</v>
      </c>
      <c r="G29" s="10">
        <v>4571246.3086855402</v>
      </c>
      <c r="H29" s="10">
        <v>1822087.345254</v>
      </c>
      <c r="I29" s="10">
        <v>42587997.399999999</v>
      </c>
      <c r="J29" s="10">
        <v>14592619.00024</v>
      </c>
      <c r="K29" s="10">
        <v>71553.259399999995</v>
      </c>
      <c r="L29" s="10">
        <v>927110.61727992003</v>
      </c>
      <c r="M29" s="10">
        <v>5724322.9080455201</v>
      </c>
      <c r="N29" s="10">
        <v>19034442.3700579</v>
      </c>
      <c r="O29" s="10">
        <v>35817955.083520003</v>
      </c>
      <c r="P29" s="10">
        <v>1490767.008925</v>
      </c>
      <c r="Q29" s="10">
        <v>27968.250769999999</v>
      </c>
      <c r="R29" s="10">
        <v>520795.02039999998</v>
      </c>
      <c r="S29" s="10">
        <v>20685115.600000001</v>
      </c>
      <c r="T29" s="10">
        <v>15120.2</v>
      </c>
      <c r="U29" s="10">
        <v>3051317.4</v>
      </c>
      <c r="V29" s="10">
        <v>1030283.22141</v>
      </c>
      <c r="W29" s="10">
        <v>2646319.330631</v>
      </c>
      <c r="X29" s="10">
        <v>2637599.9007600001</v>
      </c>
      <c r="Y29" s="10">
        <v>12391.25</v>
      </c>
      <c r="Z29" s="10">
        <v>400008.60674700001</v>
      </c>
      <c r="AA29" s="10">
        <v>67973.2</v>
      </c>
      <c r="AB29" s="10">
        <v>95728.894116268697</v>
      </c>
      <c r="AC29" s="10">
        <v>12023.1</v>
      </c>
      <c r="AD29" s="10">
        <v>3432.8380000000002</v>
      </c>
      <c r="AE29" s="10">
        <v>5551052.9914990002</v>
      </c>
      <c r="AF29" s="10">
        <v>219393.2009</v>
      </c>
      <c r="AG29" s="10">
        <v>3087794.0005199998</v>
      </c>
      <c r="AH29" s="10">
        <v>49512.619299999998</v>
      </c>
      <c r="AI29" s="10">
        <v>200043.86545000001</v>
      </c>
      <c r="AJ29" s="10">
        <v>672362.70981318306</v>
      </c>
      <c r="AK29" s="10">
        <v>31976.332750000001</v>
      </c>
      <c r="AL29" s="10">
        <v>12341.25</v>
      </c>
      <c r="AM29" s="10">
        <v>2482165.52823789</v>
      </c>
      <c r="AN29" s="10">
        <v>4031090.169882</v>
      </c>
      <c r="AO29" s="10">
        <v>19702.036510000002</v>
      </c>
      <c r="AP29" s="10">
        <v>132769.19750000001</v>
      </c>
      <c r="AQ29" s="10">
        <v>701933.23846000002</v>
      </c>
      <c r="AR29" s="10">
        <v>2022804.5478999999</v>
      </c>
      <c r="AS29" s="10"/>
      <c r="AT29" s="10">
        <v>12576</v>
      </c>
      <c r="AU29" s="10">
        <v>128820.43700000001</v>
      </c>
      <c r="AV29" s="10"/>
      <c r="AW29" s="10">
        <v>370.6875</v>
      </c>
      <c r="AX29" s="10">
        <v>13043.6</v>
      </c>
      <c r="AY29" s="10">
        <v>1800.5686499999999</v>
      </c>
      <c r="AZ29" s="10">
        <v>79.3</v>
      </c>
      <c r="BA29" s="10">
        <v>3262694.7587330001</v>
      </c>
      <c r="BB29" s="10">
        <v>8016.55</v>
      </c>
      <c r="BC29" s="10">
        <v>123618.20689099999</v>
      </c>
      <c r="BD29" s="10">
        <v>4858</v>
      </c>
      <c r="BE29" s="10">
        <v>280892.85464799998</v>
      </c>
      <c r="BF29" s="10"/>
      <c r="BG29" s="10">
        <v>57561.284</v>
      </c>
      <c r="BH29" s="10">
        <v>199.7</v>
      </c>
      <c r="BI29" s="10">
        <v>203492.89</v>
      </c>
      <c r="BJ29" s="10"/>
      <c r="BK29" s="10">
        <v>37699.048584999997</v>
      </c>
      <c r="BL29" s="10">
        <v>1930</v>
      </c>
      <c r="BM29" s="10">
        <v>2895</v>
      </c>
      <c r="BN29" s="10"/>
      <c r="BO29" s="10"/>
    </row>
    <row r="30" spans="1:67" x14ac:dyDescent="0.35">
      <c r="A30" s="8">
        <v>46155</v>
      </c>
      <c r="B30" s="9">
        <v>158113020.73827201</v>
      </c>
      <c r="C30" s="10">
        <v>5024127.4632689999</v>
      </c>
      <c r="D30" s="10">
        <v>497194.90336400003</v>
      </c>
      <c r="E30" s="10">
        <v>1340347.7627485499</v>
      </c>
      <c r="F30" s="10">
        <v>347499.38071900001</v>
      </c>
      <c r="G30" s="10">
        <v>3104558.2507823301</v>
      </c>
      <c r="H30" s="10">
        <v>513266.90279800002</v>
      </c>
      <c r="I30" s="10">
        <v>45594686.600000001</v>
      </c>
      <c r="J30" s="10">
        <v>8436960.0001200009</v>
      </c>
      <c r="K30" s="10">
        <v>19171.698851820001</v>
      </c>
      <c r="L30" s="10">
        <v>605873.47383001004</v>
      </c>
      <c r="M30" s="10">
        <v>346232.75729699997</v>
      </c>
      <c r="N30" s="10">
        <v>1317266.4978038</v>
      </c>
      <c r="O30" s="10">
        <v>46775150.229319997</v>
      </c>
      <c r="P30" s="10">
        <v>2778436.7589250002</v>
      </c>
      <c r="Q30" s="10">
        <v>27917.3</v>
      </c>
      <c r="R30" s="10">
        <v>3340363.348985</v>
      </c>
      <c r="S30" s="10">
        <v>5153755.2</v>
      </c>
      <c r="T30" s="10">
        <v>4125264.2798179998</v>
      </c>
      <c r="U30" s="10">
        <v>2438899.3391999998</v>
      </c>
      <c r="V30" s="10">
        <v>1041907.84389</v>
      </c>
      <c r="W30" s="10">
        <v>1629134.1893</v>
      </c>
      <c r="X30" s="10">
        <v>971138.00028000004</v>
      </c>
      <c r="Y30" s="10">
        <v>9512.4750000000004</v>
      </c>
      <c r="Z30" s="10">
        <v>6673016.2683020597</v>
      </c>
      <c r="AA30" s="10">
        <v>497155.2</v>
      </c>
      <c r="AB30" s="10">
        <v>8595.5403267312704</v>
      </c>
      <c r="AC30" s="10">
        <v>248.875</v>
      </c>
      <c r="AD30" s="10">
        <v>732.68362500000001</v>
      </c>
      <c r="AE30" s="10">
        <v>5613152.7694250001</v>
      </c>
      <c r="AF30" s="10">
        <v>25597.462640000002</v>
      </c>
      <c r="AG30" s="10">
        <v>582678.00011999998</v>
      </c>
      <c r="AH30" s="10">
        <v>149370</v>
      </c>
      <c r="AI30" s="10">
        <v>205729.46515999999</v>
      </c>
      <c r="AJ30" s="10">
        <v>2036982.46021482</v>
      </c>
      <c r="AK30" s="10">
        <v>5278.2192750000004</v>
      </c>
      <c r="AL30" s="10"/>
      <c r="AM30" s="10">
        <v>389831.35956690798</v>
      </c>
      <c r="AN30" s="10">
        <v>3825551.0443739998</v>
      </c>
      <c r="AO30" s="10">
        <v>135135.33239</v>
      </c>
      <c r="AP30" s="10">
        <v>248375</v>
      </c>
      <c r="AQ30" s="10">
        <v>53385.197950000002</v>
      </c>
      <c r="AR30" s="10"/>
      <c r="AS30" s="10">
        <v>985711.27960000001</v>
      </c>
      <c r="AT30" s="10">
        <v>22331.32</v>
      </c>
      <c r="AU30" s="10">
        <v>982033.61850500002</v>
      </c>
      <c r="AV30" s="10"/>
      <c r="AW30" s="10">
        <v>169505.15</v>
      </c>
      <c r="AX30" s="10">
        <v>21691.702416</v>
      </c>
      <c r="AY30" s="10"/>
      <c r="AZ30" s="10">
        <v>5857.9024300000001</v>
      </c>
      <c r="BA30" s="10">
        <v>8313.8160000000007</v>
      </c>
      <c r="BB30" s="10">
        <v>3465.1437500000002</v>
      </c>
      <c r="BC30" s="10">
        <v>7424.2710100000004</v>
      </c>
      <c r="BD30" s="10">
        <v>3377.5</v>
      </c>
      <c r="BE30" s="10"/>
      <c r="BF30" s="10"/>
      <c r="BG30" s="10"/>
      <c r="BH30" s="10"/>
      <c r="BI30" s="10">
        <v>13780</v>
      </c>
      <c r="BJ30" s="10"/>
      <c r="BK30" s="10"/>
      <c r="BL30" s="10"/>
      <c r="BM30" s="10">
        <v>49.499890000000001</v>
      </c>
      <c r="BN30" s="10"/>
      <c r="BO30" s="10"/>
    </row>
    <row r="31" spans="1:67" x14ac:dyDescent="0.35">
      <c r="A31" s="8">
        <v>46154</v>
      </c>
      <c r="B31" s="9">
        <v>130726566.32491399</v>
      </c>
      <c r="C31" s="10">
        <v>5665644.2033175603</v>
      </c>
      <c r="D31" s="10">
        <v>837426.67484200001</v>
      </c>
      <c r="E31" s="10">
        <v>37266470.682202503</v>
      </c>
      <c r="F31" s="10">
        <v>146298.972113</v>
      </c>
      <c r="G31" s="10">
        <v>3019181.0934620001</v>
      </c>
      <c r="H31" s="10">
        <v>538783.39347799995</v>
      </c>
      <c r="I31" s="10">
        <v>7771339.49988</v>
      </c>
      <c r="J31" s="10">
        <v>13722750.721839</v>
      </c>
      <c r="K31" s="10">
        <v>114337.28937</v>
      </c>
      <c r="L31" s="10">
        <v>1422053.851033</v>
      </c>
      <c r="M31" s="10">
        <v>1018521.854021</v>
      </c>
      <c r="N31" s="10">
        <v>1203006.5353758</v>
      </c>
      <c r="O31" s="10">
        <v>6195717.5218574004</v>
      </c>
      <c r="P31" s="10">
        <v>101926.78260000001</v>
      </c>
      <c r="Q31" s="10">
        <v>16100.66</v>
      </c>
      <c r="R31" s="10">
        <v>1918894.3486500001</v>
      </c>
      <c r="S31" s="10">
        <v>8793720</v>
      </c>
      <c r="T31" s="10">
        <v>27153920.496399999</v>
      </c>
      <c r="U31" s="10">
        <v>1260370</v>
      </c>
      <c r="V31" s="10">
        <v>20180.076389999998</v>
      </c>
      <c r="W31" s="10">
        <v>928628.83725999994</v>
      </c>
      <c r="X31" s="10">
        <v>1529337.0059400001</v>
      </c>
      <c r="Y31" s="10">
        <v>2012284.98</v>
      </c>
      <c r="Z31" s="10">
        <v>1125942.0327151399</v>
      </c>
      <c r="AA31" s="10">
        <v>598694</v>
      </c>
      <c r="AB31" s="10"/>
      <c r="AC31" s="10">
        <v>14881.25</v>
      </c>
      <c r="AD31" s="10">
        <v>15872</v>
      </c>
      <c r="AE31" s="10">
        <v>642496.6936</v>
      </c>
      <c r="AF31" s="10">
        <v>800.77239999999995</v>
      </c>
      <c r="AG31" s="10">
        <v>891858.00023999996</v>
      </c>
      <c r="AH31" s="10">
        <v>280210.70589600003</v>
      </c>
      <c r="AI31" s="10">
        <v>27954.931418</v>
      </c>
      <c r="AJ31" s="10">
        <v>1208395.9026269999</v>
      </c>
      <c r="AK31" s="10">
        <v>8234.9759749999994</v>
      </c>
      <c r="AL31" s="10"/>
      <c r="AM31" s="10">
        <v>199708.0450054</v>
      </c>
      <c r="AN31" s="10"/>
      <c r="AO31" s="10">
        <v>99292.649212000004</v>
      </c>
      <c r="AP31" s="10">
        <v>197535.89161799999</v>
      </c>
      <c r="AQ31" s="10">
        <v>386169.11443100002</v>
      </c>
      <c r="AR31" s="10">
        <v>90687.5</v>
      </c>
      <c r="AS31" s="10">
        <v>1058275.5</v>
      </c>
      <c r="AT31" s="10">
        <v>2989</v>
      </c>
      <c r="AU31" s="10">
        <v>894765.13926299999</v>
      </c>
      <c r="AV31" s="10"/>
      <c r="AW31" s="10">
        <v>1332.856395</v>
      </c>
      <c r="AX31" s="10">
        <v>6862.25</v>
      </c>
      <c r="AY31" s="10">
        <v>241.25</v>
      </c>
      <c r="AZ31" s="10">
        <v>5378.0007100000003</v>
      </c>
      <c r="BA31" s="10">
        <v>10007.346722</v>
      </c>
      <c r="BB31" s="10">
        <v>8972</v>
      </c>
      <c r="BC31" s="10">
        <v>181323.50208499999</v>
      </c>
      <c r="BD31" s="10">
        <v>24086.09</v>
      </c>
      <c r="BE31" s="10">
        <v>748.57500000000005</v>
      </c>
      <c r="BF31" s="10"/>
      <c r="BG31" s="10">
        <v>31057.541290000001</v>
      </c>
      <c r="BH31" s="10">
        <v>54701.25</v>
      </c>
      <c r="BI31" s="10"/>
      <c r="BJ31" s="10"/>
      <c r="BK31" s="10">
        <v>196.07828000000001</v>
      </c>
      <c r="BL31" s="10"/>
      <c r="BM31" s="10"/>
      <c r="BN31" s="10"/>
      <c r="BO31" s="10"/>
    </row>
    <row r="32" spans="1:67" x14ac:dyDescent="0.35">
      <c r="A32" s="8">
        <v>46153</v>
      </c>
      <c r="B32" s="9">
        <v>137781443.122556</v>
      </c>
      <c r="C32" s="10">
        <v>6388799.9115070002</v>
      </c>
      <c r="D32" s="10">
        <v>1171490.6936230001</v>
      </c>
      <c r="E32" s="10">
        <v>7402335.0170860002</v>
      </c>
      <c r="F32" s="10">
        <v>987619.83785500005</v>
      </c>
      <c r="G32" s="10">
        <v>1764239.3457269301</v>
      </c>
      <c r="H32" s="10">
        <v>2325834.3843800002</v>
      </c>
      <c r="I32" s="10">
        <v>8760091.8878450003</v>
      </c>
      <c r="J32" s="10">
        <v>9100599.5068389997</v>
      </c>
      <c r="K32" s="10">
        <v>120123.80137299999</v>
      </c>
      <c r="L32" s="10">
        <v>753489.18663661496</v>
      </c>
      <c r="M32" s="10">
        <v>1579996.185088</v>
      </c>
      <c r="N32" s="10">
        <v>22854728.272273999</v>
      </c>
      <c r="O32" s="10">
        <v>27584153.262546301</v>
      </c>
      <c r="P32" s="10">
        <v>1612845.1442219999</v>
      </c>
      <c r="Q32" s="10">
        <v>98.7</v>
      </c>
      <c r="R32" s="10">
        <v>6062999.8550094198</v>
      </c>
      <c r="S32" s="10">
        <v>16624686.86012</v>
      </c>
      <c r="T32" s="10">
        <v>65807.213203000007</v>
      </c>
      <c r="U32" s="10">
        <v>3384278.891946</v>
      </c>
      <c r="V32" s="10">
        <v>1951.4038149999999</v>
      </c>
      <c r="W32" s="10">
        <v>1769073.1323200001</v>
      </c>
      <c r="X32" s="10">
        <v>2927446.8061799998</v>
      </c>
      <c r="Y32" s="10">
        <v>1359142.2413649999</v>
      </c>
      <c r="Z32" s="10">
        <v>1534753.5786965501</v>
      </c>
      <c r="AA32" s="10">
        <v>845929</v>
      </c>
      <c r="AB32" s="10"/>
      <c r="AC32" s="10">
        <v>4899.3520939999999</v>
      </c>
      <c r="AD32" s="10">
        <v>17182.745999999999</v>
      </c>
      <c r="AE32" s="10">
        <v>65.340599999999995</v>
      </c>
      <c r="AF32" s="10">
        <v>93271.499456999998</v>
      </c>
      <c r="AG32" s="10">
        <v>2507172.6331799999</v>
      </c>
      <c r="AH32" s="10">
        <v>136141.71865600001</v>
      </c>
      <c r="AI32" s="10">
        <v>20033.593199999999</v>
      </c>
      <c r="AJ32" s="10">
        <v>4703510.4256189996</v>
      </c>
      <c r="AK32" s="10"/>
      <c r="AL32" s="10"/>
      <c r="AM32" s="10">
        <v>1802278.7212964001</v>
      </c>
      <c r="AN32" s="10"/>
      <c r="AO32" s="10">
        <v>56056.764609999998</v>
      </c>
      <c r="AP32" s="10">
        <v>169881.60250000001</v>
      </c>
      <c r="AQ32" s="10">
        <v>14889.2772</v>
      </c>
      <c r="AR32" s="10">
        <v>38487.5</v>
      </c>
      <c r="AS32" s="10">
        <v>8694.8348249999999</v>
      </c>
      <c r="AT32" s="10">
        <v>233987.33900000001</v>
      </c>
      <c r="AU32" s="10">
        <v>33228.093990000001</v>
      </c>
      <c r="AV32" s="10"/>
      <c r="AW32" s="10">
        <v>20.389700000000001</v>
      </c>
      <c r="AX32" s="10">
        <v>467885.95569999999</v>
      </c>
      <c r="AY32" s="10">
        <v>288065.50657000003</v>
      </c>
      <c r="AZ32" s="10">
        <v>19467.680433000001</v>
      </c>
      <c r="BA32" s="10">
        <v>6888.89</v>
      </c>
      <c r="BB32" s="10"/>
      <c r="BC32" s="10">
        <v>120786.174182</v>
      </c>
      <c r="BD32" s="10">
        <v>4553.6786080000002</v>
      </c>
      <c r="BE32" s="10">
        <v>748.57500000000005</v>
      </c>
      <c r="BF32" s="10"/>
      <c r="BG32" s="10"/>
      <c r="BH32" s="10">
        <v>47716.8970586</v>
      </c>
      <c r="BI32" s="10">
        <v>25.792200000000001</v>
      </c>
      <c r="BJ32" s="10"/>
      <c r="BK32" s="10">
        <v>973.27728000000002</v>
      </c>
      <c r="BL32" s="10">
        <v>517.49393999999995</v>
      </c>
      <c r="BM32" s="10">
        <v>1497.25</v>
      </c>
      <c r="BN32" s="10"/>
      <c r="BO32" s="10"/>
    </row>
    <row r="33" spans="1:67" x14ac:dyDescent="0.35">
      <c r="A33" s="8">
        <v>46152</v>
      </c>
      <c r="B33" s="9">
        <v>7187842.3004860003</v>
      </c>
      <c r="C33" s="10">
        <v>3616.0450259999998</v>
      </c>
      <c r="D33" s="10">
        <v>181272.98572</v>
      </c>
      <c r="E33" s="10">
        <v>6822604.0281600002</v>
      </c>
      <c r="F33" s="10"/>
      <c r="G33" s="10">
        <v>5027.95</v>
      </c>
      <c r="H33" s="10">
        <v>13120</v>
      </c>
      <c r="I33" s="10"/>
      <c r="J33" s="10"/>
      <c r="K33" s="10">
        <v>90003.097399999999</v>
      </c>
      <c r="L33" s="10">
        <v>41812.78458</v>
      </c>
      <c r="M33" s="10">
        <v>27485.409599999999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2900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</row>
    <row r="34" spans="1:67" x14ac:dyDescent="0.35">
      <c r="A34" s="8">
        <v>46150</v>
      </c>
      <c r="B34" s="9">
        <v>110134637.56269699</v>
      </c>
      <c r="C34" s="10">
        <v>9119103.0205840003</v>
      </c>
      <c r="D34" s="10">
        <v>1420295.9192860001</v>
      </c>
      <c r="E34" s="10">
        <v>1523456.1345081399</v>
      </c>
      <c r="F34" s="10">
        <v>953752.55257900001</v>
      </c>
      <c r="G34" s="10">
        <v>2333288.5174318198</v>
      </c>
      <c r="H34" s="10">
        <v>244802.39918800001</v>
      </c>
      <c r="I34" s="10">
        <v>5859838.1844349997</v>
      </c>
      <c r="J34" s="10">
        <v>13743537.60072</v>
      </c>
      <c r="K34" s="10">
        <v>73078.954824999993</v>
      </c>
      <c r="L34" s="10">
        <v>720535.33767699997</v>
      </c>
      <c r="M34" s="10">
        <v>213978.66819318401</v>
      </c>
      <c r="N34" s="10">
        <v>22069218.964634001</v>
      </c>
      <c r="O34" s="10">
        <v>13411592.9375</v>
      </c>
      <c r="P34" s="10">
        <v>3287252.0720640002</v>
      </c>
      <c r="Q34" s="10"/>
      <c r="R34" s="10">
        <v>2756194.18150676</v>
      </c>
      <c r="S34" s="10">
        <v>2594600.4</v>
      </c>
      <c r="T34" s="10">
        <v>8903611.3847429994</v>
      </c>
      <c r="U34" s="10">
        <v>492767.14694599999</v>
      </c>
      <c r="V34" s="10">
        <v>385629.43439000001</v>
      </c>
      <c r="W34" s="10">
        <v>6886.53</v>
      </c>
      <c r="X34" s="10">
        <v>1863451.4005199999</v>
      </c>
      <c r="Y34" s="10">
        <v>3344726.89</v>
      </c>
      <c r="Z34" s="10">
        <v>872568.58451282</v>
      </c>
      <c r="AA34" s="10">
        <v>3377.5</v>
      </c>
      <c r="AB34" s="10"/>
      <c r="AC34" s="10"/>
      <c r="AD34" s="10">
        <v>996998</v>
      </c>
      <c r="AE34" s="10">
        <v>2900</v>
      </c>
      <c r="AF34" s="10">
        <v>997.80089999999996</v>
      </c>
      <c r="AG34" s="10">
        <v>1664808.0004799999</v>
      </c>
      <c r="AH34" s="10">
        <v>74740.870618999994</v>
      </c>
      <c r="AI34" s="10">
        <v>8785060.4755000006</v>
      </c>
      <c r="AJ34" s="10">
        <v>1165.2</v>
      </c>
      <c r="AK34" s="10"/>
      <c r="AL34" s="10"/>
      <c r="AM34" s="10">
        <v>449311.08130114502</v>
      </c>
      <c r="AN34" s="10">
        <v>89.619</v>
      </c>
      <c r="AO34" s="10">
        <v>11324.530105</v>
      </c>
      <c r="AP34" s="10">
        <v>5690.5</v>
      </c>
      <c r="AQ34" s="10">
        <v>1252798.7622</v>
      </c>
      <c r="AR34" s="10">
        <v>245857.89199999999</v>
      </c>
      <c r="AS34" s="10">
        <v>64928.066400000003</v>
      </c>
      <c r="AT34" s="10">
        <v>31123.056</v>
      </c>
      <c r="AU34" s="10">
        <v>35748.94154</v>
      </c>
      <c r="AV34" s="10"/>
      <c r="AW34" s="10"/>
      <c r="AX34" s="10">
        <v>10542.52</v>
      </c>
      <c r="AY34" s="10">
        <v>277243.29340000002</v>
      </c>
      <c r="AZ34" s="10">
        <v>16140.2575</v>
      </c>
      <c r="BA34" s="10">
        <v>149.27500000000001</v>
      </c>
      <c r="BB34" s="10">
        <v>1736</v>
      </c>
      <c r="BC34" s="10">
        <v>1529.4749899999999</v>
      </c>
      <c r="BD34" s="10">
        <v>3210.3748900000001</v>
      </c>
      <c r="BE34" s="10">
        <v>2998.854628</v>
      </c>
      <c r="BF34" s="10"/>
      <c r="BG34" s="10"/>
      <c r="BH34" s="10"/>
      <c r="BI34" s="10"/>
      <c r="BJ34" s="10"/>
      <c r="BK34" s="10"/>
      <c r="BL34" s="10"/>
      <c r="BM34" s="10"/>
      <c r="BN34" s="10"/>
      <c r="BO34" s="10"/>
    </row>
    <row r="35" spans="1:67" x14ac:dyDescent="0.35">
      <c r="A35" s="8">
        <v>46149</v>
      </c>
      <c r="B35" s="9">
        <v>106128458.24888</v>
      </c>
      <c r="C35" s="10">
        <v>9176585.5629042499</v>
      </c>
      <c r="D35" s="10">
        <v>2932148.3548854901</v>
      </c>
      <c r="E35" s="10">
        <v>1569787.530388</v>
      </c>
      <c r="F35" s="10">
        <v>1159698.2383280001</v>
      </c>
      <c r="G35" s="10">
        <v>5009480.1259692796</v>
      </c>
      <c r="H35" s="10">
        <v>2063311.2524880001</v>
      </c>
      <c r="I35" s="10">
        <v>3651658.2083100001</v>
      </c>
      <c r="J35" s="10">
        <v>16375815.998012999</v>
      </c>
      <c r="K35" s="10">
        <v>236812.265828</v>
      </c>
      <c r="L35" s="10">
        <v>881492.13901957194</v>
      </c>
      <c r="M35" s="10">
        <v>1295730.4115180001</v>
      </c>
      <c r="N35" s="10">
        <v>24413733.391165301</v>
      </c>
      <c r="O35" s="10">
        <v>219452.64808399999</v>
      </c>
      <c r="P35" s="10">
        <v>1715363.80675</v>
      </c>
      <c r="Q35" s="10">
        <v>60825.086997999999</v>
      </c>
      <c r="R35" s="10">
        <v>6814508.2340270001</v>
      </c>
      <c r="S35" s="10">
        <v>5314000.8</v>
      </c>
      <c r="T35" s="10">
        <v>884002.13393999997</v>
      </c>
      <c r="U35" s="10">
        <v>10061127.036751</v>
      </c>
      <c r="V35" s="10">
        <v>31442.601677999999</v>
      </c>
      <c r="W35" s="10">
        <v>392299.52574800001</v>
      </c>
      <c r="X35" s="10">
        <v>1216865.207926</v>
      </c>
      <c r="Y35" s="10">
        <v>1179275.7</v>
      </c>
      <c r="Z35" s="10">
        <v>589836.70352891705</v>
      </c>
      <c r="AA35" s="10">
        <v>129979.13585799999</v>
      </c>
      <c r="AB35" s="10"/>
      <c r="AC35" s="10">
        <v>6633.0749999999998</v>
      </c>
      <c r="AD35" s="10">
        <v>601547.83981000003</v>
      </c>
      <c r="AE35" s="10">
        <v>1990198.0523000001</v>
      </c>
      <c r="AF35" s="10">
        <v>22878.340442000001</v>
      </c>
      <c r="AG35" s="10">
        <v>582.6</v>
      </c>
      <c r="AH35" s="10">
        <v>1539.0799500000001</v>
      </c>
      <c r="AI35" s="10">
        <v>1215901.9790000001</v>
      </c>
      <c r="AJ35" s="10">
        <v>996064.53966000001</v>
      </c>
      <c r="AK35" s="10">
        <v>7622.7375000000002</v>
      </c>
      <c r="AL35" s="10"/>
      <c r="AM35" s="10">
        <v>482046.68534585502</v>
      </c>
      <c r="AN35" s="10">
        <v>157510.96528800001</v>
      </c>
      <c r="AO35" s="10">
        <v>28384.583498</v>
      </c>
      <c r="AP35" s="10">
        <v>678007.26500000001</v>
      </c>
      <c r="AQ35" s="10">
        <v>119960.45596000001</v>
      </c>
      <c r="AR35" s="10">
        <v>511679.19199999998</v>
      </c>
      <c r="AS35" s="10">
        <v>60112.197724999998</v>
      </c>
      <c r="AT35" s="10">
        <v>391365.54080999998</v>
      </c>
      <c r="AU35" s="10">
        <v>26710.364555</v>
      </c>
      <c r="AV35" s="10"/>
      <c r="AW35" s="10"/>
      <c r="AX35" s="10">
        <v>723.78250000000003</v>
      </c>
      <c r="AY35" s="10">
        <v>19969.5</v>
      </c>
      <c r="AZ35" s="10">
        <v>6348.1625000000004</v>
      </c>
      <c r="BA35" s="10">
        <v>111238.85</v>
      </c>
      <c r="BB35" s="10">
        <v>21807.855</v>
      </c>
      <c r="BC35" s="10">
        <v>6122.1351350000004</v>
      </c>
      <c r="BD35" s="10">
        <v>1021040.52989</v>
      </c>
      <c r="BE35" s="10">
        <v>198693.40004000001</v>
      </c>
      <c r="BF35" s="10">
        <v>2320.4616000000001</v>
      </c>
      <c r="BG35" s="10"/>
      <c r="BH35" s="10"/>
      <c r="BI35" s="10">
        <v>60252.788484999997</v>
      </c>
      <c r="BJ35" s="10"/>
      <c r="BK35" s="10">
        <v>4998.1897799999997</v>
      </c>
      <c r="BL35" s="10">
        <v>965</v>
      </c>
      <c r="BM35" s="10"/>
      <c r="BN35" s="10"/>
      <c r="BO35" s="10"/>
    </row>
    <row r="36" spans="1:67" x14ac:dyDescent="0.35">
      <c r="A36" s="8">
        <v>46148</v>
      </c>
      <c r="B36" s="9">
        <v>108880152.808093</v>
      </c>
      <c r="C36" s="10">
        <v>5948067.5205296604</v>
      </c>
      <c r="D36" s="10">
        <v>8167451.00392415</v>
      </c>
      <c r="E36" s="10">
        <v>2502776.6783602801</v>
      </c>
      <c r="F36" s="10">
        <v>2126897.2469350002</v>
      </c>
      <c r="G36" s="10">
        <v>5314097.5207157098</v>
      </c>
      <c r="H36" s="10">
        <v>313162.49985800002</v>
      </c>
      <c r="I36" s="10">
        <v>1115079.05</v>
      </c>
      <c r="J36" s="10">
        <v>24227585.873319</v>
      </c>
      <c r="K36" s="10">
        <v>611176.99127832998</v>
      </c>
      <c r="L36" s="10">
        <v>738869.02275500004</v>
      </c>
      <c r="M36" s="10">
        <v>1354014.5689399999</v>
      </c>
      <c r="N36" s="10">
        <v>4125403.1867479999</v>
      </c>
      <c r="O36" s="10">
        <v>484082.27969900001</v>
      </c>
      <c r="P36" s="10">
        <v>1860357.765566</v>
      </c>
      <c r="Q36" s="10">
        <v>392023.96799999999</v>
      </c>
      <c r="R36" s="10">
        <v>10396952.233201999</v>
      </c>
      <c r="S36" s="10">
        <v>1775406.9000599999</v>
      </c>
      <c r="T36" s="10">
        <v>6567030.3402500004</v>
      </c>
      <c r="U36" s="10">
        <v>7320606.3712919997</v>
      </c>
      <c r="V36" s="10">
        <v>1766847.1644649999</v>
      </c>
      <c r="W36" s="10">
        <v>5827986.5293899998</v>
      </c>
      <c r="X36" s="10">
        <v>379258.22619100002</v>
      </c>
      <c r="Y36" s="10">
        <v>1209246.94</v>
      </c>
      <c r="Z36" s="10">
        <v>2169649.7053800002</v>
      </c>
      <c r="AA36" s="10">
        <v>1174151.5</v>
      </c>
      <c r="AB36" s="10">
        <v>63231</v>
      </c>
      <c r="AC36" s="10">
        <v>90575.25</v>
      </c>
      <c r="AD36" s="10">
        <v>1931688.77361</v>
      </c>
      <c r="AE36" s="10">
        <v>2500183.6395999999</v>
      </c>
      <c r="AF36" s="10">
        <v>1264259.352</v>
      </c>
      <c r="AG36" s="10">
        <v>96810.700000000099</v>
      </c>
      <c r="AH36" s="10">
        <v>76491.277275</v>
      </c>
      <c r="AI36" s="10">
        <v>77397.359899999996</v>
      </c>
      <c r="AJ36" s="10">
        <v>92950.149386460005</v>
      </c>
      <c r="AK36" s="10">
        <v>10680.9</v>
      </c>
      <c r="AL36" s="10"/>
      <c r="AM36" s="10">
        <v>388484.63398965</v>
      </c>
      <c r="AN36" s="10">
        <v>152892.66</v>
      </c>
      <c r="AO36" s="10">
        <v>41906.577579999997</v>
      </c>
      <c r="AP36" s="10">
        <v>581226.38208000001</v>
      </c>
      <c r="AQ36" s="10">
        <v>272133.78626399999</v>
      </c>
      <c r="AR36" s="10">
        <v>83517.5</v>
      </c>
      <c r="AS36" s="10">
        <v>39917.162125000003</v>
      </c>
      <c r="AT36" s="10">
        <v>557729.05660000001</v>
      </c>
      <c r="AU36" s="10">
        <v>203839.44842500001</v>
      </c>
      <c r="AV36" s="10"/>
      <c r="AW36" s="10"/>
      <c r="AX36" s="10">
        <v>6695.2825000000003</v>
      </c>
      <c r="AY36" s="10">
        <v>12.056322</v>
      </c>
      <c r="AZ36" s="10">
        <v>5321.5159999999996</v>
      </c>
      <c r="BA36" s="10">
        <v>689509.18244999996</v>
      </c>
      <c r="BB36" s="10">
        <v>1466542.6566999999</v>
      </c>
      <c r="BC36" s="10">
        <v>1297.5419999999999</v>
      </c>
      <c r="BD36" s="10">
        <v>152816.32500000001</v>
      </c>
      <c r="BE36" s="10">
        <v>8.985455</v>
      </c>
      <c r="BF36" s="10"/>
      <c r="BG36" s="10">
        <v>1573.1038000000001</v>
      </c>
      <c r="BH36" s="10">
        <v>9074.9621729999999</v>
      </c>
      <c r="BI36" s="10">
        <v>98480</v>
      </c>
      <c r="BJ36" s="10"/>
      <c r="BK36" s="10">
        <v>4987</v>
      </c>
      <c r="BL36" s="10">
        <v>49737.5</v>
      </c>
      <c r="BM36" s="10"/>
      <c r="BN36" s="10"/>
      <c r="BO36" s="10"/>
    </row>
    <row r="37" spans="1:67" x14ac:dyDescent="0.35">
      <c r="A37" s="8">
        <v>46147</v>
      </c>
      <c r="B37" s="9">
        <v>129631135.098506</v>
      </c>
      <c r="C37" s="10">
        <v>2515568.05870975</v>
      </c>
      <c r="D37" s="10">
        <v>1723403.7793153699</v>
      </c>
      <c r="E37" s="10">
        <v>7410427.1448585102</v>
      </c>
      <c r="F37" s="10">
        <v>288778.10489800002</v>
      </c>
      <c r="G37" s="10">
        <v>7222222.0821655001</v>
      </c>
      <c r="H37" s="10">
        <v>2851648.9910499998</v>
      </c>
      <c r="I37" s="10">
        <v>991784.32747100003</v>
      </c>
      <c r="J37" s="10">
        <v>1278132</v>
      </c>
      <c r="K37" s="10"/>
      <c r="L37" s="10">
        <v>38484.627379999998</v>
      </c>
      <c r="M37" s="10">
        <v>6641606.660964</v>
      </c>
      <c r="N37" s="10">
        <v>2936166.0061669201</v>
      </c>
      <c r="O37" s="10">
        <v>64409.502500000002</v>
      </c>
      <c r="P37" s="10">
        <v>493846.94575000001</v>
      </c>
      <c r="Q37" s="10">
        <v>38843122.247819103</v>
      </c>
      <c r="R37" s="10">
        <v>3690007.3671829598</v>
      </c>
      <c r="S37" s="10">
        <v>1402968</v>
      </c>
      <c r="T37" s="10">
        <v>3228488.259296</v>
      </c>
      <c r="U37" s="10">
        <v>2992704.78</v>
      </c>
      <c r="V37" s="10">
        <v>11935571.365429999</v>
      </c>
      <c r="W37" s="10">
        <v>3779949.8168919999</v>
      </c>
      <c r="X37" s="10">
        <v>769223.61391125002</v>
      </c>
      <c r="Y37" s="10">
        <v>899276.45228500001</v>
      </c>
      <c r="Z37" s="10">
        <v>2030792.5408361999</v>
      </c>
      <c r="AA37" s="10">
        <v>2706712.56367575</v>
      </c>
      <c r="AB37" s="10">
        <v>169389</v>
      </c>
      <c r="AC37" s="10">
        <v>6169151.1772256698</v>
      </c>
      <c r="AD37" s="10">
        <v>779870.55290799995</v>
      </c>
      <c r="AE37" s="10">
        <v>18985.724900000001</v>
      </c>
      <c r="AF37" s="10">
        <v>4767296.3769579995</v>
      </c>
      <c r="AG37" s="10"/>
      <c r="AH37" s="10">
        <v>10422.5396</v>
      </c>
      <c r="AI37" s="10">
        <v>67897.914999999994</v>
      </c>
      <c r="AJ37" s="10">
        <v>223593.964054921</v>
      </c>
      <c r="AK37" s="10">
        <v>405677.35473999998</v>
      </c>
      <c r="AL37" s="10">
        <v>200198.24875</v>
      </c>
      <c r="AM37" s="10">
        <v>442215.95200085</v>
      </c>
      <c r="AN37" s="10">
        <v>2697.27</v>
      </c>
      <c r="AO37" s="10">
        <v>825992.73754</v>
      </c>
      <c r="AP37" s="10">
        <v>367270.63099999999</v>
      </c>
      <c r="AQ37" s="10">
        <v>7628.2849999999999</v>
      </c>
      <c r="AR37" s="10">
        <v>1269792.42175</v>
      </c>
      <c r="AS37" s="10">
        <v>2905286.2524000001</v>
      </c>
      <c r="AT37" s="10">
        <v>784708.80651000002</v>
      </c>
      <c r="AU37" s="10">
        <v>1889510.339596</v>
      </c>
      <c r="AV37" s="10"/>
      <c r="AW37" s="10">
        <v>154308.3909</v>
      </c>
      <c r="AX37" s="10"/>
      <c r="AY37" s="10">
        <v>1532</v>
      </c>
      <c r="AZ37" s="10">
        <v>1472.8625</v>
      </c>
      <c r="BA37" s="10">
        <v>149.565</v>
      </c>
      <c r="BB37" s="10">
        <v>1024299.37</v>
      </c>
      <c r="BC37" s="10">
        <v>1238.2385999999999</v>
      </c>
      <c r="BD37" s="10">
        <v>201693.84492500001</v>
      </c>
      <c r="BE37" s="10"/>
      <c r="BF37" s="10">
        <v>4160.9665999999997</v>
      </c>
      <c r="BG37" s="10"/>
      <c r="BH37" s="10"/>
      <c r="BI37" s="10">
        <v>199399.07149</v>
      </c>
      <c r="BJ37" s="10"/>
      <c r="BK37" s="10"/>
      <c r="BL37" s="10"/>
      <c r="BM37" s="10"/>
      <c r="BN37" s="10"/>
      <c r="BO37" s="10"/>
    </row>
    <row r="38" spans="1:67" x14ac:dyDescent="0.35">
      <c r="A38" s="8">
        <v>46146</v>
      </c>
      <c r="B38" s="9">
        <v>174998985.040732</v>
      </c>
      <c r="C38" s="10">
        <v>4736013.2843789998</v>
      </c>
      <c r="D38" s="10">
        <v>820603.94207700004</v>
      </c>
      <c r="E38" s="10">
        <v>3587580.6117670001</v>
      </c>
      <c r="F38" s="10">
        <v>819283.13830500003</v>
      </c>
      <c r="G38" s="10">
        <v>8957156.1106979996</v>
      </c>
      <c r="H38" s="10">
        <v>1405620.75294</v>
      </c>
      <c r="I38" s="10">
        <v>1519835.89</v>
      </c>
      <c r="J38" s="10">
        <v>653297.4</v>
      </c>
      <c r="K38" s="10"/>
      <c r="L38" s="10">
        <v>776730.314121</v>
      </c>
      <c r="M38" s="10">
        <v>2096248.5743150001</v>
      </c>
      <c r="N38" s="10">
        <v>824317.26662240003</v>
      </c>
      <c r="O38" s="10">
        <v>37971.938414999997</v>
      </c>
      <c r="P38" s="10">
        <v>32180844.591667</v>
      </c>
      <c r="Q38" s="10">
        <v>38436095.942712002</v>
      </c>
      <c r="R38" s="10">
        <v>19102257.170315199</v>
      </c>
      <c r="S38" s="10">
        <v>1098538.8</v>
      </c>
      <c r="T38" s="10">
        <v>696807.97595999995</v>
      </c>
      <c r="U38" s="10">
        <v>39295366.901762001</v>
      </c>
      <c r="V38" s="10">
        <v>1938044.4733599999</v>
      </c>
      <c r="W38" s="10">
        <v>648989.17527899996</v>
      </c>
      <c r="X38" s="10">
        <v>1012015.21916</v>
      </c>
      <c r="Y38" s="10">
        <v>381719.07796000002</v>
      </c>
      <c r="Z38" s="10">
        <v>1047773.39118167</v>
      </c>
      <c r="AA38" s="10">
        <v>1292955</v>
      </c>
      <c r="AB38" s="10"/>
      <c r="AC38" s="10">
        <v>5993622.0605100002</v>
      </c>
      <c r="AD38" s="10">
        <v>155576.546424</v>
      </c>
      <c r="AE38" s="10"/>
      <c r="AF38" s="10">
        <v>1088578.868</v>
      </c>
      <c r="AG38" s="10">
        <v>529152.00005999999</v>
      </c>
      <c r="AH38" s="10">
        <v>63903.880239999999</v>
      </c>
      <c r="AI38" s="10">
        <v>34648.838400000001</v>
      </c>
      <c r="AJ38" s="10">
        <v>181639.72388022899</v>
      </c>
      <c r="AK38" s="10">
        <v>279990.59999999998</v>
      </c>
      <c r="AL38" s="10"/>
      <c r="AM38" s="10">
        <v>391674.40487000003</v>
      </c>
      <c r="AN38" s="10">
        <v>627975.06006000005</v>
      </c>
      <c r="AO38" s="10">
        <v>45426.572795</v>
      </c>
      <c r="AP38" s="10">
        <v>157560</v>
      </c>
      <c r="AQ38" s="10">
        <v>73360.774999999994</v>
      </c>
      <c r="AR38" s="10">
        <v>1983.0719999999999</v>
      </c>
      <c r="AS38" s="10">
        <v>8000.9529000000002</v>
      </c>
      <c r="AT38" s="10">
        <v>51787.654999999999</v>
      </c>
      <c r="AU38" s="10">
        <v>374143.22629999998</v>
      </c>
      <c r="AV38" s="10"/>
      <c r="AW38" s="10">
        <v>824303.88470000005</v>
      </c>
      <c r="AX38" s="10">
        <v>1952.3677</v>
      </c>
      <c r="AY38" s="10">
        <v>104673.11380000001</v>
      </c>
      <c r="AZ38" s="10">
        <v>5048.3125</v>
      </c>
      <c r="BA38" s="10">
        <v>82573.3</v>
      </c>
      <c r="BB38" s="10">
        <v>379269.12</v>
      </c>
      <c r="BC38" s="10">
        <v>33.025396000000001</v>
      </c>
      <c r="BD38" s="10">
        <v>6526.7979999999998</v>
      </c>
      <c r="BE38" s="10">
        <v>499.65</v>
      </c>
      <c r="BF38" s="10"/>
      <c r="BG38" s="10">
        <v>2554.2892000000002</v>
      </c>
      <c r="BH38" s="10"/>
      <c r="BI38" s="10">
        <v>1996</v>
      </c>
      <c r="BJ38" s="10"/>
      <c r="BK38" s="10">
        <v>994</v>
      </c>
      <c r="BL38" s="10">
        <v>163470</v>
      </c>
      <c r="BM38" s="10"/>
      <c r="BN38" s="10"/>
      <c r="BO38" s="10"/>
    </row>
    <row r="39" spans="1:67" x14ac:dyDescent="0.35">
      <c r="A39" s="8">
        <v>46145</v>
      </c>
      <c r="B39" s="9">
        <v>403309.00096149999</v>
      </c>
      <c r="C39" s="10">
        <v>15733.193499999999</v>
      </c>
      <c r="D39" s="10">
        <v>36905.663131499998</v>
      </c>
      <c r="E39" s="10"/>
      <c r="F39" s="10"/>
      <c r="G39" s="10">
        <v>307020.05239999999</v>
      </c>
      <c r="H39" s="10">
        <v>24004.844829999998</v>
      </c>
      <c r="I39" s="10"/>
      <c r="J39" s="10"/>
      <c r="K39" s="10"/>
      <c r="L39" s="10">
        <v>9930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>
        <v>3344</v>
      </c>
      <c r="AC39" s="10"/>
      <c r="AD39" s="10"/>
      <c r="AE39" s="10"/>
      <c r="AF39" s="10"/>
      <c r="AG39" s="10"/>
      <c r="AH39" s="10">
        <v>491.24709999999999</v>
      </c>
      <c r="AI39" s="10"/>
      <c r="AJ39" s="10"/>
      <c r="AK39" s="10"/>
      <c r="AL39" s="10"/>
      <c r="AM39" s="10"/>
      <c r="AN39" s="10"/>
      <c r="AO39" s="10"/>
      <c r="AP39" s="10"/>
      <c r="AQ39" s="10">
        <v>960</v>
      </c>
      <c r="AR39" s="10"/>
      <c r="AS39" s="10">
        <v>4920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</row>
    <row r="40" spans="1:67" x14ac:dyDescent="0.35">
      <c r="A40" s="8">
        <v>46143</v>
      </c>
      <c r="B40" s="9">
        <v>87264703.627292007</v>
      </c>
      <c r="C40" s="10">
        <v>4791430.3542905003</v>
      </c>
      <c r="D40" s="10">
        <v>2240944.9640095001</v>
      </c>
      <c r="E40" s="10">
        <v>11745390.11506</v>
      </c>
      <c r="F40" s="10">
        <v>239306.40450599999</v>
      </c>
      <c r="G40" s="10">
        <v>16746957.5051757</v>
      </c>
      <c r="H40" s="10">
        <v>12532568.596353</v>
      </c>
      <c r="I40" s="10">
        <v>1232778.453918</v>
      </c>
      <c r="J40" s="10">
        <v>82559.399999999994</v>
      </c>
      <c r="K40" s="10">
        <v>1155048.1369</v>
      </c>
      <c r="L40" s="10">
        <v>1603930.447317</v>
      </c>
      <c r="M40" s="10">
        <v>5331667.81337306</v>
      </c>
      <c r="N40" s="10">
        <v>624240.18546259997</v>
      </c>
      <c r="O40" s="10">
        <v>20017.014178000001</v>
      </c>
      <c r="P40" s="10">
        <v>5263731.5978399999</v>
      </c>
      <c r="Q40" s="10">
        <v>280177.47499999998</v>
      </c>
      <c r="R40" s="10">
        <v>401103.92182749999</v>
      </c>
      <c r="S40" s="10">
        <v>84319.2</v>
      </c>
      <c r="T40" s="10">
        <v>41681.985500000003</v>
      </c>
      <c r="U40" s="10">
        <v>4186719.8744660001</v>
      </c>
      <c r="V40" s="10">
        <v>772137.18911000004</v>
      </c>
      <c r="W40" s="10">
        <v>217113.37992000001</v>
      </c>
      <c r="X40" s="10">
        <v>705569.28000000003</v>
      </c>
      <c r="Y40" s="10">
        <v>1408042.2121250001</v>
      </c>
      <c r="Z40" s="10">
        <v>795981.02915399999</v>
      </c>
      <c r="AA40" s="10">
        <v>351447.34525925003</v>
      </c>
      <c r="AB40" s="10">
        <v>146822.39199999999</v>
      </c>
      <c r="AC40" s="10">
        <v>18378.606</v>
      </c>
      <c r="AD40" s="10">
        <v>207569.63657900001</v>
      </c>
      <c r="AE40" s="10">
        <v>1993</v>
      </c>
      <c r="AF40" s="10">
        <v>676504.19637500006</v>
      </c>
      <c r="AG40" s="10"/>
      <c r="AH40" s="10">
        <v>4487.9577600000002</v>
      </c>
      <c r="AI40" s="10"/>
      <c r="AJ40" s="10">
        <v>67509.981969390006</v>
      </c>
      <c r="AK40" s="10">
        <v>6057.35</v>
      </c>
      <c r="AL40" s="10">
        <v>4381987.6552799996</v>
      </c>
      <c r="AM40" s="10">
        <v>504643.24593249999</v>
      </c>
      <c r="AN40" s="10">
        <v>14246.4</v>
      </c>
      <c r="AO40" s="10">
        <v>953109.96692000004</v>
      </c>
      <c r="AP40" s="10">
        <v>41320</v>
      </c>
      <c r="AQ40" s="10">
        <v>9360.3441999999995</v>
      </c>
      <c r="AR40" s="10">
        <v>2545039.4696499999</v>
      </c>
      <c r="AS40" s="10">
        <v>7069.0625</v>
      </c>
      <c r="AT40" s="10">
        <v>414142.08714700001</v>
      </c>
      <c r="AU40" s="10">
        <v>116544.48113</v>
      </c>
      <c r="AV40" s="10"/>
      <c r="AW40" s="10">
        <v>3832984.4692319999</v>
      </c>
      <c r="AX40" s="10"/>
      <c r="AY40" s="10">
        <v>88809.979200000002</v>
      </c>
      <c r="AZ40" s="10">
        <v>12819.017</v>
      </c>
      <c r="BA40" s="10">
        <v>252784.64000000001</v>
      </c>
      <c r="BB40" s="10">
        <v>63139.199999999997</v>
      </c>
      <c r="BC40" s="10">
        <v>2346.9410320000002</v>
      </c>
      <c r="BD40" s="10">
        <v>15348.25</v>
      </c>
      <c r="BE40" s="10"/>
      <c r="BF40" s="10"/>
      <c r="BG40" s="10">
        <v>10815</v>
      </c>
      <c r="BH40" s="10"/>
      <c r="BI40" s="10"/>
      <c r="BJ40" s="10"/>
      <c r="BK40" s="10">
        <v>3390.7291399999999</v>
      </c>
      <c r="BL40" s="10">
        <v>8395.75</v>
      </c>
      <c r="BM40" s="10">
        <v>2219.9375</v>
      </c>
      <c r="BN40" s="10"/>
      <c r="BO40" s="10"/>
    </row>
    <row r="41" spans="1:67" x14ac:dyDescent="0.35">
      <c r="A41" s="8">
        <v>46142</v>
      </c>
      <c r="B41" s="9">
        <v>135478279.37893799</v>
      </c>
      <c r="C41" s="10">
        <v>3160418.18954605</v>
      </c>
      <c r="D41" s="10">
        <v>9349082.6160610002</v>
      </c>
      <c r="E41" s="10">
        <v>5039283.3059536004</v>
      </c>
      <c r="F41" s="10">
        <v>267146.86173100001</v>
      </c>
      <c r="G41" s="10">
        <v>6780241.8713330897</v>
      </c>
      <c r="H41" s="10">
        <v>16590560.935413999</v>
      </c>
      <c r="I41" s="10">
        <v>15663.732389999999</v>
      </c>
      <c r="J41" s="10">
        <v>12456.6</v>
      </c>
      <c r="K41" s="10">
        <v>206018.02966599999</v>
      </c>
      <c r="L41" s="10">
        <v>294179.23759999999</v>
      </c>
      <c r="M41" s="10">
        <v>606588.26635000005</v>
      </c>
      <c r="N41" s="10">
        <v>1956395.8330385799</v>
      </c>
      <c r="O41" s="10">
        <v>31578.590877999999</v>
      </c>
      <c r="P41" s="10">
        <v>29593818.140517</v>
      </c>
      <c r="Q41" s="10">
        <v>18378382.705844</v>
      </c>
      <c r="R41" s="10">
        <v>798924.88302800001</v>
      </c>
      <c r="S41" s="10">
        <v>17201.400000000001</v>
      </c>
      <c r="T41" s="10">
        <v>4537641.8406370003</v>
      </c>
      <c r="U41" s="10">
        <v>3833330.129466</v>
      </c>
      <c r="V41" s="10">
        <v>10939276.490767101</v>
      </c>
      <c r="W41" s="10">
        <v>159173.16</v>
      </c>
      <c r="X41" s="10">
        <v>1901422.001251</v>
      </c>
      <c r="Y41" s="10">
        <v>884687.28116000001</v>
      </c>
      <c r="Z41" s="10">
        <v>49886.349170000001</v>
      </c>
      <c r="AA41" s="10">
        <v>201494.81539999999</v>
      </c>
      <c r="AB41" s="10"/>
      <c r="AC41" s="10">
        <v>4936.8430669999998</v>
      </c>
      <c r="AD41" s="10">
        <v>9335940.1202499997</v>
      </c>
      <c r="AE41" s="10">
        <v>11833</v>
      </c>
      <c r="AF41" s="10">
        <v>699946.66290500003</v>
      </c>
      <c r="AG41" s="10">
        <v>39914.799672000001</v>
      </c>
      <c r="AH41" s="10">
        <v>81430.843674999996</v>
      </c>
      <c r="AI41" s="10">
        <v>146655.01329999999</v>
      </c>
      <c r="AJ41" s="10">
        <v>619.428</v>
      </c>
      <c r="AK41" s="10">
        <v>2495.75</v>
      </c>
      <c r="AL41" s="10">
        <v>3991809.4065299998</v>
      </c>
      <c r="AM41" s="10">
        <v>15386</v>
      </c>
      <c r="AN41" s="10">
        <v>4974.6180000000004</v>
      </c>
      <c r="AO41" s="10"/>
      <c r="AP41" s="10">
        <v>179697.800074</v>
      </c>
      <c r="AQ41" s="10">
        <v>126169.73152</v>
      </c>
      <c r="AR41" s="10">
        <v>4915.3192578999997</v>
      </c>
      <c r="AS41" s="10">
        <v>434915.56300000002</v>
      </c>
      <c r="AT41" s="10">
        <v>150301.61438499999</v>
      </c>
      <c r="AU41" s="10">
        <v>22140.49</v>
      </c>
      <c r="AV41" s="10"/>
      <c r="AW41" s="10">
        <v>4020663.0817320002</v>
      </c>
      <c r="AX41" s="10"/>
      <c r="AY41" s="10">
        <v>44392.172200000001</v>
      </c>
      <c r="AZ41" s="10">
        <v>280498.23533300002</v>
      </c>
      <c r="BA41" s="10">
        <v>299.42999099999997</v>
      </c>
      <c r="BB41" s="10">
        <v>5890</v>
      </c>
      <c r="BC41" s="10"/>
      <c r="BD41" s="10">
        <v>6656.75</v>
      </c>
      <c r="BE41" s="10">
        <v>257734.00156500001</v>
      </c>
      <c r="BF41" s="10"/>
      <c r="BG41" s="10"/>
      <c r="BH41" s="10"/>
      <c r="BI41" s="10"/>
      <c r="BJ41" s="10"/>
      <c r="BK41" s="10">
        <v>614.6875</v>
      </c>
      <c r="BL41" s="10">
        <v>2495.75</v>
      </c>
      <c r="BM41" s="10">
        <v>98.999780000000001</v>
      </c>
      <c r="BN41" s="10"/>
      <c r="BO41" s="10"/>
    </row>
    <row r="42" spans="1:67" x14ac:dyDescent="0.35">
      <c r="A42" s="8">
        <v>46141</v>
      </c>
      <c r="B42" s="9">
        <v>100199250.96896601</v>
      </c>
      <c r="C42" s="10">
        <v>7107276.1712901397</v>
      </c>
      <c r="D42" s="10">
        <v>2391398.2412603302</v>
      </c>
      <c r="E42" s="10">
        <v>12087510.4410262</v>
      </c>
      <c r="F42" s="10">
        <v>103879.059138</v>
      </c>
      <c r="G42" s="10">
        <v>7207889.5492981104</v>
      </c>
      <c r="H42" s="10">
        <v>17130212.141231999</v>
      </c>
      <c r="I42" s="10">
        <v>128847.311415</v>
      </c>
      <c r="J42" s="10">
        <v>3604.585</v>
      </c>
      <c r="K42" s="10">
        <v>135843.90085400001</v>
      </c>
      <c r="L42" s="10">
        <v>2560612.1389270001</v>
      </c>
      <c r="M42" s="10">
        <v>213167.88824500001</v>
      </c>
      <c r="N42" s="10">
        <v>3023391.67174468</v>
      </c>
      <c r="O42" s="10">
        <v>101644.207637</v>
      </c>
      <c r="P42" s="10">
        <v>548128.92085500003</v>
      </c>
      <c r="Q42" s="10">
        <v>18410670.885699999</v>
      </c>
      <c r="R42" s="10">
        <v>1120896.2306900001</v>
      </c>
      <c r="S42" s="10">
        <v>6522.6</v>
      </c>
      <c r="T42" s="10">
        <v>2977707.1231499999</v>
      </c>
      <c r="U42" s="10">
        <v>8901</v>
      </c>
      <c r="V42" s="10">
        <v>12201475.59663</v>
      </c>
      <c r="W42" s="10">
        <v>44880.422500000001</v>
      </c>
      <c r="X42" s="10">
        <v>79666.350479999994</v>
      </c>
      <c r="Y42" s="10">
        <v>28450</v>
      </c>
      <c r="Z42" s="10">
        <v>42524.461199999998</v>
      </c>
      <c r="AA42" s="10">
        <v>343770.93473699997</v>
      </c>
      <c r="AB42" s="10">
        <v>61192.873951000001</v>
      </c>
      <c r="AC42" s="10">
        <v>19263.18547</v>
      </c>
      <c r="AD42" s="10">
        <v>10607058.44963</v>
      </c>
      <c r="AE42" s="10">
        <v>17559.198199999999</v>
      </c>
      <c r="AF42" s="10">
        <v>526851.17171200004</v>
      </c>
      <c r="AG42" s="10">
        <v>115186.599048</v>
      </c>
      <c r="AH42" s="10">
        <v>5133.8563000000004</v>
      </c>
      <c r="AI42" s="10">
        <v>38669.042500000003</v>
      </c>
      <c r="AJ42" s="10">
        <v>113603.1984702</v>
      </c>
      <c r="AK42" s="10">
        <v>13540.1</v>
      </c>
      <c r="AL42" s="10">
        <v>999.4</v>
      </c>
      <c r="AM42" s="10">
        <v>134037.6</v>
      </c>
      <c r="AN42" s="10">
        <v>1438.104</v>
      </c>
      <c r="AO42" s="10">
        <v>18476.965379000001</v>
      </c>
      <c r="AP42" s="10">
        <v>2900</v>
      </c>
      <c r="AQ42" s="10">
        <v>30625.944800000001</v>
      </c>
      <c r="AR42" s="10"/>
      <c r="AS42" s="10">
        <v>36388.868000000002</v>
      </c>
      <c r="AT42" s="10">
        <v>26585.285</v>
      </c>
      <c r="AU42" s="10">
        <v>601.399496</v>
      </c>
      <c r="AV42" s="10"/>
      <c r="AW42" s="10">
        <v>61113</v>
      </c>
      <c r="AX42" s="10">
        <v>60476.381699999998</v>
      </c>
      <c r="AY42" s="10">
        <v>26391.62025</v>
      </c>
      <c r="AZ42" s="10">
        <v>2797.1548050000001</v>
      </c>
      <c r="BA42" s="10">
        <v>1158.2339910000001</v>
      </c>
      <c r="BB42" s="10">
        <v>2575.3463000000002</v>
      </c>
      <c r="BC42" s="10">
        <v>171.8125</v>
      </c>
      <c r="BD42" s="10">
        <v>588.6</v>
      </c>
      <c r="BE42" s="10">
        <v>252715.82904000001</v>
      </c>
      <c r="BF42" s="10"/>
      <c r="BG42" s="10">
        <v>840.41660000000002</v>
      </c>
      <c r="BH42" s="10"/>
      <c r="BI42" s="10">
        <v>1464.998814</v>
      </c>
      <c r="BJ42" s="10"/>
      <c r="BK42" s="10">
        <v>9974.5</v>
      </c>
      <c r="BL42" s="10"/>
      <c r="BM42" s="10"/>
      <c r="BN42" s="10"/>
      <c r="BO42" s="10"/>
    </row>
    <row r="43" spans="1:67" x14ac:dyDescent="0.35">
      <c r="A43" s="8">
        <v>46140</v>
      </c>
      <c r="B43" s="9">
        <v>129921208.27625801</v>
      </c>
      <c r="C43" s="10">
        <v>6760219.3743577804</v>
      </c>
      <c r="D43" s="10">
        <v>7644140.0008733599</v>
      </c>
      <c r="E43" s="10">
        <v>15322881.453731</v>
      </c>
      <c r="F43" s="10">
        <v>473772.36119199998</v>
      </c>
      <c r="G43" s="10">
        <v>10317767.998486999</v>
      </c>
      <c r="H43" s="10">
        <v>16342377.226794001</v>
      </c>
      <c r="I43" s="10">
        <v>108.23009500000001</v>
      </c>
      <c r="J43" s="10"/>
      <c r="K43" s="10">
        <v>387240.85039500002</v>
      </c>
      <c r="L43" s="10">
        <v>1410581.6049240001</v>
      </c>
      <c r="M43" s="10">
        <v>3002919.6023800001</v>
      </c>
      <c r="N43" s="10">
        <v>2505050.5032000002</v>
      </c>
      <c r="O43" s="10">
        <v>1836277.5956575</v>
      </c>
      <c r="P43" s="10">
        <v>21267047.7245</v>
      </c>
      <c r="Q43" s="10">
        <v>8296034.7779369997</v>
      </c>
      <c r="R43" s="10">
        <v>7730206.2653449997</v>
      </c>
      <c r="S43" s="10">
        <v>1183.2</v>
      </c>
      <c r="T43" s="10">
        <v>14616290.2223</v>
      </c>
      <c r="U43" s="10">
        <v>8984.4220000000005</v>
      </c>
      <c r="V43" s="10">
        <v>4653296.6561099999</v>
      </c>
      <c r="W43" s="10">
        <v>149968.782932</v>
      </c>
      <c r="X43" s="10">
        <v>409376.92991499999</v>
      </c>
      <c r="Y43" s="10">
        <v>158766.60686</v>
      </c>
      <c r="Z43" s="10">
        <v>141949.00031632799</v>
      </c>
      <c r="AA43" s="10">
        <v>524991.88615999999</v>
      </c>
      <c r="AB43" s="10">
        <v>147000.20774000001</v>
      </c>
      <c r="AC43" s="10">
        <v>191626.11789250799</v>
      </c>
      <c r="AD43" s="10">
        <v>796.14486999999997</v>
      </c>
      <c r="AE43" s="10">
        <v>3014.7759999999998</v>
      </c>
      <c r="AF43" s="10">
        <v>1327829.672918</v>
      </c>
      <c r="AG43" s="10"/>
      <c r="AH43" s="10">
        <v>5038.28</v>
      </c>
      <c r="AI43" s="10">
        <v>153577.31364000001</v>
      </c>
      <c r="AJ43" s="10">
        <v>115662.003</v>
      </c>
      <c r="AK43" s="10">
        <v>2732.875</v>
      </c>
      <c r="AL43" s="10"/>
      <c r="AM43" s="10">
        <v>121.80479385</v>
      </c>
      <c r="AN43" s="10">
        <v>9999.6774989999994</v>
      </c>
      <c r="AO43" s="10">
        <v>350266.23383799999</v>
      </c>
      <c r="AP43" s="10">
        <v>25702</v>
      </c>
      <c r="AQ43" s="10">
        <v>1003577.232775</v>
      </c>
      <c r="AR43" s="10">
        <v>4263.4251199999999</v>
      </c>
      <c r="AS43" s="10">
        <v>50042.583760000001</v>
      </c>
      <c r="AT43" s="10">
        <v>200828.39765</v>
      </c>
      <c r="AU43" s="10">
        <v>316744.66162600002</v>
      </c>
      <c r="AV43" s="10"/>
      <c r="AW43" s="10">
        <v>26264.95</v>
      </c>
      <c r="AX43" s="10">
        <v>1486.2665</v>
      </c>
      <c r="AY43" s="10">
        <v>660312.29202279996</v>
      </c>
      <c r="AZ43" s="10">
        <v>415994.74987100001</v>
      </c>
      <c r="BA43" s="10">
        <v>2052.5479999999998</v>
      </c>
      <c r="BB43" s="10"/>
      <c r="BC43" s="10">
        <v>401691.44545</v>
      </c>
      <c r="BD43" s="10">
        <v>7216.625</v>
      </c>
      <c r="BE43" s="10">
        <v>510106.59822500002</v>
      </c>
      <c r="BF43" s="10"/>
      <c r="BG43" s="10">
        <v>21242.392599999999</v>
      </c>
      <c r="BH43" s="10"/>
      <c r="BI43" s="10">
        <v>1187.216995</v>
      </c>
      <c r="BJ43" s="10"/>
      <c r="BK43" s="10">
        <v>1732.25172</v>
      </c>
      <c r="BL43" s="10">
        <v>1614.7059999999999</v>
      </c>
      <c r="BM43" s="10">
        <v>49.549289999999999</v>
      </c>
      <c r="BN43" s="10"/>
      <c r="BO43" s="10"/>
    </row>
    <row r="44" spans="1:67" x14ac:dyDescent="0.35">
      <c r="A44" s="8">
        <v>46139</v>
      </c>
      <c r="B44" s="9">
        <v>79612595.4587515</v>
      </c>
      <c r="C44" s="10">
        <v>5615963.2622625995</v>
      </c>
      <c r="D44" s="10">
        <v>1907272.1539769999</v>
      </c>
      <c r="E44" s="10">
        <v>23334186.986986801</v>
      </c>
      <c r="F44" s="10">
        <v>292451.66681800003</v>
      </c>
      <c r="G44" s="10">
        <v>6212967.3855661796</v>
      </c>
      <c r="H44" s="10">
        <v>15114864.827512</v>
      </c>
      <c r="I44" s="10">
        <v>484.79700000000003</v>
      </c>
      <c r="J44" s="10">
        <v>608.59699999999998</v>
      </c>
      <c r="K44" s="10">
        <v>74671.115084000005</v>
      </c>
      <c r="L44" s="10">
        <v>1296622.71667</v>
      </c>
      <c r="M44" s="10">
        <v>225530.2281061</v>
      </c>
      <c r="N44" s="10">
        <v>817538.176715162</v>
      </c>
      <c r="O44" s="10">
        <v>42322.083400000003</v>
      </c>
      <c r="P44" s="10">
        <v>3304487.8911000001</v>
      </c>
      <c r="Q44" s="10">
        <v>8565743.9075610004</v>
      </c>
      <c r="R44" s="10">
        <v>3861638.3065525</v>
      </c>
      <c r="S44" s="10">
        <v>9.7970000000000006</v>
      </c>
      <c r="T44" s="10">
        <v>3658569.5269999998</v>
      </c>
      <c r="U44" s="10">
        <v>52997.850552000004</v>
      </c>
      <c r="V44" s="10">
        <v>741210.38986</v>
      </c>
      <c r="W44" s="10">
        <v>272764.451244</v>
      </c>
      <c r="X44" s="10">
        <v>9.7970000000000006</v>
      </c>
      <c r="Y44" s="10">
        <v>189068.15186000001</v>
      </c>
      <c r="Z44" s="10">
        <v>473375.82824367197</v>
      </c>
      <c r="AA44" s="10">
        <v>638836.79700000002</v>
      </c>
      <c r="AB44" s="10">
        <v>9.7970000000000006</v>
      </c>
      <c r="AC44" s="10">
        <v>7501.9158125000004</v>
      </c>
      <c r="AD44" s="10">
        <v>208399.397</v>
      </c>
      <c r="AE44" s="10">
        <v>7085.3451999999997</v>
      </c>
      <c r="AF44" s="10">
        <v>513730.11871200002</v>
      </c>
      <c r="AG44" s="10">
        <v>9.7970000000000006</v>
      </c>
      <c r="AH44" s="10">
        <v>290603.43400000001</v>
      </c>
      <c r="AI44" s="10">
        <v>176342.75114000001</v>
      </c>
      <c r="AJ44" s="10">
        <v>60602.244027799999</v>
      </c>
      <c r="AK44" s="10">
        <v>488930.29700000002</v>
      </c>
      <c r="AL44" s="10">
        <v>94999.794999999998</v>
      </c>
      <c r="AM44" s="10">
        <v>75775.350551149997</v>
      </c>
      <c r="AN44" s="10">
        <v>16998.385748000001</v>
      </c>
      <c r="AO44" s="10">
        <v>11617.089624</v>
      </c>
      <c r="AP44" s="10">
        <v>378865.79700000002</v>
      </c>
      <c r="AQ44" s="10">
        <v>17567.749899999999</v>
      </c>
      <c r="AR44" s="10">
        <v>89504.895999999993</v>
      </c>
      <c r="AS44" s="10">
        <v>9.7970000000000006</v>
      </c>
      <c r="AT44" s="10">
        <v>147801.82759999999</v>
      </c>
      <c r="AU44" s="10">
        <v>34173.396999999997</v>
      </c>
      <c r="AV44" s="10"/>
      <c r="AW44" s="10">
        <v>9.7949999999999999</v>
      </c>
      <c r="AX44" s="10">
        <v>9.7970000000000006</v>
      </c>
      <c r="AY44" s="10">
        <v>281989.79700000002</v>
      </c>
      <c r="AZ44" s="10">
        <v>1592.7772640000001</v>
      </c>
      <c r="BA44" s="10">
        <v>3353.732</v>
      </c>
      <c r="BB44" s="10">
        <v>29.048231000000001</v>
      </c>
      <c r="BC44" s="10">
        <v>884.95</v>
      </c>
      <c r="BD44" s="10">
        <v>3703.8270000000002</v>
      </c>
      <c r="BE44" s="10">
        <v>59.027380000000001</v>
      </c>
      <c r="BF44" s="10">
        <v>9.7970000000000006</v>
      </c>
      <c r="BG44" s="10">
        <v>4093.1761999999999</v>
      </c>
      <c r="BH44" s="10"/>
      <c r="BI44" s="10">
        <v>1007.797</v>
      </c>
      <c r="BJ44" s="10"/>
      <c r="BK44" s="10">
        <v>258.92</v>
      </c>
      <c r="BL44" s="10">
        <v>9.7970000000000006</v>
      </c>
      <c r="BM44" s="10">
        <v>857.34628999999995</v>
      </c>
      <c r="BN44" s="10"/>
      <c r="BO44" s="10"/>
    </row>
    <row r="45" spans="1:67" x14ac:dyDescent="0.35">
      <c r="A45" s="8">
        <v>46138</v>
      </c>
      <c r="B45" s="9">
        <v>1577704.4817979999</v>
      </c>
      <c r="C45" s="10">
        <v>700951.88422000001</v>
      </c>
      <c r="D45" s="10">
        <v>51604.107218999998</v>
      </c>
      <c r="E45" s="10">
        <v>172297.72158000001</v>
      </c>
      <c r="F45" s="10"/>
      <c r="G45" s="10">
        <v>69853.138500000001</v>
      </c>
      <c r="H45" s="10"/>
      <c r="I45" s="10"/>
      <c r="J45" s="10"/>
      <c r="K45" s="10">
        <v>11783.790300000001</v>
      </c>
      <c r="L45" s="10">
        <v>318875.60277900001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>
        <v>250953.2372</v>
      </c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>
        <v>1385</v>
      </c>
      <c r="BI45" s="10"/>
      <c r="BJ45" s="10"/>
      <c r="BK45" s="10"/>
      <c r="BL45" s="10"/>
      <c r="BM45" s="10"/>
      <c r="BN45" s="10"/>
      <c r="BO45" s="10"/>
    </row>
    <row r="46" spans="1:67" x14ac:dyDescent="0.35">
      <c r="A46" s="8">
        <v>46136</v>
      </c>
      <c r="B46" s="9">
        <v>49994494.615831003</v>
      </c>
      <c r="C46" s="10">
        <v>4150553.9963580901</v>
      </c>
      <c r="D46" s="10">
        <v>8243617.3765810002</v>
      </c>
      <c r="E46" s="10">
        <v>6127199.3760439903</v>
      </c>
      <c r="F46" s="10">
        <v>505909.09133700002</v>
      </c>
      <c r="G46" s="10">
        <v>4320870.5482970998</v>
      </c>
      <c r="H46" s="10">
        <v>7862409.9436320001</v>
      </c>
      <c r="I46" s="10"/>
      <c r="J46" s="10">
        <v>58914</v>
      </c>
      <c r="K46" s="10">
        <v>329324.39651300001</v>
      </c>
      <c r="L46" s="10">
        <v>596213.24424599996</v>
      </c>
      <c r="M46" s="10">
        <v>65736.901400000002</v>
      </c>
      <c r="N46" s="10">
        <v>1601187.89264576</v>
      </c>
      <c r="O46" s="10">
        <v>62823.584172000003</v>
      </c>
      <c r="P46" s="10">
        <v>1763260.4753970001</v>
      </c>
      <c r="Q46" s="10">
        <v>120729.531</v>
      </c>
      <c r="R46" s="10">
        <v>3852064.5072150002</v>
      </c>
      <c r="S46" s="10"/>
      <c r="T46" s="10">
        <v>87179.725000000006</v>
      </c>
      <c r="U46" s="10">
        <v>6386.93</v>
      </c>
      <c r="V46" s="10">
        <v>1780303.8161200001</v>
      </c>
      <c r="W46" s="10">
        <v>2327991.2803520001</v>
      </c>
      <c r="X46" s="10"/>
      <c r="Y46" s="10">
        <v>1133959.3575800001</v>
      </c>
      <c r="Z46" s="10">
        <v>660542.48839769501</v>
      </c>
      <c r="AA46" s="10"/>
      <c r="AB46" s="10"/>
      <c r="AC46" s="10">
        <v>208791.2</v>
      </c>
      <c r="AD46" s="10">
        <v>2003587.92</v>
      </c>
      <c r="AE46" s="10"/>
      <c r="AF46" s="10">
        <v>2459.2224999999999</v>
      </c>
      <c r="AG46" s="10">
        <v>288.79833600000001</v>
      </c>
      <c r="AH46" s="10">
        <v>35589</v>
      </c>
      <c r="AI46" s="10">
        <v>188839.91399999999</v>
      </c>
      <c r="AJ46" s="10">
        <v>52507.268166119997</v>
      </c>
      <c r="AK46" s="10">
        <v>383391.616178</v>
      </c>
      <c r="AL46" s="10">
        <v>158.99598</v>
      </c>
      <c r="AM46" s="10">
        <v>46086.386456250002</v>
      </c>
      <c r="AN46" s="10"/>
      <c r="AO46" s="10">
        <v>22635.581998000001</v>
      </c>
      <c r="AP46" s="10">
        <v>13055</v>
      </c>
      <c r="AQ46" s="10">
        <v>4121.2120000000004</v>
      </c>
      <c r="AR46" s="10">
        <v>10457.656800000001</v>
      </c>
      <c r="AS46" s="10">
        <v>13872</v>
      </c>
      <c r="AT46" s="10">
        <v>132534.36249999999</v>
      </c>
      <c r="AU46" s="10">
        <v>9040.5590300000003</v>
      </c>
      <c r="AV46" s="10"/>
      <c r="AW46" s="10">
        <v>76139.45</v>
      </c>
      <c r="AX46" s="10">
        <v>12537.862499999999</v>
      </c>
      <c r="AY46" s="10"/>
      <c r="AZ46" s="10">
        <v>300359.09999999998</v>
      </c>
      <c r="BA46" s="10"/>
      <c r="BB46" s="10">
        <v>776269.648285</v>
      </c>
      <c r="BC46" s="10">
        <v>26632.799999999999</v>
      </c>
      <c r="BD46" s="10"/>
      <c r="BE46" s="10"/>
      <c r="BF46" s="10"/>
      <c r="BG46" s="10">
        <v>11475.25</v>
      </c>
      <c r="BH46" s="10">
        <v>4693</v>
      </c>
      <c r="BI46" s="10">
        <v>1464.998814</v>
      </c>
      <c r="BJ46" s="10"/>
      <c r="BK46" s="10"/>
      <c r="BL46" s="10">
        <v>327.35000000000002</v>
      </c>
      <c r="BM46" s="10"/>
      <c r="BN46" s="10"/>
      <c r="BO46" s="10"/>
    </row>
    <row r="47" spans="1:67" x14ac:dyDescent="0.35">
      <c r="A47" s="8">
        <v>46135</v>
      </c>
      <c r="B47" s="9">
        <v>74798304.640957803</v>
      </c>
      <c r="C47" s="10">
        <v>16854606.179145701</v>
      </c>
      <c r="D47" s="10">
        <v>4613876.0907480102</v>
      </c>
      <c r="E47" s="10">
        <v>14984278.078264</v>
      </c>
      <c r="F47" s="10">
        <v>410802.273155</v>
      </c>
      <c r="G47" s="10">
        <v>6305388.8837238001</v>
      </c>
      <c r="H47" s="10">
        <v>11546263.032932</v>
      </c>
      <c r="I47" s="10"/>
      <c r="J47" s="10">
        <v>29.373000000000001</v>
      </c>
      <c r="K47" s="10">
        <v>1118993.1391980001</v>
      </c>
      <c r="L47" s="10">
        <v>1160089.5811111799</v>
      </c>
      <c r="M47" s="10">
        <v>266203.66225250001</v>
      </c>
      <c r="N47" s="10">
        <v>995525.32157869998</v>
      </c>
      <c r="O47" s="10">
        <v>142113.903322</v>
      </c>
      <c r="P47" s="10">
        <v>5525009.7906689998</v>
      </c>
      <c r="Q47" s="10">
        <v>23570.36</v>
      </c>
      <c r="R47" s="10">
        <v>210317.44171000001</v>
      </c>
      <c r="S47" s="10"/>
      <c r="T47" s="10">
        <v>119788.18399999999</v>
      </c>
      <c r="U47" s="10"/>
      <c r="V47" s="10">
        <v>3652465.8913479201</v>
      </c>
      <c r="W47" s="10">
        <v>2004605.4</v>
      </c>
      <c r="X47" s="10"/>
      <c r="Y47" s="10">
        <v>553643.51815999998</v>
      </c>
      <c r="Z47" s="10">
        <v>215764.05465020501</v>
      </c>
      <c r="AA47" s="10">
        <v>50286.165399999998</v>
      </c>
      <c r="AB47" s="10">
        <v>347715.20773999998</v>
      </c>
      <c r="AC47" s="10">
        <v>95395.997625000004</v>
      </c>
      <c r="AD47" s="10">
        <v>282963.366668</v>
      </c>
      <c r="AE47" s="10">
        <v>235404.50140000001</v>
      </c>
      <c r="AF47" s="10">
        <v>6272.2636629999997</v>
      </c>
      <c r="AG47" s="10">
        <v>299.679912</v>
      </c>
      <c r="AH47" s="10">
        <v>313353.5969</v>
      </c>
      <c r="AI47" s="10">
        <v>349868.83500000002</v>
      </c>
      <c r="AJ47" s="10">
        <v>82126.684726553198</v>
      </c>
      <c r="AK47" s="10">
        <v>4038.5619999999999</v>
      </c>
      <c r="AL47" s="10">
        <v>309346</v>
      </c>
      <c r="AM47" s="10">
        <v>160388.67981405801</v>
      </c>
      <c r="AN47" s="10"/>
      <c r="AO47" s="10">
        <v>36029.002840000001</v>
      </c>
      <c r="AP47" s="10">
        <v>59124.566343999999</v>
      </c>
      <c r="AQ47" s="10">
        <v>513220.24920000002</v>
      </c>
      <c r="AR47" s="10"/>
      <c r="AS47" s="10">
        <v>28730.056</v>
      </c>
      <c r="AT47" s="10">
        <v>2195.7922800000001</v>
      </c>
      <c r="AU47" s="10">
        <v>31164.999994000002</v>
      </c>
      <c r="AV47" s="10"/>
      <c r="AW47" s="10"/>
      <c r="AX47" s="10">
        <v>11982.75</v>
      </c>
      <c r="AY47" s="10">
        <v>320640.2975242</v>
      </c>
      <c r="AZ47" s="10">
        <v>401582.64812799997</v>
      </c>
      <c r="BA47" s="10">
        <v>1198.1600000000001</v>
      </c>
      <c r="BB47" s="10">
        <v>5006.2512310000002</v>
      </c>
      <c r="BC47" s="10">
        <v>409992.52574999997</v>
      </c>
      <c r="BD47" s="10">
        <v>998</v>
      </c>
      <c r="BE47" s="10"/>
      <c r="BF47" s="10"/>
      <c r="BG47" s="10">
        <v>3999.0672</v>
      </c>
      <c r="BH47" s="10">
        <v>27653.574649999999</v>
      </c>
      <c r="BI47" s="10">
        <v>2495.75</v>
      </c>
      <c r="BJ47" s="10"/>
      <c r="BK47" s="10"/>
      <c r="BL47" s="10">
        <v>1497.25</v>
      </c>
      <c r="BM47" s="10"/>
      <c r="BN47" s="10"/>
      <c r="BO47" s="10"/>
    </row>
    <row r="48" spans="1:67" x14ac:dyDescent="0.35">
      <c r="A48" s="8">
        <v>46134</v>
      </c>
      <c r="B48" s="9">
        <v>54614651.226217598</v>
      </c>
      <c r="C48" s="10">
        <v>7082359.5209852001</v>
      </c>
      <c r="D48" s="10">
        <v>150375.7902355</v>
      </c>
      <c r="E48" s="10">
        <v>19569151.622071002</v>
      </c>
      <c r="F48" s="10">
        <v>1045.7750000000001</v>
      </c>
      <c r="G48" s="10">
        <v>1035660.8148641</v>
      </c>
      <c r="H48" s="10">
        <v>4522174.8899480002</v>
      </c>
      <c r="I48" s="10"/>
      <c r="J48" s="10"/>
      <c r="K48" s="10">
        <v>706620.88563599996</v>
      </c>
      <c r="L48" s="10">
        <v>2988614.0625999998</v>
      </c>
      <c r="M48" s="10">
        <v>1294909.119064</v>
      </c>
      <c r="N48" s="10">
        <v>331049.17927000002</v>
      </c>
      <c r="O48" s="10">
        <v>155341.94224</v>
      </c>
      <c r="P48" s="10">
        <v>8128.4015079999999</v>
      </c>
      <c r="Q48" s="10">
        <v>14363.4</v>
      </c>
      <c r="R48" s="10">
        <v>17044.114285</v>
      </c>
      <c r="S48" s="10"/>
      <c r="T48" s="10">
        <v>5001464.1194449998</v>
      </c>
      <c r="U48" s="10">
        <v>4793</v>
      </c>
      <c r="V48" s="10">
        <v>2369569.3320321799</v>
      </c>
      <c r="W48" s="10"/>
      <c r="X48" s="10"/>
      <c r="Y48" s="10">
        <v>202837.89816000001</v>
      </c>
      <c r="Z48" s="10">
        <v>666267.006753225</v>
      </c>
      <c r="AA48" s="10">
        <v>1686040.6670299999</v>
      </c>
      <c r="AB48" s="10">
        <v>196995</v>
      </c>
      <c r="AC48" s="10"/>
      <c r="AD48" s="10">
        <v>37580</v>
      </c>
      <c r="AE48" s="10">
        <v>373687.42</v>
      </c>
      <c r="AF48" s="10">
        <v>31559.0033</v>
      </c>
      <c r="AG48" s="10"/>
      <c r="AH48" s="10">
        <v>15437.126296</v>
      </c>
      <c r="AI48" s="10">
        <v>160365.038814</v>
      </c>
      <c r="AJ48" s="10">
        <v>256880.25556632699</v>
      </c>
      <c r="AK48" s="10">
        <v>999003.33141999994</v>
      </c>
      <c r="AL48" s="10"/>
      <c r="AM48" s="10">
        <v>68401.749639091999</v>
      </c>
      <c r="AN48" s="10">
        <v>761.67928800000004</v>
      </c>
      <c r="AO48" s="10">
        <v>126131.32947</v>
      </c>
      <c r="AP48" s="10">
        <v>1427965.0081100001</v>
      </c>
      <c r="AQ48" s="10">
        <v>573200</v>
      </c>
      <c r="AR48" s="10">
        <v>1879920</v>
      </c>
      <c r="AS48" s="10">
        <v>20072.84</v>
      </c>
      <c r="AT48" s="10">
        <v>478370.5404</v>
      </c>
      <c r="AU48" s="10">
        <v>41576.6636</v>
      </c>
      <c r="AV48" s="10"/>
      <c r="AW48" s="10"/>
      <c r="AX48" s="10">
        <v>19119.287400000001</v>
      </c>
      <c r="AY48" s="10">
        <v>43956.54</v>
      </c>
      <c r="AZ48" s="10"/>
      <c r="BA48" s="10">
        <v>1495.75</v>
      </c>
      <c r="BB48" s="10">
        <v>20730</v>
      </c>
      <c r="BC48" s="10">
        <v>1945</v>
      </c>
      <c r="BD48" s="10">
        <v>1997.5394240000001</v>
      </c>
      <c r="BE48" s="10"/>
      <c r="BF48" s="10"/>
      <c r="BG48" s="10">
        <v>22010.713400000001</v>
      </c>
      <c r="BH48" s="10">
        <v>3204.1189629999999</v>
      </c>
      <c r="BI48" s="10">
        <v>2495.75</v>
      </c>
      <c r="BJ48" s="10"/>
      <c r="BK48" s="10">
        <v>1978</v>
      </c>
      <c r="BL48" s="10"/>
      <c r="BM48" s="10"/>
      <c r="BN48" s="10"/>
      <c r="BO48" s="10"/>
    </row>
    <row r="49" spans="1:67" x14ac:dyDescent="0.35">
      <c r="A49" s="8">
        <v>46133</v>
      </c>
      <c r="B49" s="9">
        <v>112568382.750983</v>
      </c>
      <c r="C49" s="10">
        <v>39831414.955970801</v>
      </c>
      <c r="D49" s="10">
        <v>3967075.5458935001</v>
      </c>
      <c r="E49" s="10">
        <v>8563776.1026799995</v>
      </c>
      <c r="F49" s="10">
        <v>298089.97360000003</v>
      </c>
      <c r="G49" s="10">
        <v>9464193.1638843995</v>
      </c>
      <c r="H49" s="10">
        <v>16236094.241931999</v>
      </c>
      <c r="I49" s="10">
        <v>4987</v>
      </c>
      <c r="J49" s="10"/>
      <c r="K49" s="10">
        <v>527218.92975000001</v>
      </c>
      <c r="L49" s="10">
        <v>2357234.3211502498</v>
      </c>
      <c r="M49" s="10">
        <v>6854063.4815450003</v>
      </c>
      <c r="N49" s="10">
        <v>1872990.5409321601</v>
      </c>
      <c r="O49" s="10">
        <v>4353983.9987093797</v>
      </c>
      <c r="P49" s="10">
        <v>3198677.8321850002</v>
      </c>
      <c r="Q49" s="10">
        <v>2156.8000000000002</v>
      </c>
      <c r="R49" s="10"/>
      <c r="S49" s="10"/>
      <c r="T49" s="10">
        <v>6741769.2131000003</v>
      </c>
      <c r="U49" s="10"/>
      <c r="V49" s="10">
        <v>44678.595551999999</v>
      </c>
      <c r="W49" s="10">
        <v>299.13</v>
      </c>
      <c r="X49" s="10"/>
      <c r="Y49" s="10">
        <v>1782</v>
      </c>
      <c r="Z49" s="10">
        <v>320768.40777947998</v>
      </c>
      <c r="AA49" s="10">
        <v>1929875.2876220001</v>
      </c>
      <c r="AB49" s="10">
        <v>141127.95788</v>
      </c>
      <c r="AC49" s="10">
        <v>5690.4089999999997</v>
      </c>
      <c r="AD49" s="10">
        <v>594611.46557500004</v>
      </c>
      <c r="AE49" s="10">
        <v>104023.52288</v>
      </c>
      <c r="AF49" s="10">
        <v>2722.20768</v>
      </c>
      <c r="AG49" s="10"/>
      <c r="AH49" s="10">
        <v>1142072.5168949999</v>
      </c>
      <c r="AI49" s="10">
        <v>104048.16064</v>
      </c>
      <c r="AJ49" s="10">
        <v>134482.89887880001</v>
      </c>
      <c r="AK49" s="10">
        <v>995703.96967000002</v>
      </c>
      <c r="AL49" s="10"/>
      <c r="AM49" s="10">
        <v>489952.65931339998</v>
      </c>
      <c r="AN49" s="10">
        <v>9501.3262200000008</v>
      </c>
      <c r="AO49" s="10">
        <v>11570.68485</v>
      </c>
      <c r="AP49" s="10">
        <v>21795</v>
      </c>
      <c r="AQ49" s="10">
        <v>900979.63006999996</v>
      </c>
      <c r="AR49" s="10">
        <v>247383.64559999999</v>
      </c>
      <c r="AS49" s="10">
        <v>636348.87931999995</v>
      </c>
      <c r="AT49" s="10">
        <v>7668.91885</v>
      </c>
      <c r="AU49" s="10">
        <v>83209</v>
      </c>
      <c r="AV49" s="10"/>
      <c r="AW49" s="10"/>
      <c r="AX49" s="10">
        <v>97187.209943499998</v>
      </c>
      <c r="AY49" s="10">
        <v>71804.279190000001</v>
      </c>
      <c r="AZ49" s="10">
        <v>102.31828899999999</v>
      </c>
      <c r="BA49" s="10"/>
      <c r="BB49" s="10">
        <v>5397.3</v>
      </c>
      <c r="BC49" s="10">
        <v>155971.63511599999</v>
      </c>
      <c r="BD49" s="10">
        <v>797.14783599999998</v>
      </c>
      <c r="BE49" s="10">
        <v>494</v>
      </c>
      <c r="BF49" s="10"/>
      <c r="BG49" s="10">
        <v>5397.5</v>
      </c>
      <c r="BH49" s="10">
        <v>24685</v>
      </c>
      <c r="BI49" s="10"/>
      <c r="BJ49" s="10"/>
      <c r="BK49" s="10">
        <v>1978</v>
      </c>
      <c r="BL49" s="10">
        <v>545.98500000000001</v>
      </c>
      <c r="BM49" s="10"/>
      <c r="BN49" s="10"/>
      <c r="BO49" s="10"/>
    </row>
    <row r="50" spans="1:67" x14ac:dyDescent="0.35">
      <c r="A50" s="8">
        <v>46132</v>
      </c>
      <c r="B50" s="9">
        <v>96718647.631112799</v>
      </c>
      <c r="C50" s="10">
        <v>18606193.9746834</v>
      </c>
      <c r="D50" s="10">
        <v>895066.50075500004</v>
      </c>
      <c r="E50" s="10">
        <v>719616.16163999995</v>
      </c>
      <c r="F50" s="10">
        <v>156286.10162</v>
      </c>
      <c r="G50" s="10">
        <v>22763267.971083</v>
      </c>
      <c r="H50" s="10">
        <v>11993813.543500001</v>
      </c>
      <c r="I50" s="10"/>
      <c r="J50" s="10">
        <v>30553.5</v>
      </c>
      <c r="K50" s="10">
        <v>1229209.9879950001</v>
      </c>
      <c r="L50" s="10">
        <v>974361.85086942604</v>
      </c>
      <c r="M50" s="10">
        <v>11017545.242035</v>
      </c>
      <c r="N50" s="10">
        <v>121886.718328</v>
      </c>
      <c r="O50" s="10">
        <v>11088160.295265</v>
      </c>
      <c r="P50" s="10">
        <v>6733960.0455280002</v>
      </c>
      <c r="Q50" s="10">
        <v>159501.52713999999</v>
      </c>
      <c r="R50" s="10"/>
      <c r="S50" s="10"/>
      <c r="T50" s="10">
        <v>1258208.2</v>
      </c>
      <c r="U50" s="10"/>
      <c r="V50" s="10">
        <v>18543.735231999999</v>
      </c>
      <c r="W50" s="10"/>
      <c r="X50" s="10"/>
      <c r="Y50" s="10">
        <v>5100</v>
      </c>
      <c r="Z50" s="10">
        <v>776669.306252904</v>
      </c>
      <c r="AA50" s="10">
        <v>59164.5</v>
      </c>
      <c r="AB50" s="10">
        <v>74066.591753000001</v>
      </c>
      <c r="AC50" s="10">
        <v>5178.2</v>
      </c>
      <c r="AD50" s="10">
        <v>111264.5</v>
      </c>
      <c r="AE50" s="10">
        <v>2934.3359999999998</v>
      </c>
      <c r="AF50" s="10">
        <v>134635.53148800001</v>
      </c>
      <c r="AG50" s="10"/>
      <c r="AH50" s="10">
        <v>1825340.7682749999</v>
      </c>
      <c r="AI50" s="10">
        <v>66632.798840000003</v>
      </c>
      <c r="AJ50" s="10">
        <v>161086.66641899999</v>
      </c>
      <c r="AK50" s="10">
        <v>1454404.05</v>
      </c>
      <c r="AL50" s="10"/>
      <c r="AM50" s="10">
        <v>845126.15469660005</v>
      </c>
      <c r="AN50" s="10"/>
      <c r="AO50" s="10">
        <v>4293.1000000000004</v>
      </c>
      <c r="AP50" s="10">
        <v>2765422.1736559998</v>
      </c>
      <c r="AQ50" s="10">
        <v>254530.23</v>
      </c>
      <c r="AR50" s="10">
        <v>63028.212500000001</v>
      </c>
      <c r="AS50" s="10">
        <v>2880.6759000000002</v>
      </c>
      <c r="AT50" s="10">
        <v>1527.4349999999999</v>
      </c>
      <c r="AU50" s="10">
        <v>103615.33500000001</v>
      </c>
      <c r="AV50" s="10"/>
      <c r="AW50" s="10"/>
      <c r="AX50" s="10">
        <v>86107.043206500006</v>
      </c>
      <c r="AY50" s="10">
        <v>54987.877500000002</v>
      </c>
      <c r="AZ50" s="10">
        <v>34323.627999999997</v>
      </c>
      <c r="BA50" s="10">
        <v>29954.7</v>
      </c>
      <c r="BB50" s="10">
        <v>23841.599999999999</v>
      </c>
      <c r="BC50" s="10">
        <v>296.5</v>
      </c>
      <c r="BD50" s="10">
        <v>397.28841199999999</v>
      </c>
      <c r="BE50" s="10"/>
      <c r="BF50" s="10"/>
      <c r="BG50" s="10">
        <v>4726.5725400000001</v>
      </c>
      <c r="BH50" s="10">
        <v>609.15</v>
      </c>
      <c r="BI50" s="10"/>
      <c r="BJ50" s="10"/>
      <c r="BK50" s="10"/>
      <c r="BL50" s="10">
        <v>327.35000000000002</v>
      </c>
      <c r="BM50" s="10"/>
      <c r="BN50" s="10"/>
      <c r="BO50" s="10"/>
    </row>
    <row r="51" spans="1:67" x14ac:dyDescent="0.35">
      <c r="A51" s="8">
        <v>46131</v>
      </c>
      <c r="B51" s="9">
        <v>41141381.687203497</v>
      </c>
      <c r="C51" s="10">
        <v>37276774.085437298</v>
      </c>
      <c r="D51" s="10">
        <v>139651.36139199999</v>
      </c>
      <c r="E51" s="10">
        <v>262342.985056</v>
      </c>
      <c r="F51" s="10"/>
      <c r="G51" s="10">
        <v>146508.6275</v>
      </c>
      <c r="H51" s="10">
        <v>1975992</v>
      </c>
      <c r="I51" s="10"/>
      <c r="J51" s="10"/>
      <c r="K51" s="10">
        <v>131869.16047500001</v>
      </c>
      <c r="L51" s="10">
        <v>11804.867974496399</v>
      </c>
      <c r="M51" s="10">
        <v>309696.23608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>
        <v>266042.82780000003</v>
      </c>
      <c r="AC51" s="10"/>
      <c r="AD51" s="10"/>
      <c r="AE51" s="10"/>
      <c r="AF51" s="10"/>
      <c r="AG51" s="10"/>
      <c r="AH51" s="10">
        <v>227423.92</v>
      </c>
      <c r="AI51" s="10">
        <v>182.98738474999999</v>
      </c>
      <c r="AJ51" s="10"/>
      <c r="AK51" s="10"/>
      <c r="AL51" s="10"/>
      <c r="AM51" s="10"/>
      <c r="AN51" s="10"/>
      <c r="AO51" s="10"/>
      <c r="AP51" s="10"/>
      <c r="AQ51" s="10">
        <v>286862.23499999999</v>
      </c>
      <c r="AR51" s="10"/>
      <c r="AS51" s="10"/>
      <c r="AT51" s="10"/>
      <c r="AU51" s="10"/>
      <c r="AV51" s="10"/>
      <c r="AW51" s="10"/>
      <c r="AX51" s="10"/>
      <c r="AY51" s="10">
        <v>106230.393104</v>
      </c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</row>
    <row r="52" spans="1:67" x14ac:dyDescent="0.35">
      <c r="A52" s="8">
        <v>46129</v>
      </c>
      <c r="B52" s="9">
        <v>126678185.565248</v>
      </c>
      <c r="C52" s="10">
        <v>58509810.242685199</v>
      </c>
      <c r="D52" s="10">
        <v>2646707.1112015001</v>
      </c>
      <c r="E52" s="10">
        <v>7775366.4979539998</v>
      </c>
      <c r="F52" s="10">
        <v>387804.64752499998</v>
      </c>
      <c r="G52" s="10">
        <v>10843725.1005169</v>
      </c>
      <c r="H52" s="10">
        <v>15091010.648312001</v>
      </c>
      <c r="I52" s="10">
        <v>565.99585000000002</v>
      </c>
      <c r="J52" s="10">
        <v>29984.355</v>
      </c>
      <c r="K52" s="10">
        <v>1670784.367228</v>
      </c>
      <c r="L52" s="10">
        <v>587584.71048322495</v>
      </c>
      <c r="M52" s="10">
        <v>6631773.5460430002</v>
      </c>
      <c r="N52" s="10">
        <v>440743.07671499997</v>
      </c>
      <c r="O52" s="10">
        <v>106972.413261907</v>
      </c>
      <c r="P52" s="10">
        <v>3641696.5718800002</v>
      </c>
      <c r="Q52" s="10">
        <v>747546.75911700004</v>
      </c>
      <c r="R52" s="10"/>
      <c r="S52" s="10">
        <v>475.53696621</v>
      </c>
      <c r="T52" s="10">
        <v>6726928.5734099997</v>
      </c>
      <c r="U52" s="10"/>
      <c r="V52" s="10">
        <v>125319.587768</v>
      </c>
      <c r="W52" s="10"/>
      <c r="X52" s="10">
        <v>30720.778129999999</v>
      </c>
      <c r="Y52" s="10">
        <v>129417.8</v>
      </c>
      <c r="Z52" s="10">
        <v>410461.73066770798</v>
      </c>
      <c r="AA52" s="10">
        <v>563154.18068999995</v>
      </c>
      <c r="AB52" s="10">
        <v>618167.15879300004</v>
      </c>
      <c r="AC52" s="10">
        <v>16179.136339999999</v>
      </c>
      <c r="AD52" s="10">
        <v>22710.66</v>
      </c>
      <c r="AE52" s="10">
        <v>19796</v>
      </c>
      <c r="AF52" s="10">
        <v>2800280.3105380801</v>
      </c>
      <c r="AG52" s="10"/>
      <c r="AH52" s="10">
        <v>890884.00444499997</v>
      </c>
      <c r="AI52" s="10">
        <v>35328.997732087497</v>
      </c>
      <c r="AJ52" s="10">
        <v>83821.795724399999</v>
      </c>
      <c r="AK52" s="10">
        <v>3085990.4359499998</v>
      </c>
      <c r="AL52" s="10"/>
      <c r="AM52" s="10">
        <v>14357.30816</v>
      </c>
      <c r="AN52" s="10">
        <v>9622.226874</v>
      </c>
      <c r="AO52" s="10">
        <v>173411.42039631901</v>
      </c>
      <c r="AP52" s="10">
        <v>10924.5</v>
      </c>
      <c r="AQ52" s="10">
        <v>567958.50120000006</v>
      </c>
      <c r="AR52" s="10">
        <v>13555.582399999999</v>
      </c>
      <c r="AS52" s="10">
        <v>16978.7</v>
      </c>
      <c r="AT52" s="10">
        <v>51080.016250000001</v>
      </c>
      <c r="AU52" s="10">
        <v>62992</v>
      </c>
      <c r="AV52" s="10"/>
      <c r="AW52" s="10"/>
      <c r="AX52" s="10">
        <v>108889.45305</v>
      </c>
      <c r="AY52" s="10">
        <v>232581.88918999999</v>
      </c>
      <c r="AZ52" s="10">
        <v>109331.93719700001</v>
      </c>
      <c r="BA52" s="10">
        <v>29954.7</v>
      </c>
      <c r="BB52" s="10">
        <v>240738.61245499999</v>
      </c>
      <c r="BC52" s="10">
        <v>130268.32984799999</v>
      </c>
      <c r="BD52" s="10"/>
      <c r="BE52" s="10">
        <v>2198.85</v>
      </c>
      <c r="BF52" s="10"/>
      <c r="BG52" s="10">
        <v>71961.912500000006</v>
      </c>
      <c r="BH52" s="10">
        <v>68436.569799999997</v>
      </c>
      <c r="BI52" s="10"/>
      <c r="BJ52" s="10"/>
      <c r="BK52" s="10">
        <v>4741.2</v>
      </c>
      <c r="BL52" s="10"/>
      <c r="BM52" s="10">
        <v>86489.125</v>
      </c>
      <c r="BN52" s="10"/>
      <c r="BO52" s="10"/>
    </row>
    <row r="53" spans="1:67" x14ac:dyDescent="0.35">
      <c r="A53" s="8">
        <v>46128</v>
      </c>
      <c r="B53" s="9">
        <v>96771621.7124632</v>
      </c>
      <c r="C53" s="10">
        <v>47719370.702772997</v>
      </c>
      <c r="D53" s="10">
        <v>2362065.8763908399</v>
      </c>
      <c r="E53" s="10">
        <v>9265383.5505800005</v>
      </c>
      <c r="F53" s="10">
        <v>155953.35140799999</v>
      </c>
      <c r="G53" s="10">
        <v>14784910.030183701</v>
      </c>
      <c r="H53" s="10">
        <v>7313169.4264000002</v>
      </c>
      <c r="I53" s="10"/>
      <c r="J53" s="10"/>
      <c r="K53" s="10">
        <v>3344486.55036517</v>
      </c>
      <c r="L53" s="10">
        <v>576371.32780419802</v>
      </c>
      <c r="M53" s="10">
        <v>394733.16444099997</v>
      </c>
      <c r="N53" s="10">
        <v>419784.70218781498</v>
      </c>
      <c r="O53" s="10">
        <v>277460.97564900003</v>
      </c>
      <c r="P53" s="10">
        <v>2493.25</v>
      </c>
      <c r="Q53" s="10">
        <v>158538.18041999999</v>
      </c>
      <c r="R53" s="10"/>
      <c r="S53" s="10"/>
      <c r="T53" s="10">
        <v>1131245.22</v>
      </c>
      <c r="U53" s="10"/>
      <c r="V53" s="10">
        <v>86856.278531000004</v>
      </c>
      <c r="W53" s="10"/>
      <c r="X53" s="10"/>
      <c r="Y53" s="10">
        <v>156796</v>
      </c>
      <c r="Z53" s="10">
        <v>179351.41387768</v>
      </c>
      <c r="AA53" s="10">
        <v>401680.12</v>
      </c>
      <c r="AB53" s="10">
        <v>707134.24560000002</v>
      </c>
      <c r="AC53" s="10">
        <v>898.35</v>
      </c>
      <c r="AD53" s="10">
        <v>95567.25</v>
      </c>
      <c r="AE53" s="10">
        <v>761405.69475000002</v>
      </c>
      <c r="AF53" s="10">
        <v>11925.6</v>
      </c>
      <c r="AG53" s="10"/>
      <c r="AH53" s="10">
        <v>461230.46734999999</v>
      </c>
      <c r="AI53" s="10">
        <v>25556.692535600199</v>
      </c>
      <c r="AJ53" s="10">
        <v>61412.827499999999</v>
      </c>
      <c r="AK53" s="10">
        <v>2984</v>
      </c>
      <c r="AL53" s="10"/>
      <c r="AM53" s="10">
        <v>242698.45551560001</v>
      </c>
      <c r="AN53" s="10">
        <v>28732.076246000001</v>
      </c>
      <c r="AO53" s="10">
        <v>14470.147430000001</v>
      </c>
      <c r="AP53" s="10">
        <v>4358850.0681840004</v>
      </c>
      <c r="AQ53" s="10">
        <v>2606.5430999999999</v>
      </c>
      <c r="AR53" s="10">
        <v>22609.033974999998</v>
      </c>
      <c r="AS53" s="10">
        <v>636027.10702</v>
      </c>
      <c r="AT53" s="10">
        <v>1220.087</v>
      </c>
      <c r="AU53" s="10">
        <v>60686.175000000003</v>
      </c>
      <c r="AV53" s="10"/>
      <c r="AW53" s="10"/>
      <c r="AX53" s="10">
        <v>17750.483499999998</v>
      </c>
      <c r="AY53" s="10">
        <v>325191.27159000002</v>
      </c>
      <c r="AZ53" s="10">
        <v>138974.20565558801</v>
      </c>
      <c r="BA53" s="10">
        <v>1495.75</v>
      </c>
      <c r="BB53" s="10">
        <v>5984</v>
      </c>
      <c r="BC53" s="10">
        <v>2562.0920000000001</v>
      </c>
      <c r="BD53" s="10"/>
      <c r="BE53" s="10">
        <v>1191</v>
      </c>
      <c r="BF53" s="10"/>
      <c r="BG53" s="10">
        <v>50287.28</v>
      </c>
      <c r="BH53" s="10"/>
      <c r="BI53" s="10"/>
      <c r="BJ53" s="10"/>
      <c r="BK53" s="10"/>
      <c r="BL53" s="10"/>
      <c r="BM53" s="10">
        <v>1520.6875</v>
      </c>
      <c r="BN53" s="10"/>
      <c r="BO53" s="10"/>
    </row>
    <row r="54" spans="1:67" x14ac:dyDescent="0.35">
      <c r="A54" s="8">
        <v>46127</v>
      </c>
      <c r="B54" s="9">
        <v>81642113.032457903</v>
      </c>
      <c r="C54" s="10">
        <v>44121916.841390997</v>
      </c>
      <c r="D54" s="10">
        <v>5015858.8507618597</v>
      </c>
      <c r="E54" s="10">
        <v>848249.46661500004</v>
      </c>
      <c r="F54" s="10">
        <v>101229.4608</v>
      </c>
      <c r="G54" s="10">
        <v>3966386.4811544102</v>
      </c>
      <c r="H54" s="10">
        <v>3613434.5964515</v>
      </c>
      <c r="I54" s="10">
        <v>4987</v>
      </c>
      <c r="J54" s="10"/>
      <c r="K54" s="10">
        <v>138054.13930000001</v>
      </c>
      <c r="L54" s="10">
        <v>4764124.225079</v>
      </c>
      <c r="M54" s="10">
        <v>10566192.169198999</v>
      </c>
      <c r="N54" s="10">
        <v>1327720.59936309</v>
      </c>
      <c r="O54" s="10">
        <v>568099.53261647199</v>
      </c>
      <c r="P54" s="10"/>
      <c r="Q54" s="10">
        <v>114498.57836</v>
      </c>
      <c r="R54" s="10"/>
      <c r="S54" s="10"/>
      <c r="T54" s="10">
        <v>36162.2736</v>
      </c>
      <c r="U54" s="10"/>
      <c r="V54" s="10">
        <v>762846.31129300001</v>
      </c>
      <c r="W54" s="10"/>
      <c r="X54" s="10">
        <v>110103.29996400001</v>
      </c>
      <c r="Y54" s="10"/>
      <c r="Z54" s="10">
        <v>662621.26235347905</v>
      </c>
      <c r="AA54" s="10">
        <v>487593.95640000002</v>
      </c>
      <c r="AB54" s="10">
        <v>322322.82780000003</v>
      </c>
      <c r="AC54" s="10">
        <v>2983</v>
      </c>
      <c r="AD54" s="10">
        <v>112188.00476</v>
      </c>
      <c r="AE54" s="10">
        <v>102673.39448</v>
      </c>
      <c r="AF54" s="10">
        <v>15918</v>
      </c>
      <c r="AG54" s="10"/>
      <c r="AH54" s="10">
        <v>1624253.356619</v>
      </c>
      <c r="AI54" s="10">
        <v>43230.966800000002</v>
      </c>
      <c r="AJ54" s="10">
        <v>4406.18379</v>
      </c>
      <c r="AK54" s="10">
        <v>4998.875</v>
      </c>
      <c r="AL54" s="10"/>
      <c r="AM54" s="10">
        <v>101359.78942</v>
      </c>
      <c r="AN54" s="10">
        <v>3485.45</v>
      </c>
      <c r="AO54" s="10">
        <v>239672.13475</v>
      </c>
      <c r="AP54" s="10">
        <v>1995.6</v>
      </c>
      <c r="AQ54" s="10">
        <v>292388.67612000002</v>
      </c>
      <c r="AR54" s="10">
        <v>270246.38770000002</v>
      </c>
      <c r="AS54" s="10">
        <v>94139.712499999994</v>
      </c>
      <c r="AT54" s="10">
        <v>105407.8</v>
      </c>
      <c r="AU54" s="10">
        <v>290232.37975000002</v>
      </c>
      <c r="AV54" s="10"/>
      <c r="AW54" s="10"/>
      <c r="AX54" s="10">
        <v>45744.433900000004</v>
      </c>
      <c r="AY54" s="10">
        <v>506208.83219599997</v>
      </c>
      <c r="AZ54" s="10">
        <v>157560.05177799999</v>
      </c>
      <c r="BA54" s="10"/>
      <c r="BB54" s="10">
        <v>8706.9750000000004</v>
      </c>
      <c r="BC54" s="10">
        <v>79804.601597999994</v>
      </c>
      <c r="BD54" s="10"/>
      <c r="BE54" s="10">
        <v>2057.09375</v>
      </c>
      <c r="BF54" s="10"/>
      <c r="BG54" s="10"/>
      <c r="BH54" s="10"/>
      <c r="BI54" s="10"/>
      <c r="BJ54" s="10"/>
      <c r="BK54" s="10"/>
      <c r="BL54" s="10"/>
      <c r="BM54" s="10">
        <v>49.460045000000001</v>
      </c>
      <c r="BN54" s="10"/>
      <c r="BO54" s="10"/>
    </row>
    <row r="55" spans="1:67" x14ac:dyDescent="0.35">
      <c r="A55" s="8">
        <v>46126</v>
      </c>
      <c r="B55" s="9">
        <v>50713479.617562696</v>
      </c>
      <c r="C55" s="10">
        <v>18948553.366360199</v>
      </c>
      <c r="D55" s="10">
        <v>5230708.6517906096</v>
      </c>
      <c r="E55" s="10">
        <v>1628573.4473550001</v>
      </c>
      <c r="F55" s="10">
        <v>66745.544498999996</v>
      </c>
      <c r="G55" s="10">
        <v>9056306.6467757896</v>
      </c>
      <c r="H55" s="10">
        <v>6239339.5771599999</v>
      </c>
      <c r="I55" s="10">
        <v>58947.683625999998</v>
      </c>
      <c r="J55" s="10"/>
      <c r="K55" s="10">
        <v>38437.996182499999</v>
      </c>
      <c r="L55" s="10">
        <v>470144.63470599003</v>
      </c>
      <c r="M55" s="10">
        <v>1671566.1076201799</v>
      </c>
      <c r="N55" s="10">
        <v>256078.3326767</v>
      </c>
      <c r="O55" s="10">
        <v>48281.379778000002</v>
      </c>
      <c r="P55" s="10"/>
      <c r="Q55" s="10">
        <v>39773.764999999999</v>
      </c>
      <c r="R55" s="10"/>
      <c r="S55" s="10"/>
      <c r="T55" s="10"/>
      <c r="U55" s="10"/>
      <c r="V55" s="10">
        <v>10540.821249000001</v>
      </c>
      <c r="W55" s="10"/>
      <c r="X55" s="10">
        <v>356.58</v>
      </c>
      <c r="Y55" s="10">
        <v>219263.0259564</v>
      </c>
      <c r="Z55" s="10">
        <v>326758.09055451298</v>
      </c>
      <c r="AA55" s="10">
        <v>2337349.3684399999</v>
      </c>
      <c r="AB55" s="10">
        <v>14868.7</v>
      </c>
      <c r="AC55" s="10">
        <v>65400.231500000002</v>
      </c>
      <c r="AD55" s="10">
        <v>168269.6</v>
      </c>
      <c r="AE55" s="10">
        <v>143347.08575</v>
      </c>
      <c r="AF55" s="10">
        <v>275</v>
      </c>
      <c r="AG55" s="10"/>
      <c r="AH55" s="10">
        <v>148403.1507</v>
      </c>
      <c r="AI55" s="10">
        <v>29377.783243101301</v>
      </c>
      <c r="AJ55" s="10">
        <v>190136.31975699999</v>
      </c>
      <c r="AK55" s="10">
        <v>1782036</v>
      </c>
      <c r="AL55" s="10"/>
      <c r="AM55" s="10">
        <v>22501.259732750001</v>
      </c>
      <c r="AN55" s="10">
        <v>58068.438000000002</v>
      </c>
      <c r="AO55" s="10">
        <v>966913.86362995999</v>
      </c>
      <c r="AP55" s="10">
        <v>21565.399000000001</v>
      </c>
      <c r="AQ55" s="10">
        <v>129102.9754</v>
      </c>
      <c r="AR55" s="10">
        <v>3420.0823999999998</v>
      </c>
      <c r="AS55" s="10">
        <v>82614.462499999994</v>
      </c>
      <c r="AT55" s="10">
        <v>5091.7632800000001</v>
      </c>
      <c r="AU55" s="10">
        <v>7774.85</v>
      </c>
      <c r="AV55" s="10"/>
      <c r="AW55" s="10"/>
      <c r="AX55" s="10"/>
      <c r="AY55" s="10">
        <v>116021.02876</v>
      </c>
      <c r="AZ55" s="10">
        <v>5086.7206399999995</v>
      </c>
      <c r="BA55" s="10"/>
      <c r="BB55" s="10">
        <v>1994</v>
      </c>
      <c r="BC55" s="10">
        <v>2547.06</v>
      </c>
      <c r="BD55" s="10"/>
      <c r="BE55" s="10">
        <v>4953.5437499999998</v>
      </c>
      <c r="BF55" s="10">
        <v>1076.1600000000001</v>
      </c>
      <c r="BG55" s="10">
        <v>2460</v>
      </c>
      <c r="BH55" s="10">
        <v>68436.569799999997</v>
      </c>
      <c r="BI55" s="10"/>
      <c r="BJ55" s="10"/>
      <c r="BK55" s="10">
        <v>24012.54999</v>
      </c>
      <c r="BL55" s="10"/>
      <c r="BM55" s="10"/>
      <c r="BN55" s="10"/>
      <c r="BO55" s="10"/>
    </row>
    <row r="56" spans="1:67" x14ac:dyDescent="0.35">
      <c r="A56" s="8">
        <v>46125</v>
      </c>
      <c r="B56" s="9">
        <v>30504698.188023899</v>
      </c>
      <c r="C56" s="10">
        <v>4932714.4080457799</v>
      </c>
      <c r="D56" s="10">
        <v>6522695.4954487998</v>
      </c>
      <c r="E56" s="10">
        <v>517743.192476</v>
      </c>
      <c r="F56" s="10">
        <v>131050.16220000001</v>
      </c>
      <c r="G56" s="10">
        <v>10265194.3329792</v>
      </c>
      <c r="H56" s="10">
        <v>2064208.56608</v>
      </c>
      <c r="I56" s="10"/>
      <c r="J56" s="10"/>
      <c r="K56" s="10">
        <v>103726.234255</v>
      </c>
      <c r="L56" s="10">
        <v>281757.79308872198</v>
      </c>
      <c r="M56" s="10">
        <v>1439080.49754864</v>
      </c>
      <c r="N56" s="10">
        <v>232336.19866903999</v>
      </c>
      <c r="O56" s="10">
        <v>168168.70732967701</v>
      </c>
      <c r="P56" s="10"/>
      <c r="Q56" s="10">
        <v>87402.31</v>
      </c>
      <c r="R56" s="10"/>
      <c r="S56" s="10"/>
      <c r="T56" s="10"/>
      <c r="U56" s="10"/>
      <c r="V56" s="10">
        <v>156109.49137999999</v>
      </c>
      <c r="W56" s="10"/>
      <c r="X56" s="10">
        <v>131.50200000000001</v>
      </c>
      <c r="Y56" s="10">
        <v>3993.5411199999999</v>
      </c>
      <c r="Z56" s="10">
        <v>871534.17286169995</v>
      </c>
      <c r="AA56" s="10">
        <v>1415</v>
      </c>
      <c r="AB56" s="10"/>
      <c r="AC56" s="10">
        <v>58077.999792000002</v>
      </c>
      <c r="AD56" s="10">
        <v>76553.8</v>
      </c>
      <c r="AE56" s="10">
        <v>2204.9364999999998</v>
      </c>
      <c r="AF56" s="10"/>
      <c r="AG56" s="10">
        <v>383.39654400000001</v>
      </c>
      <c r="AH56" s="10">
        <v>635517.12667499995</v>
      </c>
      <c r="AI56" s="10">
        <v>63060.857650681799</v>
      </c>
      <c r="AJ56" s="10">
        <v>238704.36733479999</v>
      </c>
      <c r="AK56" s="10">
        <v>802178.3</v>
      </c>
      <c r="AL56" s="10"/>
      <c r="AM56" s="10">
        <v>130101.53110725</v>
      </c>
      <c r="AN56" s="10">
        <v>1497.45</v>
      </c>
      <c r="AO56" s="10">
        <v>8347.9962402309993</v>
      </c>
      <c r="AP56" s="10">
        <v>48812.023023000002</v>
      </c>
      <c r="AQ56" s="10">
        <v>341526.17888800002</v>
      </c>
      <c r="AR56" s="10">
        <v>9380</v>
      </c>
      <c r="AS56" s="10">
        <v>20029.248</v>
      </c>
      <c r="AT56" s="10">
        <v>1548.1136899999999</v>
      </c>
      <c r="AU56" s="10">
        <v>16991.237870000001</v>
      </c>
      <c r="AV56" s="10"/>
      <c r="AW56" s="10"/>
      <c r="AX56" s="10">
        <v>820.92650000000003</v>
      </c>
      <c r="AY56" s="10">
        <v>33138.5723</v>
      </c>
      <c r="AZ56" s="10">
        <v>18818.303854411999</v>
      </c>
      <c r="BA56" s="10"/>
      <c r="BB56" s="10">
        <v>64926.231862000001</v>
      </c>
      <c r="BC56" s="10">
        <v>23191.832999999999</v>
      </c>
      <c r="BD56" s="10"/>
      <c r="BE56" s="10"/>
      <c r="BF56" s="10"/>
      <c r="BG56" s="10">
        <v>38438.6</v>
      </c>
      <c r="BH56" s="10">
        <v>19798</v>
      </c>
      <c r="BI56" s="10"/>
      <c r="BJ56" s="10"/>
      <c r="BK56" s="10">
        <v>71389.55171</v>
      </c>
      <c r="BL56" s="10"/>
      <c r="BM56" s="10"/>
      <c r="BN56" s="10"/>
      <c r="BO56" s="10"/>
    </row>
    <row r="57" spans="1:67" x14ac:dyDescent="0.35">
      <c r="A57" s="8">
        <v>46124</v>
      </c>
      <c r="B57" s="9">
        <v>26513283.7073211</v>
      </c>
      <c r="C57" s="10">
        <v>847117.74775750004</v>
      </c>
      <c r="D57" s="10">
        <v>766890.70110903995</v>
      </c>
      <c r="E57" s="10">
        <v>98089.646391999995</v>
      </c>
      <c r="F57" s="10"/>
      <c r="G57" s="10">
        <v>19211437.3772486</v>
      </c>
      <c r="H57" s="10">
        <v>3951984</v>
      </c>
      <c r="I57" s="10"/>
      <c r="J57" s="10"/>
      <c r="K57" s="10">
        <v>117277.4078</v>
      </c>
      <c r="L57" s="10">
        <v>403388.00352899998</v>
      </c>
      <c r="M57" s="10">
        <v>392045.28764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>
        <v>48.875</v>
      </c>
      <c r="AF57" s="10"/>
      <c r="AG57" s="10"/>
      <c r="AH57" s="10">
        <v>577317.71750000003</v>
      </c>
      <c r="AI57" s="10">
        <v>16567.211345</v>
      </c>
      <c r="AJ57" s="10"/>
      <c r="AK57" s="10"/>
      <c r="AL57" s="10"/>
      <c r="AM57" s="10"/>
      <c r="AN57" s="10"/>
      <c r="AO57" s="10"/>
      <c r="AP57" s="10"/>
      <c r="AQ57" s="10">
        <v>29454</v>
      </c>
      <c r="AR57" s="10">
        <v>5184.4319999999998</v>
      </c>
      <c r="AS57" s="10">
        <v>83977.25</v>
      </c>
      <c r="AT57" s="10"/>
      <c r="AU57" s="10"/>
      <c r="AV57" s="10"/>
      <c r="AW57" s="10"/>
      <c r="AX57" s="10"/>
      <c r="AY57" s="10">
        <v>12504.05</v>
      </c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</row>
    <row r="58" spans="1:67" x14ac:dyDescent="0.35">
      <c r="A58" s="8">
        <v>46122</v>
      </c>
      <c r="B58" s="9">
        <v>105651137.947558</v>
      </c>
      <c r="C58" s="10">
        <v>81617907.756269202</v>
      </c>
      <c r="D58" s="10">
        <v>5658035.7294001002</v>
      </c>
      <c r="E58" s="10">
        <v>680488.58164500003</v>
      </c>
      <c r="F58" s="10">
        <v>579438.89643700002</v>
      </c>
      <c r="G58" s="10">
        <v>3229125.605062</v>
      </c>
      <c r="H58" s="10">
        <v>46310.609850000001</v>
      </c>
      <c r="I58" s="10">
        <v>108.23009500000001</v>
      </c>
      <c r="J58" s="10"/>
      <c r="K58" s="10">
        <v>111086.02714999999</v>
      </c>
      <c r="L58" s="10">
        <v>725341.86270486005</v>
      </c>
      <c r="M58" s="10">
        <v>3559774.5591759998</v>
      </c>
      <c r="N58" s="10">
        <v>622653.97109779005</v>
      </c>
      <c r="O58" s="10">
        <v>50125.957098999999</v>
      </c>
      <c r="P58" s="10"/>
      <c r="Q58" s="10">
        <v>220957.927964</v>
      </c>
      <c r="R58" s="10"/>
      <c r="S58" s="10"/>
      <c r="T58" s="10">
        <v>66.094176000000004</v>
      </c>
      <c r="U58" s="10"/>
      <c r="V58" s="10">
        <v>5677.0418</v>
      </c>
      <c r="W58" s="10"/>
      <c r="X58" s="10">
        <v>131.50200000000001</v>
      </c>
      <c r="Y58" s="10"/>
      <c r="Z58" s="10">
        <v>349003.10723939998</v>
      </c>
      <c r="AA58" s="10"/>
      <c r="AB58" s="10">
        <v>118030.2466</v>
      </c>
      <c r="AC58" s="10">
        <v>21662.651755999999</v>
      </c>
      <c r="AD58" s="10">
        <v>8281.7080000000005</v>
      </c>
      <c r="AE58" s="10">
        <v>4205.8908000000001</v>
      </c>
      <c r="AF58" s="10">
        <v>12050.0375</v>
      </c>
      <c r="AG58" s="10"/>
      <c r="AH58" s="10">
        <v>476537.42099999997</v>
      </c>
      <c r="AI58" s="10">
        <v>498131.90410832799</v>
      </c>
      <c r="AJ58" s="10">
        <v>259380.645565774</v>
      </c>
      <c r="AK58" s="10">
        <v>5569890.14934</v>
      </c>
      <c r="AL58" s="10"/>
      <c r="AM58" s="10">
        <v>288644.18086948199</v>
      </c>
      <c r="AN58" s="10"/>
      <c r="AO58" s="10">
        <v>64845.53196</v>
      </c>
      <c r="AP58" s="10">
        <v>5058.9192350000003</v>
      </c>
      <c r="AQ58" s="10">
        <v>9974.4234789999991</v>
      </c>
      <c r="AR58" s="10">
        <v>75673.493000000002</v>
      </c>
      <c r="AS58" s="10">
        <v>176099.89056</v>
      </c>
      <c r="AT58" s="10">
        <v>5625.4250000000002</v>
      </c>
      <c r="AU58" s="10">
        <v>9522.3848999999991</v>
      </c>
      <c r="AV58" s="10"/>
      <c r="AW58" s="10"/>
      <c r="AX58" s="10"/>
      <c r="AY58" s="10">
        <v>119722.655212</v>
      </c>
      <c r="AZ58" s="10">
        <v>2229.4499999999998</v>
      </c>
      <c r="BA58" s="10"/>
      <c r="BB58" s="10">
        <v>256516.38479800001</v>
      </c>
      <c r="BC58" s="10">
        <v>150579.08516399999</v>
      </c>
      <c r="BD58" s="10"/>
      <c r="BE58" s="10">
        <v>7935.2</v>
      </c>
      <c r="BF58" s="10">
        <v>1076.1600000000001</v>
      </c>
      <c r="BG58" s="10">
        <v>47990</v>
      </c>
      <c r="BH58" s="10">
        <v>1522.875</v>
      </c>
      <c r="BI58" s="10"/>
      <c r="BJ58" s="10"/>
      <c r="BK58" s="10">
        <v>249.125</v>
      </c>
      <c r="BL58" s="10"/>
      <c r="BM58" s="10">
        <v>3468.6495450000002</v>
      </c>
      <c r="BN58" s="10"/>
      <c r="BO58" s="10"/>
    </row>
    <row r="59" spans="1:67" x14ac:dyDescent="0.35">
      <c r="A59" s="8">
        <v>46121</v>
      </c>
      <c r="B59" s="9">
        <v>130719066.95933101</v>
      </c>
      <c r="C59" s="10">
        <v>87724982.792320907</v>
      </c>
      <c r="D59" s="10">
        <v>9896222.2601992004</v>
      </c>
      <c r="E59" s="10">
        <v>401153.73988378001</v>
      </c>
      <c r="F59" s="10">
        <v>948636.002737</v>
      </c>
      <c r="G59" s="10">
        <v>8158138.3686880004</v>
      </c>
      <c r="H59" s="10">
        <v>6429239.4693924999</v>
      </c>
      <c r="I59" s="10"/>
      <c r="J59" s="10"/>
      <c r="K59" s="10">
        <v>224715.22755000001</v>
      </c>
      <c r="L59" s="10">
        <v>773898.20045999996</v>
      </c>
      <c r="M59" s="10">
        <v>4780213.3070072504</v>
      </c>
      <c r="N59" s="10">
        <v>297426.48461286002</v>
      </c>
      <c r="O59" s="10">
        <v>166839.14305000001</v>
      </c>
      <c r="P59" s="10"/>
      <c r="Q59" s="10">
        <v>1051192.9931580001</v>
      </c>
      <c r="R59" s="10"/>
      <c r="S59" s="10">
        <v>31452.54</v>
      </c>
      <c r="T59" s="10">
        <v>4312.4274999999998</v>
      </c>
      <c r="U59" s="10"/>
      <c r="V59" s="10">
        <v>1094.3749</v>
      </c>
      <c r="W59" s="10"/>
      <c r="X59" s="10">
        <v>2998.4</v>
      </c>
      <c r="Y59" s="10"/>
      <c r="Z59" s="10">
        <v>432116.75647999998</v>
      </c>
      <c r="AA59" s="10"/>
      <c r="AB59" s="10">
        <v>6637.58</v>
      </c>
      <c r="AC59" s="10">
        <v>4980.5</v>
      </c>
      <c r="AD59" s="10">
        <v>3888.14</v>
      </c>
      <c r="AE59" s="10">
        <v>3998566.1162246899</v>
      </c>
      <c r="AF59" s="10">
        <v>35956.127874999998</v>
      </c>
      <c r="AG59" s="10"/>
      <c r="AH59" s="10">
        <v>1549104.916706</v>
      </c>
      <c r="AI59" s="10">
        <v>87261.343131560003</v>
      </c>
      <c r="AJ59" s="10">
        <v>122025.18948299999</v>
      </c>
      <c r="AK59" s="10">
        <v>2495234.4909999999</v>
      </c>
      <c r="AL59" s="10"/>
      <c r="AM59" s="10">
        <v>33018.105549350003</v>
      </c>
      <c r="AN59" s="10">
        <v>1198.4000000000001</v>
      </c>
      <c r="AO59" s="10">
        <v>91606.383625000002</v>
      </c>
      <c r="AP59" s="10">
        <v>7341.9541099999997</v>
      </c>
      <c r="AQ59" s="10">
        <v>1006.683979</v>
      </c>
      <c r="AR59" s="10">
        <v>73.387500000000003</v>
      </c>
      <c r="AS59" s="10">
        <v>539366.06805999996</v>
      </c>
      <c r="AT59" s="10">
        <v>206019.92</v>
      </c>
      <c r="AU59" s="10"/>
      <c r="AV59" s="10"/>
      <c r="AW59" s="10"/>
      <c r="AX59" s="10">
        <v>1568.7652634399999</v>
      </c>
      <c r="AY59" s="10">
        <v>48442.316099999996</v>
      </c>
      <c r="AZ59" s="10">
        <v>75783.399999999994</v>
      </c>
      <c r="BA59" s="10"/>
      <c r="BB59" s="10">
        <v>58564.891706000002</v>
      </c>
      <c r="BC59" s="10">
        <v>1951.554838</v>
      </c>
      <c r="BD59" s="10"/>
      <c r="BE59" s="10">
        <v>38.726739999999999</v>
      </c>
      <c r="BF59" s="10"/>
      <c r="BG59" s="10">
        <v>558.32000000000005</v>
      </c>
      <c r="BH59" s="10"/>
      <c r="BI59" s="10"/>
      <c r="BJ59" s="10"/>
      <c r="BK59" s="10"/>
      <c r="BL59" s="10"/>
      <c r="BM59" s="10">
        <v>24241.1895</v>
      </c>
      <c r="BN59" s="10"/>
      <c r="BO59" s="10"/>
    </row>
    <row r="60" spans="1:67" x14ac:dyDescent="0.35">
      <c r="A60" s="8">
        <v>46120</v>
      </c>
      <c r="B60" s="9">
        <v>247271399.672396</v>
      </c>
      <c r="C60" s="10">
        <v>145458653.62706199</v>
      </c>
      <c r="D60" s="10">
        <v>42613055.803856097</v>
      </c>
      <c r="E60" s="10">
        <v>360312.26725511998</v>
      </c>
      <c r="F60" s="10">
        <v>12655079.875430999</v>
      </c>
      <c r="G60" s="10">
        <v>24794729.553911</v>
      </c>
      <c r="H60" s="10">
        <v>4405456.8523800001</v>
      </c>
      <c r="I60" s="10">
        <v>169.969281</v>
      </c>
      <c r="J60" s="10"/>
      <c r="K60" s="10">
        <v>97257.909145600002</v>
      </c>
      <c r="L60" s="10">
        <v>5129753.5312843798</v>
      </c>
      <c r="M60" s="10">
        <v>1329402.76929958</v>
      </c>
      <c r="N60" s="10">
        <v>702599.42645324999</v>
      </c>
      <c r="O60" s="10">
        <v>39804.117715</v>
      </c>
      <c r="P60" s="10"/>
      <c r="Q60" s="10">
        <v>99921.673465</v>
      </c>
      <c r="R60" s="10"/>
      <c r="S60" s="10">
        <v>13479.66</v>
      </c>
      <c r="T60" s="10">
        <v>17944.592240000002</v>
      </c>
      <c r="U60" s="10"/>
      <c r="V60" s="10">
        <v>93293.814836999998</v>
      </c>
      <c r="W60" s="10"/>
      <c r="X60" s="10"/>
      <c r="Y60" s="10">
        <v>14584.272000000001</v>
      </c>
      <c r="Z60" s="10">
        <v>1598185.1275625399</v>
      </c>
      <c r="AA60" s="10">
        <v>68952.553709999993</v>
      </c>
      <c r="AB60" s="10">
        <v>136754.60819999999</v>
      </c>
      <c r="AC60" s="10">
        <v>21309.856110000001</v>
      </c>
      <c r="AD60" s="10">
        <v>12830.62</v>
      </c>
      <c r="AE60" s="10">
        <v>4003173.77649609</v>
      </c>
      <c r="AF60" s="10">
        <v>24030.527875</v>
      </c>
      <c r="AG60" s="10"/>
      <c r="AH60" s="10">
        <v>1027086.61957</v>
      </c>
      <c r="AI60" s="10">
        <v>135260.825993351</v>
      </c>
      <c r="AJ60" s="10">
        <v>96260.087961559999</v>
      </c>
      <c r="AK60" s="10">
        <v>894.15</v>
      </c>
      <c r="AL60" s="10"/>
      <c r="AM60" s="10">
        <v>398537.723720168</v>
      </c>
      <c r="AN60" s="10">
        <v>16823.55</v>
      </c>
      <c r="AO60" s="10">
        <v>59876.744850000003</v>
      </c>
      <c r="AP60" s="10"/>
      <c r="AQ60" s="10">
        <v>107145.267265</v>
      </c>
      <c r="AR60" s="10">
        <v>146728.31596000001</v>
      </c>
      <c r="AS60" s="10">
        <v>49924.5</v>
      </c>
      <c r="AT60" s="10">
        <v>42167.899590000001</v>
      </c>
      <c r="AU60" s="10">
        <v>6270.375</v>
      </c>
      <c r="AV60" s="10"/>
      <c r="AW60" s="10"/>
      <c r="AX60" s="10">
        <v>738222.2</v>
      </c>
      <c r="AY60" s="10">
        <v>108411.9376</v>
      </c>
      <c r="AZ60" s="10">
        <v>89075.677240999998</v>
      </c>
      <c r="BA60" s="10"/>
      <c r="BB60" s="10">
        <v>10267.25</v>
      </c>
      <c r="BC60" s="10">
        <v>502078.61172599997</v>
      </c>
      <c r="BD60" s="10"/>
      <c r="BE60" s="10">
        <v>3645.2</v>
      </c>
      <c r="BF60" s="10"/>
      <c r="BG60" s="10">
        <v>613.76</v>
      </c>
      <c r="BH60" s="10">
        <v>19858.390350000001</v>
      </c>
      <c r="BI60" s="10"/>
      <c r="BJ60" s="10"/>
      <c r="BK60" s="10">
        <v>21513.8</v>
      </c>
      <c r="BL60" s="10"/>
      <c r="BM60" s="10"/>
      <c r="BN60" s="10"/>
      <c r="BO60" s="10"/>
    </row>
    <row r="61" spans="1:67" x14ac:dyDescent="0.35">
      <c r="A61" s="8">
        <v>46119</v>
      </c>
      <c r="B61" s="9">
        <v>401552556.460069</v>
      </c>
      <c r="C61" s="10">
        <v>131170141.278494</v>
      </c>
      <c r="D61" s="10">
        <v>138026351.060298</v>
      </c>
      <c r="E61" s="10">
        <v>3789764.84213142</v>
      </c>
      <c r="F61" s="10">
        <v>45055079.604471996</v>
      </c>
      <c r="G61" s="10">
        <v>45812909.818498597</v>
      </c>
      <c r="H61" s="10">
        <v>26322391.540891699</v>
      </c>
      <c r="I61" s="10">
        <v>12706.338437</v>
      </c>
      <c r="J61" s="10"/>
      <c r="K61" s="10">
        <v>100339.82270257499</v>
      </c>
      <c r="L61" s="10">
        <v>2358696.6030613501</v>
      </c>
      <c r="M61" s="10">
        <v>2970581.9811688</v>
      </c>
      <c r="N61" s="10">
        <v>392544.85637210001</v>
      </c>
      <c r="O61" s="10">
        <v>41546.016000000003</v>
      </c>
      <c r="P61" s="10"/>
      <c r="Q61" s="10">
        <v>111613.50311999999</v>
      </c>
      <c r="R61" s="10"/>
      <c r="S61" s="10"/>
      <c r="T61" s="10">
        <v>3962.9258599999998</v>
      </c>
      <c r="U61" s="10"/>
      <c r="V61" s="10">
        <v>326827.497072</v>
      </c>
      <c r="W61" s="10"/>
      <c r="X61" s="10"/>
      <c r="Y61" s="10">
        <v>97</v>
      </c>
      <c r="Z61" s="10">
        <v>989029.06554013595</v>
      </c>
      <c r="AA61" s="10">
        <v>11029.21854</v>
      </c>
      <c r="AB61" s="10">
        <v>76804</v>
      </c>
      <c r="AC61" s="10">
        <v>12303.87196</v>
      </c>
      <c r="AD61" s="10">
        <v>3972.97379</v>
      </c>
      <c r="AE61" s="10">
        <v>17000.078307649299</v>
      </c>
      <c r="AF61" s="10">
        <v>8509.6026600000005</v>
      </c>
      <c r="AG61" s="10"/>
      <c r="AH61" s="10">
        <v>720764.71465650003</v>
      </c>
      <c r="AI61" s="10">
        <v>2166710.1448055999</v>
      </c>
      <c r="AJ61" s="10">
        <v>228036.50564852601</v>
      </c>
      <c r="AK61" s="10"/>
      <c r="AL61" s="10"/>
      <c r="AM61" s="10">
        <v>32556.503988119501</v>
      </c>
      <c r="AN61" s="10">
        <v>598.79999999999995</v>
      </c>
      <c r="AO61" s="10"/>
      <c r="AP61" s="10">
        <v>5489.5702799999999</v>
      </c>
      <c r="AQ61" s="10">
        <v>475425.10560000001</v>
      </c>
      <c r="AR61" s="10">
        <v>141171.36288</v>
      </c>
      <c r="AS61" s="10">
        <v>11266.588153000001</v>
      </c>
      <c r="AT61" s="10">
        <v>6346.37374</v>
      </c>
      <c r="AU61" s="10">
        <v>10923.311900000001</v>
      </c>
      <c r="AV61" s="10"/>
      <c r="AW61" s="10"/>
      <c r="AX61" s="10"/>
      <c r="AY61" s="10">
        <v>117804.2374</v>
      </c>
      <c r="AZ61" s="10">
        <v>6561.1895199999999</v>
      </c>
      <c r="BA61" s="10"/>
      <c r="BB61" s="10">
        <v>5945.0625</v>
      </c>
      <c r="BC61" s="10">
        <v>6300.5479999999998</v>
      </c>
      <c r="BD61" s="10"/>
      <c r="BE61" s="10"/>
      <c r="BF61" s="10"/>
      <c r="BG61" s="10"/>
      <c r="BH61" s="10"/>
      <c r="BI61" s="10"/>
      <c r="BJ61" s="10"/>
      <c r="BK61" s="10"/>
      <c r="BL61" s="10"/>
      <c r="BM61" s="10">
        <v>2452.9416200000001</v>
      </c>
      <c r="BN61" s="10"/>
      <c r="BO61" s="10"/>
    </row>
    <row r="62" spans="1:67" x14ac:dyDescent="0.35">
      <c r="A62" s="8">
        <v>46118</v>
      </c>
      <c r="B62" s="9">
        <v>276670940.36946499</v>
      </c>
      <c r="C62" s="10">
        <v>128073141.33747099</v>
      </c>
      <c r="D62" s="10">
        <v>10754522.1375413</v>
      </c>
      <c r="E62" s="10">
        <v>962813.12309999997</v>
      </c>
      <c r="F62" s="10">
        <v>107080152.412514</v>
      </c>
      <c r="G62" s="10">
        <v>9881042.9810892995</v>
      </c>
      <c r="H62" s="10">
        <v>15168831.16488</v>
      </c>
      <c r="I62" s="10"/>
      <c r="J62" s="10"/>
      <c r="K62" s="10">
        <v>152607.38863900001</v>
      </c>
      <c r="L62" s="10">
        <v>538124.36767239997</v>
      </c>
      <c r="M62" s="10">
        <v>700182.04482750001</v>
      </c>
      <c r="N62" s="10">
        <v>589380.24287079996</v>
      </c>
      <c r="O62" s="10">
        <v>344548.01000392099</v>
      </c>
      <c r="P62" s="10"/>
      <c r="Q62" s="10">
        <v>21768.605737000002</v>
      </c>
      <c r="R62" s="10"/>
      <c r="S62" s="10">
        <v>6384.3168680999997</v>
      </c>
      <c r="T62" s="10">
        <v>2663</v>
      </c>
      <c r="U62" s="10"/>
      <c r="V62" s="10">
        <v>1279.145</v>
      </c>
      <c r="W62" s="10"/>
      <c r="X62" s="10"/>
      <c r="Y62" s="10"/>
      <c r="Z62" s="10">
        <v>735340.83272546902</v>
      </c>
      <c r="AA62" s="10">
        <v>122970.7</v>
      </c>
      <c r="AB62" s="10">
        <v>25333.5</v>
      </c>
      <c r="AC62" s="10">
        <v>98.405963999999997</v>
      </c>
      <c r="AD62" s="10">
        <v>6783.2488720000001</v>
      </c>
      <c r="AE62" s="10"/>
      <c r="AF62" s="10">
        <v>3509.0549999999998</v>
      </c>
      <c r="AG62" s="10"/>
      <c r="AH62" s="10">
        <v>32453.132163499999</v>
      </c>
      <c r="AI62" s="10"/>
      <c r="AJ62" s="10">
        <v>203602.10474007</v>
      </c>
      <c r="AK62" s="10"/>
      <c r="AL62" s="10"/>
      <c r="AM62" s="10">
        <v>206688.16021110199</v>
      </c>
      <c r="AN62" s="10">
        <v>1485.4658999999999</v>
      </c>
      <c r="AO62" s="10"/>
      <c r="AP62" s="10"/>
      <c r="AQ62" s="10">
        <v>46316.839599999999</v>
      </c>
      <c r="AR62" s="10">
        <v>221432.76</v>
      </c>
      <c r="AS62" s="10">
        <v>120613.33854</v>
      </c>
      <c r="AT62" s="10">
        <v>1869.2488719999999</v>
      </c>
      <c r="AU62" s="10">
        <v>494647.74</v>
      </c>
      <c r="AV62" s="10"/>
      <c r="AW62" s="10"/>
      <c r="AX62" s="10"/>
      <c r="AY62" s="10">
        <v>101214.40893200001</v>
      </c>
      <c r="AZ62" s="10">
        <v>63461.233171</v>
      </c>
      <c r="BA62" s="10"/>
      <c r="BB62" s="10">
        <v>1495.75</v>
      </c>
      <c r="BC62" s="10">
        <v>1981.7180000000001</v>
      </c>
      <c r="BD62" s="10"/>
      <c r="BE62" s="10"/>
      <c r="BF62" s="10"/>
      <c r="BG62" s="10">
        <v>2202.4485599999998</v>
      </c>
      <c r="BH62" s="10"/>
      <c r="BI62" s="10"/>
      <c r="BJ62" s="10"/>
      <c r="BK62" s="10"/>
      <c r="BL62" s="10"/>
      <c r="BM62" s="10"/>
      <c r="BN62" s="10"/>
      <c r="BO62" s="10"/>
    </row>
    <row r="63" spans="1:67" x14ac:dyDescent="0.35">
      <c r="A63" s="8">
        <v>46117</v>
      </c>
      <c r="B63" s="9">
        <v>2075654.853624</v>
      </c>
      <c r="C63" s="10">
        <v>480574.05961699999</v>
      </c>
      <c r="D63" s="10">
        <v>109601.39643399999</v>
      </c>
      <c r="E63" s="10">
        <v>118597.921489</v>
      </c>
      <c r="F63" s="10"/>
      <c r="G63" s="10">
        <v>1182797.9887939999</v>
      </c>
      <c r="H63" s="10">
        <v>32418.835449999999</v>
      </c>
      <c r="I63" s="10"/>
      <c r="J63" s="10"/>
      <c r="K63" s="10">
        <v>360.05200000000002</v>
      </c>
      <c r="L63" s="10">
        <v>4430.6000000000004</v>
      </c>
      <c r="M63" s="10">
        <v>57586.507019999997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>
        <v>10135.5</v>
      </c>
      <c r="AS63" s="10">
        <v>553.01850000000002</v>
      </c>
      <c r="AT63" s="10"/>
      <c r="AU63" s="10"/>
      <c r="AV63" s="10"/>
      <c r="AW63" s="10"/>
      <c r="AX63" s="10"/>
      <c r="AY63" s="10">
        <v>47464.834999999999</v>
      </c>
      <c r="AZ63" s="10"/>
      <c r="BA63" s="10"/>
      <c r="BB63" s="10"/>
      <c r="BC63" s="10"/>
      <c r="BD63" s="10"/>
      <c r="BE63" s="10"/>
      <c r="BF63" s="10"/>
      <c r="BG63" s="10"/>
      <c r="BH63" s="10">
        <v>31134.139319999998</v>
      </c>
      <c r="BI63" s="10"/>
      <c r="BJ63" s="10"/>
      <c r="BK63" s="10"/>
      <c r="BL63" s="10"/>
      <c r="BM63" s="10"/>
      <c r="BN63" s="10"/>
      <c r="BO63" s="10"/>
    </row>
    <row r="64" spans="1:67" x14ac:dyDescent="0.35">
      <c r="A64" s="8">
        <v>46115</v>
      </c>
      <c r="B64" s="9">
        <v>10160187.293000299</v>
      </c>
      <c r="C64" s="10"/>
      <c r="D64" s="10"/>
      <c r="E64" s="10">
        <v>30625.544999999998</v>
      </c>
      <c r="F64" s="10"/>
      <c r="G64" s="10">
        <v>6541515.8267212603</v>
      </c>
      <c r="H64" s="10">
        <v>2670671.4242610298</v>
      </c>
      <c r="I64" s="10"/>
      <c r="J64" s="10"/>
      <c r="K64" s="10">
        <v>62020.043328</v>
      </c>
      <c r="L64" s="10"/>
      <c r="M64" s="10">
        <v>153983.03696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>
        <v>212230.58256000001</v>
      </c>
      <c r="AC64" s="10"/>
      <c r="AD64" s="10"/>
      <c r="AE64" s="10"/>
      <c r="AF64" s="10"/>
      <c r="AG64" s="10"/>
      <c r="AH64" s="10">
        <v>27462.442500000001</v>
      </c>
      <c r="AI64" s="10"/>
      <c r="AJ64" s="10"/>
      <c r="AK64" s="10"/>
      <c r="AL64" s="10"/>
      <c r="AM64" s="10"/>
      <c r="AN64" s="10"/>
      <c r="AO64" s="10"/>
      <c r="AP64" s="10"/>
      <c r="AQ64" s="10">
        <v>61291.611440000001</v>
      </c>
      <c r="AR64" s="10">
        <v>65922</v>
      </c>
      <c r="AS64" s="10">
        <v>203689.45759999999</v>
      </c>
      <c r="AT64" s="10"/>
      <c r="AU64" s="10"/>
      <c r="AV64" s="10"/>
      <c r="AW64" s="10"/>
      <c r="AX64" s="10"/>
      <c r="AY64" s="10">
        <v>130765.52763</v>
      </c>
      <c r="AZ64" s="10"/>
      <c r="BA64" s="10"/>
      <c r="BB64" s="10"/>
      <c r="BC64" s="10"/>
      <c r="BD64" s="10"/>
      <c r="BE64" s="10"/>
      <c r="BF64" s="10"/>
      <c r="BG64" s="10"/>
      <c r="BH64" s="10">
        <v>9.7949999999999999</v>
      </c>
      <c r="BI64" s="10"/>
      <c r="BJ64" s="10"/>
      <c r="BK64" s="10"/>
      <c r="BL64" s="10"/>
      <c r="BM64" s="10"/>
      <c r="BN64" s="10"/>
      <c r="BO64" s="10"/>
    </row>
    <row r="65" spans="1:67" x14ac:dyDescent="0.35">
      <c r="A65" s="8">
        <v>46114</v>
      </c>
      <c r="B65" s="9">
        <v>354992428.27200001</v>
      </c>
      <c r="C65" s="10">
        <v>190936867.85483399</v>
      </c>
      <c r="D65" s="10">
        <v>9625736.2863756493</v>
      </c>
      <c r="E65" s="10">
        <v>1846367.91565168</v>
      </c>
      <c r="F65" s="10">
        <v>94195750.298673704</v>
      </c>
      <c r="G65" s="10">
        <v>26860694.193804499</v>
      </c>
      <c r="H65" s="10">
        <v>16424902.825986</v>
      </c>
      <c r="I65" s="10">
        <v>219485.82243999999</v>
      </c>
      <c r="J65" s="10"/>
      <c r="K65" s="10">
        <v>1392175.2702764301</v>
      </c>
      <c r="L65" s="10">
        <v>2579676.4245549999</v>
      </c>
      <c r="M65" s="10">
        <v>336557.11381725001</v>
      </c>
      <c r="N65" s="10">
        <v>664569.42337313399</v>
      </c>
      <c r="O65" s="10">
        <v>34021.915099999998</v>
      </c>
      <c r="P65" s="10"/>
      <c r="Q65" s="10">
        <v>148281.00910316</v>
      </c>
      <c r="R65" s="10"/>
      <c r="S65" s="10">
        <v>376.36500000000001</v>
      </c>
      <c r="T65" s="10">
        <v>4089.65</v>
      </c>
      <c r="U65" s="10"/>
      <c r="V65" s="10">
        <v>1754.588</v>
      </c>
      <c r="W65" s="10"/>
      <c r="X65" s="10"/>
      <c r="Y65" s="10">
        <v>119518.8</v>
      </c>
      <c r="Z65" s="10">
        <v>884936.82839687099</v>
      </c>
      <c r="AA65" s="10">
        <v>48802</v>
      </c>
      <c r="AB65" s="10">
        <v>26280</v>
      </c>
      <c r="AC65" s="10">
        <v>109207.269699</v>
      </c>
      <c r="AD65" s="10">
        <v>115242.89304346</v>
      </c>
      <c r="AE65" s="10">
        <v>2034.6881000000001</v>
      </c>
      <c r="AF65" s="10">
        <v>203701.71246000001</v>
      </c>
      <c r="AG65" s="10"/>
      <c r="AH65" s="10">
        <v>1429656.361356</v>
      </c>
      <c r="AI65" s="10">
        <v>1915048.2376999999</v>
      </c>
      <c r="AJ65" s="10">
        <v>184959.21504107001</v>
      </c>
      <c r="AK65" s="10"/>
      <c r="AL65" s="10"/>
      <c r="AM65" s="10">
        <v>664468.29289988801</v>
      </c>
      <c r="AN65" s="10">
        <v>140630.196</v>
      </c>
      <c r="AO65" s="10">
        <v>37205.990121000003</v>
      </c>
      <c r="AP65" s="10">
        <v>7339.4541250000002</v>
      </c>
      <c r="AQ65" s="10">
        <v>162279.2672</v>
      </c>
      <c r="AR65" s="10">
        <v>56041.995199999998</v>
      </c>
      <c r="AS65" s="10">
        <v>115369.588213</v>
      </c>
      <c r="AT65" s="10">
        <v>7958</v>
      </c>
      <c r="AU65" s="10">
        <v>4974</v>
      </c>
      <c r="AV65" s="10"/>
      <c r="AW65" s="10"/>
      <c r="AX65" s="10">
        <v>3384836.25</v>
      </c>
      <c r="AY65" s="10">
        <v>5781.5332799999996</v>
      </c>
      <c r="AZ65" s="10">
        <v>49804.762214000002</v>
      </c>
      <c r="BA65" s="10"/>
      <c r="BB65" s="10"/>
      <c r="BC65" s="10">
        <v>37146.720000000001</v>
      </c>
      <c r="BD65" s="10"/>
      <c r="BE65" s="10"/>
      <c r="BF65" s="10"/>
      <c r="BG65" s="10">
        <v>781.20528000000002</v>
      </c>
      <c r="BH65" s="10">
        <v>7116.0546800000002</v>
      </c>
      <c r="BI65" s="10"/>
      <c r="BJ65" s="10"/>
      <c r="BK65" s="10"/>
      <c r="BL65" s="10"/>
      <c r="BM65" s="10"/>
      <c r="BN65" s="10"/>
      <c r="BO65" s="10"/>
    </row>
    <row r="66" spans="1:67" x14ac:dyDescent="0.35">
      <c r="A66" s="8">
        <v>46113</v>
      </c>
      <c r="B66" s="9">
        <v>148938616.74177501</v>
      </c>
      <c r="C66" s="10">
        <v>22744891.254227199</v>
      </c>
      <c r="D66" s="10">
        <v>69140405.725043595</v>
      </c>
      <c r="E66" s="10">
        <v>3190144.9545769999</v>
      </c>
      <c r="F66" s="10">
        <v>7452190.9372583004</v>
      </c>
      <c r="G66" s="10">
        <v>22536321.5437732</v>
      </c>
      <c r="H66" s="10">
        <v>3974428.5115899998</v>
      </c>
      <c r="I66" s="10">
        <v>248.875</v>
      </c>
      <c r="J66" s="10"/>
      <c r="K66" s="10">
        <v>7015875.33531</v>
      </c>
      <c r="L66" s="10">
        <v>2535226.81439596</v>
      </c>
      <c r="M66" s="10">
        <v>622323.57067060005</v>
      </c>
      <c r="N66" s="10">
        <v>747758.29737299995</v>
      </c>
      <c r="O66" s="10">
        <v>3258917.5149211502</v>
      </c>
      <c r="P66" s="10"/>
      <c r="Q66" s="10">
        <v>129796.498632</v>
      </c>
      <c r="R66" s="10"/>
      <c r="S66" s="10">
        <v>1148.6400149999999</v>
      </c>
      <c r="T66" s="10">
        <v>4640.9986600000002</v>
      </c>
      <c r="U66" s="10"/>
      <c r="V66" s="10">
        <v>271539.96835400001</v>
      </c>
      <c r="W66" s="10"/>
      <c r="X66" s="10"/>
      <c r="Y66" s="10">
        <v>1978</v>
      </c>
      <c r="Z66" s="10">
        <v>787487.00512630097</v>
      </c>
      <c r="AA66" s="10">
        <v>80367.25</v>
      </c>
      <c r="AB66" s="10">
        <v>159324.75</v>
      </c>
      <c r="AC66" s="10">
        <v>64046.717417499996</v>
      </c>
      <c r="AD66" s="10">
        <v>68155.267934999996</v>
      </c>
      <c r="AE66" s="10">
        <v>5703.5754393485104</v>
      </c>
      <c r="AF66" s="10">
        <v>900.99800000000005</v>
      </c>
      <c r="AG66" s="10">
        <v>9.7949999999999999</v>
      </c>
      <c r="AH66" s="10">
        <v>1856249.02680013</v>
      </c>
      <c r="AI66" s="10">
        <v>71014.313312500002</v>
      </c>
      <c r="AJ66" s="10">
        <v>164874.08676199999</v>
      </c>
      <c r="AK66" s="10"/>
      <c r="AL66" s="10"/>
      <c r="AM66" s="10">
        <v>658306.67191488994</v>
      </c>
      <c r="AN66" s="10">
        <v>162791.85999999999</v>
      </c>
      <c r="AO66" s="10">
        <v>12057.313560000001</v>
      </c>
      <c r="AP66" s="10">
        <v>14324.80413</v>
      </c>
      <c r="AQ66" s="10">
        <v>292887.26609500003</v>
      </c>
      <c r="AR66" s="10">
        <v>17830.5965</v>
      </c>
      <c r="AS66" s="10">
        <v>556378.64300000004</v>
      </c>
      <c r="AT66" s="10">
        <v>15278.272499999999</v>
      </c>
      <c r="AU66" s="10">
        <v>932.75</v>
      </c>
      <c r="AV66" s="10"/>
      <c r="AW66" s="10"/>
      <c r="AX66" s="10">
        <v>1907.1085880000001</v>
      </c>
      <c r="AY66" s="10">
        <v>255668.6912</v>
      </c>
      <c r="AZ66" s="10">
        <v>36369.937668999999</v>
      </c>
      <c r="BA66" s="10"/>
      <c r="BB66" s="10">
        <v>15575.747495</v>
      </c>
      <c r="BC66" s="10">
        <v>10262.4476</v>
      </c>
      <c r="BD66" s="10"/>
      <c r="BE66" s="10"/>
      <c r="BF66" s="10"/>
      <c r="BG66" s="10">
        <v>63.833129599999999</v>
      </c>
      <c r="BH66" s="10">
        <v>1362.6977999999999</v>
      </c>
      <c r="BI66" s="10"/>
      <c r="BJ66" s="10"/>
      <c r="BK66" s="10"/>
      <c r="BL66" s="10"/>
      <c r="BM66" s="10">
        <v>647.875</v>
      </c>
      <c r="BN66" s="10"/>
      <c r="BO66" s="10"/>
    </row>
    <row r="67" spans="1:67" x14ac:dyDescent="0.35">
      <c r="A67" s="8">
        <v>46112</v>
      </c>
      <c r="B67" s="9">
        <v>446593913.303469</v>
      </c>
      <c r="C67" s="10">
        <v>215784333.26685399</v>
      </c>
      <c r="D67" s="10">
        <v>92485562.499459505</v>
      </c>
      <c r="E67" s="10">
        <v>5217580.2120500002</v>
      </c>
      <c r="F67" s="10">
        <v>90005698.710883707</v>
      </c>
      <c r="G67" s="10">
        <v>22774271.617327001</v>
      </c>
      <c r="H67" s="10">
        <v>10265998.5708437</v>
      </c>
      <c r="I67" s="10">
        <v>58490</v>
      </c>
      <c r="J67" s="10"/>
      <c r="K67" s="10">
        <v>448785.76078499999</v>
      </c>
      <c r="L67" s="10">
        <v>780975.51420986606</v>
      </c>
      <c r="M67" s="10">
        <v>1014892.5268537001</v>
      </c>
      <c r="N67" s="10">
        <v>1288797.6110799999</v>
      </c>
      <c r="O67" s="10">
        <v>1000674.16493093</v>
      </c>
      <c r="P67" s="10"/>
      <c r="Q67" s="10">
        <v>608241.32021999999</v>
      </c>
      <c r="R67" s="10"/>
      <c r="S67" s="10">
        <v>61410</v>
      </c>
      <c r="T67" s="10">
        <v>997</v>
      </c>
      <c r="U67" s="10"/>
      <c r="V67" s="10">
        <v>22903.200000000001</v>
      </c>
      <c r="W67" s="10"/>
      <c r="X67" s="10"/>
      <c r="Y67" s="10">
        <v>97091.1</v>
      </c>
      <c r="Z67" s="10">
        <v>195863.484272</v>
      </c>
      <c r="AA67" s="10">
        <v>704373.25</v>
      </c>
      <c r="AB67" s="10">
        <v>136594</v>
      </c>
      <c r="AC67" s="10">
        <v>70936.190828499995</v>
      </c>
      <c r="AD67" s="10">
        <v>40331.130797999998</v>
      </c>
      <c r="AE67" s="10">
        <v>40851.596054302703</v>
      </c>
      <c r="AF67" s="10">
        <v>382334.98587500001</v>
      </c>
      <c r="AG67" s="10"/>
      <c r="AH67" s="10">
        <v>1088366.607149</v>
      </c>
      <c r="AI67" s="10">
        <v>24701.3</v>
      </c>
      <c r="AJ67" s="10">
        <v>234892.782171</v>
      </c>
      <c r="AK67" s="10"/>
      <c r="AL67" s="10"/>
      <c r="AM67" s="10">
        <v>449320.84497500001</v>
      </c>
      <c r="AN67" s="10">
        <v>8992.9500000000007</v>
      </c>
      <c r="AO67" s="10">
        <v>6178.1852410000001</v>
      </c>
      <c r="AP67" s="10">
        <v>2493.25</v>
      </c>
      <c r="AQ67" s="10">
        <v>386489.81621999998</v>
      </c>
      <c r="AR67" s="10">
        <v>11018.6736731</v>
      </c>
      <c r="AS67" s="10">
        <v>546313.3702</v>
      </c>
      <c r="AT67" s="10">
        <v>89173.880040000004</v>
      </c>
      <c r="AU67" s="10">
        <v>7708</v>
      </c>
      <c r="AV67" s="10"/>
      <c r="AW67" s="10"/>
      <c r="AX67" s="10"/>
      <c r="AY67" s="10">
        <v>80204.814395039997</v>
      </c>
      <c r="AZ67" s="10">
        <v>108634.43672</v>
      </c>
      <c r="BA67" s="10"/>
      <c r="BB67" s="10">
        <v>248.875</v>
      </c>
      <c r="BC67" s="10">
        <v>3208.4119999999998</v>
      </c>
      <c r="BD67" s="10"/>
      <c r="BE67" s="10"/>
      <c r="BF67" s="10"/>
      <c r="BG67" s="10">
        <v>20950.642360000002</v>
      </c>
      <c r="BH67" s="10">
        <v>37028.75</v>
      </c>
      <c r="BI67" s="10"/>
      <c r="BJ67" s="10"/>
      <c r="BK67" s="10"/>
      <c r="BL67" s="10"/>
      <c r="BM67" s="10"/>
      <c r="BN67" s="10"/>
      <c r="BO67" s="10"/>
    </row>
    <row r="68" spans="1:67" x14ac:dyDescent="0.35">
      <c r="A68" s="8">
        <v>46111</v>
      </c>
      <c r="B68" s="9">
        <v>174893859.75828299</v>
      </c>
      <c r="C68" s="10">
        <v>26922661.058831401</v>
      </c>
      <c r="D68" s="10">
        <v>48635588.973516397</v>
      </c>
      <c r="E68" s="10">
        <v>1938655.5836199999</v>
      </c>
      <c r="F68" s="10">
        <v>66641554.033312999</v>
      </c>
      <c r="G68" s="10">
        <v>9398742.8183347993</v>
      </c>
      <c r="H68" s="10">
        <v>6955067.4288360002</v>
      </c>
      <c r="I68" s="10">
        <v>5485.75</v>
      </c>
      <c r="J68" s="10"/>
      <c r="K68" s="10">
        <v>9716780.3823540006</v>
      </c>
      <c r="L68" s="10">
        <v>109402.66606564001</v>
      </c>
      <c r="M68" s="10">
        <v>694363.030745</v>
      </c>
      <c r="N68" s="10">
        <v>684953.81140000001</v>
      </c>
      <c r="O68" s="10">
        <v>710151.20351722499</v>
      </c>
      <c r="P68" s="10"/>
      <c r="Q68" s="10">
        <v>6418.375</v>
      </c>
      <c r="R68" s="10"/>
      <c r="S68" s="10"/>
      <c r="T68" s="10">
        <v>53303.290679999998</v>
      </c>
      <c r="U68" s="10"/>
      <c r="V68" s="10">
        <v>607481.75353800005</v>
      </c>
      <c r="W68" s="10"/>
      <c r="X68" s="10">
        <v>4492.3500000000004</v>
      </c>
      <c r="Y68" s="10">
        <v>5939</v>
      </c>
      <c r="Z68" s="10">
        <v>155075.10676</v>
      </c>
      <c r="AA68" s="10">
        <v>126986.7</v>
      </c>
      <c r="AB68" s="10">
        <v>192447.59158499999</v>
      </c>
      <c r="AC68" s="10">
        <v>582.24249999999995</v>
      </c>
      <c r="AD68" s="10">
        <v>101832.175</v>
      </c>
      <c r="AE68" s="10">
        <v>4144.1383245695997</v>
      </c>
      <c r="AF68" s="10"/>
      <c r="AG68" s="10"/>
      <c r="AH68" s="10">
        <v>628436.03200000001</v>
      </c>
      <c r="AI68" s="10">
        <v>24386.44125</v>
      </c>
      <c r="AJ68" s="10">
        <v>10270.434638999999</v>
      </c>
      <c r="AK68" s="10"/>
      <c r="AL68" s="10"/>
      <c r="AM68" s="10">
        <v>33845.569960000001</v>
      </c>
      <c r="AN68" s="10">
        <v>2341.2539999999999</v>
      </c>
      <c r="AO68" s="10">
        <v>14319.338433999999</v>
      </c>
      <c r="AP68" s="10">
        <v>68151.454119999995</v>
      </c>
      <c r="AQ68" s="10">
        <v>154264.19722500001</v>
      </c>
      <c r="AR68" s="10">
        <v>117892.82</v>
      </c>
      <c r="AS68" s="10">
        <v>5747.6165000000001</v>
      </c>
      <c r="AT68" s="10">
        <v>26346.895499999999</v>
      </c>
      <c r="AU68" s="10">
        <v>9949</v>
      </c>
      <c r="AV68" s="10"/>
      <c r="AW68" s="10"/>
      <c r="AX68" s="10">
        <v>526.910304</v>
      </c>
      <c r="AY68" s="10">
        <v>32220.453874999999</v>
      </c>
      <c r="AZ68" s="10">
        <v>24160.559143999999</v>
      </c>
      <c r="BA68" s="10"/>
      <c r="BB68" s="10">
        <v>109.39437</v>
      </c>
      <c r="BC68" s="10">
        <v>28506.673040999998</v>
      </c>
      <c r="BD68" s="10"/>
      <c r="BE68" s="10"/>
      <c r="BF68" s="10"/>
      <c r="BG68" s="10">
        <v>40275.25</v>
      </c>
      <c r="BH68" s="10"/>
      <c r="BI68" s="10"/>
      <c r="BJ68" s="10"/>
      <c r="BK68" s="10"/>
      <c r="BL68" s="10"/>
      <c r="BM68" s="10"/>
      <c r="BN68" s="10"/>
      <c r="BO68" s="10"/>
    </row>
    <row r="69" spans="1:67" x14ac:dyDescent="0.35">
      <c r="A69" s="8">
        <v>46110</v>
      </c>
      <c r="B69" s="9">
        <v>95300750.004053995</v>
      </c>
      <c r="C69" s="10">
        <v>956142.79553</v>
      </c>
      <c r="D69" s="10">
        <v>951560.02040200005</v>
      </c>
      <c r="E69" s="10">
        <v>82170.270229999995</v>
      </c>
      <c r="F69" s="10"/>
      <c r="G69" s="10">
        <v>3489233.83005</v>
      </c>
      <c r="H69" s="10">
        <v>19689.75</v>
      </c>
      <c r="I69" s="10"/>
      <c r="J69" s="10"/>
      <c r="K69" s="10">
        <v>89510583.506592005</v>
      </c>
      <c r="L69" s="10">
        <v>5191.5450000000001</v>
      </c>
      <c r="M69" s="10">
        <v>56339.28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>
        <v>3481.5</v>
      </c>
      <c r="AI69" s="10">
        <v>3579.4312500000001</v>
      </c>
      <c r="AJ69" s="10"/>
      <c r="AK69" s="10"/>
      <c r="AL69" s="10"/>
      <c r="AM69" s="10"/>
      <c r="AN69" s="10"/>
      <c r="AO69" s="10"/>
      <c r="AP69" s="10"/>
      <c r="AQ69" s="10">
        <v>45162</v>
      </c>
      <c r="AR69" s="10">
        <v>19985.5</v>
      </c>
      <c r="AS69" s="10"/>
      <c r="AT69" s="10"/>
      <c r="AU69" s="10"/>
      <c r="AV69" s="10"/>
      <c r="AW69" s="10"/>
      <c r="AX69" s="10">
        <v>67711.875</v>
      </c>
      <c r="AY69" s="10">
        <v>89918.7</v>
      </c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</row>
    <row r="70" spans="1:67" x14ac:dyDescent="0.35">
      <c r="A70" s="8">
        <v>46108</v>
      </c>
      <c r="B70" s="9">
        <v>318741590.43840802</v>
      </c>
      <c r="C70" s="10">
        <v>122170555.239011</v>
      </c>
      <c r="D70" s="10">
        <v>19676848.176522601</v>
      </c>
      <c r="E70" s="10">
        <v>2337066.22102118</v>
      </c>
      <c r="F70" s="10">
        <v>32416942.996636301</v>
      </c>
      <c r="G70" s="10">
        <v>8552075.6803687494</v>
      </c>
      <c r="H70" s="10">
        <v>4169437.2456479999</v>
      </c>
      <c r="I70" s="10">
        <v>5485.75</v>
      </c>
      <c r="J70" s="10"/>
      <c r="K70" s="10">
        <v>101698228.62826499</v>
      </c>
      <c r="L70" s="10">
        <v>14264927.236750999</v>
      </c>
      <c r="M70" s="10">
        <v>8037738.0230860002</v>
      </c>
      <c r="N70" s="10">
        <v>157864.03158000001</v>
      </c>
      <c r="O70" s="10">
        <v>456394.57318599999</v>
      </c>
      <c r="P70" s="10"/>
      <c r="Q70" s="10">
        <v>850464.09540999995</v>
      </c>
      <c r="R70" s="10"/>
      <c r="S70" s="10">
        <v>239.34</v>
      </c>
      <c r="T70" s="10"/>
      <c r="U70" s="10"/>
      <c r="V70" s="10">
        <v>20368.918129999998</v>
      </c>
      <c r="W70" s="10"/>
      <c r="X70" s="10">
        <v>102425.247703</v>
      </c>
      <c r="Y70" s="10">
        <v>989</v>
      </c>
      <c r="Z70" s="10">
        <v>613991.97374465305</v>
      </c>
      <c r="AA70" s="10">
        <v>111531.95239999999</v>
      </c>
      <c r="AB70" s="10">
        <v>196.2466</v>
      </c>
      <c r="AC70" s="10">
        <v>63385.98575</v>
      </c>
      <c r="AD70" s="10">
        <v>258191.31275000001</v>
      </c>
      <c r="AE70" s="10">
        <v>37274.199999999997</v>
      </c>
      <c r="AF70" s="10">
        <v>49.375</v>
      </c>
      <c r="AG70" s="10"/>
      <c r="AH70" s="10">
        <v>1527132.22918</v>
      </c>
      <c r="AI70" s="10">
        <v>140346.36249999999</v>
      </c>
      <c r="AJ70" s="10">
        <v>14546.614548</v>
      </c>
      <c r="AK70" s="10"/>
      <c r="AL70" s="10"/>
      <c r="AM70" s="10"/>
      <c r="AN70" s="10">
        <v>272.89706999999999</v>
      </c>
      <c r="AO70" s="10">
        <v>12506.516021699999</v>
      </c>
      <c r="AP70" s="10">
        <v>5186.0025500000002</v>
      </c>
      <c r="AQ70" s="10">
        <v>108154</v>
      </c>
      <c r="AR70" s="10">
        <v>178943.38949999999</v>
      </c>
      <c r="AS70" s="10">
        <v>231169.79462299999</v>
      </c>
      <c r="AT70" s="10">
        <v>106404.16220599999</v>
      </c>
      <c r="AU70" s="10">
        <v>46709</v>
      </c>
      <c r="AV70" s="10"/>
      <c r="AW70" s="10"/>
      <c r="AX70" s="10">
        <v>66755.524000000005</v>
      </c>
      <c r="AY70" s="10">
        <v>215054.55387500001</v>
      </c>
      <c r="AZ70" s="10">
        <v>23443.134883999999</v>
      </c>
      <c r="BA70" s="10"/>
      <c r="BB70" s="10">
        <v>11079.182887000001</v>
      </c>
      <c r="BC70" s="10">
        <v>73.75</v>
      </c>
      <c r="BD70" s="10"/>
      <c r="BE70" s="10"/>
      <c r="BF70" s="10"/>
      <c r="BG70" s="10">
        <v>13465.25</v>
      </c>
      <c r="BH70" s="10">
        <v>37028.75</v>
      </c>
      <c r="BI70" s="10"/>
      <c r="BJ70" s="10"/>
      <c r="BK70" s="10"/>
      <c r="BL70" s="10"/>
      <c r="BM70" s="10">
        <v>647.875</v>
      </c>
      <c r="BN70" s="10"/>
      <c r="BO70" s="10"/>
    </row>
    <row r="71" spans="1:67" x14ac:dyDescent="0.35">
      <c r="A71" s="8">
        <v>46107</v>
      </c>
      <c r="B71" s="9">
        <v>258044810.63913101</v>
      </c>
      <c r="C71" s="10">
        <v>170477751.12374401</v>
      </c>
      <c r="D71" s="10">
        <v>25760595.8002275</v>
      </c>
      <c r="E71" s="10">
        <v>3788221.0121613499</v>
      </c>
      <c r="F71" s="10">
        <v>2913558.279019</v>
      </c>
      <c r="G71" s="10">
        <v>8607436.2690120004</v>
      </c>
      <c r="H71" s="10">
        <v>11406100.354800001</v>
      </c>
      <c r="I71" s="10"/>
      <c r="J71" s="10"/>
      <c r="K71" s="10">
        <v>1684437.4757000001</v>
      </c>
      <c r="L71" s="10">
        <v>22513826.1531405</v>
      </c>
      <c r="M71" s="10">
        <v>6773009.6346789896</v>
      </c>
      <c r="N71" s="10">
        <v>299861.91324000002</v>
      </c>
      <c r="O71" s="10">
        <v>307977.639456</v>
      </c>
      <c r="P71" s="10"/>
      <c r="Q71" s="10">
        <v>209143.18484999999</v>
      </c>
      <c r="R71" s="10"/>
      <c r="S71" s="10">
        <v>29.784849999999999</v>
      </c>
      <c r="T71" s="10">
        <v>57.4</v>
      </c>
      <c r="U71" s="10"/>
      <c r="V71" s="10">
        <v>87461.510500000004</v>
      </c>
      <c r="W71" s="10"/>
      <c r="X71" s="10">
        <v>3523.8879200000001</v>
      </c>
      <c r="Y71" s="10">
        <v>1430.7853500000001</v>
      </c>
      <c r="Z71" s="10">
        <v>404418.889171922</v>
      </c>
      <c r="AA71" s="10">
        <v>470</v>
      </c>
      <c r="AB71" s="10"/>
      <c r="AC71" s="10">
        <v>43575.554230000002</v>
      </c>
      <c r="AD71" s="10">
        <v>19166.849999999999</v>
      </c>
      <c r="AE71" s="10">
        <v>422456.80053824</v>
      </c>
      <c r="AF71" s="10">
        <v>26049.49</v>
      </c>
      <c r="AG71" s="10"/>
      <c r="AH71" s="10">
        <v>350712.10251186998</v>
      </c>
      <c r="AI71" s="10">
        <v>15613.275</v>
      </c>
      <c r="AJ71" s="10">
        <v>146658.817364605</v>
      </c>
      <c r="AK71" s="10"/>
      <c r="AL71" s="10"/>
      <c r="AM71" s="10">
        <v>180435.507755</v>
      </c>
      <c r="AN71" s="10">
        <v>5876</v>
      </c>
      <c r="AO71" s="10">
        <v>390</v>
      </c>
      <c r="AP71" s="10"/>
      <c r="AQ71" s="10">
        <v>1736</v>
      </c>
      <c r="AR71" s="10">
        <v>387980</v>
      </c>
      <c r="AS71" s="10">
        <v>201600.72805899999</v>
      </c>
      <c r="AT71" s="10">
        <v>602435.93027799996</v>
      </c>
      <c r="AU71" s="10">
        <v>24973.52</v>
      </c>
      <c r="AV71" s="10"/>
      <c r="AW71" s="10"/>
      <c r="AX71" s="10">
        <v>9814.0083840000007</v>
      </c>
      <c r="AY71" s="10">
        <v>245432.95</v>
      </c>
      <c r="AZ71" s="10">
        <v>23522.645442000001</v>
      </c>
      <c r="BA71" s="10"/>
      <c r="BB71" s="10">
        <v>86447.759831999996</v>
      </c>
      <c r="BC71" s="10">
        <v>10242.793041000001</v>
      </c>
      <c r="BD71" s="10"/>
      <c r="BE71" s="10"/>
      <c r="BF71" s="10"/>
      <c r="BG71" s="10"/>
      <c r="BH71" s="10">
        <v>378.808875</v>
      </c>
      <c r="BI71" s="10"/>
      <c r="BJ71" s="10"/>
      <c r="BK71" s="10"/>
      <c r="BL71" s="10"/>
      <c r="BM71" s="10"/>
      <c r="BN71" s="10"/>
      <c r="BO71" s="10"/>
    </row>
    <row r="72" spans="1:67" x14ac:dyDescent="0.35">
      <c r="A72" s="8">
        <v>46106</v>
      </c>
      <c r="B72" s="9">
        <v>429894262.44787902</v>
      </c>
      <c r="C72" s="10">
        <v>399408830.819004</v>
      </c>
      <c r="D72" s="10">
        <v>896301.19191499997</v>
      </c>
      <c r="E72" s="10">
        <v>855104.63621000003</v>
      </c>
      <c r="F72" s="10">
        <v>5998157.3045190005</v>
      </c>
      <c r="G72" s="10">
        <v>3800538.4865290001</v>
      </c>
      <c r="H72" s="10">
        <v>3400410.02195</v>
      </c>
      <c r="I72" s="10">
        <v>248.875</v>
      </c>
      <c r="J72" s="10"/>
      <c r="K72" s="10">
        <v>293389.68478100002</v>
      </c>
      <c r="L72" s="10">
        <v>2480914.9034780301</v>
      </c>
      <c r="M72" s="10">
        <v>9257757.1242469996</v>
      </c>
      <c r="N72" s="10">
        <v>385816.29982999997</v>
      </c>
      <c r="O72" s="10">
        <v>173853.531976</v>
      </c>
      <c r="P72" s="10"/>
      <c r="Q72" s="10">
        <v>313691.94694499997</v>
      </c>
      <c r="R72" s="10"/>
      <c r="S72" s="10">
        <v>89864.4</v>
      </c>
      <c r="T72" s="10">
        <v>11984.335999999999</v>
      </c>
      <c r="U72" s="10"/>
      <c r="V72" s="10">
        <v>42892.800762999999</v>
      </c>
      <c r="W72" s="10"/>
      <c r="X72" s="10"/>
      <c r="Y72" s="10"/>
      <c r="Z72" s="10">
        <v>1063088.1547255199</v>
      </c>
      <c r="AA72" s="10">
        <v>60595.5</v>
      </c>
      <c r="AB72" s="10"/>
      <c r="AC72" s="10">
        <v>1004.2</v>
      </c>
      <c r="AD72" s="10">
        <v>90265.725139999995</v>
      </c>
      <c r="AE72" s="10">
        <v>418136.32895</v>
      </c>
      <c r="AF72" s="10">
        <v>197</v>
      </c>
      <c r="AG72" s="10">
        <v>1818.929844</v>
      </c>
      <c r="AH72" s="10">
        <v>279627.75</v>
      </c>
      <c r="AI72" s="10">
        <v>75343.020625000005</v>
      </c>
      <c r="AJ72" s="10">
        <v>97075.500349260299</v>
      </c>
      <c r="AK72" s="10"/>
      <c r="AL72" s="10"/>
      <c r="AM72" s="10">
        <v>180104.61068348799</v>
      </c>
      <c r="AN72" s="10"/>
      <c r="AO72" s="10">
        <v>1859.45</v>
      </c>
      <c r="AP72" s="10">
        <v>29361.066484999999</v>
      </c>
      <c r="AQ72" s="10">
        <v>18170.833760000001</v>
      </c>
      <c r="AR72" s="10">
        <v>47073.864999999998</v>
      </c>
      <c r="AS72" s="10">
        <v>4248.0635000000002</v>
      </c>
      <c r="AT72" s="10"/>
      <c r="AU72" s="10">
        <v>35464.352136000001</v>
      </c>
      <c r="AV72" s="10"/>
      <c r="AW72" s="10"/>
      <c r="AX72" s="10">
        <v>7386.5523999999996</v>
      </c>
      <c r="AY72" s="10">
        <v>39.787799999999997</v>
      </c>
      <c r="AZ72" s="10">
        <v>46650.771958999998</v>
      </c>
      <c r="BA72" s="10"/>
      <c r="BB72" s="10">
        <v>2782.3125</v>
      </c>
      <c r="BC72" s="10">
        <v>14243.5</v>
      </c>
      <c r="BD72" s="10"/>
      <c r="BE72" s="10"/>
      <c r="BF72" s="10"/>
      <c r="BG72" s="10">
        <v>9590</v>
      </c>
      <c r="BH72" s="10">
        <v>378.808875</v>
      </c>
      <c r="BI72" s="10"/>
      <c r="BJ72" s="10"/>
      <c r="BK72" s="10"/>
      <c r="BL72" s="10"/>
      <c r="BM72" s="10"/>
      <c r="BN72" s="10"/>
      <c r="BO72" s="10"/>
    </row>
    <row r="73" spans="1:67" x14ac:dyDescent="0.35">
      <c r="A73" s="8">
        <v>46105</v>
      </c>
      <c r="B73" s="9">
        <v>276839672.73035097</v>
      </c>
      <c r="C73" s="10">
        <v>116950941.217794</v>
      </c>
      <c r="D73" s="10">
        <v>25915147.029089801</v>
      </c>
      <c r="E73" s="10">
        <v>1985974.62056</v>
      </c>
      <c r="F73" s="10">
        <v>69732104.517428994</v>
      </c>
      <c r="G73" s="10">
        <v>3852401.8431020002</v>
      </c>
      <c r="H73" s="10">
        <v>5792171.9506000001</v>
      </c>
      <c r="I73" s="10">
        <v>58490</v>
      </c>
      <c r="J73" s="10"/>
      <c r="K73" s="10">
        <v>936008.25843799999</v>
      </c>
      <c r="L73" s="10">
        <v>4980951.1247081095</v>
      </c>
      <c r="M73" s="10">
        <v>7373689.2714999998</v>
      </c>
      <c r="N73" s="10">
        <v>230872.0607571</v>
      </c>
      <c r="O73" s="10">
        <v>237664.34984138599</v>
      </c>
      <c r="P73" s="10"/>
      <c r="Q73" s="10">
        <v>13965.6</v>
      </c>
      <c r="R73" s="10"/>
      <c r="S73" s="10"/>
      <c r="T73" s="10">
        <v>3488.4</v>
      </c>
      <c r="U73" s="10"/>
      <c r="V73" s="10">
        <v>113434.7503955</v>
      </c>
      <c r="W73" s="10"/>
      <c r="X73" s="10"/>
      <c r="Y73" s="10">
        <v>2967</v>
      </c>
      <c r="Z73" s="10">
        <v>1226134.3833300001</v>
      </c>
      <c r="AA73" s="10">
        <v>40569</v>
      </c>
      <c r="AB73" s="10">
        <v>34057537.852080002</v>
      </c>
      <c r="AC73" s="10">
        <v>36775.647499999999</v>
      </c>
      <c r="AD73" s="10">
        <v>352904.09272999997</v>
      </c>
      <c r="AE73" s="10">
        <v>35123.468983999999</v>
      </c>
      <c r="AF73" s="10">
        <v>117727.625</v>
      </c>
      <c r="AG73" s="10"/>
      <c r="AH73" s="10">
        <v>99838.378517000005</v>
      </c>
      <c r="AI73" s="10">
        <v>19132.113956000001</v>
      </c>
      <c r="AJ73" s="10">
        <v>397705.60998848698</v>
      </c>
      <c r="AK73" s="10"/>
      <c r="AL73" s="10"/>
      <c r="AM73" s="10">
        <v>448463.28080651199</v>
      </c>
      <c r="AN73" s="10">
        <v>11744.05</v>
      </c>
      <c r="AO73" s="10">
        <v>234434.816364</v>
      </c>
      <c r="AP73" s="10">
        <v>18960.22812</v>
      </c>
      <c r="AQ73" s="10">
        <v>139276.02124999999</v>
      </c>
      <c r="AR73" s="10">
        <v>6171.5794999999998</v>
      </c>
      <c r="AS73" s="10">
        <v>12339.773187000001</v>
      </c>
      <c r="AT73" s="10"/>
      <c r="AU73" s="10"/>
      <c r="AV73" s="10"/>
      <c r="AW73" s="10"/>
      <c r="AX73" s="10">
        <v>1007442.8856</v>
      </c>
      <c r="AY73" s="10">
        <v>32505.683000000001</v>
      </c>
      <c r="AZ73" s="10">
        <v>306330.40187300002</v>
      </c>
      <c r="BA73" s="10"/>
      <c r="BB73" s="10">
        <v>12188.12435</v>
      </c>
      <c r="BC73" s="10">
        <v>6499.72</v>
      </c>
      <c r="BD73" s="10"/>
      <c r="BE73" s="10"/>
      <c r="BF73" s="10"/>
      <c r="BG73" s="10"/>
      <c r="BH73" s="10">
        <v>39596</v>
      </c>
      <c r="BI73" s="10"/>
      <c r="BJ73" s="10"/>
      <c r="BK73" s="10"/>
      <c r="BL73" s="10"/>
      <c r="BM73" s="10"/>
      <c r="BN73" s="10"/>
      <c r="BO73" s="10"/>
    </row>
    <row r="74" spans="1:67" x14ac:dyDescent="0.35">
      <c r="A74" s="8">
        <v>46104</v>
      </c>
      <c r="B74" s="9">
        <v>290051014.28254098</v>
      </c>
      <c r="C74" s="10">
        <v>52913418.151259199</v>
      </c>
      <c r="D74" s="10">
        <v>99336769.572386593</v>
      </c>
      <c r="E74" s="10">
        <v>72727622.577555001</v>
      </c>
      <c r="F74" s="10">
        <v>120235.319225</v>
      </c>
      <c r="G74" s="10">
        <v>25691879.184438001</v>
      </c>
      <c r="H74" s="10">
        <v>17227659.002841599</v>
      </c>
      <c r="I74" s="10">
        <v>116980</v>
      </c>
      <c r="J74" s="10"/>
      <c r="K74" s="10">
        <v>982023.26700700005</v>
      </c>
      <c r="L74" s="10">
        <v>7640210.7301985798</v>
      </c>
      <c r="M74" s="10">
        <v>6940193.3334373897</v>
      </c>
      <c r="N74" s="10">
        <v>178559.53033889999</v>
      </c>
      <c r="O74" s="10">
        <v>416383.33078842098</v>
      </c>
      <c r="P74" s="10"/>
      <c r="Q74" s="10">
        <v>41636.318144999997</v>
      </c>
      <c r="R74" s="10"/>
      <c r="S74" s="10">
        <v>44932.2</v>
      </c>
      <c r="T74" s="10">
        <v>1467</v>
      </c>
      <c r="U74" s="10"/>
      <c r="V74" s="10">
        <v>15902.690721000001</v>
      </c>
      <c r="W74" s="10"/>
      <c r="X74" s="10">
        <v>1259.27</v>
      </c>
      <c r="Y74" s="10">
        <v>21376.5</v>
      </c>
      <c r="Z74" s="10">
        <v>1505674.450307</v>
      </c>
      <c r="AA74" s="10">
        <v>42589.25</v>
      </c>
      <c r="AB74" s="10"/>
      <c r="AC74" s="10">
        <v>62000.412250000001</v>
      </c>
      <c r="AD74" s="10">
        <v>3587.3</v>
      </c>
      <c r="AE74" s="10">
        <v>17981.729388258002</v>
      </c>
      <c r="AF74" s="10">
        <v>30365.634969999999</v>
      </c>
      <c r="AG74" s="10"/>
      <c r="AH74" s="10">
        <v>180618.37462148</v>
      </c>
      <c r="AI74" s="10">
        <v>2241962.21109046</v>
      </c>
      <c r="AJ74" s="10">
        <v>77166.809499400493</v>
      </c>
      <c r="AK74" s="10"/>
      <c r="AL74" s="10"/>
      <c r="AM74" s="10">
        <v>428647.66780499998</v>
      </c>
      <c r="AN74" s="10"/>
      <c r="AO74" s="10">
        <v>4974.9485340000001</v>
      </c>
      <c r="AP74" s="10">
        <v>55316.595025000002</v>
      </c>
      <c r="AQ74" s="10">
        <v>169775.77419</v>
      </c>
      <c r="AR74" s="10">
        <v>16172.1875</v>
      </c>
      <c r="AS74" s="10">
        <v>7948</v>
      </c>
      <c r="AT74" s="10">
        <v>4319.260456</v>
      </c>
      <c r="AU74" s="10"/>
      <c r="AV74" s="10"/>
      <c r="AW74" s="10"/>
      <c r="AX74" s="10">
        <v>8779.7976299999991</v>
      </c>
      <c r="AY74" s="10">
        <v>60059.158329999998</v>
      </c>
      <c r="AZ74" s="10">
        <v>503784.28956602002</v>
      </c>
      <c r="BA74" s="10"/>
      <c r="BB74" s="10">
        <v>187927.54569999999</v>
      </c>
      <c r="BC74" s="10">
        <v>16255.8794192</v>
      </c>
      <c r="BD74" s="10"/>
      <c r="BE74" s="10"/>
      <c r="BF74" s="10"/>
      <c r="BG74" s="10">
        <v>6483.25</v>
      </c>
      <c r="BH74" s="10">
        <v>115.77791775</v>
      </c>
      <c r="BI74" s="10"/>
      <c r="BJ74" s="10"/>
      <c r="BK74" s="10"/>
      <c r="BL74" s="10"/>
      <c r="BM74" s="10"/>
      <c r="BN74" s="10"/>
      <c r="BO74" s="10"/>
    </row>
    <row r="75" spans="1:67" x14ac:dyDescent="0.35">
      <c r="A75" s="8">
        <v>46103</v>
      </c>
      <c r="B75" s="9">
        <v>7029019.8160550501</v>
      </c>
      <c r="C75" s="10">
        <v>2299649.6947369999</v>
      </c>
      <c r="D75" s="10">
        <v>2297138.5876259999</v>
      </c>
      <c r="E75" s="10">
        <v>1844102.4975650499</v>
      </c>
      <c r="F75" s="10"/>
      <c r="G75" s="10">
        <v>110938.526715</v>
      </c>
      <c r="H75" s="10">
        <v>25183.52</v>
      </c>
      <c r="I75" s="10"/>
      <c r="J75" s="10"/>
      <c r="K75" s="10">
        <v>69687.901391000007</v>
      </c>
      <c r="L75" s="10">
        <v>236653.860395</v>
      </c>
      <c r="M75" s="10">
        <v>95420.782328000001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>
        <v>3720.375</v>
      </c>
      <c r="AI75" s="10">
        <v>2842.2280000000001</v>
      </c>
      <c r="AJ75" s="10"/>
      <c r="AK75" s="10"/>
      <c r="AL75" s="10"/>
      <c r="AM75" s="10"/>
      <c r="AN75" s="10"/>
      <c r="AO75" s="10"/>
      <c r="AP75" s="10"/>
      <c r="AQ75" s="10">
        <v>41749.757497999999</v>
      </c>
      <c r="AR75" s="10"/>
      <c r="AS75" s="10">
        <v>1932.0848000000001</v>
      </c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</row>
    <row r="76" spans="1:67" x14ac:dyDescent="0.35">
      <c r="A76" s="8">
        <v>46101</v>
      </c>
      <c r="B76" s="9">
        <v>58090381.073403403</v>
      </c>
      <c r="C76" s="10">
        <v>13116523.736390401</v>
      </c>
      <c r="D76" s="10">
        <v>13985543.624067301</v>
      </c>
      <c r="E76" s="10">
        <v>1273423.689127</v>
      </c>
      <c r="F76" s="10"/>
      <c r="G76" s="10">
        <v>5262982.4982110001</v>
      </c>
      <c r="H76" s="10">
        <v>13834820.59492</v>
      </c>
      <c r="I76" s="10">
        <v>1084.437555</v>
      </c>
      <c r="J76" s="10"/>
      <c r="K76" s="10">
        <v>544782.29484600003</v>
      </c>
      <c r="L76" s="10">
        <v>2609776.6800914402</v>
      </c>
      <c r="M76" s="10">
        <v>4945057.5877520004</v>
      </c>
      <c r="N76" s="10">
        <v>372894.05297720002</v>
      </c>
      <c r="O76" s="10">
        <v>285681.88053000002</v>
      </c>
      <c r="P76" s="10"/>
      <c r="Q76" s="10">
        <v>552356.5</v>
      </c>
      <c r="R76" s="10"/>
      <c r="S76" s="10"/>
      <c r="T76" s="10">
        <v>2783.6</v>
      </c>
      <c r="U76" s="10"/>
      <c r="V76" s="10">
        <v>23241.66086</v>
      </c>
      <c r="W76" s="10"/>
      <c r="X76" s="10">
        <v>5752.22</v>
      </c>
      <c r="Y76" s="10">
        <v>14526.27</v>
      </c>
      <c r="Z76" s="10">
        <v>230259.21511300001</v>
      </c>
      <c r="AA76" s="10">
        <v>199499.5</v>
      </c>
      <c r="AB76" s="10"/>
      <c r="AC76" s="10">
        <v>9751.0060799999992</v>
      </c>
      <c r="AD76" s="10">
        <v>22820.486400000002</v>
      </c>
      <c r="AE76" s="10">
        <v>39725.555</v>
      </c>
      <c r="AF76" s="10">
        <v>199</v>
      </c>
      <c r="AG76" s="10"/>
      <c r="AH76" s="10">
        <v>29728.373</v>
      </c>
      <c r="AI76" s="10">
        <v>34528.453000000001</v>
      </c>
      <c r="AJ76" s="10">
        <v>51888.045902294703</v>
      </c>
      <c r="AK76" s="10"/>
      <c r="AL76" s="10"/>
      <c r="AM76" s="10">
        <v>14117.190189999999</v>
      </c>
      <c r="AN76" s="10">
        <v>913.02750000000003</v>
      </c>
      <c r="AO76" s="10">
        <v>134942.16000800001</v>
      </c>
      <c r="AP76" s="10">
        <v>2469.5124999999998</v>
      </c>
      <c r="AQ76" s="10">
        <v>179995.46679999999</v>
      </c>
      <c r="AR76" s="10">
        <v>90374.928799999994</v>
      </c>
      <c r="AS76" s="10">
        <v>111515.5016</v>
      </c>
      <c r="AT76" s="10">
        <v>13255.26376</v>
      </c>
      <c r="AU76" s="10"/>
      <c r="AV76" s="10"/>
      <c r="AW76" s="10"/>
      <c r="AX76" s="10">
        <v>12151.46113</v>
      </c>
      <c r="AY76" s="10">
        <v>2211.25</v>
      </c>
      <c r="AZ76" s="10">
        <v>66552.595186399994</v>
      </c>
      <c r="BA76" s="10"/>
      <c r="BB76" s="10">
        <v>6171.2898240000004</v>
      </c>
      <c r="BC76" s="10">
        <v>6064.5060000000003</v>
      </c>
      <c r="BD76" s="10"/>
      <c r="BE76" s="10"/>
      <c r="BF76" s="10"/>
      <c r="BG76" s="10">
        <v>15.9582824</v>
      </c>
      <c r="BH76" s="10"/>
      <c r="BI76" s="10"/>
      <c r="BJ76" s="10"/>
      <c r="BK76" s="10"/>
      <c r="BL76" s="10"/>
      <c r="BM76" s="10"/>
      <c r="BN76" s="10"/>
      <c r="BO76" s="10"/>
    </row>
    <row r="77" spans="1:67" x14ac:dyDescent="0.35">
      <c r="A77" s="8">
        <v>46100</v>
      </c>
      <c r="B77" s="9">
        <v>250346907.430031</v>
      </c>
      <c r="C77" s="10">
        <v>55606370.549508899</v>
      </c>
      <c r="D77" s="10">
        <v>145614515.201693</v>
      </c>
      <c r="E77" s="10">
        <v>1364194.7066039999</v>
      </c>
      <c r="F77" s="10"/>
      <c r="G77" s="10">
        <v>3298758.3108950001</v>
      </c>
      <c r="H77" s="10">
        <v>5961616.77152</v>
      </c>
      <c r="I77" s="10">
        <v>65008</v>
      </c>
      <c r="J77" s="10"/>
      <c r="K77" s="10">
        <v>411435.17206499999</v>
      </c>
      <c r="L77" s="10">
        <v>20681891.347515799</v>
      </c>
      <c r="M77" s="10">
        <v>6612807.0892373398</v>
      </c>
      <c r="N77" s="10">
        <v>649515.59331779997</v>
      </c>
      <c r="O77" s="10">
        <v>2029743.2481559999</v>
      </c>
      <c r="P77" s="10"/>
      <c r="Q77" s="10">
        <v>174585.05</v>
      </c>
      <c r="R77" s="10"/>
      <c r="S77" s="10"/>
      <c r="T77" s="10">
        <v>2593</v>
      </c>
      <c r="U77" s="10"/>
      <c r="V77" s="10">
        <v>199645.5</v>
      </c>
      <c r="W77" s="10"/>
      <c r="X77" s="10">
        <v>2998.4</v>
      </c>
      <c r="Y77" s="10">
        <v>4678561.05</v>
      </c>
      <c r="Z77" s="10">
        <v>571007.94458000001</v>
      </c>
      <c r="AA77" s="10">
        <v>3779</v>
      </c>
      <c r="AB77" s="10">
        <v>11799.4113</v>
      </c>
      <c r="AC77" s="10">
        <v>187356.60702600001</v>
      </c>
      <c r="AD77" s="10">
        <v>32655.963960000001</v>
      </c>
      <c r="AE77" s="10">
        <v>149533.61171999999</v>
      </c>
      <c r="AF77" s="10">
        <v>313.73143090000002</v>
      </c>
      <c r="AG77" s="10"/>
      <c r="AH77" s="10">
        <v>282823.28934762802</v>
      </c>
      <c r="AI77" s="10">
        <v>137484.33176999999</v>
      </c>
      <c r="AJ77" s="10">
        <v>609.255</v>
      </c>
      <c r="AK77" s="10"/>
      <c r="AL77" s="10"/>
      <c r="AM77" s="10">
        <v>273261.95732355898</v>
      </c>
      <c r="AN77" s="10">
        <v>960.65549999999996</v>
      </c>
      <c r="AO77" s="10">
        <v>107099.16004610001</v>
      </c>
      <c r="AP77" s="10"/>
      <c r="AQ77" s="10">
        <v>226942.36605400001</v>
      </c>
      <c r="AR77" s="10">
        <v>9380</v>
      </c>
      <c r="AS77" s="10">
        <v>44204.048000000003</v>
      </c>
      <c r="AT77" s="10">
        <v>11576.00275</v>
      </c>
      <c r="AU77" s="10"/>
      <c r="AV77" s="10"/>
      <c r="AW77" s="10"/>
      <c r="AX77" s="10">
        <v>9584.0625</v>
      </c>
      <c r="AY77" s="10">
        <v>51907.5</v>
      </c>
      <c r="AZ77" s="10">
        <v>694509.00461168005</v>
      </c>
      <c r="BA77" s="10"/>
      <c r="BB77" s="10">
        <v>124054.20329</v>
      </c>
      <c r="BC77" s="10">
        <v>56800.330176000003</v>
      </c>
      <c r="BD77" s="10"/>
      <c r="BE77" s="10"/>
      <c r="BF77" s="10"/>
      <c r="BG77" s="10">
        <v>4687.75</v>
      </c>
      <c r="BH77" s="10">
        <v>338.25313225000002</v>
      </c>
      <c r="BI77" s="10"/>
      <c r="BJ77" s="10"/>
      <c r="BK77" s="10"/>
      <c r="BL77" s="10"/>
      <c r="BM77" s="10"/>
      <c r="BN77" s="10"/>
      <c r="BO77" s="10"/>
    </row>
    <row r="78" spans="1:67" x14ac:dyDescent="0.35">
      <c r="A78" s="8">
        <v>46099</v>
      </c>
      <c r="B78" s="9">
        <v>220813083.815368</v>
      </c>
      <c r="C78" s="10">
        <v>23521533.6670966</v>
      </c>
      <c r="D78" s="10">
        <v>166737929.065716</v>
      </c>
      <c r="E78" s="10">
        <v>913309.93801501906</v>
      </c>
      <c r="F78" s="10"/>
      <c r="G78" s="10">
        <v>3666976.5433095</v>
      </c>
      <c r="H78" s="10">
        <v>5453619.2385339998</v>
      </c>
      <c r="I78" s="10"/>
      <c r="J78" s="10"/>
      <c r="K78" s="10">
        <v>854681.26502499997</v>
      </c>
      <c r="L78" s="10">
        <v>2443415.370079</v>
      </c>
      <c r="M78" s="10">
        <v>13440584.742523</v>
      </c>
      <c r="N78" s="10">
        <v>725090.30865999998</v>
      </c>
      <c r="O78" s="10">
        <v>493269.943564457</v>
      </c>
      <c r="P78" s="10"/>
      <c r="Q78" s="10">
        <v>16240.588296</v>
      </c>
      <c r="R78" s="10"/>
      <c r="S78" s="10"/>
      <c r="T78" s="10">
        <v>37909.103040000002</v>
      </c>
      <c r="U78" s="10"/>
      <c r="V78" s="10">
        <v>44918.418749999997</v>
      </c>
      <c r="W78" s="10"/>
      <c r="X78" s="10"/>
      <c r="Y78" s="10">
        <v>98</v>
      </c>
      <c r="Z78" s="10">
        <v>307268.75640970003</v>
      </c>
      <c r="AA78" s="10">
        <v>98536</v>
      </c>
      <c r="AB78" s="10">
        <v>37667.559800000003</v>
      </c>
      <c r="AC78" s="10">
        <v>92498.042499999996</v>
      </c>
      <c r="AD78" s="10">
        <v>26995.515869999999</v>
      </c>
      <c r="AE78" s="10">
        <v>3189.8184221830802</v>
      </c>
      <c r="AF78" s="10">
        <v>75995.43406</v>
      </c>
      <c r="AG78" s="10"/>
      <c r="AH78" s="10">
        <v>229229.14595999999</v>
      </c>
      <c r="AI78" s="10">
        <v>42639.013002</v>
      </c>
      <c r="AJ78" s="10">
        <v>124314.17854735799</v>
      </c>
      <c r="AK78" s="10"/>
      <c r="AL78" s="10"/>
      <c r="AM78" s="10">
        <v>379961.82322240301</v>
      </c>
      <c r="AN78" s="10">
        <v>595</v>
      </c>
      <c r="AO78" s="10">
        <v>33411.983645</v>
      </c>
      <c r="AP78" s="10">
        <v>4020.0230230000002</v>
      </c>
      <c r="AQ78" s="10">
        <v>112487.306054</v>
      </c>
      <c r="AR78" s="10">
        <v>58.82</v>
      </c>
      <c r="AS78" s="10">
        <v>29745.1525</v>
      </c>
      <c r="AT78" s="10">
        <v>59.599809999999998</v>
      </c>
      <c r="AU78" s="10">
        <v>49476</v>
      </c>
      <c r="AV78" s="10"/>
      <c r="AW78" s="10"/>
      <c r="AX78" s="10">
        <v>17577.879560934402</v>
      </c>
      <c r="AY78" s="10">
        <v>62703.543150160003</v>
      </c>
      <c r="AZ78" s="10">
        <v>173197.20563800001</v>
      </c>
      <c r="BA78" s="10"/>
      <c r="BB78" s="10">
        <v>63928.879540000002</v>
      </c>
      <c r="BC78" s="10">
        <v>10382.33267</v>
      </c>
      <c r="BD78" s="10"/>
      <c r="BE78" s="10"/>
      <c r="BF78" s="10"/>
      <c r="BG78" s="10"/>
      <c r="BH78" s="10">
        <v>487568.609375</v>
      </c>
      <c r="BI78" s="10"/>
      <c r="BJ78" s="10"/>
      <c r="BK78" s="10"/>
      <c r="BL78" s="10"/>
      <c r="BM78" s="10"/>
      <c r="BN78" s="10"/>
      <c r="BO78" s="10"/>
    </row>
    <row r="79" spans="1:67" x14ac:dyDescent="0.35">
      <c r="A79" s="8">
        <v>46098</v>
      </c>
      <c r="B79" s="9">
        <v>201103318.90491399</v>
      </c>
      <c r="C79" s="10">
        <v>6627307.4421114996</v>
      </c>
      <c r="D79" s="10">
        <v>142167729.346315</v>
      </c>
      <c r="E79" s="10">
        <v>277911.77098536002</v>
      </c>
      <c r="F79" s="10"/>
      <c r="G79" s="10">
        <v>13020849.4560837</v>
      </c>
      <c r="H79" s="10">
        <v>2351779.2219429999</v>
      </c>
      <c r="I79" s="10">
        <v>194980</v>
      </c>
      <c r="J79" s="10"/>
      <c r="K79" s="10">
        <v>531302.70819999999</v>
      </c>
      <c r="L79" s="10">
        <v>316575.04761180998</v>
      </c>
      <c r="M79" s="10">
        <v>32859347.612155501</v>
      </c>
      <c r="N79" s="10">
        <v>74520.476569999999</v>
      </c>
      <c r="O79" s="10">
        <v>234170.99380200001</v>
      </c>
      <c r="P79" s="10"/>
      <c r="Q79" s="10">
        <v>79305.707240000003</v>
      </c>
      <c r="R79" s="10"/>
      <c r="S79" s="10">
        <v>3192.2</v>
      </c>
      <c r="T79" s="10">
        <v>1593.25</v>
      </c>
      <c r="U79" s="10"/>
      <c r="V79" s="10">
        <v>208989.859035</v>
      </c>
      <c r="W79" s="10"/>
      <c r="X79" s="10">
        <v>113.27518000000001</v>
      </c>
      <c r="Y79" s="10">
        <v>201395.37715499999</v>
      </c>
      <c r="Z79" s="10">
        <v>278815.06734000001</v>
      </c>
      <c r="AA79" s="10">
        <v>215459.20000000001</v>
      </c>
      <c r="AB79" s="10"/>
      <c r="AC79" s="10">
        <v>44144.35</v>
      </c>
      <c r="AD79" s="10">
        <v>12225.752064</v>
      </c>
      <c r="AE79" s="10">
        <v>21607.0883098739</v>
      </c>
      <c r="AF79" s="10">
        <v>7352</v>
      </c>
      <c r="AG79" s="10"/>
      <c r="AH79" s="10">
        <v>36391.15</v>
      </c>
      <c r="AI79" s="10">
        <v>31970.9126774256</v>
      </c>
      <c r="AJ79" s="10">
        <v>112826.384587514</v>
      </c>
      <c r="AK79" s="10"/>
      <c r="AL79" s="10"/>
      <c r="AM79" s="10">
        <v>216975.09845413701</v>
      </c>
      <c r="AN79" s="10">
        <v>44.666249999999998</v>
      </c>
      <c r="AO79" s="10">
        <v>11889.2271489</v>
      </c>
      <c r="AP79" s="10">
        <v>121535.10440500001</v>
      </c>
      <c r="AQ79" s="10">
        <v>82420.830499999996</v>
      </c>
      <c r="AR79" s="10">
        <v>10135.5</v>
      </c>
      <c r="AS79" s="10">
        <v>7511.3265000000001</v>
      </c>
      <c r="AT79" s="10">
        <v>3043.5998100000002</v>
      </c>
      <c r="AU79" s="10">
        <v>32319.125</v>
      </c>
      <c r="AV79" s="10"/>
      <c r="AW79" s="10"/>
      <c r="AX79" s="10">
        <v>25726.5190773711</v>
      </c>
      <c r="AY79" s="10">
        <v>46870.914604799997</v>
      </c>
      <c r="AZ79" s="10">
        <v>527855.02612699999</v>
      </c>
      <c r="BA79" s="10"/>
      <c r="BB79" s="10">
        <v>100412</v>
      </c>
      <c r="BC79" s="10">
        <v>253.44266999999999</v>
      </c>
      <c r="BD79" s="10"/>
      <c r="BE79" s="10"/>
      <c r="BF79" s="10"/>
      <c r="BG79" s="10">
        <v>2038.375</v>
      </c>
      <c r="BH79" s="10">
        <v>2432.5</v>
      </c>
      <c r="BI79" s="10"/>
      <c r="BJ79" s="10"/>
      <c r="BK79" s="10"/>
      <c r="BL79" s="10"/>
      <c r="BM79" s="10"/>
      <c r="BN79" s="10"/>
      <c r="BO7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57" width="14" customWidth="1"/>
  </cols>
  <sheetData>
    <row r="1" spans="1:57" x14ac:dyDescent="0.35">
      <c r="A1" s="1" t="s">
        <v>0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3" t="s">
        <v>2</v>
      </c>
      <c r="I1" s="3" t="s">
        <v>2</v>
      </c>
      <c r="J1" s="3" t="s">
        <v>2</v>
      </c>
      <c r="K1" s="2" t="s">
        <v>1</v>
      </c>
      <c r="L1" s="3" t="s">
        <v>2</v>
      </c>
      <c r="M1" s="2" t="s">
        <v>1</v>
      </c>
      <c r="N1" s="6" t="s">
        <v>5</v>
      </c>
      <c r="O1" s="3" t="s">
        <v>2</v>
      </c>
      <c r="P1" s="4" t="s">
        <v>3</v>
      </c>
      <c r="Q1" s="6" t="s">
        <v>5</v>
      </c>
      <c r="R1" s="6" t="s">
        <v>5</v>
      </c>
      <c r="S1" s="3" t="s">
        <v>2</v>
      </c>
      <c r="T1" s="2" t="s">
        <v>1</v>
      </c>
      <c r="U1" s="4" t="s">
        <v>3</v>
      </c>
      <c r="V1" s="3" t="s">
        <v>2</v>
      </c>
      <c r="W1" s="3" t="s">
        <v>2</v>
      </c>
      <c r="X1" s="3" t="s">
        <v>2</v>
      </c>
      <c r="Y1" s="3" t="s">
        <v>2</v>
      </c>
      <c r="Z1" s="3" t="s">
        <v>2</v>
      </c>
      <c r="AA1" s="4" t="s">
        <v>3</v>
      </c>
      <c r="AB1" s="3" t="s">
        <v>2</v>
      </c>
      <c r="AC1" s="3" t="s">
        <v>2</v>
      </c>
      <c r="AD1" s="3" t="s">
        <v>2</v>
      </c>
      <c r="AE1" s="3" t="s">
        <v>2</v>
      </c>
      <c r="AF1" s="3" t="s">
        <v>2</v>
      </c>
      <c r="AG1" s="6" t="s">
        <v>5</v>
      </c>
      <c r="AH1" s="3" t="s">
        <v>2</v>
      </c>
      <c r="AI1" s="6" t="s">
        <v>5</v>
      </c>
      <c r="AJ1" s="6" t="s">
        <v>5</v>
      </c>
      <c r="AK1" s="3" t="s">
        <v>2</v>
      </c>
      <c r="AL1" s="3" t="s">
        <v>2</v>
      </c>
      <c r="AM1" s="3" t="s">
        <v>2</v>
      </c>
      <c r="AN1" s="5" t="s">
        <v>4</v>
      </c>
      <c r="AO1" s="3" t="s">
        <v>2</v>
      </c>
      <c r="AP1" s="4" t="s">
        <v>3</v>
      </c>
      <c r="AQ1" s="3" t="s">
        <v>2</v>
      </c>
      <c r="AR1" s="4" t="s">
        <v>3</v>
      </c>
      <c r="AS1" s="5" t="s">
        <v>4</v>
      </c>
      <c r="AT1" s="4" t="s">
        <v>3</v>
      </c>
      <c r="AU1" s="3" t="s">
        <v>2</v>
      </c>
      <c r="AV1" s="6" t="s">
        <v>5</v>
      </c>
      <c r="AW1" s="4" t="s">
        <v>3</v>
      </c>
      <c r="AX1" s="2" t="s">
        <v>1</v>
      </c>
      <c r="AY1" s="6" t="s">
        <v>5</v>
      </c>
      <c r="AZ1" s="3" t="s">
        <v>2</v>
      </c>
      <c r="BA1" s="4" t="s">
        <v>3</v>
      </c>
      <c r="BB1" s="3" t="s">
        <v>2</v>
      </c>
      <c r="BC1" s="3" t="s">
        <v>2</v>
      </c>
      <c r="BD1" s="3" t="s">
        <v>2</v>
      </c>
      <c r="BE1" s="12" t="s">
        <v>248</v>
      </c>
    </row>
    <row r="2" spans="1:57" x14ac:dyDescent="0.35">
      <c r="A2" s="7" t="s">
        <v>6</v>
      </c>
      <c r="B2" s="7" t="s">
        <v>7</v>
      </c>
      <c r="C2" s="7" t="s">
        <v>8</v>
      </c>
      <c r="D2" s="7" t="s">
        <v>10</v>
      </c>
      <c r="E2" s="7" t="s">
        <v>9</v>
      </c>
      <c r="F2" s="7" t="s">
        <v>249</v>
      </c>
      <c r="G2" s="7" t="s">
        <v>24</v>
      </c>
      <c r="H2" s="7" t="s">
        <v>15</v>
      </c>
      <c r="I2" s="7" t="s">
        <v>12</v>
      </c>
      <c r="J2" s="7" t="s">
        <v>250</v>
      </c>
      <c r="K2" s="7" t="s">
        <v>33</v>
      </c>
      <c r="L2" s="7" t="s">
        <v>16</v>
      </c>
      <c r="M2" s="7" t="s">
        <v>36</v>
      </c>
      <c r="N2" s="7" t="s">
        <v>251</v>
      </c>
      <c r="O2" s="7" t="s">
        <v>18</v>
      </c>
      <c r="P2" s="7" t="s">
        <v>34</v>
      </c>
      <c r="Q2" s="7" t="s">
        <v>199</v>
      </c>
      <c r="R2" s="7" t="s">
        <v>139</v>
      </c>
      <c r="S2" s="7" t="s">
        <v>17</v>
      </c>
      <c r="T2" s="7" t="s">
        <v>22</v>
      </c>
      <c r="U2" s="7" t="s">
        <v>28</v>
      </c>
      <c r="V2" s="7" t="s">
        <v>21</v>
      </c>
      <c r="W2" s="7" t="s">
        <v>19</v>
      </c>
      <c r="X2" s="7" t="s">
        <v>13</v>
      </c>
      <c r="Y2" s="7" t="s">
        <v>252</v>
      </c>
      <c r="Z2" s="7" t="s">
        <v>14</v>
      </c>
      <c r="AA2" s="7" t="s">
        <v>253</v>
      </c>
      <c r="AB2" s="7" t="s">
        <v>27</v>
      </c>
      <c r="AC2" s="7" t="s">
        <v>254</v>
      </c>
      <c r="AD2" s="7" t="s">
        <v>32</v>
      </c>
      <c r="AE2" s="7" t="s">
        <v>25</v>
      </c>
      <c r="AF2" s="7" t="s">
        <v>31</v>
      </c>
      <c r="AG2" s="7" t="s">
        <v>155</v>
      </c>
      <c r="AH2" s="7" t="s">
        <v>26</v>
      </c>
      <c r="AI2" s="7" t="s">
        <v>217</v>
      </c>
      <c r="AJ2" s="7" t="s">
        <v>213</v>
      </c>
      <c r="AK2" s="7" t="s">
        <v>23</v>
      </c>
      <c r="AL2" s="7" t="s">
        <v>39</v>
      </c>
      <c r="AM2" s="7" t="s">
        <v>29</v>
      </c>
      <c r="AN2" s="7" t="s">
        <v>35</v>
      </c>
      <c r="AO2" s="7" t="s">
        <v>104</v>
      </c>
      <c r="AP2" s="7" t="s">
        <v>20</v>
      </c>
      <c r="AQ2" s="7" t="s">
        <v>255</v>
      </c>
      <c r="AR2" s="7" t="s">
        <v>256</v>
      </c>
      <c r="AS2" s="7" t="s">
        <v>202</v>
      </c>
      <c r="AT2" s="7" t="s">
        <v>257</v>
      </c>
      <c r="AU2" s="7" t="s">
        <v>258</v>
      </c>
      <c r="AV2" s="7" t="s">
        <v>215</v>
      </c>
      <c r="AW2" s="7" t="s">
        <v>259</v>
      </c>
      <c r="AX2" s="7" t="s">
        <v>260</v>
      </c>
      <c r="AY2" s="7" t="s">
        <v>221</v>
      </c>
      <c r="AZ2" s="7" t="s">
        <v>43</v>
      </c>
      <c r="BA2" s="7" t="s">
        <v>261</v>
      </c>
      <c r="BB2" s="7" t="s">
        <v>37</v>
      </c>
      <c r="BC2" s="7" t="s">
        <v>262</v>
      </c>
      <c r="BD2" s="7" t="s">
        <v>67</v>
      </c>
      <c r="BE2" s="7" t="s">
        <v>263</v>
      </c>
    </row>
    <row r="3" spans="1:57" x14ac:dyDescent="0.35">
      <c r="A3" s="8">
        <v>46162</v>
      </c>
      <c r="B3" s="9">
        <v>141943788.36540899</v>
      </c>
      <c r="C3" s="10">
        <v>51956947.9598369</v>
      </c>
      <c r="D3" s="10">
        <v>35692288.916367099</v>
      </c>
      <c r="E3" s="10">
        <v>9965391.6977219395</v>
      </c>
      <c r="F3" s="10">
        <v>7002191.9601619998</v>
      </c>
      <c r="G3" s="10">
        <v>181407.77674599999</v>
      </c>
      <c r="H3" s="10">
        <v>5893500.9680000003</v>
      </c>
      <c r="I3" s="10">
        <v>1818538.7151899999</v>
      </c>
      <c r="J3" s="10">
        <v>778301.00898499996</v>
      </c>
      <c r="K3" s="10">
        <v>308065.22486699797</v>
      </c>
      <c r="L3" s="10">
        <v>6697564.706452</v>
      </c>
      <c r="M3" s="10">
        <v>390355.62592999899</v>
      </c>
      <c r="N3" s="10">
        <v>102920.657288</v>
      </c>
      <c r="O3" s="10">
        <v>1332754.7876790001</v>
      </c>
      <c r="P3" s="10">
        <v>1526671.8842810099</v>
      </c>
      <c r="Q3" s="10">
        <v>52744.757760997403</v>
      </c>
      <c r="R3" s="10">
        <v>551151.25189099903</v>
      </c>
      <c r="S3" s="10">
        <v>1209110.0895159999</v>
      </c>
      <c r="T3" s="10">
        <v>534684.08114799997</v>
      </c>
      <c r="U3" s="10">
        <v>797680.06792800105</v>
      </c>
      <c r="V3" s="10">
        <v>393577.57280300098</v>
      </c>
      <c r="W3" s="10">
        <v>470963.55093299999</v>
      </c>
      <c r="X3" s="10">
        <v>717685.87908700097</v>
      </c>
      <c r="Y3" s="10">
        <v>811675.78596100002</v>
      </c>
      <c r="Z3" s="10">
        <v>866039.58948299999</v>
      </c>
      <c r="AA3" s="10">
        <v>268741.77632</v>
      </c>
      <c r="AB3" s="10">
        <v>390026.55694099999</v>
      </c>
      <c r="AC3" s="10">
        <v>522658.89360800001</v>
      </c>
      <c r="AD3" s="10">
        <v>313757.97753200098</v>
      </c>
      <c r="AE3" s="10">
        <v>57842.5185519999</v>
      </c>
      <c r="AF3" s="10">
        <v>287247.83124999999</v>
      </c>
      <c r="AG3" s="10">
        <v>316055.08956599998</v>
      </c>
      <c r="AH3" s="10">
        <v>101726.867747</v>
      </c>
      <c r="AI3" s="10">
        <v>253092.05210299999</v>
      </c>
      <c r="AJ3" s="10">
        <v>312402.5858</v>
      </c>
      <c r="AK3" s="10">
        <v>73933.291373999804</v>
      </c>
      <c r="AL3" s="10">
        <v>30093.801514999999</v>
      </c>
      <c r="AM3" s="10">
        <v>140277.00976399999</v>
      </c>
      <c r="AN3" s="10">
        <v>879507.791646</v>
      </c>
      <c r="AO3" s="10">
        <v>166748.84706299999</v>
      </c>
      <c r="AP3" s="10">
        <v>889461.89030199999</v>
      </c>
      <c r="AQ3" s="10">
        <v>55753.588814000002</v>
      </c>
      <c r="AR3" s="10">
        <v>4463532.7907739999</v>
      </c>
      <c r="AS3" s="10">
        <v>94203.259883999999</v>
      </c>
      <c r="AT3" s="10">
        <v>2157490.7810940002</v>
      </c>
      <c r="AU3" s="10"/>
      <c r="AV3" s="10">
        <v>29304.852996000001</v>
      </c>
      <c r="AW3" s="10"/>
      <c r="AX3" s="10">
        <v>45362.530630000001</v>
      </c>
      <c r="AY3" s="10">
        <v>12682.961557000001</v>
      </c>
      <c r="AZ3" s="10">
        <v>1919.912186</v>
      </c>
      <c r="BA3" s="10">
        <v>13035.437988</v>
      </c>
      <c r="BB3" s="10">
        <v>3133.7149909999998</v>
      </c>
      <c r="BC3" s="10">
        <v>9862.7167090000003</v>
      </c>
      <c r="BD3" s="10">
        <v>1420.3985190000001</v>
      </c>
      <c r="BE3" s="10">
        <v>296.12216699999999</v>
      </c>
    </row>
    <row r="4" spans="1:57" x14ac:dyDescent="0.35">
      <c r="A4" s="8">
        <v>46161</v>
      </c>
      <c r="B4" s="9">
        <v>131985608.104816</v>
      </c>
      <c r="C4" s="10">
        <v>53913882.991526</v>
      </c>
      <c r="D4" s="10">
        <v>11700086.775851</v>
      </c>
      <c r="E4" s="10">
        <v>24564773.997273002</v>
      </c>
      <c r="F4" s="10">
        <v>2745469.8775109998</v>
      </c>
      <c r="G4" s="10">
        <v>215989.46004800001</v>
      </c>
      <c r="H4" s="10">
        <v>8985195.7820209991</v>
      </c>
      <c r="I4" s="10">
        <v>2618710.749665</v>
      </c>
      <c r="J4" s="10">
        <v>2779053.6558659999</v>
      </c>
      <c r="K4" s="10">
        <v>650317.308846</v>
      </c>
      <c r="L4" s="10">
        <v>2239960.9763799999</v>
      </c>
      <c r="M4" s="10">
        <v>359211.02794100001</v>
      </c>
      <c r="N4" s="10">
        <v>96964.837731000007</v>
      </c>
      <c r="O4" s="10">
        <v>1360332.7639850001</v>
      </c>
      <c r="P4" s="10">
        <v>1449345.957159</v>
      </c>
      <c r="Q4" s="10">
        <v>255305.06501399999</v>
      </c>
      <c r="R4" s="10">
        <v>1311600.8383460001</v>
      </c>
      <c r="S4" s="10">
        <v>1010985.517347</v>
      </c>
      <c r="T4" s="10">
        <v>495903.67447500001</v>
      </c>
      <c r="U4" s="10">
        <v>825349.90826599998</v>
      </c>
      <c r="V4" s="10">
        <v>191985.285729</v>
      </c>
      <c r="W4" s="10">
        <v>491812.98661199998</v>
      </c>
      <c r="X4" s="10">
        <v>354351.79609100003</v>
      </c>
      <c r="Y4" s="10">
        <v>2822154.9062970001</v>
      </c>
      <c r="Z4" s="10">
        <v>2703185.6917170002</v>
      </c>
      <c r="AA4" s="10">
        <v>61213.867321999998</v>
      </c>
      <c r="AB4" s="10">
        <v>485707.60018800001</v>
      </c>
      <c r="AC4" s="10">
        <v>305368.07188399998</v>
      </c>
      <c r="AD4" s="10">
        <v>421368.65575400001</v>
      </c>
      <c r="AE4" s="10">
        <v>82854.271619000006</v>
      </c>
      <c r="AF4" s="10">
        <v>116443.05096399999</v>
      </c>
      <c r="AG4" s="10">
        <v>762597.56701200001</v>
      </c>
      <c r="AH4" s="10">
        <v>90878.313714999997</v>
      </c>
      <c r="AI4" s="10">
        <v>720467.86248500005</v>
      </c>
      <c r="AJ4" s="10">
        <v>718328.22502400004</v>
      </c>
      <c r="AK4" s="10">
        <v>184589.651706</v>
      </c>
      <c r="AL4" s="10">
        <v>129832.51733</v>
      </c>
      <c r="AM4" s="10">
        <v>61045.913115000003</v>
      </c>
      <c r="AN4" s="10">
        <v>3001358.5523089999</v>
      </c>
      <c r="AO4" s="10">
        <v>184345.85785100001</v>
      </c>
      <c r="AP4" s="10">
        <v>189205.43328299999</v>
      </c>
      <c r="AQ4" s="10">
        <v>36603.360427</v>
      </c>
      <c r="AR4" s="10"/>
      <c r="AS4" s="10">
        <v>156547.34521199999</v>
      </c>
      <c r="AT4" s="10">
        <v>20015.241067999999</v>
      </c>
      <c r="AU4" s="10"/>
      <c r="AV4" s="10">
        <v>4644.7418040000002</v>
      </c>
      <c r="AW4" s="10"/>
      <c r="AX4" s="10">
        <v>44075.111911</v>
      </c>
      <c r="AY4" s="10">
        <v>6922.3562650000003</v>
      </c>
      <c r="AZ4" s="10">
        <v>2639.4121049999999</v>
      </c>
      <c r="BA4" s="10">
        <v>42534.698195999998</v>
      </c>
      <c r="BB4" s="10">
        <v>3646.6946280000002</v>
      </c>
      <c r="BC4" s="10">
        <v>7242.0847709999998</v>
      </c>
      <c r="BD4" s="10">
        <v>2915.369314</v>
      </c>
      <c r="BE4" s="10">
        <v>284.44585699999999</v>
      </c>
    </row>
    <row r="5" spans="1:57" x14ac:dyDescent="0.35">
      <c r="A5" s="8">
        <v>46160</v>
      </c>
      <c r="B5" s="9">
        <v>219236579.03599799</v>
      </c>
      <c r="C5" s="10">
        <v>120573211.538937</v>
      </c>
      <c r="D5" s="10">
        <v>25959385.350818999</v>
      </c>
      <c r="E5" s="10">
        <v>15264705.215792</v>
      </c>
      <c r="F5" s="10">
        <v>10366503.134613</v>
      </c>
      <c r="G5" s="10">
        <v>402342.03327800002</v>
      </c>
      <c r="H5" s="10">
        <v>14507433.424174</v>
      </c>
      <c r="I5" s="10">
        <v>4755155.5358870002</v>
      </c>
      <c r="J5" s="10">
        <v>111054.99965100001</v>
      </c>
      <c r="K5" s="10">
        <v>381315.99947899999</v>
      </c>
      <c r="L5" s="10">
        <v>3290532.3547060001</v>
      </c>
      <c r="M5" s="10">
        <v>285596.52768</v>
      </c>
      <c r="N5" s="10">
        <v>79610.307528999998</v>
      </c>
      <c r="O5" s="10">
        <v>1758155.670716</v>
      </c>
      <c r="P5" s="10">
        <v>1414732.165119</v>
      </c>
      <c r="Q5" s="10">
        <v>139675.730052</v>
      </c>
      <c r="R5" s="10">
        <v>843880.82903999998</v>
      </c>
      <c r="S5" s="10">
        <v>1815811.463613</v>
      </c>
      <c r="T5" s="10">
        <v>390909.67355800001</v>
      </c>
      <c r="U5" s="10">
        <v>1340407.992383</v>
      </c>
      <c r="V5" s="10">
        <v>1256982.1926190001</v>
      </c>
      <c r="W5" s="10">
        <v>879322.70294300001</v>
      </c>
      <c r="X5" s="10">
        <v>850875.52352399996</v>
      </c>
      <c r="Y5" s="10">
        <v>495155.06778400001</v>
      </c>
      <c r="Z5" s="10">
        <v>3304576.9353829999</v>
      </c>
      <c r="AA5" s="10">
        <v>80303.523830999999</v>
      </c>
      <c r="AB5" s="10">
        <v>848576.11947399995</v>
      </c>
      <c r="AC5" s="10">
        <v>294989.98691500002</v>
      </c>
      <c r="AD5" s="10">
        <v>793715.52781899995</v>
      </c>
      <c r="AE5" s="10">
        <v>92078.673081000001</v>
      </c>
      <c r="AF5" s="10">
        <v>178273.261894</v>
      </c>
      <c r="AG5" s="10">
        <v>474737.586236</v>
      </c>
      <c r="AH5" s="10">
        <v>261982.48671100001</v>
      </c>
      <c r="AI5" s="10">
        <v>377417.12594900001</v>
      </c>
      <c r="AJ5" s="10">
        <v>391015.89931499999</v>
      </c>
      <c r="AK5" s="10">
        <v>421161.34552999999</v>
      </c>
      <c r="AL5" s="10">
        <v>97819.318396000002</v>
      </c>
      <c r="AM5" s="10">
        <v>214605.24505200001</v>
      </c>
      <c r="AN5" s="10">
        <v>1744017.3571279999</v>
      </c>
      <c r="AO5" s="10">
        <v>338510.28296699998</v>
      </c>
      <c r="AP5" s="10">
        <v>1146343.8413490001</v>
      </c>
      <c r="AQ5" s="10">
        <v>32001.075227000001</v>
      </c>
      <c r="AR5" s="10"/>
      <c r="AS5" s="10">
        <v>722512.77403299999</v>
      </c>
      <c r="AT5" s="10"/>
      <c r="AU5" s="10"/>
      <c r="AV5" s="10">
        <v>0</v>
      </c>
      <c r="AW5" s="10"/>
      <c r="AX5" s="10">
        <v>2990.0009730000002</v>
      </c>
      <c r="AY5" s="10">
        <v>37295.507197999999</v>
      </c>
      <c r="AZ5" s="10">
        <v>96619.621908000001</v>
      </c>
      <c r="BA5" s="10">
        <v>59651.743858000002</v>
      </c>
      <c r="BB5" s="10">
        <v>32646.334060000001</v>
      </c>
      <c r="BC5" s="10">
        <v>1912.5064190000001</v>
      </c>
      <c r="BD5" s="10">
        <v>26352.969443999998</v>
      </c>
      <c r="BE5" s="10">
        <v>1716.551952</v>
      </c>
    </row>
    <row r="6" spans="1:57" x14ac:dyDescent="0.35">
      <c r="A6" s="8">
        <v>46159</v>
      </c>
      <c r="B6" s="9">
        <v>46596649.137529001</v>
      </c>
      <c r="C6" s="10">
        <v>9914215.9861849993</v>
      </c>
      <c r="D6" s="10">
        <v>9111948.3082660008</v>
      </c>
      <c r="E6" s="10">
        <v>2461991.2597079999</v>
      </c>
      <c r="F6" s="10">
        <v>4907919.334001</v>
      </c>
      <c r="G6" s="10">
        <v>240312.49887400001</v>
      </c>
      <c r="H6" s="10">
        <v>2310534.2230969998</v>
      </c>
      <c r="I6" s="10">
        <v>776985.60114599997</v>
      </c>
      <c r="J6" s="10">
        <v>151746.00945700001</v>
      </c>
      <c r="K6" s="10">
        <v>475845.56520800001</v>
      </c>
      <c r="L6" s="10">
        <v>1557058.9009720001</v>
      </c>
      <c r="M6" s="10">
        <v>21831.250516</v>
      </c>
      <c r="N6" s="10">
        <v>414.86783800000001</v>
      </c>
      <c r="O6" s="10">
        <v>799013.79188799998</v>
      </c>
      <c r="P6" s="10">
        <v>1411097.767484</v>
      </c>
      <c r="Q6" s="10">
        <v>43082.368398999999</v>
      </c>
      <c r="R6" s="10">
        <v>220063.114268</v>
      </c>
      <c r="S6" s="10">
        <v>342087.67957899999</v>
      </c>
      <c r="T6" s="10">
        <v>277394.70729200001</v>
      </c>
      <c r="U6" s="10">
        <v>438567.89314200002</v>
      </c>
      <c r="V6" s="10">
        <v>888821.74991899997</v>
      </c>
      <c r="W6" s="10">
        <v>713120.52317099995</v>
      </c>
      <c r="X6" s="10">
        <v>698903.20109300001</v>
      </c>
      <c r="Y6" s="10">
        <v>1260841.5111529999</v>
      </c>
      <c r="Z6" s="10">
        <v>155780.726329</v>
      </c>
      <c r="AA6" s="10">
        <v>48666.066709999999</v>
      </c>
      <c r="AB6" s="10">
        <v>406127.30148800003</v>
      </c>
      <c r="AC6" s="10">
        <v>104391.541434</v>
      </c>
      <c r="AD6" s="10">
        <v>312503.72943200002</v>
      </c>
      <c r="AE6" s="10">
        <v>110183.82765799999</v>
      </c>
      <c r="AF6" s="10">
        <v>456648.74287100002</v>
      </c>
      <c r="AG6" s="10">
        <v>1562.644337</v>
      </c>
      <c r="AH6" s="10">
        <v>216319.53917500001</v>
      </c>
      <c r="AI6" s="10">
        <v>974.80819799999995</v>
      </c>
      <c r="AJ6" s="10">
        <v>28512.584910000001</v>
      </c>
      <c r="AK6" s="10">
        <v>535953.20194900001</v>
      </c>
      <c r="AL6" s="10">
        <v>3608789.8697899999</v>
      </c>
      <c r="AM6" s="10">
        <v>45375.879867000003</v>
      </c>
      <c r="AN6" s="10">
        <v>283610.29268999997</v>
      </c>
      <c r="AO6" s="10">
        <v>44347.165760000004</v>
      </c>
      <c r="AP6" s="10">
        <v>932401.94216400001</v>
      </c>
      <c r="AQ6" s="10">
        <v>64136.573533000002</v>
      </c>
      <c r="AR6" s="10"/>
      <c r="AS6" s="10">
        <v>104387.88329699999</v>
      </c>
      <c r="AT6" s="10"/>
      <c r="AU6" s="10"/>
      <c r="AV6" s="10">
        <v>9974.7253959999998</v>
      </c>
      <c r="AW6" s="10"/>
      <c r="AX6" s="10">
        <v>5255.727981</v>
      </c>
      <c r="AY6" s="10">
        <v>5011.0437089999996</v>
      </c>
      <c r="AZ6" s="10">
        <v>66594.913440000004</v>
      </c>
      <c r="BA6" s="10">
        <v>245.575097</v>
      </c>
      <c r="BB6" s="10">
        <v>911.93882799999994</v>
      </c>
      <c r="BC6" s="10">
        <v>3075.8367979999998</v>
      </c>
      <c r="BD6" s="10">
        <v>20566.022541999999</v>
      </c>
      <c r="BE6" s="10">
        <v>540.91949</v>
      </c>
    </row>
    <row r="7" spans="1:57" x14ac:dyDescent="0.35">
      <c r="A7" s="8">
        <v>46158</v>
      </c>
      <c r="B7" s="9">
        <v>36921155.022266001</v>
      </c>
      <c r="C7" s="10">
        <v>3496249.0269940002</v>
      </c>
      <c r="D7" s="10">
        <v>7878395.1335610002</v>
      </c>
      <c r="E7" s="10">
        <v>2814036.2053370001</v>
      </c>
      <c r="F7" s="10">
        <v>3053046.1655529998</v>
      </c>
      <c r="G7" s="10">
        <v>277555.081642</v>
      </c>
      <c r="H7" s="10">
        <v>1625764.0689650001</v>
      </c>
      <c r="I7" s="10">
        <v>529436.30122000002</v>
      </c>
      <c r="J7" s="10">
        <v>326584.21269999997</v>
      </c>
      <c r="K7" s="10">
        <v>218024.01740400001</v>
      </c>
      <c r="L7" s="10">
        <v>1289251.045411</v>
      </c>
      <c r="M7" s="10">
        <v>22533.412392999999</v>
      </c>
      <c r="N7" s="10">
        <v>211574.694701</v>
      </c>
      <c r="O7" s="10">
        <v>449556.09960700001</v>
      </c>
      <c r="P7" s="10">
        <v>1122060.7337740001</v>
      </c>
      <c r="Q7" s="10">
        <v>151385.004636</v>
      </c>
      <c r="R7" s="10">
        <v>275721.49533200002</v>
      </c>
      <c r="S7" s="10">
        <v>446819.20534500002</v>
      </c>
      <c r="T7" s="10">
        <v>313822.04190499999</v>
      </c>
      <c r="U7" s="10">
        <v>342041.16855100001</v>
      </c>
      <c r="V7" s="10">
        <v>574521.14133699995</v>
      </c>
      <c r="W7" s="10">
        <v>300408.21775299998</v>
      </c>
      <c r="X7" s="10">
        <v>409742.00176299998</v>
      </c>
      <c r="Y7" s="10">
        <v>969396.34074999997</v>
      </c>
      <c r="Z7" s="10">
        <v>417907.90711700002</v>
      </c>
      <c r="AA7" s="10">
        <v>39197.377090000002</v>
      </c>
      <c r="AB7" s="10">
        <v>477673.84529700002</v>
      </c>
      <c r="AC7" s="10">
        <v>1122532.0532249999</v>
      </c>
      <c r="AD7" s="10">
        <v>346115.92603099998</v>
      </c>
      <c r="AE7" s="10">
        <v>53062.573060000002</v>
      </c>
      <c r="AF7" s="10">
        <v>241760.995337</v>
      </c>
      <c r="AG7" s="10">
        <v>983.63034900000002</v>
      </c>
      <c r="AH7" s="10">
        <v>167760.52312299999</v>
      </c>
      <c r="AI7" s="10">
        <v>52.593108000000001</v>
      </c>
      <c r="AJ7" s="10">
        <v>217.87877900000001</v>
      </c>
      <c r="AK7" s="10">
        <v>367435.35356399999</v>
      </c>
      <c r="AL7" s="10">
        <v>5819772.0784940002</v>
      </c>
      <c r="AM7" s="10">
        <v>137048.50833800001</v>
      </c>
      <c r="AN7" s="10">
        <v>165369.224628</v>
      </c>
      <c r="AO7" s="10">
        <v>53458.357044999997</v>
      </c>
      <c r="AP7" s="10">
        <v>50996.684307000003</v>
      </c>
      <c r="AQ7" s="10">
        <v>74878.010521000004</v>
      </c>
      <c r="AR7" s="10"/>
      <c r="AS7" s="10">
        <v>53936.013638999997</v>
      </c>
      <c r="AT7" s="10"/>
      <c r="AU7" s="10"/>
      <c r="AV7" s="10">
        <v>0</v>
      </c>
      <c r="AW7" s="10"/>
      <c r="AX7" s="10">
        <v>85.078103999999996</v>
      </c>
      <c r="AY7" s="10">
        <v>0</v>
      </c>
      <c r="AZ7" s="10">
        <v>200231.02752999999</v>
      </c>
      <c r="BA7" s="10">
        <v>265.88425000000001</v>
      </c>
      <c r="BB7" s="10">
        <v>4784.4807719999999</v>
      </c>
      <c r="BC7" s="10">
        <v>22895.195508000001</v>
      </c>
      <c r="BD7" s="10">
        <v>1235.8944309999999</v>
      </c>
      <c r="BE7" s="10">
        <v>3575.111985</v>
      </c>
    </row>
    <row r="8" spans="1:57" x14ac:dyDescent="0.35">
      <c r="A8" s="8">
        <v>46157</v>
      </c>
      <c r="B8" s="9">
        <v>154362565.472471</v>
      </c>
      <c r="C8" s="10">
        <v>52986407.841838002</v>
      </c>
      <c r="D8" s="10">
        <v>15040634.168547999</v>
      </c>
      <c r="E8" s="10">
        <v>25108304.220531002</v>
      </c>
      <c r="F8" s="10">
        <v>4754604.8980219997</v>
      </c>
      <c r="G8" s="10">
        <v>907179.10007100005</v>
      </c>
      <c r="H8" s="10">
        <v>16701865.745913001</v>
      </c>
      <c r="I8" s="10">
        <v>3805599.6709119999</v>
      </c>
      <c r="J8" s="10">
        <v>1456723.18034</v>
      </c>
      <c r="K8" s="10">
        <v>416560.31018600002</v>
      </c>
      <c r="L8" s="10">
        <v>11322748.673180001</v>
      </c>
      <c r="M8" s="10">
        <v>320652.37992699997</v>
      </c>
      <c r="N8" s="10">
        <v>280136.09215699998</v>
      </c>
      <c r="O8" s="10">
        <v>1046616.319049</v>
      </c>
      <c r="P8" s="10">
        <v>1724198.1211979999</v>
      </c>
      <c r="Q8" s="10">
        <v>453263.49252799997</v>
      </c>
      <c r="R8" s="10">
        <v>2156708.9935099999</v>
      </c>
      <c r="S8" s="10">
        <v>1072845.098548</v>
      </c>
      <c r="T8" s="10">
        <v>622817.13814000005</v>
      </c>
      <c r="U8" s="10">
        <v>1724115.1696609999</v>
      </c>
      <c r="V8" s="10">
        <v>579788.48875500006</v>
      </c>
      <c r="W8" s="10">
        <v>620052.68468900002</v>
      </c>
      <c r="X8" s="10">
        <v>732552.41717599996</v>
      </c>
      <c r="Y8" s="10">
        <v>905427.13701099996</v>
      </c>
      <c r="Z8" s="10">
        <v>2507440.8825190002</v>
      </c>
      <c r="AA8" s="10">
        <v>64791.355964000002</v>
      </c>
      <c r="AB8" s="10">
        <v>505841.83418900002</v>
      </c>
      <c r="AC8" s="10">
        <v>439447.56052599999</v>
      </c>
      <c r="AD8" s="10">
        <v>490693.222817</v>
      </c>
      <c r="AE8" s="10">
        <v>108187.457348</v>
      </c>
      <c r="AF8" s="10">
        <v>365265.62160000001</v>
      </c>
      <c r="AG8" s="10">
        <v>42123.611534999996</v>
      </c>
      <c r="AH8" s="10">
        <v>213854.983225</v>
      </c>
      <c r="AI8" s="10">
        <v>25473.77205</v>
      </c>
      <c r="AJ8" s="10">
        <v>48934.357372999999</v>
      </c>
      <c r="AK8" s="10">
        <v>706658.56544200005</v>
      </c>
      <c r="AL8" s="10">
        <v>39337.042829999999</v>
      </c>
      <c r="AM8" s="10">
        <v>178580.46028599999</v>
      </c>
      <c r="AN8" s="10">
        <v>2553494.5118610002</v>
      </c>
      <c r="AO8" s="10">
        <v>160851.39373800001</v>
      </c>
      <c r="AP8" s="10">
        <v>460721.08110100002</v>
      </c>
      <c r="AQ8" s="10">
        <v>313010.61986999999</v>
      </c>
      <c r="AR8" s="10"/>
      <c r="AS8" s="10">
        <v>38863.719338000003</v>
      </c>
      <c r="AT8" s="10"/>
      <c r="AU8" s="10"/>
      <c r="AV8" s="10">
        <v>25784.428444000001</v>
      </c>
      <c r="AW8" s="10"/>
      <c r="AX8" s="10">
        <v>88065.571244000006</v>
      </c>
      <c r="AY8" s="10">
        <v>6198.5776679999999</v>
      </c>
      <c r="AZ8" s="10">
        <v>59114.784914000003</v>
      </c>
      <c r="BA8" s="10">
        <v>70762.200106000004</v>
      </c>
      <c r="BB8" s="10">
        <v>32287.199778999999</v>
      </c>
      <c r="BC8" s="10">
        <v>48439.665051999997</v>
      </c>
      <c r="BD8" s="10">
        <v>24614.774033999998</v>
      </c>
      <c r="BE8" s="10">
        <v>3924.875728</v>
      </c>
    </row>
    <row r="9" spans="1:57" x14ac:dyDescent="0.35">
      <c r="A9" s="8">
        <v>46156</v>
      </c>
      <c r="B9" s="9">
        <v>117235338.38856</v>
      </c>
      <c r="C9" s="10">
        <v>31913780.056770001</v>
      </c>
      <c r="D9" s="10">
        <v>10512652.895621</v>
      </c>
      <c r="E9" s="10">
        <v>14212818.365769001</v>
      </c>
      <c r="F9" s="10">
        <v>5322775.6783640003</v>
      </c>
      <c r="G9" s="10">
        <v>760659.45407700003</v>
      </c>
      <c r="H9" s="10">
        <v>6653640.8796290001</v>
      </c>
      <c r="I9" s="10">
        <v>5760941.6167350002</v>
      </c>
      <c r="J9" s="10">
        <v>11964832.609577</v>
      </c>
      <c r="K9" s="10">
        <v>758784.72931700002</v>
      </c>
      <c r="L9" s="10">
        <v>6215271.9727429999</v>
      </c>
      <c r="M9" s="10">
        <v>1141979.5511109999</v>
      </c>
      <c r="N9" s="10">
        <v>148710.04371699999</v>
      </c>
      <c r="O9" s="10">
        <v>954563.46445800003</v>
      </c>
      <c r="P9" s="10">
        <v>1048349.508027</v>
      </c>
      <c r="Q9" s="10">
        <v>437619.57472600002</v>
      </c>
      <c r="R9" s="10">
        <v>1501731.4066959999</v>
      </c>
      <c r="S9" s="10">
        <v>2028952.7716409999</v>
      </c>
      <c r="T9" s="10">
        <v>2037964.5110299999</v>
      </c>
      <c r="U9" s="10">
        <v>1039602.38297</v>
      </c>
      <c r="V9" s="10">
        <v>385117.23550900002</v>
      </c>
      <c r="W9" s="10">
        <v>1558751.042719</v>
      </c>
      <c r="X9" s="10">
        <v>229625.676779</v>
      </c>
      <c r="Y9" s="10">
        <v>3080547.0286360001</v>
      </c>
      <c r="Z9" s="10">
        <v>1911757.950277</v>
      </c>
      <c r="AA9" s="10">
        <v>140921.31583800001</v>
      </c>
      <c r="AB9" s="10">
        <v>780280.75153100002</v>
      </c>
      <c r="AC9" s="10">
        <v>224820.15312199999</v>
      </c>
      <c r="AD9" s="10">
        <v>260534.66184099999</v>
      </c>
      <c r="AE9" s="10">
        <v>107292.845644</v>
      </c>
      <c r="AF9" s="10">
        <v>402553.803212</v>
      </c>
      <c r="AG9" s="10">
        <v>625347.16423700005</v>
      </c>
      <c r="AH9" s="10">
        <v>191064.65469600001</v>
      </c>
      <c r="AI9" s="10">
        <v>531591.16219399997</v>
      </c>
      <c r="AJ9" s="10">
        <v>551780.40791800001</v>
      </c>
      <c r="AK9" s="10">
        <v>390042.688395</v>
      </c>
      <c r="AL9" s="10">
        <v>3403.197674</v>
      </c>
      <c r="AM9" s="10">
        <v>333512.88647600001</v>
      </c>
      <c r="AN9" s="10">
        <v>254377.70799900001</v>
      </c>
      <c r="AO9" s="10">
        <v>54504.183425000003</v>
      </c>
      <c r="AP9" s="10">
        <v>255475.24190399999</v>
      </c>
      <c r="AQ9" s="10">
        <v>230406.051901</v>
      </c>
      <c r="AR9" s="10"/>
      <c r="AS9" s="10">
        <v>37933.667862000002</v>
      </c>
      <c r="AT9" s="10"/>
      <c r="AU9" s="10"/>
      <c r="AV9" s="10">
        <v>26174.192518</v>
      </c>
      <c r="AW9" s="10"/>
      <c r="AX9" s="10">
        <v>101421.309394</v>
      </c>
      <c r="AY9" s="10">
        <v>5391.3370240000004</v>
      </c>
      <c r="AZ9" s="10">
        <v>17820.167773000001</v>
      </c>
      <c r="BA9" s="10">
        <v>10920.998378</v>
      </c>
      <c r="BB9" s="10">
        <v>72685.126929000005</v>
      </c>
      <c r="BC9" s="10">
        <v>33550.488364999997</v>
      </c>
      <c r="BD9" s="10">
        <v>33.561380999999997</v>
      </c>
      <c r="BE9" s="10">
        <v>10068.254031</v>
      </c>
    </row>
    <row r="10" spans="1:57" x14ac:dyDescent="0.35">
      <c r="A10" s="8">
        <v>46155</v>
      </c>
      <c r="B10" s="9">
        <v>123763892.113646</v>
      </c>
      <c r="C10" s="10">
        <v>22644365.730528001</v>
      </c>
      <c r="D10" s="10">
        <v>17266194.6527</v>
      </c>
      <c r="E10" s="10">
        <v>13092963.047239</v>
      </c>
      <c r="F10" s="10">
        <v>11492212.012115</v>
      </c>
      <c r="G10" s="10">
        <v>714567.51536299998</v>
      </c>
      <c r="H10" s="10">
        <v>10592024.251739999</v>
      </c>
      <c r="I10" s="10">
        <v>3790149.6711869999</v>
      </c>
      <c r="J10" s="10">
        <v>8688148.1138099991</v>
      </c>
      <c r="K10" s="10">
        <v>1025516.262434</v>
      </c>
      <c r="L10" s="10">
        <v>4641149.5856539998</v>
      </c>
      <c r="M10" s="10">
        <v>326317.63819500001</v>
      </c>
      <c r="N10" s="10">
        <v>191137.67073400001</v>
      </c>
      <c r="O10" s="10">
        <v>1291290.664691</v>
      </c>
      <c r="P10" s="10">
        <v>1245923.9729810001</v>
      </c>
      <c r="Q10" s="10">
        <v>66775.805571000004</v>
      </c>
      <c r="R10" s="10">
        <v>1175634.9883650001</v>
      </c>
      <c r="S10" s="10">
        <v>890605.37770700001</v>
      </c>
      <c r="T10" s="10">
        <v>2717736.029623</v>
      </c>
      <c r="U10" s="10">
        <v>1567033.460032</v>
      </c>
      <c r="V10" s="10">
        <v>594083.32405900001</v>
      </c>
      <c r="W10" s="10">
        <v>680066.78900899994</v>
      </c>
      <c r="X10" s="10">
        <v>681774.288038</v>
      </c>
      <c r="Y10" s="10">
        <v>9738803.2147899996</v>
      </c>
      <c r="Z10" s="10">
        <v>2981204.7584759998</v>
      </c>
      <c r="AA10" s="10">
        <v>219334.426851</v>
      </c>
      <c r="AB10" s="10">
        <v>891652.44208299997</v>
      </c>
      <c r="AC10" s="10">
        <v>1199283.4829480001</v>
      </c>
      <c r="AD10" s="10">
        <v>280130.94315599999</v>
      </c>
      <c r="AE10" s="10">
        <v>101414.40638499999</v>
      </c>
      <c r="AF10" s="10">
        <v>684873.02867300005</v>
      </c>
      <c r="AG10" s="10">
        <v>240113.927196</v>
      </c>
      <c r="AH10" s="10">
        <v>160693.25964</v>
      </c>
      <c r="AI10" s="10">
        <v>196947.983782</v>
      </c>
      <c r="AJ10" s="10">
        <v>216926.05482799999</v>
      </c>
      <c r="AK10" s="10">
        <v>276107.92125499999</v>
      </c>
      <c r="AL10" s="10">
        <v>2086.3555529999999</v>
      </c>
      <c r="AM10" s="10">
        <v>198076.15402099999</v>
      </c>
      <c r="AN10" s="10"/>
      <c r="AO10" s="10">
        <v>72722.496421999997</v>
      </c>
      <c r="AP10" s="10">
        <v>529909.39805900003</v>
      </c>
      <c r="AQ10" s="10">
        <v>146762.70603</v>
      </c>
      <c r="AR10" s="10"/>
      <c r="AS10" s="10">
        <v>35974.932343</v>
      </c>
      <c r="AT10" s="10"/>
      <c r="AU10" s="10"/>
      <c r="AV10" s="10">
        <v>241.81460999999999</v>
      </c>
      <c r="AW10" s="10"/>
      <c r="AX10" s="10">
        <v>82802.727935000003</v>
      </c>
      <c r="AY10" s="10">
        <v>0</v>
      </c>
      <c r="AZ10" s="10">
        <v>47801.532815999999</v>
      </c>
      <c r="BA10" s="10">
        <v>25884.956039000001</v>
      </c>
      <c r="BB10" s="10">
        <v>4852.2976959999996</v>
      </c>
      <c r="BC10" s="10">
        <v>50145.025213000001</v>
      </c>
      <c r="BD10" s="10">
        <v>3164.2436400000001</v>
      </c>
      <c r="BE10" s="10">
        <v>310.77143100000001</v>
      </c>
    </row>
    <row r="11" spans="1:57" x14ac:dyDescent="0.35">
      <c r="A11" s="8">
        <v>46154</v>
      </c>
      <c r="B11" s="9">
        <v>115787661.63966</v>
      </c>
      <c r="C11" s="10">
        <v>32433951.075238001</v>
      </c>
      <c r="D11" s="10">
        <v>15421929.293581</v>
      </c>
      <c r="E11" s="10">
        <v>12657354.564971</v>
      </c>
      <c r="F11" s="10">
        <v>8548285.0696670003</v>
      </c>
      <c r="G11" s="10">
        <v>733472.767032</v>
      </c>
      <c r="H11" s="10">
        <v>14961551.754225999</v>
      </c>
      <c r="I11" s="10">
        <v>5112595.1283539999</v>
      </c>
      <c r="J11" s="10">
        <v>120216.14268800001</v>
      </c>
      <c r="K11" s="10">
        <v>1078242.70071</v>
      </c>
      <c r="L11" s="10">
        <v>1667058.4873319999</v>
      </c>
      <c r="M11" s="10">
        <v>176452.823993</v>
      </c>
      <c r="N11" s="10">
        <v>519521.33988300001</v>
      </c>
      <c r="O11" s="10">
        <v>1208044.709212</v>
      </c>
      <c r="P11" s="10">
        <v>652196.28707399999</v>
      </c>
      <c r="Q11" s="10">
        <v>194967.42482300001</v>
      </c>
      <c r="R11" s="10">
        <v>1050742.1781860001</v>
      </c>
      <c r="S11" s="10">
        <v>1386593.5469209999</v>
      </c>
      <c r="T11" s="10">
        <v>1795099.1505400001</v>
      </c>
      <c r="U11" s="10">
        <v>995264.24619500001</v>
      </c>
      <c r="V11" s="10">
        <v>870210.08039799996</v>
      </c>
      <c r="W11" s="10">
        <v>487565.88939800003</v>
      </c>
      <c r="X11" s="10">
        <v>847497.33200699999</v>
      </c>
      <c r="Y11" s="10">
        <v>467715.87745899998</v>
      </c>
      <c r="Z11" s="10">
        <v>3659931.3675119998</v>
      </c>
      <c r="AA11" s="10">
        <v>121287.870167</v>
      </c>
      <c r="AB11" s="10">
        <v>1129193.8991119999</v>
      </c>
      <c r="AC11" s="10">
        <v>594885.40834299999</v>
      </c>
      <c r="AD11" s="10">
        <v>453366.46439899999</v>
      </c>
      <c r="AE11" s="10">
        <v>203024.723447</v>
      </c>
      <c r="AF11" s="10">
        <v>279557.73232100002</v>
      </c>
      <c r="AG11" s="10">
        <v>861645.263317</v>
      </c>
      <c r="AH11" s="10">
        <v>339171.2181</v>
      </c>
      <c r="AI11" s="10">
        <v>828756.55000699998</v>
      </c>
      <c r="AJ11" s="10">
        <v>807631.97115100001</v>
      </c>
      <c r="AK11" s="10">
        <v>213574.126448</v>
      </c>
      <c r="AL11" s="10">
        <v>46542.049849000003</v>
      </c>
      <c r="AM11" s="10">
        <v>89088.557642</v>
      </c>
      <c r="AN11" s="10"/>
      <c r="AO11" s="10">
        <v>40632.651882999999</v>
      </c>
      <c r="AP11" s="10">
        <v>939178.62767700001</v>
      </c>
      <c r="AQ11" s="10">
        <v>105084.526637</v>
      </c>
      <c r="AR11" s="10"/>
      <c r="AS11" s="10">
        <v>1121236.7249429999</v>
      </c>
      <c r="AT11" s="10"/>
      <c r="AU11" s="10"/>
      <c r="AV11" s="10">
        <v>240.53255999999999</v>
      </c>
      <c r="AW11" s="10"/>
      <c r="AX11" s="10">
        <v>458511.49783200002</v>
      </c>
      <c r="AY11" s="10">
        <v>314.979761</v>
      </c>
      <c r="AZ11" s="10"/>
      <c r="BA11" s="10">
        <v>39478.676850000003</v>
      </c>
      <c r="BB11" s="10">
        <v>8232.9059230000003</v>
      </c>
      <c r="BC11" s="10">
        <v>31757.519301</v>
      </c>
      <c r="BD11" s="10">
        <v>19767.213253000002</v>
      </c>
      <c r="BE11" s="10">
        <v>9040.7113370000006</v>
      </c>
    </row>
    <row r="12" spans="1:57" x14ac:dyDescent="0.35">
      <c r="A12" s="8">
        <v>46153</v>
      </c>
      <c r="B12" s="9">
        <v>155869126.87845299</v>
      </c>
      <c r="C12" s="10">
        <v>24202843.016872998</v>
      </c>
      <c r="D12" s="10">
        <v>16505228.887765</v>
      </c>
      <c r="E12" s="10">
        <v>21958670.030485999</v>
      </c>
      <c r="F12" s="10">
        <v>11468252.176924</v>
      </c>
      <c r="G12" s="10">
        <v>1184235.6367609999</v>
      </c>
      <c r="H12" s="10">
        <v>17211000.560653001</v>
      </c>
      <c r="I12" s="10">
        <v>22700799.573780999</v>
      </c>
      <c r="J12" s="10">
        <v>153140.970516</v>
      </c>
      <c r="K12" s="10">
        <v>597028.28440799995</v>
      </c>
      <c r="L12" s="10">
        <v>4090587.406465</v>
      </c>
      <c r="M12" s="10">
        <v>705542.364283</v>
      </c>
      <c r="N12" s="10">
        <v>96351.132469999997</v>
      </c>
      <c r="O12" s="10">
        <v>6085762.8875059998</v>
      </c>
      <c r="P12" s="10">
        <v>1564182.070115</v>
      </c>
      <c r="Q12" s="10">
        <v>16732.281502000002</v>
      </c>
      <c r="R12" s="10">
        <v>799248.48186299996</v>
      </c>
      <c r="S12" s="10">
        <v>1038622.475398</v>
      </c>
      <c r="T12" s="10">
        <v>1697846.414664</v>
      </c>
      <c r="U12" s="10">
        <v>504487.71121199999</v>
      </c>
      <c r="V12" s="10">
        <v>4218520.0221769996</v>
      </c>
      <c r="W12" s="10">
        <v>3953046.339834</v>
      </c>
      <c r="X12" s="10">
        <v>1150283.1316730001</v>
      </c>
      <c r="Y12" s="10">
        <v>349125.23952200002</v>
      </c>
      <c r="Z12" s="10">
        <v>5365625.2543789996</v>
      </c>
      <c r="AA12" s="10">
        <v>100384.61707399999</v>
      </c>
      <c r="AB12" s="10">
        <v>948804.09500500001</v>
      </c>
      <c r="AC12" s="10">
        <v>576857.34664400003</v>
      </c>
      <c r="AD12" s="10">
        <v>684731.78785700002</v>
      </c>
      <c r="AE12" s="10">
        <v>542710.83757600002</v>
      </c>
      <c r="AF12" s="10">
        <v>806336.42567100003</v>
      </c>
      <c r="AG12" s="10">
        <v>838203.90357600001</v>
      </c>
      <c r="AH12" s="10">
        <v>424127.03712599998</v>
      </c>
      <c r="AI12" s="10">
        <v>792601.438952</v>
      </c>
      <c r="AJ12" s="10">
        <v>782642.261925</v>
      </c>
      <c r="AK12" s="10">
        <v>389844.05311099999</v>
      </c>
      <c r="AL12" s="10">
        <v>10830.032007</v>
      </c>
      <c r="AM12" s="10">
        <v>151198.853179</v>
      </c>
      <c r="AN12" s="10"/>
      <c r="AO12" s="10">
        <v>78656.623747999998</v>
      </c>
      <c r="AP12" s="10">
        <v>604640.641817</v>
      </c>
      <c r="AQ12" s="10">
        <v>277631.79327899998</v>
      </c>
      <c r="AR12" s="10"/>
      <c r="AS12" s="10">
        <v>76701.727455999993</v>
      </c>
      <c r="AT12" s="10"/>
      <c r="AU12" s="10"/>
      <c r="AV12" s="10">
        <v>22819.236959999998</v>
      </c>
      <c r="AW12" s="10"/>
      <c r="AX12" s="10">
        <v>55870.282742000003</v>
      </c>
      <c r="AY12" s="10">
        <v>39027.272770000003</v>
      </c>
      <c r="AZ12" s="10"/>
      <c r="BA12" s="10">
        <v>6853.9061849999998</v>
      </c>
      <c r="BB12" s="10">
        <v>10616.349113</v>
      </c>
      <c r="BC12" s="10">
        <v>24811.355944999999</v>
      </c>
      <c r="BD12" s="10">
        <v>3568.0815320000002</v>
      </c>
      <c r="BE12" s="10">
        <v>1494.565973</v>
      </c>
    </row>
    <row r="13" spans="1:57" x14ac:dyDescent="0.35">
      <c r="A13" s="8">
        <v>46152</v>
      </c>
      <c r="B13" s="9">
        <v>61033408.389840998</v>
      </c>
      <c r="C13" s="10">
        <v>6222423.239232</v>
      </c>
      <c r="D13" s="10">
        <v>19865557.483897001</v>
      </c>
      <c r="E13" s="10">
        <v>6881587.3776749996</v>
      </c>
      <c r="F13" s="10">
        <v>12884368.155711999</v>
      </c>
      <c r="G13" s="10">
        <v>602811.52869599999</v>
      </c>
      <c r="H13" s="10">
        <v>1767613.0249290001</v>
      </c>
      <c r="I13" s="10">
        <v>919890.95083999995</v>
      </c>
      <c r="J13" s="10">
        <v>178895.38396000001</v>
      </c>
      <c r="K13" s="10">
        <v>1605369.548311</v>
      </c>
      <c r="L13" s="10">
        <v>1610127.75428</v>
      </c>
      <c r="M13" s="10">
        <v>109172.21716099999</v>
      </c>
      <c r="N13" s="10">
        <v>3292.0949540000001</v>
      </c>
      <c r="O13" s="10">
        <v>283791.91830199998</v>
      </c>
      <c r="P13" s="10">
        <v>1572882.1829860001</v>
      </c>
      <c r="Q13" s="10">
        <v>21153.695956</v>
      </c>
      <c r="R13" s="10">
        <v>294543.76772800001</v>
      </c>
      <c r="S13" s="10">
        <v>221807.38363299999</v>
      </c>
      <c r="T13" s="10">
        <v>395145.096869</v>
      </c>
      <c r="U13" s="10">
        <v>464131.62480599998</v>
      </c>
      <c r="V13" s="10">
        <v>946353.75765299995</v>
      </c>
      <c r="W13" s="10">
        <v>275305.414452</v>
      </c>
      <c r="X13" s="10">
        <v>478248.08107499999</v>
      </c>
      <c r="Y13" s="10">
        <v>83134.173290000006</v>
      </c>
      <c r="Z13" s="10">
        <v>66871.045717000001</v>
      </c>
      <c r="AA13" s="10">
        <v>108207.497422</v>
      </c>
      <c r="AB13" s="10">
        <v>437887.587405</v>
      </c>
      <c r="AC13" s="10">
        <v>479015.82297400001</v>
      </c>
      <c r="AD13" s="10">
        <v>407678.05448799999</v>
      </c>
      <c r="AE13" s="10">
        <v>74787.235029000003</v>
      </c>
      <c r="AF13" s="10">
        <v>480562.54782799998</v>
      </c>
      <c r="AG13" s="10">
        <v>12009.325650999999</v>
      </c>
      <c r="AH13" s="10">
        <v>528856.29687900003</v>
      </c>
      <c r="AI13" s="10">
        <v>1210.8344</v>
      </c>
      <c r="AJ13" s="10">
        <v>335.30497500000001</v>
      </c>
      <c r="AK13" s="10">
        <v>278624.42207199999</v>
      </c>
      <c r="AL13" s="10">
        <v>3034.6436819999999</v>
      </c>
      <c r="AM13" s="10">
        <v>73892.199838</v>
      </c>
      <c r="AN13" s="10"/>
      <c r="AO13" s="10">
        <v>12755.799564000001</v>
      </c>
      <c r="AP13" s="10">
        <v>137922.238854</v>
      </c>
      <c r="AQ13" s="10">
        <v>81023.464997000003</v>
      </c>
      <c r="AR13" s="10"/>
      <c r="AS13" s="10">
        <v>134356.330774</v>
      </c>
      <c r="AT13" s="10"/>
      <c r="AU13" s="10"/>
      <c r="AV13" s="10">
        <v>0</v>
      </c>
      <c r="AW13" s="10"/>
      <c r="AX13" s="10">
        <v>19356.717823999999</v>
      </c>
      <c r="AY13" s="10">
        <v>0</v>
      </c>
      <c r="AZ13" s="10"/>
      <c r="BA13" s="10">
        <v>6396.3289100000002</v>
      </c>
      <c r="BB13" s="10">
        <v>544.38105800000005</v>
      </c>
      <c r="BC13" s="10"/>
      <c r="BD13" s="10">
        <v>474.453103</v>
      </c>
      <c r="BE13" s="10"/>
    </row>
    <row r="14" spans="1:57" x14ac:dyDescent="0.35">
      <c r="A14" s="8">
        <v>46151</v>
      </c>
      <c r="B14" s="9">
        <v>21823566.491484001</v>
      </c>
      <c r="C14" s="10">
        <v>2236018.6039249999</v>
      </c>
      <c r="D14" s="10">
        <v>6061708.3439610004</v>
      </c>
      <c r="E14" s="10">
        <v>1039602.288365</v>
      </c>
      <c r="F14" s="10">
        <v>3156932.3387799999</v>
      </c>
      <c r="G14" s="10">
        <v>212987.23476699999</v>
      </c>
      <c r="H14" s="10">
        <v>1478042.03009</v>
      </c>
      <c r="I14" s="10">
        <v>465280.54155700002</v>
      </c>
      <c r="J14" s="10">
        <v>38671.038595999999</v>
      </c>
      <c r="K14" s="10">
        <v>80048.839045000001</v>
      </c>
      <c r="L14" s="10">
        <v>1085006.4123420001</v>
      </c>
      <c r="M14" s="10">
        <v>97350.335879999999</v>
      </c>
      <c r="N14" s="10">
        <v>68.535908000000006</v>
      </c>
      <c r="O14" s="10">
        <v>59994.714290000004</v>
      </c>
      <c r="P14" s="10">
        <v>656993.55152900005</v>
      </c>
      <c r="Q14" s="10">
        <v>1191.4987920000001</v>
      </c>
      <c r="R14" s="10">
        <v>159450.04855199999</v>
      </c>
      <c r="S14" s="10">
        <v>318991.90594999999</v>
      </c>
      <c r="T14" s="10">
        <v>400452.15538900002</v>
      </c>
      <c r="U14" s="10">
        <v>585342.43144499999</v>
      </c>
      <c r="V14" s="10">
        <v>260299.99105800001</v>
      </c>
      <c r="W14" s="10">
        <v>435145.914941</v>
      </c>
      <c r="X14" s="10">
        <v>659712.124556</v>
      </c>
      <c r="Y14" s="10">
        <v>42636.417070000003</v>
      </c>
      <c r="Z14" s="10">
        <v>128134.919723</v>
      </c>
      <c r="AA14" s="10">
        <v>121413.438501</v>
      </c>
      <c r="AB14" s="10">
        <v>273456.140487</v>
      </c>
      <c r="AC14" s="10">
        <v>197158.51205399999</v>
      </c>
      <c r="AD14" s="10">
        <v>187665.471402</v>
      </c>
      <c r="AE14" s="10">
        <v>11955.618726000001</v>
      </c>
      <c r="AF14" s="10">
        <v>371647.45849699999</v>
      </c>
      <c r="AG14" s="10">
        <v>13153.498781</v>
      </c>
      <c r="AH14" s="10">
        <v>98212.214508000005</v>
      </c>
      <c r="AI14" s="10">
        <v>8687.6867170000005</v>
      </c>
      <c r="AJ14" s="10">
        <v>513.94411200000002</v>
      </c>
      <c r="AK14" s="10">
        <v>77605.460965000006</v>
      </c>
      <c r="AL14" s="10">
        <v>1032.5294200000001</v>
      </c>
      <c r="AM14" s="10">
        <v>20830.566901999999</v>
      </c>
      <c r="AN14" s="10"/>
      <c r="AO14" s="10">
        <v>21227.752042</v>
      </c>
      <c r="AP14" s="10">
        <v>74053.368898999994</v>
      </c>
      <c r="AQ14" s="10">
        <v>257638.539383</v>
      </c>
      <c r="AR14" s="10"/>
      <c r="AS14" s="10">
        <v>417061.02371500002</v>
      </c>
      <c r="AT14" s="10"/>
      <c r="AU14" s="10"/>
      <c r="AV14" s="10">
        <v>0</v>
      </c>
      <c r="AW14" s="10"/>
      <c r="AX14" s="10">
        <v>7393.76937</v>
      </c>
      <c r="AY14" s="10">
        <v>0</v>
      </c>
      <c r="AZ14" s="10"/>
      <c r="BA14" s="10">
        <v>2621.1668209999998</v>
      </c>
      <c r="BB14" s="10">
        <v>143.065888</v>
      </c>
      <c r="BC14" s="10"/>
      <c r="BD14" s="10">
        <v>33.047783000000003</v>
      </c>
      <c r="BE14" s="10"/>
    </row>
    <row r="15" spans="1:57" x14ac:dyDescent="0.35">
      <c r="A15" s="8">
        <v>46150</v>
      </c>
      <c r="B15" s="9">
        <v>113103637.688594</v>
      </c>
      <c r="C15" s="10">
        <v>17511648.312052</v>
      </c>
      <c r="D15" s="10">
        <v>19863603.525809001</v>
      </c>
      <c r="E15" s="10">
        <v>7851343.2427190002</v>
      </c>
      <c r="F15" s="10">
        <v>11167933.716197999</v>
      </c>
      <c r="G15" s="10">
        <v>275254.76179600001</v>
      </c>
      <c r="H15" s="10">
        <v>15482818.605268</v>
      </c>
      <c r="I15" s="10">
        <v>7842530.07864</v>
      </c>
      <c r="J15" s="10">
        <v>677942.52517200005</v>
      </c>
      <c r="K15" s="10">
        <v>441136.83650500001</v>
      </c>
      <c r="L15" s="10">
        <v>2900367.77196</v>
      </c>
      <c r="M15" s="10">
        <v>330188.929328</v>
      </c>
      <c r="N15" s="10">
        <v>130400.937534</v>
      </c>
      <c r="O15" s="10">
        <v>7785937.7246139999</v>
      </c>
      <c r="P15" s="10">
        <v>2082677.2050010001</v>
      </c>
      <c r="Q15" s="10">
        <v>50919.668883999999</v>
      </c>
      <c r="R15" s="10">
        <v>289852.67533400003</v>
      </c>
      <c r="S15" s="10">
        <v>170405.45136100001</v>
      </c>
      <c r="T15" s="10">
        <v>1853417.823444</v>
      </c>
      <c r="U15" s="10">
        <v>2244368.267</v>
      </c>
      <c r="V15" s="10">
        <v>1925670.496328</v>
      </c>
      <c r="W15" s="10">
        <v>1657629.8126149999</v>
      </c>
      <c r="X15" s="10">
        <v>1824323.4623360001</v>
      </c>
      <c r="Y15" s="10">
        <v>623270.66090899997</v>
      </c>
      <c r="Z15" s="10">
        <v>2135807.1334370002</v>
      </c>
      <c r="AA15" s="10">
        <v>442204.99891899998</v>
      </c>
      <c r="AB15" s="10">
        <v>886636.52064500004</v>
      </c>
      <c r="AC15" s="10">
        <v>923326.59103699995</v>
      </c>
      <c r="AD15" s="10">
        <v>477593.92299599998</v>
      </c>
      <c r="AE15" s="10">
        <v>644375.17442399997</v>
      </c>
      <c r="AF15" s="10">
        <v>390120.91901499999</v>
      </c>
      <c r="AG15" s="10">
        <v>8194.2057690000001</v>
      </c>
      <c r="AH15" s="10">
        <v>52540.549992</v>
      </c>
      <c r="AI15" s="10">
        <v>21649.459294</v>
      </c>
      <c r="AJ15" s="10">
        <v>4021.0880299999999</v>
      </c>
      <c r="AK15" s="10">
        <v>663281.09690999996</v>
      </c>
      <c r="AL15" s="10">
        <v>17189.941965000002</v>
      </c>
      <c r="AM15" s="10">
        <v>157330.12132100001</v>
      </c>
      <c r="AN15" s="10"/>
      <c r="AO15" s="10">
        <v>61548.481254999999</v>
      </c>
      <c r="AP15" s="10">
        <v>107376.617224</v>
      </c>
      <c r="AQ15" s="10">
        <v>52475.357231000002</v>
      </c>
      <c r="AR15" s="10"/>
      <c r="AS15" s="10">
        <v>931476.85187799996</v>
      </c>
      <c r="AT15" s="10"/>
      <c r="AU15" s="10"/>
      <c r="AV15" s="10">
        <v>43.830416</v>
      </c>
      <c r="AW15" s="10"/>
      <c r="AX15" s="10">
        <v>61980.996490999998</v>
      </c>
      <c r="AY15" s="10">
        <v>0</v>
      </c>
      <c r="AZ15" s="10"/>
      <c r="BA15" s="10">
        <v>19959.314695000001</v>
      </c>
      <c r="BB15" s="10">
        <v>33627.170852000003</v>
      </c>
      <c r="BC15" s="10"/>
      <c r="BD15" s="10">
        <v>27234.853991</v>
      </c>
      <c r="BE15" s="10"/>
    </row>
    <row r="16" spans="1:57" x14ac:dyDescent="0.35">
      <c r="A16" s="8">
        <v>46149</v>
      </c>
      <c r="B16" s="9">
        <v>133857541.21828701</v>
      </c>
      <c r="C16" s="10">
        <v>27498797.078961998</v>
      </c>
      <c r="D16" s="10">
        <v>46719473.571648002</v>
      </c>
      <c r="E16" s="10">
        <v>9621650.2867469992</v>
      </c>
      <c r="F16" s="10">
        <v>18614243.448419001</v>
      </c>
      <c r="G16" s="10">
        <v>350351.24213199998</v>
      </c>
      <c r="H16" s="10">
        <v>7035540.720036</v>
      </c>
      <c r="I16" s="10">
        <v>4473837.0774870003</v>
      </c>
      <c r="J16" s="10">
        <v>149766.033084</v>
      </c>
      <c r="K16" s="10">
        <v>336561.09284200001</v>
      </c>
      <c r="L16" s="10">
        <v>3945220.1663119998</v>
      </c>
      <c r="M16" s="10">
        <v>180661.27908499999</v>
      </c>
      <c r="N16" s="10">
        <v>100645.420679</v>
      </c>
      <c r="O16" s="10">
        <v>1282985.826266</v>
      </c>
      <c r="P16" s="10">
        <v>1170030.5367340001</v>
      </c>
      <c r="Q16" s="10">
        <v>249416.262533</v>
      </c>
      <c r="R16" s="10">
        <v>239028.30178800001</v>
      </c>
      <c r="S16" s="10">
        <v>147825.38544300001</v>
      </c>
      <c r="T16" s="10">
        <v>2715143.3343409998</v>
      </c>
      <c r="U16" s="10">
        <v>399570.28558199998</v>
      </c>
      <c r="V16" s="10">
        <v>1216068.0990249999</v>
      </c>
      <c r="W16" s="10">
        <v>1130514.2105700001</v>
      </c>
      <c r="X16" s="10">
        <v>1217025.13717</v>
      </c>
      <c r="Y16" s="10">
        <v>405300.96110700001</v>
      </c>
      <c r="Z16" s="10">
        <v>403652.32442800002</v>
      </c>
      <c r="AA16" s="10">
        <v>119656.066041</v>
      </c>
      <c r="AB16" s="10">
        <v>802592.20020199998</v>
      </c>
      <c r="AC16" s="10">
        <v>327667.08186999999</v>
      </c>
      <c r="AD16" s="10">
        <v>499362.46871099999</v>
      </c>
      <c r="AE16" s="10">
        <v>555484.61031200003</v>
      </c>
      <c r="AF16" s="10">
        <v>465502.31860100001</v>
      </c>
      <c r="AG16" s="10">
        <v>103510.0756</v>
      </c>
      <c r="AH16" s="10">
        <v>280305.068654</v>
      </c>
      <c r="AI16" s="10">
        <v>15860.751243000001</v>
      </c>
      <c r="AJ16" s="10">
        <v>1438.9696039999999</v>
      </c>
      <c r="AK16" s="10">
        <v>322018.19996</v>
      </c>
      <c r="AL16" s="10">
        <v>26614.231529000001</v>
      </c>
      <c r="AM16" s="10">
        <v>427366.26511899999</v>
      </c>
      <c r="AN16" s="10"/>
      <c r="AO16" s="10">
        <v>5958.1138460000002</v>
      </c>
      <c r="AP16" s="10">
        <v>136867.12542900001</v>
      </c>
      <c r="AQ16" s="10">
        <v>60596.233849999997</v>
      </c>
      <c r="AR16" s="10"/>
      <c r="AS16" s="10"/>
      <c r="AT16" s="10"/>
      <c r="AU16" s="10"/>
      <c r="AV16" s="10">
        <v>1630.70497</v>
      </c>
      <c r="AW16" s="10"/>
      <c r="AX16" s="10"/>
      <c r="AY16" s="10">
        <v>62515.618656999999</v>
      </c>
      <c r="AZ16" s="10"/>
      <c r="BA16" s="10">
        <v>9520.8244940000004</v>
      </c>
      <c r="BB16" s="10">
        <v>19596.55342</v>
      </c>
      <c r="BC16" s="10"/>
      <c r="BD16" s="10">
        <v>10169.653754999999</v>
      </c>
      <c r="BE16" s="10"/>
    </row>
    <row r="17" spans="1:57" x14ac:dyDescent="0.35">
      <c r="A17" s="8">
        <v>46148</v>
      </c>
      <c r="B17" s="9">
        <v>123021476.13461301</v>
      </c>
      <c r="C17" s="10">
        <v>26461294.713225</v>
      </c>
      <c r="D17" s="10">
        <v>40952335.660434</v>
      </c>
      <c r="E17" s="10">
        <v>13860178.344493</v>
      </c>
      <c r="F17" s="10">
        <v>16072043.392941</v>
      </c>
      <c r="G17" s="10">
        <v>299126.74629799998</v>
      </c>
      <c r="H17" s="10">
        <v>5966550.4694079999</v>
      </c>
      <c r="I17" s="10">
        <v>3944809.8959590001</v>
      </c>
      <c r="J17" s="10">
        <v>98060.949540999994</v>
      </c>
      <c r="K17" s="10">
        <v>507683.17925699998</v>
      </c>
      <c r="L17" s="10">
        <v>2621009.2443309999</v>
      </c>
      <c r="M17" s="10">
        <v>218295.614248</v>
      </c>
      <c r="N17" s="10">
        <v>273601.38815900002</v>
      </c>
      <c r="O17" s="10">
        <v>996930.89656599995</v>
      </c>
      <c r="P17" s="10">
        <v>792153.97436500003</v>
      </c>
      <c r="Q17" s="10">
        <v>376038.33107299998</v>
      </c>
      <c r="R17" s="10">
        <v>530115.25419000001</v>
      </c>
      <c r="S17" s="10">
        <v>541385.92360500002</v>
      </c>
      <c r="T17" s="10">
        <v>1949242.1750739999</v>
      </c>
      <c r="U17" s="10">
        <v>628583.07611599995</v>
      </c>
      <c r="V17" s="10">
        <v>376439.20156399999</v>
      </c>
      <c r="W17" s="10">
        <v>513802.01770999999</v>
      </c>
      <c r="X17" s="10">
        <v>633358.83722099999</v>
      </c>
      <c r="Y17" s="10">
        <v>299805.57337300002</v>
      </c>
      <c r="Z17" s="10">
        <v>352254.54949399998</v>
      </c>
      <c r="AA17" s="10">
        <v>138278.895365</v>
      </c>
      <c r="AB17" s="10">
        <v>516772.80036599998</v>
      </c>
      <c r="AC17" s="10">
        <v>271556.10653300001</v>
      </c>
      <c r="AD17" s="10">
        <v>262106.63506100001</v>
      </c>
      <c r="AE17" s="10">
        <v>198415.83628700001</v>
      </c>
      <c r="AF17" s="10">
        <v>602434.81980900001</v>
      </c>
      <c r="AG17" s="10">
        <v>16824.691424000001</v>
      </c>
      <c r="AH17" s="10">
        <v>364880.74714300002</v>
      </c>
      <c r="AI17" s="10">
        <v>19741.781328000001</v>
      </c>
      <c r="AJ17" s="10">
        <v>7780.7456700000002</v>
      </c>
      <c r="AK17" s="10">
        <v>189715.47605</v>
      </c>
      <c r="AL17" s="10">
        <v>56226.959655999999</v>
      </c>
      <c r="AM17" s="10">
        <v>706029.97627999994</v>
      </c>
      <c r="AN17" s="10"/>
      <c r="AO17" s="10">
        <v>59113.909484999996</v>
      </c>
      <c r="AP17" s="10">
        <v>83950.379413999995</v>
      </c>
      <c r="AQ17" s="10">
        <v>118568.72919300001</v>
      </c>
      <c r="AR17" s="10"/>
      <c r="AS17" s="10"/>
      <c r="AT17" s="10"/>
      <c r="AU17" s="10"/>
      <c r="AV17" s="10">
        <v>4971.673229</v>
      </c>
      <c r="AW17" s="10"/>
      <c r="AX17" s="10"/>
      <c r="AY17" s="10">
        <v>72672.283504000006</v>
      </c>
      <c r="AZ17" s="10"/>
      <c r="BA17" s="10"/>
      <c r="BB17" s="10">
        <v>66099.847446999993</v>
      </c>
      <c r="BC17" s="10"/>
      <c r="BD17" s="10">
        <v>234.43272400000001</v>
      </c>
      <c r="BE17" s="10"/>
    </row>
    <row r="18" spans="1:57" x14ac:dyDescent="0.35">
      <c r="A18" s="8">
        <v>46147</v>
      </c>
      <c r="B18" s="9">
        <v>96507351.494966</v>
      </c>
      <c r="C18" s="10">
        <v>15288912.993554</v>
      </c>
      <c r="D18" s="10">
        <v>18311839.023203999</v>
      </c>
      <c r="E18" s="10">
        <v>8705781.0874669999</v>
      </c>
      <c r="F18" s="10">
        <v>8357221.3973239996</v>
      </c>
      <c r="G18" s="10">
        <v>298737.30514200003</v>
      </c>
      <c r="H18" s="10">
        <v>6959477.3989519998</v>
      </c>
      <c r="I18" s="10">
        <v>2888301.3837049999</v>
      </c>
      <c r="J18" s="10">
        <v>474736.83348899998</v>
      </c>
      <c r="K18" s="10">
        <v>136191.345711</v>
      </c>
      <c r="L18" s="10">
        <v>550141.84650800005</v>
      </c>
      <c r="M18" s="10">
        <v>183786.299141</v>
      </c>
      <c r="N18" s="10">
        <v>22890322.492171999</v>
      </c>
      <c r="O18" s="10">
        <v>662275.45254600001</v>
      </c>
      <c r="P18" s="10">
        <v>830443.45367399999</v>
      </c>
      <c r="Q18" s="10">
        <v>96401.772058999995</v>
      </c>
      <c r="R18" s="10">
        <v>435206.875337</v>
      </c>
      <c r="S18" s="10">
        <v>731303.653865</v>
      </c>
      <c r="T18" s="10">
        <v>378536.65915199998</v>
      </c>
      <c r="U18" s="10">
        <v>632162.41921600001</v>
      </c>
      <c r="V18" s="10">
        <v>715493.83631799999</v>
      </c>
      <c r="W18" s="10">
        <v>511021.03241099999</v>
      </c>
      <c r="X18" s="10">
        <v>218135.30837099999</v>
      </c>
      <c r="Y18" s="10">
        <v>616550.73816399998</v>
      </c>
      <c r="Z18" s="10">
        <v>274700.26964499999</v>
      </c>
      <c r="AA18" s="10">
        <v>118043.36545</v>
      </c>
      <c r="AB18" s="10">
        <v>400436.05562300002</v>
      </c>
      <c r="AC18" s="10">
        <v>214899.11217499999</v>
      </c>
      <c r="AD18" s="10">
        <v>79763.220906000002</v>
      </c>
      <c r="AE18" s="10">
        <v>667258.54472999997</v>
      </c>
      <c r="AF18" s="10">
        <v>339011.84957299998</v>
      </c>
      <c r="AG18" s="10">
        <v>18776.078821999999</v>
      </c>
      <c r="AH18" s="10">
        <v>2064623.9142239999</v>
      </c>
      <c r="AI18" s="10">
        <v>10153.451143</v>
      </c>
      <c r="AJ18" s="10">
        <v>0</v>
      </c>
      <c r="AK18" s="10">
        <v>218295.26328300001</v>
      </c>
      <c r="AL18" s="10">
        <v>20994.905526999999</v>
      </c>
      <c r="AM18" s="10">
        <v>868214.54661399999</v>
      </c>
      <c r="AN18" s="10"/>
      <c r="AO18" s="10">
        <v>10726.046710000001</v>
      </c>
      <c r="AP18" s="10">
        <v>166774.386979</v>
      </c>
      <c r="AQ18" s="10">
        <v>81091.904043999995</v>
      </c>
      <c r="AR18" s="10"/>
      <c r="AS18" s="10"/>
      <c r="AT18" s="10"/>
      <c r="AU18" s="10"/>
      <c r="AV18" s="10">
        <v>1815.312604</v>
      </c>
      <c r="AW18" s="10"/>
      <c r="AX18" s="10"/>
      <c r="AY18" s="10">
        <v>78792.659432</v>
      </c>
      <c r="AZ18" s="10"/>
      <c r="BA18" s="10"/>
      <c r="BB18" s="10"/>
      <c r="BC18" s="10"/>
      <c r="BD18" s="10"/>
      <c r="BE18" s="10"/>
    </row>
    <row r="19" spans="1:57" x14ac:dyDescent="0.35">
      <c r="A19" s="8">
        <v>46146</v>
      </c>
      <c r="B19" s="9">
        <v>103383244.56830101</v>
      </c>
      <c r="C19" s="10">
        <v>21076161.173836</v>
      </c>
      <c r="D19" s="10">
        <v>37763536.709581003</v>
      </c>
      <c r="E19" s="10">
        <v>12894025.379526</v>
      </c>
      <c r="F19" s="10">
        <v>11090340.844275</v>
      </c>
      <c r="G19" s="10">
        <v>492342.76113699999</v>
      </c>
      <c r="H19" s="10">
        <v>2360978.5240910002</v>
      </c>
      <c r="I19" s="10">
        <v>3212149.5699370001</v>
      </c>
      <c r="J19" s="10">
        <v>264222.25963799999</v>
      </c>
      <c r="K19" s="10">
        <v>383613.84562099999</v>
      </c>
      <c r="L19" s="10">
        <v>1849432.9285339999</v>
      </c>
      <c r="M19" s="10">
        <v>172336.11272</v>
      </c>
      <c r="N19" s="10">
        <v>310321.60982999997</v>
      </c>
      <c r="O19" s="10">
        <v>297857.98292699998</v>
      </c>
      <c r="P19" s="10">
        <v>1254451.112681</v>
      </c>
      <c r="Q19" s="10">
        <v>112826.10271000001</v>
      </c>
      <c r="R19" s="10">
        <v>724719.00396200002</v>
      </c>
      <c r="S19" s="10">
        <v>573971.50004700001</v>
      </c>
      <c r="T19" s="10">
        <v>222722.01756000001</v>
      </c>
      <c r="U19" s="10">
        <v>2089998.0806770001</v>
      </c>
      <c r="V19" s="10">
        <v>1145859.903501</v>
      </c>
      <c r="W19" s="10">
        <v>1216845.631753</v>
      </c>
      <c r="X19" s="10">
        <v>333799.640334</v>
      </c>
      <c r="Y19" s="10">
        <v>273058.44614700001</v>
      </c>
      <c r="Z19" s="10">
        <v>1964.304468</v>
      </c>
      <c r="AA19" s="10">
        <v>58508.455499000003</v>
      </c>
      <c r="AB19" s="10">
        <v>394314.46532700001</v>
      </c>
      <c r="AC19" s="10">
        <v>238673.44667500001</v>
      </c>
      <c r="AD19" s="10">
        <v>457357.23302400002</v>
      </c>
      <c r="AE19" s="10">
        <v>741653.71500600001</v>
      </c>
      <c r="AF19" s="10">
        <v>150022.22610599999</v>
      </c>
      <c r="AG19" s="10">
        <v>76030.917977000005</v>
      </c>
      <c r="AH19" s="10">
        <v>261815.37196600001</v>
      </c>
      <c r="AI19" s="10">
        <v>233.84616800000001</v>
      </c>
      <c r="AJ19" s="10">
        <v>2316.7995569999998</v>
      </c>
      <c r="AK19" s="10">
        <v>403467.93</v>
      </c>
      <c r="AL19" s="10"/>
      <c r="AM19" s="10">
        <v>49771.800199999998</v>
      </c>
      <c r="AN19" s="10"/>
      <c r="AO19" s="10">
        <v>184614.68135500001</v>
      </c>
      <c r="AP19" s="10">
        <v>209319.15352299999</v>
      </c>
      <c r="AQ19" s="10">
        <v>28095.484681999998</v>
      </c>
      <c r="AR19" s="10"/>
      <c r="AS19" s="10"/>
      <c r="AT19" s="10"/>
      <c r="AU19" s="10"/>
      <c r="AV19" s="10">
        <v>5470.1084819999996</v>
      </c>
      <c r="AW19" s="10"/>
      <c r="AX19" s="10"/>
      <c r="AY19" s="10">
        <v>4043.4872610000002</v>
      </c>
      <c r="AZ19" s="10"/>
      <c r="BA19" s="10"/>
      <c r="BB19" s="10"/>
      <c r="BC19" s="10"/>
      <c r="BD19" s="10"/>
      <c r="BE19" s="10"/>
    </row>
    <row r="20" spans="1:57" x14ac:dyDescent="0.35">
      <c r="A20" s="8">
        <v>46145</v>
      </c>
      <c r="B20" s="9">
        <v>81198257.056483999</v>
      </c>
      <c r="C20" s="10">
        <v>8352731.4684079997</v>
      </c>
      <c r="D20" s="10">
        <v>37086416.947420999</v>
      </c>
      <c r="E20" s="10">
        <v>8762490.9282079991</v>
      </c>
      <c r="F20" s="10">
        <v>14717345.990156</v>
      </c>
      <c r="G20" s="10">
        <v>139293.955131</v>
      </c>
      <c r="H20" s="10">
        <v>960024.20510100003</v>
      </c>
      <c r="I20" s="10">
        <v>359554.82896900002</v>
      </c>
      <c r="J20" s="10">
        <v>77864.415836999993</v>
      </c>
      <c r="K20" s="10">
        <v>223443.729292</v>
      </c>
      <c r="L20" s="10">
        <v>1761422.6790390001</v>
      </c>
      <c r="M20" s="10">
        <v>77644.611636000001</v>
      </c>
      <c r="N20" s="10">
        <v>111490.07597000001</v>
      </c>
      <c r="O20" s="10">
        <v>340171.45231600001</v>
      </c>
      <c r="P20" s="10">
        <v>1186514.723514</v>
      </c>
      <c r="Q20" s="10">
        <v>100617.661078</v>
      </c>
      <c r="R20" s="10">
        <v>159408.521446</v>
      </c>
      <c r="S20" s="10">
        <v>391398.58630199998</v>
      </c>
      <c r="T20" s="10">
        <v>36111.875551999998</v>
      </c>
      <c r="U20" s="10">
        <v>1222178.942482</v>
      </c>
      <c r="V20" s="10">
        <v>1143144.8421819999</v>
      </c>
      <c r="W20" s="10">
        <v>512842.44092899997</v>
      </c>
      <c r="X20" s="10">
        <v>672147.33346700005</v>
      </c>
      <c r="Y20" s="10">
        <v>91289.251814000003</v>
      </c>
      <c r="Z20" s="10"/>
      <c r="AA20" s="10">
        <v>200117.44441699999</v>
      </c>
      <c r="AB20" s="10">
        <v>558338.88741800003</v>
      </c>
      <c r="AC20" s="10">
        <v>144354.15749899999</v>
      </c>
      <c r="AD20" s="10">
        <v>354058.75630800001</v>
      </c>
      <c r="AE20" s="10">
        <v>183668.766408</v>
      </c>
      <c r="AF20" s="10">
        <v>416924.88438599999</v>
      </c>
      <c r="AG20" s="10">
        <v>2816.0213520000002</v>
      </c>
      <c r="AH20" s="10">
        <v>176874.768346</v>
      </c>
      <c r="AI20" s="10">
        <v>3002.37898</v>
      </c>
      <c r="AJ20" s="10">
        <v>0</v>
      </c>
      <c r="AK20" s="10">
        <v>411158.81839500001</v>
      </c>
      <c r="AL20" s="10"/>
      <c r="AM20" s="10">
        <v>156890.56533300001</v>
      </c>
      <c r="AN20" s="10"/>
      <c r="AO20" s="10">
        <v>27620.081652000001</v>
      </c>
      <c r="AP20" s="10">
        <v>43011.958411</v>
      </c>
      <c r="AQ20" s="10">
        <v>33824.120793000002</v>
      </c>
      <c r="AR20" s="10"/>
      <c r="AS20" s="10"/>
      <c r="AT20" s="10"/>
      <c r="AU20" s="10"/>
      <c r="AV20" s="10">
        <v>0</v>
      </c>
      <c r="AW20" s="10"/>
      <c r="AX20" s="10"/>
      <c r="AY20" s="10">
        <v>45.980536000000001</v>
      </c>
      <c r="AZ20" s="10"/>
      <c r="BA20" s="10"/>
      <c r="BB20" s="10"/>
      <c r="BC20" s="10"/>
      <c r="BD20" s="10"/>
      <c r="BE20" s="10"/>
    </row>
    <row r="21" spans="1:57" x14ac:dyDescent="0.35">
      <c r="A21" s="8">
        <v>46144</v>
      </c>
      <c r="B21" s="9">
        <v>19746774.842592001</v>
      </c>
      <c r="C21" s="10">
        <v>1105520.9675090001</v>
      </c>
      <c r="D21" s="10">
        <v>6147197.0303159999</v>
      </c>
      <c r="E21" s="10">
        <v>742887.71332900005</v>
      </c>
      <c r="F21" s="10">
        <v>2840912.7694999999</v>
      </c>
      <c r="G21" s="10">
        <v>109598.549629</v>
      </c>
      <c r="H21" s="10">
        <v>697703.68149999995</v>
      </c>
      <c r="I21" s="10">
        <v>495595.44683700002</v>
      </c>
      <c r="J21" s="10">
        <v>115960.324201</v>
      </c>
      <c r="K21" s="10">
        <v>62872.013374000002</v>
      </c>
      <c r="L21" s="10">
        <v>805342.02739599999</v>
      </c>
      <c r="M21" s="10">
        <v>8722.9431449999993</v>
      </c>
      <c r="N21" s="10">
        <v>106.073905</v>
      </c>
      <c r="O21" s="10">
        <v>721301.81599899998</v>
      </c>
      <c r="P21" s="10">
        <v>1116330.2366879999</v>
      </c>
      <c r="Q21" s="10">
        <v>198393.33106999999</v>
      </c>
      <c r="R21" s="10">
        <v>84046.698533000002</v>
      </c>
      <c r="S21" s="10">
        <v>694538.67139899998</v>
      </c>
      <c r="T21" s="10">
        <v>45253.504592999998</v>
      </c>
      <c r="U21" s="10">
        <v>1051251.0025790001</v>
      </c>
      <c r="V21" s="10">
        <v>563764.06939600001</v>
      </c>
      <c r="W21" s="10">
        <v>479364.96511799999</v>
      </c>
      <c r="X21" s="10">
        <v>168036.99188399999</v>
      </c>
      <c r="Y21" s="10">
        <v>53165.876458999999</v>
      </c>
      <c r="Z21" s="10"/>
      <c r="AA21" s="10">
        <v>196551.78305699999</v>
      </c>
      <c r="AB21" s="10">
        <v>264522.35274200002</v>
      </c>
      <c r="AC21" s="10">
        <v>126866.620951</v>
      </c>
      <c r="AD21" s="10">
        <v>292659.58326099999</v>
      </c>
      <c r="AE21" s="10">
        <v>105543.44015900001</v>
      </c>
      <c r="AF21" s="10">
        <v>166861.951642</v>
      </c>
      <c r="AG21" s="10">
        <v>59.489097999999998</v>
      </c>
      <c r="AH21" s="10">
        <v>53817.884208000003</v>
      </c>
      <c r="AI21" s="10">
        <v>228.21119999999999</v>
      </c>
      <c r="AJ21" s="10">
        <v>126.76092199999999</v>
      </c>
      <c r="AK21" s="10">
        <v>144698.938348</v>
      </c>
      <c r="AL21" s="10"/>
      <c r="AM21" s="10">
        <v>51813.135649000003</v>
      </c>
      <c r="AN21" s="10"/>
      <c r="AO21" s="10">
        <v>0</v>
      </c>
      <c r="AP21" s="10">
        <v>15540.020204</v>
      </c>
      <c r="AQ21" s="10">
        <v>19617.966791999999</v>
      </c>
      <c r="AR21" s="10"/>
      <c r="AS21" s="10"/>
      <c r="AT21" s="10"/>
      <c r="AU21" s="10"/>
      <c r="AV21" s="10">
        <v>0</v>
      </c>
      <c r="AW21" s="10"/>
      <c r="AX21" s="10"/>
      <c r="AY21" s="10">
        <v>0</v>
      </c>
      <c r="AZ21" s="10"/>
      <c r="BA21" s="10"/>
      <c r="BB21" s="10"/>
      <c r="BC21" s="10"/>
      <c r="BD21" s="10"/>
      <c r="BE21" s="10"/>
    </row>
    <row r="22" spans="1:57" x14ac:dyDescent="0.35">
      <c r="A22" s="8">
        <v>46143</v>
      </c>
      <c r="B22" s="9">
        <v>92239643.199718997</v>
      </c>
      <c r="C22" s="10">
        <v>25326321.129478998</v>
      </c>
      <c r="D22" s="10">
        <v>29752904.940083001</v>
      </c>
      <c r="E22" s="10">
        <v>13655671.130013</v>
      </c>
      <c r="F22" s="10">
        <v>5005667.7036079997</v>
      </c>
      <c r="G22" s="10">
        <v>443245.01972699998</v>
      </c>
      <c r="H22" s="10">
        <v>3567492.805106</v>
      </c>
      <c r="I22" s="10">
        <v>1015213.688137</v>
      </c>
      <c r="J22" s="10">
        <v>358982.90860000002</v>
      </c>
      <c r="K22" s="10">
        <v>1023805.117155</v>
      </c>
      <c r="L22" s="10">
        <v>1169698.1041059999</v>
      </c>
      <c r="M22" s="10">
        <v>378536.443569</v>
      </c>
      <c r="N22" s="10">
        <v>368756.239397</v>
      </c>
      <c r="O22" s="10">
        <v>420683.03365499998</v>
      </c>
      <c r="P22" s="10">
        <v>1900416.896123</v>
      </c>
      <c r="Q22" s="10">
        <v>1003696.9595230001</v>
      </c>
      <c r="R22" s="10">
        <v>670996.47280999995</v>
      </c>
      <c r="S22" s="10">
        <v>553728.57685900002</v>
      </c>
      <c r="T22" s="10">
        <v>169614.34639699999</v>
      </c>
      <c r="U22" s="10">
        <v>464378.51701000001</v>
      </c>
      <c r="V22" s="10">
        <v>187328.86245399999</v>
      </c>
      <c r="W22" s="10">
        <v>330418.92207099998</v>
      </c>
      <c r="X22" s="10">
        <v>572004.46128699998</v>
      </c>
      <c r="Y22" s="10">
        <v>194219.40236099999</v>
      </c>
      <c r="Z22" s="10"/>
      <c r="AA22" s="10">
        <v>201481.61947199999</v>
      </c>
      <c r="AB22" s="10">
        <v>1237632.1068849999</v>
      </c>
      <c r="AC22" s="10">
        <v>230390.86017199999</v>
      </c>
      <c r="AD22" s="10">
        <v>305946.15116800001</v>
      </c>
      <c r="AE22" s="10">
        <v>184344.59012499999</v>
      </c>
      <c r="AF22" s="10">
        <v>612970.32193900004</v>
      </c>
      <c r="AG22" s="10">
        <v>70230.379503000004</v>
      </c>
      <c r="AH22" s="10">
        <v>158736.366488</v>
      </c>
      <c r="AI22" s="10">
        <v>24438.752849</v>
      </c>
      <c r="AJ22" s="10">
        <v>9128.2606510000005</v>
      </c>
      <c r="AK22" s="10">
        <v>490845.62143</v>
      </c>
      <c r="AL22" s="10"/>
      <c r="AM22" s="10">
        <v>31930.253295999999</v>
      </c>
      <c r="AN22" s="10"/>
      <c r="AO22" s="10">
        <v>1344.5365429999999</v>
      </c>
      <c r="AP22" s="10">
        <v>62603.134593000002</v>
      </c>
      <c r="AQ22" s="10">
        <v>25002.927174</v>
      </c>
      <c r="AR22" s="10"/>
      <c r="AS22" s="10"/>
      <c r="AT22" s="10"/>
      <c r="AU22" s="10"/>
      <c r="AV22" s="10">
        <v>5774.3209340000003</v>
      </c>
      <c r="AW22" s="10"/>
      <c r="AX22" s="10"/>
      <c r="AY22" s="10">
        <v>53061.316966999999</v>
      </c>
      <c r="AZ22" s="10"/>
      <c r="BA22" s="10"/>
      <c r="BB22" s="10"/>
      <c r="BC22" s="10"/>
      <c r="BD22" s="10"/>
      <c r="BE22" s="10"/>
    </row>
    <row r="23" spans="1:57" x14ac:dyDescent="0.35">
      <c r="A23" s="8">
        <v>46142</v>
      </c>
      <c r="B23" s="9">
        <v>96426250.470162004</v>
      </c>
      <c r="C23" s="10">
        <v>22811495.346101001</v>
      </c>
      <c r="D23" s="10">
        <v>30255808.457176998</v>
      </c>
      <c r="E23" s="10">
        <v>12171551.329399001</v>
      </c>
      <c r="F23" s="10">
        <v>8521801.0038440004</v>
      </c>
      <c r="G23" s="10">
        <v>758794.29287700006</v>
      </c>
      <c r="H23" s="10">
        <v>3217757.5960050002</v>
      </c>
      <c r="I23" s="10">
        <v>1256117.748313</v>
      </c>
      <c r="J23" s="10">
        <v>45040.450875000002</v>
      </c>
      <c r="K23" s="10">
        <v>373054.47134400002</v>
      </c>
      <c r="L23" s="10">
        <v>1900884.325979</v>
      </c>
      <c r="M23" s="10">
        <v>366149.66089100001</v>
      </c>
      <c r="N23" s="10">
        <v>1346707.3778230001</v>
      </c>
      <c r="O23" s="10">
        <v>1129491.9921579999</v>
      </c>
      <c r="P23" s="10">
        <v>905507.72946599999</v>
      </c>
      <c r="Q23" s="10">
        <v>690016.22979000001</v>
      </c>
      <c r="R23" s="10">
        <v>823379.19983000006</v>
      </c>
      <c r="S23" s="10">
        <v>538899.25527299999</v>
      </c>
      <c r="T23" s="10">
        <v>266203.35684099997</v>
      </c>
      <c r="U23" s="10">
        <v>535820.15063599998</v>
      </c>
      <c r="V23" s="10">
        <v>451968.90581099998</v>
      </c>
      <c r="W23" s="10">
        <v>36984.680715000002</v>
      </c>
      <c r="X23" s="10">
        <v>988292.82200799999</v>
      </c>
      <c r="Y23" s="10">
        <v>220362.01482000001</v>
      </c>
      <c r="Z23" s="10"/>
      <c r="AA23" s="10">
        <v>1167964.1444540001</v>
      </c>
      <c r="AB23" s="10">
        <v>1155263.2840489999</v>
      </c>
      <c r="AC23" s="10">
        <v>105152.591998</v>
      </c>
      <c r="AD23" s="10">
        <v>960214.247569</v>
      </c>
      <c r="AE23" s="10">
        <v>221936.48677700001</v>
      </c>
      <c r="AF23" s="10">
        <v>1205018.807705</v>
      </c>
      <c r="AG23" s="10">
        <v>95743.613148999997</v>
      </c>
      <c r="AH23" s="10">
        <v>648044.727358</v>
      </c>
      <c r="AI23" s="10">
        <v>89743.572276000006</v>
      </c>
      <c r="AJ23" s="10">
        <v>89796.510926000003</v>
      </c>
      <c r="AK23" s="10">
        <v>1001086.637976</v>
      </c>
      <c r="AL23" s="10"/>
      <c r="AM23" s="10">
        <v>49238.279333999999</v>
      </c>
      <c r="AN23" s="10"/>
      <c r="AO23" s="10">
        <v>293.34473700000001</v>
      </c>
      <c r="AP23" s="10"/>
      <c r="AQ23" s="10">
        <v>7958.8851969999996</v>
      </c>
      <c r="AR23" s="10"/>
      <c r="AS23" s="10"/>
      <c r="AT23" s="10"/>
      <c r="AU23" s="10"/>
      <c r="AV23" s="10">
        <v>16706.938681</v>
      </c>
      <c r="AW23" s="10"/>
      <c r="AX23" s="10"/>
      <c r="AY23" s="10">
        <v>0</v>
      </c>
      <c r="AZ23" s="10"/>
      <c r="BA23" s="10"/>
      <c r="BB23" s="10"/>
      <c r="BC23" s="10"/>
      <c r="BD23" s="10"/>
      <c r="BE23" s="10"/>
    </row>
    <row r="24" spans="1:57" x14ac:dyDescent="0.35">
      <c r="A24" s="8">
        <v>46141</v>
      </c>
      <c r="B24" s="9">
        <v>127663589.61940899</v>
      </c>
      <c r="C24" s="10">
        <v>29507699.041627001</v>
      </c>
      <c r="D24" s="10">
        <v>42940515.071980998</v>
      </c>
      <c r="E24" s="10">
        <v>16582156.553377001</v>
      </c>
      <c r="F24" s="10">
        <v>16566198.810494</v>
      </c>
      <c r="G24" s="10">
        <v>1065331.314426</v>
      </c>
      <c r="H24" s="10">
        <v>2216240.122395</v>
      </c>
      <c r="I24" s="10">
        <v>761998.77567200002</v>
      </c>
      <c r="J24" s="10">
        <v>64039.616706000001</v>
      </c>
      <c r="K24" s="10">
        <v>715279.16393000004</v>
      </c>
      <c r="L24" s="10">
        <v>1091420.5214160001</v>
      </c>
      <c r="M24" s="10">
        <v>210533.72956000001</v>
      </c>
      <c r="N24" s="10">
        <v>504492.99498700001</v>
      </c>
      <c r="O24" s="10">
        <v>3180112.2493810002</v>
      </c>
      <c r="P24" s="10">
        <v>483868.73754300002</v>
      </c>
      <c r="Q24" s="10">
        <v>161595.88973200001</v>
      </c>
      <c r="R24" s="10">
        <v>772734.13356800005</v>
      </c>
      <c r="S24" s="10">
        <v>248149.61645599999</v>
      </c>
      <c r="T24" s="10">
        <v>300696.66548600001</v>
      </c>
      <c r="U24" s="10">
        <v>273298.93508000002</v>
      </c>
      <c r="V24" s="10">
        <v>841348.33305300004</v>
      </c>
      <c r="W24" s="10">
        <v>247150.50385099999</v>
      </c>
      <c r="X24" s="10">
        <v>342306.583032</v>
      </c>
      <c r="Y24" s="10">
        <v>107043.736584</v>
      </c>
      <c r="Z24" s="10"/>
      <c r="AA24" s="10">
        <v>280833.463904</v>
      </c>
      <c r="AB24" s="10">
        <v>1504347.0590979999</v>
      </c>
      <c r="AC24" s="10">
        <v>79432.882463999995</v>
      </c>
      <c r="AD24" s="10">
        <v>2101426.7321959999</v>
      </c>
      <c r="AE24" s="10">
        <v>164558.20090900001</v>
      </c>
      <c r="AF24" s="10">
        <v>1705404.209911</v>
      </c>
      <c r="AG24" s="10">
        <v>218756.818294</v>
      </c>
      <c r="AH24" s="10">
        <v>1592613.6312239999</v>
      </c>
      <c r="AI24" s="10">
        <v>215613.60996500001</v>
      </c>
      <c r="AJ24" s="10">
        <v>215288.54569900001</v>
      </c>
      <c r="AK24" s="10">
        <v>154760.39981800001</v>
      </c>
      <c r="AL24" s="10"/>
      <c r="AM24" s="10">
        <v>53762.739705</v>
      </c>
      <c r="AN24" s="10"/>
      <c r="AO24" s="10">
        <v>7396.8900110000004</v>
      </c>
      <c r="AP24" s="10"/>
      <c r="AQ24" s="10">
        <v>60317.598632000001</v>
      </c>
      <c r="AR24" s="10"/>
      <c r="AS24" s="10"/>
      <c r="AT24" s="10"/>
      <c r="AU24" s="10"/>
      <c r="AV24" s="10">
        <v>12237.561446</v>
      </c>
      <c r="AW24" s="10"/>
      <c r="AX24" s="10"/>
      <c r="AY24" s="10">
        <v>112628.175796</v>
      </c>
      <c r="AZ24" s="10"/>
      <c r="BA24" s="10"/>
      <c r="BB24" s="10"/>
      <c r="BC24" s="10"/>
      <c r="BD24" s="10"/>
      <c r="BE24" s="10"/>
    </row>
    <row r="25" spans="1:57" x14ac:dyDescent="0.35">
      <c r="A25" s="8">
        <v>46140</v>
      </c>
      <c r="B25" s="9">
        <v>169536685.507581</v>
      </c>
      <c r="C25" s="10">
        <v>40995095.005801</v>
      </c>
      <c r="D25" s="10">
        <v>41256838.876125</v>
      </c>
      <c r="E25" s="10">
        <v>46913021.803530999</v>
      </c>
      <c r="F25" s="10">
        <v>7301203.8868260002</v>
      </c>
      <c r="G25" s="10">
        <v>10551419.028889</v>
      </c>
      <c r="H25" s="10">
        <v>783322.87565099995</v>
      </c>
      <c r="I25" s="10">
        <v>694540.21281499998</v>
      </c>
      <c r="J25" s="10">
        <v>38997.029631999998</v>
      </c>
      <c r="K25" s="10">
        <v>6582337.9310929999</v>
      </c>
      <c r="L25" s="10">
        <v>4213584.079659</v>
      </c>
      <c r="M25" s="10">
        <v>386510.28538000002</v>
      </c>
      <c r="N25" s="10">
        <v>23037.737392999999</v>
      </c>
      <c r="O25" s="10">
        <v>1437349.237531</v>
      </c>
      <c r="P25" s="10">
        <v>442182.85559499997</v>
      </c>
      <c r="Q25" s="10">
        <v>21281.114226999998</v>
      </c>
      <c r="R25" s="10">
        <v>676507.973382</v>
      </c>
      <c r="S25" s="10">
        <v>371008.31302</v>
      </c>
      <c r="T25" s="10">
        <v>97071.060341000004</v>
      </c>
      <c r="U25" s="10">
        <v>544646.51800299995</v>
      </c>
      <c r="V25" s="10">
        <v>1204372.4687910001</v>
      </c>
      <c r="W25" s="10">
        <v>361934.12692800001</v>
      </c>
      <c r="X25" s="10">
        <v>637634.88719799998</v>
      </c>
      <c r="Y25" s="10">
        <v>236862.14262</v>
      </c>
      <c r="Z25" s="10"/>
      <c r="AA25" s="10">
        <v>439207.05837599997</v>
      </c>
      <c r="AB25" s="10">
        <v>232724.35417000001</v>
      </c>
      <c r="AC25" s="10">
        <v>55384.910681000001</v>
      </c>
      <c r="AD25" s="10">
        <v>251705.04745300001</v>
      </c>
      <c r="AE25" s="10">
        <v>301554.11826399999</v>
      </c>
      <c r="AF25" s="10">
        <v>206862.15804400001</v>
      </c>
      <c r="AG25" s="10">
        <v>470170.747959</v>
      </c>
      <c r="AH25" s="10">
        <v>485438.75004900002</v>
      </c>
      <c r="AI25" s="10">
        <v>469672.87130499998</v>
      </c>
      <c r="AJ25" s="10">
        <v>443559.348344</v>
      </c>
      <c r="AK25" s="10">
        <v>252861.28985599999</v>
      </c>
      <c r="AL25" s="10"/>
      <c r="AM25" s="10">
        <v>76867.002861000001</v>
      </c>
      <c r="AN25" s="10"/>
      <c r="AO25" s="10">
        <v>15437.273262000001</v>
      </c>
      <c r="AP25" s="10"/>
      <c r="AQ25" s="10">
        <v>41230.453936999998</v>
      </c>
      <c r="AR25" s="10"/>
      <c r="AS25" s="10"/>
      <c r="AT25" s="10"/>
      <c r="AU25" s="10"/>
      <c r="AV25" s="10">
        <v>23055.031759000001</v>
      </c>
      <c r="AW25" s="10"/>
      <c r="AX25" s="10"/>
      <c r="AY25" s="10">
        <v>195.64082999999999</v>
      </c>
      <c r="AZ25" s="10"/>
      <c r="BA25" s="10"/>
      <c r="BB25" s="10"/>
      <c r="BC25" s="10"/>
      <c r="BD25" s="10"/>
      <c r="BE25" s="10"/>
    </row>
    <row r="26" spans="1:57" x14ac:dyDescent="0.35">
      <c r="A26" s="8">
        <v>46139</v>
      </c>
      <c r="B26" s="9">
        <v>131136936.534325</v>
      </c>
      <c r="C26" s="10">
        <v>25807873.022493001</v>
      </c>
      <c r="D26" s="10">
        <v>41776960.883952998</v>
      </c>
      <c r="E26" s="10">
        <v>28873088.193629</v>
      </c>
      <c r="F26" s="10">
        <v>5306949.3686269997</v>
      </c>
      <c r="G26" s="10">
        <v>11188900.558608999</v>
      </c>
      <c r="H26" s="10">
        <v>117469.424078</v>
      </c>
      <c r="I26" s="10">
        <v>926443.72672000004</v>
      </c>
      <c r="J26" s="10">
        <v>57012.570890000003</v>
      </c>
      <c r="K26" s="10">
        <v>3441781.9468749999</v>
      </c>
      <c r="L26" s="10">
        <v>1711781.497214</v>
      </c>
      <c r="M26" s="10">
        <v>540589.12899799994</v>
      </c>
      <c r="N26" s="10">
        <v>92979.926596000005</v>
      </c>
      <c r="O26" s="10">
        <v>973804.197759</v>
      </c>
      <c r="P26" s="10">
        <v>591625.60266600002</v>
      </c>
      <c r="Q26" s="10">
        <v>4661.1706430000004</v>
      </c>
      <c r="R26" s="10">
        <v>886695.04756500002</v>
      </c>
      <c r="S26" s="10">
        <v>861363.33935899998</v>
      </c>
      <c r="T26" s="10">
        <v>136287.346896</v>
      </c>
      <c r="U26" s="10">
        <v>658693.21427400003</v>
      </c>
      <c r="V26" s="10">
        <v>482380.00841200002</v>
      </c>
      <c r="W26" s="10">
        <v>723272.42076600005</v>
      </c>
      <c r="X26" s="10">
        <v>876134.06380799995</v>
      </c>
      <c r="Y26" s="10">
        <v>64981.532772999999</v>
      </c>
      <c r="Z26" s="10"/>
      <c r="AA26" s="10">
        <v>1247708.9743369999</v>
      </c>
      <c r="AB26" s="10">
        <v>695418.24930599995</v>
      </c>
      <c r="AC26" s="10">
        <v>45278.593114000003</v>
      </c>
      <c r="AD26" s="10">
        <v>345387.931728</v>
      </c>
      <c r="AE26" s="10">
        <v>162914.396534</v>
      </c>
      <c r="AF26" s="10">
        <v>227919.05642199999</v>
      </c>
      <c r="AG26" s="10">
        <v>441547.78093000001</v>
      </c>
      <c r="AH26" s="10">
        <v>428113.96013100003</v>
      </c>
      <c r="AI26" s="10">
        <v>419557.26912000001</v>
      </c>
      <c r="AJ26" s="10">
        <v>460700.60083700001</v>
      </c>
      <c r="AK26" s="10">
        <v>206843.91670900001</v>
      </c>
      <c r="AL26" s="10"/>
      <c r="AM26" s="10">
        <v>112124.102543</v>
      </c>
      <c r="AN26" s="10"/>
      <c r="AO26" s="10">
        <v>54368.239734000002</v>
      </c>
      <c r="AP26" s="10"/>
      <c r="AQ26" s="10">
        <v>176587.34724999999</v>
      </c>
      <c r="AR26" s="10"/>
      <c r="AS26" s="10"/>
      <c r="AT26" s="10"/>
      <c r="AU26" s="10"/>
      <c r="AV26" s="10">
        <v>10737.922027000001</v>
      </c>
      <c r="AW26" s="10"/>
      <c r="AX26" s="10"/>
      <c r="AY26" s="10">
        <v>0</v>
      </c>
      <c r="AZ26" s="10"/>
      <c r="BA26" s="10"/>
      <c r="BB26" s="10"/>
      <c r="BC26" s="10"/>
      <c r="BD26" s="10"/>
      <c r="BE26" s="10"/>
    </row>
    <row r="27" spans="1:57" x14ac:dyDescent="0.35">
      <c r="A27" s="8">
        <v>46138</v>
      </c>
      <c r="B27" s="9">
        <v>39920744.468032002</v>
      </c>
      <c r="C27" s="10">
        <v>7596522.9774700003</v>
      </c>
      <c r="D27" s="10">
        <v>11444025.570188001</v>
      </c>
      <c r="E27" s="10">
        <v>3677953.1522380002</v>
      </c>
      <c r="F27" s="10">
        <v>5520179.5070080003</v>
      </c>
      <c r="G27" s="10">
        <v>1373024.3445039999</v>
      </c>
      <c r="H27" s="10">
        <v>0</v>
      </c>
      <c r="I27" s="10">
        <v>247791.014815</v>
      </c>
      <c r="J27" s="10">
        <v>89618.064834000004</v>
      </c>
      <c r="K27" s="10">
        <v>2741145.910867</v>
      </c>
      <c r="L27" s="10">
        <v>651538.00477400003</v>
      </c>
      <c r="M27" s="10">
        <v>26332.921639</v>
      </c>
      <c r="N27" s="10">
        <v>127338.397683</v>
      </c>
      <c r="O27" s="10">
        <v>377090.98555699998</v>
      </c>
      <c r="P27" s="10">
        <v>700907.51604500005</v>
      </c>
      <c r="Q27" s="10">
        <v>53464.353743</v>
      </c>
      <c r="R27" s="10">
        <v>482474.749213</v>
      </c>
      <c r="S27" s="10">
        <v>703419.41650799999</v>
      </c>
      <c r="T27" s="10">
        <v>164138.02708500001</v>
      </c>
      <c r="U27" s="10">
        <v>291308.30123300001</v>
      </c>
      <c r="V27" s="10">
        <v>163186.552249</v>
      </c>
      <c r="W27" s="10">
        <v>143106.08365700001</v>
      </c>
      <c r="X27" s="10">
        <v>368941.91120899998</v>
      </c>
      <c r="Y27" s="10">
        <v>13990.779640000001</v>
      </c>
      <c r="Z27" s="10"/>
      <c r="AA27" s="10">
        <v>2221639.2171319998</v>
      </c>
      <c r="AB27" s="10">
        <v>17647.432459</v>
      </c>
      <c r="AC27" s="10">
        <v>45476.500982999998</v>
      </c>
      <c r="AD27" s="10">
        <v>92916.559164000006</v>
      </c>
      <c r="AE27" s="10">
        <v>143564.71896</v>
      </c>
      <c r="AF27" s="10">
        <v>58223.460640999998</v>
      </c>
      <c r="AG27" s="10">
        <v>3287.0257670000001</v>
      </c>
      <c r="AH27" s="10">
        <v>230982.223596</v>
      </c>
      <c r="AI27" s="10">
        <v>183.31982099999999</v>
      </c>
      <c r="AJ27" s="10">
        <v>29.996168000000001</v>
      </c>
      <c r="AK27" s="10">
        <v>36370.69167</v>
      </c>
      <c r="AL27" s="10"/>
      <c r="AM27" s="10">
        <v>55021.147482</v>
      </c>
      <c r="AN27" s="10"/>
      <c r="AO27" s="10">
        <v>36377.355887999998</v>
      </c>
      <c r="AP27" s="10"/>
      <c r="AQ27" s="10">
        <v>20965.996468000001</v>
      </c>
      <c r="AR27" s="10"/>
      <c r="AS27" s="10"/>
      <c r="AT27" s="10"/>
      <c r="AU27" s="10"/>
      <c r="AV27" s="10">
        <v>560.279674</v>
      </c>
      <c r="AW27" s="10"/>
      <c r="AX27" s="10"/>
      <c r="AY27" s="10">
        <v>0</v>
      </c>
      <c r="AZ27" s="10"/>
      <c r="BA27" s="10"/>
      <c r="BB27" s="10"/>
      <c r="BC27" s="10"/>
      <c r="BD27" s="10"/>
      <c r="BE27" s="10"/>
    </row>
    <row r="28" spans="1:57" x14ac:dyDescent="0.35">
      <c r="A28" s="8">
        <v>46137</v>
      </c>
      <c r="B28" s="9">
        <v>33129576.264495999</v>
      </c>
      <c r="C28" s="10">
        <v>2676357.5781350001</v>
      </c>
      <c r="D28" s="10">
        <v>14113918.791511999</v>
      </c>
      <c r="E28" s="10">
        <v>578103.25592999998</v>
      </c>
      <c r="F28" s="10">
        <v>4835864.7382770004</v>
      </c>
      <c r="G28" s="10">
        <v>233140.17917600001</v>
      </c>
      <c r="H28" s="10">
        <v>15823.873314</v>
      </c>
      <c r="I28" s="10">
        <v>283616.83340599999</v>
      </c>
      <c r="J28" s="10">
        <v>1388040.0731850001</v>
      </c>
      <c r="K28" s="10">
        <v>56349.174420000003</v>
      </c>
      <c r="L28" s="10">
        <v>1265435.534738</v>
      </c>
      <c r="M28" s="10">
        <v>761505.26645</v>
      </c>
      <c r="N28" s="10">
        <v>5479.5730940000003</v>
      </c>
      <c r="O28" s="10">
        <v>439224.58373800002</v>
      </c>
      <c r="P28" s="10">
        <v>435689.84225099999</v>
      </c>
      <c r="Q28" s="10">
        <v>51397.003696</v>
      </c>
      <c r="R28" s="10">
        <v>309426.76153399999</v>
      </c>
      <c r="S28" s="10">
        <v>280291.17621000001</v>
      </c>
      <c r="T28" s="10">
        <v>371346.54420200002</v>
      </c>
      <c r="U28" s="10">
        <v>81600.581636999996</v>
      </c>
      <c r="V28" s="10">
        <v>253710.47180199999</v>
      </c>
      <c r="W28" s="10">
        <v>115288.112244</v>
      </c>
      <c r="X28" s="10">
        <v>436156.15344999998</v>
      </c>
      <c r="Y28" s="10">
        <v>775905.78014199995</v>
      </c>
      <c r="Z28" s="10"/>
      <c r="AA28" s="10">
        <v>868766.19640300004</v>
      </c>
      <c r="AB28" s="10">
        <v>101627.383052</v>
      </c>
      <c r="AC28" s="10">
        <v>1793305.8601629999</v>
      </c>
      <c r="AD28" s="10">
        <v>28037.755228000002</v>
      </c>
      <c r="AE28" s="10">
        <v>141172.74133200001</v>
      </c>
      <c r="AF28" s="10">
        <v>98972.053820000001</v>
      </c>
      <c r="AG28" s="10">
        <v>186.17284799999999</v>
      </c>
      <c r="AH28" s="10">
        <v>75599.497577000002</v>
      </c>
      <c r="AI28" s="10">
        <v>1143.517128</v>
      </c>
      <c r="AJ28" s="10">
        <v>29.965608</v>
      </c>
      <c r="AK28" s="10">
        <v>151877.113901</v>
      </c>
      <c r="AL28" s="10"/>
      <c r="AM28" s="10">
        <v>33420.772548000001</v>
      </c>
      <c r="AN28" s="10"/>
      <c r="AO28" s="10">
        <v>396.25200000000001</v>
      </c>
      <c r="AP28" s="10"/>
      <c r="AQ28" s="10">
        <v>71369.100344999999</v>
      </c>
      <c r="AR28" s="10"/>
      <c r="AS28" s="10"/>
      <c r="AT28" s="10"/>
      <c r="AU28" s="10"/>
      <c r="AV28" s="10">
        <v>0</v>
      </c>
      <c r="AW28" s="10"/>
      <c r="AX28" s="10"/>
      <c r="AY28" s="10">
        <v>0</v>
      </c>
      <c r="AZ28" s="10"/>
      <c r="BA28" s="10"/>
      <c r="BB28" s="10"/>
      <c r="BC28" s="10"/>
      <c r="BD28" s="10"/>
      <c r="BE28" s="10"/>
    </row>
    <row r="29" spans="1:57" x14ac:dyDescent="0.35">
      <c r="A29" s="8">
        <v>46136</v>
      </c>
      <c r="B29" s="9">
        <v>164817444.36200601</v>
      </c>
      <c r="C29" s="10">
        <v>38466660.891006999</v>
      </c>
      <c r="D29" s="10">
        <v>55506916.394961998</v>
      </c>
      <c r="E29" s="10">
        <v>23798806.396862</v>
      </c>
      <c r="F29" s="10">
        <v>9163114.4459499996</v>
      </c>
      <c r="G29" s="10">
        <v>15833780.392464001</v>
      </c>
      <c r="H29" s="10">
        <v>78309.879599000007</v>
      </c>
      <c r="I29" s="10">
        <v>823500.42713500001</v>
      </c>
      <c r="J29" s="10">
        <v>4083649.083172</v>
      </c>
      <c r="K29" s="10">
        <v>6687439.2089919997</v>
      </c>
      <c r="L29" s="10">
        <v>559561.66681900003</v>
      </c>
      <c r="M29" s="10">
        <v>923098.99015099998</v>
      </c>
      <c r="N29" s="10">
        <v>147647.87122299999</v>
      </c>
      <c r="O29" s="10">
        <v>1453388.7761059999</v>
      </c>
      <c r="P29" s="10">
        <v>890999.459118</v>
      </c>
      <c r="Q29" s="10">
        <v>81057.165492</v>
      </c>
      <c r="R29" s="10">
        <v>445616.48995700001</v>
      </c>
      <c r="S29" s="10">
        <v>327783.83410600002</v>
      </c>
      <c r="T29" s="10">
        <v>175872.90134400001</v>
      </c>
      <c r="U29" s="10">
        <v>686709.61306300003</v>
      </c>
      <c r="V29" s="10">
        <v>300329.88812800002</v>
      </c>
      <c r="W29" s="10">
        <v>208284.39560799999</v>
      </c>
      <c r="X29" s="10">
        <v>511109.18468100001</v>
      </c>
      <c r="Y29" s="10">
        <v>71504.821865000005</v>
      </c>
      <c r="Z29" s="10"/>
      <c r="AA29" s="10">
        <v>2140161.4790520002</v>
      </c>
      <c r="AB29" s="10">
        <v>126380.929991</v>
      </c>
      <c r="AC29" s="10">
        <v>58499.725965999998</v>
      </c>
      <c r="AD29" s="10">
        <v>339859.80979099998</v>
      </c>
      <c r="AE29" s="10">
        <v>235087.20396099999</v>
      </c>
      <c r="AF29" s="10">
        <v>92289.894295000006</v>
      </c>
      <c r="AG29" s="10">
        <v>32037.746426999998</v>
      </c>
      <c r="AH29" s="10">
        <v>135778.64309999999</v>
      </c>
      <c r="AI29" s="10">
        <v>3151.4082969999999</v>
      </c>
      <c r="AJ29" s="10">
        <v>27749.712402000001</v>
      </c>
      <c r="AK29" s="10">
        <v>21311.843421000001</v>
      </c>
      <c r="AL29" s="10"/>
      <c r="AM29" s="10">
        <v>233280.14872</v>
      </c>
      <c r="AN29" s="10"/>
      <c r="AO29" s="10">
        <v>66802.077919999996</v>
      </c>
      <c r="AP29" s="10"/>
      <c r="AQ29" s="10">
        <v>40108.341046000001</v>
      </c>
      <c r="AR29" s="10"/>
      <c r="AS29" s="10"/>
      <c r="AT29" s="10"/>
      <c r="AU29" s="10"/>
      <c r="AV29" s="10">
        <v>34625.478129000003</v>
      </c>
      <c r="AW29" s="10"/>
      <c r="AX29" s="10"/>
      <c r="AY29" s="10">
        <v>5177.7416839999996</v>
      </c>
      <c r="AZ29" s="10"/>
      <c r="BA29" s="10"/>
      <c r="BB29" s="10"/>
      <c r="BC29" s="10"/>
      <c r="BD29" s="10"/>
      <c r="BE29" s="10"/>
    </row>
    <row r="30" spans="1:57" x14ac:dyDescent="0.35">
      <c r="A30" s="8">
        <v>46135</v>
      </c>
      <c r="B30" s="9">
        <v>229767386.22376999</v>
      </c>
      <c r="C30" s="10">
        <v>57472763.992533997</v>
      </c>
      <c r="D30" s="10">
        <v>73704370.415869996</v>
      </c>
      <c r="E30" s="10">
        <v>31973814.173248999</v>
      </c>
      <c r="F30" s="10">
        <v>14525231.989227001</v>
      </c>
      <c r="G30" s="10">
        <v>14070022.860052999</v>
      </c>
      <c r="H30" s="10">
        <v>110527.336069</v>
      </c>
      <c r="I30" s="10">
        <v>369643.20995500003</v>
      </c>
      <c r="J30" s="10">
        <v>3132695.7579390001</v>
      </c>
      <c r="K30" s="10">
        <v>7533231.4124689996</v>
      </c>
      <c r="L30" s="10">
        <v>259783.55583600001</v>
      </c>
      <c r="M30" s="10">
        <v>1322779.132457</v>
      </c>
      <c r="N30" s="10">
        <v>347531.254625</v>
      </c>
      <c r="O30" s="10">
        <v>2085512.8260059999</v>
      </c>
      <c r="P30" s="10">
        <v>428185.60973500001</v>
      </c>
      <c r="Q30" s="10">
        <v>135875.44905699999</v>
      </c>
      <c r="R30" s="10">
        <v>1253100.4889829999</v>
      </c>
      <c r="S30" s="10">
        <v>431010.01403000002</v>
      </c>
      <c r="T30" s="10">
        <v>341572.18659900001</v>
      </c>
      <c r="U30" s="10">
        <v>1419599.3139599999</v>
      </c>
      <c r="V30" s="10">
        <v>175642.36121800001</v>
      </c>
      <c r="W30" s="10">
        <v>46839.870513000002</v>
      </c>
      <c r="X30" s="10">
        <v>856813.88727800001</v>
      </c>
      <c r="Y30" s="10">
        <v>5191801.3252499998</v>
      </c>
      <c r="Z30" s="10"/>
      <c r="AA30" s="10">
        <v>8765945.0132669993</v>
      </c>
      <c r="AB30" s="10">
        <v>102114.24463299999</v>
      </c>
      <c r="AC30" s="10">
        <v>494394.29717699997</v>
      </c>
      <c r="AD30" s="10">
        <v>260478.34450800001</v>
      </c>
      <c r="AE30" s="10">
        <v>208699.82344099999</v>
      </c>
      <c r="AF30" s="10">
        <v>173884.09386600001</v>
      </c>
      <c r="AG30" s="10">
        <v>977126.98803500005</v>
      </c>
      <c r="AH30" s="10">
        <v>34095.146528999998</v>
      </c>
      <c r="AI30" s="10">
        <v>943010.465218</v>
      </c>
      <c r="AJ30" s="10">
        <v>339385.51901799999</v>
      </c>
      <c r="AK30" s="10">
        <v>59213.385598000001</v>
      </c>
      <c r="AL30" s="10"/>
      <c r="AM30" s="10">
        <v>116356.58112800001</v>
      </c>
      <c r="AN30" s="10"/>
      <c r="AO30" s="10">
        <v>28223.69183</v>
      </c>
      <c r="AP30" s="10"/>
      <c r="AQ30" s="10">
        <v>39969.547928</v>
      </c>
      <c r="AR30" s="10"/>
      <c r="AS30" s="10"/>
      <c r="AT30" s="10"/>
      <c r="AU30" s="10"/>
      <c r="AV30" s="10">
        <v>34314.426602</v>
      </c>
      <c r="AW30" s="10"/>
      <c r="AX30" s="10"/>
      <c r="AY30" s="10">
        <v>1826.23208</v>
      </c>
      <c r="AZ30" s="10"/>
      <c r="BA30" s="10"/>
      <c r="BB30" s="10"/>
      <c r="BC30" s="10"/>
      <c r="BD30" s="10"/>
      <c r="BE30" s="10"/>
    </row>
    <row r="31" spans="1:57" x14ac:dyDescent="0.35">
      <c r="A31" s="8">
        <v>46134</v>
      </c>
      <c r="B31" s="9">
        <v>143602618.20846701</v>
      </c>
      <c r="C31" s="10">
        <v>40879924.284096003</v>
      </c>
      <c r="D31" s="10">
        <v>42056370.060592003</v>
      </c>
      <c r="E31" s="10">
        <v>21864362.992431998</v>
      </c>
      <c r="F31" s="10">
        <v>8141290.9391369997</v>
      </c>
      <c r="G31" s="10">
        <v>12671844.809925999</v>
      </c>
      <c r="H31" s="10">
        <v>74288.314113</v>
      </c>
      <c r="I31" s="10">
        <v>404589.03601699998</v>
      </c>
      <c r="J31" s="10">
        <v>52095.105037000001</v>
      </c>
      <c r="K31" s="10">
        <v>3713200.1473900001</v>
      </c>
      <c r="L31" s="10">
        <v>133740.092557</v>
      </c>
      <c r="M31" s="10">
        <v>442612.03827800002</v>
      </c>
      <c r="N31" s="10">
        <v>476740.156219</v>
      </c>
      <c r="O31" s="10">
        <v>241588.77558300001</v>
      </c>
      <c r="P31" s="10">
        <v>505791.68538799998</v>
      </c>
      <c r="Q31" s="10">
        <v>31928.806302000001</v>
      </c>
      <c r="R31" s="10">
        <v>664878.030118</v>
      </c>
      <c r="S31" s="10">
        <v>316671.51544400002</v>
      </c>
      <c r="T31" s="10">
        <v>122947.61333399999</v>
      </c>
      <c r="U31" s="10">
        <v>691104.35644899996</v>
      </c>
      <c r="V31" s="10">
        <v>209955.657431</v>
      </c>
      <c r="W31" s="10">
        <v>123911.23581699999</v>
      </c>
      <c r="X31" s="10">
        <v>883630.31083500001</v>
      </c>
      <c r="Y31" s="10">
        <v>35980.333130999999</v>
      </c>
      <c r="Z31" s="10"/>
      <c r="AA31" s="10">
        <v>6719556.2750770003</v>
      </c>
      <c r="AB31" s="10">
        <v>149050.47194399999</v>
      </c>
      <c r="AC31" s="10">
        <v>66469.980280000003</v>
      </c>
      <c r="AD31" s="10">
        <v>123436.609711</v>
      </c>
      <c r="AE31" s="10">
        <v>188458.33867500001</v>
      </c>
      <c r="AF31" s="10">
        <v>90280.621958000003</v>
      </c>
      <c r="AG31" s="10">
        <v>468239.99050700001</v>
      </c>
      <c r="AH31" s="10">
        <v>56726.083070000001</v>
      </c>
      <c r="AI31" s="10">
        <v>428588.09740600002</v>
      </c>
      <c r="AJ31" s="10">
        <v>320601.79929900001</v>
      </c>
      <c r="AK31" s="10">
        <v>72492.245658999993</v>
      </c>
      <c r="AL31" s="10"/>
      <c r="AM31" s="10">
        <v>23893.175372000002</v>
      </c>
      <c r="AN31" s="10"/>
      <c r="AO31" s="10">
        <v>45674.764635</v>
      </c>
      <c r="AP31" s="10"/>
      <c r="AQ31" s="10">
        <v>103063.663909</v>
      </c>
      <c r="AR31" s="10"/>
      <c r="AS31" s="10"/>
      <c r="AT31" s="10"/>
      <c r="AU31" s="10"/>
      <c r="AV31" s="10">
        <v>5338.7466889999996</v>
      </c>
      <c r="AW31" s="10"/>
      <c r="AX31" s="10"/>
      <c r="AY31" s="10">
        <v>1301.04865</v>
      </c>
      <c r="AZ31" s="10"/>
      <c r="BA31" s="10"/>
      <c r="BB31" s="10"/>
      <c r="BC31" s="10"/>
      <c r="BD31" s="10"/>
      <c r="BE31" s="10"/>
    </row>
    <row r="32" spans="1:57" x14ac:dyDescent="0.35">
      <c r="A32" s="8">
        <v>46133</v>
      </c>
      <c r="B32" s="9">
        <v>191545284.373963</v>
      </c>
      <c r="C32" s="10">
        <v>45065815.808760002</v>
      </c>
      <c r="D32" s="10">
        <v>75434454.292885005</v>
      </c>
      <c r="E32" s="10">
        <v>27521661.818464</v>
      </c>
      <c r="F32" s="10">
        <v>15828503.339011</v>
      </c>
      <c r="G32" s="10">
        <v>12970139.202058</v>
      </c>
      <c r="H32" s="10">
        <v>8932.5185509999992</v>
      </c>
      <c r="I32" s="10">
        <v>914822.81197399995</v>
      </c>
      <c r="J32" s="10">
        <v>1006585.607077</v>
      </c>
      <c r="K32" s="10">
        <v>4714643.9084940003</v>
      </c>
      <c r="L32" s="10">
        <v>291214.208308</v>
      </c>
      <c r="M32" s="10">
        <v>224520.89445299999</v>
      </c>
      <c r="N32" s="10">
        <v>377954.46909099998</v>
      </c>
      <c r="O32" s="10">
        <v>132508.89001900001</v>
      </c>
      <c r="P32" s="10">
        <v>865883.31755799998</v>
      </c>
      <c r="Q32" s="10">
        <v>19857.454590000001</v>
      </c>
      <c r="R32" s="10">
        <v>855239.23335300002</v>
      </c>
      <c r="S32" s="10">
        <v>195285.55983000001</v>
      </c>
      <c r="T32" s="10">
        <v>172665.68956599999</v>
      </c>
      <c r="U32" s="10">
        <v>888447.27666199999</v>
      </c>
      <c r="V32" s="10">
        <v>564735.19945199997</v>
      </c>
      <c r="W32" s="10">
        <v>118603.761436</v>
      </c>
      <c r="X32" s="10">
        <v>279134.74222700001</v>
      </c>
      <c r="Y32" s="10">
        <v>977943.31614500005</v>
      </c>
      <c r="Z32" s="10"/>
      <c r="AA32" s="10">
        <v>316685.30224400002</v>
      </c>
      <c r="AB32" s="10">
        <v>108437.681367</v>
      </c>
      <c r="AC32" s="10">
        <v>217945.752706</v>
      </c>
      <c r="AD32" s="10">
        <v>125278.89009099999</v>
      </c>
      <c r="AE32" s="10">
        <v>132880.493842</v>
      </c>
      <c r="AF32" s="10">
        <v>75611.364275999993</v>
      </c>
      <c r="AG32" s="10">
        <v>260039.974308</v>
      </c>
      <c r="AH32" s="10">
        <v>151766.33775599999</v>
      </c>
      <c r="AI32" s="10">
        <v>140677.76028300001</v>
      </c>
      <c r="AJ32" s="10">
        <v>140453.21423700001</v>
      </c>
      <c r="AK32" s="10">
        <v>183154.820886</v>
      </c>
      <c r="AL32" s="10"/>
      <c r="AM32" s="10">
        <v>19599.043207999999</v>
      </c>
      <c r="AN32" s="10"/>
      <c r="AO32" s="10">
        <v>3418.7833869999999</v>
      </c>
      <c r="AP32" s="10"/>
      <c r="AQ32" s="10">
        <v>231708.83883200001</v>
      </c>
      <c r="AR32" s="10"/>
      <c r="AS32" s="10"/>
      <c r="AT32" s="10"/>
      <c r="AU32" s="10"/>
      <c r="AV32" s="10">
        <v>6772.6609090000002</v>
      </c>
      <c r="AW32" s="10"/>
      <c r="AX32" s="10"/>
      <c r="AY32" s="10">
        <v>1300.135667</v>
      </c>
      <c r="AZ32" s="10"/>
      <c r="BA32" s="10"/>
      <c r="BB32" s="10"/>
      <c r="BC32" s="10"/>
      <c r="BD32" s="10"/>
      <c r="BE32" s="10"/>
    </row>
    <row r="33" spans="1:57" x14ac:dyDescent="0.35">
      <c r="A33" s="8">
        <v>46132</v>
      </c>
      <c r="B33" s="9">
        <v>184413690.39989999</v>
      </c>
      <c r="C33" s="10">
        <v>36131686.291804999</v>
      </c>
      <c r="D33" s="10">
        <v>64794124.042484</v>
      </c>
      <c r="E33" s="10">
        <v>27193751.324274</v>
      </c>
      <c r="F33" s="10">
        <v>23924714.173450999</v>
      </c>
      <c r="G33" s="10">
        <v>12671177.755883001</v>
      </c>
      <c r="H33" s="10">
        <v>60313.450496999998</v>
      </c>
      <c r="I33" s="10">
        <v>966357.876743</v>
      </c>
      <c r="J33" s="10">
        <v>1973965.415792</v>
      </c>
      <c r="K33" s="10">
        <v>5420082.3765409999</v>
      </c>
      <c r="L33" s="10">
        <v>724728.64035500004</v>
      </c>
      <c r="M33" s="10">
        <v>652776.45734600001</v>
      </c>
      <c r="N33" s="10">
        <v>119637.320313</v>
      </c>
      <c r="O33" s="10">
        <v>817383.52872599999</v>
      </c>
      <c r="P33" s="10">
        <v>1003160.628098</v>
      </c>
      <c r="Q33" s="10">
        <v>84631.769665</v>
      </c>
      <c r="R33" s="10">
        <v>1141721.6611880001</v>
      </c>
      <c r="S33" s="10">
        <v>983838.03084300004</v>
      </c>
      <c r="T33" s="10">
        <v>198002.90729999999</v>
      </c>
      <c r="U33" s="10">
        <v>569466.203874</v>
      </c>
      <c r="V33" s="10">
        <v>1372296.870295</v>
      </c>
      <c r="W33" s="10">
        <v>451712.27322700003</v>
      </c>
      <c r="X33" s="10">
        <v>526294.10135799996</v>
      </c>
      <c r="Y33" s="10">
        <v>211984.34046800001</v>
      </c>
      <c r="Z33" s="10"/>
      <c r="AA33" s="10"/>
      <c r="AB33" s="10">
        <v>179222.82347999999</v>
      </c>
      <c r="AC33" s="10">
        <v>145065.60899899999</v>
      </c>
      <c r="AD33" s="10">
        <v>570213.14896999998</v>
      </c>
      <c r="AE33" s="10">
        <v>311679.82177899999</v>
      </c>
      <c r="AF33" s="10">
        <v>169795.12202899999</v>
      </c>
      <c r="AG33" s="10">
        <v>178103.76534300001</v>
      </c>
      <c r="AH33" s="10">
        <v>237786.03957299999</v>
      </c>
      <c r="AI33" s="10">
        <v>177351.505099</v>
      </c>
      <c r="AJ33" s="10">
        <v>146560.28429499999</v>
      </c>
      <c r="AK33" s="10">
        <v>155879.79957800001</v>
      </c>
      <c r="AL33" s="10"/>
      <c r="AM33" s="10">
        <v>10375.098561999999</v>
      </c>
      <c r="AN33" s="10"/>
      <c r="AO33" s="10">
        <v>71383.167709000001</v>
      </c>
      <c r="AP33" s="10"/>
      <c r="AQ33" s="10">
        <v>64750.787990999997</v>
      </c>
      <c r="AR33" s="10"/>
      <c r="AS33" s="10"/>
      <c r="AT33" s="10"/>
      <c r="AU33" s="10">
        <v>455.13269700000001</v>
      </c>
      <c r="AV33" s="10">
        <v>1165.7432699999999</v>
      </c>
      <c r="AW33" s="10">
        <v>95.11</v>
      </c>
      <c r="AX33" s="10"/>
      <c r="AY33" s="10">
        <v>0</v>
      </c>
      <c r="AZ33" s="10"/>
      <c r="BA33" s="10"/>
      <c r="BB33" s="10"/>
      <c r="BC33" s="10"/>
      <c r="BD33" s="10"/>
      <c r="BE33" s="10"/>
    </row>
    <row r="34" spans="1:57" x14ac:dyDescent="0.35">
      <c r="A34" s="8">
        <v>46131</v>
      </c>
      <c r="B34" s="9">
        <v>116555799.74572299</v>
      </c>
      <c r="C34" s="10">
        <v>22178880.95228</v>
      </c>
      <c r="D34" s="10">
        <v>49088710.115583003</v>
      </c>
      <c r="E34" s="10">
        <v>11572153.624342</v>
      </c>
      <c r="F34" s="10">
        <v>23930782.626123</v>
      </c>
      <c r="G34" s="10">
        <v>1601910.913743</v>
      </c>
      <c r="H34" s="10">
        <v>557.08754899999997</v>
      </c>
      <c r="I34" s="10">
        <v>299928.99111</v>
      </c>
      <c r="J34" s="10">
        <v>492.44988000000001</v>
      </c>
      <c r="K34" s="10">
        <v>2493141.8246579999</v>
      </c>
      <c r="L34" s="10">
        <v>546753.58699800004</v>
      </c>
      <c r="M34" s="10">
        <v>491554.15857700002</v>
      </c>
      <c r="N34" s="10">
        <v>101135.823357</v>
      </c>
      <c r="O34" s="10">
        <v>114503.51219199999</v>
      </c>
      <c r="P34" s="10">
        <v>430468.88185000001</v>
      </c>
      <c r="Q34" s="10">
        <v>420441.74445499998</v>
      </c>
      <c r="R34" s="10">
        <v>455300.63586500002</v>
      </c>
      <c r="S34" s="10">
        <v>587441.61150200001</v>
      </c>
      <c r="T34" s="10">
        <v>122034.634248</v>
      </c>
      <c r="U34" s="10">
        <v>347201.19392200001</v>
      </c>
      <c r="V34" s="10">
        <v>703824.83051200002</v>
      </c>
      <c r="W34" s="10">
        <v>278827.70994099998</v>
      </c>
      <c r="X34" s="10">
        <v>364552.36826199997</v>
      </c>
      <c r="Y34" s="10">
        <v>9634.21738</v>
      </c>
      <c r="Z34" s="10"/>
      <c r="AA34" s="10"/>
      <c r="AB34" s="10">
        <v>13058.748317</v>
      </c>
      <c r="AC34" s="10">
        <v>11300.858864</v>
      </c>
      <c r="AD34" s="10">
        <v>23606.948444000001</v>
      </c>
      <c r="AE34" s="10">
        <v>83104.249265000006</v>
      </c>
      <c r="AF34" s="10">
        <v>51952.517009000003</v>
      </c>
      <c r="AG34" s="10">
        <v>2211.064093</v>
      </c>
      <c r="AH34" s="10">
        <v>115470.23988199999</v>
      </c>
      <c r="AI34" s="10">
        <v>160.34437299999999</v>
      </c>
      <c r="AJ34" s="10">
        <v>186.750664</v>
      </c>
      <c r="AK34" s="10">
        <v>13510.468142</v>
      </c>
      <c r="AL34" s="10"/>
      <c r="AM34" s="10">
        <v>0</v>
      </c>
      <c r="AN34" s="10"/>
      <c r="AO34" s="10">
        <v>18237.92769</v>
      </c>
      <c r="AP34" s="10"/>
      <c r="AQ34" s="10">
        <v>30562.253347999998</v>
      </c>
      <c r="AR34" s="10"/>
      <c r="AS34" s="10"/>
      <c r="AT34" s="10"/>
      <c r="AU34" s="10">
        <v>110.492034</v>
      </c>
      <c r="AV34" s="10">
        <v>20506.763631999998</v>
      </c>
      <c r="AW34" s="10">
        <v>912.20620799999995</v>
      </c>
      <c r="AX34" s="10"/>
      <c r="AY34" s="10">
        <v>30674.419429000001</v>
      </c>
      <c r="AZ34" s="10"/>
      <c r="BA34" s="10"/>
      <c r="BB34" s="10"/>
      <c r="BC34" s="10"/>
      <c r="BD34" s="10"/>
      <c r="BE34" s="10"/>
    </row>
    <row r="35" spans="1:57" x14ac:dyDescent="0.35">
      <c r="A35" s="8">
        <v>46130</v>
      </c>
      <c r="B35" s="9">
        <v>54106672.099555999</v>
      </c>
      <c r="C35" s="10">
        <v>9578086.1660689991</v>
      </c>
      <c r="D35" s="10">
        <v>24170201.837577999</v>
      </c>
      <c r="E35" s="10">
        <v>1540691.429606</v>
      </c>
      <c r="F35" s="10">
        <v>12379756.380797001</v>
      </c>
      <c r="G35" s="10">
        <v>202016.90477600001</v>
      </c>
      <c r="H35" s="10">
        <v>102536.42752100001</v>
      </c>
      <c r="I35" s="10">
        <v>488360.06437199999</v>
      </c>
      <c r="J35" s="10">
        <v>1002.695935</v>
      </c>
      <c r="K35" s="10">
        <v>86452.737982999999</v>
      </c>
      <c r="L35" s="10">
        <v>753740.84227100003</v>
      </c>
      <c r="M35" s="10">
        <v>37866.508406000001</v>
      </c>
      <c r="N35" s="10">
        <v>22990.588253999998</v>
      </c>
      <c r="O35" s="10">
        <v>129931.45776200001</v>
      </c>
      <c r="P35" s="10">
        <v>380102.38759</v>
      </c>
      <c r="Q35" s="10">
        <v>436981.59873500001</v>
      </c>
      <c r="R35" s="10">
        <v>108379.452707</v>
      </c>
      <c r="S35" s="10">
        <v>837555.38337399997</v>
      </c>
      <c r="T35" s="10">
        <v>54715.669828999999</v>
      </c>
      <c r="U35" s="10">
        <v>375866.86930800002</v>
      </c>
      <c r="V35" s="10">
        <v>601637.144845</v>
      </c>
      <c r="W35" s="10">
        <v>280211.765755</v>
      </c>
      <c r="X35" s="10">
        <v>690585.72195699997</v>
      </c>
      <c r="Y35" s="10">
        <v>232.39080000000001</v>
      </c>
      <c r="Z35" s="10"/>
      <c r="AA35" s="10"/>
      <c r="AB35" s="10">
        <v>39698.587274999998</v>
      </c>
      <c r="AC35" s="10">
        <v>247.435406</v>
      </c>
      <c r="AD35" s="10">
        <v>46821.782709999999</v>
      </c>
      <c r="AE35" s="10">
        <v>161074.54198000001</v>
      </c>
      <c r="AF35" s="10">
        <v>181699.74638900001</v>
      </c>
      <c r="AG35" s="10">
        <v>9442.0640770000009</v>
      </c>
      <c r="AH35" s="10">
        <v>122931.17731299999</v>
      </c>
      <c r="AI35" s="10">
        <v>296.59473000000003</v>
      </c>
      <c r="AJ35" s="10">
        <v>146.33465200000001</v>
      </c>
      <c r="AK35" s="10">
        <v>24515.425947</v>
      </c>
      <c r="AL35" s="10"/>
      <c r="AM35" s="10">
        <v>95810.069778000005</v>
      </c>
      <c r="AN35" s="10"/>
      <c r="AO35" s="10">
        <v>24922.790409000001</v>
      </c>
      <c r="AP35" s="10"/>
      <c r="AQ35" s="10">
        <v>134163.314055</v>
      </c>
      <c r="AR35" s="10"/>
      <c r="AS35" s="10"/>
      <c r="AT35" s="10"/>
      <c r="AU35" s="10">
        <v>4999.8086050000002</v>
      </c>
      <c r="AV35" s="10">
        <v>0</v>
      </c>
      <c r="AW35" s="10">
        <v>0</v>
      </c>
      <c r="AX35" s="10"/>
      <c r="AY35" s="10">
        <v>0</v>
      </c>
      <c r="AZ35" s="10"/>
      <c r="BA35" s="10"/>
      <c r="BB35" s="10"/>
      <c r="BC35" s="10"/>
      <c r="BD35" s="10"/>
      <c r="BE35" s="10"/>
    </row>
    <row r="36" spans="1:57" x14ac:dyDescent="0.35">
      <c r="A36" s="8">
        <v>46129</v>
      </c>
      <c r="B36" s="9">
        <v>204770800.289713</v>
      </c>
      <c r="C36" s="10">
        <v>46324984.385073997</v>
      </c>
      <c r="D36" s="10">
        <v>79037615.760196</v>
      </c>
      <c r="E36" s="10">
        <v>29703545.296911001</v>
      </c>
      <c r="F36" s="10">
        <v>22076637.206721999</v>
      </c>
      <c r="G36" s="10">
        <v>16425117.165016999</v>
      </c>
      <c r="H36" s="10">
        <v>172734.43458100001</v>
      </c>
      <c r="I36" s="10">
        <v>521180.747332</v>
      </c>
      <c r="J36" s="10">
        <v>470.21187099999997</v>
      </c>
      <c r="K36" s="10">
        <v>3885167.0821389998</v>
      </c>
      <c r="L36" s="10">
        <v>324031.70768799999</v>
      </c>
      <c r="M36" s="10">
        <v>340705.05969000002</v>
      </c>
      <c r="N36" s="10">
        <v>165872.673881</v>
      </c>
      <c r="O36" s="10">
        <v>496035.30167000002</v>
      </c>
      <c r="P36" s="10">
        <v>1182952.623191</v>
      </c>
      <c r="Q36" s="10">
        <v>247228.68075500001</v>
      </c>
      <c r="R36" s="10">
        <v>346235.45254999999</v>
      </c>
      <c r="S36" s="10">
        <v>403654.12435599999</v>
      </c>
      <c r="T36" s="10">
        <v>157617.484872</v>
      </c>
      <c r="U36" s="10">
        <v>463826.16510899999</v>
      </c>
      <c r="V36" s="10">
        <v>443587.902856</v>
      </c>
      <c r="W36" s="10">
        <v>169826.256903</v>
      </c>
      <c r="X36" s="10">
        <v>667875.02891700005</v>
      </c>
      <c r="Y36" s="10">
        <v>5758.2071459999997</v>
      </c>
      <c r="Z36" s="10"/>
      <c r="AA36" s="10"/>
      <c r="AB36" s="10">
        <v>148761.423667</v>
      </c>
      <c r="AC36" s="10">
        <v>8656.9614579999998</v>
      </c>
      <c r="AD36" s="10">
        <v>247728.05482799999</v>
      </c>
      <c r="AE36" s="10">
        <v>103437.562552</v>
      </c>
      <c r="AF36" s="10">
        <v>38127.206436</v>
      </c>
      <c r="AG36" s="10">
        <v>87421.436184000006</v>
      </c>
      <c r="AH36" s="10">
        <v>235300.19046400001</v>
      </c>
      <c r="AI36" s="10">
        <v>18106.593474000001</v>
      </c>
      <c r="AJ36" s="10">
        <v>84212.562426999997</v>
      </c>
      <c r="AK36" s="10">
        <v>67327.000906000001</v>
      </c>
      <c r="AL36" s="10"/>
      <c r="AM36" s="10">
        <v>6682.2957479999995</v>
      </c>
      <c r="AN36" s="10"/>
      <c r="AO36" s="10">
        <v>3461.6668049999998</v>
      </c>
      <c r="AP36" s="10"/>
      <c r="AQ36" s="10">
        <v>122787.701091</v>
      </c>
      <c r="AR36" s="10"/>
      <c r="AS36" s="10"/>
      <c r="AT36" s="10"/>
      <c r="AU36" s="10">
        <v>1869.9119780000001</v>
      </c>
      <c r="AV36" s="10">
        <v>274.37913700000001</v>
      </c>
      <c r="AW36" s="10">
        <v>33820.243524999998</v>
      </c>
      <c r="AX36" s="10"/>
      <c r="AY36" s="10">
        <v>166.13960599999999</v>
      </c>
      <c r="AZ36" s="10"/>
      <c r="BA36" s="10"/>
      <c r="BB36" s="10"/>
      <c r="BC36" s="10"/>
      <c r="BD36" s="10"/>
      <c r="BE36" s="10"/>
    </row>
    <row r="37" spans="1:57" x14ac:dyDescent="0.35">
      <c r="A37" s="8">
        <v>46128</v>
      </c>
      <c r="B37" s="9">
        <v>139483254.881612</v>
      </c>
      <c r="C37" s="10">
        <v>42100887.879882999</v>
      </c>
      <c r="D37" s="10">
        <v>42930829.170757003</v>
      </c>
      <c r="E37" s="10">
        <v>19725742.089581002</v>
      </c>
      <c r="F37" s="10">
        <v>7563585.767616</v>
      </c>
      <c r="G37" s="10">
        <v>16212776.533082999</v>
      </c>
      <c r="H37" s="10">
        <v>19759.734038999999</v>
      </c>
      <c r="I37" s="10">
        <v>636854.765549</v>
      </c>
      <c r="J37" s="10">
        <v>1617.0538750000001</v>
      </c>
      <c r="K37" s="10">
        <v>2754126.0106159998</v>
      </c>
      <c r="L37" s="10">
        <v>345552.24262999999</v>
      </c>
      <c r="M37" s="10">
        <v>423980.627561</v>
      </c>
      <c r="N37" s="10">
        <v>137679.669371</v>
      </c>
      <c r="O37" s="10">
        <v>301237.69782100001</v>
      </c>
      <c r="P37" s="10">
        <v>650844.38332499994</v>
      </c>
      <c r="Q37" s="10">
        <v>262295.34196799999</v>
      </c>
      <c r="R37" s="10">
        <v>805404.34241799999</v>
      </c>
      <c r="S37" s="10">
        <v>270261.232104</v>
      </c>
      <c r="T37" s="10">
        <v>745648.221579</v>
      </c>
      <c r="U37" s="10">
        <v>674346.21860000002</v>
      </c>
      <c r="V37" s="10">
        <v>426495.982968</v>
      </c>
      <c r="W37" s="10">
        <v>404898.06740399997</v>
      </c>
      <c r="X37" s="10">
        <v>464893.022811</v>
      </c>
      <c r="Y37" s="10">
        <v>3391.4786249999902</v>
      </c>
      <c r="Z37" s="10"/>
      <c r="AA37" s="10"/>
      <c r="AB37" s="10">
        <v>237452.81848799999</v>
      </c>
      <c r="AC37" s="10">
        <v>7914.0546780000004</v>
      </c>
      <c r="AD37" s="10">
        <v>195395.42734699999</v>
      </c>
      <c r="AE37" s="10">
        <v>174732.41299899999</v>
      </c>
      <c r="AF37" s="10">
        <v>105873.480169</v>
      </c>
      <c r="AG37" s="10">
        <v>69227.858586000002</v>
      </c>
      <c r="AH37" s="10">
        <v>175553.99708900001</v>
      </c>
      <c r="AI37" s="10">
        <v>113734.27447400001</v>
      </c>
      <c r="AJ37" s="10">
        <v>120662.41405000001</v>
      </c>
      <c r="AK37" s="10">
        <v>109291.56740099999</v>
      </c>
      <c r="AL37" s="10"/>
      <c r="AM37" s="10">
        <v>47618.872901000002</v>
      </c>
      <c r="AN37" s="10"/>
      <c r="AO37" s="10">
        <v>23.876742</v>
      </c>
      <c r="AP37" s="10"/>
      <c r="AQ37" s="10">
        <v>134076.936785</v>
      </c>
      <c r="AR37" s="10"/>
      <c r="AS37" s="10"/>
      <c r="AT37" s="10"/>
      <c r="AU37" s="10">
        <v>3426.6537680000001</v>
      </c>
      <c r="AV37" s="10">
        <v>79848.834155999997</v>
      </c>
      <c r="AW37" s="10">
        <v>34181.732233000002</v>
      </c>
      <c r="AX37" s="10"/>
      <c r="AY37" s="10">
        <v>11132.135561999999</v>
      </c>
      <c r="AZ37" s="10"/>
      <c r="BA37" s="10"/>
      <c r="BB37" s="10"/>
      <c r="BC37" s="10"/>
      <c r="BD37" s="10"/>
      <c r="BE37" s="10"/>
    </row>
    <row r="38" spans="1:57" x14ac:dyDescent="0.35">
      <c r="A38" s="8">
        <v>46127</v>
      </c>
      <c r="B38" s="9">
        <v>395583898.978688</v>
      </c>
      <c r="C38" s="10">
        <v>251144969.66641301</v>
      </c>
      <c r="D38" s="10">
        <v>70425569.155440003</v>
      </c>
      <c r="E38" s="10">
        <v>32425431.035836</v>
      </c>
      <c r="F38" s="10">
        <v>17359045.707919002</v>
      </c>
      <c r="G38" s="10">
        <v>12497886.338403</v>
      </c>
      <c r="H38" s="10">
        <v>108765.57889999999</v>
      </c>
      <c r="I38" s="10">
        <v>727088.03155099996</v>
      </c>
      <c r="J38" s="10">
        <v>3096.442724</v>
      </c>
      <c r="K38" s="10">
        <v>3034312.7400420001</v>
      </c>
      <c r="L38" s="10">
        <v>618961.66263599996</v>
      </c>
      <c r="M38" s="10">
        <v>616278.42149700003</v>
      </c>
      <c r="N38" s="10">
        <v>131867.960467</v>
      </c>
      <c r="O38" s="10">
        <v>341419.90136000002</v>
      </c>
      <c r="P38" s="10">
        <v>472753.98458799999</v>
      </c>
      <c r="Q38" s="10">
        <v>6432.1919539999999</v>
      </c>
      <c r="R38" s="10">
        <v>1143021.878451</v>
      </c>
      <c r="S38" s="10">
        <v>382141.27899199998</v>
      </c>
      <c r="T38" s="10">
        <v>539559.39199000003</v>
      </c>
      <c r="U38" s="10">
        <v>409962.39515200001</v>
      </c>
      <c r="V38" s="10">
        <v>502736.799161</v>
      </c>
      <c r="W38" s="10">
        <v>351843.40223599999</v>
      </c>
      <c r="X38" s="10">
        <v>510163.94948700001</v>
      </c>
      <c r="Y38" s="10">
        <v>47895.074705999898</v>
      </c>
      <c r="Z38" s="10"/>
      <c r="AA38" s="10"/>
      <c r="AB38" s="10">
        <v>109537.104573</v>
      </c>
      <c r="AC38" s="10">
        <v>125926.83968400001</v>
      </c>
      <c r="AD38" s="10">
        <v>208752.502095</v>
      </c>
      <c r="AE38" s="10">
        <v>219954.28284699999</v>
      </c>
      <c r="AF38" s="10">
        <v>99830.050384000002</v>
      </c>
      <c r="AG38" s="10">
        <v>235422.39298999999</v>
      </c>
      <c r="AH38" s="10">
        <v>88413.656126999995</v>
      </c>
      <c r="AI38" s="10">
        <v>224383.67496900001</v>
      </c>
      <c r="AJ38" s="10">
        <v>218914.688417</v>
      </c>
      <c r="AK38" s="10">
        <v>94815.639116999999</v>
      </c>
      <c r="AL38" s="10"/>
      <c r="AM38" s="10">
        <v>2843.6162979999999</v>
      </c>
      <c r="AN38" s="10"/>
      <c r="AO38" s="10">
        <v>2623.117808</v>
      </c>
      <c r="AP38" s="10"/>
      <c r="AQ38" s="10">
        <v>109292.544565</v>
      </c>
      <c r="AR38" s="10"/>
      <c r="AS38" s="10"/>
      <c r="AT38" s="10"/>
      <c r="AU38" s="10">
        <v>14958.203562000001</v>
      </c>
      <c r="AV38" s="10">
        <v>876.355998</v>
      </c>
      <c r="AW38" s="10">
        <v>26151.319349000001</v>
      </c>
      <c r="AX38" s="10"/>
      <c r="AY38" s="10">
        <v>0</v>
      </c>
      <c r="AZ38" s="10"/>
      <c r="BA38" s="10"/>
      <c r="BB38" s="10"/>
      <c r="BC38" s="10"/>
      <c r="BD38" s="10"/>
      <c r="BE38" s="10"/>
    </row>
    <row r="39" spans="1:57" x14ac:dyDescent="0.35">
      <c r="A39" s="8">
        <v>46126</v>
      </c>
      <c r="B39" s="9">
        <v>338683756.75995499</v>
      </c>
      <c r="C39" s="10">
        <v>152008473.322438</v>
      </c>
      <c r="D39" s="10">
        <v>116684122.469303</v>
      </c>
      <c r="E39" s="10">
        <v>11967243.975852</v>
      </c>
      <c r="F39" s="10">
        <v>45857367.291057996</v>
      </c>
      <c r="G39" s="10">
        <v>1041783.086014</v>
      </c>
      <c r="H39" s="10">
        <v>230824.49207000001</v>
      </c>
      <c r="I39" s="10">
        <v>854260.80907099997</v>
      </c>
      <c r="J39" s="10">
        <v>120.16753</v>
      </c>
      <c r="K39" s="10">
        <v>1740556.099248</v>
      </c>
      <c r="L39" s="10">
        <v>786267.81702800002</v>
      </c>
      <c r="M39" s="10">
        <v>699033.50059299998</v>
      </c>
      <c r="N39" s="10">
        <v>209417.090169</v>
      </c>
      <c r="O39" s="10">
        <v>138143.022547</v>
      </c>
      <c r="P39" s="10">
        <v>725195.15369599999</v>
      </c>
      <c r="Q39" s="10">
        <v>70230.946920000002</v>
      </c>
      <c r="R39" s="10">
        <v>1002282.455266</v>
      </c>
      <c r="S39" s="10">
        <v>316437.75399100001</v>
      </c>
      <c r="T39" s="10">
        <v>666308.77877600002</v>
      </c>
      <c r="U39" s="10">
        <v>620477.15433699999</v>
      </c>
      <c r="V39" s="10">
        <v>489893.89887500001</v>
      </c>
      <c r="W39" s="10">
        <v>239080.79381900001</v>
      </c>
      <c r="X39" s="10">
        <v>770554.77988199994</v>
      </c>
      <c r="Y39" s="10">
        <v>19661.394026999998</v>
      </c>
      <c r="Z39" s="10"/>
      <c r="AA39" s="10"/>
      <c r="AB39" s="10">
        <v>74725.231908000002</v>
      </c>
      <c r="AC39" s="10">
        <v>86221.373485999997</v>
      </c>
      <c r="AD39" s="10">
        <v>95766.778621000005</v>
      </c>
      <c r="AE39" s="10">
        <v>94096.925510999994</v>
      </c>
      <c r="AF39" s="10">
        <v>119877.42028799999</v>
      </c>
      <c r="AG39" s="10">
        <v>328326.56432100001</v>
      </c>
      <c r="AH39" s="10">
        <v>77170.763286999994</v>
      </c>
      <c r="AI39" s="10">
        <v>231143.20853100001</v>
      </c>
      <c r="AJ39" s="10">
        <v>179480.02966199999</v>
      </c>
      <c r="AK39" s="10">
        <v>41824.002641999999</v>
      </c>
      <c r="AL39" s="10"/>
      <c r="AM39" s="10">
        <v>7936.1436370000001</v>
      </c>
      <c r="AN39" s="10"/>
      <c r="AO39" s="10">
        <v>23283.479804999999</v>
      </c>
      <c r="AP39" s="10"/>
      <c r="AQ39" s="10">
        <v>150961.86603999999</v>
      </c>
      <c r="AR39" s="10"/>
      <c r="AS39" s="10"/>
      <c r="AT39" s="10"/>
      <c r="AU39" s="10">
        <v>3264.2399220000002</v>
      </c>
      <c r="AV39" s="10">
        <v>305.58770399999997</v>
      </c>
      <c r="AW39" s="10">
        <v>15455.653152999999</v>
      </c>
      <c r="AX39" s="10"/>
      <c r="AY39" s="10">
        <v>16181.238927</v>
      </c>
      <c r="AZ39" s="10"/>
      <c r="BA39" s="10"/>
      <c r="BB39" s="10"/>
      <c r="BC39" s="10"/>
      <c r="BD39" s="10"/>
      <c r="BE39" s="10"/>
    </row>
    <row r="40" spans="1:57" x14ac:dyDescent="0.35">
      <c r="A40" s="8">
        <v>46125</v>
      </c>
      <c r="B40" s="9">
        <v>350032432.58668202</v>
      </c>
      <c r="C40" s="10">
        <v>155089370.337313</v>
      </c>
      <c r="D40" s="10">
        <v>129706286.448117</v>
      </c>
      <c r="E40" s="10">
        <v>8580754.0669149999</v>
      </c>
      <c r="F40" s="10">
        <v>40729016.189336002</v>
      </c>
      <c r="G40" s="10">
        <v>842740.57097999996</v>
      </c>
      <c r="H40" s="10">
        <v>387412.66563900001</v>
      </c>
      <c r="I40" s="10">
        <v>947932.861194</v>
      </c>
      <c r="J40" s="10">
        <v>1230.107207</v>
      </c>
      <c r="K40" s="10">
        <v>1294113.939024</v>
      </c>
      <c r="L40" s="10">
        <v>653610.76836099999</v>
      </c>
      <c r="M40" s="10">
        <v>1268420.6923100001</v>
      </c>
      <c r="N40" s="10">
        <v>958128.63252300001</v>
      </c>
      <c r="O40" s="10">
        <v>423840.189136</v>
      </c>
      <c r="P40" s="10">
        <v>905915.46146100003</v>
      </c>
      <c r="Q40" s="10">
        <v>130635.34643600001</v>
      </c>
      <c r="R40" s="10">
        <v>1534153.4904769999</v>
      </c>
      <c r="S40" s="10">
        <v>821566.54460799997</v>
      </c>
      <c r="T40" s="10">
        <v>936022.60233499995</v>
      </c>
      <c r="U40" s="10">
        <v>377834.22901299997</v>
      </c>
      <c r="V40" s="10">
        <v>298005.60080299998</v>
      </c>
      <c r="W40" s="10">
        <v>277845.61099199997</v>
      </c>
      <c r="X40" s="10">
        <v>943797.32501100004</v>
      </c>
      <c r="Y40" s="10">
        <v>3003.4567440000001</v>
      </c>
      <c r="Z40" s="10"/>
      <c r="AA40" s="10"/>
      <c r="AB40" s="10">
        <v>395249.93998899998</v>
      </c>
      <c r="AC40" s="10">
        <v>133428.00445400001</v>
      </c>
      <c r="AD40" s="10">
        <v>255464.39694999999</v>
      </c>
      <c r="AE40" s="10">
        <v>305123.94143599999</v>
      </c>
      <c r="AF40" s="10">
        <v>175800.07527900001</v>
      </c>
      <c r="AG40" s="10">
        <v>464974.48632099997</v>
      </c>
      <c r="AH40" s="10">
        <v>198445.99475000001</v>
      </c>
      <c r="AI40" s="10">
        <v>390986.25472600001</v>
      </c>
      <c r="AJ40" s="10">
        <v>348573.892849</v>
      </c>
      <c r="AK40" s="10">
        <v>49065.282576999998</v>
      </c>
      <c r="AL40" s="10"/>
      <c r="AM40" s="10">
        <v>29018.239319</v>
      </c>
      <c r="AN40" s="10"/>
      <c r="AO40" s="10">
        <v>54618.799621999999</v>
      </c>
      <c r="AP40" s="10"/>
      <c r="AQ40" s="10">
        <v>60895.808284999999</v>
      </c>
      <c r="AR40" s="10"/>
      <c r="AS40" s="10"/>
      <c r="AT40" s="10"/>
      <c r="AU40" s="10">
        <v>22271.470915999998</v>
      </c>
      <c r="AV40" s="10">
        <v>35919.747732000003</v>
      </c>
      <c r="AW40" s="10">
        <v>959.115542</v>
      </c>
      <c r="AX40" s="10"/>
      <c r="AY40" s="10">
        <v>0</v>
      </c>
      <c r="AZ40" s="10"/>
      <c r="BA40" s="10"/>
      <c r="BB40" s="10"/>
      <c r="BC40" s="10"/>
      <c r="BD40" s="10"/>
      <c r="BE40" s="10"/>
    </row>
    <row r="41" spans="1:57" x14ac:dyDescent="0.35">
      <c r="A41" s="8">
        <v>46124</v>
      </c>
      <c r="B41" s="9">
        <v>146458794.018116</v>
      </c>
      <c r="C41" s="10">
        <v>52602304.045194</v>
      </c>
      <c r="D41" s="10">
        <v>52898319.762107</v>
      </c>
      <c r="E41" s="10">
        <v>7738033.4477159996</v>
      </c>
      <c r="F41" s="10">
        <v>20915286.042284999</v>
      </c>
      <c r="G41" s="10">
        <v>793355.44311800005</v>
      </c>
      <c r="H41" s="10">
        <v>110823.631284</v>
      </c>
      <c r="I41" s="10">
        <v>581563.08125199995</v>
      </c>
      <c r="J41" s="10">
        <v>313.37869999999998</v>
      </c>
      <c r="K41" s="10">
        <v>511693.179527</v>
      </c>
      <c r="L41" s="10">
        <v>1459643.272352</v>
      </c>
      <c r="M41" s="10">
        <v>124589.461519</v>
      </c>
      <c r="N41" s="10">
        <v>377584.38180700003</v>
      </c>
      <c r="O41" s="10">
        <v>406585.69949199999</v>
      </c>
      <c r="P41" s="10">
        <v>623162.12678499997</v>
      </c>
      <c r="Q41" s="10">
        <v>278889.24003799999</v>
      </c>
      <c r="R41" s="10">
        <v>579181.09096599999</v>
      </c>
      <c r="S41" s="10">
        <v>1198534.4070220001</v>
      </c>
      <c r="T41" s="10">
        <v>285408.23476100003</v>
      </c>
      <c r="U41" s="10">
        <v>391014.18404299999</v>
      </c>
      <c r="V41" s="10">
        <v>936293.55264400004</v>
      </c>
      <c r="W41" s="10">
        <v>720809.54390100006</v>
      </c>
      <c r="X41" s="10">
        <v>873737.85109100002</v>
      </c>
      <c r="Y41" s="10">
        <v>5204.8163180000001</v>
      </c>
      <c r="Z41" s="10"/>
      <c r="AA41" s="10"/>
      <c r="AB41" s="10">
        <v>43967.956033000002</v>
      </c>
      <c r="AC41" s="10">
        <v>569012.21945800004</v>
      </c>
      <c r="AD41" s="10">
        <v>125988.34247</v>
      </c>
      <c r="AE41" s="10">
        <v>367423.68380499998</v>
      </c>
      <c r="AF41" s="10">
        <v>313111.165523</v>
      </c>
      <c r="AG41" s="10">
        <v>23343.507323999998</v>
      </c>
      <c r="AH41" s="10">
        <v>273071.05222399998</v>
      </c>
      <c r="AI41" s="10">
        <v>60262.487685</v>
      </c>
      <c r="AJ41" s="10">
        <v>0</v>
      </c>
      <c r="AK41" s="10">
        <v>19138.611720000001</v>
      </c>
      <c r="AL41" s="10"/>
      <c r="AM41" s="10">
        <v>2377.9118480000002</v>
      </c>
      <c r="AN41" s="10"/>
      <c r="AO41" s="10">
        <v>50620.901405999997</v>
      </c>
      <c r="AP41" s="10"/>
      <c r="AQ41" s="10">
        <v>26569.676366</v>
      </c>
      <c r="AR41" s="10"/>
      <c r="AS41" s="10"/>
      <c r="AT41" s="10"/>
      <c r="AU41" s="10">
        <v>15943.243827</v>
      </c>
      <c r="AV41" s="10">
        <v>104025.855303</v>
      </c>
      <c r="AW41" s="10">
        <v>11665.272507</v>
      </c>
      <c r="AX41" s="10"/>
      <c r="AY41" s="10">
        <v>39942.256694999996</v>
      </c>
      <c r="AZ41" s="10"/>
      <c r="BA41" s="10"/>
      <c r="BB41" s="10"/>
      <c r="BC41" s="10"/>
      <c r="BD41" s="10"/>
      <c r="BE41" s="10"/>
    </row>
    <row r="42" spans="1:57" x14ac:dyDescent="0.35">
      <c r="A42" s="8">
        <v>46123</v>
      </c>
      <c r="B42" s="9">
        <v>28211528.907664999</v>
      </c>
      <c r="C42" s="10">
        <v>7292814.0801750002</v>
      </c>
      <c r="D42" s="10">
        <v>12514653.084423</v>
      </c>
      <c r="E42" s="10">
        <v>239584.99495200001</v>
      </c>
      <c r="F42" s="10">
        <v>2396687.5802879999</v>
      </c>
      <c r="G42" s="10">
        <v>11159.865706000001</v>
      </c>
      <c r="H42" s="10">
        <v>61920.600503000001</v>
      </c>
      <c r="I42" s="10">
        <v>284108.43255500001</v>
      </c>
      <c r="J42" s="10">
        <v>5328.492131</v>
      </c>
      <c r="K42" s="10">
        <v>431815.991194</v>
      </c>
      <c r="L42" s="10">
        <v>1474403.0302929999</v>
      </c>
      <c r="M42" s="10">
        <v>53871.437763000002</v>
      </c>
      <c r="N42" s="10">
        <v>2096.373564</v>
      </c>
      <c r="O42" s="10">
        <v>242748.933407</v>
      </c>
      <c r="P42" s="10">
        <v>213212.056155</v>
      </c>
      <c r="Q42" s="10">
        <v>106679.00957900001</v>
      </c>
      <c r="R42" s="10">
        <v>65477.268033</v>
      </c>
      <c r="S42" s="10">
        <v>622680.90221299999</v>
      </c>
      <c r="T42" s="10">
        <v>467805.160829</v>
      </c>
      <c r="U42" s="10">
        <v>42368.731918999998</v>
      </c>
      <c r="V42" s="10">
        <v>193140.66864700001</v>
      </c>
      <c r="W42" s="10">
        <v>304809.206664</v>
      </c>
      <c r="X42" s="10">
        <v>382653.50613699999</v>
      </c>
      <c r="Y42" s="10">
        <v>5448.045392</v>
      </c>
      <c r="Z42" s="10"/>
      <c r="AA42" s="10"/>
      <c r="AB42" s="10">
        <v>67050.431198000006</v>
      </c>
      <c r="AC42" s="10">
        <v>47084.441019999998</v>
      </c>
      <c r="AD42" s="10">
        <v>8219.9238509999996</v>
      </c>
      <c r="AE42" s="10">
        <v>255207.989886</v>
      </c>
      <c r="AF42" s="10">
        <v>106093.53118799999</v>
      </c>
      <c r="AG42" s="10">
        <v>1041.123812</v>
      </c>
      <c r="AH42" s="10">
        <v>171466.65013600001</v>
      </c>
      <c r="AI42" s="10">
        <v>83.0976</v>
      </c>
      <c r="AJ42" s="10">
        <v>1.9717</v>
      </c>
      <c r="AK42" s="10">
        <v>14209.445596</v>
      </c>
      <c r="AL42" s="10"/>
      <c r="AM42" s="10">
        <v>39132.210936000003</v>
      </c>
      <c r="AN42" s="10"/>
      <c r="AO42" s="10">
        <v>6711.0514400000002</v>
      </c>
      <c r="AP42" s="10"/>
      <c r="AQ42" s="10">
        <v>79759.586779999998</v>
      </c>
      <c r="AR42" s="10"/>
      <c r="AS42" s="10"/>
      <c r="AT42" s="10"/>
      <c r="AU42" s="10">
        <v>0</v>
      </c>
      <c r="AV42" s="10">
        <v>0</v>
      </c>
      <c r="AW42" s="10">
        <v>0</v>
      </c>
      <c r="AX42" s="10"/>
      <c r="AY42" s="10">
        <v>0</v>
      </c>
      <c r="AZ42" s="10"/>
      <c r="BA42" s="10"/>
      <c r="BB42" s="10"/>
      <c r="BC42" s="10"/>
      <c r="BD42" s="10"/>
      <c r="BE42" s="10"/>
    </row>
    <row r="43" spans="1:57" x14ac:dyDescent="0.35">
      <c r="A43" s="8">
        <v>46122</v>
      </c>
      <c r="B43" s="9">
        <v>167699093.12599099</v>
      </c>
      <c r="C43" s="10">
        <v>74594068.197216004</v>
      </c>
      <c r="D43" s="10">
        <v>65274417.172544003</v>
      </c>
      <c r="E43" s="10">
        <v>7775271.4758710004</v>
      </c>
      <c r="F43" s="10">
        <v>11023059.878184</v>
      </c>
      <c r="G43" s="10">
        <v>854894.05621099996</v>
      </c>
      <c r="H43" s="10">
        <v>64086.588241999998</v>
      </c>
      <c r="I43" s="10">
        <v>506817.994756</v>
      </c>
      <c r="J43" s="10">
        <v>9897.0568679999997</v>
      </c>
      <c r="K43" s="10">
        <v>795605.50305599999</v>
      </c>
      <c r="L43" s="10">
        <v>341903.53541800001</v>
      </c>
      <c r="M43" s="10">
        <v>573934.32608000003</v>
      </c>
      <c r="N43" s="10">
        <v>10427.296651000001</v>
      </c>
      <c r="O43" s="10">
        <v>49643.217951999999</v>
      </c>
      <c r="P43" s="10">
        <v>459131.70599400002</v>
      </c>
      <c r="Q43" s="10">
        <v>69329.428088999994</v>
      </c>
      <c r="R43" s="10">
        <v>1380146.2068020001</v>
      </c>
      <c r="S43" s="10">
        <v>227417.62771999999</v>
      </c>
      <c r="T43" s="10">
        <v>1129811.896952</v>
      </c>
      <c r="U43" s="10">
        <v>296686.28493600001</v>
      </c>
      <c r="V43" s="10">
        <v>50104.167432000002</v>
      </c>
      <c r="W43" s="10">
        <v>162331.20433800001</v>
      </c>
      <c r="X43" s="10">
        <v>209885.922754</v>
      </c>
      <c r="Y43" s="10">
        <v>4847.7104650000001</v>
      </c>
      <c r="Z43" s="10"/>
      <c r="AA43" s="10"/>
      <c r="AB43" s="10">
        <v>432924.42831500003</v>
      </c>
      <c r="AC43" s="10">
        <v>18031.135786999999</v>
      </c>
      <c r="AD43" s="10">
        <v>134012.34883100001</v>
      </c>
      <c r="AE43" s="10">
        <v>866249.56709000003</v>
      </c>
      <c r="AF43" s="10">
        <v>37463.15019</v>
      </c>
      <c r="AG43" s="10">
        <v>4032.3391510000001</v>
      </c>
      <c r="AH43" s="10">
        <v>44817.620001000003</v>
      </c>
      <c r="AI43" s="10">
        <v>94324.032581000007</v>
      </c>
      <c r="AJ43" s="10">
        <v>1532.50828</v>
      </c>
      <c r="AK43" s="10">
        <v>19411.610341</v>
      </c>
      <c r="AL43" s="10"/>
      <c r="AM43" s="10">
        <v>5205.3836549999996</v>
      </c>
      <c r="AN43" s="10"/>
      <c r="AO43" s="10">
        <v>9628.2920279999998</v>
      </c>
      <c r="AP43" s="10"/>
      <c r="AQ43" s="10">
        <v>163529.829685</v>
      </c>
      <c r="AR43" s="10"/>
      <c r="AS43" s="10"/>
      <c r="AT43" s="10"/>
      <c r="AU43" s="10">
        <v>25.869060000000001</v>
      </c>
      <c r="AV43" s="10">
        <v>2576.565548</v>
      </c>
      <c r="AW43" s="10">
        <v>1609.9909170000001</v>
      </c>
      <c r="AX43" s="10"/>
      <c r="AY43" s="10">
        <v>0</v>
      </c>
      <c r="AZ43" s="10"/>
      <c r="BA43" s="10"/>
      <c r="BB43" s="10"/>
      <c r="BC43" s="10"/>
      <c r="BD43" s="10"/>
      <c r="BE43" s="10"/>
    </row>
    <row r="44" spans="1:57" x14ac:dyDescent="0.35">
      <c r="A44" s="8">
        <v>46121</v>
      </c>
      <c r="B44" s="9">
        <v>354876498.41392303</v>
      </c>
      <c r="C44" s="10">
        <v>196430999.01330101</v>
      </c>
      <c r="D44" s="10">
        <v>123506523.95677701</v>
      </c>
      <c r="E44" s="10">
        <v>9991961.08048</v>
      </c>
      <c r="F44" s="10">
        <v>16144698.770583</v>
      </c>
      <c r="G44" s="10">
        <v>796289.927945</v>
      </c>
      <c r="H44" s="10">
        <v>631192.64391300001</v>
      </c>
      <c r="I44" s="10">
        <v>696375.54686999996</v>
      </c>
      <c r="J44" s="10">
        <v>5906.8112060000003</v>
      </c>
      <c r="K44" s="10">
        <v>256316.27304599999</v>
      </c>
      <c r="L44" s="10">
        <v>217795.32015499999</v>
      </c>
      <c r="M44" s="10">
        <v>515561.25971900002</v>
      </c>
      <c r="N44" s="10">
        <v>14168.409535999999</v>
      </c>
      <c r="O44" s="10">
        <v>168667.66661700001</v>
      </c>
      <c r="P44" s="10">
        <v>868329.17233199999</v>
      </c>
      <c r="Q44" s="10">
        <v>19831.629821999999</v>
      </c>
      <c r="R44" s="10">
        <v>1252070.907142</v>
      </c>
      <c r="S44" s="10">
        <v>130780.491016</v>
      </c>
      <c r="T44" s="10">
        <v>874977.53624599997</v>
      </c>
      <c r="U44" s="10">
        <v>593805.29842500004</v>
      </c>
      <c r="V44" s="10">
        <v>202023.52536100001</v>
      </c>
      <c r="W44" s="10">
        <v>142608.24600799999</v>
      </c>
      <c r="X44" s="10">
        <v>476624.251964</v>
      </c>
      <c r="Y44" s="10">
        <v>13518.097339</v>
      </c>
      <c r="Z44" s="10"/>
      <c r="AA44" s="10"/>
      <c r="AB44" s="10">
        <v>91908.434345000001</v>
      </c>
      <c r="AC44" s="10">
        <v>33887.86148</v>
      </c>
      <c r="AD44" s="10">
        <v>59175.063679999999</v>
      </c>
      <c r="AE44" s="10">
        <v>138952.67555000001</v>
      </c>
      <c r="AF44" s="10">
        <v>106072.29373400001</v>
      </c>
      <c r="AG44" s="10">
        <v>13136.850381</v>
      </c>
      <c r="AH44" s="10">
        <v>146598.30249999999</v>
      </c>
      <c r="AI44" s="10">
        <v>627.54694099999995</v>
      </c>
      <c r="AJ44" s="10">
        <v>643.54436399999997</v>
      </c>
      <c r="AK44" s="10">
        <v>116020.50793599999</v>
      </c>
      <c r="AL44" s="10"/>
      <c r="AM44" s="10">
        <v>7165.1789500000004</v>
      </c>
      <c r="AN44" s="10"/>
      <c r="AO44" s="10">
        <v>4184.0958010000004</v>
      </c>
      <c r="AP44" s="10"/>
      <c r="AQ44" s="10">
        <v>163382.97546300001</v>
      </c>
      <c r="AR44" s="10"/>
      <c r="AS44" s="10"/>
      <c r="AT44" s="10"/>
      <c r="AU44" s="10">
        <v>9363.4490999999998</v>
      </c>
      <c r="AV44" s="10">
        <v>29962.977513999998</v>
      </c>
      <c r="AW44" s="10">
        <v>4390.8203810000005</v>
      </c>
      <c r="AX44" s="10"/>
      <c r="AY44" s="10">
        <v>0</v>
      </c>
      <c r="AZ44" s="10"/>
      <c r="BA44" s="10"/>
      <c r="BB44" s="10"/>
      <c r="BC44" s="10"/>
      <c r="BD44" s="10"/>
      <c r="BE44" s="10"/>
    </row>
    <row r="45" spans="1:57" x14ac:dyDescent="0.35">
      <c r="A45" s="8">
        <v>46120</v>
      </c>
      <c r="B45" s="9">
        <v>405961115.18963999</v>
      </c>
      <c r="C45" s="10">
        <v>173516378.86871499</v>
      </c>
      <c r="D45" s="10">
        <v>173681239.65816799</v>
      </c>
      <c r="E45" s="10">
        <v>22854200.840728</v>
      </c>
      <c r="F45" s="10">
        <v>20186870.33072</v>
      </c>
      <c r="G45" s="10">
        <v>1123424.7338119999</v>
      </c>
      <c r="H45" s="10">
        <v>145002.20520200001</v>
      </c>
      <c r="I45" s="10">
        <v>728839.78538000002</v>
      </c>
      <c r="J45" s="10">
        <v>62072.014718999999</v>
      </c>
      <c r="K45" s="10">
        <v>496489.09730899998</v>
      </c>
      <c r="L45" s="10">
        <v>663424.15259199997</v>
      </c>
      <c r="M45" s="10">
        <v>264387.48351300001</v>
      </c>
      <c r="N45" s="10">
        <v>482201.92793599999</v>
      </c>
      <c r="O45" s="10">
        <v>108492.35139</v>
      </c>
      <c r="P45" s="10">
        <v>1498919.289381</v>
      </c>
      <c r="Q45" s="10">
        <v>131590.81697799999</v>
      </c>
      <c r="R45" s="10">
        <v>2023719.8508200001</v>
      </c>
      <c r="S45" s="10">
        <v>294367.21864199999</v>
      </c>
      <c r="T45" s="10">
        <v>1209501.046074</v>
      </c>
      <c r="U45" s="10">
        <v>1279112.2551539999</v>
      </c>
      <c r="V45" s="10">
        <v>736695.78598699998</v>
      </c>
      <c r="W45" s="10">
        <v>116199.166455</v>
      </c>
      <c r="X45" s="10">
        <v>755651.19767000002</v>
      </c>
      <c r="Y45" s="10">
        <v>321745.50583099999</v>
      </c>
      <c r="Z45" s="10"/>
      <c r="AA45" s="10"/>
      <c r="AB45" s="10">
        <v>261783.55669900001</v>
      </c>
      <c r="AC45" s="10">
        <v>437040.85454299999</v>
      </c>
      <c r="AD45" s="10">
        <v>125601.951997</v>
      </c>
      <c r="AE45" s="10">
        <v>98549.455199000004</v>
      </c>
      <c r="AF45" s="10">
        <v>511222.27360000001</v>
      </c>
      <c r="AG45" s="10">
        <v>453425.53130199999</v>
      </c>
      <c r="AH45" s="10">
        <v>64983.394421999998</v>
      </c>
      <c r="AI45" s="10">
        <v>489305.43275400001</v>
      </c>
      <c r="AJ45" s="10">
        <v>497577.02286700002</v>
      </c>
      <c r="AK45" s="10">
        <v>147724.33010200001</v>
      </c>
      <c r="AL45" s="10"/>
      <c r="AM45" s="10">
        <v>3749.1503670000002</v>
      </c>
      <c r="AN45" s="10"/>
      <c r="AO45" s="10">
        <v>16289.868772</v>
      </c>
      <c r="AP45" s="10"/>
      <c r="AQ45" s="10">
        <v>47868.369962999997</v>
      </c>
      <c r="AR45" s="10"/>
      <c r="AS45" s="10"/>
      <c r="AT45" s="10"/>
      <c r="AU45" s="10">
        <v>45504.579407999998</v>
      </c>
      <c r="AV45" s="10">
        <v>146.51020800000001</v>
      </c>
      <c r="AW45" s="10">
        <v>43645.026095000001</v>
      </c>
      <c r="AX45" s="10"/>
      <c r="AY45" s="10">
        <v>36172.298166</v>
      </c>
      <c r="AZ45" s="10"/>
      <c r="BA45" s="10"/>
      <c r="BB45" s="10"/>
      <c r="BC45" s="10"/>
      <c r="BD45" s="10"/>
      <c r="BE45" s="10"/>
    </row>
    <row r="46" spans="1:57" x14ac:dyDescent="0.35">
      <c r="A46" s="8">
        <v>46119</v>
      </c>
      <c r="B46" s="9">
        <v>683880617.48403895</v>
      </c>
      <c r="C46" s="10">
        <v>398713899.59005898</v>
      </c>
      <c r="D46" s="10">
        <v>208908691.360879</v>
      </c>
      <c r="E46" s="10">
        <v>22223199.014373999</v>
      </c>
      <c r="F46" s="10">
        <v>34830641.201690003</v>
      </c>
      <c r="G46" s="10">
        <v>1923751.7948080001</v>
      </c>
      <c r="H46" s="10">
        <v>316173.83088899998</v>
      </c>
      <c r="I46" s="10">
        <v>1082725.4092870001</v>
      </c>
      <c r="J46" s="10">
        <v>30821.310464999999</v>
      </c>
      <c r="K46" s="10">
        <v>453720.12613500003</v>
      </c>
      <c r="L46" s="10">
        <v>755876.78390000004</v>
      </c>
      <c r="M46" s="10">
        <v>2085892.0169800001</v>
      </c>
      <c r="N46" s="10">
        <v>626943.90304700006</v>
      </c>
      <c r="O46" s="10">
        <v>402727.99396499997</v>
      </c>
      <c r="P46" s="10">
        <v>877438.08887500002</v>
      </c>
      <c r="Q46" s="10">
        <v>165572.48798800001</v>
      </c>
      <c r="R46" s="10">
        <v>2136459.883527</v>
      </c>
      <c r="S46" s="10">
        <v>510989.06809100002</v>
      </c>
      <c r="T46" s="10">
        <v>560488.16693299997</v>
      </c>
      <c r="U46" s="10">
        <v>920542.57071899995</v>
      </c>
      <c r="V46" s="10">
        <v>833419.94718500006</v>
      </c>
      <c r="W46" s="10">
        <v>405063.10875199997</v>
      </c>
      <c r="X46" s="10">
        <v>734862.28159000003</v>
      </c>
      <c r="Y46" s="10">
        <v>591818.22849500005</v>
      </c>
      <c r="Z46" s="10"/>
      <c r="AA46" s="10"/>
      <c r="AB46" s="10">
        <v>354239.97010799998</v>
      </c>
      <c r="AC46" s="10">
        <v>379533.241927</v>
      </c>
      <c r="AD46" s="10">
        <v>109786.74347299999</v>
      </c>
      <c r="AE46" s="10">
        <v>252338.05634499999</v>
      </c>
      <c r="AF46" s="10">
        <v>154629.690925</v>
      </c>
      <c r="AG46" s="10">
        <v>510370.92002600001</v>
      </c>
      <c r="AH46" s="10">
        <v>279106.18187600002</v>
      </c>
      <c r="AI46" s="10">
        <v>491357.11709199997</v>
      </c>
      <c r="AJ46" s="10">
        <v>466331.059541</v>
      </c>
      <c r="AK46" s="10">
        <v>237248.57177000001</v>
      </c>
      <c r="AL46" s="10"/>
      <c r="AM46" s="10">
        <v>17325.860913</v>
      </c>
      <c r="AN46" s="10"/>
      <c r="AO46" s="10">
        <v>130692.299537</v>
      </c>
      <c r="AP46" s="10"/>
      <c r="AQ46" s="10">
        <v>293285.88826899999</v>
      </c>
      <c r="AR46" s="10"/>
      <c r="AS46" s="10"/>
      <c r="AT46" s="10"/>
      <c r="AU46" s="10">
        <v>34180.762416999998</v>
      </c>
      <c r="AV46" s="10">
        <v>2657.33124</v>
      </c>
      <c r="AW46" s="10">
        <v>36247.928083999999</v>
      </c>
      <c r="AX46" s="10"/>
      <c r="AY46" s="10">
        <v>39567.691863</v>
      </c>
      <c r="AZ46" s="10"/>
      <c r="BA46" s="10"/>
      <c r="BB46" s="10"/>
      <c r="BC46" s="10"/>
      <c r="BD46" s="10"/>
      <c r="BE46" s="10"/>
    </row>
    <row r="47" spans="1:57" x14ac:dyDescent="0.35">
      <c r="A47" s="8">
        <v>46118</v>
      </c>
      <c r="B47" s="9">
        <v>545577185.84606397</v>
      </c>
      <c r="C47" s="10">
        <v>359873762.50240499</v>
      </c>
      <c r="D47" s="10">
        <v>123934438.91899399</v>
      </c>
      <c r="E47" s="10">
        <v>27868301.606453001</v>
      </c>
      <c r="F47" s="10">
        <v>15415406.670225</v>
      </c>
      <c r="G47" s="10">
        <v>8497112.1233210005</v>
      </c>
      <c r="H47" s="10">
        <v>301332.19133599999</v>
      </c>
      <c r="I47" s="10">
        <v>518722.65923699999</v>
      </c>
      <c r="J47" s="10">
        <v>1617.990485</v>
      </c>
      <c r="K47" s="10">
        <v>505473.57555800001</v>
      </c>
      <c r="L47" s="10">
        <v>518928.53170200001</v>
      </c>
      <c r="M47" s="10">
        <v>488894.39077599999</v>
      </c>
      <c r="N47" s="10">
        <v>509112.201619</v>
      </c>
      <c r="O47" s="10">
        <v>324275.370177</v>
      </c>
      <c r="P47" s="10">
        <v>505052.47397300001</v>
      </c>
      <c r="Q47" s="10">
        <v>5268.2635700000001</v>
      </c>
      <c r="R47" s="10">
        <v>322374.51686999999</v>
      </c>
      <c r="S47" s="10">
        <v>1070246.6689220001</v>
      </c>
      <c r="T47" s="10">
        <v>464017.52914399997</v>
      </c>
      <c r="U47" s="10">
        <v>450707.27254199999</v>
      </c>
      <c r="V47" s="10">
        <v>662145.07739500003</v>
      </c>
      <c r="W47" s="10">
        <v>733645.43495699996</v>
      </c>
      <c r="X47" s="10">
        <v>883679.63477999996</v>
      </c>
      <c r="Y47" s="10">
        <v>63084.411837</v>
      </c>
      <c r="Z47" s="10"/>
      <c r="AA47" s="10"/>
      <c r="AB47" s="10">
        <v>269679.502484</v>
      </c>
      <c r="AC47" s="10">
        <v>64221.708968999999</v>
      </c>
      <c r="AD47" s="10">
        <v>82942.433602000005</v>
      </c>
      <c r="AE47" s="10">
        <v>184253.55873600001</v>
      </c>
      <c r="AF47" s="10">
        <v>198289.151629</v>
      </c>
      <c r="AG47" s="10">
        <v>28134.314466</v>
      </c>
      <c r="AH47" s="10">
        <v>69472.872533999995</v>
      </c>
      <c r="AI47" s="10">
        <v>4750.544081</v>
      </c>
      <c r="AJ47" s="10">
        <v>122883.69358799999</v>
      </c>
      <c r="AK47" s="10">
        <v>227296.825342</v>
      </c>
      <c r="AL47" s="10"/>
      <c r="AM47" s="10">
        <v>70193.370309000005</v>
      </c>
      <c r="AN47" s="10"/>
      <c r="AO47" s="10">
        <v>66154.659236000007</v>
      </c>
      <c r="AP47" s="10"/>
      <c r="AQ47" s="10">
        <v>247775.279327</v>
      </c>
      <c r="AR47" s="10"/>
      <c r="AS47" s="10"/>
      <c r="AT47" s="10"/>
      <c r="AU47" s="10">
        <v>14782.188174999999</v>
      </c>
      <c r="AV47" s="10">
        <v>3972.5548699999999</v>
      </c>
      <c r="AW47" s="10">
        <v>4783.1724379999996</v>
      </c>
      <c r="AX47" s="10"/>
      <c r="AY47" s="10">
        <v>0</v>
      </c>
      <c r="AZ47" s="10"/>
      <c r="BA47" s="10"/>
      <c r="BB47" s="10"/>
      <c r="BC47" s="10"/>
      <c r="BD47" s="10"/>
      <c r="BE47" s="10"/>
    </row>
    <row r="48" spans="1:57" x14ac:dyDescent="0.35">
      <c r="A48" s="8">
        <v>46117</v>
      </c>
      <c r="B48" s="9">
        <v>88212990.683712006</v>
      </c>
      <c r="C48" s="10">
        <v>43654904.429880001</v>
      </c>
      <c r="D48" s="10">
        <v>27959721.326292001</v>
      </c>
      <c r="E48" s="10">
        <v>6345585.386012</v>
      </c>
      <c r="F48" s="10">
        <v>3323373.2257849998</v>
      </c>
      <c r="G48" s="10">
        <v>2716391.9039309998</v>
      </c>
      <c r="H48" s="10">
        <v>32894.736808000001</v>
      </c>
      <c r="I48" s="10">
        <v>374174.82900999999</v>
      </c>
      <c r="J48" s="10">
        <v>3923.2511880000002</v>
      </c>
      <c r="K48" s="10">
        <v>508742.59408200003</v>
      </c>
      <c r="L48" s="10">
        <v>40251.318972000001</v>
      </c>
      <c r="M48" s="10">
        <v>186293.73691800001</v>
      </c>
      <c r="N48" s="10">
        <v>13975.26303</v>
      </c>
      <c r="O48" s="10">
        <v>48517.334319000001</v>
      </c>
      <c r="P48" s="10">
        <v>91746.568941999998</v>
      </c>
      <c r="Q48" s="10">
        <v>7193.4750919999997</v>
      </c>
      <c r="R48" s="10">
        <v>82638.360931999996</v>
      </c>
      <c r="S48" s="10">
        <v>943287.79519099998</v>
      </c>
      <c r="T48" s="10">
        <v>249260.046646</v>
      </c>
      <c r="U48" s="10">
        <v>233147.49335500001</v>
      </c>
      <c r="V48" s="10">
        <v>202714.57689200001</v>
      </c>
      <c r="W48" s="10">
        <v>265042.28130099998</v>
      </c>
      <c r="X48" s="10">
        <v>201514.76950200001</v>
      </c>
      <c r="Y48" s="10">
        <v>28170.650290000001</v>
      </c>
      <c r="Z48" s="10"/>
      <c r="AA48" s="10"/>
      <c r="AB48" s="10">
        <v>313906.74942200002</v>
      </c>
      <c r="AC48" s="10">
        <v>13046.377397</v>
      </c>
      <c r="AD48" s="10">
        <v>5816.3535350000002</v>
      </c>
      <c r="AE48" s="10">
        <v>44128.393712999998</v>
      </c>
      <c r="AF48" s="10">
        <v>6380.0538649999999</v>
      </c>
      <c r="AG48" s="10">
        <v>15295.560629</v>
      </c>
      <c r="AH48" s="10">
        <v>66985.394818999994</v>
      </c>
      <c r="AI48" s="10">
        <v>1231.7079389999999</v>
      </c>
      <c r="AJ48" s="10">
        <v>5275.4898880000001</v>
      </c>
      <c r="AK48" s="10">
        <v>6617.3083059999999</v>
      </c>
      <c r="AL48" s="10"/>
      <c r="AM48" s="10">
        <v>21149.143070999999</v>
      </c>
      <c r="AN48" s="10"/>
      <c r="AO48" s="10">
        <v>38738.780428999999</v>
      </c>
      <c r="AP48" s="10"/>
      <c r="AQ48" s="10">
        <v>140609.99179900001</v>
      </c>
      <c r="AR48" s="10"/>
      <c r="AS48" s="10"/>
      <c r="AT48" s="10"/>
      <c r="AU48" s="10">
        <v>17116.442853</v>
      </c>
      <c r="AV48" s="10">
        <v>0</v>
      </c>
      <c r="AW48" s="10">
        <v>1040.0464360000001</v>
      </c>
      <c r="AX48" s="10"/>
      <c r="AY48" s="10">
        <v>2187.535241</v>
      </c>
      <c r="AZ48" s="10"/>
      <c r="BA48" s="10"/>
      <c r="BB48" s="10"/>
      <c r="BC48" s="10"/>
      <c r="BD48" s="10"/>
      <c r="BE48" s="10"/>
    </row>
    <row r="49" spans="1:57" x14ac:dyDescent="0.35">
      <c r="A49" s="8">
        <v>46116</v>
      </c>
      <c r="B49" s="9">
        <v>16712082.389079999</v>
      </c>
      <c r="C49" s="10">
        <v>8781720.1442910004</v>
      </c>
      <c r="D49" s="10">
        <v>3634898.0903119999</v>
      </c>
      <c r="E49" s="10">
        <v>1089958.5016119999</v>
      </c>
      <c r="F49" s="10">
        <v>1186512.0431599999</v>
      </c>
      <c r="G49" s="10">
        <v>37626.876035000001</v>
      </c>
      <c r="H49" s="10">
        <v>197.54142100000001</v>
      </c>
      <c r="I49" s="10">
        <v>272294.64561299997</v>
      </c>
      <c r="J49" s="10">
        <v>11.494512</v>
      </c>
      <c r="K49" s="10">
        <v>41158.812816999998</v>
      </c>
      <c r="L49" s="10">
        <v>148367.023552</v>
      </c>
      <c r="M49" s="10">
        <v>49242.463229000001</v>
      </c>
      <c r="N49" s="10">
        <v>5785.4405280000001</v>
      </c>
      <c r="O49" s="10">
        <v>98583.835840999993</v>
      </c>
      <c r="P49" s="10">
        <v>95741.667858999994</v>
      </c>
      <c r="Q49" s="10">
        <v>14856.236430000001</v>
      </c>
      <c r="R49" s="10">
        <v>49099.239887000003</v>
      </c>
      <c r="S49" s="10">
        <v>252548.33804100001</v>
      </c>
      <c r="T49" s="10">
        <v>73045.077919000003</v>
      </c>
      <c r="U49" s="10">
        <v>50064.909357999997</v>
      </c>
      <c r="V49" s="10">
        <v>98151.032754999993</v>
      </c>
      <c r="W49" s="10">
        <v>88171.484056000001</v>
      </c>
      <c r="X49" s="10">
        <v>45609.599586999997</v>
      </c>
      <c r="Y49" s="10">
        <v>3683.7613580000002</v>
      </c>
      <c r="Z49" s="10"/>
      <c r="AA49" s="10"/>
      <c r="AB49" s="10">
        <v>386426.91799799999</v>
      </c>
      <c r="AC49" s="10">
        <v>5585.4631419999996</v>
      </c>
      <c r="AD49" s="10">
        <v>42686.067998999999</v>
      </c>
      <c r="AE49" s="10">
        <v>22445.950887999999</v>
      </c>
      <c r="AF49" s="10">
        <v>27959.140919000001</v>
      </c>
      <c r="AG49" s="10">
        <v>1292.502735</v>
      </c>
      <c r="AH49" s="10">
        <v>45007.308701000002</v>
      </c>
      <c r="AI49" s="10">
        <v>984.88646000000006</v>
      </c>
      <c r="AJ49" s="10">
        <v>3209.4598999999998</v>
      </c>
      <c r="AK49" s="10">
        <v>143.97386</v>
      </c>
      <c r="AL49" s="10"/>
      <c r="AM49" s="10">
        <v>20665.075409000001</v>
      </c>
      <c r="AN49" s="10"/>
      <c r="AO49" s="10">
        <v>74.246888999999996</v>
      </c>
      <c r="AP49" s="10"/>
      <c r="AQ49" s="10">
        <v>38273.134007000001</v>
      </c>
      <c r="AR49" s="10"/>
      <c r="AS49" s="10"/>
      <c r="AT49" s="10"/>
      <c r="AU49" s="10">
        <v>0</v>
      </c>
      <c r="AV49" s="10">
        <v>0</v>
      </c>
      <c r="AW49" s="10">
        <v>0</v>
      </c>
      <c r="AX49" s="10"/>
      <c r="AY49" s="10">
        <v>0</v>
      </c>
      <c r="AZ49" s="10"/>
      <c r="BA49" s="10"/>
      <c r="BB49" s="10"/>
      <c r="BC49" s="10"/>
      <c r="BD49" s="10"/>
      <c r="BE49" s="10"/>
    </row>
    <row r="50" spans="1:57" x14ac:dyDescent="0.35">
      <c r="A50" s="8">
        <v>46115</v>
      </c>
      <c r="B50" s="9">
        <v>37067815.798660003</v>
      </c>
      <c r="C50" s="10">
        <v>15254049.508533999</v>
      </c>
      <c r="D50" s="10">
        <v>12071385.188139999</v>
      </c>
      <c r="E50" s="10">
        <v>1475305.2454039999</v>
      </c>
      <c r="F50" s="10">
        <v>4320066.1127580004</v>
      </c>
      <c r="G50" s="10">
        <v>196348.69508400001</v>
      </c>
      <c r="H50" s="10">
        <v>2596.2692750000001</v>
      </c>
      <c r="I50" s="10">
        <v>170891.190975</v>
      </c>
      <c r="J50" s="10">
        <v>3099.6078229999998</v>
      </c>
      <c r="K50" s="10">
        <v>336130.87841100001</v>
      </c>
      <c r="L50" s="10">
        <v>364692.62121999997</v>
      </c>
      <c r="M50" s="10">
        <v>47212.447085</v>
      </c>
      <c r="N50" s="10">
        <v>109977.56210700001</v>
      </c>
      <c r="O50" s="10">
        <v>161503.669899</v>
      </c>
      <c r="P50" s="10">
        <v>372618.954753</v>
      </c>
      <c r="Q50" s="10">
        <v>6866.0576970000002</v>
      </c>
      <c r="R50" s="10">
        <v>229265.52963400001</v>
      </c>
      <c r="S50" s="10">
        <v>458093.43868299999</v>
      </c>
      <c r="T50" s="10">
        <v>48501.962720000003</v>
      </c>
      <c r="U50" s="10">
        <v>203548.82118500001</v>
      </c>
      <c r="V50" s="10">
        <v>244452.81867099999</v>
      </c>
      <c r="W50" s="10">
        <v>214103.81179800001</v>
      </c>
      <c r="X50" s="10">
        <v>257653.935638</v>
      </c>
      <c r="Y50" s="10">
        <v>4639.8776889999999</v>
      </c>
      <c r="Z50" s="10"/>
      <c r="AA50" s="10"/>
      <c r="AB50" s="10">
        <v>234011.43423099999</v>
      </c>
      <c r="AC50" s="10">
        <v>9958.0140809999994</v>
      </c>
      <c r="AD50" s="10">
        <v>40294.286140999997</v>
      </c>
      <c r="AE50" s="10">
        <v>19020.335833000001</v>
      </c>
      <c r="AF50" s="10">
        <v>26251.506580000001</v>
      </c>
      <c r="AG50" s="10">
        <v>42986.486498999999</v>
      </c>
      <c r="AH50" s="10">
        <v>18982.222765999999</v>
      </c>
      <c r="AI50" s="10">
        <v>985.90261499999997</v>
      </c>
      <c r="AJ50" s="10">
        <v>24873.553119</v>
      </c>
      <c r="AK50" s="10">
        <v>5369.4943960000001</v>
      </c>
      <c r="AL50" s="10"/>
      <c r="AM50" s="10">
        <v>8521.7270609999996</v>
      </c>
      <c r="AN50" s="10"/>
      <c r="AO50" s="10">
        <v>1104.577912</v>
      </c>
      <c r="AP50" s="10"/>
      <c r="AQ50" s="10">
        <v>75484.074563000002</v>
      </c>
      <c r="AR50" s="10"/>
      <c r="AS50" s="10"/>
      <c r="AT50" s="10"/>
      <c r="AU50" s="10">
        <v>1544.6496480000001</v>
      </c>
      <c r="AV50" s="10">
        <v>4156.4566459999996</v>
      </c>
      <c r="AW50" s="10">
        <v>687.63452099999995</v>
      </c>
      <c r="AX50" s="10"/>
      <c r="AY50" s="10">
        <v>579.23686499999997</v>
      </c>
      <c r="AZ50" s="10"/>
      <c r="BA50" s="10"/>
      <c r="BB50" s="10"/>
      <c r="BC50" s="10"/>
      <c r="BD50" s="10"/>
      <c r="BE50" s="10"/>
    </row>
    <row r="51" spans="1:57" x14ac:dyDescent="0.35">
      <c r="A51" s="8">
        <v>46114</v>
      </c>
      <c r="B51" s="9">
        <v>802905721.06531</v>
      </c>
      <c r="C51" s="10">
        <v>576865581.39577103</v>
      </c>
      <c r="D51" s="10">
        <v>152761791.15129799</v>
      </c>
      <c r="E51" s="10">
        <v>22119678.436514001</v>
      </c>
      <c r="F51" s="10">
        <v>27973000.273278002</v>
      </c>
      <c r="G51" s="10">
        <v>11868622.255842</v>
      </c>
      <c r="H51" s="10">
        <v>67328.497040000002</v>
      </c>
      <c r="I51" s="10">
        <v>630605.65468399995</v>
      </c>
      <c r="J51" s="10">
        <v>46260.862527999998</v>
      </c>
      <c r="K51" s="10">
        <v>1243242.222507</v>
      </c>
      <c r="L51" s="10">
        <v>545418.68720799999</v>
      </c>
      <c r="M51" s="10">
        <v>1643529.860594</v>
      </c>
      <c r="N51" s="10">
        <v>177206.40110700001</v>
      </c>
      <c r="O51" s="10">
        <v>118682.577274</v>
      </c>
      <c r="P51" s="10">
        <v>547409.98475800001</v>
      </c>
      <c r="Q51" s="10">
        <v>40445.450629999999</v>
      </c>
      <c r="R51" s="10">
        <v>864665.08161600004</v>
      </c>
      <c r="S51" s="10">
        <v>61813.997076</v>
      </c>
      <c r="T51" s="10">
        <v>1262837.7891170001</v>
      </c>
      <c r="U51" s="10">
        <v>461282.83572199999</v>
      </c>
      <c r="V51" s="10">
        <v>171964.89723500001</v>
      </c>
      <c r="W51" s="10">
        <v>202728.42363800001</v>
      </c>
      <c r="X51" s="10">
        <v>749750.466227</v>
      </c>
      <c r="Y51" s="10">
        <v>93740.876936999994</v>
      </c>
      <c r="Z51" s="10"/>
      <c r="AA51" s="10"/>
      <c r="AB51" s="10">
        <v>227842.226609</v>
      </c>
      <c r="AC51" s="10">
        <v>275886.87956799997</v>
      </c>
      <c r="AD51" s="10">
        <v>86731.555030999996</v>
      </c>
      <c r="AE51" s="10">
        <v>72691.266235999996</v>
      </c>
      <c r="AF51" s="10">
        <v>59770.473636000002</v>
      </c>
      <c r="AG51" s="10">
        <v>335435.54677299998</v>
      </c>
      <c r="AH51" s="10">
        <v>30347.193282</v>
      </c>
      <c r="AI51" s="10">
        <v>358363.63690400001</v>
      </c>
      <c r="AJ51" s="10">
        <v>331562.33966499998</v>
      </c>
      <c r="AK51" s="10">
        <v>403022.91278200003</v>
      </c>
      <c r="AL51" s="10"/>
      <c r="AM51" s="10">
        <v>6569.1201650000003</v>
      </c>
      <c r="AN51" s="10"/>
      <c r="AO51" s="10">
        <v>19367.442080000001</v>
      </c>
      <c r="AP51" s="10"/>
      <c r="AQ51" s="10">
        <v>80403.945151000007</v>
      </c>
      <c r="AR51" s="10"/>
      <c r="AS51" s="10"/>
      <c r="AT51" s="10"/>
      <c r="AU51" s="10">
        <v>44026.972110000002</v>
      </c>
      <c r="AV51" s="10">
        <v>24964.380707</v>
      </c>
      <c r="AW51" s="10">
        <v>31042.371331999999</v>
      </c>
      <c r="AX51" s="10"/>
      <c r="AY51" s="10">
        <v>104.724678</v>
      </c>
      <c r="AZ51" s="10"/>
      <c r="BA51" s="10"/>
      <c r="BB51" s="10"/>
      <c r="BC51" s="10"/>
      <c r="BD51" s="10"/>
      <c r="BE51" s="10"/>
    </row>
    <row r="52" spans="1:57" x14ac:dyDescent="0.35">
      <c r="A52" s="8">
        <v>46113</v>
      </c>
      <c r="B52" s="9">
        <v>322815248.00716501</v>
      </c>
      <c r="C52" s="10">
        <v>120400419.241725</v>
      </c>
      <c r="D52" s="10">
        <v>121870904.569095</v>
      </c>
      <c r="E52" s="10">
        <v>31880495.067570001</v>
      </c>
      <c r="F52" s="10">
        <v>14895621.784976</v>
      </c>
      <c r="G52" s="10">
        <v>18390930.498263001</v>
      </c>
      <c r="H52" s="10">
        <v>110085.786057</v>
      </c>
      <c r="I52" s="10">
        <v>593672.93701899995</v>
      </c>
      <c r="J52" s="10">
        <v>87986.595809000006</v>
      </c>
      <c r="K52" s="10">
        <v>367419.589408</v>
      </c>
      <c r="L52" s="10">
        <v>1046982.414955</v>
      </c>
      <c r="M52" s="10">
        <v>3003623.926827</v>
      </c>
      <c r="N52" s="10">
        <v>448105.243915</v>
      </c>
      <c r="O52" s="10">
        <v>1320169.9500849999</v>
      </c>
      <c r="P52" s="10">
        <v>511746.29223700002</v>
      </c>
      <c r="Q52" s="10">
        <v>24664.589620999999</v>
      </c>
      <c r="R52" s="10">
        <v>1097120.182515</v>
      </c>
      <c r="S52" s="10">
        <v>282782.81841000001</v>
      </c>
      <c r="T52" s="10">
        <v>1079243.2534419999</v>
      </c>
      <c r="U52" s="10">
        <v>995482.20223599998</v>
      </c>
      <c r="V52" s="10">
        <v>185395.19442099999</v>
      </c>
      <c r="W52" s="10">
        <v>829774.423817</v>
      </c>
      <c r="X52" s="10">
        <v>487149.53006299998</v>
      </c>
      <c r="Y52" s="10">
        <v>135505.97134600001</v>
      </c>
      <c r="Z52" s="10"/>
      <c r="AA52" s="10"/>
      <c r="AB52" s="10">
        <v>158282.447992</v>
      </c>
      <c r="AC52" s="10">
        <v>222410.46122100001</v>
      </c>
      <c r="AD52" s="10">
        <v>286090.17179400002</v>
      </c>
      <c r="AE52" s="10">
        <v>213042.61621000001</v>
      </c>
      <c r="AF52" s="10">
        <v>347833.821428</v>
      </c>
      <c r="AG52" s="10">
        <v>199703.828125</v>
      </c>
      <c r="AH52" s="10">
        <v>61260.728437999998</v>
      </c>
      <c r="AI52" s="10">
        <v>213774.30415700001</v>
      </c>
      <c r="AJ52" s="10">
        <v>166594.24045000001</v>
      </c>
      <c r="AK52" s="10">
        <v>31393.992373000001</v>
      </c>
      <c r="AL52" s="10"/>
      <c r="AM52" s="10">
        <v>113967.199973</v>
      </c>
      <c r="AN52" s="10"/>
      <c r="AO52" s="10">
        <v>420844.99345900002</v>
      </c>
      <c r="AP52" s="10"/>
      <c r="AQ52" s="10">
        <v>184817.910756</v>
      </c>
      <c r="AR52" s="10"/>
      <c r="AS52" s="10"/>
      <c r="AT52" s="10"/>
      <c r="AU52" s="10">
        <v>49244.412605999998</v>
      </c>
      <c r="AV52" s="10">
        <v>39046.957283999996</v>
      </c>
      <c r="AW52" s="10">
        <v>61657.857086999997</v>
      </c>
      <c r="AX52" s="10"/>
      <c r="AY52" s="10">
        <v>0</v>
      </c>
      <c r="AZ52" s="10"/>
      <c r="BA52" s="10"/>
      <c r="BB52" s="10"/>
      <c r="BC52" s="10"/>
      <c r="BD52" s="10"/>
      <c r="BE52" s="10"/>
    </row>
    <row r="53" spans="1:57" x14ac:dyDescent="0.35">
      <c r="A53" s="8">
        <v>46112</v>
      </c>
      <c r="B53" s="9">
        <v>613287897.10895705</v>
      </c>
      <c r="C53" s="10">
        <v>376780159.88907403</v>
      </c>
      <c r="D53" s="10">
        <v>137280651.391702</v>
      </c>
      <c r="E53" s="10">
        <v>47024721.494909003</v>
      </c>
      <c r="F53" s="10">
        <v>17192909.923730001</v>
      </c>
      <c r="G53" s="10">
        <v>17411859.203882001</v>
      </c>
      <c r="H53" s="10">
        <v>57033.414827000001</v>
      </c>
      <c r="I53" s="10">
        <v>1644123.0956989999</v>
      </c>
      <c r="J53" s="10">
        <v>120647.621785</v>
      </c>
      <c r="K53" s="10">
        <v>200161.40433600001</v>
      </c>
      <c r="L53" s="10">
        <v>1382067.690858</v>
      </c>
      <c r="M53" s="10">
        <v>268342.05129999999</v>
      </c>
      <c r="N53" s="10">
        <v>1124239.6247419999</v>
      </c>
      <c r="O53" s="10">
        <v>1014515.873335</v>
      </c>
      <c r="P53" s="10">
        <v>626085.38118100003</v>
      </c>
      <c r="Q53" s="10">
        <v>11101.892108</v>
      </c>
      <c r="R53" s="10">
        <v>1086816.2639319999</v>
      </c>
      <c r="S53" s="10">
        <v>823731.28623700002</v>
      </c>
      <c r="T53" s="10">
        <v>645025.53677799995</v>
      </c>
      <c r="U53" s="10">
        <v>479171.17527100001</v>
      </c>
      <c r="V53" s="10">
        <v>599237.61936000001</v>
      </c>
      <c r="W53" s="10">
        <v>1037889.345862</v>
      </c>
      <c r="X53" s="10">
        <v>692669.74015199998</v>
      </c>
      <c r="Y53" s="10">
        <v>130285.45195</v>
      </c>
      <c r="Z53" s="10"/>
      <c r="AA53" s="10"/>
      <c r="AB53" s="10">
        <v>256356.805938</v>
      </c>
      <c r="AC53" s="10">
        <v>307414.54259500001</v>
      </c>
      <c r="AD53" s="10">
        <v>275155.40079500002</v>
      </c>
      <c r="AE53" s="10">
        <v>912096.48073099996</v>
      </c>
      <c r="AF53" s="10">
        <v>138470.741312</v>
      </c>
      <c r="AG53" s="10">
        <v>506892.20913600002</v>
      </c>
      <c r="AH53" s="10">
        <v>130638.059408</v>
      </c>
      <c r="AI53" s="10">
        <v>418133.08703200001</v>
      </c>
      <c r="AJ53" s="10">
        <v>415697.29821199999</v>
      </c>
      <c r="AK53" s="10">
        <v>122631.895881</v>
      </c>
      <c r="AL53" s="10"/>
      <c r="AM53" s="10">
        <v>273853.36018800002</v>
      </c>
      <c r="AN53" s="10"/>
      <c r="AO53" s="10">
        <v>1195321.8317420001</v>
      </c>
      <c r="AP53" s="10"/>
      <c r="AQ53" s="10">
        <v>204622.42374500001</v>
      </c>
      <c r="AR53" s="10"/>
      <c r="AS53" s="10"/>
      <c r="AT53" s="10"/>
      <c r="AU53" s="10">
        <v>400005.15716499998</v>
      </c>
      <c r="AV53" s="10">
        <v>23098.838263000001</v>
      </c>
      <c r="AW53" s="10">
        <v>60071.794717999997</v>
      </c>
      <c r="AX53" s="10"/>
      <c r="AY53" s="10">
        <v>13990.809085999999</v>
      </c>
      <c r="AZ53" s="10"/>
      <c r="BA53" s="10"/>
      <c r="BB53" s="10"/>
      <c r="BC53" s="10"/>
      <c r="BD53" s="10"/>
      <c r="BE53" s="10"/>
    </row>
    <row r="54" spans="1:57" x14ac:dyDescent="0.35">
      <c r="A54" s="8">
        <v>46111</v>
      </c>
      <c r="B54" s="9">
        <v>361832840.79711503</v>
      </c>
      <c r="C54" s="10">
        <v>202586127.16211</v>
      </c>
      <c r="D54" s="10">
        <v>95927456.586704001</v>
      </c>
      <c r="E54" s="10">
        <v>28107938.236814</v>
      </c>
      <c r="F54" s="10">
        <v>9462134.0896370001</v>
      </c>
      <c r="G54" s="10">
        <v>12422901.773889</v>
      </c>
      <c r="H54" s="10">
        <v>246337.635759</v>
      </c>
      <c r="I54" s="10">
        <v>930869.53498200001</v>
      </c>
      <c r="J54" s="10">
        <v>98114.191846999995</v>
      </c>
      <c r="K54" s="10">
        <v>751337.30009799998</v>
      </c>
      <c r="L54" s="10">
        <v>1152684.4177900001</v>
      </c>
      <c r="M54" s="10">
        <v>312100.76577100001</v>
      </c>
      <c r="N54" s="10">
        <v>406003.04353899998</v>
      </c>
      <c r="O54" s="10">
        <v>374784.108305</v>
      </c>
      <c r="P54" s="10">
        <v>676394.19185199996</v>
      </c>
      <c r="Q54" s="10">
        <v>76884.769732000001</v>
      </c>
      <c r="R54" s="10">
        <v>1089012.724559</v>
      </c>
      <c r="S54" s="10">
        <v>635909.59687600005</v>
      </c>
      <c r="T54" s="10">
        <v>221866.84344999999</v>
      </c>
      <c r="U54" s="10">
        <v>283940.22273199999</v>
      </c>
      <c r="V54" s="10">
        <v>541398.91611700004</v>
      </c>
      <c r="W54" s="10">
        <v>563448.68462800002</v>
      </c>
      <c r="X54" s="10">
        <v>638259.28096300003</v>
      </c>
      <c r="Y54" s="10">
        <v>114417.41506699999</v>
      </c>
      <c r="Z54" s="10"/>
      <c r="AA54" s="10"/>
      <c r="AB54" s="10">
        <v>507917.99347099999</v>
      </c>
      <c r="AC54" s="10">
        <v>596827.86964399996</v>
      </c>
      <c r="AD54" s="10">
        <v>385262.12855099997</v>
      </c>
      <c r="AE54" s="10">
        <v>474079.05935400003</v>
      </c>
      <c r="AF54" s="10">
        <v>316481.29163499997</v>
      </c>
      <c r="AG54" s="10">
        <v>146444.26170900001</v>
      </c>
      <c r="AH54" s="10">
        <v>194442.14348900001</v>
      </c>
      <c r="AI54" s="10">
        <v>143844.466999</v>
      </c>
      <c r="AJ54" s="10">
        <v>183890.10527299999</v>
      </c>
      <c r="AK54" s="10">
        <v>195195.91200000001</v>
      </c>
      <c r="AL54" s="10"/>
      <c r="AM54" s="10">
        <v>241993.594082</v>
      </c>
      <c r="AN54" s="10"/>
      <c r="AO54" s="10">
        <v>77177.308048999999</v>
      </c>
      <c r="AP54" s="10"/>
      <c r="AQ54" s="10">
        <v>240907.11362799999</v>
      </c>
      <c r="AR54" s="10"/>
      <c r="AS54" s="10"/>
      <c r="AT54" s="10"/>
      <c r="AU54" s="10">
        <v>376345.582062</v>
      </c>
      <c r="AV54" s="10">
        <v>22197.932184000001</v>
      </c>
      <c r="AW54" s="10">
        <v>109312.55061000001</v>
      </c>
      <c r="AX54" s="10"/>
      <c r="AY54" s="10">
        <v>199.99115399999999</v>
      </c>
      <c r="AZ54" s="10"/>
      <c r="BA54" s="10"/>
      <c r="BB54" s="10"/>
      <c r="BC54" s="10"/>
      <c r="BD54" s="10"/>
      <c r="BE54" s="10"/>
    </row>
    <row r="55" spans="1:57" x14ac:dyDescent="0.35">
      <c r="A55" s="8">
        <v>46110</v>
      </c>
      <c r="B55" s="9">
        <v>74439129.024250999</v>
      </c>
      <c r="C55" s="10">
        <v>27271238.373559002</v>
      </c>
      <c r="D55" s="10">
        <v>22555022.477205999</v>
      </c>
      <c r="E55" s="10">
        <v>5781013.6722529996</v>
      </c>
      <c r="F55" s="10">
        <v>3909953.4143980001</v>
      </c>
      <c r="G55" s="10">
        <v>1193753.1459369999</v>
      </c>
      <c r="H55" s="10">
        <v>187.48944</v>
      </c>
      <c r="I55" s="10">
        <v>266753.90244899999</v>
      </c>
      <c r="J55" s="10">
        <v>2734.7315039999999</v>
      </c>
      <c r="K55" s="10">
        <v>2343436.7148290002</v>
      </c>
      <c r="L55" s="10">
        <v>547299.26083499996</v>
      </c>
      <c r="M55" s="10">
        <v>5504717.6211200003</v>
      </c>
      <c r="N55" s="10">
        <v>401020.66908600001</v>
      </c>
      <c r="O55" s="10">
        <v>15120.603109</v>
      </c>
      <c r="P55" s="10">
        <v>214337.22474500001</v>
      </c>
      <c r="Q55" s="10">
        <v>28822.856222999999</v>
      </c>
      <c r="R55" s="10">
        <v>21734.830852999999</v>
      </c>
      <c r="S55" s="10">
        <v>695382.99846699997</v>
      </c>
      <c r="T55" s="10">
        <v>2235668.3260809998</v>
      </c>
      <c r="U55" s="10">
        <v>27699.690191999998</v>
      </c>
      <c r="V55" s="10">
        <v>96875.895814999996</v>
      </c>
      <c r="W55" s="10">
        <v>217308.619679</v>
      </c>
      <c r="X55" s="10">
        <v>309285.33447100001</v>
      </c>
      <c r="Y55" s="10">
        <v>8260.1841370000002</v>
      </c>
      <c r="Z55" s="10"/>
      <c r="AA55" s="10"/>
      <c r="AB55" s="10">
        <v>88724.447262999995</v>
      </c>
      <c r="AC55" s="10">
        <v>56066.453414000003</v>
      </c>
      <c r="AD55" s="10">
        <v>22052.807805</v>
      </c>
      <c r="AE55" s="10">
        <v>146007.38966300001</v>
      </c>
      <c r="AF55" s="10">
        <v>31483.555262000002</v>
      </c>
      <c r="AG55" s="10">
        <v>9.0231239999999993</v>
      </c>
      <c r="AH55" s="10">
        <v>89309.981018999999</v>
      </c>
      <c r="AI55" s="10">
        <v>27826.589974999999</v>
      </c>
      <c r="AJ55" s="10">
        <v>79422.542396999997</v>
      </c>
      <c r="AK55" s="10">
        <v>63.803784</v>
      </c>
      <c r="AL55" s="10"/>
      <c r="AM55" s="10">
        <v>61924.083672000001</v>
      </c>
      <c r="AN55" s="10"/>
      <c r="AO55" s="10">
        <v>1206.716727</v>
      </c>
      <c r="AP55" s="10"/>
      <c r="AQ55" s="10">
        <v>173928.23293200001</v>
      </c>
      <c r="AR55" s="10"/>
      <c r="AS55" s="10"/>
      <c r="AT55" s="10"/>
      <c r="AU55" s="10">
        <v>1398.7541610000001</v>
      </c>
      <c r="AV55" s="10">
        <v>6.8815000000000001E-2</v>
      </c>
      <c r="AW55" s="10">
        <v>12076.480331000001</v>
      </c>
      <c r="AX55" s="10"/>
      <c r="AY55" s="10">
        <v>5.7519000000000001E-2</v>
      </c>
      <c r="AZ55" s="10"/>
      <c r="BA55" s="10"/>
      <c r="BB55" s="10"/>
      <c r="BC55" s="10"/>
      <c r="BD55" s="10"/>
      <c r="BE55" s="10"/>
    </row>
    <row r="56" spans="1:57" x14ac:dyDescent="0.35">
      <c r="A56" s="8">
        <v>46109</v>
      </c>
      <c r="B56" s="9">
        <v>84039615.795084998</v>
      </c>
      <c r="C56" s="10">
        <v>8415794.8182989992</v>
      </c>
      <c r="D56" s="10">
        <v>10222633.392251</v>
      </c>
      <c r="E56" s="10">
        <v>735047.47222400003</v>
      </c>
      <c r="F56" s="10">
        <v>5362720.407443</v>
      </c>
      <c r="G56" s="10">
        <v>1808335.2973420001</v>
      </c>
      <c r="H56" s="10">
        <v>3881.0359319999998</v>
      </c>
      <c r="I56" s="10">
        <v>341772.87837499997</v>
      </c>
      <c r="J56" s="10">
        <v>739.00156900000002</v>
      </c>
      <c r="K56" s="10">
        <v>1136886.627023</v>
      </c>
      <c r="L56" s="10">
        <v>825209.50812300004</v>
      </c>
      <c r="M56" s="10">
        <v>46121358.068526</v>
      </c>
      <c r="N56" s="10">
        <v>3218.2336089999999</v>
      </c>
      <c r="O56" s="10">
        <v>102795.043959</v>
      </c>
      <c r="P56" s="10">
        <v>248727.09982500001</v>
      </c>
      <c r="Q56" s="10">
        <v>55127.250087</v>
      </c>
      <c r="R56" s="10">
        <v>22745.340181</v>
      </c>
      <c r="S56" s="10">
        <v>1092604.460433</v>
      </c>
      <c r="T56" s="10">
        <v>5624412.0935380002</v>
      </c>
      <c r="U56" s="10">
        <v>99413.828777000002</v>
      </c>
      <c r="V56" s="10">
        <v>117350.723824</v>
      </c>
      <c r="W56" s="10">
        <v>500403.52252599999</v>
      </c>
      <c r="X56" s="10">
        <v>262276.56840799999</v>
      </c>
      <c r="Y56" s="10">
        <v>376.76299</v>
      </c>
      <c r="Z56" s="10"/>
      <c r="AA56" s="10"/>
      <c r="AB56" s="10">
        <v>254287.54044899999</v>
      </c>
      <c r="AC56" s="10">
        <v>184.937164</v>
      </c>
      <c r="AD56" s="10">
        <v>35139.387041000002</v>
      </c>
      <c r="AE56" s="10">
        <v>148775.32870300001</v>
      </c>
      <c r="AF56" s="10">
        <v>8631.1370129999996</v>
      </c>
      <c r="AG56" s="10">
        <v>1682.503117</v>
      </c>
      <c r="AH56" s="10">
        <v>34094.126640000002</v>
      </c>
      <c r="AI56" s="10">
        <v>1278.1373289999999</v>
      </c>
      <c r="AJ56" s="10">
        <v>1223.6782009999999</v>
      </c>
      <c r="AK56" s="10">
        <v>102221.50127399999</v>
      </c>
      <c r="AL56" s="10"/>
      <c r="AM56" s="10">
        <v>58819.075758999999</v>
      </c>
      <c r="AN56" s="10"/>
      <c r="AO56" s="10">
        <v>522.32533799999999</v>
      </c>
      <c r="AP56" s="10"/>
      <c r="AQ56" s="10">
        <v>282363.19807699998</v>
      </c>
      <c r="AR56" s="10"/>
      <c r="AS56" s="10"/>
      <c r="AT56" s="10"/>
      <c r="AU56" s="10">
        <v>203.537081</v>
      </c>
      <c r="AV56" s="10">
        <v>0</v>
      </c>
      <c r="AW56" s="10">
        <v>6359.9466350000002</v>
      </c>
      <c r="AX56" s="10"/>
      <c r="AY56" s="10">
        <v>0</v>
      </c>
      <c r="AZ56" s="10"/>
      <c r="BA56" s="10"/>
      <c r="BB56" s="10"/>
      <c r="BC56" s="10"/>
      <c r="BD56" s="10"/>
      <c r="BE56" s="10"/>
    </row>
    <row r="57" spans="1:57" x14ac:dyDescent="0.35">
      <c r="A57" s="8">
        <v>46108</v>
      </c>
      <c r="B57" s="9">
        <v>341376415.00657499</v>
      </c>
      <c r="C57" s="10">
        <v>218784689.77867901</v>
      </c>
      <c r="D57" s="10">
        <v>49272651.255833998</v>
      </c>
      <c r="E57" s="10">
        <v>29483403.000595</v>
      </c>
      <c r="F57" s="10">
        <v>8889000.3881139997</v>
      </c>
      <c r="G57" s="10">
        <v>10466001.253789</v>
      </c>
      <c r="H57" s="10">
        <v>323814.28664100001</v>
      </c>
      <c r="I57" s="10">
        <v>1071420.272688</v>
      </c>
      <c r="J57" s="10">
        <v>54281.495436999998</v>
      </c>
      <c r="K57" s="10">
        <v>4962988.3990890002</v>
      </c>
      <c r="L57" s="10">
        <v>798835.00954</v>
      </c>
      <c r="M57" s="10">
        <v>6848933.8356870003</v>
      </c>
      <c r="N57" s="10">
        <v>259317.84110200001</v>
      </c>
      <c r="O57" s="10">
        <v>164199.699483</v>
      </c>
      <c r="P57" s="10">
        <v>1261497.2765319999</v>
      </c>
      <c r="Q57" s="10">
        <v>131257.551607</v>
      </c>
      <c r="R57" s="10">
        <v>339288.25171400001</v>
      </c>
      <c r="S57" s="10">
        <v>1176540.863987</v>
      </c>
      <c r="T57" s="10">
        <v>1210593.4604730001</v>
      </c>
      <c r="U57" s="10">
        <v>952012.94327799999</v>
      </c>
      <c r="V57" s="10">
        <v>498618.68991999998</v>
      </c>
      <c r="W57" s="10">
        <v>597758.16160400002</v>
      </c>
      <c r="X57" s="10">
        <v>679582.73175000004</v>
      </c>
      <c r="Y57" s="10">
        <v>27183.449415999999</v>
      </c>
      <c r="Z57" s="10"/>
      <c r="AA57" s="10"/>
      <c r="AB57" s="10">
        <v>403343.06436000002</v>
      </c>
      <c r="AC57" s="10">
        <v>272550.52554900001</v>
      </c>
      <c r="AD57" s="10">
        <v>95220.708383000005</v>
      </c>
      <c r="AE57" s="10">
        <v>514519.78160300001</v>
      </c>
      <c r="AF57" s="10">
        <v>354293.72645399999</v>
      </c>
      <c r="AG57" s="10">
        <v>63143.261665999999</v>
      </c>
      <c r="AH57" s="10">
        <v>151378.020555</v>
      </c>
      <c r="AI57" s="10">
        <v>4047.8409510000001</v>
      </c>
      <c r="AJ57" s="10">
        <v>208454.62891900001</v>
      </c>
      <c r="AK57" s="10">
        <v>302616.79116700002</v>
      </c>
      <c r="AL57" s="10"/>
      <c r="AM57" s="10">
        <v>139419.122064</v>
      </c>
      <c r="AN57" s="10"/>
      <c r="AO57" s="10">
        <v>246224.20857799999</v>
      </c>
      <c r="AP57" s="10"/>
      <c r="AQ57" s="10">
        <v>25508.930955</v>
      </c>
      <c r="AR57" s="10"/>
      <c r="AS57" s="10"/>
      <c r="AT57" s="10"/>
      <c r="AU57" s="10">
        <v>163658.068188</v>
      </c>
      <c r="AV57" s="10">
        <v>3164.7604980000001</v>
      </c>
      <c r="AW57" s="10">
        <v>174167.50583400001</v>
      </c>
      <c r="AX57" s="10"/>
      <c r="AY57" s="10">
        <v>834.16389200000003</v>
      </c>
      <c r="AZ57" s="10"/>
      <c r="BA57" s="10"/>
      <c r="BB57" s="10"/>
      <c r="BC57" s="10"/>
      <c r="BD57" s="10"/>
      <c r="BE57" s="10"/>
    </row>
    <row r="58" spans="1:57" x14ac:dyDescent="0.35">
      <c r="A58" s="8">
        <v>46107</v>
      </c>
      <c r="B58" s="9">
        <v>287469514.23120499</v>
      </c>
      <c r="C58" s="10">
        <v>127945090.042455</v>
      </c>
      <c r="D58" s="10">
        <v>51094545.138828002</v>
      </c>
      <c r="E58" s="10">
        <v>43565922.629323997</v>
      </c>
      <c r="F58" s="10">
        <v>7489635.8387120003</v>
      </c>
      <c r="G58" s="10">
        <v>11125137.521589</v>
      </c>
      <c r="H58" s="10">
        <v>93234.278993999993</v>
      </c>
      <c r="I58" s="10">
        <v>869503.42559400003</v>
      </c>
      <c r="J58" s="10">
        <v>30954947.732933</v>
      </c>
      <c r="K58" s="10">
        <v>1448388.737926</v>
      </c>
      <c r="L58" s="10">
        <v>902031.27997799998</v>
      </c>
      <c r="M58" s="10">
        <v>513528.80996400001</v>
      </c>
      <c r="N58" s="10">
        <v>103351.105872</v>
      </c>
      <c r="O58" s="10">
        <v>331098.62090400001</v>
      </c>
      <c r="P58" s="10">
        <v>859685.87586799997</v>
      </c>
      <c r="Q58" s="10">
        <v>26432.750004000001</v>
      </c>
      <c r="R58" s="10">
        <v>1642824.040821</v>
      </c>
      <c r="S58" s="10">
        <v>902665.37952299998</v>
      </c>
      <c r="T58" s="10">
        <v>94318.402184000006</v>
      </c>
      <c r="U58" s="10">
        <v>243503.69082600001</v>
      </c>
      <c r="V58" s="10">
        <v>674573.43702700001</v>
      </c>
      <c r="W58" s="10">
        <v>562714.36897499999</v>
      </c>
      <c r="X58" s="10">
        <v>372235.15873800003</v>
      </c>
      <c r="Y58" s="10">
        <v>36100.494514999999</v>
      </c>
      <c r="Z58" s="10"/>
      <c r="AA58" s="10"/>
      <c r="AB58" s="10">
        <v>333440.15856299998</v>
      </c>
      <c r="AC58" s="10">
        <v>401268.73954099999</v>
      </c>
      <c r="AD58" s="10">
        <v>100170.911481</v>
      </c>
      <c r="AE58" s="10">
        <v>618707.72098500002</v>
      </c>
      <c r="AF58" s="10">
        <v>291747.95584299997</v>
      </c>
      <c r="AG58" s="10">
        <v>731381.552746</v>
      </c>
      <c r="AH58" s="10">
        <v>158778.904867</v>
      </c>
      <c r="AI58" s="10">
        <v>707620.29278400005</v>
      </c>
      <c r="AJ58" s="10">
        <v>697290.46576000005</v>
      </c>
      <c r="AK58" s="10">
        <v>176404.633088</v>
      </c>
      <c r="AL58" s="10"/>
      <c r="AM58" s="10">
        <v>376503.33077399997</v>
      </c>
      <c r="AN58" s="10"/>
      <c r="AO58" s="10">
        <v>403856.787626</v>
      </c>
      <c r="AP58" s="10"/>
      <c r="AQ58" s="10">
        <v>159336.60580700001</v>
      </c>
      <c r="AR58" s="10"/>
      <c r="AS58" s="10"/>
      <c r="AT58" s="10"/>
      <c r="AU58" s="10">
        <v>311674.58116599999</v>
      </c>
      <c r="AV58" s="10">
        <v>21639.129104</v>
      </c>
      <c r="AW58" s="10">
        <v>128217.413268</v>
      </c>
      <c r="AX58" s="10"/>
      <c r="AY58" s="10">
        <v>6.2862479999999996</v>
      </c>
      <c r="AZ58" s="10"/>
      <c r="BA58" s="10"/>
      <c r="BB58" s="10"/>
      <c r="BC58" s="10"/>
      <c r="BD58" s="10"/>
      <c r="BE58" s="10"/>
    </row>
    <row r="59" spans="1:57" x14ac:dyDescent="0.35">
      <c r="A59" s="8">
        <v>46106</v>
      </c>
      <c r="B59" s="9">
        <v>307059815.11254299</v>
      </c>
      <c r="C59" s="10">
        <v>145619595.53438699</v>
      </c>
      <c r="D59" s="10">
        <v>73590069.459527001</v>
      </c>
      <c r="E59" s="10">
        <v>42055184.004447997</v>
      </c>
      <c r="F59" s="10">
        <v>8964515.5772559997</v>
      </c>
      <c r="G59" s="10">
        <v>7435402.0296740001</v>
      </c>
      <c r="H59" s="10">
        <v>140054.33647099999</v>
      </c>
      <c r="I59" s="10">
        <v>2067482.14904</v>
      </c>
      <c r="J59" s="10">
        <v>13997772.366506999</v>
      </c>
      <c r="K59" s="10">
        <v>1856918.6660150001</v>
      </c>
      <c r="L59" s="10">
        <v>832913.80977299996</v>
      </c>
      <c r="M59" s="10">
        <v>194221.75333100001</v>
      </c>
      <c r="N59" s="10">
        <v>41501.667243000004</v>
      </c>
      <c r="O59" s="10">
        <v>784242.463246</v>
      </c>
      <c r="P59" s="10">
        <v>284703.75653200003</v>
      </c>
      <c r="Q59" s="10">
        <v>5946.6487950000001</v>
      </c>
      <c r="R59" s="10">
        <v>1409810.937139</v>
      </c>
      <c r="S59" s="10">
        <v>958825.05726100004</v>
      </c>
      <c r="T59" s="10">
        <v>88451.640818</v>
      </c>
      <c r="U59" s="10">
        <v>375054.02179099998</v>
      </c>
      <c r="V59" s="10">
        <v>521906.48402899998</v>
      </c>
      <c r="W59" s="10">
        <v>1685388.997643</v>
      </c>
      <c r="X59" s="10">
        <v>251104.17731699999</v>
      </c>
      <c r="Y59" s="10">
        <v>96425.862471</v>
      </c>
      <c r="Z59" s="10"/>
      <c r="AA59" s="10"/>
      <c r="AB59" s="10">
        <v>93808.865336999996</v>
      </c>
      <c r="AC59" s="10">
        <v>574916.20944899996</v>
      </c>
      <c r="AD59" s="10">
        <v>135413.208342</v>
      </c>
      <c r="AE59" s="10">
        <v>555454.39558699995</v>
      </c>
      <c r="AF59" s="10">
        <v>30353.642544999999</v>
      </c>
      <c r="AG59" s="10">
        <v>521849.92995199998</v>
      </c>
      <c r="AH59" s="10">
        <v>130228.47147400001</v>
      </c>
      <c r="AI59" s="10">
        <v>542625.42934100004</v>
      </c>
      <c r="AJ59" s="10">
        <v>562811.44012399996</v>
      </c>
      <c r="AK59" s="10">
        <v>10770.221221</v>
      </c>
      <c r="AL59" s="10"/>
      <c r="AM59" s="10">
        <v>254347.51604799999</v>
      </c>
      <c r="AN59" s="10"/>
      <c r="AO59" s="10">
        <v>232678.76705900001</v>
      </c>
      <c r="AP59" s="10"/>
      <c r="AQ59" s="10">
        <v>61144.831987999998</v>
      </c>
      <c r="AR59" s="10"/>
      <c r="AS59" s="10"/>
      <c r="AT59" s="10"/>
      <c r="AU59" s="10">
        <v>6148.6831039999997</v>
      </c>
      <c r="AV59" s="10">
        <v>21021.768969000001</v>
      </c>
      <c r="AW59" s="10">
        <v>68750.331288999994</v>
      </c>
      <c r="AX59" s="10"/>
      <c r="AY59" s="10">
        <v>0</v>
      </c>
      <c r="AZ59" s="10"/>
      <c r="BA59" s="10"/>
      <c r="BB59" s="10"/>
      <c r="BC59" s="10"/>
      <c r="BD59" s="10"/>
      <c r="BE59" s="10"/>
    </row>
    <row r="60" spans="1:57" x14ac:dyDescent="0.35">
      <c r="A60" s="8">
        <v>46105</v>
      </c>
      <c r="B60" s="9">
        <v>295886622.24764699</v>
      </c>
      <c r="C60" s="10">
        <v>148654165.003436</v>
      </c>
      <c r="D60" s="10">
        <v>63790329.215563998</v>
      </c>
      <c r="E60" s="10">
        <v>39069466.905722</v>
      </c>
      <c r="F60" s="10">
        <v>4484215.7584239999</v>
      </c>
      <c r="G60" s="10">
        <v>5485840.2920070002</v>
      </c>
      <c r="H60" s="10">
        <v>55989.760136999997</v>
      </c>
      <c r="I60" s="10">
        <v>2437056.667748</v>
      </c>
      <c r="J60" s="10">
        <v>11574740.336454</v>
      </c>
      <c r="K60" s="10">
        <v>4173129.8044949998</v>
      </c>
      <c r="L60" s="10">
        <v>656243.23046600004</v>
      </c>
      <c r="M60" s="10">
        <v>329831.87343899999</v>
      </c>
      <c r="N60" s="10">
        <v>4207169.6795359999</v>
      </c>
      <c r="O60" s="10">
        <v>609386.30598399998</v>
      </c>
      <c r="P60" s="10">
        <v>576406.53291499999</v>
      </c>
      <c r="Q60" s="10">
        <v>22272.015020999999</v>
      </c>
      <c r="R60" s="10">
        <v>1205672.68328</v>
      </c>
      <c r="S60" s="10">
        <v>654526.71679900005</v>
      </c>
      <c r="T60" s="10">
        <v>41575.399554000003</v>
      </c>
      <c r="U60" s="10">
        <v>392993.59277500003</v>
      </c>
      <c r="V60" s="10">
        <v>869375.857831</v>
      </c>
      <c r="W60" s="10">
        <v>1609309.6199030001</v>
      </c>
      <c r="X60" s="10">
        <v>258637.02703</v>
      </c>
      <c r="Y60" s="10">
        <v>194164.67601</v>
      </c>
      <c r="Z60" s="10"/>
      <c r="AA60" s="10"/>
      <c r="AB60" s="10">
        <v>93224.988668000005</v>
      </c>
      <c r="AC60" s="10">
        <v>233532.43495</v>
      </c>
      <c r="AD60" s="10">
        <v>213062.704317</v>
      </c>
      <c r="AE60" s="10">
        <v>369175.90127099998</v>
      </c>
      <c r="AF60" s="10">
        <v>9457.153714</v>
      </c>
      <c r="AG60" s="10">
        <v>611648.15212600003</v>
      </c>
      <c r="AH60" s="10">
        <v>132934.79417400001</v>
      </c>
      <c r="AI60" s="10">
        <v>697110.22908299998</v>
      </c>
      <c r="AJ60" s="10">
        <v>654136.86349500006</v>
      </c>
      <c r="AK60" s="10">
        <v>24613.950487999999</v>
      </c>
      <c r="AL60" s="10"/>
      <c r="AM60" s="10">
        <v>675726.10435200005</v>
      </c>
      <c r="AN60" s="10"/>
      <c r="AO60" s="10">
        <v>570923.48536799999</v>
      </c>
      <c r="AP60" s="10"/>
      <c r="AQ60" s="10">
        <v>89636.944581999996</v>
      </c>
      <c r="AR60" s="10"/>
      <c r="AS60" s="10"/>
      <c r="AT60" s="10"/>
      <c r="AU60" s="10">
        <v>23964.642166000001</v>
      </c>
      <c r="AV60" s="10">
        <v>47299.810160000001</v>
      </c>
      <c r="AW60" s="10">
        <v>87675.134202999994</v>
      </c>
      <c r="AX60" s="10"/>
      <c r="AY60" s="10">
        <v>0</v>
      </c>
      <c r="AZ60" s="10"/>
      <c r="BA60" s="10"/>
      <c r="BB60" s="10"/>
      <c r="BC60" s="10"/>
      <c r="BD60" s="10"/>
      <c r="BE60" s="10"/>
    </row>
    <row r="61" spans="1:57" x14ac:dyDescent="0.35">
      <c r="A61" s="8">
        <v>46104</v>
      </c>
      <c r="B61" s="9">
        <v>494395870.39138103</v>
      </c>
      <c r="C61" s="10">
        <v>301682273.54444999</v>
      </c>
      <c r="D61" s="10">
        <v>87451864.018278003</v>
      </c>
      <c r="E61" s="10">
        <v>48054063.980595</v>
      </c>
      <c r="F61" s="10"/>
      <c r="G61" s="10">
        <v>9439771.1859140005</v>
      </c>
      <c r="H61" s="10">
        <v>66998.567089000004</v>
      </c>
      <c r="I61" s="10">
        <v>2450914.6303420002</v>
      </c>
      <c r="J61" s="10">
        <v>6789306.7419459997</v>
      </c>
      <c r="K61" s="10">
        <v>10610526.585441001</v>
      </c>
      <c r="L61" s="10">
        <v>2302134.747192</v>
      </c>
      <c r="M61" s="10">
        <v>452093.92449200002</v>
      </c>
      <c r="N61" s="10">
        <v>4663354.5412299996</v>
      </c>
      <c r="O61" s="10">
        <v>1113602.067394</v>
      </c>
      <c r="P61" s="10">
        <v>1285746.1186559999</v>
      </c>
      <c r="Q61" s="10">
        <v>96236.632018000004</v>
      </c>
      <c r="R61" s="10">
        <v>2917071.1675149999</v>
      </c>
      <c r="S61" s="10">
        <v>1200185.2378420001</v>
      </c>
      <c r="T61" s="10"/>
      <c r="U61" s="10">
        <v>1109712.226122</v>
      </c>
      <c r="V61" s="10">
        <v>1661331.432517</v>
      </c>
      <c r="W61" s="10">
        <v>1708604.079929</v>
      </c>
      <c r="X61" s="10">
        <v>1542324.4160199999</v>
      </c>
      <c r="Y61" s="10">
        <v>195851.89181500001</v>
      </c>
      <c r="Z61" s="10"/>
      <c r="AA61" s="10"/>
      <c r="AB61" s="10">
        <v>730492.58737199998</v>
      </c>
      <c r="AC61" s="10">
        <v>330435.82399900001</v>
      </c>
      <c r="AD61" s="10">
        <v>403996.56617000001</v>
      </c>
      <c r="AE61" s="10">
        <v>1087568.196759</v>
      </c>
      <c r="AF61" s="10">
        <v>367397.13258099998</v>
      </c>
      <c r="AG61" s="10">
        <v>763360.52390799997</v>
      </c>
      <c r="AH61" s="10">
        <v>346686.13825399999</v>
      </c>
      <c r="AI61" s="10">
        <v>895445.86338400003</v>
      </c>
      <c r="AJ61" s="10">
        <v>966120.59706399997</v>
      </c>
      <c r="AK61" s="10">
        <v>244469.604582</v>
      </c>
      <c r="AL61" s="10"/>
      <c r="AM61" s="10">
        <v>212002.73494200001</v>
      </c>
      <c r="AN61" s="10"/>
      <c r="AO61" s="10">
        <v>696676.84391499998</v>
      </c>
      <c r="AP61" s="10"/>
      <c r="AQ61" s="10">
        <v>93023.798804999999</v>
      </c>
      <c r="AR61" s="10"/>
      <c r="AS61" s="10"/>
      <c r="AT61" s="10"/>
      <c r="AU61" s="10">
        <v>175423.990647</v>
      </c>
      <c r="AV61" s="10">
        <v>198138.57891800001</v>
      </c>
      <c r="AW61" s="10">
        <v>90663.439771999998</v>
      </c>
      <c r="AX61" s="10"/>
      <c r="AY61" s="10">
        <v>0.233512</v>
      </c>
      <c r="AZ61" s="10"/>
      <c r="BA61" s="10"/>
      <c r="BB61" s="10"/>
      <c r="BC61" s="10"/>
      <c r="BD61" s="10"/>
      <c r="BE61" s="10"/>
    </row>
    <row r="62" spans="1:57" x14ac:dyDescent="0.35">
      <c r="A62" s="8">
        <v>46103</v>
      </c>
      <c r="B62" s="9">
        <v>65688399.718469001</v>
      </c>
      <c r="C62" s="10">
        <v>26697638.135536999</v>
      </c>
      <c r="D62" s="10">
        <v>13655204.513912</v>
      </c>
      <c r="E62" s="10">
        <v>4875981.0965099996</v>
      </c>
      <c r="F62" s="10"/>
      <c r="G62" s="10">
        <v>304731.72257300001</v>
      </c>
      <c r="H62" s="10">
        <v>126100.06761899999</v>
      </c>
      <c r="I62" s="10">
        <v>535984.99205600005</v>
      </c>
      <c r="J62" s="10">
        <v>66223.196056000001</v>
      </c>
      <c r="K62" s="10">
        <v>290772.771098</v>
      </c>
      <c r="L62" s="10">
        <v>556806.80721100001</v>
      </c>
      <c r="M62" s="10">
        <v>129644.77361400001</v>
      </c>
      <c r="N62" s="10">
        <v>317640.27342899999</v>
      </c>
      <c r="O62" s="10">
        <v>187134.080502</v>
      </c>
      <c r="P62" s="10">
        <v>253698.495348</v>
      </c>
      <c r="Q62" s="10">
        <v>12818891.999631001</v>
      </c>
      <c r="R62" s="10">
        <v>233662.42940200001</v>
      </c>
      <c r="S62" s="10">
        <v>1528978.676738</v>
      </c>
      <c r="T62" s="10"/>
      <c r="U62" s="10">
        <v>131084.57314600001</v>
      </c>
      <c r="V62" s="10">
        <v>187116.492287</v>
      </c>
      <c r="W62" s="10">
        <v>573299.57583700004</v>
      </c>
      <c r="X62" s="10">
        <v>324130.73543900001</v>
      </c>
      <c r="Y62" s="10">
        <v>122895.801014</v>
      </c>
      <c r="Z62" s="10"/>
      <c r="AA62" s="10"/>
      <c r="AB62" s="10">
        <v>181484.77635299999</v>
      </c>
      <c r="AC62" s="10">
        <v>394078.955777</v>
      </c>
      <c r="AD62" s="10">
        <v>22758.010119999999</v>
      </c>
      <c r="AE62" s="10">
        <v>26312.526085000001</v>
      </c>
      <c r="AF62" s="10">
        <v>58913.370535000002</v>
      </c>
      <c r="AG62" s="10">
        <v>0</v>
      </c>
      <c r="AH62" s="10">
        <v>29567.366429000002</v>
      </c>
      <c r="AI62" s="10">
        <v>45290.74</v>
      </c>
      <c r="AJ62" s="10">
        <v>457.62157200000001</v>
      </c>
      <c r="AK62" s="10">
        <v>7930.4654300000002</v>
      </c>
      <c r="AL62" s="10"/>
      <c r="AM62" s="10">
        <v>312598.90571299999</v>
      </c>
      <c r="AN62" s="10"/>
      <c r="AO62" s="10">
        <v>226608.02223599999</v>
      </c>
      <c r="AP62" s="10"/>
      <c r="AQ62" s="10">
        <v>187538.82627399999</v>
      </c>
      <c r="AR62" s="10"/>
      <c r="AS62" s="10"/>
      <c r="AT62" s="10"/>
      <c r="AU62" s="10">
        <v>56971.679355</v>
      </c>
      <c r="AV62" s="10">
        <v>217608.59897399999</v>
      </c>
      <c r="AW62" s="10">
        <v>2658.6446569999998</v>
      </c>
      <c r="AX62" s="10"/>
      <c r="AY62" s="10">
        <v>0</v>
      </c>
      <c r="AZ62" s="10"/>
      <c r="BA62" s="10"/>
      <c r="BB62" s="10"/>
      <c r="BC62" s="10"/>
      <c r="BD62" s="10"/>
      <c r="BE62" s="10"/>
    </row>
    <row r="63" spans="1:57" x14ac:dyDescent="0.35">
      <c r="A63" s="8">
        <v>46102</v>
      </c>
      <c r="B63" s="9">
        <v>51077478.380745001</v>
      </c>
      <c r="C63" s="10">
        <v>6089750.958257</v>
      </c>
      <c r="D63" s="10">
        <v>9426680.5507619996</v>
      </c>
      <c r="E63" s="10">
        <v>853502.14398399997</v>
      </c>
      <c r="F63" s="10"/>
      <c r="G63" s="10">
        <v>233504.10898399999</v>
      </c>
      <c r="H63" s="10">
        <v>861640.55003699998</v>
      </c>
      <c r="I63" s="10">
        <v>437583.07840300002</v>
      </c>
      <c r="J63" s="10">
        <v>1390.3768729999999</v>
      </c>
      <c r="K63" s="10">
        <v>574905.66845899995</v>
      </c>
      <c r="L63" s="10">
        <v>129579.208529</v>
      </c>
      <c r="M63" s="10">
        <v>61668.216689000001</v>
      </c>
      <c r="N63" s="10">
        <v>12694.781794</v>
      </c>
      <c r="O63" s="10">
        <v>136234.95340200001</v>
      </c>
      <c r="P63" s="10">
        <v>64655.900269999998</v>
      </c>
      <c r="Q63" s="10">
        <v>29636241.547189999</v>
      </c>
      <c r="R63" s="10">
        <v>112420.82227</v>
      </c>
      <c r="S63" s="10">
        <v>311390.295186</v>
      </c>
      <c r="T63" s="10"/>
      <c r="U63" s="10">
        <v>8488.9615990000002</v>
      </c>
      <c r="V63" s="10">
        <v>266084.86313999997</v>
      </c>
      <c r="W63" s="10">
        <v>435137.83471000002</v>
      </c>
      <c r="X63" s="10">
        <v>90777.091153999994</v>
      </c>
      <c r="Y63" s="10">
        <v>15000.497687999999</v>
      </c>
      <c r="Z63" s="10"/>
      <c r="AA63" s="10"/>
      <c r="AB63" s="10">
        <v>10926.72</v>
      </c>
      <c r="AC63" s="10">
        <v>2562.9567740000002</v>
      </c>
      <c r="AD63" s="10">
        <v>7575.027411</v>
      </c>
      <c r="AE63" s="10">
        <v>1065.598825</v>
      </c>
      <c r="AF63" s="10">
        <v>164.94152800000001</v>
      </c>
      <c r="AG63" s="10">
        <v>1235.92499</v>
      </c>
      <c r="AH63" s="10">
        <v>45627.932891999997</v>
      </c>
      <c r="AI63" s="10">
        <v>0</v>
      </c>
      <c r="AJ63" s="10">
        <v>101.88746</v>
      </c>
      <c r="AK63" s="10">
        <v>0</v>
      </c>
      <c r="AL63" s="10"/>
      <c r="AM63" s="10">
        <v>1140234.7746059999</v>
      </c>
      <c r="AN63" s="10"/>
      <c r="AO63" s="10">
        <v>86033.673985999994</v>
      </c>
      <c r="AP63" s="10"/>
      <c r="AQ63" s="10">
        <v>19149.341249000001</v>
      </c>
      <c r="AR63" s="10"/>
      <c r="AS63" s="10"/>
      <c r="AT63" s="10"/>
      <c r="AU63" s="10">
        <v>1192.147524</v>
      </c>
      <c r="AV63" s="10">
        <v>0</v>
      </c>
      <c r="AW63" s="10">
        <v>2275.04412</v>
      </c>
      <c r="AX63" s="10"/>
      <c r="AY63" s="10">
        <v>0</v>
      </c>
      <c r="AZ63" s="10"/>
      <c r="BA63" s="10"/>
      <c r="BB63" s="10"/>
      <c r="BC63" s="10"/>
      <c r="BD63" s="10"/>
      <c r="BE63" s="10"/>
    </row>
    <row r="64" spans="1:57" x14ac:dyDescent="0.35">
      <c r="A64" s="8">
        <v>46101</v>
      </c>
      <c r="B64" s="9">
        <v>129314291.901186</v>
      </c>
      <c r="C64" s="10">
        <v>62411411.516539</v>
      </c>
      <c r="D64" s="10">
        <v>35990880.587765999</v>
      </c>
      <c r="E64" s="10">
        <v>14809946.925138</v>
      </c>
      <c r="F64" s="10"/>
      <c r="G64" s="10">
        <v>824466.90436199994</v>
      </c>
      <c r="H64" s="10">
        <v>60484.913213</v>
      </c>
      <c r="I64" s="10">
        <v>844820.60138000001</v>
      </c>
      <c r="J64" s="10">
        <v>4051351.0597899999</v>
      </c>
      <c r="K64" s="10">
        <v>625965.47939899995</v>
      </c>
      <c r="L64" s="10">
        <v>325464.98348699999</v>
      </c>
      <c r="M64" s="10">
        <v>516351.88673899998</v>
      </c>
      <c r="N64" s="10">
        <v>347096.443272</v>
      </c>
      <c r="O64" s="10">
        <v>662490.94190400001</v>
      </c>
      <c r="P64" s="10">
        <v>847057.90858199995</v>
      </c>
      <c r="Q64" s="10">
        <v>1657547.854202</v>
      </c>
      <c r="R64" s="10">
        <v>704881.47562499996</v>
      </c>
      <c r="S64" s="10">
        <v>738987.69780199998</v>
      </c>
      <c r="T64" s="10"/>
      <c r="U64" s="10">
        <v>409244.1421</v>
      </c>
      <c r="V64" s="10">
        <v>430102.16061700002</v>
      </c>
      <c r="W64" s="10">
        <v>848650.77074499999</v>
      </c>
      <c r="X64" s="10">
        <v>458781.19362799998</v>
      </c>
      <c r="Y64" s="10">
        <v>71604.181626000005</v>
      </c>
      <c r="Z64" s="10"/>
      <c r="AA64" s="10"/>
      <c r="AB64" s="10">
        <v>164071.346548</v>
      </c>
      <c r="AC64" s="10">
        <v>228189.61215999999</v>
      </c>
      <c r="AD64" s="10">
        <v>59576.528427999998</v>
      </c>
      <c r="AE64" s="10">
        <v>290321.392146</v>
      </c>
      <c r="AF64" s="10">
        <v>171184.365663</v>
      </c>
      <c r="AG64" s="10">
        <v>58573.873947</v>
      </c>
      <c r="AH64" s="10">
        <v>75088.312741999995</v>
      </c>
      <c r="AI64" s="10">
        <v>34816.716731</v>
      </c>
      <c r="AJ64" s="10">
        <v>35911.316705999998</v>
      </c>
      <c r="AK64" s="10">
        <v>56560.037665000003</v>
      </c>
      <c r="AL64" s="10"/>
      <c r="AM64" s="10">
        <v>160817.062852</v>
      </c>
      <c r="AN64" s="10"/>
      <c r="AO64" s="10">
        <v>228577.99162300001</v>
      </c>
      <c r="AP64" s="10"/>
      <c r="AQ64" s="10">
        <v>41879.054562999998</v>
      </c>
      <c r="AR64" s="10"/>
      <c r="AS64" s="10"/>
      <c r="AT64" s="10"/>
      <c r="AU64" s="10">
        <v>19940.186548999998</v>
      </c>
      <c r="AV64" s="10">
        <v>20189.140675999999</v>
      </c>
      <c r="AW64" s="10">
        <v>31005.334271</v>
      </c>
      <c r="AX64" s="10"/>
      <c r="AY64" s="10">
        <v>0</v>
      </c>
      <c r="AZ64" s="10"/>
      <c r="BA64" s="10"/>
      <c r="BB64" s="10"/>
      <c r="BC64" s="10"/>
      <c r="BD64" s="10"/>
      <c r="BE64" s="10"/>
    </row>
    <row r="65" spans="1:57" x14ac:dyDescent="0.35">
      <c r="A65" s="8">
        <v>46100</v>
      </c>
      <c r="B65" s="9">
        <v>195679481.55240199</v>
      </c>
      <c r="C65" s="10">
        <v>100591035.172635</v>
      </c>
      <c r="D65" s="10">
        <v>46273613.803654</v>
      </c>
      <c r="E65" s="10">
        <v>31178589.933867</v>
      </c>
      <c r="F65" s="10"/>
      <c r="G65" s="10">
        <v>1213879.0330999999</v>
      </c>
      <c r="H65" s="10">
        <v>58371.335902999999</v>
      </c>
      <c r="I65" s="10">
        <v>1180729.022475</v>
      </c>
      <c r="J65" s="10">
        <v>1359317.2859360001</v>
      </c>
      <c r="K65" s="10">
        <v>1788533.325771</v>
      </c>
      <c r="L65" s="10">
        <v>255126.90538700001</v>
      </c>
      <c r="M65" s="10">
        <v>427625.13431300002</v>
      </c>
      <c r="N65" s="10">
        <v>1928895.187988</v>
      </c>
      <c r="O65" s="10">
        <v>324619.31494499999</v>
      </c>
      <c r="P65" s="10">
        <v>516523.43591599999</v>
      </c>
      <c r="Q65" s="10">
        <v>116989.848337</v>
      </c>
      <c r="R65" s="10">
        <v>1938052.222239</v>
      </c>
      <c r="S65" s="10">
        <v>1138523.132424</v>
      </c>
      <c r="T65" s="10"/>
      <c r="U65" s="10">
        <v>524897.95390900003</v>
      </c>
      <c r="V65" s="10">
        <v>608977.250612</v>
      </c>
      <c r="W65" s="10">
        <v>508265.79158700001</v>
      </c>
      <c r="X65" s="10">
        <v>620199.04630199994</v>
      </c>
      <c r="Y65" s="10">
        <v>175516.621438</v>
      </c>
      <c r="Z65" s="10"/>
      <c r="AA65" s="10"/>
      <c r="AB65" s="10">
        <v>72412.343116000004</v>
      </c>
      <c r="AC65" s="10">
        <v>367499.45120200003</v>
      </c>
      <c r="AD65" s="10">
        <v>14979.847598</v>
      </c>
      <c r="AE65" s="10">
        <v>249938.62436300001</v>
      </c>
      <c r="AF65" s="10">
        <v>42923.754948000002</v>
      </c>
      <c r="AG65" s="10">
        <v>415221.12333199999</v>
      </c>
      <c r="AH65" s="10">
        <v>38818.456803000001</v>
      </c>
      <c r="AI65" s="10">
        <v>411981.54803800001</v>
      </c>
      <c r="AJ65" s="10">
        <v>371117.98558400001</v>
      </c>
      <c r="AK65" s="10">
        <v>124640.68588600001</v>
      </c>
      <c r="AL65" s="10"/>
      <c r="AM65" s="10">
        <v>261058.491327</v>
      </c>
      <c r="AN65" s="10"/>
      <c r="AO65" s="10">
        <v>418486.85295199999</v>
      </c>
      <c r="AP65" s="10"/>
      <c r="AQ65" s="10">
        <v>17245.358165000001</v>
      </c>
      <c r="AR65" s="10"/>
      <c r="AS65" s="10"/>
      <c r="AT65" s="10"/>
      <c r="AU65" s="10">
        <v>75795.189559999999</v>
      </c>
      <c r="AV65" s="10">
        <v>6377.6046299999998</v>
      </c>
      <c r="AW65" s="10">
        <v>55988.500085</v>
      </c>
      <c r="AX65" s="10"/>
      <c r="AY65" s="10">
        <v>6714.9760749999996</v>
      </c>
      <c r="AZ65" s="10"/>
      <c r="BA65" s="10"/>
      <c r="BB65" s="10"/>
      <c r="BC65" s="10"/>
      <c r="BD65" s="10"/>
      <c r="BE65" s="10"/>
    </row>
    <row r="66" spans="1:57" x14ac:dyDescent="0.35">
      <c r="A66" s="8">
        <v>46099</v>
      </c>
      <c r="B66" s="9">
        <v>119417070.076258</v>
      </c>
      <c r="C66" s="10">
        <v>56154011.375045002</v>
      </c>
      <c r="D66" s="10">
        <v>30738155.020534001</v>
      </c>
      <c r="E66" s="10">
        <v>12936884.342422999</v>
      </c>
      <c r="F66" s="10"/>
      <c r="G66" s="10">
        <v>534568.58765</v>
      </c>
      <c r="H66" s="10">
        <v>88484.554602999997</v>
      </c>
      <c r="I66" s="10">
        <v>740659.26858599996</v>
      </c>
      <c r="J66" s="10">
        <v>487839.91818500002</v>
      </c>
      <c r="K66" s="10">
        <v>1170700.004623</v>
      </c>
      <c r="L66" s="10">
        <v>269398.09850099997</v>
      </c>
      <c r="M66" s="10">
        <v>99154.395248000001</v>
      </c>
      <c r="N66" s="10">
        <v>7227220.4137279997</v>
      </c>
      <c r="O66" s="10">
        <v>708527.14063899999</v>
      </c>
      <c r="P66" s="10">
        <v>1254465.7271749999</v>
      </c>
      <c r="Q66" s="10">
        <v>140590.40401599999</v>
      </c>
      <c r="R66" s="10">
        <v>1405405.1975380001</v>
      </c>
      <c r="S66" s="10">
        <v>704363.55497499998</v>
      </c>
      <c r="T66" s="10"/>
      <c r="U66" s="10">
        <v>315097.19849099999</v>
      </c>
      <c r="V66" s="10">
        <v>490712.483137</v>
      </c>
      <c r="W66" s="10">
        <v>441139.54343899997</v>
      </c>
      <c r="X66" s="10">
        <v>125604.93158400001</v>
      </c>
      <c r="Y66" s="10">
        <v>259509.45488400001</v>
      </c>
      <c r="Z66" s="10"/>
      <c r="AA66" s="10"/>
      <c r="AB66" s="10">
        <v>144220.58064</v>
      </c>
      <c r="AC66" s="10">
        <v>401357.52540699998</v>
      </c>
      <c r="AD66" s="10">
        <v>78498.628897999995</v>
      </c>
      <c r="AE66" s="10">
        <v>207464.62400000001</v>
      </c>
      <c r="AF66" s="10">
        <v>132803.690795</v>
      </c>
      <c r="AG66" s="10">
        <v>362831.73072699999</v>
      </c>
      <c r="AH66" s="10">
        <v>176489.03152700001</v>
      </c>
      <c r="AI66" s="10">
        <v>321795.445435</v>
      </c>
      <c r="AJ66" s="10">
        <v>273581.72158200003</v>
      </c>
      <c r="AK66" s="10">
        <v>238465.94825300001</v>
      </c>
      <c r="AL66" s="10"/>
      <c r="AM66" s="10">
        <v>197664.66488900001</v>
      </c>
      <c r="AN66" s="10"/>
      <c r="AO66" s="10">
        <v>362610.86668699997</v>
      </c>
      <c r="AP66" s="10"/>
      <c r="AQ66" s="10">
        <v>48822.416678000001</v>
      </c>
      <c r="AR66" s="10"/>
      <c r="AS66" s="10"/>
      <c r="AT66" s="10"/>
      <c r="AU66" s="10">
        <v>72281.306356000001</v>
      </c>
      <c r="AV66" s="10">
        <v>20265.295328</v>
      </c>
      <c r="AW66" s="10">
        <v>81363.802737999998</v>
      </c>
      <c r="AX66" s="10"/>
      <c r="AY66" s="10">
        <v>4061.1813139999999</v>
      </c>
      <c r="AZ66" s="10"/>
      <c r="BA66" s="10"/>
      <c r="BB66" s="10"/>
      <c r="BC66" s="10"/>
      <c r="BD66" s="10"/>
      <c r="BE66" s="10"/>
    </row>
    <row r="67" spans="1:57" x14ac:dyDescent="0.35">
      <c r="A67" s="8">
        <v>46098</v>
      </c>
      <c r="B67" s="9">
        <v>45210807.607386999</v>
      </c>
      <c r="C67" s="10">
        <v>19634178.316705</v>
      </c>
      <c r="D67" s="10">
        <v>8497644.0784789994</v>
      </c>
      <c r="E67" s="10">
        <v>7176849.4403060004</v>
      </c>
      <c r="F67" s="10"/>
      <c r="G67" s="10">
        <v>596736.219484</v>
      </c>
      <c r="H67" s="10">
        <v>22654.086435000001</v>
      </c>
      <c r="I67" s="10">
        <v>1232230.2763350001</v>
      </c>
      <c r="J67" s="10">
        <v>1000390.321109</v>
      </c>
      <c r="K67" s="10">
        <v>483642.73390300001</v>
      </c>
      <c r="L67" s="10">
        <v>165907.66028400001</v>
      </c>
      <c r="M67" s="10">
        <v>18904.472744999999</v>
      </c>
      <c r="N67" s="10">
        <v>246451.633122</v>
      </c>
      <c r="O67" s="10">
        <v>899696.52631600003</v>
      </c>
      <c r="P67" s="10">
        <v>363319.69751899998</v>
      </c>
      <c r="Q67" s="10">
        <v>86793.203510000007</v>
      </c>
      <c r="R67" s="10">
        <v>345400.44688499998</v>
      </c>
      <c r="S67" s="10">
        <v>118127.014589</v>
      </c>
      <c r="T67" s="10"/>
      <c r="U67" s="10">
        <v>473375.10933299997</v>
      </c>
      <c r="V67" s="10">
        <v>317141.18524600001</v>
      </c>
      <c r="W67" s="10">
        <v>585342.721808</v>
      </c>
      <c r="X67" s="10">
        <v>185563.08076700001</v>
      </c>
      <c r="Y67" s="10">
        <v>96252.697480999996</v>
      </c>
      <c r="Z67" s="10"/>
      <c r="AA67" s="10"/>
      <c r="AB67" s="10">
        <v>61043.115849000002</v>
      </c>
      <c r="AC67" s="10">
        <v>281140.30258299998</v>
      </c>
      <c r="AD67" s="10">
        <v>20369.123952999998</v>
      </c>
      <c r="AE67" s="10">
        <v>539004.46811599995</v>
      </c>
      <c r="AF67" s="10">
        <v>71785.261559999999</v>
      </c>
      <c r="AG67" s="10">
        <v>141700.030658</v>
      </c>
      <c r="AH67" s="10">
        <v>369765.63025599997</v>
      </c>
      <c r="AI67" s="10">
        <v>385394.76018899999</v>
      </c>
      <c r="AJ67" s="10">
        <v>170164.683754</v>
      </c>
      <c r="AK67" s="10">
        <v>132362.48538599999</v>
      </c>
      <c r="AL67" s="10"/>
      <c r="AM67" s="10">
        <v>88201.512959</v>
      </c>
      <c r="AN67" s="10"/>
      <c r="AO67" s="10">
        <v>272189.721976</v>
      </c>
      <c r="AP67" s="10"/>
      <c r="AQ67" s="10">
        <v>69900.580979000006</v>
      </c>
      <c r="AR67" s="10"/>
      <c r="AS67" s="10"/>
      <c r="AT67" s="10"/>
      <c r="AU67" s="10">
        <v>45105.703207999999</v>
      </c>
      <c r="AV67" s="10">
        <v>5181.9003720000001</v>
      </c>
      <c r="AW67" s="10">
        <v>10548.599074</v>
      </c>
      <c r="AX67" s="10"/>
      <c r="AY67" s="10">
        <v>348.80415399999998</v>
      </c>
      <c r="AZ67" s="10"/>
      <c r="BA67" s="10"/>
      <c r="BB67" s="10"/>
      <c r="BC67" s="10"/>
      <c r="BD67" s="10"/>
      <c r="BE6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I24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12" customWidth="1"/>
    <col min="2" max="2" width="18" customWidth="1"/>
    <col min="3" max="113" width="14" customWidth="1"/>
  </cols>
  <sheetData>
    <row r="1" spans="1:113" x14ac:dyDescent="0.35">
      <c r="A1" s="1" t="s">
        <v>0</v>
      </c>
      <c r="C1" s="2" t="s">
        <v>1</v>
      </c>
      <c r="D1" s="2" t="s">
        <v>1</v>
      </c>
      <c r="E1" s="4" t="s">
        <v>3</v>
      </c>
      <c r="F1" s="2" t="s">
        <v>1</v>
      </c>
      <c r="G1" s="4" t="s">
        <v>3</v>
      </c>
      <c r="H1" s="2" t="s">
        <v>1</v>
      </c>
      <c r="I1" s="3" t="s">
        <v>2</v>
      </c>
      <c r="J1" s="3" t="s">
        <v>2</v>
      </c>
      <c r="K1" s="3" t="s">
        <v>2</v>
      </c>
      <c r="L1" s="3" t="s">
        <v>2</v>
      </c>
      <c r="M1" s="3" t="s">
        <v>2</v>
      </c>
      <c r="N1" s="3" t="s">
        <v>2</v>
      </c>
      <c r="O1" s="2" t="s">
        <v>1</v>
      </c>
      <c r="P1" s="5" t="s">
        <v>4</v>
      </c>
      <c r="Q1" s="3" t="s">
        <v>2</v>
      </c>
      <c r="R1" s="2" t="s">
        <v>1</v>
      </c>
      <c r="S1" s="3" t="s">
        <v>2</v>
      </c>
      <c r="T1" s="3" t="s">
        <v>2</v>
      </c>
      <c r="U1" s="3" t="s">
        <v>2</v>
      </c>
      <c r="V1" s="4" t="s">
        <v>3</v>
      </c>
      <c r="W1" s="3" t="s">
        <v>2</v>
      </c>
      <c r="X1" s="4" t="s">
        <v>3</v>
      </c>
      <c r="Y1" s="3" t="s">
        <v>2</v>
      </c>
      <c r="Z1" s="3" t="s">
        <v>2</v>
      </c>
      <c r="AA1" s="2" t="s">
        <v>1</v>
      </c>
      <c r="AB1" s="3" t="s">
        <v>2</v>
      </c>
      <c r="AC1" s="3" t="s">
        <v>2</v>
      </c>
      <c r="AD1" s="5" t="s">
        <v>4</v>
      </c>
      <c r="AE1" s="6" t="s">
        <v>5</v>
      </c>
      <c r="AF1" s="3" t="s">
        <v>2</v>
      </c>
      <c r="AG1" s="6" t="s">
        <v>5</v>
      </c>
      <c r="AH1" s="3" t="s">
        <v>2</v>
      </c>
      <c r="AI1" s="3" t="s">
        <v>2</v>
      </c>
      <c r="AJ1" s="4" t="s">
        <v>3</v>
      </c>
      <c r="AK1" s="2" t="s">
        <v>1</v>
      </c>
      <c r="AL1" s="3" t="s">
        <v>2</v>
      </c>
      <c r="AM1" s="3" t="s">
        <v>2</v>
      </c>
      <c r="AN1" s="3" t="s">
        <v>2</v>
      </c>
      <c r="AO1" s="3" t="s">
        <v>2</v>
      </c>
      <c r="AP1" s="3" t="s">
        <v>2</v>
      </c>
      <c r="AQ1" s="3" t="s">
        <v>2</v>
      </c>
      <c r="AR1" s="3" t="s">
        <v>2</v>
      </c>
      <c r="AS1" s="4" t="s">
        <v>3</v>
      </c>
      <c r="AT1" s="3" t="s">
        <v>2</v>
      </c>
      <c r="AU1" s="3" t="s">
        <v>2</v>
      </c>
      <c r="AV1" s="3" t="s">
        <v>2</v>
      </c>
      <c r="AW1" s="12" t="s">
        <v>248</v>
      </c>
      <c r="AX1" s="3" t="s">
        <v>2</v>
      </c>
      <c r="AY1" s="3" t="s">
        <v>2</v>
      </c>
      <c r="AZ1" s="3" t="s">
        <v>2</v>
      </c>
      <c r="BA1" s="12" t="s">
        <v>248</v>
      </c>
      <c r="BB1" s="4" t="s">
        <v>3</v>
      </c>
      <c r="BC1" s="3" t="s">
        <v>2</v>
      </c>
      <c r="BD1" s="3" t="s">
        <v>2</v>
      </c>
      <c r="BE1" s="4" t="s">
        <v>3</v>
      </c>
      <c r="BF1" s="2" t="s">
        <v>1</v>
      </c>
      <c r="BG1" s="5" t="s">
        <v>4</v>
      </c>
      <c r="BH1" s="3" t="s">
        <v>2</v>
      </c>
      <c r="BI1" s="3" t="s">
        <v>2</v>
      </c>
      <c r="BJ1" s="4" t="s">
        <v>3</v>
      </c>
      <c r="BK1" s="5" t="s">
        <v>4</v>
      </c>
      <c r="BL1" s="5" t="s">
        <v>4</v>
      </c>
      <c r="BM1" s="3" t="s">
        <v>2</v>
      </c>
      <c r="BN1" s="2" t="s">
        <v>1</v>
      </c>
      <c r="BO1" s="4" t="s">
        <v>3</v>
      </c>
      <c r="BP1" s="4" t="s">
        <v>3</v>
      </c>
      <c r="BQ1" s="4" t="s">
        <v>3</v>
      </c>
      <c r="BR1" s="4" t="s">
        <v>3</v>
      </c>
      <c r="BS1" s="3" t="s">
        <v>2</v>
      </c>
      <c r="BT1" s="3" t="s">
        <v>2</v>
      </c>
      <c r="BU1" s="4" t="s">
        <v>3</v>
      </c>
      <c r="BV1" s="4" t="s">
        <v>3</v>
      </c>
      <c r="BW1" s="3" t="s">
        <v>2</v>
      </c>
      <c r="BX1" s="2" t="s">
        <v>1</v>
      </c>
      <c r="BY1" s="4" t="s">
        <v>3</v>
      </c>
      <c r="BZ1" s="3" t="s">
        <v>2</v>
      </c>
      <c r="CA1" s="4" t="s">
        <v>3</v>
      </c>
      <c r="CB1" s="4" t="s">
        <v>3</v>
      </c>
      <c r="CC1" s="4" t="s">
        <v>3</v>
      </c>
      <c r="CD1" s="3" t="s">
        <v>2</v>
      </c>
      <c r="CE1" s="3" t="s">
        <v>2</v>
      </c>
      <c r="CF1" s="4" t="s">
        <v>3</v>
      </c>
      <c r="CG1" s="3" t="s">
        <v>2</v>
      </c>
      <c r="CH1" s="2" t="s">
        <v>1</v>
      </c>
      <c r="CI1" s="3" t="s">
        <v>2</v>
      </c>
      <c r="CJ1" s="12" t="s">
        <v>248</v>
      </c>
      <c r="CK1" s="4" t="s">
        <v>3</v>
      </c>
      <c r="CL1" s="4" t="s">
        <v>3</v>
      </c>
      <c r="CM1" s="3" t="s">
        <v>2</v>
      </c>
      <c r="CN1" s="3" t="s">
        <v>2</v>
      </c>
      <c r="CO1" s="6" t="s">
        <v>5</v>
      </c>
      <c r="CP1" s="3" t="s">
        <v>2</v>
      </c>
      <c r="CQ1" s="3" t="s">
        <v>2</v>
      </c>
      <c r="CR1" s="5" t="s">
        <v>4</v>
      </c>
      <c r="CS1" s="2" t="s">
        <v>1</v>
      </c>
      <c r="CT1" s="4" t="s">
        <v>3</v>
      </c>
      <c r="CU1" s="4" t="s">
        <v>3</v>
      </c>
      <c r="CV1" s="4" t="s">
        <v>3</v>
      </c>
      <c r="CW1" s="2" t="s">
        <v>1</v>
      </c>
      <c r="CX1" s="6" t="s">
        <v>5</v>
      </c>
      <c r="CY1" s="2" t="s">
        <v>1</v>
      </c>
      <c r="CZ1" s="4" t="s">
        <v>3</v>
      </c>
      <c r="DA1" s="3" t="s">
        <v>2</v>
      </c>
      <c r="DB1" s="2" t="s">
        <v>1</v>
      </c>
      <c r="DC1" s="3" t="s">
        <v>2</v>
      </c>
      <c r="DD1" s="12" t="s">
        <v>248</v>
      </c>
      <c r="DE1" s="2" t="s">
        <v>1</v>
      </c>
      <c r="DF1" s="3" t="s">
        <v>2</v>
      </c>
      <c r="DG1" s="4" t="s">
        <v>3</v>
      </c>
      <c r="DH1" s="2" t="s">
        <v>1</v>
      </c>
      <c r="DI1" s="6" t="s">
        <v>5</v>
      </c>
    </row>
    <row r="2" spans="1:113" x14ac:dyDescent="0.35">
      <c r="A2" s="7" t="s">
        <v>6</v>
      </c>
      <c r="B2" s="7" t="s">
        <v>7</v>
      </c>
      <c r="C2" s="7" t="s">
        <v>264</v>
      </c>
      <c r="D2" s="7" t="s">
        <v>265</v>
      </c>
      <c r="E2" s="7" t="s">
        <v>266</v>
      </c>
      <c r="F2" s="7" t="s">
        <v>249</v>
      </c>
      <c r="G2" s="7" t="s">
        <v>267</v>
      </c>
      <c r="H2" s="7" t="s">
        <v>268</v>
      </c>
      <c r="I2" s="7" t="s">
        <v>14</v>
      </c>
      <c r="J2" s="7" t="s">
        <v>16</v>
      </c>
      <c r="K2" s="7" t="s">
        <v>15</v>
      </c>
      <c r="L2" s="7" t="s">
        <v>13</v>
      </c>
      <c r="M2" s="7" t="s">
        <v>18</v>
      </c>
      <c r="N2" s="7" t="s">
        <v>12</v>
      </c>
      <c r="O2" s="7" t="s">
        <v>269</v>
      </c>
      <c r="P2" s="7" t="s">
        <v>270</v>
      </c>
      <c r="Q2" s="7" t="s">
        <v>27</v>
      </c>
      <c r="R2" s="7" t="s">
        <v>22</v>
      </c>
      <c r="S2" s="7" t="s">
        <v>43</v>
      </c>
      <c r="T2" s="7" t="s">
        <v>21</v>
      </c>
      <c r="U2" s="7" t="s">
        <v>17</v>
      </c>
      <c r="V2" s="7" t="s">
        <v>271</v>
      </c>
      <c r="W2" s="7" t="s">
        <v>19</v>
      </c>
      <c r="X2" s="7" t="s">
        <v>20</v>
      </c>
      <c r="Y2" s="7" t="s">
        <v>25</v>
      </c>
      <c r="Z2" s="7" t="s">
        <v>29</v>
      </c>
      <c r="AA2" s="7" t="s">
        <v>272</v>
      </c>
      <c r="AB2" s="7" t="s">
        <v>39</v>
      </c>
      <c r="AC2" s="7" t="s">
        <v>26</v>
      </c>
      <c r="AD2" s="7" t="s">
        <v>35</v>
      </c>
      <c r="AE2" s="7" t="s">
        <v>157</v>
      </c>
      <c r="AF2" s="7" t="s">
        <v>32</v>
      </c>
      <c r="AG2" s="7" t="s">
        <v>193</v>
      </c>
      <c r="AH2" s="7" t="s">
        <v>31</v>
      </c>
      <c r="AI2" s="7" t="s">
        <v>23</v>
      </c>
      <c r="AJ2" s="7" t="s">
        <v>46</v>
      </c>
      <c r="AK2" s="7" t="s">
        <v>273</v>
      </c>
      <c r="AL2" s="7" t="s">
        <v>67</v>
      </c>
      <c r="AM2" s="7" t="s">
        <v>274</v>
      </c>
      <c r="AN2" s="7" t="s">
        <v>37</v>
      </c>
      <c r="AO2" s="7" t="s">
        <v>41</v>
      </c>
      <c r="AP2" s="7" t="s">
        <v>241</v>
      </c>
      <c r="AQ2" s="7" t="s">
        <v>50</v>
      </c>
      <c r="AR2" s="7" t="s">
        <v>275</v>
      </c>
      <c r="AS2" s="7" t="s">
        <v>276</v>
      </c>
      <c r="AT2" s="7" t="s">
        <v>49</v>
      </c>
      <c r="AU2" s="7" t="s">
        <v>45</v>
      </c>
      <c r="AV2" s="7" t="s">
        <v>44</v>
      </c>
      <c r="AW2" s="7" t="s">
        <v>277</v>
      </c>
      <c r="AX2" s="7" t="s">
        <v>228</v>
      </c>
      <c r="AY2" s="7" t="s">
        <v>66</v>
      </c>
      <c r="AZ2" s="7" t="s">
        <v>278</v>
      </c>
      <c r="BA2" s="7" t="s">
        <v>279</v>
      </c>
      <c r="BB2" s="7" t="s">
        <v>203</v>
      </c>
      <c r="BC2" s="7" t="s">
        <v>250</v>
      </c>
      <c r="BD2" s="7" t="s">
        <v>76</v>
      </c>
      <c r="BE2" s="7" t="s">
        <v>55</v>
      </c>
      <c r="BF2" s="7" t="s">
        <v>280</v>
      </c>
      <c r="BG2" s="7" t="s">
        <v>63</v>
      </c>
      <c r="BH2" s="7" t="s">
        <v>48</v>
      </c>
      <c r="BI2" s="7" t="s">
        <v>89</v>
      </c>
      <c r="BJ2" s="7" t="s">
        <v>281</v>
      </c>
      <c r="BK2" s="7" t="s">
        <v>202</v>
      </c>
      <c r="BL2" s="7" t="s">
        <v>62</v>
      </c>
      <c r="BM2" s="7" t="s">
        <v>207</v>
      </c>
      <c r="BN2" s="7" t="s">
        <v>260</v>
      </c>
      <c r="BO2" s="7" t="s">
        <v>282</v>
      </c>
      <c r="BP2" s="7" t="s">
        <v>283</v>
      </c>
      <c r="BQ2" s="7" t="s">
        <v>284</v>
      </c>
      <c r="BR2" s="7" t="s">
        <v>285</v>
      </c>
      <c r="BS2" s="7" t="s">
        <v>93</v>
      </c>
      <c r="BT2" s="7" t="s">
        <v>127</v>
      </c>
      <c r="BU2" s="7" t="s">
        <v>286</v>
      </c>
      <c r="BV2" s="7" t="s">
        <v>287</v>
      </c>
      <c r="BW2" s="7" t="s">
        <v>163</v>
      </c>
      <c r="BX2" s="7" t="s">
        <v>97</v>
      </c>
      <c r="BY2" s="7" t="s">
        <v>116</v>
      </c>
      <c r="BZ2" s="7" t="s">
        <v>74</v>
      </c>
      <c r="CA2" s="7" t="s">
        <v>288</v>
      </c>
      <c r="CB2" s="7" t="s">
        <v>289</v>
      </c>
      <c r="CC2" s="7" t="s">
        <v>290</v>
      </c>
      <c r="CD2" s="7" t="s">
        <v>291</v>
      </c>
      <c r="CE2" s="7" t="s">
        <v>292</v>
      </c>
      <c r="CF2" s="7" t="s">
        <v>293</v>
      </c>
      <c r="CG2" s="7" t="s">
        <v>294</v>
      </c>
      <c r="CH2" s="7" t="s">
        <v>295</v>
      </c>
      <c r="CI2" s="7" t="s">
        <v>64</v>
      </c>
      <c r="CJ2" s="7" t="s">
        <v>296</v>
      </c>
      <c r="CK2" s="7" t="s">
        <v>297</v>
      </c>
      <c r="CL2" s="7" t="s">
        <v>88</v>
      </c>
      <c r="CM2" s="7" t="s">
        <v>298</v>
      </c>
      <c r="CN2" s="7" t="s">
        <v>299</v>
      </c>
      <c r="CO2" s="7" t="s">
        <v>188</v>
      </c>
      <c r="CP2" s="7" t="s">
        <v>106</v>
      </c>
      <c r="CQ2" s="7" t="s">
        <v>300</v>
      </c>
      <c r="CR2" s="7" t="s">
        <v>147</v>
      </c>
      <c r="CS2" s="7" t="s">
        <v>301</v>
      </c>
      <c r="CT2" s="7" t="s">
        <v>302</v>
      </c>
      <c r="CU2" s="7" t="s">
        <v>303</v>
      </c>
      <c r="CV2" s="7" t="s">
        <v>113</v>
      </c>
      <c r="CW2" s="7" t="s">
        <v>304</v>
      </c>
      <c r="CX2" s="7" t="s">
        <v>305</v>
      </c>
      <c r="CY2" s="7" t="s">
        <v>306</v>
      </c>
      <c r="CZ2" s="7" t="s">
        <v>307</v>
      </c>
      <c r="DA2" s="7" t="s">
        <v>308</v>
      </c>
      <c r="DB2" s="7" t="s">
        <v>309</v>
      </c>
      <c r="DC2" s="7" t="s">
        <v>187</v>
      </c>
      <c r="DD2" s="7" t="s">
        <v>310</v>
      </c>
      <c r="DE2" s="7" t="s">
        <v>311</v>
      </c>
      <c r="DF2" s="7" t="s">
        <v>312</v>
      </c>
      <c r="DG2" s="7" t="s">
        <v>313</v>
      </c>
      <c r="DH2" s="7" t="s">
        <v>314</v>
      </c>
      <c r="DI2" s="7" t="s">
        <v>315</v>
      </c>
    </row>
    <row r="3" spans="1:113" x14ac:dyDescent="0.35">
      <c r="A3" s="8">
        <v>46187</v>
      </c>
      <c r="B3" s="9">
        <v>1139462150.51648</v>
      </c>
      <c r="C3" s="10">
        <v>246493697.84130701</v>
      </c>
      <c r="D3" s="10">
        <v>59241142.802869998</v>
      </c>
      <c r="E3" s="10">
        <v>191721326.01539999</v>
      </c>
      <c r="F3" s="10">
        <v>184115069.64601001</v>
      </c>
      <c r="G3" s="10">
        <v>153261360.87619999</v>
      </c>
      <c r="H3" s="10">
        <v>31435622.41635</v>
      </c>
      <c r="I3" s="10">
        <v>33319532.9034</v>
      </c>
      <c r="J3" s="10">
        <v>10570477.172420001</v>
      </c>
      <c r="K3" s="10">
        <v>17042164.413899999</v>
      </c>
      <c r="L3" s="10">
        <v>4835030.8351299996</v>
      </c>
      <c r="M3" s="10">
        <v>19351427.006299999</v>
      </c>
      <c r="N3" s="10">
        <v>6907829.9360840004</v>
      </c>
      <c r="O3" s="10">
        <v>2510154.3391689998</v>
      </c>
      <c r="P3" s="10">
        <v>44072309.449000001</v>
      </c>
      <c r="Q3" s="10">
        <v>3654642.5972000002</v>
      </c>
      <c r="R3" s="10">
        <v>1155120.2134700001</v>
      </c>
      <c r="S3" s="10">
        <v>11321166.6151</v>
      </c>
      <c r="T3" s="10">
        <v>1702736.039317</v>
      </c>
      <c r="U3" s="10">
        <v>5052537.2497699996</v>
      </c>
      <c r="V3" s="10">
        <v>37659822.9586</v>
      </c>
      <c r="W3" s="10">
        <v>1296891.2683699999</v>
      </c>
      <c r="X3" s="10">
        <v>9738441.8354100008</v>
      </c>
      <c r="Y3" s="10">
        <v>1310152.6908</v>
      </c>
      <c r="Z3" s="10">
        <v>4564409.0839999998</v>
      </c>
      <c r="AA3" s="10">
        <v>568440.70368000004</v>
      </c>
      <c r="AB3" s="10">
        <v>3239771.01015</v>
      </c>
      <c r="AC3" s="10">
        <v>2332424.4431500002</v>
      </c>
      <c r="AD3" s="10">
        <v>970284.62399999995</v>
      </c>
      <c r="AE3" s="10">
        <v>1333467.9044900001</v>
      </c>
      <c r="AF3" s="10">
        <v>2443918.3968699998</v>
      </c>
      <c r="AG3" s="10">
        <v>2307094.4632000001</v>
      </c>
      <c r="AH3" s="10">
        <v>2011160.6418999999</v>
      </c>
      <c r="AI3" s="10">
        <v>1513377.0000799999</v>
      </c>
      <c r="AJ3" s="10">
        <v>11900178.7947</v>
      </c>
      <c r="AK3" s="10">
        <v>289884.85776799999</v>
      </c>
      <c r="AL3" s="10">
        <v>3672593.1206999999</v>
      </c>
      <c r="AM3" s="10">
        <v>6419607.9203399997</v>
      </c>
      <c r="AN3" s="10">
        <v>1417435.78382</v>
      </c>
      <c r="AO3" s="10">
        <v>759467.82735000004</v>
      </c>
      <c r="AP3" s="10">
        <v>581756.94290000002</v>
      </c>
      <c r="AQ3" s="10">
        <v>276771.323424</v>
      </c>
      <c r="AR3" s="10">
        <v>319958.61810999998</v>
      </c>
      <c r="AS3" s="10">
        <v>13889.014738</v>
      </c>
      <c r="AT3" s="10">
        <v>2094916.12023</v>
      </c>
      <c r="AU3" s="10">
        <v>1678529.5612000001</v>
      </c>
      <c r="AV3" s="10">
        <v>1086092.6266999999</v>
      </c>
      <c r="AW3" s="10">
        <v>1259024.6694</v>
      </c>
      <c r="AX3" s="10">
        <v>91701.678839999993</v>
      </c>
      <c r="AY3" s="10">
        <v>730290.47432000004</v>
      </c>
      <c r="AZ3" s="10">
        <v>132129.16438999999</v>
      </c>
      <c r="BA3" s="10">
        <v>335</v>
      </c>
      <c r="BB3" s="10">
        <v>8564.5071499999995</v>
      </c>
      <c r="BC3" s="10">
        <v>197658.42232000001</v>
      </c>
      <c r="BD3" s="10">
        <v>271476.35547000001</v>
      </c>
      <c r="BE3" s="10">
        <v>241550.81726000001</v>
      </c>
      <c r="BF3" s="10">
        <v>41737.040119999998</v>
      </c>
      <c r="BG3" s="10">
        <v>96475.029399999999</v>
      </c>
      <c r="BH3" s="10">
        <v>570845.28529999999</v>
      </c>
      <c r="BI3" s="10">
        <v>279546.66110000003</v>
      </c>
      <c r="BJ3" s="10">
        <v>7284.2591400000001</v>
      </c>
      <c r="BK3" s="10">
        <v>0</v>
      </c>
      <c r="BL3" s="10">
        <v>424679.20260000002</v>
      </c>
      <c r="BM3" s="10">
        <v>10511.733679999999</v>
      </c>
      <c r="BN3" s="10">
        <v>47786.790800000002</v>
      </c>
      <c r="BO3" s="10">
        <v>2621.6253999999999</v>
      </c>
      <c r="BP3" s="10">
        <v>202725.18518999999</v>
      </c>
      <c r="BQ3" s="10">
        <v>415.50972000000002</v>
      </c>
      <c r="BR3" s="10">
        <v>25219.893080000002</v>
      </c>
      <c r="BS3" s="10">
        <v>5770.4970869999997</v>
      </c>
      <c r="BT3" s="10">
        <v>257302.64629999999</v>
      </c>
      <c r="BU3" s="10">
        <v>6192.8693700000003</v>
      </c>
      <c r="BV3" s="10">
        <v>1682.30205</v>
      </c>
      <c r="BW3" s="10">
        <v>496467.81050000002</v>
      </c>
      <c r="BX3" s="10">
        <v>6277.4974050000001</v>
      </c>
      <c r="BY3" s="10">
        <v>43442.99048</v>
      </c>
      <c r="BZ3" s="10">
        <v>3208209.2524000001</v>
      </c>
      <c r="CA3" s="10">
        <v>107597.53745</v>
      </c>
      <c r="CB3" s="10">
        <v>86240.387100000007</v>
      </c>
      <c r="CC3" s="10">
        <v>0</v>
      </c>
      <c r="CD3" s="10">
        <v>26163.89026</v>
      </c>
      <c r="CE3" s="10">
        <v>75401.789468000003</v>
      </c>
      <c r="CF3" s="10">
        <v>9402.8937800000003</v>
      </c>
      <c r="CG3" s="10">
        <v>454943.47759999998</v>
      </c>
      <c r="CH3" s="10">
        <v>0</v>
      </c>
      <c r="CI3" s="10">
        <v>168835.40150000001</v>
      </c>
      <c r="CJ3" s="10">
        <v>29.9697</v>
      </c>
      <c r="CK3" s="10">
        <v>64581.947979999997</v>
      </c>
      <c r="CL3" s="10">
        <v>97918.992800000007</v>
      </c>
      <c r="CM3" s="10">
        <v>27364.105299999999</v>
      </c>
      <c r="CN3" s="10">
        <v>2348.8667999999998</v>
      </c>
      <c r="CO3" s="10">
        <v>68135.728700000007</v>
      </c>
      <c r="CP3" s="10">
        <v>41172.452689999998</v>
      </c>
      <c r="CQ3" s="10">
        <v>0</v>
      </c>
      <c r="CR3" s="10">
        <v>0</v>
      </c>
      <c r="CS3" s="10">
        <v>0</v>
      </c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  <c r="DB3" s="10">
        <v>0</v>
      </c>
      <c r="DC3" s="10">
        <v>0</v>
      </c>
      <c r="DD3" s="10">
        <v>0</v>
      </c>
      <c r="DE3" s="10">
        <v>0</v>
      </c>
      <c r="DF3" s="10">
        <v>0</v>
      </c>
      <c r="DG3" s="10">
        <v>0</v>
      </c>
      <c r="DH3" s="10">
        <v>0</v>
      </c>
      <c r="DI3" s="10">
        <v>0</v>
      </c>
    </row>
    <row r="4" spans="1:113" x14ac:dyDescent="0.35">
      <c r="A4" s="8">
        <v>46186</v>
      </c>
      <c r="B4" s="9">
        <v>489450622.14648497</v>
      </c>
      <c r="C4" s="10">
        <v>68452506.616697997</v>
      </c>
      <c r="D4" s="10">
        <v>16849002.56366</v>
      </c>
      <c r="E4" s="10">
        <v>97526476.211600095</v>
      </c>
      <c r="F4" s="10">
        <v>45129704.842409998</v>
      </c>
      <c r="G4" s="10">
        <v>69294021.732700005</v>
      </c>
      <c r="H4" s="10">
        <v>7278504.9980600001</v>
      </c>
      <c r="I4" s="10">
        <v>19561737.446230002</v>
      </c>
      <c r="J4" s="10">
        <v>6607943.3050499996</v>
      </c>
      <c r="K4" s="10">
        <v>12358351.942600001</v>
      </c>
      <c r="L4" s="10">
        <v>5801880.55485</v>
      </c>
      <c r="M4" s="10">
        <v>8306578.8590000002</v>
      </c>
      <c r="N4" s="10">
        <v>2310325.6207909998</v>
      </c>
      <c r="O4" s="10">
        <v>2046887.2859970001</v>
      </c>
      <c r="P4" s="10">
        <v>62976895.532899998</v>
      </c>
      <c r="Q4" s="10">
        <v>3059489.2225600001</v>
      </c>
      <c r="R4" s="10">
        <v>697520.13740999997</v>
      </c>
      <c r="S4" s="10">
        <v>5320570.824</v>
      </c>
      <c r="T4" s="10">
        <v>1453576.070393</v>
      </c>
      <c r="U4" s="10">
        <v>1749181.1727</v>
      </c>
      <c r="V4" s="10">
        <v>8795665.6625999995</v>
      </c>
      <c r="W4" s="10">
        <v>915613.14020000002</v>
      </c>
      <c r="X4" s="10">
        <v>4101352.7769999998</v>
      </c>
      <c r="Y4" s="10">
        <v>1147223.3848900001</v>
      </c>
      <c r="Z4" s="10">
        <v>3718573.0604300001</v>
      </c>
      <c r="AA4" s="10">
        <v>119345.22321</v>
      </c>
      <c r="AB4" s="10">
        <v>2313795.9529599999</v>
      </c>
      <c r="AC4" s="10">
        <v>2248793.6675800001</v>
      </c>
      <c r="AD4" s="10">
        <v>816389.21409999998</v>
      </c>
      <c r="AE4" s="10">
        <v>299222.59350000002</v>
      </c>
      <c r="AF4" s="10">
        <v>1403493.9645499999</v>
      </c>
      <c r="AG4" s="10">
        <v>837544.39429999504</v>
      </c>
      <c r="AH4" s="10">
        <v>1316914.55544</v>
      </c>
      <c r="AI4" s="10">
        <v>1133023.28229</v>
      </c>
      <c r="AJ4" s="10">
        <v>5404142.7755000005</v>
      </c>
      <c r="AK4" s="10">
        <v>25184.347367999999</v>
      </c>
      <c r="AL4" s="10">
        <v>2731586.1189000001</v>
      </c>
      <c r="AM4" s="10">
        <v>2802907.4131700001</v>
      </c>
      <c r="AN4" s="10">
        <v>781295.98855000001</v>
      </c>
      <c r="AO4" s="10">
        <v>839509.68712999998</v>
      </c>
      <c r="AP4" s="10">
        <v>172741.59912999999</v>
      </c>
      <c r="AQ4" s="10">
        <v>152826.929959</v>
      </c>
      <c r="AR4" s="10">
        <v>35839.136919999997</v>
      </c>
      <c r="AS4" s="10">
        <v>1742.6359870000001</v>
      </c>
      <c r="AT4" s="10">
        <v>648194.85375000001</v>
      </c>
      <c r="AU4" s="10">
        <v>1354379.3535</v>
      </c>
      <c r="AV4" s="10">
        <v>864995.67420000001</v>
      </c>
      <c r="AW4" s="10">
        <v>964150.05260000005</v>
      </c>
      <c r="AX4" s="10">
        <v>144909.09156999999</v>
      </c>
      <c r="AY4" s="10">
        <v>610988.40038999997</v>
      </c>
      <c r="AZ4" s="10">
        <v>116709.73338000001</v>
      </c>
      <c r="BA4" s="10">
        <v>11401.071599999999</v>
      </c>
      <c r="BB4" s="10">
        <v>24804.664130000001</v>
      </c>
      <c r="BC4" s="10">
        <v>96451.888550000003</v>
      </c>
      <c r="BD4" s="10">
        <v>132458.41336000001</v>
      </c>
      <c r="BE4" s="10">
        <v>130182.539445</v>
      </c>
      <c r="BF4" s="10">
        <v>47025.144139999997</v>
      </c>
      <c r="BG4" s="10">
        <v>260807.60500000001</v>
      </c>
      <c r="BH4" s="10">
        <v>494975.42509999999</v>
      </c>
      <c r="BI4" s="10">
        <v>103948.64784999999</v>
      </c>
      <c r="BJ4" s="10">
        <v>10828.3812</v>
      </c>
      <c r="BK4" s="10">
        <v>0</v>
      </c>
      <c r="BL4" s="10">
        <v>441540.9975</v>
      </c>
      <c r="BM4" s="10">
        <v>7354.0164699999996</v>
      </c>
      <c r="BN4" s="10">
        <v>294.31240000000003</v>
      </c>
      <c r="BO4" s="10">
        <v>1962.4117900000001</v>
      </c>
      <c r="BP4" s="10">
        <v>97821.924490000005</v>
      </c>
      <c r="BQ4" s="10">
        <v>222.25896</v>
      </c>
      <c r="BR4" s="10">
        <v>2062.8242399999999</v>
      </c>
      <c r="BS4" s="10">
        <v>4375.3614100000004</v>
      </c>
      <c r="BT4" s="10">
        <v>48418.547500000001</v>
      </c>
      <c r="BU4" s="10">
        <v>0</v>
      </c>
      <c r="BV4" s="10">
        <v>2729.0124300000002</v>
      </c>
      <c r="BW4" s="10">
        <v>96263.452699999994</v>
      </c>
      <c r="BX4" s="10">
        <v>15810.552831999999</v>
      </c>
      <c r="BY4" s="10">
        <v>99073.755730000004</v>
      </c>
      <c r="BZ4" s="10">
        <v>2668315.3311000001</v>
      </c>
      <c r="CA4" s="10">
        <v>23610.893100000001</v>
      </c>
      <c r="CB4" s="10">
        <v>7169.9521800000002</v>
      </c>
      <c r="CC4" s="10">
        <v>239.97239999999999</v>
      </c>
      <c r="CD4" s="10">
        <v>53086.526109999999</v>
      </c>
      <c r="CE4" s="10">
        <v>107112.846454</v>
      </c>
      <c r="CF4" s="10">
        <v>6042.4066700000003</v>
      </c>
      <c r="CG4" s="10">
        <v>324276.68689999997</v>
      </c>
      <c r="CH4" s="10">
        <v>0</v>
      </c>
      <c r="CI4" s="10">
        <v>136295.73550000001</v>
      </c>
      <c r="CJ4" s="10">
        <v>150673.50661099999</v>
      </c>
      <c r="CK4" s="10">
        <v>11030.16791</v>
      </c>
      <c r="CL4" s="10">
        <v>14286.922699999999</v>
      </c>
      <c r="CM4" s="10">
        <v>29493.557199999999</v>
      </c>
      <c r="CN4" s="10">
        <v>11602.337600000001</v>
      </c>
      <c r="CO4" s="10">
        <v>146129.842</v>
      </c>
      <c r="CP4" s="10">
        <v>30232.648560000001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</row>
    <row r="5" spans="1:113" x14ac:dyDescent="0.35">
      <c r="A5" s="8">
        <v>46185</v>
      </c>
      <c r="B5" s="9">
        <v>4502693252.84126</v>
      </c>
      <c r="C5" s="10">
        <v>553971650.31576395</v>
      </c>
      <c r="D5" s="10">
        <v>124432315.68632001</v>
      </c>
      <c r="E5" s="10">
        <v>638317529.89649999</v>
      </c>
      <c r="F5" s="10">
        <v>278600530.49891001</v>
      </c>
      <c r="G5" s="10">
        <v>489898891.3527</v>
      </c>
      <c r="H5" s="10">
        <v>44253747.421230003</v>
      </c>
      <c r="I5" s="10">
        <v>131643606.13766</v>
      </c>
      <c r="J5" s="10">
        <v>49849130.227739997</v>
      </c>
      <c r="K5" s="10">
        <v>150609215.82179999</v>
      </c>
      <c r="L5" s="10">
        <v>55013556.94455</v>
      </c>
      <c r="M5" s="10">
        <v>90005534.999500006</v>
      </c>
      <c r="N5" s="10">
        <v>16222360.317906</v>
      </c>
      <c r="O5" s="10">
        <v>21789362.24822</v>
      </c>
      <c r="P5" s="10">
        <v>1380807922.9568999</v>
      </c>
      <c r="Q5" s="10">
        <v>18607342.735399999</v>
      </c>
      <c r="R5" s="10">
        <v>6398876.0796400001</v>
      </c>
      <c r="S5" s="10">
        <v>51643673.4058</v>
      </c>
      <c r="T5" s="10">
        <v>8582676.6538609993</v>
      </c>
      <c r="U5" s="10">
        <v>17298362.416170001</v>
      </c>
      <c r="V5" s="10">
        <v>88043668.046399996</v>
      </c>
      <c r="W5" s="10">
        <v>2551923.0153000001</v>
      </c>
      <c r="X5" s="10">
        <v>16806416.086380001</v>
      </c>
      <c r="Y5" s="10">
        <v>5564631.7939400002</v>
      </c>
      <c r="Z5" s="10">
        <v>36936124.413850002</v>
      </c>
      <c r="AA5" s="10">
        <v>990456.28132999898</v>
      </c>
      <c r="AB5" s="10">
        <v>20455822.546289999</v>
      </c>
      <c r="AC5" s="10">
        <v>7320856.1128099998</v>
      </c>
      <c r="AD5" s="10">
        <v>15105032.9189</v>
      </c>
      <c r="AE5" s="10">
        <v>791623.51089000003</v>
      </c>
      <c r="AF5" s="10">
        <v>15638595.62843</v>
      </c>
      <c r="AG5" s="10">
        <v>3261171.9043000001</v>
      </c>
      <c r="AH5" s="10">
        <v>6580351.7790400004</v>
      </c>
      <c r="AI5" s="10">
        <v>4416776.9067099998</v>
      </c>
      <c r="AJ5" s="10">
        <v>28237346.800999999</v>
      </c>
      <c r="AK5" s="10">
        <v>305714.66325799999</v>
      </c>
      <c r="AL5" s="10">
        <v>16715750.35926</v>
      </c>
      <c r="AM5" s="10">
        <v>24144095.7159</v>
      </c>
      <c r="AN5" s="10">
        <v>2783968.7495300001</v>
      </c>
      <c r="AO5" s="10">
        <v>1402705.8931400001</v>
      </c>
      <c r="AP5" s="10">
        <v>4469592.21337</v>
      </c>
      <c r="AQ5" s="10">
        <v>402681.264157</v>
      </c>
      <c r="AR5" s="10">
        <v>1699833.60512</v>
      </c>
      <c r="AS5" s="10">
        <v>534116.05079500005</v>
      </c>
      <c r="AT5" s="10">
        <v>6662617.0193999996</v>
      </c>
      <c r="AU5" s="10">
        <v>18904831.570799999</v>
      </c>
      <c r="AV5" s="10">
        <v>7684822.2796</v>
      </c>
      <c r="AW5" s="10">
        <v>6258261.2350000003</v>
      </c>
      <c r="AX5" s="10">
        <v>1496185.34179</v>
      </c>
      <c r="AY5" s="10">
        <v>1697125.69885</v>
      </c>
      <c r="AZ5" s="10">
        <v>4455212.8596999999</v>
      </c>
      <c r="BA5" s="10">
        <v>32413.727299999999</v>
      </c>
      <c r="BB5" s="10">
        <v>172033.03539999999</v>
      </c>
      <c r="BC5" s="10">
        <v>1069642.1932900001</v>
      </c>
      <c r="BD5" s="10">
        <v>1652842.19737</v>
      </c>
      <c r="BE5" s="10">
        <v>1577851.033914</v>
      </c>
      <c r="BF5" s="10">
        <v>798292.66027999995</v>
      </c>
      <c r="BG5" s="10">
        <v>160564.61720000001</v>
      </c>
      <c r="BH5" s="10">
        <v>1221648.1096999999</v>
      </c>
      <c r="BI5" s="10">
        <v>316021.83007000003</v>
      </c>
      <c r="BJ5" s="10">
        <v>69948.445919999998</v>
      </c>
      <c r="BK5" s="10">
        <v>976360.58799999999</v>
      </c>
      <c r="BL5" s="10">
        <v>205778.36050000001</v>
      </c>
      <c r="BM5" s="10">
        <v>59056.059520000003</v>
      </c>
      <c r="BN5" s="10">
        <v>295957.30810000002</v>
      </c>
      <c r="BO5" s="10">
        <v>196218.06849999999</v>
      </c>
      <c r="BP5" s="10">
        <v>543789.43740000005</v>
      </c>
      <c r="BQ5" s="10">
        <v>12898.678610000001</v>
      </c>
      <c r="BR5" s="10">
        <v>1914.4579200000001</v>
      </c>
      <c r="BS5" s="10">
        <v>13197.334559999999</v>
      </c>
      <c r="BT5" s="10">
        <v>332312.14419999998</v>
      </c>
      <c r="BU5" s="10">
        <v>2121.1742899999999</v>
      </c>
      <c r="BV5" s="10">
        <v>4752.5823399999999</v>
      </c>
      <c r="BW5" s="10">
        <v>1071618.0717</v>
      </c>
      <c r="BX5" s="10">
        <v>235270.88944299999</v>
      </c>
      <c r="BY5" s="10">
        <v>685671.40105999995</v>
      </c>
      <c r="BZ5" s="10">
        <v>6178100.8189000003</v>
      </c>
      <c r="CA5" s="10">
        <v>291657.73787999997</v>
      </c>
      <c r="CB5" s="10">
        <v>995693.59337999998</v>
      </c>
      <c r="CC5" s="10">
        <v>1788.2039199999999</v>
      </c>
      <c r="CD5" s="10">
        <v>323995.67404000001</v>
      </c>
      <c r="CE5" s="10">
        <v>460727.22054000001</v>
      </c>
      <c r="CF5" s="10">
        <v>24095.029709999999</v>
      </c>
      <c r="CG5" s="10">
        <v>544442.91240000003</v>
      </c>
      <c r="CH5" s="10">
        <v>93093.091700000004</v>
      </c>
      <c r="CI5" s="10">
        <v>946452.43559999997</v>
      </c>
      <c r="CJ5" s="10">
        <v>0</v>
      </c>
      <c r="CK5" s="10">
        <v>87056.143639999995</v>
      </c>
      <c r="CL5" s="10">
        <v>327256.84700000001</v>
      </c>
      <c r="CM5" s="10">
        <v>207401.73499999999</v>
      </c>
      <c r="CN5" s="10">
        <v>11610.855299999999</v>
      </c>
      <c r="CO5" s="10">
        <v>108269.14690000001</v>
      </c>
      <c r="CP5" s="10">
        <v>118838.60695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</row>
    <row r="6" spans="1:113" x14ac:dyDescent="0.35">
      <c r="A6" s="8">
        <v>46184</v>
      </c>
      <c r="B6" s="9">
        <v>4300834931.4896097</v>
      </c>
      <c r="C6" s="10">
        <v>726481781.83204198</v>
      </c>
      <c r="D6" s="10">
        <v>268267812.98686001</v>
      </c>
      <c r="E6" s="10">
        <v>634666786.89349997</v>
      </c>
      <c r="F6" s="10">
        <v>383766737.87864</v>
      </c>
      <c r="G6" s="10">
        <v>824273996.31719995</v>
      </c>
      <c r="H6" s="10">
        <v>108232971.90790001</v>
      </c>
      <c r="I6" s="10">
        <v>203553587.01837</v>
      </c>
      <c r="J6" s="10">
        <v>64867514.207539998</v>
      </c>
      <c r="K6" s="10">
        <v>158655283.60569999</v>
      </c>
      <c r="L6" s="10">
        <v>41253488.890050001</v>
      </c>
      <c r="M6" s="10">
        <v>128052842.1372</v>
      </c>
      <c r="N6" s="10">
        <v>17445297.697113</v>
      </c>
      <c r="O6" s="10">
        <v>19674183.640749</v>
      </c>
      <c r="P6" s="10">
        <v>125475488.5949</v>
      </c>
      <c r="Q6" s="10">
        <v>18801436.02262</v>
      </c>
      <c r="R6" s="10">
        <v>9171492.8994299993</v>
      </c>
      <c r="S6" s="10">
        <v>98023960.003700003</v>
      </c>
      <c r="T6" s="10">
        <v>14002735.833982</v>
      </c>
      <c r="U6" s="10">
        <v>18384197.40667</v>
      </c>
      <c r="V6" s="10">
        <v>126412332.1744</v>
      </c>
      <c r="W6" s="10">
        <v>4533033.3467199998</v>
      </c>
      <c r="X6" s="10">
        <v>31760191.024500001</v>
      </c>
      <c r="Y6" s="10">
        <v>5389969.5517600002</v>
      </c>
      <c r="Z6" s="10">
        <v>24736162.813329998</v>
      </c>
      <c r="AA6" s="10">
        <v>1625179.7016700001</v>
      </c>
      <c r="AB6" s="10">
        <v>39361238.633100003</v>
      </c>
      <c r="AC6" s="10">
        <v>7184207.0206500003</v>
      </c>
      <c r="AD6" s="10">
        <v>12506188.2623</v>
      </c>
      <c r="AE6" s="10">
        <v>2084410.3919800001</v>
      </c>
      <c r="AF6" s="10">
        <v>10338384.34867</v>
      </c>
      <c r="AG6" s="10">
        <v>1853445.1751999999</v>
      </c>
      <c r="AH6" s="10">
        <v>10926674.88895</v>
      </c>
      <c r="AI6" s="10">
        <v>7782411.2742299996</v>
      </c>
      <c r="AJ6" s="10">
        <v>26860308.3462</v>
      </c>
      <c r="AK6" s="10">
        <v>169854.56214699999</v>
      </c>
      <c r="AL6" s="10">
        <v>8814023.2882000003</v>
      </c>
      <c r="AM6" s="10">
        <v>26569728.307489999</v>
      </c>
      <c r="AN6" s="10">
        <v>5029957.1633400004</v>
      </c>
      <c r="AO6" s="10">
        <v>7077892.9902400002</v>
      </c>
      <c r="AP6" s="10">
        <v>5340025.8815200003</v>
      </c>
      <c r="AQ6" s="10">
        <v>821053.15091199998</v>
      </c>
      <c r="AR6" s="10">
        <v>2826321.9326200001</v>
      </c>
      <c r="AS6" s="10">
        <v>947788.53886500001</v>
      </c>
      <c r="AT6" s="10">
        <v>8406747.1046799999</v>
      </c>
      <c r="AU6" s="10">
        <v>8144501.5751999998</v>
      </c>
      <c r="AV6" s="10">
        <v>4745332.1155000003</v>
      </c>
      <c r="AW6" s="10">
        <v>5606412.3328999998</v>
      </c>
      <c r="AX6" s="10">
        <v>1504216.19875</v>
      </c>
      <c r="AY6" s="10">
        <v>1540764.83629</v>
      </c>
      <c r="AZ6" s="10">
        <v>8639034.6072000004</v>
      </c>
      <c r="BA6" s="10">
        <v>13036.4414</v>
      </c>
      <c r="BB6" s="10">
        <v>326973.67715</v>
      </c>
      <c r="BC6" s="10">
        <v>1975400.85455</v>
      </c>
      <c r="BD6" s="10">
        <v>2955454.6960100001</v>
      </c>
      <c r="BE6" s="10">
        <v>1691833.8545319999</v>
      </c>
      <c r="BF6" s="10">
        <v>998288.61106999998</v>
      </c>
      <c r="BG6" s="10">
        <v>146845.2911</v>
      </c>
      <c r="BH6" s="10">
        <v>2265004.4408</v>
      </c>
      <c r="BI6" s="10">
        <v>1056185.50245</v>
      </c>
      <c r="BJ6" s="10">
        <v>44834.19008</v>
      </c>
      <c r="BK6" s="10">
        <v>334053.87890000001</v>
      </c>
      <c r="BL6" s="10">
        <v>427288.14250000002</v>
      </c>
      <c r="BM6" s="10">
        <v>501533.09417</v>
      </c>
      <c r="BN6" s="10">
        <v>1418424.6765600001</v>
      </c>
      <c r="BO6" s="10">
        <v>87647.754480000003</v>
      </c>
      <c r="BP6" s="10">
        <v>3613350.2164099999</v>
      </c>
      <c r="BQ6" s="10">
        <v>122191.46034999999</v>
      </c>
      <c r="BR6" s="10">
        <v>5928.2404200000001</v>
      </c>
      <c r="BS6" s="10">
        <v>79712.673242000004</v>
      </c>
      <c r="BT6" s="10">
        <v>419660.27909999999</v>
      </c>
      <c r="BU6" s="10">
        <v>4459.6586699999998</v>
      </c>
      <c r="BV6" s="10">
        <v>7048.2152800000003</v>
      </c>
      <c r="BW6" s="10">
        <v>681683.06709999999</v>
      </c>
      <c r="BX6" s="10">
        <v>232837.586763</v>
      </c>
      <c r="BY6" s="10">
        <v>486673.70215999999</v>
      </c>
      <c r="BZ6" s="10">
        <v>2776546.0177000002</v>
      </c>
      <c r="CA6" s="10">
        <v>653147.09852</v>
      </c>
      <c r="CB6" s="10">
        <v>469289.45484000002</v>
      </c>
      <c r="CC6" s="10">
        <v>192.59541999999999</v>
      </c>
      <c r="CD6" s="10">
        <v>381518.24307999999</v>
      </c>
      <c r="CE6" s="10">
        <v>484183.79379500001</v>
      </c>
      <c r="CF6" s="10">
        <v>83058.04522</v>
      </c>
      <c r="CG6" s="10">
        <v>296163.59649999999</v>
      </c>
      <c r="CH6" s="10">
        <v>893385.6054</v>
      </c>
      <c r="CI6" s="10">
        <v>1637710.1780000001</v>
      </c>
      <c r="CJ6" s="10">
        <v>38997.179316000002</v>
      </c>
      <c r="CK6" s="10">
        <v>66267.470990000002</v>
      </c>
      <c r="CL6" s="10">
        <v>107740.69957</v>
      </c>
      <c r="CM6" s="10">
        <v>182563.58259999999</v>
      </c>
      <c r="CN6" s="10">
        <v>154697.89480000001</v>
      </c>
      <c r="CO6" s="10">
        <v>73989.482799999998</v>
      </c>
      <c r="CP6" s="10">
        <v>49743.03213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/>
      <c r="DH6" s="10">
        <v>0</v>
      </c>
      <c r="DI6" s="10">
        <v>0</v>
      </c>
    </row>
    <row r="7" spans="1:113" x14ac:dyDescent="0.35">
      <c r="A7" s="8">
        <v>46183</v>
      </c>
      <c r="B7" s="9">
        <v>4450202660.8446302</v>
      </c>
      <c r="C7" s="10">
        <v>613620170.15957105</v>
      </c>
      <c r="D7" s="10">
        <v>271294873.34785002</v>
      </c>
      <c r="E7" s="10">
        <v>889606020.59739995</v>
      </c>
      <c r="F7" s="10">
        <v>261516576.88319999</v>
      </c>
      <c r="G7" s="10">
        <v>1078226888.4017999</v>
      </c>
      <c r="H7" s="10">
        <v>95745576.423759997</v>
      </c>
      <c r="I7" s="10">
        <v>251667950.16690001</v>
      </c>
      <c r="J7" s="10">
        <v>49459274.452629998</v>
      </c>
      <c r="K7" s="10">
        <v>136067326.2326</v>
      </c>
      <c r="L7" s="10">
        <v>25257060.586339999</v>
      </c>
      <c r="M7" s="10">
        <v>76277779.652199998</v>
      </c>
      <c r="N7" s="10">
        <v>19068321.737546999</v>
      </c>
      <c r="O7" s="10">
        <v>27052192.765315998</v>
      </c>
      <c r="P7" s="10">
        <v>67316579.890799999</v>
      </c>
      <c r="Q7" s="10">
        <v>10547816.96624</v>
      </c>
      <c r="R7" s="10">
        <v>8714746.6835099999</v>
      </c>
      <c r="S7" s="10">
        <v>79284603.033500001</v>
      </c>
      <c r="T7" s="10">
        <v>12755994.163649</v>
      </c>
      <c r="U7" s="10">
        <v>18279576.965059999</v>
      </c>
      <c r="V7" s="10">
        <v>115839405.29369999</v>
      </c>
      <c r="W7" s="10">
        <v>4762301.0467999997</v>
      </c>
      <c r="X7" s="10">
        <v>33692338.1241</v>
      </c>
      <c r="Y7" s="10">
        <v>4314715.4176599998</v>
      </c>
      <c r="Z7" s="10">
        <v>19614442.220029999</v>
      </c>
      <c r="AA7" s="10">
        <v>2073699.2660399999</v>
      </c>
      <c r="AB7" s="10">
        <v>56982288.816579998</v>
      </c>
      <c r="AC7" s="10">
        <v>5749765.02477</v>
      </c>
      <c r="AD7" s="10">
        <v>27293310.048099998</v>
      </c>
      <c r="AE7" s="10">
        <v>2457271.7157100001</v>
      </c>
      <c r="AF7" s="10">
        <v>11935574.054269999</v>
      </c>
      <c r="AG7" s="10">
        <v>942137.51089999999</v>
      </c>
      <c r="AH7" s="10">
        <v>5085915.0394299999</v>
      </c>
      <c r="AI7" s="10">
        <v>9047471.1246199999</v>
      </c>
      <c r="AJ7" s="10">
        <v>27919384.020500001</v>
      </c>
      <c r="AK7" s="10">
        <v>60994.930848000004</v>
      </c>
      <c r="AL7" s="10">
        <v>7778905.9661600003</v>
      </c>
      <c r="AM7" s="10">
        <v>23962943.847339999</v>
      </c>
      <c r="AN7" s="10">
        <v>4789966.7352200001</v>
      </c>
      <c r="AO7" s="10">
        <v>6072571.8233000003</v>
      </c>
      <c r="AP7" s="10">
        <v>9868272.7366799992</v>
      </c>
      <c r="AQ7" s="10">
        <v>330503.46004400001</v>
      </c>
      <c r="AR7" s="10">
        <v>3502387.88803</v>
      </c>
      <c r="AS7" s="10">
        <v>485325.06284700002</v>
      </c>
      <c r="AT7" s="10">
        <v>13477622.53806</v>
      </c>
      <c r="AU7" s="10">
        <v>6313315.9181000004</v>
      </c>
      <c r="AV7" s="10">
        <v>5400210.9859999996</v>
      </c>
      <c r="AW7" s="10">
        <v>7721341.2528999997</v>
      </c>
      <c r="AX7" s="10">
        <v>1062279.15411</v>
      </c>
      <c r="AY7" s="10">
        <v>1233384.7957299999</v>
      </c>
      <c r="AZ7" s="10">
        <v>5318858.8264899999</v>
      </c>
      <c r="BA7" s="10">
        <v>0</v>
      </c>
      <c r="BB7" s="10">
        <v>764776.17443999997</v>
      </c>
      <c r="BC7" s="10">
        <v>5470338.5539800003</v>
      </c>
      <c r="BD7" s="10">
        <v>1548911.69878</v>
      </c>
      <c r="BE7" s="10">
        <v>523978.46153799997</v>
      </c>
      <c r="BF7" s="10">
        <v>1301522.2664300001</v>
      </c>
      <c r="BG7" s="10">
        <v>324184.446</v>
      </c>
      <c r="BH7" s="10">
        <v>3191955.5773999998</v>
      </c>
      <c r="BI7" s="10">
        <v>511566.79073000001</v>
      </c>
      <c r="BJ7" s="10">
        <v>236566.62609999999</v>
      </c>
      <c r="BK7" s="10">
        <v>200120.296</v>
      </c>
      <c r="BL7" s="10">
        <v>689333.89099999995</v>
      </c>
      <c r="BM7" s="10">
        <v>148899.51383000001</v>
      </c>
      <c r="BN7" s="10">
        <v>992113.74765000003</v>
      </c>
      <c r="BO7" s="10">
        <v>8107.5400300000001</v>
      </c>
      <c r="BP7" s="10">
        <v>940189.78154999996</v>
      </c>
      <c r="BQ7" s="10">
        <v>295118.29920000001</v>
      </c>
      <c r="BR7" s="10">
        <v>26776.007509999999</v>
      </c>
      <c r="BS7" s="10">
        <v>76820.023407000001</v>
      </c>
      <c r="BT7" s="10">
        <v>1913723.5852999999</v>
      </c>
      <c r="BU7" s="10">
        <v>408.45443999999998</v>
      </c>
      <c r="BV7" s="10">
        <v>5512.8446299999996</v>
      </c>
      <c r="BW7" s="10">
        <v>2316897.7549000001</v>
      </c>
      <c r="BX7" s="10">
        <v>203594.160558</v>
      </c>
      <c r="BY7" s="10">
        <v>959433.66697000002</v>
      </c>
      <c r="BZ7" s="10">
        <v>3199910.6981000002</v>
      </c>
      <c r="CA7" s="10">
        <v>564006.85387999995</v>
      </c>
      <c r="CB7" s="10">
        <v>650781.36919999996</v>
      </c>
      <c r="CC7" s="10">
        <v>1611.0207700000001</v>
      </c>
      <c r="CD7" s="10">
        <v>1225460.1063900001</v>
      </c>
      <c r="CE7" s="10">
        <v>362237.26675100002</v>
      </c>
      <c r="CF7" s="10">
        <v>50201.748039999999</v>
      </c>
      <c r="CG7" s="10">
        <v>2438014.0252999999</v>
      </c>
      <c r="CH7" s="10">
        <v>891278.3308</v>
      </c>
      <c r="CI7" s="10">
        <v>824654.33909999998</v>
      </c>
      <c r="CJ7" s="10">
        <v>4992.5</v>
      </c>
      <c r="CK7" s="10">
        <v>63497.109109999998</v>
      </c>
      <c r="CL7" s="10">
        <v>140303.55095</v>
      </c>
      <c r="CM7" s="10">
        <v>162684.905</v>
      </c>
      <c r="CN7" s="10">
        <v>29805.049500000001</v>
      </c>
      <c r="CO7" s="10">
        <v>14104.232099999999</v>
      </c>
      <c r="CP7" s="10">
        <v>80033.822320000007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/>
      <c r="DH7" s="10">
        <v>0</v>
      </c>
      <c r="DI7" s="10">
        <v>0</v>
      </c>
    </row>
    <row r="8" spans="1:113" x14ac:dyDescent="0.35">
      <c r="A8" s="8">
        <v>46182</v>
      </c>
      <c r="B8" s="9">
        <v>4631258769.0662899</v>
      </c>
      <c r="C8" s="10">
        <v>567129545.59204698</v>
      </c>
      <c r="D8" s="10">
        <v>191857288.25334001</v>
      </c>
      <c r="E8" s="10">
        <v>1053849564.0616</v>
      </c>
      <c r="F8" s="10">
        <v>203445434.51756999</v>
      </c>
      <c r="G8" s="10">
        <v>942120441.29970002</v>
      </c>
      <c r="H8" s="10">
        <v>50861459.771279998</v>
      </c>
      <c r="I8" s="10">
        <v>406816417.35573</v>
      </c>
      <c r="J8" s="10">
        <v>68517154.354969993</v>
      </c>
      <c r="K8" s="10">
        <v>202599413.822</v>
      </c>
      <c r="L8" s="10">
        <v>24942685.715470001</v>
      </c>
      <c r="M8" s="10">
        <v>117728322.8487</v>
      </c>
      <c r="N8" s="10">
        <v>29756395.476978</v>
      </c>
      <c r="O8" s="10">
        <v>12583787.039186001</v>
      </c>
      <c r="P8" s="10">
        <v>71013961.120000198</v>
      </c>
      <c r="Q8" s="10">
        <v>18573325.277229998</v>
      </c>
      <c r="R8" s="10">
        <v>6354422.2278000005</v>
      </c>
      <c r="S8" s="10">
        <v>147797164.32170001</v>
      </c>
      <c r="T8" s="10">
        <v>10498111.475234</v>
      </c>
      <c r="U8" s="10">
        <v>17338513.13713</v>
      </c>
      <c r="V8" s="10">
        <v>127953832.3002</v>
      </c>
      <c r="W8" s="10">
        <v>4779899.4137599999</v>
      </c>
      <c r="X8" s="10">
        <v>41239647.904619999</v>
      </c>
      <c r="Y8" s="10">
        <v>5507349.6139000002</v>
      </c>
      <c r="Z8" s="10">
        <v>47268848.821539998</v>
      </c>
      <c r="AA8" s="10">
        <v>2188675.9292100002</v>
      </c>
      <c r="AB8" s="10">
        <v>14594105.77943</v>
      </c>
      <c r="AC8" s="10">
        <v>7661200.6960199997</v>
      </c>
      <c r="AD8" s="10">
        <v>16755513.694700001</v>
      </c>
      <c r="AE8" s="10">
        <v>1203291.3116599999</v>
      </c>
      <c r="AF8" s="10">
        <v>7870161.3119900003</v>
      </c>
      <c r="AG8" s="10">
        <v>1555713.3518999999</v>
      </c>
      <c r="AH8" s="10">
        <v>8839587.5694200005</v>
      </c>
      <c r="AI8" s="10">
        <v>29693723.80514</v>
      </c>
      <c r="AJ8" s="10">
        <v>38107863.316699997</v>
      </c>
      <c r="AK8" s="10">
        <v>317048.62952999998</v>
      </c>
      <c r="AL8" s="10">
        <v>9639515.1084100101</v>
      </c>
      <c r="AM8" s="10">
        <v>23780714.398320001</v>
      </c>
      <c r="AN8" s="10">
        <v>5774059.3990200004</v>
      </c>
      <c r="AO8" s="10">
        <v>1283887.83922</v>
      </c>
      <c r="AP8" s="10">
        <v>14189649.20098</v>
      </c>
      <c r="AQ8" s="10">
        <v>822415.45273200003</v>
      </c>
      <c r="AR8" s="10">
        <v>3256672.6330499998</v>
      </c>
      <c r="AS8" s="10">
        <v>806130.53339300002</v>
      </c>
      <c r="AT8" s="10">
        <v>12107047.443390001</v>
      </c>
      <c r="AU8" s="10">
        <v>8361634.4255999997</v>
      </c>
      <c r="AV8" s="10">
        <v>8548609.5436000004</v>
      </c>
      <c r="AW8" s="10">
        <v>5807246.1157</v>
      </c>
      <c r="AX8" s="10">
        <v>813499.43114</v>
      </c>
      <c r="AY8" s="10">
        <v>1984608.3200900001</v>
      </c>
      <c r="AZ8" s="10">
        <v>3929414.3071599999</v>
      </c>
      <c r="BA8" s="10">
        <v>6947.2830999999996</v>
      </c>
      <c r="BB8" s="10">
        <v>357336.60742000001</v>
      </c>
      <c r="BC8" s="10">
        <v>1570886.19664</v>
      </c>
      <c r="BD8" s="10">
        <v>3138403.7798000001</v>
      </c>
      <c r="BE8" s="10">
        <v>810626.39029799995</v>
      </c>
      <c r="BF8" s="10">
        <v>1259812.5566400001</v>
      </c>
      <c r="BG8" s="10">
        <v>369010.09169999999</v>
      </c>
      <c r="BH8" s="10">
        <v>2373255.5052</v>
      </c>
      <c r="BI8" s="10">
        <v>2071048.8375200001</v>
      </c>
      <c r="BJ8" s="10">
        <v>108679.73074</v>
      </c>
      <c r="BK8" s="10">
        <v>710394.17370000097</v>
      </c>
      <c r="BL8" s="10">
        <v>119613.8233</v>
      </c>
      <c r="BM8" s="10">
        <v>170169.02948</v>
      </c>
      <c r="BN8" s="10">
        <v>665663.81594999996</v>
      </c>
      <c r="BO8" s="10">
        <v>44287.114179999997</v>
      </c>
      <c r="BP8" s="10">
        <v>799636.37635999999</v>
      </c>
      <c r="BQ8" s="10">
        <v>297178.40594000003</v>
      </c>
      <c r="BR8" s="10">
        <v>6735.9541099999997</v>
      </c>
      <c r="BS8" s="10">
        <v>113962.011673</v>
      </c>
      <c r="BT8" s="10">
        <v>1491012.5385</v>
      </c>
      <c r="BU8" s="10">
        <v>6902.71</v>
      </c>
      <c r="BV8" s="10">
        <v>7756.6185100000002</v>
      </c>
      <c r="BW8" s="10">
        <v>2437791.5987</v>
      </c>
      <c r="BX8" s="10">
        <v>194792.46402499999</v>
      </c>
      <c r="BY8" s="10">
        <v>442275.13445999997</v>
      </c>
      <c r="BZ8" s="10">
        <v>1174713.7995</v>
      </c>
      <c r="CA8" s="10">
        <v>326200.35155999998</v>
      </c>
      <c r="CB8" s="10">
        <v>645513.04203000001</v>
      </c>
      <c r="CC8" s="10">
        <v>3563.63663</v>
      </c>
      <c r="CD8" s="10">
        <v>2471615.0219800002</v>
      </c>
      <c r="CE8" s="10">
        <v>1116361.9259530001</v>
      </c>
      <c r="CF8" s="10">
        <v>370975.6716</v>
      </c>
      <c r="CG8" s="10">
        <v>2094339.7228999999</v>
      </c>
      <c r="CH8" s="10">
        <v>200188.91399999999</v>
      </c>
      <c r="CI8" s="10">
        <v>1181900.1351999999</v>
      </c>
      <c r="CJ8" s="10">
        <v>508.74171999999999</v>
      </c>
      <c r="CK8" s="10">
        <v>33472.2503</v>
      </c>
      <c r="CL8" s="10">
        <v>1055458.5671900001</v>
      </c>
      <c r="CM8" s="10">
        <v>454074.00709999999</v>
      </c>
      <c r="CN8" s="10">
        <v>50305.837500000001</v>
      </c>
      <c r="CO8" s="10">
        <v>44100.015500000001</v>
      </c>
      <c r="CP8" s="10">
        <v>36323.408490000002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/>
      <c r="DD8" s="10">
        <v>0</v>
      </c>
      <c r="DE8" s="10">
        <v>0</v>
      </c>
      <c r="DF8" s="10">
        <v>0</v>
      </c>
      <c r="DG8" s="10"/>
      <c r="DH8" s="10">
        <v>0</v>
      </c>
      <c r="DI8" s="10">
        <v>0</v>
      </c>
    </row>
    <row r="9" spans="1:113" x14ac:dyDescent="0.35">
      <c r="A9" s="8">
        <v>46181</v>
      </c>
      <c r="B9" s="9">
        <v>3626811174.7148499</v>
      </c>
      <c r="C9" s="10">
        <v>482705447.41550797</v>
      </c>
      <c r="D9" s="10">
        <v>127025889.76329</v>
      </c>
      <c r="E9" s="10">
        <v>709131260.47860003</v>
      </c>
      <c r="F9" s="10">
        <v>228182129.00847</v>
      </c>
      <c r="G9" s="10">
        <v>770421687.17840004</v>
      </c>
      <c r="H9" s="10">
        <v>46501906.92221</v>
      </c>
      <c r="I9" s="10">
        <v>286803177.17769998</v>
      </c>
      <c r="J9" s="10">
        <v>62333394.920950003</v>
      </c>
      <c r="K9" s="10">
        <v>112177998.4306</v>
      </c>
      <c r="L9" s="10">
        <v>22114930.571210001</v>
      </c>
      <c r="M9" s="10">
        <v>74136491.201749995</v>
      </c>
      <c r="N9" s="10">
        <v>21637610.173969001</v>
      </c>
      <c r="O9" s="10">
        <v>12369565.764727</v>
      </c>
      <c r="P9" s="10">
        <v>93806381.288700104</v>
      </c>
      <c r="Q9" s="10">
        <v>13388302.80153</v>
      </c>
      <c r="R9" s="10">
        <v>5811316.7188499998</v>
      </c>
      <c r="S9" s="10">
        <v>124635980.50210001</v>
      </c>
      <c r="T9" s="10">
        <v>8959679.0736780092</v>
      </c>
      <c r="U9" s="10">
        <v>20283635.595380001</v>
      </c>
      <c r="V9" s="10">
        <v>122810466.5607</v>
      </c>
      <c r="W9" s="10">
        <v>7696572.9052600004</v>
      </c>
      <c r="X9" s="10">
        <v>35170962.756049998</v>
      </c>
      <c r="Y9" s="10">
        <v>4583885.4309299998</v>
      </c>
      <c r="Z9" s="10">
        <v>25485032.39711</v>
      </c>
      <c r="AA9" s="10">
        <v>1610324.9979999999</v>
      </c>
      <c r="AB9" s="10">
        <v>14640388.75068</v>
      </c>
      <c r="AC9" s="10">
        <v>4442029.6178700002</v>
      </c>
      <c r="AD9" s="10">
        <v>18451706.4586</v>
      </c>
      <c r="AE9" s="10">
        <v>1945682.5453900001</v>
      </c>
      <c r="AF9" s="10">
        <v>6682433.7213700004</v>
      </c>
      <c r="AG9" s="10">
        <v>1498968.1797</v>
      </c>
      <c r="AH9" s="10">
        <v>4073156.0964700002</v>
      </c>
      <c r="AI9" s="10">
        <v>17961847.840330001</v>
      </c>
      <c r="AJ9" s="10">
        <v>30365102.3321</v>
      </c>
      <c r="AK9" s="10">
        <v>35930.012101</v>
      </c>
      <c r="AL9" s="10">
        <v>6146469.3124200003</v>
      </c>
      <c r="AM9" s="10">
        <v>21068745.679299999</v>
      </c>
      <c r="AN9" s="10">
        <v>5307776.6647199998</v>
      </c>
      <c r="AO9" s="10">
        <v>1753088.1752800001</v>
      </c>
      <c r="AP9" s="10">
        <v>9624070.3429599907</v>
      </c>
      <c r="AQ9" s="10">
        <v>468883.76355700003</v>
      </c>
      <c r="AR9" s="10">
        <v>1751736.1836000001</v>
      </c>
      <c r="AS9" s="10">
        <v>28743.271267</v>
      </c>
      <c r="AT9" s="10">
        <v>5219326.3897399995</v>
      </c>
      <c r="AU9" s="10">
        <v>5613156.3181999996</v>
      </c>
      <c r="AV9" s="10">
        <v>5730720.6442999998</v>
      </c>
      <c r="AW9" s="10">
        <v>6943123.6480999999</v>
      </c>
      <c r="AX9" s="10">
        <v>610963.12211</v>
      </c>
      <c r="AY9" s="10">
        <v>1182926.36568</v>
      </c>
      <c r="AZ9" s="10">
        <v>3734075.1904199999</v>
      </c>
      <c r="BA9" s="10">
        <v>10462.3613</v>
      </c>
      <c r="BB9" s="10">
        <v>263546.59642000002</v>
      </c>
      <c r="BC9" s="10">
        <v>2134871.5157099999</v>
      </c>
      <c r="BD9" s="10">
        <v>13452842.63668</v>
      </c>
      <c r="BE9" s="10">
        <v>681315.15701600001</v>
      </c>
      <c r="BF9" s="10">
        <v>968665.45834999997</v>
      </c>
      <c r="BG9" s="10">
        <v>364981.95549999998</v>
      </c>
      <c r="BH9" s="10">
        <v>1400976.9401</v>
      </c>
      <c r="BI9" s="10">
        <v>2508613.8985000001</v>
      </c>
      <c r="BJ9" s="10">
        <v>131993.00172</v>
      </c>
      <c r="BK9" s="10">
        <v>233426.4405</v>
      </c>
      <c r="BL9" s="10">
        <v>44981.755700000002</v>
      </c>
      <c r="BM9" s="10">
        <v>158810.63552000001</v>
      </c>
      <c r="BN9" s="10">
        <v>116969.94176</v>
      </c>
      <c r="BO9" s="10">
        <v>16556.109939999998</v>
      </c>
      <c r="BP9" s="10">
        <v>1067875.7275700001</v>
      </c>
      <c r="BQ9" s="10">
        <v>7917.49496</v>
      </c>
      <c r="BR9" s="10">
        <v>18905.721119999998</v>
      </c>
      <c r="BS9" s="10">
        <v>101441.918019</v>
      </c>
      <c r="BT9" s="10">
        <v>1092557.3163999999</v>
      </c>
      <c r="BU9" s="10">
        <v>3932.5168399999998</v>
      </c>
      <c r="BV9" s="10">
        <v>6825.0948500000004</v>
      </c>
      <c r="BW9" s="10">
        <v>1293109.3385000001</v>
      </c>
      <c r="BX9" s="10">
        <v>88536.093471</v>
      </c>
      <c r="BY9" s="10">
        <v>1180409.1145299999</v>
      </c>
      <c r="BZ9" s="10">
        <v>0</v>
      </c>
      <c r="CA9" s="10">
        <v>896247.49649000005</v>
      </c>
      <c r="CB9" s="10">
        <v>191158.87779</v>
      </c>
      <c r="CC9" s="10">
        <v>5705.0351600000004</v>
      </c>
      <c r="CD9" s="10">
        <v>556204.65789999999</v>
      </c>
      <c r="CE9" s="10">
        <v>390184.52612200001</v>
      </c>
      <c r="CF9" s="10">
        <v>106215.52026</v>
      </c>
      <c r="CG9" s="10">
        <v>265362.00929999998</v>
      </c>
      <c r="CH9" s="10">
        <v>54037.632700000002</v>
      </c>
      <c r="CI9" s="10">
        <v>482057.99949999998</v>
      </c>
      <c r="CJ9" s="10">
        <v>32050.066234999998</v>
      </c>
      <c r="CK9" s="10">
        <v>795739.35014</v>
      </c>
      <c r="CL9" s="10">
        <v>128853.12964</v>
      </c>
      <c r="CM9" s="10">
        <v>174357.0594</v>
      </c>
      <c r="CN9" s="10">
        <v>204669.6594</v>
      </c>
      <c r="CO9" s="10">
        <v>112726.2919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/>
      <c r="DD9" s="10">
        <v>0</v>
      </c>
      <c r="DE9" s="10">
        <v>0</v>
      </c>
      <c r="DF9" s="10">
        <v>0</v>
      </c>
      <c r="DG9" s="10"/>
      <c r="DH9" s="10">
        <v>0</v>
      </c>
      <c r="DI9" s="10">
        <v>0</v>
      </c>
    </row>
    <row r="10" spans="1:113" x14ac:dyDescent="0.35">
      <c r="A10" s="8">
        <v>46180</v>
      </c>
      <c r="B10" s="9">
        <v>1186738343.8168299</v>
      </c>
      <c r="C10" s="10">
        <v>249872796.23649201</v>
      </c>
      <c r="D10" s="10">
        <v>69373462.668359995</v>
      </c>
      <c r="E10" s="10">
        <v>220537879.01539999</v>
      </c>
      <c r="F10" s="10">
        <v>131363071.78845</v>
      </c>
      <c r="G10" s="10">
        <v>116986819.0345</v>
      </c>
      <c r="H10" s="10">
        <v>14368457.02448</v>
      </c>
      <c r="I10" s="10">
        <v>58711213.752640001</v>
      </c>
      <c r="J10" s="10">
        <v>22829198.321570002</v>
      </c>
      <c r="K10" s="10">
        <v>15604882.9866</v>
      </c>
      <c r="L10" s="10">
        <v>6478333.0482299998</v>
      </c>
      <c r="M10" s="10">
        <v>9394972.8843399994</v>
      </c>
      <c r="N10" s="10">
        <v>8707106.7218789998</v>
      </c>
      <c r="O10" s="10">
        <v>5120170.037521</v>
      </c>
      <c r="P10" s="10">
        <v>20892568.646200001</v>
      </c>
      <c r="Q10" s="10">
        <v>5003290.8620699998</v>
      </c>
      <c r="R10" s="10">
        <v>3349495.4634600002</v>
      </c>
      <c r="S10" s="10">
        <v>36951738.6611</v>
      </c>
      <c r="T10" s="10">
        <v>3191089.7709860001</v>
      </c>
      <c r="U10" s="10">
        <v>11107707.38336</v>
      </c>
      <c r="V10" s="10">
        <v>78309138.427600205</v>
      </c>
      <c r="W10" s="10">
        <v>1980576.0574399999</v>
      </c>
      <c r="X10" s="10">
        <v>15117216.19115</v>
      </c>
      <c r="Y10" s="10">
        <v>2851418.2848899998</v>
      </c>
      <c r="Z10" s="10">
        <v>8320176.6586100003</v>
      </c>
      <c r="AA10" s="10">
        <v>713907.10225999996</v>
      </c>
      <c r="AB10" s="10">
        <v>5403931.29495</v>
      </c>
      <c r="AC10" s="10">
        <v>1660411.4342700001</v>
      </c>
      <c r="AD10" s="10">
        <v>1727712.2841</v>
      </c>
      <c r="AE10" s="10">
        <v>1433345.7198099999</v>
      </c>
      <c r="AF10" s="10">
        <v>1962427.83531</v>
      </c>
      <c r="AG10" s="10">
        <v>1620841.0019</v>
      </c>
      <c r="AH10" s="10">
        <v>1718050.1647999999</v>
      </c>
      <c r="AI10" s="10">
        <v>2534220.8983100001</v>
      </c>
      <c r="AJ10" s="10">
        <v>10702598.5809</v>
      </c>
      <c r="AK10" s="10">
        <v>106549.802733</v>
      </c>
      <c r="AL10" s="10">
        <v>3588052.7214500001</v>
      </c>
      <c r="AM10" s="10">
        <v>11524092.32179</v>
      </c>
      <c r="AN10" s="10">
        <v>4795551.44288</v>
      </c>
      <c r="AO10" s="10">
        <v>254726.51965</v>
      </c>
      <c r="AP10" s="10">
        <v>5769180.7411099998</v>
      </c>
      <c r="AQ10" s="10">
        <v>412677.95921900001</v>
      </c>
      <c r="AR10" s="10">
        <v>319489.20817</v>
      </c>
      <c r="AS10" s="10">
        <v>5277.609872</v>
      </c>
      <c r="AT10" s="10">
        <v>1350542.7274499999</v>
      </c>
      <c r="AU10" s="10">
        <v>1173943.1949</v>
      </c>
      <c r="AV10" s="10">
        <v>732279.28729999997</v>
      </c>
      <c r="AW10" s="10">
        <v>632927.63390000002</v>
      </c>
      <c r="AX10" s="10">
        <v>275372.95101999998</v>
      </c>
      <c r="AY10" s="10">
        <v>1153357.62546</v>
      </c>
      <c r="AZ10" s="10">
        <v>665156.65706</v>
      </c>
      <c r="BA10" s="10">
        <v>24046.394400000001</v>
      </c>
      <c r="BB10" s="10">
        <v>101145.56701</v>
      </c>
      <c r="BC10" s="10">
        <v>1030356.49792</v>
      </c>
      <c r="BD10" s="10">
        <v>1357592.9369399999</v>
      </c>
      <c r="BE10" s="10">
        <v>559062.61973799998</v>
      </c>
      <c r="BF10" s="10">
        <v>270347.01026000001</v>
      </c>
      <c r="BG10" s="10">
        <v>276377.74579999998</v>
      </c>
      <c r="BH10" s="10">
        <v>887834.29330000002</v>
      </c>
      <c r="BI10" s="10">
        <v>534764.27119999996</v>
      </c>
      <c r="BJ10" s="10">
        <v>29866.449000000001</v>
      </c>
      <c r="BK10" s="10">
        <v>185286.27429999999</v>
      </c>
      <c r="BL10" s="10">
        <v>38270.554100000001</v>
      </c>
      <c r="BM10" s="10">
        <v>89285.409799999994</v>
      </c>
      <c r="BN10" s="10">
        <v>4295.56477</v>
      </c>
      <c r="BO10" s="10">
        <v>450.48063999999999</v>
      </c>
      <c r="BP10" s="10">
        <v>347993.22073</v>
      </c>
      <c r="BQ10" s="10">
        <v>3713.75992</v>
      </c>
      <c r="BR10" s="10">
        <v>360.61275999999998</v>
      </c>
      <c r="BS10" s="10">
        <v>662.289897</v>
      </c>
      <c r="BT10" s="10">
        <v>267028.79619999998</v>
      </c>
      <c r="BU10" s="10">
        <v>152.32016999999999</v>
      </c>
      <c r="BV10" s="10">
        <v>26983.106110000001</v>
      </c>
      <c r="BW10" s="10">
        <v>346181.49589999998</v>
      </c>
      <c r="BX10" s="10">
        <v>20183.829833</v>
      </c>
      <c r="BY10" s="10">
        <v>20981.439350000001</v>
      </c>
      <c r="BZ10" s="10">
        <v>0</v>
      </c>
      <c r="CA10" s="10">
        <v>343954.72970999999</v>
      </c>
      <c r="CB10" s="10">
        <v>494328.64857999998</v>
      </c>
      <c r="CC10" s="10">
        <v>616.14787999999999</v>
      </c>
      <c r="CD10" s="10">
        <v>1562.88798</v>
      </c>
      <c r="CE10" s="10">
        <v>59777.247042000003</v>
      </c>
      <c r="CF10" s="10">
        <v>31685.1338</v>
      </c>
      <c r="CG10" s="10">
        <v>152018.8665</v>
      </c>
      <c r="CH10" s="10">
        <v>0</v>
      </c>
      <c r="CI10" s="10">
        <v>274725.402</v>
      </c>
      <c r="CJ10" s="10">
        <v>0</v>
      </c>
      <c r="CK10" s="10">
        <v>174354.79305000001</v>
      </c>
      <c r="CL10" s="10">
        <v>101835.86074</v>
      </c>
      <c r="CM10" s="10">
        <v>985.51919999999996</v>
      </c>
      <c r="CN10" s="10">
        <v>10305.7071</v>
      </c>
      <c r="CO10" s="10">
        <v>9565.2852999999996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/>
      <c r="DD10" s="10">
        <v>0</v>
      </c>
      <c r="DE10" s="10">
        <v>0</v>
      </c>
      <c r="DF10" s="10">
        <v>0</v>
      </c>
      <c r="DG10" s="10"/>
      <c r="DH10" s="10">
        <v>0</v>
      </c>
      <c r="DI10" s="10">
        <v>0</v>
      </c>
    </row>
    <row r="11" spans="1:113" x14ac:dyDescent="0.35">
      <c r="A11" s="8">
        <v>46179</v>
      </c>
      <c r="B11" s="9">
        <v>772379143.77330899</v>
      </c>
      <c r="C11" s="10">
        <v>76899444.892130002</v>
      </c>
      <c r="D11" s="10">
        <v>12658575.328609999</v>
      </c>
      <c r="E11" s="10">
        <v>145858880.9456</v>
      </c>
      <c r="F11" s="10">
        <v>46028016.065020002</v>
      </c>
      <c r="G11" s="10">
        <v>105180984.0007</v>
      </c>
      <c r="H11" s="10">
        <v>15652396.234440001</v>
      </c>
      <c r="I11" s="10">
        <v>60344347.063170001</v>
      </c>
      <c r="J11" s="10">
        <v>24739014.681930002</v>
      </c>
      <c r="K11" s="10">
        <v>13224548.0142</v>
      </c>
      <c r="L11" s="10">
        <v>11050550.877289999</v>
      </c>
      <c r="M11" s="10">
        <v>16477676.55325</v>
      </c>
      <c r="N11" s="10">
        <v>12198801.654309999</v>
      </c>
      <c r="O11" s="10">
        <v>11054881.14237</v>
      </c>
      <c r="P11" s="10">
        <v>11388957.940199999</v>
      </c>
      <c r="Q11" s="10">
        <v>6924952.4083000002</v>
      </c>
      <c r="R11" s="10">
        <v>1736429.5373500001</v>
      </c>
      <c r="S11" s="10">
        <v>48096894.574100003</v>
      </c>
      <c r="T11" s="10">
        <v>5397128.553483</v>
      </c>
      <c r="U11" s="10">
        <v>5014663.29849</v>
      </c>
      <c r="V11" s="10">
        <v>4599481.4462000001</v>
      </c>
      <c r="W11" s="10">
        <v>4334053.5751499999</v>
      </c>
      <c r="X11" s="10">
        <v>7414346.1694</v>
      </c>
      <c r="Y11" s="10">
        <v>4155060.37971</v>
      </c>
      <c r="Z11" s="10">
        <v>25753942.050779998</v>
      </c>
      <c r="AA11" s="10">
        <v>518694.81753</v>
      </c>
      <c r="AB11" s="10">
        <v>6922995.0793899996</v>
      </c>
      <c r="AC11" s="10">
        <v>5115309.9630000005</v>
      </c>
      <c r="AD11" s="10">
        <v>5439752.7496999996</v>
      </c>
      <c r="AE11" s="10">
        <v>381383.01381999999</v>
      </c>
      <c r="AF11" s="10">
        <v>3856623.9374199999</v>
      </c>
      <c r="AG11" s="10">
        <v>7767206.7093000002</v>
      </c>
      <c r="AH11" s="10">
        <v>2978768.5050900001</v>
      </c>
      <c r="AI11" s="10">
        <v>6564596.1997100003</v>
      </c>
      <c r="AJ11" s="10">
        <v>8688317.3335000109</v>
      </c>
      <c r="AK11" s="10">
        <v>5499.6415440000001</v>
      </c>
      <c r="AL11" s="10">
        <v>5555247.4872899996</v>
      </c>
      <c r="AM11" s="10">
        <v>1959172.0234399999</v>
      </c>
      <c r="AN11" s="10">
        <v>8674772.0436700005</v>
      </c>
      <c r="AO11" s="10">
        <v>2024658.2001499999</v>
      </c>
      <c r="AP11" s="10">
        <v>4521027.0711899996</v>
      </c>
      <c r="AQ11" s="10">
        <v>471635.028903</v>
      </c>
      <c r="AR11" s="10">
        <v>638943.43420999998</v>
      </c>
      <c r="AS11" s="10">
        <v>39419.861801999999</v>
      </c>
      <c r="AT11" s="10">
        <v>1121161.0308900001</v>
      </c>
      <c r="AU11" s="10">
        <v>2996557.1744900001</v>
      </c>
      <c r="AV11" s="10">
        <v>2250648.2883000001</v>
      </c>
      <c r="AW11" s="10">
        <v>823672.43629999994</v>
      </c>
      <c r="AX11" s="10">
        <v>226920.74041</v>
      </c>
      <c r="AY11" s="10">
        <v>2035104.6829299999</v>
      </c>
      <c r="AZ11" s="10">
        <v>1264150.9162000001</v>
      </c>
      <c r="BA11" s="10">
        <v>7550.4413999999997</v>
      </c>
      <c r="BB11" s="10">
        <v>173373.38359000001</v>
      </c>
      <c r="BC11" s="10">
        <v>249278.9852</v>
      </c>
      <c r="BD11" s="10">
        <v>2433961.02709</v>
      </c>
      <c r="BE11" s="10">
        <v>845671.67260000005</v>
      </c>
      <c r="BF11" s="10">
        <v>149359.23125000001</v>
      </c>
      <c r="BG11" s="10">
        <v>454700.07049999997</v>
      </c>
      <c r="BH11" s="10">
        <v>3703059.0104999999</v>
      </c>
      <c r="BI11" s="10">
        <v>142343.90937000001</v>
      </c>
      <c r="BJ11" s="10">
        <v>4132.4294200000004</v>
      </c>
      <c r="BK11" s="10">
        <v>225812.23790000001</v>
      </c>
      <c r="BL11" s="10">
        <v>111685.7727</v>
      </c>
      <c r="BM11" s="10">
        <v>107697.62632</v>
      </c>
      <c r="BN11" s="10">
        <v>17224.400679999999</v>
      </c>
      <c r="BO11" s="10">
        <v>2234.3042399999999</v>
      </c>
      <c r="BP11" s="10">
        <v>212364.00435</v>
      </c>
      <c r="BQ11" s="10">
        <v>5541.6124799999998</v>
      </c>
      <c r="BR11" s="10">
        <v>2945.24296</v>
      </c>
      <c r="BS11" s="10">
        <v>1420687.4698010001</v>
      </c>
      <c r="BT11" s="10">
        <v>627015.90020000003</v>
      </c>
      <c r="BU11" s="10">
        <v>2519.4899999999998</v>
      </c>
      <c r="BV11" s="10">
        <v>108966.28476</v>
      </c>
      <c r="BW11" s="10">
        <v>145843.19870000001</v>
      </c>
      <c r="BX11" s="10">
        <v>0</v>
      </c>
      <c r="BY11" s="10">
        <v>97019.740510000003</v>
      </c>
      <c r="BZ11" s="10">
        <v>0</v>
      </c>
      <c r="CA11" s="10">
        <v>91448.269199999995</v>
      </c>
      <c r="CB11" s="10">
        <v>77934.268970000005</v>
      </c>
      <c r="CC11" s="10">
        <v>372.21039999999999</v>
      </c>
      <c r="CD11" s="10">
        <v>12360.556759999999</v>
      </c>
      <c r="CE11" s="10">
        <v>598407.21185600001</v>
      </c>
      <c r="CF11" s="10">
        <v>350.79505999999998</v>
      </c>
      <c r="CG11" s="10">
        <v>328192.90980000002</v>
      </c>
      <c r="CH11" s="10">
        <v>2740.7220000000002</v>
      </c>
      <c r="CI11" s="10">
        <v>905767.22470000002</v>
      </c>
      <c r="CJ11" s="10">
        <v>204.9948</v>
      </c>
      <c r="CK11" s="10">
        <v>6574.1257800000003</v>
      </c>
      <c r="CL11" s="10">
        <v>46664.207199999997</v>
      </c>
      <c r="CM11" s="10">
        <v>1013.851</v>
      </c>
      <c r="CN11" s="10">
        <v>19536.9136</v>
      </c>
      <c r="CO11" s="10">
        <v>10322.309300000001</v>
      </c>
      <c r="CP11" s="10"/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/>
      <c r="DD11" s="10">
        <v>0</v>
      </c>
      <c r="DE11" s="10">
        <v>0</v>
      </c>
      <c r="DF11" s="10">
        <v>0</v>
      </c>
      <c r="DG11" s="10"/>
      <c r="DH11" s="10">
        <v>0</v>
      </c>
      <c r="DI11" s="10">
        <v>0</v>
      </c>
    </row>
    <row r="12" spans="1:113" x14ac:dyDescent="0.35">
      <c r="A12" s="8">
        <v>46178</v>
      </c>
      <c r="B12" s="9">
        <v>4111450120.4296098</v>
      </c>
      <c r="C12" s="10">
        <v>354980070.55195099</v>
      </c>
      <c r="D12" s="10">
        <v>165061849.29177001</v>
      </c>
      <c r="E12" s="10">
        <v>1004616563.9724</v>
      </c>
      <c r="F12" s="10">
        <v>189326572.17120001</v>
      </c>
      <c r="G12" s="10">
        <v>895764710.74399996</v>
      </c>
      <c r="H12" s="10">
        <v>58593401.552280001</v>
      </c>
      <c r="I12" s="10">
        <v>319552541.51108998</v>
      </c>
      <c r="J12" s="10">
        <v>152749752.46164</v>
      </c>
      <c r="K12" s="10">
        <v>111341477.8422</v>
      </c>
      <c r="L12" s="10">
        <v>28592000.284389999</v>
      </c>
      <c r="M12" s="10">
        <v>43525749.252580002</v>
      </c>
      <c r="N12" s="10">
        <v>35183945.729134001</v>
      </c>
      <c r="O12" s="10">
        <v>11894127.415000999</v>
      </c>
      <c r="P12" s="10">
        <v>30910253.094799999</v>
      </c>
      <c r="Q12" s="10">
        <v>18351515.05635</v>
      </c>
      <c r="R12" s="10">
        <v>5403142.7265600003</v>
      </c>
      <c r="S12" s="10">
        <v>163068069.20879999</v>
      </c>
      <c r="T12" s="10">
        <v>12721327.420700001</v>
      </c>
      <c r="U12" s="10">
        <v>26322742.02871</v>
      </c>
      <c r="V12" s="10">
        <v>77113639.150000006</v>
      </c>
      <c r="W12" s="10">
        <v>12249839.16364</v>
      </c>
      <c r="X12" s="10">
        <v>39871296.056380004</v>
      </c>
      <c r="Y12" s="10">
        <v>10477553.668439999</v>
      </c>
      <c r="Z12" s="10">
        <v>37950958.644000001</v>
      </c>
      <c r="AA12" s="10">
        <v>1385001.83024</v>
      </c>
      <c r="AB12" s="10">
        <v>14384833.5441</v>
      </c>
      <c r="AC12" s="10">
        <v>7623829.8022800004</v>
      </c>
      <c r="AD12" s="10">
        <v>8173955.4351000004</v>
      </c>
      <c r="AE12" s="10">
        <v>4635070.9638799997</v>
      </c>
      <c r="AF12" s="10">
        <v>14925316.845410001</v>
      </c>
      <c r="AG12" s="10">
        <v>2068421.4705000001</v>
      </c>
      <c r="AH12" s="10">
        <v>11890138.457049999</v>
      </c>
      <c r="AI12" s="10">
        <v>10574678.982559999</v>
      </c>
      <c r="AJ12" s="10">
        <v>34978817.105800003</v>
      </c>
      <c r="AK12" s="10">
        <v>183495.18993399999</v>
      </c>
      <c r="AL12" s="10">
        <v>8808387.3045000006</v>
      </c>
      <c r="AM12" s="10">
        <v>24657322.923549999</v>
      </c>
      <c r="AN12" s="10">
        <v>5541304.0809500003</v>
      </c>
      <c r="AO12" s="10">
        <v>1587384.69655</v>
      </c>
      <c r="AP12" s="10">
        <v>31937584.373160001</v>
      </c>
      <c r="AQ12" s="10">
        <v>729784.72782300005</v>
      </c>
      <c r="AR12" s="10">
        <v>3534691.7454200001</v>
      </c>
      <c r="AS12" s="10">
        <v>531943.57496899995</v>
      </c>
      <c r="AT12" s="10">
        <v>13973495.148220001</v>
      </c>
      <c r="AU12" s="10">
        <v>6241015.2438000003</v>
      </c>
      <c r="AV12" s="10">
        <v>16417053.1919</v>
      </c>
      <c r="AW12" s="10">
        <v>12901640.399</v>
      </c>
      <c r="AX12" s="10">
        <v>508519.70844999998</v>
      </c>
      <c r="AY12" s="10">
        <v>1827710.513</v>
      </c>
      <c r="AZ12" s="10">
        <v>25223836.94447</v>
      </c>
      <c r="BA12" s="10">
        <v>42068.044300000001</v>
      </c>
      <c r="BB12" s="10">
        <v>1026079.34672</v>
      </c>
      <c r="BC12" s="10">
        <v>2724293.0274700001</v>
      </c>
      <c r="BD12" s="10">
        <v>4969453.70811</v>
      </c>
      <c r="BE12" s="10">
        <v>612196.55996400001</v>
      </c>
      <c r="BF12" s="10">
        <v>1302483.1634800001</v>
      </c>
      <c r="BG12" s="10">
        <v>461023.38780000003</v>
      </c>
      <c r="BH12" s="10">
        <v>11188149.2129</v>
      </c>
      <c r="BI12" s="10">
        <v>343623.49368000001</v>
      </c>
      <c r="BJ12" s="10">
        <v>437854.92703000002</v>
      </c>
      <c r="BK12" s="10">
        <v>360170.90130000003</v>
      </c>
      <c r="BL12" s="10">
        <v>109571.55220000001</v>
      </c>
      <c r="BM12" s="10">
        <v>298823.28755000001</v>
      </c>
      <c r="BN12" s="10">
        <v>190673.78172999999</v>
      </c>
      <c r="BO12" s="10">
        <v>6641.1483399999997</v>
      </c>
      <c r="BP12" s="10">
        <v>1866596.9221300001</v>
      </c>
      <c r="BQ12" s="10">
        <v>235088.16748</v>
      </c>
      <c r="BR12" s="10">
        <v>20793.443169999999</v>
      </c>
      <c r="BS12" s="10">
        <v>262853.21388200001</v>
      </c>
      <c r="BT12" s="10">
        <v>2208547.4465000001</v>
      </c>
      <c r="BU12" s="10">
        <v>5417.2405099999996</v>
      </c>
      <c r="BV12" s="10">
        <v>73901.558229999995</v>
      </c>
      <c r="BW12" s="10">
        <v>2190253.2451999998</v>
      </c>
      <c r="BX12" s="10">
        <v>262835.51865899999</v>
      </c>
      <c r="BY12" s="10">
        <v>251163.69758000001</v>
      </c>
      <c r="BZ12" s="10">
        <v>0</v>
      </c>
      <c r="CA12" s="10">
        <v>871157.90125</v>
      </c>
      <c r="CB12" s="10">
        <v>154644.45344000001</v>
      </c>
      <c r="CC12" s="10">
        <v>166274.28241000001</v>
      </c>
      <c r="CD12" s="10">
        <v>208961.21781</v>
      </c>
      <c r="CE12" s="10">
        <v>443391.11242000002</v>
      </c>
      <c r="CF12" s="10">
        <v>590350.55241</v>
      </c>
      <c r="CG12" s="10">
        <v>4440622.0001999997</v>
      </c>
      <c r="CH12" s="10">
        <v>21540.0167</v>
      </c>
      <c r="CI12" s="10">
        <v>434810.42989999999</v>
      </c>
      <c r="CJ12" s="10">
        <v>16524.077063000001</v>
      </c>
      <c r="CK12" s="10">
        <v>1065416.75743</v>
      </c>
      <c r="CL12" s="10">
        <v>353675.94413000002</v>
      </c>
      <c r="CM12" s="10">
        <v>205099.0355</v>
      </c>
      <c r="CN12" s="10">
        <v>38098.976999999999</v>
      </c>
      <c r="CO12" s="10">
        <v>120664.4754</v>
      </c>
      <c r="CP12" s="10"/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/>
      <c r="DD12" s="10">
        <v>0</v>
      </c>
      <c r="DE12" s="10">
        <v>0</v>
      </c>
      <c r="DF12" s="10">
        <v>0</v>
      </c>
      <c r="DG12" s="10"/>
      <c r="DH12" s="10">
        <v>0</v>
      </c>
      <c r="DI12" s="10">
        <v>0</v>
      </c>
    </row>
    <row r="13" spans="1:113" x14ac:dyDescent="0.35">
      <c r="A13" s="8">
        <v>46177</v>
      </c>
      <c r="B13" s="9">
        <v>3001020562.1466198</v>
      </c>
      <c r="C13" s="10">
        <v>288897289.76051301</v>
      </c>
      <c r="D13" s="10">
        <v>100486011.35258</v>
      </c>
      <c r="E13" s="10">
        <v>624268717.88000095</v>
      </c>
      <c r="F13" s="10">
        <v>160143249.72296</v>
      </c>
      <c r="G13" s="10">
        <v>516113344.91939998</v>
      </c>
      <c r="H13" s="10">
        <v>38997916.03435</v>
      </c>
      <c r="I13" s="10">
        <v>228479103.34761</v>
      </c>
      <c r="J13" s="10">
        <v>92389133.590020001</v>
      </c>
      <c r="K13" s="10">
        <v>100202598.83050001</v>
      </c>
      <c r="L13" s="10">
        <v>16397778.241040001</v>
      </c>
      <c r="M13" s="10">
        <v>65563091.658299997</v>
      </c>
      <c r="N13" s="10">
        <v>31032484.074087001</v>
      </c>
      <c r="O13" s="10">
        <v>9713206.256608</v>
      </c>
      <c r="P13" s="10">
        <v>40653790.434600003</v>
      </c>
      <c r="Q13" s="10">
        <v>25230110.911850002</v>
      </c>
      <c r="R13" s="10">
        <v>6790432.2207199996</v>
      </c>
      <c r="S13" s="10">
        <v>196757380.8405</v>
      </c>
      <c r="T13" s="10">
        <v>8702011.1595629994</v>
      </c>
      <c r="U13" s="10">
        <v>35094232.514880002</v>
      </c>
      <c r="V13" s="10">
        <v>54058191.465599999</v>
      </c>
      <c r="W13" s="10">
        <v>10034853.546560001</v>
      </c>
      <c r="X13" s="10">
        <v>18568873.232779998</v>
      </c>
      <c r="Y13" s="10">
        <v>5304230.7145499997</v>
      </c>
      <c r="Z13" s="10">
        <v>14252159.052610001</v>
      </c>
      <c r="AA13" s="10">
        <v>983601.49532000103</v>
      </c>
      <c r="AB13" s="10">
        <v>20398842.571219999</v>
      </c>
      <c r="AC13" s="10">
        <v>6234122.8338599997</v>
      </c>
      <c r="AD13" s="10">
        <v>8512737.8424999993</v>
      </c>
      <c r="AE13" s="10">
        <v>1974072.73633</v>
      </c>
      <c r="AF13" s="10">
        <v>5778476.6610899996</v>
      </c>
      <c r="AG13" s="10">
        <v>1638406.5146999999</v>
      </c>
      <c r="AH13" s="10">
        <v>7198426.6527500004</v>
      </c>
      <c r="AI13" s="10">
        <v>3885975.9322299999</v>
      </c>
      <c r="AJ13" s="10">
        <v>21097789.054200001</v>
      </c>
      <c r="AK13" s="10">
        <v>715384.39217200002</v>
      </c>
      <c r="AL13" s="10">
        <v>9667372.6556000002</v>
      </c>
      <c r="AM13" s="10">
        <v>19774969.95891</v>
      </c>
      <c r="AN13" s="10">
        <v>4607350.0832799999</v>
      </c>
      <c r="AO13" s="10">
        <v>531454.38662999996</v>
      </c>
      <c r="AP13" s="10">
        <v>34161298.826449998</v>
      </c>
      <c r="AQ13" s="10">
        <v>980473.72405099997</v>
      </c>
      <c r="AR13" s="10">
        <v>7117051.3791699996</v>
      </c>
      <c r="AS13" s="10">
        <v>291856.84694800002</v>
      </c>
      <c r="AT13" s="10">
        <v>7784792.8887999998</v>
      </c>
      <c r="AU13" s="10">
        <v>5760193.4214000003</v>
      </c>
      <c r="AV13" s="10">
        <v>18152517.9745</v>
      </c>
      <c r="AW13" s="10">
        <v>20855642.239599999</v>
      </c>
      <c r="AX13" s="10">
        <v>915611.01259000006</v>
      </c>
      <c r="AY13" s="10">
        <v>1245056.2834000001</v>
      </c>
      <c r="AZ13" s="10">
        <v>55450743.446089998</v>
      </c>
      <c r="BA13" s="10">
        <v>17595.137900000002</v>
      </c>
      <c r="BB13" s="10">
        <v>367114.43160000001</v>
      </c>
      <c r="BC13" s="10">
        <v>3643573.8110699998</v>
      </c>
      <c r="BD13" s="10">
        <v>2775694.9313400001</v>
      </c>
      <c r="BE13" s="10">
        <v>252099.053338</v>
      </c>
      <c r="BF13" s="10">
        <v>846533.07698000001</v>
      </c>
      <c r="BG13" s="10">
        <v>341510.05119999999</v>
      </c>
      <c r="BH13" s="10">
        <v>19739934.398699999</v>
      </c>
      <c r="BI13" s="10">
        <v>1349156.92448</v>
      </c>
      <c r="BJ13" s="10">
        <v>515685.12362000003</v>
      </c>
      <c r="BK13" s="10">
        <v>235269.95699999999</v>
      </c>
      <c r="BL13" s="10">
        <v>138083.5312</v>
      </c>
      <c r="BM13" s="10">
        <v>97515.76483</v>
      </c>
      <c r="BN13" s="10">
        <v>166977.89491999999</v>
      </c>
      <c r="BO13" s="10">
        <v>9330.2567500000005</v>
      </c>
      <c r="BP13" s="10">
        <v>677260.28816999996</v>
      </c>
      <c r="BQ13" s="10">
        <v>1991.97549</v>
      </c>
      <c r="BR13" s="10">
        <v>19220.704829999999</v>
      </c>
      <c r="BS13" s="10">
        <v>347981.206573</v>
      </c>
      <c r="BT13" s="10">
        <v>2033279.9213</v>
      </c>
      <c r="BU13" s="10">
        <v>5057.3140199999998</v>
      </c>
      <c r="BV13" s="10">
        <v>27368.31466</v>
      </c>
      <c r="BW13" s="10">
        <v>2939089.2859</v>
      </c>
      <c r="BX13" s="10">
        <v>1056109.747307</v>
      </c>
      <c r="BY13" s="10">
        <v>252691.38793</v>
      </c>
      <c r="BZ13" s="10"/>
      <c r="CA13" s="10">
        <v>672307.89818000002</v>
      </c>
      <c r="CB13" s="10">
        <v>1148646.41227</v>
      </c>
      <c r="CC13" s="10">
        <v>5875.0886300000002</v>
      </c>
      <c r="CD13" s="10">
        <v>259111.92577999999</v>
      </c>
      <c r="CE13" s="10">
        <v>376708.74112000002</v>
      </c>
      <c r="CF13" s="10">
        <v>4481056.1028800001</v>
      </c>
      <c r="CG13" s="10">
        <v>312117.10100000002</v>
      </c>
      <c r="CH13" s="10">
        <v>221055.92559999999</v>
      </c>
      <c r="CI13" s="10">
        <v>534008.82909999997</v>
      </c>
      <c r="CJ13" s="10">
        <v>0</v>
      </c>
      <c r="CK13" s="10">
        <v>968053.62557999999</v>
      </c>
      <c r="CL13" s="10">
        <v>220387.98620000001</v>
      </c>
      <c r="CM13" s="10">
        <v>45370.4516</v>
      </c>
      <c r="CN13" s="10">
        <v>27061.2405</v>
      </c>
      <c r="CO13" s="10">
        <v>48262.751100000001</v>
      </c>
      <c r="CP13" s="10"/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/>
      <c r="DD13" s="10">
        <v>0</v>
      </c>
      <c r="DE13" s="10">
        <v>0</v>
      </c>
      <c r="DF13" s="10">
        <v>0</v>
      </c>
      <c r="DG13" s="10"/>
      <c r="DH13" s="10">
        <v>0</v>
      </c>
      <c r="DI13" s="10">
        <v>0</v>
      </c>
    </row>
    <row r="14" spans="1:113" x14ac:dyDescent="0.35">
      <c r="A14" s="8">
        <v>46176</v>
      </c>
      <c r="B14" s="9">
        <v>2735178865.4650102</v>
      </c>
      <c r="C14" s="10">
        <v>329533901.28939903</v>
      </c>
      <c r="D14" s="10">
        <v>124531374.56356999</v>
      </c>
      <c r="E14" s="10">
        <v>377843306.2694</v>
      </c>
      <c r="F14" s="10">
        <v>221916735.03406999</v>
      </c>
      <c r="G14" s="10">
        <v>254594918.8256</v>
      </c>
      <c r="H14" s="10">
        <v>38091558.191509999</v>
      </c>
      <c r="I14" s="10">
        <v>144904655.79519999</v>
      </c>
      <c r="J14" s="10">
        <v>92166724.697640002</v>
      </c>
      <c r="K14" s="10">
        <v>85037389.232600003</v>
      </c>
      <c r="L14" s="10">
        <v>31633537.266509999</v>
      </c>
      <c r="M14" s="10">
        <v>75230631.550400004</v>
      </c>
      <c r="N14" s="10">
        <v>36770474.388157003</v>
      </c>
      <c r="O14" s="10">
        <v>12675015.175896</v>
      </c>
      <c r="P14" s="10">
        <v>51234513.722800002</v>
      </c>
      <c r="Q14" s="10">
        <v>29846933.127009999</v>
      </c>
      <c r="R14" s="10">
        <v>5359652.3380199997</v>
      </c>
      <c r="S14" s="10">
        <v>303991421.88389999</v>
      </c>
      <c r="T14" s="10">
        <v>7105829.8360829996</v>
      </c>
      <c r="U14" s="10">
        <v>16818559.62895</v>
      </c>
      <c r="V14" s="10">
        <v>27955587.1884</v>
      </c>
      <c r="W14" s="10">
        <v>4583614.8428199999</v>
      </c>
      <c r="X14" s="10">
        <v>12641998.84911</v>
      </c>
      <c r="Y14" s="10">
        <v>24083081.679170001</v>
      </c>
      <c r="Z14" s="10">
        <v>54823660.938850001</v>
      </c>
      <c r="AA14" s="10">
        <v>1354436.7531399999</v>
      </c>
      <c r="AB14" s="10">
        <v>48273863.576509997</v>
      </c>
      <c r="AC14" s="10">
        <v>5111182.97291</v>
      </c>
      <c r="AD14" s="10">
        <v>10193873.851299999</v>
      </c>
      <c r="AE14" s="10">
        <v>1186933.71744</v>
      </c>
      <c r="AF14" s="10">
        <v>50007659.745729998</v>
      </c>
      <c r="AG14" s="10">
        <v>1711849.8807999999</v>
      </c>
      <c r="AH14" s="10">
        <v>13211855.870519999</v>
      </c>
      <c r="AI14" s="10">
        <v>7510690.9198899996</v>
      </c>
      <c r="AJ14" s="10">
        <v>18851904.1734</v>
      </c>
      <c r="AK14" s="10">
        <v>143167.487467</v>
      </c>
      <c r="AL14" s="10">
        <v>14802879.009400001</v>
      </c>
      <c r="AM14" s="10">
        <v>13862808.793919999</v>
      </c>
      <c r="AN14" s="10">
        <v>5255196.22425</v>
      </c>
      <c r="AO14" s="10">
        <v>1278899.504</v>
      </c>
      <c r="AP14" s="10">
        <v>50551163.377049997</v>
      </c>
      <c r="AQ14" s="10">
        <v>1305198.6751079999</v>
      </c>
      <c r="AR14" s="10">
        <v>2216167.1834100001</v>
      </c>
      <c r="AS14" s="10">
        <v>451193.98320900003</v>
      </c>
      <c r="AT14" s="10">
        <v>17065685.21827</v>
      </c>
      <c r="AU14" s="10">
        <v>6604142.4970000004</v>
      </c>
      <c r="AV14" s="10">
        <v>38965246.973899998</v>
      </c>
      <c r="AW14" s="10">
        <v>19129614.929000001</v>
      </c>
      <c r="AX14" s="10">
        <v>1538784.8497200001</v>
      </c>
      <c r="AY14" s="10">
        <v>4828721.8014200004</v>
      </c>
      <c r="AZ14" s="10">
        <v>2594473.65974</v>
      </c>
      <c r="BA14" s="10">
        <v>8945.4145000000008</v>
      </c>
      <c r="BB14" s="10">
        <v>484741.90999000001</v>
      </c>
      <c r="BC14" s="10">
        <v>3669786.3171899999</v>
      </c>
      <c r="BD14" s="10">
        <v>1366555.8788600001</v>
      </c>
      <c r="BE14" s="10">
        <v>629254.69712100003</v>
      </c>
      <c r="BF14" s="10">
        <v>497196.83497999999</v>
      </c>
      <c r="BG14" s="10">
        <v>125658.7861</v>
      </c>
      <c r="BH14" s="10">
        <v>7848454.9804999996</v>
      </c>
      <c r="BI14" s="10">
        <v>4089776.02617</v>
      </c>
      <c r="BJ14" s="10">
        <v>55943.955800000003</v>
      </c>
      <c r="BK14" s="10">
        <v>290504.40850000002</v>
      </c>
      <c r="BL14" s="10">
        <v>98033.101599999995</v>
      </c>
      <c r="BM14" s="10">
        <v>281562.15363000002</v>
      </c>
      <c r="BN14" s="10">
        <v>87208.91416</v>
      </c>
      <c r="BO14" s="10">
        <v>26876.545040000001</v>
      </c>
      <c r="BP14" s="10">
        <v>702565.41873999999</v>
      </c>
      <c r="BQ14" s="10">
        <v>684.23943999999995</v>
      </c>
      <c r="BR14" s="10">
        <v>2777.60554</v>
      </c>
      <c r="BS14" s="10">
        <v>537528.43481500004</v>
      </c>
      <c r="BT14" s="10">
        <v>4380052.1490000002</v>
      </c>
      <c r="BU14" s="10">
        <v>12118.508459999999</v>
      </c>
      <c r="BV14" s="10">
        <v>85221.587820000001</v>
      </c>
      <c r="BW14" s="10">
        <v>3392158.9662000001</v>
      </c>
      <c r="BX14" s="10">
        <v>259790.31238700001</v>
      </c>
      <c r="BY14" s="10">
        <v>424339.50795</v>
      </c>
      <c r="BZ14" s="10"/>
      <c r="CA14" s="10">
        <v>525800.20643999998</v>
      </c>
      <c r="CB14" s="10">
        <v>29673.700400000002</v>
      </c>
      <c r="CC14" s="10">
        <v>1767.98234</v>
      </c>
      <c r="CD14" s="10">
        <v>678513.76729999995</v>
      </c>
      <c r="CE14" s="10">
        <v>226410.15857</v>
      </c>
      <c r="CF14" s="10">
        <v>13091.164059999999</v>
      </c>
      <c r="CG14" s="10"/>
      <c r="CH14" s="10">
        <v>202201.10759999999</v>
      </c>
      <c r="CI14" s="10">
        <v>502594.03659999999</v>
      </c>
      <c r="CJ14" s="10">
        <v>99.85</v>
      </c>
      <c r="CK14" s="10">
        <v>1333316.7667400001</v>
      </c>
      <c r="CL14" s="10">
        <v>319639.59080000001</v>
      </c>
      <c r="CM14" s="10">
        <v>80121.974400000006</v>
      </c>
      <c r="CN14" s="10">
        <v>215315.41529999999</v>
      </c>
      <c r="CO14" s="10">
        <v>309911.14640000003</v>
      </c>
      <c r="CP14" s="10"/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/>
      <c r="DD14" s="10">
        <v>0</v>
      </c>
      <c r="DE14" s="10">
        <v>0</v>
      </c>
      <c r="DF14" s="10">
        <v>0</v>
      </c>
      <c r="DG14" s="10"/>
      <c r="DH14" s="10">
        <v>0</v>
      </c>
      <c r="DI14" s="10">
        <v>0</v>
      </c>
    </row>
    <row r="15" spans="1:113" x14ac:dyDescent="0.35">
      <c r="A15" s="8">
        <v>46175</v>
      </c>
      <c r="B15" s="9">
        <v>2485225063.0606098</v>
      </c>
      <c r="C15" s="10">
        <v>345910195.36497903</v>
      </c>
      <c r="D15" s="10">
        <v>110119372.53138</v>
      </c>
      <c r="E15" s="10">
        <v>384920576.26209998</v>
      </c>
      <c r="F15" s="10">
        <v>191310088.30096</v>
      </c>
      <c r="G15" s="10">
        <v>200429638.67359999</v>
      </c>
      <c r="H15" s="10">
        <v>35669623.149279997</v>
      </c>
      <c r="I15" s="10">
        <v>160966745.7096</v>
      </c>
      <c r="J15" s="10">
        <v>144428519.60137001</v>
      </c>
      <c r="K15" s="10">
        <v>66567155.3109001</v>
      </c>
      <c r="L15" s="10">
        <v>21336812.10667</v>
      </c>
      <c r="M15" s="10">
        <v>39659527.052500002</v>
      </c>
      <c r="N15" s="10">
        <v>30604851.985622998</v>
      </c>
      <c r="O15" s="10">
        <v>13693419.137254</v>
      </c>
      <c r="P15" s="10">
        <v>13417853.736099999</v>
      </c>
      <c r="Q15" s="10">
        <v>35376866.065219998</v>
      </c>
      <c r="R15" s="10">
        <v>5799370.5088200001</v>
      </c>
      <c r="S15" s="10">
        <v>265120761.6155</v>
      </c>
      <c r="T15" s="10">
        <v>7976107.7081810003</v>
      </c>
      <c r="U15" s="10">
        <v>16558847.14171</v>
      </c>
      <c r="V15" s="10">
        <v>35193465.436300002</v>
      </c>
      <c r="W15" s="10">
        <v>4870543.6455100002</v>
      </c>
      <c r="X15" s="10">
        <v>22153671.319249999</v>
      </c>
      <c r="Y15" s="10">
        <v>13007874.387359999</v>
      </c>
      <c r="Z15" s="10">
        <v>25716715.970869999</v>
      </c>
      <c r="AA15" s="10">
        <v>1737657.3836999999</v>
      </c>
      <c r="AB15" s="10">
        <v>19256244.859269999</v>
      </c>
      <c r="AC15" s="10">
        <v>7567352.0517199999</v>
      </c>
      <c r="AD15" s="10">
        <v>19923081.060199998</v>
      </c>
      <c r="AE15" s="10">
        <v>1936260.1641899999</v>
      </c>
      <c r="AF15" s="10">
        <v>20443343.093320001</v>
      </c>
      <c r="AG15" s="10">
        <v>4794212.9046</v>
      </c>
      <c r="AH15" s="10">
        <v>8529369.2056699991</v>
      </c>
      <c r="AI15" s="10">
        <v>11313647.80132</v>
      </c>
      <c r="AJ15" s="10">
        <v>19976737.2553</v>
      </c>
      <c r="AK15" s="10">
        <v>384672.68279400002</v>
      </c>
      <c r="AL15" s="10">
        <v>23171665.728500001</v>
      </c>
      <c r="AM15" s="10">
        <v>14657216.592639999</v>
      </c>
      <c r="AN15" s="10">
        <v>5857574.6514499998</v>
      </c>
      <c r="AO15" s="10">
        <v>3016219.6778699998</v>
      </c>
      <c r="AP15" s="10">
        <v>22523305.116969999</v>
      </c>
      <c r="AQ15" s="10">
        <v>1953924.347821</v>
      </c>
      <c r="AR15" s="10">
        <v>2591009.2844799999</v>
      </c>
      <c r="AS15" s="10">
        <v>246959.21932199999</v>
      </c>
      <c r="AT15" s="10">
        <v>14429538.112679999</v>
      </c>
      <c r="AU15" s="10">
        <v>7085167.7394000003</v>
      </c>
      <c r="AV15" s="10">
        <v>25590110.034699999</v>
      </c>
      <c r="AW15" s="10">
        <v>21545630.57</v>
      </c>
      <c r="AX15" s="10">
        <v>986432.68469999998</v>
      </c>
      <c r="AY15" s="10">
        <v>1894802.15169</v>
      </c>
      <c r="AZ15" s="10">
        <v>2086569.41</v>
      </c>
      <c r="BA15" s="10">
        <v>19515.1113</v>
      </c>
      <c r="BB15" s="10">
        <v>673031.60360000003</v>
      </c>
      <c r="BC15" s="10">
        <v>5809596.00825</v>
      </c>
      <c r="BD15" s="10">
        <v>688236.59528999997</v>
      </c>
      <c r="BE15" s="10">
        <v>298501.03378300002</v>
      </c>
      <c r="BF15" s="10">
        <v>697779.17049000005</v>
      </c>
      <c r="BG15" s="10">
        <v>576932.82849999995</v>
      </c>
      <c r="BH15" s="10"/>
      <c r="BI15" s="10">
        <v>3413385.98807</v>
      </c>
      <c r="BJ15" s="10">
        <v>495792.73151000001</v>
      </c>
      <c r="BK15" s="10">
        <v>55541.303599999999</v>
      </c>
      <c r="BL15" s="10">
        <v>173961.55179999999</v>
      </c>
      <c r="BM15" s="10">
        <v>372004.80843999999</v>
      </c>
      <c r="BN15" s="10">
        <v>34290.684359999999</v>
      </c>
      <c r="BO15" s="10">
        <v>25480.061760000001</v>
      </c>
      <c r="BP15" s="10">
        <v>693093.55874000001</v>
      </c>
      <c r="BQ15" s="10">
        <v>31.035209999999999</v>
      </c>
      <c r="BR15" s="10">
        <v>1253.43443</v>
      </c>
      <c r="BS15" s="10">
        <v>229817.45468200001</v>
      </c>
      <c r="BT15" s="10">
        <v>6870916.8803000003</v>
      </c>
      <c r="BU15" s="10">
        <v>12872.427079999999</v>
      </c>
      <c r="BV15" s="10">
        <v>92090.326209999999</v>
      </c>
      <c r="BW15" s="10">
        <v>4927826.2901999997</v>
      </c>
      <c r="BX15" s="10">
        <v>89114.120884000004</v>
      </c>
      <c r="BY15" s="10">
        <v>1238520.69093</v>
      </c>
      <c r="BZ15" s="10"/>
      <c r="CA15" s="10">
        <v>1110121.5070199999</v>
      </c>
      <c r="CB15" s="10">
        <v>74054.669699999999</v>
      </c>
      <c r="CC15" s="10">
        <v>51641.003230000002</v>
      </c>
      <c r="CD15" s="10">
        <v>194800.10876</v>
      </c>
      <c r="CE15" s="10">
        <v>671026.74132000003</v>
      </c>
      <c r="CF15" s="10">
        <v>213011.25659999999</v>
      </c>
      <c r="CG15" s="10"/>
      <c r="CH15" s="10">
        <v>8796.2482999999993</v>
      </c>
      <c r="CI15" s="10">
        <v>359849.78029999998</v>
      </c>
      <c r="CJ15" s="10">
        <v>12595.213607</v>
      </c>
      <c r="CK15" s="10">
        <v>32527.39661</v>
      </c>
      <c r="CL15" s="10">
        <v>325558.00839999999</v>
      </c>
      <c r="CM15" s="10">
        <v>39637.003400000001</v>
      </c>
      <c r="CN15" s="10">
        <v>232011.63459999999</v>
      </c>
      <c r="CO15" s="10">
        <v>102540.284</v>
      </c>
      <c r="CP15" s="10"/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/>
      <c r="DD15" s="10">
        <v>0</v>
      </c>
      <c r="DE15" s="10">
        <v>0</v>
      </c>
      <c r="DF15" s="10">
        <v>0</v>
      </c>
      <c r="DG15" s="10"/>
      <c r="DH15" s="10">
        <v>0</v>
      </c>
      <c r="DI15" s="10">
        <v>0</v>
      </c>
    </row>
    <row r="16" spans="1:113" x14ac:dyDescent="0.35">
      <c r="A16" s="8">
        <v>46174</v>
      </c>
      <c r="B16" s="9">
        <v>2723905103.1273398</v>
      </c>
      <c r="C16" s="10">
        <v>564743628.16131699</v>
      </c>
      <c r="D16" s="10">
        <v>124610474.07052</v>
      </c>
      <c r="E16" s="10">
        <v>339069793.99680001</v>
      </c>
      <c r="F16" s="10">
        <v>320329273.21174997</v>
      </c>
      <c r="G16" s="10">
        <v>238869580.7744</v>
      </c>
      <c r="H16" s="10">
        <v>36087336.488430001</v>
      </c>
      <c r="I16" s="10">
        <v>160745101.12746</v>
      </c>
      <c r="J16" s="10">
        <v>169871670.35319999</v>
      </c>
      <c r="K16" s="10">
        <v>81666724.436399996</v>
      </c>
      <c r="L16" s="10">
        <v>21752215.164650001</v>
      </c>
      <c r="M16" s="10">
        <v>63178987.4463</v>
      </c>
      <c r="N16" s="10">
        <v>26001266.77891</v>
      </c>
      <c r="O16" s="10">
        <v>12150373.548264001</v>
      </c>
      <c r="P16" s="10">
        <v>24097020.058200002</v>
      </c>
      <c r="Q16" s="10">
        <v>26777970.312600002</v>
      </c>
      <c r="R16" s="10">
        <v>9611554.8427400105</v>
      </c>
      <c r="S16" s="10">
        <v>14226467.266000001</v>
      </c>
      <c r="T16" s="10">
        <v>16980933.594884001</v>
      </c>
      <c r="U16" s="10">
        <v>13212379.10245</v>
      </c>
      <c r="V16" s="10">
        <v>38711125.2849999</v>
      </c>
      <c r="W16" s="10">
        <v>6793360.7585399998</v>
      </c>
      <c r="X16" s="10">
        <v>28573684.44007</v>
      </c>
      <c r="Y16" s="10">
        <v>32884997.715240002</v>
      </c>
      <c r="Z16" s="10">
        <v>20789654.375190001</v>
      </c>
      <c r="AA16" s="10">
        <v>2309997.7968000001</v>
      </c>
      <c r="AB16" s="10">
        <v>31148615.815760002</v>
      </c>
      <c r="AC16" s="10">
        <v>8589969.62696</v>
      </c>
      <c r="AD16" s="10">
        <v>11799194.8171</v>
      </c>
      <c r="AE16" s="10">
        <v>2212120.16768</v>
      </c>
      <c r="AF16" s="10">
        <v>29521110.832150001</v>
      </c>
      <c r="AG16" s="10">
        <v>454954.6557</v>
      </c>
      <c r="AH16" s="10">
        <v>11416808.76443</v>
      </c>
      <c r="AI16" s="10">
        <v>5723736.3977300003</v>
      </c>
      <c r="AJ16" s="10">
        <v>25097691.078499999</v>
      </c>
      <c r="AK16" s="10">
        <v>680208.16143400001</v>
      </c>
      <c r="AL16" s="10">
        <v>29696429.9465</v>
      </c>
      <c r="AM16" s="10">
        <v>9803022.9210800007</v>
      </c>
      <c r="AN16" s="10">
        <v>6393030.6119100004</v>
      </c>
      <c r="AO16" s="10">
        <v>740024.80224999995</v>
      </c>
      <c r="AP16" s="10">
        <v>17568187.68761</v>
      </c>
      <c r="AQ16" s="10">
        <v>625516.56497499999</v>
      </c>
      <c r="AR16" s="10">
        <v>3750679.0066200001</v>
      </c>
      <c r="AS16" s="10">
        <v>808190.00632699998</v>
      </c>
      <c r="AT16" s="10">
        <v>8620235.1508799996</v>
      </c>
      <c r="AU16" s="10">
        <v>9912442.7071000002</v>
      </c>
      <c r="AV16" s="10">
        <v>50156873.7447</v>
      </c>
      <c r="AW16" s="10">
        <v>25605151.543000001</v>
      </c>
      <c r="AX16" s="10">
        <v>1204347.4124400001</v>
      </c>
      <c r="AY16" s="10">
        <v>2013151.3510700001</v>
      </c>
      <c r="AZ16" s="10">
        <v>1461374.87369</v>
      </c>
      <c r="BA16" s="10">
        <v>85230.385899999994</v>
      </c>
      <c r="BB16" s="10">
        <v>89527.386339999997</v>
      </c>
      <c r="BC16" s="10">
        <v>1074601.6757100001</v>
      </c>
      <c r="BD16" s="10">
        <v>1517190.9254399999</v>
      </c>
      <c r="BE16" s="10">
        <v>522012.76470100001</v>
      </c>
      <c r="BF16" s="10">
        <v>1543532.17964</v>
      </c>
      <c r="BG16" s="10">
        <v>2135858.7212999999</v>
      </c>
      <c r="BH16" s="10"/>
      <c r="BI16" s="10">
        <v>11099824.65243</v>
      </c>
      <c r="BJ16" s="10">
        <v>119115.95634999999</v>
      </c>
      <c r="BK16" s="10">
        <v>49295.729399999997</v>
      </c>
      <c r="BL16" s="10">
        <v>236957.30590000001</v>
      </c>
      <c r="BM16" s="10">
        <v>674928.25638000004</v>
      </c>
      <c r="BN16" s="10">
        <v>140680.57626</v>
      </c>
      <c r="BO16" s="10">
        <v>9529.6477900000009</v>
      </c>
      <c r="BP16" s="10">
        <v>739678.75113999995</v>
      </c>
      <c r="BQ16" s="10">
        <v>18060.223249999999</v>
      </c>
      <c r="BR16" s="10">
        <v>9687.5672699999996</v>
      </c>
      <c r="BS16" s="10">
        <v>136470.88732499999</v>
      </c>
      <c r="BT16" s="10">
        <v>8380215.4381999997</v>
      </c>
      <c r="BU16" s="10">
        <v>99638.88523</v>
      </c>
      <c r="BV16" s="10">
        <v>33394.648589999997</v>
      </c>
      <c r="BW16" s="10">
        <v>842558.66899999999</v>
      </c>
      <c r="BX16" s="10">
        <v>247022.38117400001</v>
      </c>
      <c r="BY16" s="10">
        <v>306435.21844999999</v>
      </c>
      <c r="BZ16" s="10"/>
      <c r="CA16" s="10">
        <v>1063284.1730599999</v>
      </c>
      <c r="CB16" s="10">
        <v>146287.79552000001</v>
      </c>
      <c r="CC16" s="10">
        <v>82088.263579999999</v>
      </c>
      <c r="CD16" s="10">
        <v>449258.59551999997</v>
      </c>
      <c r="CE16" s="10">
        <v>626803.42373000004</v>
      </c>
      <c r="CF16" s="10">
        <v>85316.076430000001</v>
      </c>
      <c r="CG16" s="10"/>
      <c r="CH16" s="10">
        <v>41107.503599999996</v>
      </c>
      <c r="CI16" s="10">
        <v>287909.516</v>
      </c>
      <c r="CJ16" s="10">
        <v>0</v>
      </c>
      <c r="CK16" s="10">
        <v>98348.054120000001</v>
      </c>
      <c r="CL16" s="10">
        <v>1235429.2352</v>
      </c>
      <c r="CM16" s="10">
        <v>14817.705599999999</v>
      </c>
      <c r="CN16" s="10">
        <v>207779.3321</v>
      </c>
      <c r="CO16" s="10">
        <v>406584.86599999998</v>
      </c>
      <c r="CP16" s="10"/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/>
      <c r="DD16" s="10">
        <v>0</v>
      </c>
      <c r="DE16" s="10">
        <v>0</v>
      </c>
      <c r="DF16" s="10">
        <v>0</v>
      </c>
      <c r="DG16" s="10"/>
      <c r="DH16" s="10">
        <v>0</v>
      </c>
      <c r="DI16" s="10">
        <v>0</v>
      </c>
    </row>
    <row r="17" spans="1:113" x14ac:dyDescent="0.35">
      <c r="A17" s="8">
        <v>46173</v>
      </c>
      <c r="B17" s="9">
        <v>504246478.17984498</v>
      </c>
      <c r="C17" s="10">
        <v>79193464.427717</v>
      </c>
      <c r="D17" s="10">
        <v>36841924.652280003</v>
      </c>
      <c r="E17" s="10">
        <v>83661744.8917</v>
      </c>
      <c r="F17" s="10">
        <v>38390540.40873</v>
      </c>
      <c r="G17" s="10">
        <v>70181051.150700107</v>
      </c>
      <c r="H17" s="10">
        <v>11447039.797019999</v>
      </c>
      <c r="I17" s="10">
        <v>29876243.602600001</v>
      </c>
      <c r="J17" s="10">
        <v>19015012.828230001</v>
      </c>
      <c r="K17" s="10">
        <v>6673764.6650999999</v>
      </c>
      <c r="L17" s="10">
        <v>2758473.30975</v>
      </c>
      <c r="M17" s="10">
        <v>7496485.5414000005</v>
      </c>
      <c r="N17" s="10">
        <v>2647548.0324599999</v>
      </c>
      <c r="O17" s="10">
        <v>1067139.3969360001</v>
      </c>
      <c r="P17" s="10">
        <v>5860238.5262000002</v>
      </c>
      <c r="Q17" s="10">
        <v>1558045.2912999999</v>
      </c>
      <c r="R17" s="10">
        <v>6720816.8788400004</v>
      </c>
      <c r="S17" s="10">
        <v>694658.98340000003</v>
      </c>
      <c r="T17" s="10">
        <v>5783141.9349490004</v>
      </c>
      <c r="U17" s="10">
        <v>913298.74054000003</v>
      </c>
      <c r="V17" s="10">
        <v>14718753.002900001</v>
      </c>
      <c r="W17" s="10">
        <v>1492511.6492000001</v>
      </c>
      <c r="X17" s="10">
        <v>5272495.1884899996</v>
      </c>
      <c r="Y17" s="10">
        <v>11851184.300450001</v>
      </c>
      <c r="Z17" s="10">
        <v>3906640.7218499999</v>
      </c>
      <c r="AA17" s="10">
        <v>1056887.0756600001</v>
      </c>
      <c r="AB17" s="10">
        <v>5380548.7861200003</v>
      </c>
      <c r="AC17" s="10">
        <v>417337.02489</v>
      </c>
      <c r="AD17" s="10">
        <v>706683.12430000002</v>
      </c>
      <c r="AE17" s="10">
        <v>719346.60164999997</v>
      </c>
      <c r="AF17" s="10">
        <v>8825665.0659900103</v>
      </c>
      <c r="AG17" s="10">
        <v>827723.08719999995</v>
      </c>
      <c r="AH17" s="10">
        <v>1037461.15902</v>
      </c>
      <c r="AI17" s="10">
        <v>443387.42424999998</v>
      </c>
      <c r="AJ17" s="10">
        <v>5297607.1249000002</v>
      </c>
      <c r="AK17" s="10">
        <v>119968.539657</v>
      </c>
      <c r="AL17" s="10">
        <v>6865307.1973000001</v>
      </c>
      <c r="AM17" s="10">
        <v>1814770.4706999999</v>
      </c>
      <c r="AN17" s="10">
        <v>4062739.6535899998</v>
      </c>
      <c r="AO17" s="10">
        <v>287677.88442000002</v>
      </c>
      <c r="AP17" s="10">
        <v>4126741.69404</v>
      </c>
      <c r="AQ17" s="10">
        <v>250434.50568500001</v>
      </c>
      <c r="AR17" s="10">
        <v>139449.60407999999</v>
      </c>
      <c r="AS17" s="10">
        <v>7162.9067679999998</v>
      </c>
      <c r="AT17" s="10">
        <v>647332.36896999995</v>
      </c>
      <c r="AU17" s="10">
        <v>321777.43680000002</v>
      </c>
      <c r="AV17" s="10">
        <v>3087942.0957999998</v>
      </c>
      <c r="AW17" s="10">
        <v>1572102.828</v>
      </c>
      <c r="AX17" s="10">
        <v>343513.47459</v>
      </c>
      <c r="AY17" s="10">
        <v>916472.99549</v>
      </c>
      <c r="AZ17" s="10">
        <v>955866.36669000005</v>
      </c>
      <c r="BA17" s="10">
        <v>20877.702600000001</v>
      </c>
      <c r="BB17" s="10">
        <v>39088.875699999997</v>
      </c>
      <c r="BC17" s="10">
        <v>466638.79216999997</v>
      </c>
      <c r="BD17" s="10">
        <v>315080.51817</v>
      </c>
      <c r="BE17" s="10">
        <v>47885.489286000004</v>
      </c>
      <c r="BF17" s="10">
        <v>154712.19088000001</v>
      </c>
      <c r="BG17" s="10">
        <v>147219.64989999999</v>
      </c>
      <c r="BH17" s="10"/>
      <c r="BI17" s="10">
        <v>2975931.4683900001</v>
      </c>
      <c r="BJ17" s="10">
        <v>5591.8380200000001</v>
      </c>
      <c r="BK17" s="10">
        <v>45866.1774</v>
      </c>
      <c r="BL17" s="10">
        <v>126527.4682</v>
      </c>
      <c r="BM17" s="10">
        <v>273687.19892</v>
      </c>
      <c r="BN17" s="10">
        <v>4238.5717999999997</v>
      </c>
      <c r="BO17" s="10">
        <v>10808.890289999999</v>
      </c>
      <c r="BP17" s="10">
        <v>90064.867599999998</v>
      </c>
      <c r="BQ17" s="10">
        <v>81296.408469999995</v>
      </c>
      <c r="BR17" s="10">
        <v>9681.4372199999998</v>
      </c>
      <c r="BS17" s="10">
        <v>57973.294880000001</v>
      </c>
      <c r="BT17" s="10"/>
      <c r="BU17" s="10">
        <v>190243.83575999999</v>
      </c>
      <c r="BV17" s="10">
        <v>8753.1053200000006</v>
      </c>
      <c r="BW17" s="10">
        <v>0</v>
      </c>
      <c r="BX17" s="10">
        <v>389691.48711099999</v>
      </c>
      <c r="BY17" s="10">
        <v>19825.809519999999</v>
      </c>
      <c r="BZ17" s="10"/>
      <c r="CA17" s="10">
        <v>29174.058010000001</v>
      </c>
      <c r="CB17" s="10">
        <v>50437.517760000002</v>
      </c>
      <c r="CC17" s="10">
        <v>45162.687109999999</v>
      </c>
      <c r="CD17" s="10">
        <v>67219.777730000002</v>
      </c>
      <c r="CE17" s="10">
        <v>93757.456779999993</v>
      </c>
      <c r="CF17" s="10">
        <v>93465.496150000006</v>
      </c>
      <c r="CG17" s="10"/>
      <c r="CH17" s="10">
        <v>812.99</v>
      </c>
      <c r="CI17" s="10">
        <v>82458.604399999997</v>
      </c>
      <c r="CJ17" s="10">
        <v>7190.728486</v>
      </c>
      <c r="CK17" s="10">
        <v>30994.315009999998</v>
      </c>
      <c r="CL17" s="10">
        <v>595.90980000000002</v>
      </c>
      <c r="CM17" s="10">
        <v>5539.3330999999998</v>
      </c>
      <c r="CN17" s="10">
        <v>1139.3119999999999</v>
      </c>
      <c r="CO17" s="10">
        <v>2720.4965999999999</v>
      </c>
      <c r="CP17" s="10"/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/>
      <c r="DD17" s="10">
        <v>0</v>
      </c>
      <c r="DE17" s="10">
        <v>0</v>
      </c>
      <c r="DF17" s="10">
        <v>0</v>
      </c>
      <c r="DG17" s="10"/>
      <c r="DH17" s="10">
        <v>0</v>
      </c>
      <c r="DI17" s="10">
        <v>0</v>
      </c>
    </row>
    <row r="18" spans="1:113" x14ac:dyDescent="0.35">
      <c r="A18" s="8">
        <v>46172</v>
      </c>
      <c r="B18" s="9">
        <v>301565902.11752099</v>
      </c>
      <c r="C18" s="10">
        <v>44146230.495702997</v>
      </c>
      <c r="D18" s="10">
        <v>8167501.8630900001</v>
      </c>
      <c r="E18" s="10">
        <v>38381602.250200003</v>
      </c>
      <c r="F18" s="10">
        <v>23773661.12951</v>
      </c>
      <c r="G18" s="10">
        <v>44368262.950499997</v>
      </c>
      <c r="H18" s="10">
        <v>6271780.5620200001</v>
      </c>
      <c r="I18" s="10">
        <v>21016586.990499999</v>
      </c>
      <c r="J18" s="10">
        <v>11727966.38761</v>
      </c>
      <c r="K18" s="10">
        <v>4668697.5322000002</v>
      </c>
      <c r="L18" s="10">
        <v>3270151.0882000001</v>
      </c>
      <c r="M18" s="10">
        <v>8617638.1007000096</v>
      </c>
      <c r="N18" s="10">
        <v>4506267.2389900004</v>
      </c>
      <c r="O18" s="10">
        <v>626322.52286599996</v>
      </c>
      <c r="P18" s="10">
        <v>8196748.3258999996</v>
      </c>
      <c r="Q18" s="10">
        <v>1496356.8327200001</v>
      </c>
      <c r="R18" s="10">
        <v>15098441.510159999</v>
      </c>
      <c r="S18" s="10">
        <v>325116.22340000002</v>
      </c>
      <c r="T18" s="10">
        <v>2581094.9240359999</v>
      </c>
      <c r="U18" s="10">
        <v>2047284.8137300001</v>
      </c>
      <c r="V18" s="10">
        <v>3278590.8487</v>
      </c>
      <c r="W18" s="10">
        <v>758354.96305999998</v>
      </c>
      <c r="X18" s="10">
        <v>2128075.3930000002</v>
      </c>
      <c r="Y18" s="10">
        <v>1898924.2734699999</v>
      </c>
      <c r="Z18" s="10">
        <v>2846339.6290600002</v>
      </c>
      <c r="AA18" s="10">
        <v>143870.53359000001</v>
      </c>
      <c r="AB18" s="10">
        <v>3662910.1622299999</v>
      </c>
      <c r="AC18" s="10">
        <v>1458144.84503</v>
      </c>
      <c r="AD18" s="10">
        <v>1110895.8596999999</v>
      </c>
      <c r="AE18" s="10">
        <v>100224.79304</v>
      </c>
      <c r="AF18" s="10">
        <v>8096121.0032000002</v>
      </c>
      <c r="AG18" s="10">
        <v>274941.1409</v>
      </c>
      <c r="AH18" s="10">
        <v>739975.21972000005</v>
      </c>
      <c r="AI18" s="10">
        <v>1002141.89521</v>
      </c>
      <c r="AJ18" s="10">
        <v>1950050.7598999999</v>
      </c>
      <c r="AK18" s="10">
        <v>18398.346169</v>
      </c>
      <c r="AL18" s="10">
        <v>2162892.5858999998</v>
      </c>
      <c r="AM18" s="10">
        <v>422509.68901999999</v>
      </c>
      <c r="AN18" s="10">
        <v>677332.85956999997</v>
      </c>
      <c r="AO18" s="10">
        <v>639059.02046999999</v>
      </c>
      <c r="AP18" s="10">
        <v>3346680.2602499998</v>
      </c>
      <c r="AQ18" s="10">
        <v>312611.02574700001</v>
      </c>
      <c r="AR18" s="10">
        <v>308403.58782999997</v>
      </c>
      <c r="AS18" s="10">
        <v>2255.5076349999999</v>
      </c>
      <c r="AT18" s="10">
        <v>797005.58736999996</v>
      </c>
      <c r="AU18" s="10">
        <v>875614.70490000001</v>
      </c>
      <c r="AV18" s="10">
        <v>4349115.4094000002</v>
      </c>
      <c r="AW18" s="10">
        <v>4503556.1562000001</v>
      </c>
      <c r="AX18" s="10">
        <v>117248.63889</v>
      </c>
      <c r="AY18" s="10">
        <v>328595.67881999997</v>
      </c>
      <c r="AZ18" s="10">
        <v>589213.39477999997</v>
      </c>
      <c r="BA18" s="10">
        <v>32486.8269</v>
      </c>
      <c r="BB18" s="10">
        <v>38622.373979999997</v>
      </c>
      <c r="BC18" s="10">
        <v>32894.135670000003</v>
      </c>
      <c r="BD18" s="10">
        <v>292283.64227000001</v>
      </c>
      <c r="BE18" s="10">
        <v>20091.959589999999</v>
      </c>
      <c r="BF18" s="10">
        <v>49660.393029999999</v>
      </c>
      <c r="BG18" s="10">
        <v>241848.7536</v>
      </c>
      <c r="BH18" s="10"/>
      <c r="BI18" s="10">
        <v>857260.90407000005</v>
      </c>
      <c r="BJ18" s="10">
        <v>284.15116</v>
      </c>
      <c r="BK18" s="10">
        <v>262052.49419999999</v>
      </c>
      <c r="BL18" s="10">
        <v>57732.879300000001</v>
      </c>
      <c r="BM18" s="10">
        <v>260583.74703</v>
      </c>
      <c r="BN18" s="10">
        <v>6720.2206399999995</v>
      </c>
      <c r="BO18" s="10">
        <v>3658.3373000000001</v>
      </c>
      <c r="BP18" s="10">
        <v>39576.801090000001</v>
      </c>
      <c r="BQ18" s="10">
        <v>0</v>
      </c>
      <c r="BR18" s="10">
        <v>2383.95595</v>
      </c>
      <c r="BS18" s="10">
        <v>11900.359481</v>
      </c>
      <c r="BT18" s="10"/>
      <c r="BU18" s="10">
        <v>402.38612999999998</v>
      </c>
      <c r="BV18" s="10">
        <v>49577.228539999996</v>
      </c>
      <c r="BW18" s="10">
        <v>0</v>
      </c>
      <c r="BX18" s="10">
        <v>26160.010693</v>
      </c>
      <c r="BY18" s="10">
        <v>30800.310300000001</v>
      </c>
      <c r="BZ18" s="10"/>
      <c r="CA18" s="10">
        <v>153052.71202000001</v>
      </c>
      <c r="CB18" s="10">
        <v>40921.361839999998</v>
      </c>
      <c r="CC18" s="10">
        <v>0</v>
      </c>
      <c r="CD18" s="10">
        <v>239440.74818</v>
      </c>
      <c r="CE18" s="10">
        <v>151611.19310999999</v>
      </c>
      <c r="CF18" s="10">
        <v>125935.45321000001</v>
      </c>
      <c r="CG18" s="10"/>
      <c r="CH18" s="10">
        <v>30206.331300000002</v>
      </c>
      <c r="CI18" s="10">
        <v>93473.950400000002</v>
      </c>
      <c r="CJ18" s="10">
        <v>17432.949111000002</v>
      </c>
      <c r="CK18" s="10">
        <v>194178.66943000001</v>
      </c>
      <c r="CL18" s="10">
        <v>2728.752</v>
      </c>
      <c r="CM18" s="10">
        <v>2947.3470000000002</v>
      </c>
      <c r="CN18" s="10">
        <v>8859.8078000000005</v>
      </c>
      <c r="CO18" s="10">
        <v>365.45639999999997</v>
      </c>
      <c r="CP18" s="10"/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/>
      <c r="DD18" s="10">
        <v>0</v>
      </c>
      <c r="DE18" s="10">
        <v>0</v>
      </c>
      <c r="DF18" s="10">
        <v>0</v>
      </c>
      <c r="DG18" s="10"/>
      <c r="DH18" s="10">
        <v>0</v>
      </c>
      <c r="DI18" s="10">
        <v>0</v>
      </c>
    </row>
    <row r="19" spans="1:113" x14ac:dyDescent="0.35">
      <c r="A19" s="8">
        <v>46171</v>
      </c>
      <c r="B19" s="9">
        <v>2158089295.7259598</v>
      </c>
      <c r="C19" s="10">
        <v>468448201.916282</v>
      </c>
      <c r="D19" s="10">
        <v>127745260.4093</v>
      </c>
      <c r="E19" s="10">
        <v>224711863.61860001</v>
      </c>
      <c r="F19" s="10">
        <v>267940394.25215</v>
      </c>
      <c r="G19" s="10">
        <v>212834197.3612</v>
      </c>
      <c r="H19" s="10">
        <v>59900939.139739998</v>
      </c>
      <c r="I19" s="10">
        <v>161707625.90843999</v>
      </c>
      <c r="J19" s="10">
        <v>85676798.623720005</v>
      </c>
      <c r="K19" s="10">
        <v>63661599.019699998</v>
      </c>
      <c r="L19" s="10">
        <v>16418839.84946</v>
      </c>
      <c r="M19" s="10">
        <v>59877890.025700003</v>
      </c>
      <c r="N19" s="10">
        <v>32611753.179809999</v>
      </c>
      <c r="O19" s="10">
        <v>2415241.7326859999</v>
      </c>
      <c r="P19" s="10">
        <v>21405105.280400001</v>
      </c>
      <c r="Q19" s="10">
        <v>15496619.262800001</v>
      </c>
      <c r="R19" s="10">
        <v>6826253.5313600004</v>
      </c>
      <c r="S19" s="10">
        <v>7792299.9386</v>
      </c>
      <c r="T19" s="10">
        <v>17391179.004409999</v>
      </c>
      <c r="U19" s="10">
        <v>8915891.6060800105</v>
      </c>
      <c r="V19" s="10">
        <v>13371827.151900001</v>
      </c>
      <c r="W19" s="10">
        <v>7546528.9729000004</v>
      </c>
      <c r="X19" s="10">
        <v>10384461.636639999</v>
      </c>
      <c r="Y19" s="10">
        <v>16040848.158020001</v>
      </c>
      <c r="Z19" s="10">
        <v>16603746.253219999</v>
      </c>
      <c r="AA19" s="10">
        <v>1011178.35511</v>
      </c>
      <c r="AB19" s="10">
        <v>37247182.774109997</v>
      </c>
      <c r="AC19" s="10">
        <v>9688982.5015999991</v>
      </c>
      <c r="AD19" s="10">
        <v>16843431.804099999</v>
      </c>
      <c r="AE19" s="10">
        <v>2200824.2940099998</v>
      </c>
      <c r="AF19" s="10">
        <v>44336707.131200001</v>
      </c>
      <c r="AG19" s="10">
        <v>459468.92420000001</v>
      </c>
      <c r="AH19" s="10">
        <v>8342510.6032499997</v>
      </c>
      <c r="AI19" s="10">
        <v>3894939.93731</v>
      </c>
      <c r="AJ19" s="10">
        <v>11816342.179099999</v>
      </c>
      <c r="AK19" s="10">
        <v>1279872.3066080001</v>
      </c>
      <c r="AL19" s="10">
        <v>4582108.5815000003</v>
      </c>
      <c r="AM19" s="10">
        <v>4247477.5012400001</v>
      </c>
      <c r="AN19" s="10">
        <v>6977247.7030499997</v>
      </c>
      <c r="AO19" s="10">
        <v>1207419.5690299999</v>
      </c>
      <c r="AP19" s="10">
        <v>13578976.482319999</v>
      </c>
      <c r="AQ19" s="10">
        <v>637101.76453100005</v>
      </c>
      <c r="AR19" s="10">
        <v>1494656.93035</v>
      </c>
      <c r="AS19" s="10">
        <v>273136.88593799999</v>
      </c>
      <c r="AT19" s="10">
        <v>6881246.3890699996</v>
      </c>
      <c r="AU19" s="10">
        <v>14659275.030400001</v>
      </c>
      <c r="AV19" s="10">
        <v>10770730.5573</v>
      </c>
      <c r="AW19" s="10">
        <v>8229671.8987999996</v>
      </c>
      <c r="AX19" s="10">
        <v>1865970.3496699999</v>
      </c>
      <c r="AY19" s="10">
        <v>2588377.9312800001</v>
      </c>
      <c r="AZ19" s="10">
        <v>6432395.8435399998</v>
      </c>
      <c r="BA19" s="10">
        <v>27742.1816</v>
      </c>
      <c r="BB19" s="10">
        <v>609093.57313999999</v>
      </c>
      <c r="BC19" s="10">
        <v>504106.94575000001</v>
      </c>
      <c r="BD19" s="10">
        <v>1205025.33892</v>
      </c>
      <c r="BE19" s="10">
        <v>437828.29070399998</v>
      </c>
      <c r="BF19" s="10">
        <v>624757.81211000006</v>
      </c>
      <c r="BG19" s="10">
        <v>154546.85630000001</v>
      </c>
      <c r="BH19" s="10"/>
      <c r="BI19" s="10">
        <v>564197.85846000002</v>
      </c>
      <c r="BJ19" s="10">
        <v>14067.052530000001</v>
      </c>
      <c r="BK19" s="10">
        <v>456731.00469999999</v>
      </c>
      <c r="BL19" s="10">
        <v>70331.984400000001</v>
      </c>
      <c r="BM19" s="10">
        <v>333068.65204000002</v>
      </c>
      <c r="BN19" s="10">
        <v>868347.84068999998</v>
      </c>
      <c r="BO19" s="10">
        <v>240569.21309999999</v>
      </c>
      <c r="BP19" s="10">
        <v>266039.52669000003</v>
      </c>
      <c r="BQ19" s="10">
        <v>289.08362</v>
      </c>
      <c r="BR19" s="10">
        <v>272210.56174999999</v>
      </c>
      <c r="BS19" s="10">
        <v>265944.09811700002</v>
      </c>
      <c r="BT19" s="10"/>
      <c r="BU19" s="10">
        <v>23913.911260000001</v>
      </c>
      <c r="BV19" s="10">
        <v>56998.567289999999</v>
      </c>
      <c r="BW19" s="10">
        <v>0</v>
      </c>
      <c r="BX19" s="10">
        <v>78669.725409999999</v>
      </c>
      <c r="BY19" s="10">
        <v>429193.78791999997</v>
      </c>
      <c r="BZ19" s="10"/>
      <c r="CA19" s="10">
        <v>547699.03734000004</v>
      </c>
      <c r="CB19" s="10">
        <v>211166.28902</v>
      </c>
      <c r="CC19" s="10">
        <v>39052.925759999998</v>
      </c>
      <c r="CD19" s="10">
        <v>120832.55654000001</v>
      </c>
      <c r="CE19" s="10">
        <v>146115.01642999999</v>
      </c>
      <c r="CF19" s="10">
        <v>897380.99554999999</v>
      </c>
      <c r="CG19" s="10"/>
      <c r="CH19" s="10">
        <v>414928.63329999999</v>
      </c>
      <c r="CI19" s="10">
        <v>371449.9007</v>
      </c>
      <c r="CJ19" s="10">
        <v>8.0878499999999995</v>
      </c>
      <c r="CK19" s="10">
        <v>147074.41463000001</v>
      </c>
      <c r="CL19" s="10">
        <v>32326.661199999999</v>
      </c>
      <c r="CM19" s="10">
        <v>11237.482599999999</v>
      </c>
      <c r="CN19" s="10">
        <v>331794.1605</v>
      </c>
      <c r="CO19" s="10">
        <v>41955.636299999998</v>
      </c>
      <c r="CP19" s="10"/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/>
      <c r="DD19" s="10">
        <v>0</v>
      </c>
      <c r="DE19" s="10">
        <v>0</v>
      </c>
      <c r="DF19" s="10">
        <v>0</v>
      </c>
      <c r="DG19" s="10"/>
      <c r="DH19" s="10">
        <v>0</v>
      </c>
      <c r="DI19" s="10">
        <v>0</v>
      </c>
    </row>
    <row r="20" spans="1:113" x14ac:dyDescent="0.35">
      <c r="A20" s="8">
        <v>46170</v>
      </c>
      <c r="B20" s="9">
        <v>2393745780.2470999</v>
      </c>
      <c r="C20" s="10">
        <v>473063281.01418298</v>
      </c>
      <c r="D20" s="10">
        <v>154414173.55351001</v>
      </c>
      <c r="E20" s="10">
        <v>281310893.59439999</v>
      </c>
      <c r="F20" s="10">
        <v>248270103.09647</v>
      </c>
      <c r="G20" s="10">
        <v>246756417.63960001</v>
      </c>
      <c r="H20" s="10">
        <v>84810899.32773</v>
      </c>
      <c r="I20" s="10">
        <v>247289320.49915999</v>
      </c>
      <c r="J20" s="10">
        <v>63353604.089589998</v>
      </c>
      <c r="K20" s="10">
        <v>110699324.3486</v>
      </c>
      <c r="L20" s="10">
        <v>20846417.157540001</v>
      </c>
      <c r="M20" s="10">
        <v>51458203.099399999</v>
      </c>
      <c r="N20" s="10">
        <v>31333532.329424001</v>
      </c>
      <c r="O20" s="10">
        <v>9416346.0690979902</v>
      </c>
      <c r="P20" s="10">
        <v>10154152.852600001</v>
      </c>
      <c r="Q20" s="10">
        <v>10278815.011949999</v>
      </c>
      <c r="R20" s="10">
        <v>11957455.881549999</v>
      </c>
      <c r="S20" s="10">
        <v>14930695.0844</v>
      </c>
      <c r="T20" s="10">
        <v>13224942.066271</v>
      </c>
      <c r="U20" s="10">
        <v>13646578.35299</v>
      </c>
      <c r="V20" s="10">
        <v>27175672.947500002</v>
      </c>
      <c r="W20" s="10">
        <v>6465076.4404100003</v>
      </c>
      <c r="X20" s="10">
        <v>27246492.558120001</v>
      </c>
      <c r="Y20" s="10">
        <v>6308321.6157099996</v>
      </c>
      <c r="Z20" s="10">
        <v>19404713.732930001</v>
      </c>
      <c r="AA20" s="10">
        <v>4020921.8683099998</v>
      </c>
      <c r="AB20" s="10">
        <v>16164539.702950001</v>
      </c>
      <c r="AC20" s="10">
        <v>11472811.28936</v>
      </c>
      <c r="AD20" s="10">
        <v>27504834.2852</v>
      </c>
      <c r="AE20" s="10">
        <v>2964231.94997</v>
      </c>
      <c r="AF20" s="10">
        <v>10107238.5233</v>
      </c>
      <c r="AG20" s="10">
        <v>1149651.6968</v>
      </c>
      <c r="AH20" s="10">
        <v>13144194.096820001</v>
      </c>
      <c r="AI20" s="10">
        <v>5509955.9913999997</v>
      </c>
      <c r="AJ20" s="10">
        <v>34826436.278200001</v>
      </c>
      <c r="AK20" s="10">
        <v>372944.36060199997</v>
      </c>
      <c r="AL20" s="10">
        <v>6100169.0339000002</v>
      </c>
      <c r="AM20" s="10">
        <v>6769145.0083799995</v>
      </c>
      <c r="AN20" s="10">
        <v>4559601.32082</v>
      </c>
      <c r="AO20" s="10">
        <v>1650102.16683</v>
      </c>
      <c r="AP20" s="10">
        <v>12034012.786520001</v>
      </c>
      <c r="AQ20" s="10">
        <v>717353.27390699997</v>
      </c>
      <c r="AR20" s="10">
        <v>880327.53237000003</v>
      </c>
      <c r="AS20" s="10">
        <v>995776.95925399999</v>
      </c>
      <c r="AT20" s="10">
        <v>5899116.0339799998</v>
      </c>
      <c r="AU20" s="10">
        <v>10109504.407500001</v>
      </c>
      <c r="AV20" s="10">
        <v>5617625.9214000003</v>
      </c>
      <c r="AW20" s="10">
        <v>4259957.5482000001</v>
      </c>
      <c r="AX20" s="10">
        <v>766062.34125000006</v>
      </c>
      <c r="AY20" s="10">
        <v>2744436.90986</v>
      </c>
      <c r="AZ20" s="10">
        <v>4138542.5785599998</v>
      </c>
      <c r="BA20" s="10">
        <v>68255.7592</v>
      </c>
      <c r="BB20" s="10">
        <v>164485.06036999999</v>
      </c>
      <c r="BC20" s="10">
        <v>772047.13814000005</v>
      </c>
      <c r="BD20" s="10">
        <v>1882737.2767099999</v>
      </c>
      <c r="BE20" s="10">
        <v>136819.39025900001</v>
      </c>
      <c r="BF20" s="10">
        <v>453484.00571</v>
      </c>
      <c r="BG20" s="10">
        <v>400892.73800000001</v>
      </c>
      <c r="BH20" s="10"/>
      <c r="BI20" s="10">
        <v>180263.07227999999</v>
      </c>
      <c r="BJ20" s="10">
        <v>98526.053450000007</v>
      </c>
      <c r="BK20" s="10">
        <v>5012068.1382999998</v>
      </c>
      <c r="BL20" s="10">
        <v>64693.258199999997</v>
      </c>
      <c r="BM20" s="10">
        <v>230728.16451999999</v>
      </c>
      <c r="BN20" s="10">
        <v>1942103.31718</v>
      </c>
      <c r="BO20" s="10">
        <v>59610.789389999998</v>
      </c>
      <c r="BP20" s="10">
        <v>804352.38052999997</v>
      </c>
      <c r="BQ20" s="10">
        <v>2190.0537800000002</v>
      </c>
      <c r="BR20" s="10">
        <v>53382.935680000002</v>
      </c>
      <c r="BS20" s="10">
        <v>191790.18051000001</v>
      </c>
      <c r="BT20" s="10"/>
      <c r="BU20" s="10">
        <v>40452.146390000002</v>
      </c>
      <c r="BV20" s="10">
        <v>60918.47795</v>
      </c>
      <c r="BW20" s="10"/>
      <c r="BX20" s="10">
        <v>66418.278176000007</v>
      </c>
      <c r="BY20" s="10">
        <v>613011.19203999999</v>
      </c>
      <c r="BZ20" s="10"/>
      <c r="CA20" s="10">
        <v>1207999.2098999999</v>
      </c>
      <c r="CB20" s="10">
        <v>125656.20125</v>
      </c>
      <c r="CC20" s="10">
        <v>12786.618119999999</v>
      </c>
      <c r="CD20" s="10">
        <v>23994.256590000001</v>
      </c>
      <c r="CE20" s="10">
        <v>174522.74052699999</v>
      </c>
      <c r="CF20" s="10">
        <v>1825.77187</v>
      </c>
      <c r="CG20" s="10"/>
      <c r="CH20" s="10">
        <v>41423.224600000001</v>
      </c>
      <c r="CI20" s="10">
        <v>0</v>
      </c>
      <c r="CJ20" s="10">
        <v>0</v>
      </c>
      <c r="CK20" s="10">
        <v>73105.974000000002</v>
      </c>
      <c r="CL20" s="10">
        <v>99216.983900000007</v>
      </c>
      <c r="CM20" s="10">
        <v>86515.757700000002</v>
      </c>
      <c r="CN20" s="10">
        <v>92638.846999999994</v>
      </c>
      <c r="CO20" s="10">
        <v>211938.62609999999</v>
      </c>
      <c r="CP20" s="10"/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/>
      <c r="DD20" s="10">
        <v>0</v>
      </c>
      <c r="DE20" s="10">
        <v>0</v>
      </c>
      <c r="DF20" s="10">
        <v>0</v>
      </c>
      <c r="DG20" s="10"/>
      <c r="DH20" s="10">
        <v>0</v>
      </c>
      <c r="DI20" s="10">
        <v>0</v>
      </c>
    </row>
    <row r="21" spans="1:113" x14ac:dyDescent="0.35">
      <c r="A21" s="8">
        <v>46169</v>
      </c>
      <c r="B21" s="9">
        <v>2761689864.27384</v>
      </c>
      <c r="C21" s="10">
        <v>548636599.63374197</v>
      </c>
      <c r="D21" s="10">
        <v>162011827.72918999</v>
      </c>
      <c r="E21" s="10">
        <v>302553146.76340002</v>
      </c>
      <c r="F21" s="10">
        <v>253602755.0063</v>
      </c>
      <c r="G21" s="10">
        <v>291555844.75690001</v>
      </c>
      <c r="H21" s="10">
        <v>45735245.696479999</v>
      </c>
      <c r="I21" s="10">
        <v>443955046.45951998</v>
      </c>
      <c r="J21" s="10">
        <v>81557924.059060007</v>
      </c>
      <c r="K21" s="10">
        <v>112360060.38590001</v>
      </c>
      <c r="L21" s="10">
        <v>30254485.901629999</v>
      </c>
      <c r="M21" s="10">
        <v>44419281.855800003</v>
      </c>
      <c r="N21" s="10">
        <v>28542341.794939999</v>
      </c>
      <c r="O21" s="10">
        <v>4721274.5799639998</v>
      </c>
      <c r="P21" s="10">
        <v>8166502.7818999998</v>
      </c>
      <c r="Q21" s="10">
        <v>12176461.387220001</v>
      </c>
      <c r="R21" s="10">
        <v>13432465.14807</v>
      </c>
      <c r="S21" s="10">
        <v>28653322.022300001</v>
      </c>
      <c r="T21" s="10">
        <v>9261474.1917880103</v>
      </c>
      <c r="U21" s="10">
        <v>9289036.2985200007</v>
      </c>
      <c r="V21" s="10">
        <v>40571137.3037</v>
      </c>
      <c r="W21" s="10">
        <v>5541300.2627999997</v>
      </c>
      <c r="X21" s="10">
        <v>26776180.05328</v>
      </c>
      <c r="Y21" s="10">
        <v>5047503.6642199997</v>
      </c>
      <c r="Z21" s="10">
        <v>26083135.23212</v>
      </c>
      <c r="AA21" s="10">
        <v>1527993.5732700001</v>
      </c>
      <c r="AB21" s="10">
        <v>4754840.2243400002</v>
      </c>
      <c r="AC21" s="10">
        <v>9913256.4877199996</v>
      </c>
      <c r="AD21" s="10">
        <v>35272093.379500002</v>
      </c>
      <c r="AE21" s="10">
        <v>1565821.5875500001</v>
      </c>
      <c r="AF21" s="10">
        <v>5527774.7550100004</v>
      </c>
      <c r="AG21" s="10">
        <v>2042888.1407000001</v>
      </c>
      <c r="AH21" s="10">
        <v>30091541.694680002</v>
      </c>
      <c r="AI21" s="10">
        <v>6669297.2729399996</v>
      </c>
      <c r="AJ21" s="10">
        <v>41694771.346000001</v>
      </c>
      <c r="AK21" s="10">
        <v>626365.091273</v>
      </c>
      <c r="AL21" s="10">
        <v>6192875.0475700004</v>
      </c>
      <c r="AM21" s="10">
        <v>5997662.7626</v>
      </c>
      <c r="AN21" s="10">
        <v>8730063.9309299998</v>
      </c>
      <c r="AO21" s="10">
        <v>2745968.8018299998</v>
      </c>
      <c r="AP21" s="10">
        <v>10495265.99821</v>
      </c>
      <c r="AQ21" s="10">
        <v>248237.35357400001</v>
      </c>
      <c r="AR21" s="10">
        <v>4080089.25715</v>
      </c>
      <c r="AS21" s="10">
        <v>196673.47449699999</v>
      </c>
      <c r="AT21" s="10">
        <v>5631752.8307499997</v>
      </c>
      <c r="AU21" s="10">
        <v>13380904.9406</v>
      </c>
      <c r="AV21" s="10">
        <v>1104016.2897000001</v>
      </c>
      <c r="AW21" s="10">
        <v>2936917.8640999999</v>
      </c>
      <c r="AX21" s="10">
        <v>1436865.5847</v>
      </c>
      <c r="AY21" s="10">
        <v>3628976.1611100002</v>
      </c>
      <c r="AZ21" s="10">
        <v>0</v>
      </c>
      <c r="BA21" s="10">
        <v>19924.375700000001</v>
      </c>
      <c r="BB21" s="10">
        <v>307258.29937000002</v>
      </c>
      <c r="BC21" s="10">
        <v>692369.42744999996</v>
      </c>
      <c r="BD21" s="10">
        <v>6927786.2330099996</v>
      </c>
      <c r="BE21" s="10">
        <v>333046.94907600002</v>
      </c>
      <c r="BF21" s="10">
        <v>939531.41942000098</v>
      </c>
      <c r="BG21" s="10">
        <v>750343.14</v>
      </c>
      <c r="BH21" s="10"/>
      <c r="BI21" s="10">
        <v>759138.68909999996</v>
      </c>
      <c r="BJ21" s="10">
        <v>94532.610579999993</v>
      </c>
      <c r="BK21" s="10">
        <v>83502.630300000004</v>
      </c>
      <c r="BL21" s="10">
        <v>371642.70419999998</v>
      </c>
      <c r="BM21" s="10">
        <v>900980.76259000006</v>
      </c>
      <c r="BN21" s="10">
        <v>3088669.7788900002</v>
      </c>
      <c r="BO21" s="10">
        <v>113585.27637000001</v>
      </c>
      <c r="BP21" s="10">
        <v>921315.58958999999</v>
      </c>
      <c r="BQ21" s="10">
        <v>10126.02463</v>
      </c>
      <c r="BR21" s="10">
        <v>51559.246160000002</v>
      </c>
      <c r="BS21" s="10">
        <v>102054.77184</v>
      </c>
      <c r="BT21" s="10"/>
      <c r="BU21" s="10">
        <v>104610.58742</v>
      </c>
      <c r="BV21" s="10">
        <v>41578.264190000002</v>
      </c>
      <c r="BW21" s="10"/>
      <c r="BX21" s="10">
        <v>28057.419021000002</v>
      </c>
      <c r="BY21" s="10">
        <v>713147.34285000002</v>
      </c>
      <c r="BZ21" s="10"/>
      <c r="CA21" s="10">
        <v>406112.61018000002</v>
      </c>
      <c r="CB21" s="10">
        <v>868791.67032000003</v>
      </c>
      <c r="CC21" s="10">
        <v>50684.140339999998</v>
      </c>
      <c r="CD21" s="10">
        <v>17656.83797</v>
      </c>
      <c r="CE21" s="10">
        <v>747558.56273000001</v>
      </c>
      <c r="CF21" s="10">
        <v>8863.0723799999996</v>
      </c>
      <c r="CG21" s="10"/>
      <c r="CH21" s="10">
        <v>456591.11310000002</v>
      </c>
      <c r="CI21" s="10">
        <v>0</v>
      </c>
      <c r="CJ21" s="10">
        <v>0</v>
      </c>
      <c r="CK21" s="10">
        <v>84031.387610000005</v>
      </c>
      <c r="CL21" s="10">
        <v>79811.387799999997</v>
      </c>
      <c r="CM21" s="10">
        <v>20244.035400000001</v>
      </c>
      <c r="CN21" s="10">
        <v>173516.53390000001</v>
      </c>
      <c r="CO21" s="10">
        <v>23974.561300000001</v>
      </c>
      <c r="CP21" s="10"/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/>
      <c r="DD21" s="10">
        <v>0</v>
      </c>
      <c r="DE21" s="10">
        <v>0</v>
      </c>
      <c r="DF21" s="10">
        <v>0</v>
      </c>
      <c r="DG21" s="10"/>
      <c r="DH21" s="10">
        <v>0</v>
      </c>
      <c r="DI21" s="10">
        <v>0</v>
      </c>
    </row>
    <row r="22" spans="1:113" x14ac:dyDescent="0.35">
      <c r="A22" s="8">
        <v>46168</v>
      </c>
      <c r="B22" s="9">
        <v>2030931825.33074</v>
      </c>
      <c r="C22" s="10">
        <v>381961251.48425102</v>
      </c>
      <c r="D22" s="10">
        <v>104472797.1023</v>
      </c>
      <c r="E22" s="10">
        <v>241662991.06490001</v>
      </c>
      <c r="F22" s="10">
        <v>190786116.37608001</v>
      </c>
      <c r="G22" s="10">
        <v>260565748.09459999</v>
      </c>
      <c r="H22" s="10">
        <v>26221284.086520001</v>
      </c>
      <c r="I22" s="10">
        <v>241634483.11943999</v>
      </c>
      <c r="J22" s="10">
        <v>66427482.619010001</v>
      </c>
      <c r="K22" s="10">
        <v>110224242.10259999</v>
      </c>
      <c r="L22" s="10">
        <v>29545062.764309999</v>
      </c>
      <c r="M22" s="10">
        <v>57879949.282399997</v>
      </c>
      <c r="N22" s="10">
        <v>35172328.63786</v>
      </c>
      <c r="O22" s="10">
        <v>5421779.1565450002</v>
      </c>
      <c r="P22" s="10">
        <v>15109874.564200001</v>
      </c>
      <c r="Q22" s="10">
        <v>12241289.6986</v>
      </c>
      <c r="R22" s="10">
        <v>13323237.79786</v>
      </c>
      <c r="S22" s="10">
        <v>9964126.2433000002</v>
      </c>
      <c r="T22" s="10">
        <v>3948880.869099</v>
      </c>
      <c r="U22" s="10">
        <v>7560144.6552999998</v>
      </c>
      <c r="V22" s="10">
        <v>23820641.085099999</v>
      </c>
      <c r="W22" s="10">
        <v>4736419.2785499999</v>
      </c>
      <c r="X22" s="10">
        <v>22369034.144669998</v>
      </c>
      <c r="Y22" s="10">
        <v>3830084.1752599999</v>
      </c>
      <c r="Z22" s="10">
        <v>19162103.141380001</v>
      </c>
      <c r="AA22" s="10">
        <v>1002747.34082</v>
      </c>
      <c r="AB22" s="10">
        <v>5043100.24199</v>
      </c>
      <c r="AC22" s="10">
        <v>4393303.1354499999</v>
      </c>
      <c r="AD22" s="10">
        <v>33801744.0009</v>
      </c>
      <c r="AE22" s="10">
        <v>1964292.2578199999</v>
      </c>
      <c r="AF22" s="10">
        <v>6544508.6887499997</v>
      </c>
      <c r="AG22" s="10">
        <v>1218263.8965</v>
      </c>
      <c r="AH22" s="10">
        <v>8484121.4608699996</v>
      </c>
      <c r="AI22" s="10">
        <v>7499564.3779699998</v>
      </c>
      <c r="AJ22" s="10">
        <v>22502963.495900001</v>
      </c>
      <c r="AK22" s="10">
        <v>672490.71591699996</v>
      </c>
      <c r="AL22" s="10">
        <v>3748560.1184999999</v>
      </c>
      <c r="AM22" s="10">
        <v>4644650.5009399997</v>
      </c>
      <c r="AN22" s="10">
        <v>3241943.3146700002</v>
      </c>
      <c r="AO22" s="10">
        <v>1962549.7285500001</v>
      </c>
      <c r="AP22" s="10">
        <v>1443393.8001399999</v>
      </c>
      <c r="AQ22" s="10">
        <v>383176.64864700002</v>
      </c>
      <c r="AR22" s="10">
        <v>1383215.08586</v>
      </c>
      <c r="AS22" s="10">
        <v>26627.848892999998</v>
      </c>
      <c r="AT22" s="10">
        <v>7224186.9267899999</v>
      </c>
      <c r="AU22" s="10">
        <v>5340622.3404000001</v>
      </c>
      <c r="AV22" s="10">
        <v>1521680.9358999999</v>
      </c>
      <c r="AW22" s="10">
        <v>5198690.0011</v>
      </c>
      <c r="AX22" s="10">
        <v>866472.77775999997</v>
      </c>
      <c r="AY22" s="10">
        <v>2650339.8379600001</v>
      </c>
      <c r="AZ22" s="10"/>
      <c r="BA22" s="10">
        <v>1297.6611</v>
      </c>
      <c r="BB22" s="10">
        <v>244135.02614</v>
      </c>
      <c r="BC22" s="10">
        <v>496508.40535999998</v>
      </c>
      <c r="BD22" s="10">
        <v>2013026.90451</v>
      </c>
      <c r="BE22" s="10">
        <v>404944.52703400003</v>
      </c>
      <c r="BF22" s="10">
        <v>668533.99349000002</v>
      </c>
      <c r="BG22" s="10">
        <v>197259.61319999999</v>
      </c>
      <c r="BH22" s="10"/>
      <c r="BI22" s="10">
        <v>79696.381829999998</v>
      </c>
      <c r="BJ22" s="10">
        <v>71068.954329999993</v>
      </c>
      <c r="BK22" s="10">
        <v>63788.960099999997</v>
      </c>
      <c r="BL22" s="10">
        <v>871490.93530000094</v>
      </c>
      <c r="BM22" s="10">
        <v>405336.15311000001</v>
      </c>
      <c r="BN22" s="10">
        <v>119801.88164000001</v>
      </c>
      <c r="BO22" s="10">
        <v>33654.174120000003</v>
      </c>
      <c r="BP22" s="10">
        <v>1097870.6871199999</v>
      </c>
      <c r="BQ22" s="10">
        <v>101.89313</v>
      </c>
      <c r="BR22" s="10">
        <v>26859.021690000001</v>
      </c>
      <c r="BS22" s="10">
        <v>120388.51065900001</v>
      </c>
      <c r="BT22" s="10"/>
      <c r="BU22" s="10">
        <v>13066.654270000001</v>
      </c>
      <c r="BV22" s="10">
        <v>35362.730020000003</v>
      </c>
      <c r="BW22" s="10"/>
      <c r="BX22" s="10">
        <v>76642.237653000004</v>
      </c>
      <c r="BY22" s="10">
        <v>253118.11577</v>
      </c>
      <c r="BZ22" s="10"/>
      <c r="CA22" s="10">
        <v>250247.39348999999</v>
      </c>
      <c r="CB22" s="10">
        <v>20423.269960000001</v>
      </c>
      <c r="CC22" s="10">
        <v>19131.10483</v>
      </c>
      <c r="CD22" s="10">
        <v>156558.74002999999</v>
      </c>
      <c r="CE22" s="10">
        <v>674013.03107000003</v>
      </c>
      <c r="CF22" s="10">
        <v>1119094.9550399999</v>
      </c>
      <c r="CG22" s="10"/>
      <c r="CH22" s="10">
        <v>114517.9774</v>
      </c>
      <c r="CI22" s="10">
        <v>0</v>
      </c>
      <c r="CJ22" s="10">
        <v>14991.725205999999</v>
      </c>
      <c r="CK22" s="10">
        <v>111467.27974</v>
      </c>
      <c r="CL22" s="10">
        <v>270625.31477</v>
      </c>
      <c r="CM22" s="10">
        <v>12175.0023</v>
      </c>
      <c r="CN22" s="10">
        <v>19025.1456</v>
      </c>
      <c r="CO22" s="10">
        <v>51039.946600000003</v>
      </c>
      <c r="CP22" s="10"/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/>
      <c r="DD22" s="10">
        <v>0</v>
      </c>
      <c r="DE22" s="10">
        <v>0</v>
      </c>
      <c r="DF22" s="10">
        <v>0</v>
      </c>
      <c r="DG22" s="10"/>
      <c r="DH22" s="10">
        <v>0</v>
      </c>
      <c r="DI22" s="10">
        <v>0</v>
      </c>
    </row>
    <row r="23" spans="1:113" x14ac:dyDescent="0.35">
      <c r="A23" s="8">
        <v>46167</v>
      </c>
      <c r="B23" s="9">
        <v>1243205396.4818799</v>
      </c>
      <c r="C23" s="10">
        <v>382763024.512577</v>
      </c>
      <c r="D23" s="10">
        <v>132685564.725291</v>
      </c>
      <c r="E23" s="10">
        <v>177299844.35659999</v>
      </c>
      <c r="F23" s="10">
        <v>167888374.02322</v>
      </c>
      <c r="G23" s="10">
        <v>187830787.4316</v>
      </c>
      <c r="H23" s="10">
        <v>39178261.41426</v>
      </c>
      <c r="I23" s="10">
        <v>23645808.945160002</v>
      </c>
      <c r="J23" s="10">
        <v>17296303.498750001</v>
      </c>
      <c r="K23" s="10">
        <v>7825210.0751</v>
      </c>
      <c r="L23" s="10">
        <v>5031931.5399399996</v>
      </c>
      <c r="M23" s="10">
        <v>4877340.3373999996</v>
      </c>
      <c r="N23" s="10">
        <v>4144061.5411499999</v>
      </c>
      <c r="O23" s="10">
        <v>7860290.8111239998</v>
      </c>
      <c r="P23" s="10">
        <v>5662435.3896000003</v>
      </c>
      <c r="Q23" s="10">
        <v>2695391.7727399999</v>
      </c>
      <c r="R23" s="10">
        <v>16971412.525559999</v>
      </c>
      <c r="S23" s="10">
        <v>958017.89679999999</v>
      </c>
      <c r="T23" s="10">
        <v>1094439.515436</v>
      </c>
      <c r="U23" s="10">
        <v>2048247.5045799999</v>
      </c>
      <c r="V23" s="10">
        <v>9910683.3705999907</v>
      </c>
      <c r="W23" s="10">
        <v>1467735.4643300001</v>
      </c>
      <c r="X23" s="10">
        <v>5127069.9143599998</v>
      </c>
      <c r="Y23" s="10">
        <v>690577.91527999996</v>
      </c>
      <c r="Z23" s="10">
        <v>988641.22915000003</v>
      </c>
      <c r="AA23" s="10">
        <v>1215236.2956600001</v>
      </c>
      <c r="AB23" s="10">
        <v>1044581.53151</v>
      </c>
      <c r="AC23" s="10">
        <v>1638063.5446500001</v>
      </c>
      <c r="AD23" s="10">
        <v>1719527.8558</v>
      </c>
      <c r="AE23" s="10">
        <v>1163126.40723</v>
      </c>
      <c r="AF23" s="10">
        <v>1300335.2506200001</v>
      </c>
      <c r="AG23" s="10">
        <v>855062.01740000001</v>
      </c>
      <c r="AH23" s="10">
        <v>1905833.7369899999</v>
      </c>
      <c r="AI23" s="10">
        <v>1941300.75734</v>
      </c>
      <c r="AJ23" s="10">
        <v>1718158.8006</v>
      </c>
      <c r="AK23" s="10">
        <v>110054.24716100001</v>
      </c>
      <c r="AL23" s="10">
        <v>359252.20189999999</v>
      </c>
      <c r="AM23" s="10">
        <v>8079868.1558900001</v>
      </c>
      <c r="AN23" s="10">
        <v>927229.95932000002</v>
      </c>
      <c r="AO23" s="10">
        <v>1451702.81705</v>
      </c>
      <c r="AP23" s="10"/>
      <c r="AQ23" s="10">
        <v>98584.104913000003</v>
      </c>
      <c r="AR23" s="10">
        <v>120321.01125</v>
      </c>
      <c r="AS23" s="10">
        <v>12869.966311</v>
      </c>
      <c r="AT23" s="10">
        <v>3216127.2232599999</v>
      </c>
      <c r="AU23" s="10">
        <v>763681.03430000006</v>
      </c>
      <c r="AV23" s="10">
        <v>289199.91399999999</v>
      </c>
      <c r="AW23" s="10">
        <v>308749.03840000002</v>
      </c>
      <c r="AX23" s="10">
        <v>21539.88983</v>
      </c>
      <c r="AY23" s="10">
        <v>725323.67423999996</v>
      </c>
      <c r="AZ23" s="10"/>
      <c r="BA23" s="10">
        <v>791.16759999999999</v>
      </c>
      <c r="BB23" s="10">
        <v>277271.76238999999</v>
      </c>
      <c r="BC23" s="10">
        <v>605636.42665000004</v>
      </c>
      <c r="BD23" s="10">
        <v>470543.81842000003</v>
      </c>
      <c r="BE23" s="10">
        <v>434823.93933199998</v>
      </c>
      <c r="BF23" s="10">
        <v>271826.99323000002</v>
      </c>
      <c r="BG23" s="10">
        <v>79370.041400000002</v>
      </c>
      <c r="BH23" s="10"/>
      <c r="BI23" s="10">
        <v>28540.53687</v>
      </c>
      <c r="BJ23" s="10">
        <v>10473.45643</v>
      </c>
      <c r="BK23" s="10">
        <v>81303.070999999996</v>
      </c>
      <c r="BL23" s="10">
        <v>21738.1</v>
      </c>
      <c r="BM23" s="10">
        <v>149892.54582</v>
      </c>
      <c r="BN23" s="10">
        <v>14969.63327</v>
      </c>
      <c r="BO23" s="10">
        <v>36160.768609999999</v>
      </c>
      <c r="BP23" s="10">
        <v>1762736.1693200001</v>
      </c>
      <c r="BQ23" s="10">
        <v>685.81340999999998</v>
      </c>
      <c r="BR23" s="10">
        <v>2616.4282499999999</v>
      </c>
      <c r="BS23" s="10">
        <v>15427.641670000001</v>
      </c>
      <c r="BT23" s="10"/>
      <c r="BU23" s="10">
        <v>13206.10626</v>
      </c>
      <c r="BV23" s="10">
        <v>35590.588219999998</v>
      </c>
      <c r="BW23" s="10"/>
      <c r="BX23" s="10">
        <v>41767.984751000004</v>
      </c>
      <c r="BY23" s="10">
        <v>162097.01569</v>
      </c>
      <c r="BZ23" s="10"/>
      <c r="CA23" s="10">
        <v>125035.81372000001</v>
      </c>
      <c r="CB23" s="10">
        <v>5309.3032300000004</v>
      </c>
      <c r="CC23" s="10">
        <v>416.90821999999997</v>
      </c>
      <c r="CD23" s="10">
        <v>18307.139139999999</v>
      </c>
      <c r="CE23" s="10">
        <v>6810.2758100000001</v>
      </c>
      <c r="CF23" s="10">
        <v>1184419.11081</v>
      </c>
      <c r="CG23" s="10"/>
      <c r="CH23" s="10">
        <v>0</v>
      </c>
      <c r="CI23" s="10">
        <v>0</v>
      </c>
      <c r="CJ23" s="10">
        <v>5999.9429309999996</v>
      </c>
      <c r="CK23" s="10">
        <v>167567.924</v>
      </c>
      <c r="CL23" s="10">
        <v>83972.776889999994</v>
      </c>
      <c r="CM23" s="10">
        <v>783.11099999999999</v>
      </c>
      <c r="CN23" s="10">
        <v>1001.7066</v>
      </c>
      <c r="CO23" s="10">
        <v>161117.31469999999</v>
      </c>
      <c r="CP23" s="10"/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/>
      <c r="DD23" s="10">
        <v>0</v>
      </c>
      <c r="DE23" s="10">
        <v>0</v>
      </c>
      <c r="DF23" s="10">
        <v>0</v>
      </c>
      <c r="DG23" s="10"/>
      <c r="DH23" s="10">
        <v>0</v>
      </c>
      <c r="DI23" s="10">
        <v>0</v>
      </c>
    </row>
    <row r="24" spans="1:113" x14ac:dyDescent="0.35">
      <c r="A24" s="8">
        <v>46166</v>
      </c>
      <c r="B24" s="9">
        <v>864513063.22765601</v>
      </c>
      <c r="C24" s="10">
        <v>293710654.18682402</v>
      </c>
      <c r="D24" s="10">
        <v>114712376.26732001</v>
      </c>
      <c r="E24" s="10">
        <v>68193207.616699994</v>
      </c>
      <c r="F24" s="10">
        <v>122415730.37436</v>
      </c>
      <c r="G24" s="10">
        <v>94306220.216900006</v>
      </c>
      <c r="H24" s="10">
        <v>40124645.137280002</v>
      </c>
      <c r="I24" s="10">
        <v>18766553.286699999</v>
      </c>
      <c r="J24" s="10">
        <v>11588623.441640001</v>
      </c>
      <c r="K24" s="10">
        <v>5041634.8866999997</v>
      </c>
      <c r="L24" s="10">
        <v>5734865.72963</v>
      </c>
      <c r="M24" s="10">
        <v>5525495.7312000003</v>
      </c>
      <c r="N24" s="10">
        <v>3338000.0794700002</v>
      </c>
      <c r="O24" s="10">
        <v>4912585.3760059997</v>
      </c>
      <c r="P24" s="10">
        <v>22444275.1441001</v>
      </c>
      <c r="Q24" s="10">
        <v>2080017.4132900001</v>
      </c>
      <c r="R24" s="10">
        <v>2234414.73484</v>
      </c>
      <c r="S24" s="10">
        <v>492497.97080000001</v>
      </c>
      <c r="T24" s="10">
        <v>1401309.129495</v>
      </c>
      <c r="U24" s="10">
        <v>1586795.79189</v>
      </c>
      <c r="V24" s="10">
        <v>4322598.7857999997</v>
      </c>
      <c r="W24" s="10">
        <v>1601124.0422499999</v>
      </c>
      <c r="X24" s="10">
        <v>9828066.7680699993</v>
      </c>
      <c r="Y24" s="10">
        <v>745903.10348000005</v>
      </c>
      <c r="Z24" s="10">
        <v>2650985.5316900001</v>
      </c>
      <c r="AA24" s="10">
        <v>1134782.9823</v>
      </c>
      <c r="AB24" s="10">
        <v>1228497.05229</v>
      </c>
      <c r="AC24" s="10">
        <v>1105101.5978399999</v>
      </c>
      <c r="AD24" s="10">
        <v>3625108.2480000001</v>
      </c>
      <c r="AE24" s="10">
        <v>842630.71242999996</v>
      </c>
      <c r="AF24" s="10">
        <v>712736.21169999999</v>
      </c>
      <c r="AG24" s="10">
        <v>327235.70909999998</v>
      </c>
      <c r="AH24" s="10">
        <v>999078.24635999999</v>
      </c>
      <c r="AI24" s="10">
        <v>790916.28365</v>
      </c>
      <c r="AJ24" s="10">
        <v>1997692.2801000001</v>
      </c>
      <c r="AK24" s="10">
        <v>456438.99109800003</v>
      </c>
      <c r="AL24" s="10">
        <v>954786.52989999996</v>
      </c>
      <c r="AM24" s="10">
        <v>2475238.0129200001</v>
      </c>
      <c r="AN24" s="10">
        <v>781405.30168999999</v>
      </c>
      <c r="AO24" s="10">
        <v>505721.58474000002</v>
      </c>
      <c r="AP24" s="10"/>
      <c r="AQ24" s="10">
        <v>160704.63433299999</v>
      </c>
      <c r="AR24" s="10">
        <v>219207.16555999999</v>
      </c>
      <c r="AS24" s="10">
        <v>9521.1686850000006</v>
      </c>
      <c r="AT24" s="10">
        <v>1838706.6098799999</v>
      </c>
      <c r="AU24" s="10">
        <v>1356482.9508</v>
      </c>
      <c r="AV24" s="10">
        <v>132547.7806</v>
      </c>
      <c r="AW24" s="10">
        <v>922218.66299999994</v>
      </c>
      <c r="AX24" s="10">
        <v>26680.390599999999</v>
      </c>
      <c r="AY24" s="10">
        <v>160766.02053000001</v>
      </c>
      <c r="AZ24" s="10"/>
      <c r="BA24" s="10">
        <v>3222.2307000000001</v>
      </c>
      <c r="BB24" s="10">
        <v>129849.14141</v>
      </c>
      <c r="BC24" s="10">
        <v>118230.64051</v>
      </c>
      <c r="BD24" s="10">
        <v>560677.40957999998</v>
      </c>
      <c r="BE24" s="10">
        <v>531980.69261999999</v>
      </c>
      <c r="BF24" s="10">
        <v>802631.71177000005</v>
      </c>
      <c r="BG24" s="10">
        <v>61311.783000000003</v>
      </c>
      <c r="BH24" s="10"/>
      <c r="BI24" s="10">
        <v>29785.438460000001</v>
      </c>
      <c r="BJ24" s="10">
        <v>21723.593659999999</v>
      </c>
      <c r="BK24" s="10">
        <v>230340.63149999999</v>
      </c>
      <c r="BL24" s="10">
        <v>178565.03260000001</v>
      </c>
      <c r="BM24" s="10">
        <v>56912.713889999999</v>
      </c>
      <c r="BN24" s="10">
        <v>10440.75661</v>
      </c>
      <c r="BO24" s="10">
        <v>4019.9863999999998</v>
      </c>
      <c r="BP24" s="10">
        <v>169597.72664000001</v>
      </c>
      <c r="BQ24" s="10">
        <v>1013.0273100000001</v>
      </c>
      <c r="BR24" s="10">
        <v>122.4799</v>
      </c>
      <c r="BS24" s="10">
        <v>46561.730470000002</v>
      </c>
      <c r="BT24" s="10"/>
      <c r="BU24" s="10">
        <v>1386.3493000000001</v>
      </c>
      <c r="BV24" s="10">
        <v>20403.53153</v>
      </c>
      <c r="BW24" s="10"/>
      <c r="BX24" s="10">
        <v>26205.993425000001</v>
      </c>
      <c r="BY24" s="10">
        <v>123425.61279</v>
      </c>
      <c r="BZ24" s="10"/>
      <c r="CA24" s="10">
        <v>143497.41446999999</v>
      </c>
      <c r="CB24" s="10">
        <v>60216.162579999997</v>
      </c>
      <c r="CC24" s="10">
        <v>12.818</v>
      </c>
      <c r="CD24" s="10">
        <v>67090.523360000007</v>
      </c>
      <c r="CE24" s="10">
        <v>207585.94102999999</v>
      </c>
      <c r="CF24" s="10">
        <v>54717.998440000003</v>
      </c>
      <c r="CG24" s="10"/>
      <c r="CH24" s="10">
        <v>0</v>
      </c>
      <c r="CI24" s="10">
        <v>0</v>
      </c>
      <c r="CJ24" s="10">
        <v>0</v>
      </c>
      <c r="CK24" s="10">
        <v>119787.14131000001</v>
      </c>
      <c r="CL24" s="10">
        <v>41450.029649999997</v>
      </c>
      <c r="CM24" s="10">
        <v>146491.68410000001</v>
      </c>
      <c r="CN24" s="10">
        <v>13248.8063</v>
      </c>
      <c r="CO24" s="10">
        <v>7770.6198000000004</v>
      </c>
      <c r="CP24" s="10"/>
      <c r="CQ24" s="10">
        <v>0</v>
      </c>
      <c r="CR24" s="10"/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/>
      <c r="DD24" s="10">
        <v>0</v>
      </c>
      <c r="DE24" s="10">
        <v>0</v>
      </c>
      <c r="DF24" s="10">
        <v>0</v>
      </c>
      <c r="DG24" s="10"/>
      <c r="DH24" s="10">
        <v>0</v>
      </c>
      <c r="DI24" s="10">
        <v>0</v>
      </c>
    </row>
    <row r="25" spans="1:113" x14ac:dyDescent="0.35">
      <c r="A25" s="8">
        <v>46165</v>
      </c>
      <c r="B25" s="9">
        <v>1180412372.2636199</v>
      </c>
      <c r="C25" s="10">
        <v>393060943.57855302</v>
      </c>
      <c r="D25" s="10">
        <v>45705964.675700001</v>
      </c>
      <c r="E25" s="10">
        <v>107738011.14749999</v>
      </c>
      <c r="F25" s="10">
        <v>280286516.10231</v>
      </c>
      <c r="G25" s="10">
        <v>173835180.05680001</v>
      </c>
      <c r="H25" s="10">
        <v>14561119.79006</v>
      </c>
      <c r="I25" s="10">
        <v>16491325.068940001</v>
      </c>
      <c r="J25" s="10">
        <v>23594474.71102</v>
      </c>
      <c r="K25" s="10">
        <v>6905987.0905999998</v>
      </c>
      <c r="L25" s="10">
        <v>10364319.720860001</v>
      </c>
      <c r="M25" s="10">
        <v>13187637.6587</v>
      </c>
      <c r="N25" s="10">
        <v>7163212.9632900003</v>
      </c>
      <c r="O25" s="10">
        <v>3674683.031955</v>
      </c>
      <c r="P25" s="10">
        <v>13504905.8884</v>
      </c>
      <c r="Q25" s="10">
        <v>2952124.4501200002</v>
      </c>
      <c r="R25" s="10">
        <v>2206665.7031299998</v>
      </c>
      <c r="S25" s="10">
        <v>878906.14419999998</v>
      </c>
      <c r="T25" s="10">
        <v>1297621.1814240001</v>
      </c>
      <c r="U25" s="10">
        <v>6365155.7773400098</v>
      </c>
      <c r="V25" s="10">
        <v>4307345.8852000004</v>
      </c>
      <c r="W25" s="10">
        <v>3029626.1512699998</v>
      </c>
      <c r="X25" s="10">
        <v>7942712.1071499996</v>
      </c>
      <c r="Y25" s="10">
        <v>1796077.36818</v>
      </c>
      <c r="Z25" s="10">
        <v>4897996.3408899996</v>
      </c>
      <c r="AA25" s="10">
        <v>164028.73220999999</v>
      </c>
      <c r="AB25" s="10">
        <v>1950296.9964000001</v>
      </c>
      <c r="AC25" s="10">
        <v>2121111.1651599999</v>
      </c>
      <c r="AD25" s="10">
        <v>5820578.1655000001</v>
      </c>
      <c r="AE25" s="10">
        <v>780109.05645000003</v>
      </c>
      <c r="AF25" s="10">
        <v>1741510.1624700001</v>
      </c>
      <c r="AG25" s="10">
        <v>396813.24709999998</v>
      </c>
      <c r="AH25" s="10">
        <v>2371315.6875999998</v>
      </c>
      <c r="AI25" s="10">
        <v>1698444.3998799999</v>
      </c>
      <c r="AJ25" s="10">
        <v>4522062.8399</v>
      </c>
      <c r="AK25" s="10">
        <v>533698.11127500003</v>
      </c>
      <c r="AL25" s="10">
        <v>701956.21710000001</v>
      </c>
      <c r="AM25" s="10">
        <v>1414130.60626</v>
      </c>
      <c r="AN25" s="10">
        <v>1010313.9812</v>
      </c>
      <c r="AO25" s="10">
        <v>592179.37915000005</v>
      </c>
      <c r="AP25" s="10"/>
      <c r="AQ25" s="10">
        <v>164728.160879</v>
      </c>
      <c r="AR25" s="10">
        <v>504763.70198000001</v>
      </c>
      <c r="AS25" s="10">
        <v>128877.04761199999</v>
      </c>
      <c r="AT25" s="10">
        <v>583447.28810999996</v>
      </c>
      <c r="AU25" s="10">
        <v>3031685.3788000001</v>
      </c>
      <c r="AV25" s="10">
        <v>279786.19329999998</v>
      </c>
      <c r="AW25" s="10">
        <v>1454082.7475999999</v>
      </c>
      <c r="AX25" s="10">
        <v>221355.59062</v>
      </c>
      <c r="AY25" s="10">
        <v>132271.51587</v>
      </c>
      <c r="AZ25" s="10"/>
      <c r="BA25" s="10">
        <v>170.73050000000001</v>
      </c>
      <c r="BB25" s="10">
        <v>141213.85068</v>
      </c>
      <c r="BC25" s="10">
        <v>90392.612290000005</v>
      </c>
      <c r="BD25" s="10">
        <v>105805.93893999999</v>
      </c>
      <c r="BE25" s="10">
        <v>225173.631475</v>
      </c>
      <c r="BF25" s="10">
        <v>114660.70995</v>
      </c>
      <c r="BG25" s="10">
        <v>73845.1924</v>
      </c>
      <c r="BH25" s="10"/>
      <c r="BI25" s="10">
        <v>51678.030930000001</v>
      </c>
      <c r="BJ25" s="10">
        <v>39116.470480000004</v>
      </c>
      <c r="BK25" s="10">
        <v>104006.7694</v>
      </c>
      <c r="BL25" s="10">
        <v>37036.572899999999</v>
      </c>
      <c r="BM25" s="10">
        <v>377290.07259</v>
      </c>
      <c r="BN25" s="10">
        <v>113040.10692999999</v>
      </c>
      <c r="BO25" s="10">
        <v>7608.4117299999998</v>
      </c>
      <c r="BP25" s="10">
        <v>214113.47150000001</v>
      </c>
      <c r="BQ25" s="10">
        <v>1302.5598500000001</v>
      </c>
      <c r="BR25" s="10">
        <v>2474.4941399999998</v>
      </c>
      <c r="BS25" s="10">
        <v>9200.1467599999996</v>
      </c>
      <c r="BT25" s="10"/>
      <c r="BU25" s="10">
        <v>6964.0856700000004</v>
      </c>
      <c r="BV25" s="10">
        <v>2398.6441</v>
      </c>
      <c r="BW25" s="10"/>
      <c r="BX25" s="10">
        <v>0</v>
      </c>
      <c r="BY25" s="10">
        <v>248747.28928</v>
      </c>
      <c r="BZ25" s="10"/>
      <c r="CA25" s="10">
        <v>280884.48115000001</v>
      </c>
      <c r="CB25" s="10">
        <v>6717.7668899999999</v>
      </c>
      <c r="CC25" s="10">
        <v>1513.8928100000001</v>
      </c>
      <c r="CD25" s="10">
        <v>28263.14156</v>
      </c>
      <c r="CE25" s="10">
        <v>8564.4380899999996</v>
      </c>
      <c r="CF25" s="10">
        <v>5623.6810400000004</v>
      </c>
      <c r="CG25" s="10"/>
      <c r="CH25" s="10">
        <v>975.5797</v>
      </c>
      <c r="CI25" s="10">
        <v>0</v>
      </c>
      <c r="CJ25" s="10">
        <v>21996.759830999999</v>
      </c>
      <c r="CK25" s="10">
        <v>4274.9414399999996</v>
      </c>
      <c r="CL25" s="10">
        <v>8165.8107</v>
      </c>
      <c r="CM25" s="10">
        <v>1113.3765000000001</v>
      </c>
      <c r="CN25" s="10">
        <v>1478.2698</v>
      </c>
      <c r="CO25" s="10">
        <v>8501.3655999999992</v>
      </c>
      <c r="CP25" s="10"/>
      <c r="CQ25" s="10">
        <v>0</v>
      </c>
      <c r="CR25" s="10"/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/>
      <c r="DD25" s="10">
        <v>0</v>
      </c>
      <c r="DE25" s="10">
        <v>0</v>
      </c>
      <c r="DF25" s="10">
        <v>0</v>
      </c>
      <c r="DG25" s="10"/>
      <c r="DH25" s="10">
        <v>0</v>
      </c>
      <c r="DI25" s="10">
        <v>0</v>
      </c>
    </row>
    <row r="26" spans="1:113" x14ac:dyDescent="0.35">
      <c r="A26" s="8">
        <v>46164</v>
      </c>
      <c r="B26" s="9">
        <v>2134456587.3816299</v>
      </c>
      <c r="C26" s="10">
        <v>582393272.80797803</v>
      </c>
      <c r="D26" s="10">
        <v>134474635.13394001</v>
      </c>
      <c r="E26" s="10">
        <v>201865723.36770001</v>
      </c>
      <c r="F26" s="10">
        <v>235885879.64357999</v>
      </c>
      <c r="G26" s="10">
        <v>308091392.44440001</v>
      </c>
      <c r="H26" s="10">
        <v>19487827.257010002</v>
      </c>
      <c r="I26" s="10">
        <v>87382119.497610003</v>
      </c>
      <c r="J26" s="10">
        <v>88679836.605890006</v>
      </c>
      <c r="K26" s="10">
        <v>58253889.426600002</v>
      </c>
      <c r="L26" s="10">
        <v>43473879.788670003</v>
      </c>
      <c r="M26" s="10">
        <v>55257999.489399999</v>
      </c>
      <c r="N26" s="10">
        <v>29129285.880339999</v>
      </c>
      <c r="O26" s="10">
        <v>5988398.7531740004</v>
      </c>
      <c r="P26" s="10">
        <v>21747494.422200002</v>
      </c>
      <c r="Q26" s="10">
        <v>10749383.42705</v>
      </c>
      <c r="R26" s="10">
        <v>42747137.025839999</v>
      </c>
      <c r="S26" s="10">
        <v>2650798.8339</v>
      </c>
      <c r="T26" s="10">
        <v>4956175.0317390002</v>
      </c>
      <c r="U26" s="10">
        <v>10868325.72962</v>
      </c>
      <c r="V26" s="10">
        <v>6189865.5033999998</v>
      </c>
      <c r="W26" s="10">
        <v>6722874.5638499996</v>
      </c>
      <c r="X26" s="10">
        <v>6509208.5778900003</v>
      </c>
      <c r="Y26" s="10">
        <v>3340843.16708</v>
      </c>
      <c r="Z26" s="10">
        <v>21966323.464439999</v>
      </c>
      <c r="AA26" s="10">
        <v>1667304.7746300001</v>
      </c>
      <c r="AB26" s="10">
        <v>7883887.9965199996</v>
      </c>
      <c r="AC26" s="10">
        <v>6397657.06556</v>
      </c>
      <c r="AD26" s="10">
        <v>46097478.323200002</v>
      </c>
      <c r="AE26" s="10">
        <v>1019793.40169</v>
      </c>
      <c r="AF26" s="10">
        <v>6651101.76217</v>
      </c>
      <c r="AG26" s="10">
        <v>1439972.6828999999</v>
      </c>
      <c r="AH26" s="10">
        <v>6462055.0750700003</v>
      </c>
      <c r="AI26" s="10">
        <v>6271435.1874799998</v>
      </c>
      <c r="AJ26" s="10">
        <v>12331812.512399999</v>
      </c>
      <c r="AK26" s="10">
        <v>388945.58884899999</v>
      </c>
      <c r="AL26" s="10">
        <v>4386572.5157000003</v>
      </c>
      <c r="AM26" s="10">
        <v>3339795.7831600001</v>
      </c>
      <c r="AN26" s="10">
        <v>2771458.5976800001</v>
      </c>
      <c r="AO26" s="10">
        <v>3662270.0711599998</v>
      </c>
      <c r="AP26" s="10"/>
      <c r="AQ26" s="10">
        <v>787534.00283400004</v>
      </c>
      <c r="AR26" s="10">
        <v>1711016.9768000001</v>
      </c>
      <c r="AS26" s="10">
        <v>674290.05038899998</v>
      </c>
      <c r="AT26" s="10">
        <v>2531218.2678299998</v>
      </c>
      <c r="AU26" s="10">
        <v>8132713.1688999999</v>
      </c>
      <c r="AV26" s="10">
        <v>1224575.1702000001</v>
      </c>
      <c r="AW26" s="10">
        <v>6972059.0976</v>
      </c>
      <c r="AX26" s="10">
        <v>823141.84465999994</v>
      </c>
      <c r="AY26" s="10">
        <v>2414572.0219000001</v>
      </c>
      <c r="AZ26" s="10"/>
      <c r="BA26" s="10">
        <v>3052.9748</v>
      </c>
      <c r="BB26" s="10">
        <v>277127.00284999999</v>
      </c>
      <c r="BC26" s="10">
        <v>319072.85119999998</v>
      </c>
      <c r="BD26" s="10">
        <v>908662.62786000001</v>
      </c>
      <c r="BE26" s="10">
        <v>292955.17642899998</v>
      </c>
      <c r="BF26" s="10">
        <v>846190.73293000006</v>
      </c>
      <c r="BG26" s="10">
        <v>296956.37589999998</v>
      </c>
      <c r="BH26" s="10"/>
      <c r="BI26" s="10">
        <v>131938.45347000001</v>
      </c>
      <c r="BJ26" s="10">
        <v>40134.040500000003</v>
      </c>
      <c r="BK26" s="10">
        <v>216035.8161</v>
      </c>
      <c r="BL26" s="10">
        <v>100860.0003</v>
      </c>
      <c r="BM26" s="10">
        <v>247315.41297999999</v>
      </c>
      <c r="BN26" s="10">
        <v>309892.78473999997</v>
      </c>
      <c r="BO26" s="10">
        <v>397347.11498000001</v>
      </c>
      <c r="BP26" s="10">
        <v>991128.29831999994</v>
      </c>
      <c r="BQ26" s="10">
        <v>18886.29523</v>
      </c>
      <c r="BR26" s="10">
        <v>827824.12627000001</v>
      </c>
      <c r="BS26" s="10">
        <v>152336.30541999999</v>
      </c>
      <c r="BT26" s="10"/>
      <c r="BU26" s="10">
        <v>95891.620110000003</v>
      </c>
      <c r="BV26" s="10">
        <v>8387.6110599999993</v>
      </c>
      <c r="BW26" s="10"/>
      <c r="BX26" s="10">
        <v>47770.93363</v>
      </c>
      <c r="BY26" s="10">
        <v>1119931.51905</v>
      </c>
      <c r="BZ26" s="10"/>
      <c r="CA26" s="10">
        <v>90512.491240000003</v>
      </c>
      <c r="CB26" s="10">
        <v>119542.01798999999</v>
      </c>
      <c r="CC26" s="10">
        <v>972.26298999999995</v>
      </c>
      <c r="CD26" s="10">
        <v>11152.908100000001</v>
      </c>
      <c r="CE26" s="10">
        <v>301574.19595999998</v>
      </c>
      <c r="CF26" s="10">
        <v>429484.31823999999</v>
      </c>
      <c r="CG26" s="10"/>
      <c r="CH26" s="10">
        <v>650509.50890000002</v>
      </c>
      <c r="CI26" s="10">
        <v>0</v>
      </c>
      <c r="CJ26" s="10">
        <v>30496.544979999999</v>
      </c>
      <c r="CK26" s="10">
        <v>80478.374580000003</v>
      </c>
      <c r="CL26" s="10">
        <v>37553.493340000001</v>
      </c>
      <c r="CM26" s="10">
        <v>10942.1227</v>
      </c>
      <c r="CN26" s="10">
        <v>36955.019999999997</v>
      </c>
      <c r="CO26" s="10">
        <v>151484.2659</v>
      </c>
      <c r="CP26" s="10"/>
      <c r="CQ26" s="10">
        <v>0</v>
      </c>
      <c r="CR26" s="10"/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/>
      <c r="DD26" s="10">
        <v>0</v>
      </c>
      <c r="DE26" s="10">
        <v>0</v>
      </c>
      <c r="DF26" s="10">
        <v>0</v>
      </c>
      <c r="DG26" s="10"/>
      <c r="DH26" s="10">
        <v>0</v>
      </c>
      <c r="DI26" s="10">
        <v>0</v>
      </c>
    </row>
    <row r="27" spans="1:113" x14ac:dyDescent="0.35">
      <c r="A27" s="8">
        <v>46163</v>
      </c>
      <c r="B27" s="9">
        <v>3039765210.3038702</v>
      </c>
      <c r="C27" s="10">
        <v>902746262.92271101</v>
      </c>
      <c r="D27" s="10">
        <v>247283338.62399</v>
      </c>
      <c r="E27" s="10">
        <v>294426494.72610003</v>
      </c>
      <c r="F27" s="10">
        <v>362949075.31590998</v>
      </c>
      <c r="G27" s="10">
        <v>305771188.57389998</v>
      </c>
      <c r="H27" s="10">
        <v>40831681.09905</v>
      </c>
      <c r="I27" s="10">
        <v>181442644.18122</v>
      </c>
      <c r="J27" s="10">
        <v>125180058.1724</v>
      </c>
      <c r="K27" s="10">
        <v>99305157.410999998</v>
      </c>
      <c r="L27" s="10">
        <v>36021123.106020004</v>
      </c>
      <c r="M27" s="10">
        <v>76311759.516299993</v>
      </c>
      <c r="N27" s="10">
        <v>34593889.420309998</v>
      </c>
      <c r="O27" s="10">
        <v>8383219.3206909997</v>
      </c>
      <c r="P27" s="10">
        <v>35839007.916599996</v>
      </c>
      <c r="Q27" s="10">
        <v>14716986.782570001</v>
      </c>
      <c r="R27" s="10">
        <v>34317775.807269998</v>
      </c>
      <c r="S27" s="10">
        <v>3514816.2289999998</v>
      </c>
      <c r="T27" s="10">
        <v>4871668.7861360004</v>
      </c>
      <c r="U27" s="10">
        <v>7469509.56996</v>
      </c>
      <c r="V27" s="10">
        <v>14539062.270300001</v>
      </c>
      <c r="W27" s="10">
        <v>6736740.4847100005</v>
      </c>
      <c r="X27" s="10">
        <v>18936255.177639998</v>
      </c>
      <c r="Y27" s="10">
        <v>6059215.7453600001</v>
      </c>
      <c r="Z27" s="10">
        <v>21091116.44283</v>
      </c>
      <c r="AA27" s="10">
        <v>1031984.52415</v>
      </c>
      <c r="AB27" s="10">
        <v>9491569.9633399993</v>
      </c>
      <c r="AC27" s="10">
        <v>7912316.4215900004</v>
      </c>
      <c r="AD27" s="10">
        <v>23388656.672400001</v>
      </c>
      <c r="AE27" s="10">
        <v>1557277.8681699999</v>
      </c>
      <c r="AF27" s="10">
        <v>12383778.86733</v>
      </c>
      <c r="AG27" s="10">
        <v>2035366.4613999999</v>
      </c>
      <c r="AH27" s="10">
        <v>6616467.2930899998</v>
      </c>
      <c r="AI27" s="10">
        <v>4868525.4793999996</v>
      </c>
      <c r="AJ27" s="10">
        <v>26619276.798999999</v>
      </c>
      <c r="AK27" s="10">
        <v>2467685.4158160002</v>
      </c>
      <c r="AL27" s="10">
        <v>7545499.4436999997</v>
      </c>
      <c r="AM27" s="10">
        <v>4164800.9545</v>
      </c>
      <c r="AN27" s="10">
        <v>3141955.9369700002</v>
      </c>
      <c r="AO27" s="10">
        <v>2934098.9656799999</v>
      </c>
      <c r="AP27" s="10"/>
      <c r="AQ27" s="10">
        <v>665902.869435</v>
      </c>
      <c r="AR27" s="10">
        <v>2445586.9293900002</v>
      </c>
      <c r="AS27" s="10">
        <v>3607444.551153</v>
      </c>
      <c r="AT27" s="10">
        <v>4072545.15876</v>
      </c>
      <c r="AU27" s="10">
        <v>6419650.4312000005</v>
      </c>
      <c r="AV27" s="10">
        <v>37340.6541</v>
      </c>
      <c r="AW27" s="10">
        <v>8167182.5147000002</v>
      </c>
      <c r="AX27" s="10">
        <v>627578.92567000003</v>
      </c>
      <c r="AY27" s="10">
        <v>2615765.2651800001</v>
      </c>
      <c r="AZ27" s="10"/>
      <c r="BA27" s="10">
        <v>8782.0524999999998</v>
      </c>
      <c r="BB27" s="10">
        <v>479990.11222000001</v>
      </c>
      <c r="BC27" s="10">
        <v>949753.06761999999</v>
      </c>
      <c r="BD27" s="10">
        <v>1550000.52697</v>
      </c>
      <c r="BE27" s="10">
        <v>451745.73611400003</v>
      </c>
      <c r="BF27" s="10">
        <v>964195.76168</v>
      </c>
      <c r="BG27" s="10">
        <v>315093.54450000002</v>
      </c>
      <c r="BH27" s="10"/>
      <c r="BI27" s="10">
        <v>231041.97130999999</v>
      </c>
      <c r="BJ27" s="10">
        <v>72624.235549999998</v>
      </c>
      <c r="BK27" s="10">
        <v>1149851.2819999999</v>
      </c>
      <c r="BL27" s="10">
        <v>135975.7077</v>
      </c>
      <c r="BM27" s="10">
        <v>291617.73762999999</v>
      </c>
      <c r="BN27" s="10">
        <v>361699.27837999997</v>
      </c>
      <c r="BO27" s="10">
        <v>115428.36878999999</v>
      </c>
      <c r="BP27" s="10">
        <v>285532.59477999998</v>
      </c>
      <c r="BQ27" s="10">
        <v>5373.5306499999997</v>
      </c>
      <c r="BR27" s="10">
        <v>38978.310299999997</v>
      </c>
      <c r="BS27" s="10">
        <v>247790.06591999999</v>
      </c>
      <c r="BT27" s="10"/>
      <c r="BU27" s="10">
        <v>43768.93146</v>
      </c>
      <c r="BV27" s="10">
        <v>46993.43146</v>
      </c>
      <c r="BW27" s="10"/>
      <c r="BX27" s="10">
        <v>685130.84313499997</v>
      </c>
      <c r="BY27" s="10">
        <v>1198048.8560899999</v>
      </c>
      <c r="BZ27" s="10"/>
      <c r="CA27" s="10">
        <v>477439.14315000002</v>
      </c>
      <c r="CB27" s="10">
        <v>1037.8557000000001</v>
      </c>
      <c r="CC27" s="10">
        <v>5572.02909</v>
      </c>
      <c r="CD27" s="10">
        <v>10119.568600000001</v>
      </c>
      <c r="CE27" s="10">
        <v>662274.19702099997</v>
      </c>
      <c r="CF27" s="10">
        <v>0</v>
      </c>
      <c r="CG27" s="10"/>
      <c r="CH27" s="10">
        <v>351811.49979999999</v>
      </c>
      <c r="CI27" s="10">
        <v>0</v>
      </c>
      <c r="CJ27" s="10">
        <v>1998.7991999999999</v>
      </c>
      <c r="CK27" s="10">
        <v>157181.83605000001</v>
      </c>
      <c r="CL27" s="10">
        <v>27508.511699999999</v>
      </c>
      <c r="CM27" s="10">
        <v>26365.768499999998</v>
      </c>
      <c r="CN27" s="10">
        <v>51107.200100000002</v>
      </c>
      <c r="CO27" s="10">
        <v>207071.98009999999</v>
      </c>
      <c r="CP27" s="10"/>
      <c r="CQ27" s="10">
        <v>0</v>
      </c>
      <c r="CR27" s="10"/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/>
      <c r="DD27" s="10">
        <v>0</v>
      </c>
      <c r="DE27" s="10">
        <v>0</v>
      </c>
      <c r="DF27" s="10">
        <v>0</v>
      </c>
      <c r="DG27" s="10"/>
      <c r="DH27" s="10">
        <v>0</v>
      </c>
      <c r="DI27" s="10">
        <v>0</v>
      </c>
    </row>
    <row r="28" spans="1:113" x14ac:dyDescent="0.35">
      <c r="A28" s="8">
        <v>46162</v>
      </c>
      <c r="B28" s="9">
        <v>2891801762.40516</v>
      </c>
      <c r="C28" s="10">
        <v>604811794.36664498</v>
      </c>
      <c r="D28" s="10">
        <v>240354824.30655</v>
      </c>
      <c r="E28" s="10">
        <v>460376095.9386</v>
      </c>
      <c r="F28" s="10">
        <v>273698916.10879999</v>
      </c>
      <c r="G28" s="10">
        <v>328055861.34490001</v>
      </c>
      <c r="H28" s="10">
        <v>39796658.07632</v>
      </c>
      <c r="I28" s="10">
        <v>153141678.98104</v>
      </c>
      <c r="J28" s="10">
        <v>203606229.70401999</v>
      </c>
      <c r="K28" s="10">
        <v>88821165.366400003</v>
      </c>
      <c r="L28" s="10">
        <v>26442255.611079998</v>
      </c>
      <c r="M28" s="10">
        <v>104251961.97480001</v>
      </c>
      <c r="N28" s="10">
        <v>25472499.61482</v>
      </c>
      <c r="O28" s="10">
        <v>6542442.4907430001</v>
      </c>
      <c r="P28" s="10">
        <v>11060061.4868</v>
      </c>
      <c r="Q28" s="10">
        <v>22673519.671209998</v>
      </c>
      <c r="R28" s="10">
        <v>51287625.85977</v>
      </c>
      <c r="S28" s="10">
        <v>3042959.5816000002</v>
      </c>
      <c r="T28" s="10">
        <v>7998554.9714839999</v>
      </c>
      <c r="U28" s="10">
        <v>7158384.2002600003</v>
      </c>
      <c r="V28" s="10">
        <v>12317753.362299999</v>
      </c>
      <c r="W28" s="10">
        <v>7981018.6607999997</v>
      </c>
      <c r="X28" s="10">
        <v>31985042.185120001</v>
      </c>
      <c r="Y28" s="10">
        <v>5614444.8493900001</v>
      </c>
      <c r="Z28" s="10">
        <v>17124496.830740001</v>
      </c>
      <c r="AA28" s="10">
        <v>1054647.3267099999</v>
      </c>
      <c r="AB28" s="10">
        <v>8070864.5798599999</v>
      </c>
      <c r="AC28" s="10">
        <v>6877416.0342300003</v>
      </c>
      <c r="AD28" s="10">
        <v>39936739.373499997</v>
      </c>
      <c r="AE28" s="10">
        <v>1445269.88002</v>
      </c>
      <c r="AF28" s="10">
        <v>8479419.4351499993</v>
      </c>
      <c r="AG28" s="10">
        <v>2160799.1099</v>
      </c>
      <c r="AH28" s="10">
        <v>7451643.8355299998</v>
      </c>
      <c r="AI28" s="10">
        <v>8142695.1379000004</v>
      </c>
      <c r="AJ28" s="10">
        <v>8470330.1601</v>
      </c>
      <c r="AK28" s="10">
        <v>372143.59972900001</v>
      </c>
      <c r="AL28" s="10">
        <v>6062797.4223100003</v>
      </c>
      <c r="AM28" s="10">
        <v>9035023.3663999997</v>
      </c>
      <c r="AN28" s="10">
        <v>3579182.4463599999</v>
      </c>
      <c r="AO28" s="10">
        <v>2961188.7143399999</v>
      </c>
      <c r="AP28" s="10"/>
      <c r="AQ28" s="10">
        <v>547088.61277100001</v>
      </c>
      <c r="AR28" s="10">
        <v>1428244.6615599999</v>
      </c>
      <c r="AS28" s="10">
        <v>3719825.3717629998</v>
      </c>
      <c r="AT28" s="10">
        <v>6259967.0871200003</v>
      </c>
      <c r="AU28" s="10">
        <v>9190830.4331999999</v>
      </c>
      <c r="AV28" s="10">
        <v>0</v>
      </c>
      <c r="AW28" s="10">
        <v>8249422.5637999997</v>
      </c>
      <c r="AX28" s="10">
        <v>798822.44848000002</v>
      </c>
      <c r="AY28" s="10">
        <v>3493772.6285799998</v>
      </c>
      <c r="AZ28" s="10"/>
      <c r="BA28" s="10">
        <v>706.03189999999995</v>
      </c>
      <c r="BB28" s="10">
        <v>313825.74643</v>
      </c>
      <c r="BC28" s="10">
        <v>959186.33955999999</v>
      </c>
      <c r="BD28" s="10">
        <v>1209269.36042</v>
      </c>
      <c r="BE28" s="10">
        <v>939134.32247200003</v>
      </c>
      <c r="BF28" s="10">
        <v>623659.29487999994</v>
      </c>
      <c r="BG28" s="10">
        <v>469755.12900000002</v>
      </c>
      <c r="BH28" s="10"/>
      <c r="BI28" s="10">
        <v>189609.30747</v>
      </c>
      <c r="BJ28" s="10">
        <v>542927.65020999999</v>
      </c>
      <c r="BK28" s="10">
        <v>178958.715</v>
      </c>
      <c r="BL28" s="10">
        <v>151605.83129999999</v>
      </c>
      <c r="BM28" s="10">
        <v>249984.89520999999</v>
      </c>
      <c r="BN28" s="10">
        <v>297133.82737999997</v>
      </c>
      <c r="BO28" s="10">
        <v>161529.10668999999</v>
      </c>
      <c r="BP28" s="10">
        <v>260863.8989</v>
      </c>
      <c r="BQ28" s="10">
        <v>20831.16042</v>
      </c>
      <c r="BR28" s="10">
        <v>159161.22792999999</v>
      </c>
      <c r="BS28" s="10">
        <v>373211.00227</v>
      </c>
      <c r="BT28" s="10"/>
      <c r="BU28" s="10">
        <v>16195.6435</v>
      </c>
      <c r="BV28" s="10">
        <v>147801.56104</v>
      </c>
      <c r="BW28" s="10"/>
      <c r="BX28" s="10">
        <v>88093.402052999998</v>
      </c>
      <c r="BY28" s="10">
        <v>2006374.0341399999</v>
      </c>
      <c r="BZ28" s="10"/>
      <c r="CA28" s="10">
        <v>153370.22576999999</v>
      </c>
      <c r="CB28" s="10">
        <v>1556.73047</v>
      </c>
      <c r="CC28" s="10">
        <v>14696.526690000001</v>
      </c>
      <c r="CD28" s="10">
        <v>66559.319529999993</v>
      </c>
      <c r="CE28" s="10">
        <v>136142.20645100001</v>
      </c>
      <c r="CF28" s="10">
        <v>0</v>
      </c>
      <c r="CG28" s="10"/>
      <c r="CH28" s="10">
        <v>233806.8051</v>
      </c>
      <c r="CI28" s="10"/>
      <c r="CJ28" s="10">
        <v>6055.1069530000004</v>
      </c>
      <c r="CK28" s="10">
        <v>181109.02512000001</v>
      </c>
      <c r="CL28" s="10">
        <v>0</v>
      </c>
      <c r="CM28" s="10">
        <v>35456.317900000002</v>
      </c>
      <c r="CN28" s="10">
        <v>123844.8769</v>
      </c>
      <c r="CO28" s="10">
        <v>84968.002600000007</v>
      </c>
      <c r="CP28" s="10"/>
      <c r="CQ28" s="10">
        <v>0</v>
      </c>
      <c r="CR28" s="10"/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/>
      <c r="DD28" s="10">
        <v>0</v>
      </c>
      <c r="DE28" s="10">
        <v>0</v>
      </c>
      <c r="DF28" s="10">
        <v>0</v>
      </c>
      <c r="DG28" s="10"/>
      <c r="DH28" s="10">
        <v>0</v>
      </c>
      <c r="DI28" s="10">
        <v>0</v>
      </c>
    </row>
    <row r="29" spans="1:113" x14ac:dyDescent="0.35">
      <c r="A29" s="8">
        <v>46161</v>
      </c>
      <c r="B29" s="9">
        <v>2652016596.9095302</v>
      </c>
      <c r="C29" s="10">
        <v>331742919.59684998</v>
      </c>
      <c r="D29" s="10">
        <v>217143940.74764001</v>
      </c>
      <c r="E29" s="10">
        <v>381154268.343799</v>
      </c>
      <c r="F29" s="10">
        <v>117264770.9815</v>
      </c>
      <c r="G29" s="10">
        <v>375950368.46130002</v>
      </c>
      <c r="H29" s="10">
        <v>298975859.71281999</v>
      </c>
      <c r="I29" s="10">
        <v>204634951.00742</v>
      </c>
      <c r="J29" s="10">
        <v>132727229.29186</v>
      </c>
      <c r="K29" s="10">
        <v>148351551.5724</v>
      </c>
      <c r="L29" s="10">
        <v>30494952.105829999</v>
      </c>
      <c r="M29" s="10">
        <v>87060401.468400002</v>
      </c>
      <c r="N29" s="10">
        <v>44979441.918650001</v>
      </c>
      <c r="O29" s="10">
        <v>5406191.4418080002</v>
      </c>
      <c r="P29" s="10">
        <v>6799847.99740001</v>
      </c>
      <c r="Q29" s="10">
        <v>17390294.719689999</v>
      </c>
      <c r="R29" s="10">
        <v>12577783.3825</v>
      </c>
      <c r="S29" s="10">
        <v>2664148.6425999999</v>
      </c>
      <c r="T29" s="10">
        <v>8086336.9851169903</v>
      </c>
      <c r="U29" s="10">
        <v>4999999.7619000003</v>
      </c>
      <c r="V29" s="10">
        <v>9413296.1962999906</v>
      </c>
      <c r="W29" s="10">
        <v>7430008.4100500001</v>
      </c>
      <c r="X29" s="10">
        <v>23376180.473299999</v>
      </c>
      <c r="Y29" s="10">
        <v>3921769.4019999998</v>
      </c>
      <c r="Z29" s="10">
        <v>12569767.781959999</v>
      </c>
      <c r="AA29" s="10">
        <v>1544204.41689</v>
      </c>
      <c r="AB29" s="10">
        <v>7970681.6637500003</v>
      </c>
      <c r="AC29" s="10">
        <v>4911462.2911200002</v>
      </c>
      <c r="AD29" s="10">
        <v>56748050.530400001</v>
      </c>
      <c r="AE29" s="10">
        <v>1852580.0426700001</v>
      </c>
      <c r="AF29" s="10">
        <v>8613195.2774999999</v>
      </c>
      <c r="AG29" s="10">
        <v>3322075.199</v>
      </c>
      <c r="AH29" s="10">
        <v>4624633.5085199997</v>
      </c>
      <c r="AI29" s="10">
        <v>3937805.1495599998</v>
      </c>
      <c r="AJ29" s="10">
        <v>11914879.4211</v>
      </c>
      <c r="AK29" s="10">
        <v>7061049.6939700004</v>
      </c>
      <c r="AL29" s="10">
        <v>5618180.5865799999</v>
      </c>
      <c r="AM29" s="10">
        <v>4406956.7274000002</v>
      </c>
      <c r="AN29" s="10">
        <v>4002309.0230100001</v>
      </c>
      <c r="AO29" s="10">
        <v>1752515.2854299999</v>
      </c>
      <c r="AP29" s="10"/>
      <c r="AQ29" s="10">
        <v>989358.38983600005</v>
      </c>
      <c r="AR29" s="10">
        <v>3111462.4187400001</v>
      </c>
      <c r="AS29" s="10">
        <v>2877097.581791</v>
      </c>
      <c r="AT29" s="10">
        <v>5021173.9731999999</v>
      </c>
      <c r="AU29" s="10">
        <v>8713167.3997000009</v>
      </c>
      <c r="AV29" s="10">
        <v>0</v>
      </c>
      <c r="AW29" s="10">
        <v>7014580.4945</v>
      </c>
      <c r="AX29" s="10">
        <v>334427.03311000002</v>
      </c>
      <c r="AY29" s="10">
        <v>2083531.0478099999</v>
      </c>
      <c r="AZ29" s="10"/>
      <c r="BA29" s="10">
        <v>1086.4946</v>
      </c>
      <c r="BB29" s="10">
        <v>272043.17507</v>
      </c>
      <c r="BC29" s="10">
        <v>1249274.04024001</v>
      </c>
      <c r="BD29" s="10">
        <v>550479.81309299998</v>
      </c>
      <c r="BE29" s="10">
        <v>403331.44748199999</v>
      </c>
      <c r="BF29" s="10">
        <v>650524.46265999996</v>
      </c>
      <c r="BG29" s="10">
        <v>646043.97730000003</v>
      </c>
      <c r="BH29" s="10"/>
      <c r="BI29" s="10">
        <v>112983.87375</v>
      </c>
      <c r="BJ29" s="10">
        <v>653125.65349000006</v>
      </c>
      <c r="BK29" s="10">
        <v>104385.6734</v>
      </c>
      <c r="BL29" s="10">
        <v>43050.096299999997</v>
      </c>
      <c r="BM29" s="10">
        <v>290103.94701</v>
      </c>
      <c r="BN29" s="10">
        <v>476155.11914999998</v>
      </c>
      <c r="BO29" s="10">
        <v>15507.710010000001</v>
      </c>
      <c r="BP29" s="10">
        <v>402515.14068999997</v>
      </c>
      <c r="BQ29" s="10">
        <v>148.01856000000001</v>
      </c>
      <c r="BR29" s="10">
        <v>134099.34945000001</v>
      </c>
      <c r="BS29" s="10">
        <v>359137.48723000003</v>
      </c>
      <c r="BT29" s="10"/>
      <c r="BU29" s="10">
        <v>210133.97454</v>
      </c>
      <c r="BV29" s="10">
        <v>120158.29333</v>
      </c>
      <c r="BW29" s="10"/>
      <c r="BX29" s="10">
        <v>130469.46765799999</v>
      </c>
      <c r="BY29" s="10">
        <v>863807.91510999994</v>
      </c>
      <c r="BZ29" s="10"/>
      <c r="CA29" s="10">
        <v>388621.25456999999</v>
      </c>
      <c r="CB29" s="10">
        <v>18735.505150000001</v>
      </c>
      <c r="CC29" s="10">
        <v>2899.1818899999998</v>
      </c>
      <c r="CD29" s="10">
        <v>23192.713950000001</v>
      </c>
      <c r="CE29" s="10">
        <v>134377.61245399999</v>
      </c>
      <c r="CF29" s="10">
        <v>5210.0196999999998</v>
      </c>
      <c r="CG29" s="10"/>
      <c r="CH29" s="10">
        <v>3319.3861999999999</v>
      </c>
      <c r="CI29" s="10"/>
      <c r="CJ29" s="10">
        <v>20049.449227000001</v>
      </c>
      <c r="CK29" s="10">
        <v>36184.962879999999</v>
      </c>
      <c r="CL29" s="10">
        <v>0</v>
      </c>
      <c r="CM29" s="10">
        <v>15994.424199999999</v>
      </c>
      <c r="CN29" s="10">
        <v>42154.720399999998</v>
      </c>
      <c r="CO29" s="10">
        <v>95634.990099999995</v>
      </c>
      <c r="CP29" s="10"/>
      <c r="CQ29" s="10">
        <v>0</v>
      </c>
      <c r="CR29" s="10"/>
      <c r="CS29" s="10">
        <v>0</v>
      </c>
      <c r="CT29" s="10"/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/>
      <c r="DD29" s="10">
        <v>0</v>
      </c>
      <c r="DE29" s="10">
        <v>0</v>
      </c>
      <c r="DF29" s="10">
        <v>0</v>
      </c>
      <c r="DG29" s="10"/>
      <c r="DH29" s="10">
        <v>0</v>
      </c>
      <c r="DI29" s="10">
        <v>0</v>
      </c>
    </row>
    <row r="30" spans="1:113" x14ac:dyDescent="0.35">
      <c r="A30" s="8">
        <v>46160</v>
      </c>
      <c r="B30" s="9">
        <v>3265771325.1258202</v>
      </c>
      <c r="C30" s="10">
        <v>631012641.59188497</v>
      </c>
      <c r="D30" s="10">
        <v>263423468.19800001</v>
      </c>
      <c r="E30" s="10">
        <v>493766552.52509999</v>
      </c>
      <c r="F30" s="10">
        <v>324094155.63370001</v>
      </c>
      <c r="G30" s="10">
        <v>565869389.67739999</v>
      </c>
      <c r="H30" s="10">
        <v>37278590.682960004</v>
      </c>
      <c r="I30" s="10">
        <v>163862761.80316001</v>
      </c>
      <c r="J30" s="10">
        <v>95489277.702639997</v>
      </c>
      <c r="K30" s="10">
        <v>135589633.44049999</v>
      </c>
      <c r="L30" s="10">
        <v>32075111.579530001</v>
      </c>
      <c r="M30" s="10">
        <v>91559201.641599998</v>
      </c>
      <c r="N30" s="10">
        <v>29939890.875500001</v>
      </c>
      <c r="O30" s="10">
        <v>10273473.640535001</v>
      </c>
      <c r="P30" s="10">
        <v>56464819.338799998</v>
      </c>
      <c r="Q30" s="10">
        <v>17680519.625980001</v>
      </c>
      <c r="R30" s="10">
        <v>13417598.67196</v>
      </c>
      <c r="S30" s="10">
        <v>3217326.5589000001</v>
      </c>
      <c r="T30" s="10">
        <v>9762888.6160719991</v>
      </c>
      <c r="U30" s="10">
        <v>15693296.792610001</v>
      </c>
      <c r="V30" s="10">
        <v>11262024.614399999</v>
      </c>
      <c r="W30" s="10">
        <v>10487540.749260001</v>
      </c>
      <c r="X30" s="10">
        <v>30183340.017000001</v>
      </c>
      <c r="Y30" s="10">
        <v>5620569.8533399999</v>
      </c>
      <c r="Z30" s="10">
        <v>22940703.969439998</v>
      </c>
      <c r="AA30" s="10">
        <v>2717009.3682800001</v>
      </c>
      <c r="AB30" s="10">
        <v>10929337.04991</v>
      </c>
      <c r="AC30" s="10">
        <v>5693498.9009299995</v>
      </c>
      <c r="AD30" s="10">
        <v>53131447.118100002</v>
      </c>
      <c r="AE30" s="10">
        <v>1876485.6703699999</v>
      </c>
      <c r="AF30" s="10">
        <v>9293805.9826200008</v>
      </c>
      <c r="AG30" s="10">
        <v>1744557.6880000001</v>
      </c>
      <c r="AH30" s="10">
        <v>7288637.1473899996</v>
      </c>
      <c r="AI30" s="10">
        <v>5459250.1858900003</v>
      </c>
      <c r="AJ30" s="10">
        <v>12800413.664000001</v>
      </c>
      <c r="AK30" s="10">
        <v>12574132.566601999</v>
      </c>
      <c r="AL30" s="10">
        <v>5726619.7025600001</v>
      </c>
      <c r="AM30" s="10">
        <v>9673399.2561000008</v>
      </c>
      <c r="AN30" s="10">
        <v>5097741.0083900001</v>
      </c>
      <c r="AO30" s="10">
        <v>2288192.6905899998</v>
      </c>
      <c r="AP30" s="10"/>
      <c r="AQ30" s="10">
        <v>1147989.7309699999</v>
      </c>
      <c r="AR30" s="10">
        <v>4234554.8490300002</v>
      </c>
      <c r="AS30" s="10">
        <v>6792346.9298130004</v>
      </c>
      <c r="AT30" s="10">
        <v>6716331.02996</v>
      </c>
      <c r="AU30" s="10">
        <v>10383897.393200001</v>
      </c>
      <c r="AV30" s="10">
        <v>0</v>
      </c>
      <c r="AW30" s="10">
        <v>1901148.6969000001</v>
      </c>
      <c r="AX30" s="10">
        <v>437554.24044999998</v>
      </c>
      <c r="AY30" s="10">
        <v>4168414.7891299999</v>
      </c>
      <c r="AZ30" s="10"/>
      <c r="BA30" s="10">
        <v>827.20659999999998</v>
      </c>
      <c r="BB30" s="10">
        <v>352528.40427</v>
      </c>
      <c r="BC30" s="10">
        <v>904415.65983000002</v>
      </c>
      <c r="BD30" s="10">
        <v>266819.62757399998</v>
      </c>
      <c r="BE30" s="10">
        <v>1071373.618947</v>
      </c>
      <c r="BF30" s="10">
        <v>972938.32684999995</v>
      </c>
      <c r="BG30" s="10">
        <v>198488.85810000001</v>
      </c>
      <c r="BH30" s="10"/>
      <c r="BI30" s="10">
        <v>203425.96706</v>
      </c>
      <c r="BJ30" s="10">
        <v>366787.84330000001</v>
      </c>
      <c r="BK30" s="10">
        <v>855540.17279999994</v>
      </c>
      <c r="BL30" s="10">
        <v>56595.853000000003</v>
      </c>
      <c r="BM30" s="10">
        <v>1376405.53694</v>
      </c>
      <c r="BN30" s="10">
        <v>1057396.2171499999</v>
      </c>
      <c r="BO30" s="10">
        <v>247697.11264000001</v>
      </c>
      <c r="BP30" s="10">
        <v>273429.67712000001</v>
      </c>
      <c r="BQ30" s="10">
        <v>60773.442430000003</v>
      </c>
      <c r="BR30" s="10">
        <v>116295.02815</v>
      </c>
      <c r="BS30" s="10">
        <v>308084.29561999999</v>
      </c>
      <c r="BT30" s="10"/>
      <c r="BU30" s="10">
        <v>61022.142200000002</v>
      </c>
      <c r="BV30" s="10">
        <v>83481.902350000004</v>
      </c>
      <c r="BW30" s="10"/>
      <c r="BX30" s="10">
        <v>99721.498366</v>
      </c>
      <c r="BY30" s="10">
        <v>2412740.7607100001</v>
      </c>
      <c r="BZ30" s="10"/>
      <c r="CA30" s="10">
        <v>865536.77459000004</v>
      </c>
      <c r="CB30" s="10">
        <v>56583.642809999998</v>
      </c>
      <c r="CC30" s="10">
        <v>4773.4833900000003</v>
      </c>
      <c r="CD30" s="10">
        <v>88276.920750000005</v>
      </c>
      <c r="CE30" s="10">
        <v>134137.55507199999</v>
      </c>
      <c r="CF30" s="10">
        <v>3952.3713299999999</v>
      </c>
      <c r="CG30" s="10"/>
      <c r="CH30" s="10">
        <v>2754.6790000000001</v>
      </c>
      <c r="CI30" s="10"/>
      <c r="CJ30" s="10">
        <v>30382.617687000002</v>
      </c>
      <c r="CK30" s="10">
        <v>31629.768029999999</v>
      </c>
      <c r="CL30" s="10">
        <v>0</v>
      </c>
      <c r="CM30" s="10">
        <v>8331.1641</v>
      </c>
      <c r="CN30" s="10">
        <v>39894.599800000004</v>
      </c>
      <c r="CO30" s="10">
        <v>116738.9378</v>
      </c>
      <c r="CP30" s="10"/>
      <c r="CQ30" s="10">
        <v>0</v>
      </c>
      <c r="CR30" s="10"/>
      <c r="CS30" s="10">
        <v>0</v>
      </c>
      <c r="CT30" s="10"/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/>
      <c r="DD30" s="10">
        <v>0</v>
      </c>
      <c r="DE30" s="10">
        <v>0</v>
      </c>
      <c r="DF30" s="10">
        <v>0</v>
      </c>
      <c r="DG30" s="10"/>
      <c r="DH30" s="10">
        <v>0</v>
      </c>
      <c r="DI30" s="10">
        <v>0</v>
      </c>
    </row>
    <row r="31" spans="1:113" x14ac:dyDescent="0.35">
      <c r="A31" s="8">
        <v>46159</v>
      </c>
      <c r="B31" s="9">
        <v>440553049.90781802</v>
      </c>
      <c r="C31" s="10">
        <v>81254873.13098</v>
      </c>
      <c r="D31" s="10">
        <v>54595287.1617001</v>
      </c>
      <c r="E31" s="10">
        <v>63621984.455600001</v>
      </c>
      <c r="F31" s="10">
        <v>54877063.486000001</v>
      </c>
      <c r="G31" s="10">
        <v>74686661.358999997</v>
      </c>
      <c r="H31" s="10">
        <v>7234371.0143999998</v>
      </c>
      <c r="I31" s="10">
        <v>11725479.534</v>
      </c>
      <c r="J31" s="10">
        <v>9478401.2311900109</v>
      </c>
      <c r="K31" s="10">
        <v>6350151.5718999999</v>
      </c>
      <c r="L31" s="10">
        <v>5271502.4172200104</v>
      </c>
      <c r="M31" s="10">
        <v>4084434.0611999999</v>
      </c>
      <c r="N31" s="10">
        <v>4127985.65912</v>
      </c>
      <c r="O31" s="10">
        <v>3112594.3069150001</v>
      </c>
      <c r="P31" s="10">
        <v>4715699.7300000004</v>
      </c>
      <c r="Q31" s="10">
        <v>2541519.3256199998</v>
      </c>
      <c r="R31" s="10">
        <v>3455228.7911999999</v>
      </c>
      <c r="S31" s="10">
        <v>630642.35959999997</v>
      </c>
      <c r="T31" s="10">
        <v>1489394.1555699999</v>
      </c>
      <c r="U31" s="10">
        <v>3280963.7052699998</v>
      </c>
      <c r="V31" s="10">
        <v>3202667.1195</v>
      </c>
      <c r="W31" s="10">
        <v>2126846.99015</v>
      </c>
      <c r="X31" s="10">
        <v>5287222.3899699999</v>
      </c>
      <c r="Y31" s="10">
        <v>1342885.3382000001</v>
      </c>
      <c r="Z31" s="10">
        <v>1646975.63359</v>
      </c>
      <c r="AA31" s="10">
        <v>644172.47595999995</v>
      </c>
      <c r="AB31" s="10">
        <v>1595781.6821399999</v>
      </c>
      <c r="AC31" s="10">
        <v>493749.92580999999</v>
      </c>
      <c r="AD31" s="10">
        <v>10500739.019400001</v>
      </c>
      <c r="AE31" s="10">
        <v>353590.48022999999</v>
      </c>
      <c r="AF31" s="10">
        <v>1681657.96407</v>
      </c>
      <c r="AG31" s="10">
        <v>740695.75060000003</v>
      </c>
      <c r="AH31" s="10">
        <v>1191940.10898</v>
      </c>
      <c r="AI31" s="10">
        <v>3053596.1256599999</v>
      </c>
      <c r="AJ31" s="10">
        <v>2057673.6676</v>
      </c>
      <c r="AK31" s="10">
        <v>370453.67692</v>
      </c>
      <c r="AL31" s="10">
        <v>198777.62479999999</v>
      </c>
      <c r="AM31" s="10">
        <v>947011.97328999999</v>
      </c>
      <c r="AN31" s="10">
        <v>404962.62442000001</v>
      </c>
      <c r="AO31" s="10">
        <v>510481.37529</v>
      </c>
      <c r="AP31" s="10"/>
      <c r="AQ31" s="10">
        <v>244045.89271700001</v>
      </c>
      <c r="AR31" s="10">
        <v>212079.43539999999</v>
      </c>
      <c r="AS31" s="10">
        <v>9560.5605190000006</v>
      </c>
      <c r="AT31" s="10">
        <v>533507.46713</v>
      </c>
      <c r="AU31" s="10">
        <v>1074145.1557</v>
      </c>
      <c r="AV31" s="10">
        <v>0</v>
      </c>
      <c r="AW31" s="10">
        <v>479378.08</v>
      </c>
      <c r="AX31" s="10">
        <v>31006.926210000001</v>
      </c>
      <c r="AY31" s="10">
        <v>108270.01147</v>
      </c>
      <c r="AZ31" s="10"/>
      <c r="BA31" s="10">
        <v>5979.8190999999997</v>
      </c>
      <c r="BB31" s="10">
        <v>166771.56255999999</v>
      </c>
      <c r="BC31" s="10">
        <v>705162.39723</v>
      </c>
      <c r="BD31" s="10">
        <v>206990.58966</v>
      </c>
      <c r="BE31" s="10">
        <v>364462.64883700002</v>
      </c>
      <c r="BF31" s="10">
        <v>68444.582030000005</v>
      </c>
      <c r="BG31" s="10">
        <v>24236.831399999999</v>
      </c>
      <c r="BH31" s="10"/>
      <c r="BI31" s="10">
        <v>81833.279559999995</v>
      </c>
      <c r="BJ31" s="10">
        <v>2081.4957199999999</v>
      </c>
      <c r="BK31" s="10">
        <v>552046.375</v>
      </c>
      <c r="BL31" s="10">
        <v>6767.8557000000001</v>
      </c>
      <c r="BM31" s="10">
        <v>238472.81763000001</v>
      </c>
      <c r="BN31" s="10">
        <v>19109.513340000001</v>
      </c>
      <c r="BO31" s="10">
        <v>1503.84413</v>
      </c>
      <c r="BP31" s="10">
        <v>59328.277370000003</v>
      </c>
      <c r="BQ31" s="10">
        <v>33.873240000000003</v>
      </c>
      <c r="BR31" s="10">
        <v>76.493589999999998</v>
      </c>
      <c r="BS31" s="10">
        <v>25941.228309999999</v>
      </c>
      <c r="BT31" s="10"/>
      <c r="BU31" s="10">
        <v>2976.40238</v>
      </c>
      <c r="BV31" s="10">
        <v>10388.07221</v>
      </c>
      <c r="BW31" s="10"/>
      <c r="BX31" s="10">
        <v>104.30154</v>
      </c>
      <c r="BY31" s="10">
        <v>41616.628389999998</v>
      </c>
      <c r="BZ31" s="10"/>
      <c r="CA31" s="10">
        <v>346594.36284000002</v>
      </c>
      <c r="CB31" s="10">
        <v>1178.03169</v>
      </c>
      <c r="CC31" s="10">
        <v>779.35811999999999</v>
      </c>
      <c r="CD31" s="10">
        <v>939.18571999999995</v>
      </c>
      <c r="CE31" s="10">
        <v>1770.1171899999999</v>
      </c>
      <c r="CF31" s="10">
        <v>695.45844</v>
      </c>
      <c r="CG31" s="10"/>
      <c r="CH31" s="10">
        <v>19703.0893</v>
      </c>
      <c r="CI31" s="10"/>
      <c r="CJ31" s="10">
        <v>0</v>
      </c>
      <c r="CK31" s="10">
        <v>943.69668000000001</v>
      </c>
      <c r="CL31" s="10">
        <v>0</v>
      </c>
      <c r="CM31" s="10">
        <v>82.542400000000001</v>
      </c>
      <c r="CN31" s="10">
        <v>17922.244299999998</v>
      </c>
      <c r="CO31" s="10">
        <v>0</v>
      </c>
      <c r="CP31" s="10"/>
      <c r="CQ31" s="10">
        <v>0</v>
      </c>
      <c r="CR31" s="10"/>
      <c r="CS31" s="10">
        <v>0</v>
      </c>
      <c r="CT31" s="10"/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/>
      <c r="DD31" s="10">
        <v>0</v>
      </c>
      <c r="DE31" s="10">
        <v>0</v>
      </c>
      <c r="DF31" s="10">
        <v>0</v>
      </c>
      <c r="DG31" s="10"/>
      <c r="DH31" s="10">
        <v>0</v>
      </c>
      <c r="DI31" s="10">
        <v>0</v>
      </c>
    </row>
    <row r="32" spans="1:113" x14ac:dyDescent="0.35">
      <c r="A32" s="8">
        <v>46158</v>
      </c>
      <c r="B32" s="9">
        <v>278571598.97565901</v>
      </c>
      <c r="C32" s="10">
        <v>52158994.88955</v>
      </c>
      <c r="D32" s="10">
        <v>35013462.947509997</v>
      </c>
      <c r="E32" s="10">
        <v>24028411.903700002</v>
      </c>
      <c r="F32" s="10">
        <v>25547527.228300001</v>
      </c>
      <c r="G32" s="10">
        <v>39321528.231600001</v>
      </c>
      <c r="H32" s="10">
        <v>26906205.672189999</v>
      </c>
      <c r="I32" s="10">
        <v>10064869.744759999</v>
      </c>
      <c r="J32" s="10">
        <v>7445640.8834300004</v>
      </c>
      <c r="K32" s="10">
        <v>6081849.4664000003</v>
      </c>
      <c r="L32" s="10">
        <v>3508648.7555499999</v>
      </c>
      <c r="M32" s="10">
        <v>2001884.2228000001</v>
      </c>
      <c r="N32" s="10">
        <v>2491265.4745999998</v>
      </c>
      <c r="O32" s="10">
        <v>1256833.346229</v>
      </c>
      <c r="P32" s="10"/>
      <c r="Q32" s="10">
        <v>2511105.7739300001</v>
      </c>
      <c r="R32" s="10">
        <v>1961685.50293</v>
      </c>
      <c r="S32" s="10">
        <v>1311817.5795</v>
      </c>
      <c r="T32" s="10">
        <v>895831.43064000004</v>
      </c>
      <c r="U32" s="10">
        <v>2697504.09454</v>
      </c>
      <c r="V32" s="10">
        <v>2215789.2694000001</v>
      </c>
      <c r="W32" s="10">
        <v>1114888.4676399999</v>
      </c>
      <c r="X32" s="10">
        <v>990666.16052999999</v>
      </c>
      <c r="Y32" s="10">
        <v>1130054.2783600001</v>
      </c>
      <c r="Z32" s="10">
        <v>1337217.7118800001</v>
      </c>
      <c r="AA32" s="10">
        <v>660044.16747999995</v>
      </c>
      <c r="AB32" s="10">
        <v>971621.68096000003</v>
      </c>
      <c r="AC32" s="10">
        <v>665965.38639</v>
      </c>
      <c r="AD32" s="10">
        <v>9646460.9191999901</v>
      </c>
      <c r="AE32" s="10">
        <v>401877.90379000001</v>
      </c>
      <c r="AF32" s="10">
        <v>1636447.52648</v>
      </c>
      <c r="AG32" s="10">
        <v>440422.7218</v>
      </c>
      <c r="AH32" s="10">
        <v>1149534.09635</v>
      </c>
      <c r="AI32" s="10">
        <v>1217053.8263399999</v>
      </c>
      <c r="AJ32" s="10">
        <v>2886428.8045999999</v>
      </c>
      <c r="AK32" s="10">
        <v>46985.419248999999</v>
      </c>
      <c r="AL32" s="10">
        <v>650638.00910000002</v>
      </c>
      <c r="AM32" s="10">
        <v>378262.51702000003</v>
      </c>
      <c r="AN32" s="10">
        <v>1057454.8589600001</v>
      </c>
      <c r="AO32" s="10">
        <v>393886.94023000001</v>
      </c>
      <c r="AP32" s="10"/>
      <c r="AQ32" s="10">
        <v>189834.92467000001</v>
      </c>
      <c r="AR32" s="10">
        <v>291304.76140000002</v>
      </c>
      <c r="AS32" s="10">
        <v>57895.209986000002</v>
      </c>
      <c r="AT32" s="10">
        <v>207907.42673000001</v>
      </c>
      <c r="AU32" s="10">
        <v>314682.40909999999</v>
      </c>
      <c r="AV32" s="10">
        <v>0</v>
      </c>
      <c r="AW32" s="10">
        <v>280004.54969999997</v>
      </c>
      <c r="AX32" s="10">
        <v>129653.08596</v>
      </c>
      <c r="AY32" s="10">
        <v>114613.34364000001</v>
      </c>
      <c r="AZ32" s="10"/>
      <c r="BA32" s="10">
        <v>3878.4176000000002</v>
      </c>
      <c r="BB32" s="10">
        <v>741721.60426000005</v>
      </c>
      <c r="BC32" s="10">
        <v>301797.70740000001</v>
      </c>
      <c r="BD32" s="10">
        <v>18142.135338</v>
      </c>
      <c r="BE32" s="10">
        <v>211301.78492999999</v>
      </c>
      <c r="BF32" s="10">
        <v>64836.523710000001</v>
      </c>
      <c r="BG32" s="10">
        <v>69099.048800000004</v>
      </c>
      <c r="BH32" s="10"/>
      <c r="BI32" s="10">
        <v>20456.571319999999</v>
      </c>
      <c r="BJ32" s="10">
        <v>4877.7351799999997</v>
      </c>
      <c r="BK32" s="10">
        <v>436006.45919999998</v>
      </c>
      <c r="BL32" s="10">
        <v>18146.037199999999</v>
      </c>
      <c r="BM32" s="10">
        <v>576917.00872000004</v>
      </c>
      <c r="BN32" s="10">
        <v>46205.33913</v>
      </c>
      <c r="BO32" s="10">
        <v>14340.36736</v>
      </c>
      <c r="BP32" s="10">
        <v>23386.98605</v>
      </c>
      <c r="BQ32" s="10">
        <v>64095.837930000002</v>
      </c>
      <c r="BR32" s="10">
        <v>1165.14879</v>
      </c>
      <c r="BS32" s="10">
        <v>12105.094139999999</v>
      </c>
      <c r="BT32" s="10"/>
      <c r="BU32" s="10">
        <v>19633.618439999998</v>
      </c>
      <c r="BV32" s="10">
        <v>10893.79063</v>
      </c>
      <c r="BW32" s="10"/>
      <c r="BX32" s="10">
        <v>410.82852800000001</v>
      </c>
      <c r="BY32" s="10">
        <v>68561.390060000005</v>
      </c>
      <c r="BZ32" s="10"/>
      <c r="CA32" s="10">
        <v>14581.635829999999</v>
      </c>
      <c r="CB32" s="10">
        <v>1453.9260300000001</v>
      </c>
      <c r="CC32" s="10">
        <v>108.03771999999999</v>
      </c>
      <c r="CD32" s="10">
        <v>11566.97272</v>
      </c>
      <c r="CE32" s="10">
        <v>10088.645248999999</v>
      </c>
      <c r="CF32" s="10">
        <v>935.83142999999995</v>
      </c>
      <c r="CG32" s="10"/>
      <c r="CH32" s="10">
        <v>1037.4456</v>
      </c>
      <c r="CI32" s="10"/>
      <c r="CJ32" s="10">
        <v>84.340919999999997</v>
      </c>
      <c r="CK32" s="10">
        <v>3107.3116399999999</v>
      </c>
      <c r="CL32" s="10">
        <v>0</v>
      </c>
      <c r="CM32" s="10">
        <v>1762.4115999999999</v>
      </c>
      <c r="CN32" s="10">
        <v>16229.4571</v>
      </c>
      <c r="CO32" s="10">
        <v>0</v>
      </c>
      <c r="CP32" s="10"/>
      <c r="CQ32" s="10">
        <v>0</v>
      </c>
      <c r="CR32" s="10"/>
      <c r="CS32" s="10">
        <v>0</v>
      </c>
      <c r="CT32" s="10"/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/>
      <c r="DD32" s="10">
        <v>0</v>
      </c>
      <c r="DE32" s="10">
        <v>0</v>
      </c>
      <c r="DF32" s="10">
        <v>0</v>
      </c>
      <c r="DG32" s="10"/>
      <c r="DH32" s="10">
        <v>0</v>
      </c>
      <c r="DI32" s="10">
        <v>0</v>
      </c>
    </row>
    <row r="33" spans="1:113" x14ac:dyDescent="0.35">
      <c r="A33" s="8">
        <v>46157</v>
      </c>
      <c r="B33" s="9">
        <v>2759755065.3430901</v>
      </c>
      <c r="C33" s="10">
        <v>309471956.39650899</v>
      </c>
      <c r="D33" s="10">
        <v>371696196.64758003</v>
      </c>
      <c r="E33" s="10">
        <v>460368945.4034</v>
      </c>
      <c r="F33" s="10">
        <v>111941920.77680001</v>
      </c>
      <c r="G33" s="10">
        <v>481418827.78570002</v>
      </c>
      <c r="H33" s="10">
        <v>68570216.622889996</v>
      </c>
      <c r="I33" s="10">
        <v>151966409.55368</v>
      </c>
      <c r="J33" s="10">
        <v>132722525.59642</v>
      </c>
      <c r="K33" s="10">
        <v>165883543.4077</v>
      </c>
      <c r="L33" s="10">
        <v>29793558.623029999</v>
      </c>
      <c r="M33" s="10">
        <v>76099609.243699998</v>
      </c>
      <c r="N33" s="10">
        <v>35893170.91279</v>
      </c>
      <c r="O33" s="10">
        <v>21172818.716866001</v>
      </c>
      <c r="P33" s="10"/>
      <c r="Q33" s="10">
        <v>15217982.17921</v>
      </c>
      <c r="R33" s="10">
        <v>16780880.824080002</v>
      </c>
      <c r="S33" s="10">
        <v>3848690.2730999999</v>
      </c>
      <c r="T33" s="10">
        <v>5563025.9132059999</v>
      </c>
      <c r="U33" s="10">
        <v>10273315.95149</v>
      </c>
      <c r="V33" s="10">
        <v>12694393.937200001</v>
      </c>
      <c r="W33" s="10">
        <v>12410730.699890001</v>
      </c>
      <c r="X33" s="10">
        <v>21313009.770690002</v>
      </c>
      <c r="Y33" s="10">
        <v>4723418.99816</v>
      </c>
      <c r="Z33" s="10">
        <v>14930820.30721</v>
      </c>
      <c r="AA33" s="10">
        <v>2910640.3364200001</v>
      </c>
      <c r="AB33" s="10">
        <v>7882596.5115400003</v>
      </c>
      <c r="AC33" s="10">
        <v>8778478.9966499992</v>
      </c>
      <c r="AD33" s="10">
        <v>86875508.879700005</v>
      </c>
      <c r="AE33" s="10">
        <v>4416969.4676999999</v>
      </c>
      <c r="AF33" s="10">
        <v>8499551.5097199995</v>
      </c>
      <c r="AG33" s="10">
        <v>5688283.0964000002</v>
      </c>
      <c r="AH33" s="10">
        <v>11166197.490080001</v>
      </c>
      <c r="AI33" s="10">
        <v>8178314.04837</v>
      </c>
      <c r="AJ33" s="10">
        <v>26792156.900699999</v>
      </c>
      <c r="AK33" s="10">
        <v>1178062.476884</v>
      </c>
      <c r="AL33" s="10">
        <v>4905820.6300999997</v>
      </c>
      <c r="AM33" s="10">
        <v>4831495.3360299999</v>
      </c>
      <c r="AN33" s="10">
        <v>6353805.4855000004</v>
      </c>
      <c r="AO33" s="10">
        <v>3656181.3956900002</v>
      </c>
      <c r="AP33" s="10"/>
      <c r="AQ33" s="10">
        <v>585576.89172700001</v>
      </c>
      <c r="AR33" s="10">
        <v>1247611.31082</v>
      </c>
      <c r="AS33" s="10">
        <v>1837381.140998</v>
      </c>
      <c r="AT33" s="10">
        <v>4892302.9765600003</v>
      </c>
      <c r="AU33" s="10">
        <v>4898013.3459000001</v>
      </c>
      <c r="AV33" s="10">
        <v>0</v>
      </c>
      <c r="AW33" s="10">
        <v>2366272.9397</v>
      </c>
      <c r="AX33" s="10">
        <v>1055680.5549600001</v>
      </c>
      <c r="AY33" s="10">
        <v>1798383.5898</v>
      </c>
      <c r="AZ33" s="10"/>
      <c r="BA33" s="10">
        <v>1508.6550999999999</v>
      </c>
      <c r="BB33" s="10">
        <v>2006907.0136899999</v>
      </c>
      <c r="BC33" s="10">
        <v>1662498.3427500001</v>
      </c>
      <c r="BD33" s="10">
        <v>335189.46930599998</v>
      </c>
      <c r="BE33" s="10">
        <v>926059.03519600001</v>
      </c>
      <c r="BF33" s="10">
        <v>871020.84187</v>
      </c>
      <c r="BG33" s="10">
        <v>383516.7499</v>
      </c>
      <c r="BH33" s="10"/>
      <c r="BI33" s="10">
        <v>136406.08854999999</v>
      </c>
      <c r="BJ33" s="10">
        <v>175221.59536000001</v>
      </c>
      <c r="BK33" s="10">
        <v>137034.7401</v>
      </c>
      <c r="BL33" s="10">
        <v>21662.904299999998</v>
      </c>
      <c r="BM33" s="10">
        <v>630470.89005000005</v>
      </c>
      <c r="BN33" s="10">
        <v>2027690.6704800001</v>
      </c>
      <c r="BO33" s="10">
        <v>44340.590519999998</v>
      </c>
      <c r="BP33" s="10">
        <v>438619.40782000002</v>
      </c>
      <c r="BQ33" s="10">
        <v>6069.4311399999997</v>
      </c>
      <c r="BR33" s="10">
        <v>170159.4731</v>
      </c>
      <c r="BS33" s="10">
        <v>242603.26637</v>
      </c>
      <c r="BT33" s="10"/>
      <c r="BU33" s="10">
        <v>175606.19983999999</v>
      </c>
      <c r="BV33" s="10">
        <v>81549.424549999996</v>
      </c>
      <c r="BW33" s="10"/>
      <c r="BX33" s="10">
        <v>53675.098825000001</v>
      </c>
      <c r="BY33" s="10">
        <v>2701254.7346600001</v>
      </c>
      <c r="BZ33" s="10"/>
      <c r="CA33" s="10">
        <v>207696.18002999999</v>
      </c>
      <c r="CB33" s="10">
        <v>75689.746029999995</v>
      </c>
      <c r="CC33" s="10">
        <v>44094.751210000002</v>
      </c>
      <c r="CD33" s="10">
        <v>30709.72364</v>
      </c>
      <c r="CE33" s="10">
        <v>300652.20708800002</v>
      </c>
      <c r="CF33" s="10">
        <v>43236.867630000001</v>
      </c>
      <c r="CG33" s="10"/>
      <c r="CH33" s="10">
        <v>14084.564200000001</v>
      </c>
      <c r="CI33" s="10"/>
      <c r="CJ33" s="10">
        <v>104346.13817200001</v>
      </c>
      <c r="CK33" s="10">
        <v>22059.111959999998</v>
      </c>
      <c r="CL33" s="10">
        <v>0</v>
      </c>
      <c r="CM33" s="10">
        <v>52167.542699999998</v>
      </c>
      <c r="CN33" s="10">
        <v>80010.0337</v>
      </c>
      <c r="CO33" s="10"/>
      <c r="CP33" s="10"/>
      <c r="CQ33" s="10">
        <v>0</v>
      </c>
      <c r="CR33" s="10"/>
      <c r="CS33" s="10">
        <v>0</v>
      </c>
      <c r="CT33" s="10"/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/>
      <c r="DD33" s="10">
        <v>0</v>
      </c>
      <c r="DE33" s="10">
        <v>0</v>
      </c>
      <c r="DF33" s="10">
        <v>0</v>
      </c>
      <c r="DG33" s="10"/>
      <c r="DH33" s="10">
        <v>0</v>
      </c>
      <c r="DI33" s="10">
        <v>0</v>
      </c>
    </row>
    <row r="34" spans="1:113" x14ac:dyDescent="0.35">
      <c r="A34" s="8">
        <v>46156</v>
      </c>
      <c r="B34" s="9">
        <v>2598306052.4056802</v>
      </c>
      <c r="C34" s="10">
        <v>344570223.21766102</v>
      </c>
      <c r="D34" s="10">
        <v>272250651.09173</v>
      </c>
      <c r="E34" s="10">
        <v>336380229.65270001</v>
      </c>
      <c r="F34" s="10">
        <v>194599295.8644</v>
      </c>
      <c r="G34" s="10">
        <v>340347129.75239998</v>
      </c>
      <c r="H34" s="10">
        <v>36758348.184280001</v>
      </c>
      <c r="I34" s="10">
        <v>145214230.93180999</v>
      </c>
      <c r="J34" s="10">
        <v>114010306.99176</v>
      </c>
      <c r="K34" s="10">
        <v>92551390.426699996</v>
      </c>
      <c r="L34" s="10">
        <v>29961212.383469999</v>
      </c>
      <c r="M34" s="10">
        <v>52581375.429599904</v>
      </c>
      <c r="N34" s="10">
        <v>78253283.732859999</v>
      </c>
      <c r="O34" s="10">
        <v>22299056.198973</v>
      </c>
      <c r="P34" s="10"/>
      <c r="Q34" s="10">
        <v>10867079.230730001</v>
      </c>
      <c r="R34" s="10">
        <v>30896350.07449</v>
      </c>
      <c r="S34" s="10">
        <v>2862686.9388000001</v>
      </c>
      <c r="T34" s="10">
        <v>7604463.9293219997</v>
      </c>
      <c r="U34" s="10">
        <v>12603809.58066</v>
      </c>
      <c r="V34" s="10">
        <v>9547119.2386000007</v>
      </c>
      <c r="W34" s="10">
        <v>32328372.51591</v>
      </c>
      <c r="X34" s="10">
        <v>12461724.42747</v>
      </c>
      <c r="Y34" s="10">
        <v>6931595.9365900001</v>
      </c>
      <c r="Z34" s="10">
        <v>15700838.297809999</v>
      </c>
      <c r="AA34" s="10">
        <v>3589984.0543300002</v>
      </c>
      <c r="AB34" s="10">
        <v>8487210.8736099992</v>
      </c>
      <c r="AC34" s="10">
        <v>4732039.1659399997</v>
      </c>
      <c r="AD34" s="10">
        <v>280241049.60680002</v>
      </c>
      <c r="AE34" s="10">
        <v>2912242.17099</v>
      </c>
      <c r="AF34" s="10">
        <v>5672472.9577099998</v>
      </c>
      <c r="AG34" s="10">
        <v>4940754.9922000002</v>
      </c>
      <c r="AH34" s="10">
        <v>13915170.255380001</v>
      </c>
      <c r="AI34" s="10">
        <v>7263303.8366299998</v>
      </c>
      <c r="AJ34" s="10">
        <v>12324279.532099999</v>
      </c>
      <c r="AK34" s="10">
        <v>2220179.7951150001</v>
      </c>
      <c r="AL34" s="10">
        <v>6439603.2187000001</v>
      </c>
      <c r="AM34" s="10">
        <v>3940104.4164900002</v>
      </c>
      <c r="AN34" s="10">
        <v>7890182.7181799999</v>
      </c>
      <c r="AO34" s="10">
        <v>7247965.5191400005</v>
      </c>
      <c r="AP34" s="10"/>
      <c r="AQ34" s="10">
        <v>449014.40451399999</v>
      </c>
      <c r="AR34" s="10">
        <v>1892127.8073</v>
      </c>
      <c r="AS34" s="10">
        <v>1040649.302091</v>
      </c>
      <c r="AT34" s="10">
        <v>3357705.0323000001</v>
      </c>
      <c r="AU34" s="10">
        <v>4263092.4396000002</v>
      </c>
      <c r="AV34" s="10">
        <v>0</v>
      </c>
      <c r="AW34" s="10">
        <v>518294.50290000002</v>
      </c>
      <c r="AX34" s="10">
        <v>584362.18652999995</v>
      </c>
      <c r="AY34" s="10">
        <v>3235266.7264200002</v>
      </c>
      <c r="AZ34" s="10"/>
      <c r="BA34" s="10">
        <v>289.74099999999999</v>
      </c>
      <c r="BB34" s="10">
        <v>1229275.4459899999</v>
      </c>
      <c r="BC34" s="10">
        <v>1650354.93331</v>
      </c>
      <c r="BD34" s="10">
        <v>344550.01899999997</v>
      </c>
      <c r="BE34" s="10">
        <v>808578.33703299996</v>
      </c>
      <c r="BF34" s="10">
        <v>1226790.9166300001</v>
      </c>
      <c r="BG34" s="10">
        <v>113832.51639999999</v>
      </c>
      <c r="BH34" s="10"/>
      <c r="BI34" s="10">
        <v>217498.65581</v>
      </c>
      <c r="BJ34" s="10">
        <v>181740.14825</v>
      </c>
      <c r="BK34" s="10">
        <v>152431.0349</v>
      </c>
      <c r="BL34" s="10">
        <v>103489.508</v>
      </c>
      <c r="BM34" s="10">
        <v>910854.20001999999</v>
      </c>
      <c r="BN34" s="10">
        <v>462268.33211999998</v>
      </c>
      <c r="BO34" s="10">
        <v>95747.60239</v>
      </c>
      <c r="BP34" s="10">
        <v>185446.28842</v>
      </c>
      <c r="BQ34" s="10">
        <v>35170.276389999999</v>
      </c>
      <c r="BR34" s="10">
        <v>65932.937479999993</v>
      </c>
      <c r="BS34" s="10">
        <v>178862.41730999999</v>
      </c>
      <c r="BT34" s="10"/>
      <c r="BU34" s="10">
        <v>135779.46504000001</v>
      </c>
      <c r="BV34" s="10">
        <v>88393.903399999996</v>
      </c>
      <c r="BW34" s="10"/>
      <c r="BX34" s="10">
        <v>97963.280847999995</v>
      </c>
      <c r="BY34" s="10">
        <v>94409.259449999998</v>
      </c>
      <c r="BZ34" s="10"/>
      <c r="CA34" s="10">
        <v>85106.944380000001</v>
      </c>
      <c r="CB34" s="10">
        <v>1251.78151</v>
      </c>
      <c r="CC34" s="10">
        <v>1134.5924600000001</v>
      </c>
      <c r="CD34" s="10">
        <v>19980.379939999999</v>
      </c>
      <c r="CE34" s="10">
        <v>855222.86425600003</v>
      </c>
      <c r="CF34" s="10">
        <v>72698.265780000002</v>
      </c>
      <c r="CG34" s="10"/>
      <c r="CH34" s="10">
        <v>4454.7861999999996</v>
      </c>
      <c r="CI34" s="10"/>
      <c r="CJ34" s="10">
        <v>1827.7350799999999</v>
      </c>
      <c r="CK34" s="10">
        <v>20924.912990000001</v>
      </c>
      <c r="CL34" s="10">
        <v>0</v>
      </c>
      <c r="CM34" s="10">
        <v>24190.735199999999</v>
      </c>
      <c r="CN34" s="10">
        <v>101770.645</v>
      </c>
      <c r="CO34" s="10"/>
      <c r="CP34" s="10"/>
      <c r="CQ34" s="10">
        <v>0</v>
      </c>
      <c r="CR34" s="10"/>
      <c r="CS34" s="10">
        <v>0</v>
      </c>
      <c r="CT34" s="10"/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/>
      <c r="DD34" s="10">
        <v>0</v>
      </c>
      <c r="DE34" s="10">
        <v>0</v>
      </c>
      <c r="DF34" s="10">
        <v>0</v>
      </c>
      <c r="DG34" s="10"/>
      <c r="DH34" s="10">
        <v>0</v>
      </c>
      <c r="DI34" s="10">
        <v>0</v>
      </c>
    </row>
    <row r="35" spans="1:113" x14ac:dyDescent="0.35">
      <c r="A35" s="8">
        <v>46155</v>
      </c>
      <c r="B35" s="9">
        <v>2201482219.5274301</v>
      </c>
      <c r="C35" s="10">
        <v>352454610.72112799</v>
      </c>
      <c r="D35" s="10">
        <v>291620212.98054999</v>
      </c>
      <c r="E35" s="10">
        <v>215760802.73590001</v>
      </c>
      <c r="F35" s="10">
        <v>206140843.60890001</v>
      </c>
      <c r="G35" s="10">
        <v>336270996.00279999</v>
      </c>
      <c r="H35" s="10">
        <v>46252173.418970004</v>
      </c>
      <c r="I35" s="10">
        <v>139244107.94887999</v>
      </c>
      <c r="J35" s="10">
        <v>77203530.688610002</v>
      </c>
      <c r="K35" s="10">
        <v>95824734.739600003</v>
      </c>
      <c r="L35" s="10">
        <v>40480366.038950004</v>
      </c>
      <c r="M35" s="10">
        <v>51113397.224299997</v>
      </c>
      <c r="N35" s="10">
        <v>41826887.217150003</v>
      </c>
      <c r="O35" s="10">
        <v>39588705.408111997</v>
      </c>
      <c r="P35" s="10"/>
      <c r="Q35" s="10">
        <v>18666125.670279998</v>
      </c>
      <c r="R35" s="10">
        <v>37445107.660630003</v>
      </c>
      <c r="S35" s="10">
        <v>2986740.0290999999</v>
      </c>
      <c r="T35" s="10">
        <v>5221505.5175090004</v>
      </c>
      <c r="U35" s="10">
        <v>9068772.5297800004</v>
      </c>
      <c r="V35" s="10">
        <v>16092494.1523</v>
      </c>
      <c r="W35" s="10">
        <v>16338121.96538</v>
      </c>
      <c r="X35" s="10">
        <v>15023455.96751</v>
      </c>
      <c r="Y35" s="10">
        <v>4896567.1019900003</v>
      </c>
      <c r="Z35" s="10">
        <v>14874036.331010001</v>
      </c>
      <c r="AA35" s="10">
        <v>2873784.6740899999</v>
      </c>
      <c r="AB35" s="10">
        <v>5587830.0609099995</v>
      </c>
      <c r="AC35" s="10">
        <v>4386696.3184500001</v>
      </c>
      <c r="AD35" s="10">
        <v>9428499.4817999993</v>
      </c>
      <c r="AE35" s="10">
        <v>1947138.4544200001</v>
      </c>
      <c r="AF35" s="10">
        <v>3826979.2136900001</v>
      </c>
      <c r="AG35" s="10">
        <v>9444021.7681000009</v>
      </c>
      <c r="AH35" s="10">
        <v>10113054.137949999</v>
      </c>
      <c r="AI35" s="10">
        <v>8033971.8906199997</v>
      </c>
      <c r="AJ35" s="10">
        <v>9877740.0855999999</v>
      </c>
      <c r="AK35" s="10">
        <v>2886387.5867050001</v>
      </c>
      <c r="AL35" s="10">
        <v>5246271.6283999998</v>
      </c>
      <c r="AM35" s="10">
        <v>9626727.6660099998</v>
      </c>
      <c r="AN35" s="10">
        <v>2818612.4619300002</v>
      </c>
      <c r="AO35" s="10">
        <v>9729341.0663900003</v>
      </c>
      <c r="AP35" s="10"/>
      <c r="AQ35" s="10">
        <v>612097.67113999999</v>
      </c>
      <c r="AR35" s="10">
        <v>5783465.7250699997</v>
      </c>
      <c r="AS35" s="10">
        <v>1500193.0880189999</v>
      </c>
      <c r="AT35" s="10">
        <v>4698094.7614000002</v>
      </c>
      <c r="AU35" s="10">
        <v>6257913.3060999997</v>
      </c>
      <c r="AV35" s="10">
        <v>0</v>
      </c>
      <c r="AW35" s="10">
        <v>0</v>
      </c>
      <c r="AX35" s="10">
        <v>926275.76862999995</v>
      </c>
      <c r="AY35" s="10">
        <v>2138311.3213200001</v>
      </c>
      <c r="AZ35" s="10"/>
      <c r="BA35" s="10">
        <v>6663.7867999999999</v>
      </c>
      <c r="BB35" s="10">
        <v>1542609.19377</v>
      </c>
      <c r="BC35" s="10">
        <v>1054446.66551</v>
      </c>
      <c r="BD35" s="10">
        <v>328122.32021199999</v>
      </c>
      <c r="BE35" s="10">
        <v>857861.75452099997</v>
      </c>
      <c r="BF35" s="10">
        <v>851073.76642</v>
      </c>
      <c r="BG35" s="10">
        <v>420144.26089999999</v>
      </c>
      <c r="BH35" s="10"/>
      <c r="BI35" s="10">
        <v>212035.83342000001</v>
      </c>
      <c r="BJ35" s="10">
        <v>84483.990999999995</v>
      </c>
      <c r="BK35" s="10">
        <v>72824.930800000002</v>
      </c>
      <c r="BL35" s="10">
        <v>34128.257599999997</v>
      </c>
      <c r="BM35" s="10">
        <v>448508.01332000003</v>
      </c>
      <c r="BN35" s="10">
        <v>682257.14821000001</v>
      </c>
      <c r="BO35" s="10">
        <v>19904.41403</v>
      </c>
      <c r="BP35" s="10">
        <v>449759.23959000001</v>
      </c>
      <c r="BQ35" s="10">
        <v>9329.2121599999991</v>
      </c>
      <c r="BR35" s="10">
        <v>78922.07948</v>
      </c>
      <c r="BS35" s="10">
        <v>492637.65872000001</v>
      </c>
      <c r="BT35" s="10"/>
      <c r="BU35" s="10">
        <v>216672.74921000001</v>
      </c>
      <c r="BV35" s="10">
        <v>239007.79599000001</v>
      </c>
      <c r="BW35" s="10"/>
      <c r="BX35" s="10">
        <v>156530.05865799999</v>
      </c>
      <c r="BY35" s="10">
        <v>249675.64780000001</v>
      </c>
      <c r="BZ35" s="10"/>
      <c r="CA35" s="10">
        <v>289553.04025000002</v>
      </c>
      <c r="CB35" s="10">
        <v>9132.4839200000006</v>
      </c>
      <c r="CC35" s="10">
        <v>5033.2999200000004</v>
      </c>
      <c r="CD35" s="10">
        <v>16126.31242</v>
      </c>
      <c r="CE35" s="10">
        <v>270862.52863999997</v>
      </c>
      <c r="CF35" s="10">
        <v>1002.26896</v>
      </c>
      <c r="CG35" s="10"/>
      <c r="CH35" s="10">
        <v>28337.475600000002</v>
      </c>
      <c r="CI35" s="10"/>
      <c r="CJ35" s="10">
        <v>5999.9552830000002</v>
      </c>
      <c r="CK35" s="10">
        <v>71307.855429999996</v>
      </c>
      <c r="CL35" s="10">
        <v>0</v>
      </c>
      <c r="CM35" s="10">
        <v>40667.724600000001</v>
      </c>
      <c r="CN35" s="10">
        <v>98894.008199999997</v>
      </c>
      <c r="CO35" s="10"/>
      <c r="CP35" s="10"/>
      <c r="CQ35" s="10">
        <v>0</v>
      </c>
      <c r="CR35" s="10"/>
      <c r="CS35" s="10">
        <v>0</v>
      </c>
      <c r="CT35" s="10"/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/>
      <c r="DD35" s="10">
        <v>0</v>
      </c>
      <c r="DE35" s="10">
        <v>0</v>
      </c>
      <c r="DF35" s="10">
        <v>0</v>
      </c>
      <c r="DG35" s="10"/>
      <c r="DH35" s="10">
        <v>0</v>
      </c>
      <c r="DI35" s="10">
        <v>0</v>
      </c>
    </row>
    <row r="36" spans="1:113" x14ac:dyDescent="0.35">
      <c r="A36" s="8">
        <v>46154</v>
      </c>
      <c r="B36" s="9">
        <v>2283856413.8113399</v>
      </c>
      <c r="C36" s="10">
        <v>367714705.93348801</v>
      </c>
      <c r="D36" s="10">
        <v>343429933.94931102</v>
      </c>
      <c r="E36" s="10">
        <v>231963171.34979999</v>
      </c>
      <c r="F36" s="10">
        <v>168730354.7762</v>
      </c>
      <c r="G36" s="10">
        <v>289809995.86909997</v>
      </c>
      <c r="H36" s="10">
        <v>55649212.569260001</v>
      </c>
      <c r="I36" s="10">
        <v>161658209.64531001</v>
      </c>
      <c r="J36" s="10">
        <v>43556054.97473</v>
      </c>
      <c r="K36" s="10">
        <v>149249616.8098</v>
      </c>
      <c r="L36" s="10">
        <v>28440259.073070001</v>
      </c>
      <c r="M36" s="10">
        <v>60057544.903800003</v>
      </c>
      <c r="N36" s="10">
        <v>58015716.18056</v>
      </c>
      <c r="O36" s="10">
        <v>34464385.368701003</v>
      </c>
      <c r="P36" s="10"/>
      <c r="Q36" s="10">
        <v>13514207.668020001</v>
      </c>
      <c r="R36" s="10">
        <v>31492915.373980001</v>
      </c>
      <c r="S36" s="10">
        <v>767778.05090000003</v>
      </c>
      <c r="T36" s="10">
        <v>6644221.1384889996</v>
      </c>
      <c r="U36" s="10">
        <v>9445934.6141199991</v>
      </c>
      <c r="V36" s="10">
        <v>23860591.177499998</v>
      </c>
      <c r="W36" s="10">
        <v>20343354.0286</v>
      </c>
      <c r="X36" s="10">
        <v>23910085.552110001</v>
      </c>
      <c r="Y36" s="10">
        <v>8414325.0993399993</v>
      </c>
      <c r="Z36" s="10">
        <v>17959431.711830001</v>
      </c>
      <c r="AA36" s="10">
        <v>3333444.9142999998</v>
      </c>
      <c r="AB36" s="10">
        <v>11948500.50874</v>
      </c>
      <c r="AC36" s="10">
        <v>5000323.67074</v>
      </c>
      <c r="AD36" s="10">
        <v>3242901.5819000001</v>
      </c>
      <c r="AE36" s="10">
        <v>1502739.48184</v>
      </c>
      <c r="AF36" s="10">
        <v>3796531.16114</v>
      </c>
      <c r="AG36" s="10">
        <v>2505048.9149000002</v>
      </c>
      <c r="AH36" s="10">
        <v>5497696.1194599997</v>
      </c>
      <c r="AI36" s="10">
        <v>6433693.8470900003</v>
      </c>
      <c r="AJ36" s="10">
        <v>13248156.280999999</v>
      </c>
      <c r="AK36" s="10">
        <v>1368886.2449449999</v>
      </c>
      <c r="AL36" s="10">
        <v>6511952.1786000002</v>
      </c>
      <c r="AM36" s="10">
        <v>6200595.7682800004</v>
      </c>
      <c r="AN36" s="10">
        <v>6296442.23539</v>
      </c>
      <c r="AO36" s="10">
        <v>3391575.9665100002</v>
      </c>
      <c r="AP36" s="10"/>
      <c r="AQ36" s="10">
        <v>647315.06779999996</v>
      </c>
      <c r="AR36" s="10">
        <v>18418188.96644</v>
      </c>
      <c r="AS36" s="10">
        <v>713511.76749100001</v>
      </c>
      <c r="AT36" s="10">
        <v>10320631.928370001</v>
      </c>
      <c r="AU36" s="10">
        <v>5182096.6542999996</v>
      </c>
      <c r="AV36" s="10">
        <v>0</v>
      </c>
      <c r="AW36" s="10">
        <v>0</v>
      </c>
      <c r="AX36" s="10">
        <v>646741.39052999998</v>
      </c>
      <c r="AY36" s="10">
        <v>2261938.9330899999</v>
      </c>
      <c r="AZ36" s="10"/>
      <c r="BA36" s="10">
        <v>961.88689999999997</v>
      </c>
      <c r="BB36" s="10">
        <v>1459533.7310200001</v>
      </c>
      <c r="BC36" s="10">
        <v>1261370.4948799999</v>
      </c>
      <c r="BD36" s="10">
        <v>193131.79592</v>
      </c>
      <c r="BE36" s="10">
        <v>1047329.1055149999</v>
      </c>
      <c r="BF36" s="10">
        <v>1638521.4591600001</v>
      </c>
      <c r="BG36" s="10">
        <v>922397.49040000001</v>
      </c>
      <c r="BH36" s="10"/>
      <c r="BI36" s="10">
        <v>2214600.4350399999</v>
      </c>
      <c r="BJ36" s="10">
        <v>214869.83447</v>
      </c>
      <c r="BK36" s="10">
        <v>128069.21550000001</v>
      </c>
      <c r="BL36" s="10">
        <v>30973.525900000001</v>
      </c>
      <c r="BM36" s="10">
        <v>588922.25630999997</v>
      </c>
      <c r="BN36" s="10">
        <v>1741676.8035200001</v>
      </c>
      <c r="BO36" s="10">
        <v>159382.79289000001</v>
      </c>
      <c r="BP36" s="10">
        <v>192990.04678999999</v>
      </c>
      <c r="BQ36" s="10">
        <v>17653.433659999999</v>
      </c>
      <c r="BR36" s="10">
        <v>115979.77364</v>
      </c>
      <c r="BS36" s="10">
        <v>159306.393625</v>
      </c>
      <c r="BT36" s="10"/>
      <c r="BU36" s="10">
        <v>1158202.9139</v>
      </c>
      <c r="BV36" s="10">
        <v>459635.23486999999</v>
      </c>
      <c r="BW36" s="10"/>
      <c r="BX36" s="10">
        <v>634606.68936600001</v>
      </c>
      <c r="BY36" s="10">
        <v>218903.50167</v>
      </c>
      <c r="BZ36" s="10"/>
      <c r="CA36" s="10">
        <v>700986.01731999998</v>
      </c>
      <c r="CB36" s="10">
        <v>59486.437870000002</v>
      </c>
      <c r="CC36" s="10">
        <v>12326.724130000001</v>
      </c>
      <c r="CD36" s="10">
        <v>7748.2166999999999</v>
      </c>
      <c r="CE36" s="10">
        <v>496561.82522</v>
      </c>
      <c r="CF36" s="10">
        <v>31841.1993</v>
      </c>
      <c r="CG36" s="10"/>
      <c r="CH36" s="10">
        <v>9159.4555</v>
      </c>
      <c r="CI36" s="10"/>
      <c r="CJ36" s="10">
        <v>13.490550000000001</v>
      </c>
      <c r="CK36" s="10">
        <v>155917.09732999999</v>
      </c>
      <c r="CL36" s="10"/>
      <c r="CM36" s="10">
        <v>16389.676800000001</v>
      </c>
      <c r="CN36" s="10">
        <v>246045.45480000001</v>
      </c>
      <c r="CO36" s="10"/>
      <c r="CP36" s="10"/>
      <c r="CQ36" s="10">
        <v>0</v>
      </c>
      <c r="CR36" s="10"/>
      <c r="CS36" s="10">
        <v>0</v>
      </c>
      <c r="CT36" s="10"/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/>
      <c r="DD36" s="10">
        <v>0</v>
      </c>
      <c r="DE36" s="10">
        <v>0</v>
      </c>
      <c r="DF36" s="10">
        <v>0</v>
      </c>
      <c r="DG36" s="10"/>
      <c r="DH36" s="10">
        <v>0</v>
      </c>
      <c r="DI36" s="10">
        <v>0</v>
      </c>
    </row>
    <row r="37" spans="1:113" x14ac:dyDescent="0.35">
      <c r="A37" s="8">
        <v>46153</v>
      </c>
      <c r="B37" s="9">
        <v>2382623747.64955</v>
      </c>
      <c r="C37" s="10">
        <v>517809935.14652097</v>
      </c>
      <c r="D37" s="10">
        <v>314019448.69156897</v>
      </c>
      <c r="E37" s="10">
        <v>206577823.27239999</v>
      </c>
      <c r="F37" s="10">
        <v>234602433.30450001</v>
      </c>
      <c r="G37" s="10">
        <v>164916040.053</v>
      </c>
      <c r="H37" s="10">
        <v>58999466.191040002</v>
      </c>
      <c r="I37" s="10">
        <v>148328380.33930999</v>
      </c>
      <c r="J37" s="10">
        <v>48549945.98319</v>
      </c>
      <c r="K37" s="10">
        <v>127128371.59630001</v>
      </c>
      <c r="L37" s="10">
        <v>52538595.044210002</v>
      </c>
      <c r="M37" s="10">
        <v>60831112.6796</v>
      </c>
      <c r="N37" s="10">
        <v>101081292.65068001</v>
      </c>
      <c r="O37" s="10">
        <v>13766777.767200001</v>
      </c>
      <c r="P37" s="10"/>
      <c r="Q37" s="10">
        <v>12065551.55036</v>
      </c>
      <c r="R37" s="10">
        <v>39632298.768059999</v>
      </c>
      <c r="S37" s="10">
        <v>603029.53229999996</v>
      </c>
      <c r="T37" s="10">
        <v>10942189.873503</v>
      </c>
      <c r="U37" s="10">
        <v>10534068.783050001</v>
      </c>
      <c r="V37" s="10">
        <v>15416039.9461</v>
      </c>
      <c r="W37" s="10">
        <v>29017031.553339999</v>
      </c>
      <c r="X37" s="10">
        <v>26185263.338720001</v>
      </c>
      <c r="Y37" s="10">
        <v>4650942.9815800004</v>
      </c>
      <c r="Z37" s="10">
        <v>20959712.748569999</v>
      </c>
      <c r="AA37" s="10">
        <v>2671452.5577199999</v>
      </c>
      <c r="AB37" s="10">
        <v>16017742.534019999</v>
      </c>
      <c r="AC37" s="10">
        <v>4999137.2648400003</v>
      </c>
      <c r="AD37" s="10">
        <v>6633279.2493000003</v>
      </c>
      <c r="AE37" s="10">
        <v>2446369.3199800001</v>
      </c>
      <c r="AF37" s="10">
        <v>7954072.00275</v>
      </c>
      <c r="AG37" s="10">
        <v>2076410.1773999999</v>
      </c>
      <c r="AH37" s="10">
        <v>3657701.8140199999</v>
      </c>
      <c r="AI37" s="10">
        <v>3681132.5479299999</v>
      </c>
      <c r="AJ37" s="10">
        <v>19417382.648600001</v>
      </c>
      <c r="AK37" s="10">
        <v>3601319.6594810002</v>
      </c>
      <c r="AL37" s="10">
        <v>3912928.2875999999</v>
      </c>
      <c r="AM37" s="10">
        <v>3182804.9018999999</v>
      </c>
      <c r="AN37" s="10">
        <v>5119662.1550700003</v>
      </c>
      <c r="AO37" s="10">
        <v>2180705.9221100002</v>
      </c>
      <c r="AP37" s="10"/>
      <c r="AQ37" s="10">
        <v>833110.03657</v>
      </c>
      <c r="AR37" s="10">
        <v>39520561.731480002</v>
      </c>
      <c r="AS37" s="10">
        <v>1150267.8232430001</v>
      </c>
      <c r="AT37" s="10">
        <v>8095151.3521999996</v>
      </c>
      <c r="AU37" s="10">
        <v>6554475.1419000002</v>
      </c>
      <c r="AV37" s="10">
        <v>0</v>
      </c>
      <c r="AW37" s="10">
        <v>0</v>
      </c>
      <c r="AX37" s="10">
        <v>321558.44365999999</v>
      </c>
      <c r="AY37" s="10">
        <v>1962676.9972300001</v>
      </c>
      <c r="AZ37" s="10"/>
      <c r="BA37" s="10">
        <v>52190.6558</v>
      </c>
      <c r="BB37" s="10">
        <v>852014.46987999999</v>
      </c>
      <c r="BC37" s="10">
        <v>439422.55991000001</v>
      </c>
      <c r="BD37" s="10">
        <v>268862.460441</v>
      </c>
      <c r="BE37" s="10">
        <v>431992.78249299998</v>
      </c>
      <c r="BF37" s="10">
        <v>1961363.4673899999</v>
      </c>
      <c r="BG37" s="10">
        <v>979090.7585</v>
      </c>
      <c r="BH37" s="10"/>
      <c r="BI37" s="10">
        <v>7112657.7254799996</v>
      </c>
      <c r="BJ37" s="10">
        <v>59214.416830000002</v>
      </c>
      <c r="BK37" s="10">
        <v>235401.07769999999</v>
      </c>
      <c r="BL37" s="10">
        <v>38675.739800000003</v>
      </c>
      <c r="BM37" s="10">
        <v>1358466.0788</v>
      </c>
      <c r="BN37" s="10">
        <v>235996.17968</v>
      </c>
      <c r="BO37" s="10">
        <v>224215.47849000001</v>
      </c>
      <c r="BP37" s="10">
        <v>454912.8432</v>
      </c>
      <c r="BQ37" s="10">
        <v>7730.2728900000002</v>
      </c>
      <c r="BR37" s="10">
        <v>16587.712930000002</v>
      </c>
      <c r="BS37" s="10">
        <v>120876.49901299999</v>
      </c>
      <c r="BT37" s="10"/>
      <c r="BU37" s="10">
        <v>85256.706810000003</v>
      </c>
      <c r="BV37" s="10">
        <v>238880.00537999999</v>
      </c>
      <c r="BW37" s="10"/>
      <c r="BX37" s="10">
        <v>950946.89208500006</v>
      </c>
      <c r="BY37" s="10">
        <v>309540.88024999999</v>
      </c>
      <c r="BZ37" s="10"/>
      <c r="CA37" s="10">
        <v>155075.17069999999</v>
      </c>
      <c r="CB37" s="10">
        <v>10997.58591</v>
      </c>
      <c r="CC37" s="10">
        <v>8002.5931</v>
      </c>
      <c r="CD37" s="10">
        <v>31631.389220000001</v>
      </c>
      <c r="CE37" s="10">
        <v>361121.05975000001</v>
      </c>
      <c r="CF37" s="10">
        <v>11.047359999999999</v>
      </c>
      <c r="CG37" s="10"/>
      <c r="CH37" s="10">
        <v>13054.5447</v>
      </c>
      <c r="CI37" s="10"/>
      <c r="CJ37" s="10">
        <v>302599.42922300001</v>
      </c>
      <c r="CK37" s="10">
        <v>20890.355729999999</v>
      </c>
      <c r="CL37" s="10"/>
      <c r="CM37" s="10">
        <v>59883.209199999998</v>
      </c>
      <c r="CN37" s="10">
        <v>80531.236799999999</v>
      </c>
      <c r="CO37" s="10"/>
      <c r="CP37" s="10"/>
      <c r="CQ37" s="10">
        <v>0</v>
      </c>
      <c r="CR37" s="10"/>
      <c r="CS37" s="10">
        <v>0</v>
      </c>
      <c r="CT37" s="10"/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/>
      <c r="DD37" s="10">
        <v>0</v>
      </c>
      <c r="DE37" s="10">
        <v>0</v>
      </c>
      <c r="DF37" s="10">
        <v>0</v>
      </c>
      <c r="DG37" s="10"/>
      <c r="DH37" s="10">
        <v>0</v>
      </c>
      <c r="DI37" s="10">
        <v>0</v>
      </c>
    </row>
    <row r="38" spans="1:113" x14ac:dyDescent="0.35">
      <c r="A38" s="8">
        <v>46152</v>
      </c>
      <c r="B38" s="9">
        <v>773721367.58585405</v>
      </c>
      <c r="C38" s="10">
        <v>206579777.08017299</v>
      </c>
      <c r="D38" s="10">
        <v>81365533.792300001</v>
      </c>
      <c r="E38" s="10">
        <v>122950227.29080001</v>
      </c>
      <c r="F38" s="10">
        <v>114629767.19147</v>
      </c>
      <c r="G38" s="10">
        <v>68987530.557300001</v>
      </c>
      <c r="H38" s="10">
        <v>22749875.105039999</v>
      </c>
      <c r="I38" s="10">
        <v>16740126.3705</v>
      </c>
      <c r="J38" s="10">
        <v>10118142.677379999</v>
      </c>
      <c r="K38" s="10">
        <v>14459823.799699999</v>
      </c>
      <c r="L38" s="10">
        <v>7176024.9105000095</v>
      </c>
      <c r="M38" s="10">
        <v>11876457.141799999</v>
      </c>
      <c r="N38" s="10">
        <v>7623670.8642699998</v>
      </c>
      <c r="O38" s="10">
        <v>13296897.920406001</v>
      </c>
      <c r="P38" s="10"/>
      <c r="Q38" s="10">
        <v>1338951.70187</v>
      </c>
      <c r="R38" s="10">
        <v>5068926.7688499996</v>
      </c>
      <c r="S38" s="10">
        <v>48983.129500000003</v>
      </c>
      <c r="T38" s="10">
        <v>2804142.8957150001</v>
      </c>
      <c r="U38" s="10">
        <v>4947302.26511</v>
      </c>
      <c r="V38" s="10">
        <v>3681430.2716999999</v>
      </c>
      <c r="W38" s="10">
        <v>4896880.0564099997</v>
      </c>
      <c r="X38" s="10">
        <v>5152364.4236000003</v>
      </c>
      <c r="Y38" s="10">
        <v>1838229.25725</v>
      </c>
      <c r="Z38" s="10">
        <v>2922987.18242</v>
      </c>
      <c r="AA38" s="10">
        <v>1021479.73155</v>
      </c>
      <c r="AB38" s="10">
        <v>10294989.442709999</v>
      </c>
      <c r="AC38" s="10">
        <v>1591478.8108399999</v>
      </c>
      <c r="AD38" s="10">
        <v>3877133.111</v>
      </c>
      <c r="AE38" s="10">
        <v>2133490.4888599999</v>
      </c>
      <c r="AF38" s="10">
        <v>1709238.0488400001</v>
      </c>
      <c r="AG38" s="10">
        <v>472052.12099999998</v>
      </c>
      <c r="AH38" s="10">
        <v>1235042.46331</v>
      </c>
      <c r="AI38" s="10">
        <v>1462571.6254700001</v>
      </c>
      <c r="AJ38" s="10">
        <v>2575733.9559999998</v>
      </c>
      <c r="AK38" s="10">
        <v>507354.31875999999</v>
      </c>
      <c r="AL38" s="10">
        <v>418048.27510000003</v>
      </c>
      <c r="AM38" s="10">
        <v>837199.82452000002</v>
      </c>
      <c r="AN38" s="10">
        <v>651522.38401000004</v>
      </c>
      <c r="AO38" s="10">
        <v>1377537.6949400001</v>
      </c>
      <c r="AP38" s="10"/>
      <c r="AQ38" s="10">
        <v>107225.325195</v>
      </c>
      <c r="AR38" s="10">
        <v>3598998.2464299998</v>
      </c>
      <c r="AS38" s="10">
        <v>15282.132942</v>
      </c>
      <c r="AT38" s="10">
        <v>1228580.04315</v>
      </c>
      <c r="AU38" s="10">
        <v>443876.1667</v>
      </c>
      <c r="AV38" s="10"/>
      <c r="AW38" s="10">
        <v>0</v>
      </c>
      <c r="AX38" s="10">
        <v>42877.340170000003</v>
      </c>
      <c r="AY38" s="10">
        <v>275754.08643000002</v>
      </c>
      <c r="AZ38" s="10"/>
      <c r="BA38" s="10">
        <v>4016.7424000000001</v>
      </c>
      <c r="BB38" s="10">
        <v>206683.85345</v>
      </c>
      <c r="BC38" s="10">
        <v>230287.27895000001</v>
      </c>
      <c r="BD38" s="10">
        <v>156121.412063</v>
      </c>
      <c r="BE38" s="10">
        <v>87661.102423000004</v>
      </c>
      <c r="BF38" s="10">
        <v>410136.88792000001</v>
      </c>
      <c r="BG38" s="10">
        <v>3432041.5008999999</v>
      </c>
      <c r="BH38" s="10"/>
      <c r="BI38" s="10">
        <v>94255.804600000003</v>
      </c>
      <c r="BJ38" s="10">
        <v>9099.1311600000008</v>
      </c>
      <c r="BK38" s="10">
        <v>298038.24790000002</v>
      </c>
      <c r="BL38" s="10">
        <v>96078.667300000001</v>
      </c>
      <c r="BM38" s="10">
        <v>77763.001180000007</v>
      </c>
      <c r="BN38" s="10">
        <v>14737.683209999999</v>
      </c>
      <c r="BO38" s="10">
        <v>1006.5817</v>
      </c>
      <c r="BP38" s="10">
        <v>93310.913449999993</v>
      </c>
      <c r="BQ38" s="10">
        <v>84.635999999999996</v>
      </c>
      <c r="BR38" s="10">
        <v>52.642710000000001</v>
      </c>
      <c r="BS38" s="10">
        <v>11046.679169999999</v>
      </c>
      <c r="BT38" s="10"/>
      <c r="BU38" s="10">
        <v>2014.5468000000001</v>
      </c>
      <c r="BV38" s="10">
        <v>14784.75351</v>
      </c>
      <c r="BW38" s="10"/>
      <c r="BX38" s="10">
        <v>88415.131976999997</v>
      </c>
      <c r="BY38" s="10">
        <v>896255.04708000005</v>
      </c>
      <c r="BZ38" s="10"/>
      <c r="CA38" s="10">
        <v>75767.188429999995</v>
      </c>
      <c r="CB38" s="10">
        <v>169754.83481999999</v>
      </c>
      <c r="CC38" s="10">
        <v>720.86542999999995</v>
      </c>
      <c r="CD38" s="10">
        <v>4290.8037899999999</v>
      </c>
      <c r="CE38" s="10">
        <v>18784.970819999999</v>
      </c>
      <c r="CF38" s="10">
        <v>42013.816149999999</v>
      </c>
      <c r="CG38" s="10"/>
      <c r="CH38" s="10">
        <v>0</v>
      </c>
      <c r="CI38" s="10"/>
      <c r="CJ38" s="10">
        <v>22083.519039999999</v>
      </c>
      <c r="CK38" s="10">
        <v>1200.45073</v>
      </c>
      <c r="CL38" s="10"/>
      <c r="CM38" s="10">
        <v>22845.735400000001</v>
      </c>
      <c r="CN38" s="10">
        <v>8494.8634000000002</v>
      </c>
      <c r="CO38" s="10"/>
      <c r="CP38" s="10"/>
      <c r="CQ38" s="10">
        <v>0</v>
      </c>
      <c r="CR38" s="10"/>
      <c r="CS38" s="10">
        <v>0</v>
      </c>
      <c r="CT38" s="10"/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/>
      <c r="DD38" s="10">
        <v>0</v>
      </c>
      <c r="DE38" s="10">
        <v>0</v>
      </c>
      <c r="DF38" s="10">
        <v>0</v>
      </c>
      <c r="DG38" s="10"/>
      <c r="DH38" s="10">
        <v>0</v>
      </c>
      <c r="DI38" s="10">
        <v>0</v>
      </c>
    </row>
    <row r="39" spans="1:113" x14ac:dyDescent="0.35">
      <c r="A39" s="8">
        <v>46151</v>
      </c>
      <c r="B39" s="9">
        <v>289093333.14367002</v>
      </c>
      <c r="C39" s="10">
        <v>68192571.980452999</v>
      </c>
      <c r="D39" s="10">
        <v>16542224.52647</v>
      </c>
      <c r="E39" s="10">
        <v>45952429.611699998</v>
      </c>
      <c r="F39" s="10">
        <v>41504747.559890002</v>
      </c>
      <c r="G39" s="10">
        <v>19344423.072099999</v>
      </c>
      <c r="H39" s="10">
        <v>6525606.0927799996</v>
      </c>
      <c r="I39" s="10">
        <v>9665168.0344999991</v>
      </c>
      <c r="J39" s="10">
        <v>9382328.4887499996</v>
      </c>
      <c r="K39" s="10">
        <v>9101788.2508000005</v>
      </c>
      <c r="L39" s="10">
        <v>3652490.7722499999</v>
      </c>
      <c r="M39" s="10">
        <v>3135009.2437999998</v>
      </c>
      <c r="N39" s="10">
        <v>3479541.3758</v>
      </c>
      <c r="O39" s="10">
        <v>2847882.5459770001</v>
      </c>
      <c r="P39" s="10"/>
      <c r="Q39" s="10">
        <v>1908884.6596599999</v>
      </c>
      <c r="R39" s="10">
        <v>4107939.6129399999</v>
      </c>
      <c r="S39" s="10">
        <v>71330.100699999995</v>
      </c>
      <c r="T39" s="10">
        <v>698112.84491800005</v>
      </c>
      <c r="U39" s="10">
        <v>2321251.3924400001</v>
      </c>
      <c r="V39" s="10">
        <v>3644561.4314999999</v>
      </c>
      <c r="W39" s="10">
        <v>1298995.2229500001</v>
      </c>
      <c r="X39" s="10">
        <v>3506368.8621100001</v>
      </c>
      <c r="Y39" s="10">
        <v>548965.42914000002</v>
      </c>
      <c r="Z39" s="10">
        <v>1440711.00309</v>
      </c>
      <c r="AA39" s="10">
        <v>170870.66680000001</v>
      </c>
      <c r="AB39" s="10">
        <v>746778.26307999995</v>
      </c>
      <c r="AC39" s="10">
        <v>723325.42290000001</v>
      </c>
      <c r="AD39" s="10">
        <v>1511629.2792</v>
      </c>
      <c r="AE39" s="10">
        <v>286839.69118999998</v>
      </c>
      <c r="AF39" s="10">
        <v>804926.08768</v>
      </c>
      <c r="AG39" s="10">
        <v>124585.75410000001</v>
      </c>
      <c r="AH39" s="10">
        <v>936628.64378000004</v>
      </c>
      <c r="AI39" s="10">
        <v>1229522.66931</v>
      </c>
      <c r="AJ39" s="10">
        <v>4463759.3662</v>
      </c>
      <c r="AK39" s="10">
        <v>48734.41173</v>
      </c>
      <c r="AL39" s="10">
        <v>295123.58669999999</v>
      </c>
      <c r="AM39" s="10">
        <v>211534.63154999999</v>
      </c>
      <c r="AN39" s="10">
        <v>693488.43980000005</v>
      </c>
      <c r="AO39" s="10">
        <v>736506.5601</v>
      </c>
      <c r="AP39" s="10"/>
      <c r="AQ39" s="10">
        <v>153812.239298</v>
      </c>
      <c r="AR39" s="10">
        <v>2714536.7591900001</v>
      </c>
      <c r="AS39" s="10">
        <v>20934.174866000001</v>
      </c>
      <c r="AT39" s="10">
        <v>2887190.1469000001</v>
      </c>
      <c r="AU39" s="10">
        <v>383984.174</v>
      </c>
      <c r="AV39" s="10"/>
      <c r="AW39" s="10">
        <v>0</v>
      </c>
      <c r="AX39" s="10">
        <v>10643.145570000001</v>
      </c>
      <c r="AY39" s="10">
        <v>357420.47502999997</v>
      </c>
      <c r="AZ39" s="10"/>
      <c r="BA39" s="10">
        <v>10501.9905</v>
      </c>
      <c r="BB39" s="10">
        <v>66936.719819999998</v>
      </c>
      <c r="BC39" s="10">
        <v>58997.369930000001</v>
      </c>
      <c r="BD39" s="10">
        <v>142663.253937</v>
      </c>
      <c r="BE39" s="10">
        <v>170546.72106899999</v>
      </c>
      <c r="BF39" s="10">
        <v>144203.82461000001</v>
      </c>
      <c r="BG39" s="10">
        <v>6815722.1980699999</v>
      </c>
      <c r="BH39" s="10"/>
      <c r="BI39" s="10">
        <v>210871.95543</v>
      </c>
      <c r="BJ39" s="10">
        <v>24038.74109</v>
      </c>
      <c r="BK39" s="10">
        <v>418735.12729999999</v>
      </c>
      <c r="BL39" s="10">
        <v>192404.1961</v>
      </c>
      <c r="BM39" s="10">
        <v>756782.25034000003</v>
      </c>
      <c r="BN39" s="10">
        <v>27542.093949999999</v>
      </c>
      <c r="BO39" s="10">
        <v>253.83331999999999</v>
      </c>
      <c r="BP39" s="10">
        <v>82561.778680000003</v>
      </c>
      <c r="BQ39" s="10">
        <v>336.55468000000002</v>
      </c>
      <c r="BR39" s="10">
        <v>11704.39004</v>
      </c>
      <c r="BS39" s="10">
        <v>19188.003079999999</v>
      </c>
      <c r="BT39" s="10"/>
      <c r="BU39" s="10">
        <v>804.66132000000005</v>
      </c>
      <c r="BV39" s="10">
        <v>13415.917649999999</v>
      </c>
      <c r="BW39" s="10"/>
      <c r="BX39" s="10">
        <v>17693.616601999998</v>
      </c>
      <c r="BY39" s="10">
        <v>21157.990679999999</v>
      </c>
      <c r="BZ39" s="10"/>
      <c r="CA39" s="10">
        <v>46347.731240000001</v>
      </c>
      <c r="CB39" s="10">
        <v>28474.237109999998</v>
      </c>
      <c r="CC39" s="10">
        <v>348.51961</v>
      </c>
      <c r="CD39" s="10">
        <v>8454.1384199999993</v>
      </c>
      <c r="CE39" s="10">
        <v>118963.48367</v>
      </c>
      <c r="CF39" s="10">
        <v>0</v>
      </c>
      <c r="CG39" s="10"/>
      <c r="CH39" s="10">
        <v>438.95979999999997</v>
      </c>
      <c r="CI39" s="10"/>
      <c r="CJ39" s="10">
        <v>507.60316</v>
      </c>
      <c r="CK39" s="10">
        <v>1795.16427</v>
      </c>
      <c r="CL39" s="10"/>
      <c r="CM39" s="10">
        <v>1273917.8476</v>
      </c>
      <c r="CN39" s="10">
        <v>20915.566900000002</v>
      </c>
      <c r="CO39" s="10"/>
      <c r="CP39" s="10"/>
      <c r="CQ39" s="10">
        <v>0</v>
      </c>
      <c r="CR39" s="10"/>
      <c r="CS39" s="10">
        <v>0</v>
      </c>
      <c r="CT39" s="10"/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/>
      <c r="DD39" s="10">
        <v>0</v>
      </c>
      <c r="DE39" s="10">
        <v>0</v>
      </c>
      <c r="DF39" s="10">
        <v>0</v>
      </c>
      <c r="DG39" s="10"/>
      <c r="DH39" s="10">
        <v>0</v>
      </c>
      <c r="DI39" s="10">
        <v>0</v>
      </c>
    </row>
    <row r="40" spans="1:113" x14ac:dyDescent="0.35">
      <c r="A40" s="8">
        <v>46150</v>
      </c>
      <c r="B40" s="9">
        <v>2259908679.2951398</v>
      </c>
      <c r="C40" s="10">
        <v>598566560.50433695</v>
      </c>
      <c r="D40" s="10">
        <v>240091535.14355001</v>
      </c>
      <c r="E40" s="10">
        <v>225241268.19639999</v>
      </c>
      <c r="F40" s="10">
        <v>261245030.76122001</v>
      </c>
      <c r="G40" s="10">
        <v>260544594.9542</v>
      </c>
      <c r="H40" s="10">
        <v>33448980.418370001</v>
      </c>
      <c r="I40" s="10">
        <v>73352788.338210002</v>
      </c>
      <c r="J40" s="10">
        <v>45908663.293959998</v>
      </c>
      <c r="K40" s="10">
        <v>140903565.48370001</v>
      </c>
      <c r="L40" s="10">
        <v>31621413.950309999</v>
      </c>
      <c r="M40" s="10">
        <v>76424920.139799997</v>
      </c>
      <c r="N40" s="10">
        <v>24673642.373569999</v>
      </c>
      <c r="O40" s="10">
        <v>12615943.85493</v>
      </c>
      <c r="P40" s="10"/>
      <c r="Q40" s="10">
        <v>10001760.01708</v>
      </c>
      <c r="R40" s="10">
        <v>31143274.086959999</v>
      </c>
      <c r="S40" s="10">
        <v>735384.39569999999</v>
      </c>
      <c r="T40" s="10">
        <v>7022046.0379269999</v>
      </c>
      <c r="U40" s="10">
        <v>8690126.1866900008</v>
      </c>
      <c r="V40" s="10">
        <v>7225947.7967999997</v>
      </c>
      <c r="W40" s="10">
        <v>16120971.31858</v>
      </c>
      <c r="X40" s="10">
        <v>19647233.84378</v>
      </c>
      <c r="Y40" s="10">
        <v>4048410.8631600002</v>
      </c>
      <c r="Z40" s="10">
        <v>28233872.348280001</v>
      </c>
      <c r="AA40" s="10">
        <v>2139329.2437</v>
      </c>
      <c r="AB40" s="10">
        <v>7818483.9491800005</v>
      </c>
      <c r="AC40" s="10">
        <v>4784204.9023500001</v>
      </c>
      <c r="AD40" s="10">
        <v>2204869.4963000002</v>
      </c>
      <c r="AE40" s="10">
        <v>2941607.60971</v>
      </c>
      <c r="AF40" s="10">
        <v>7942750.5610100003</v>
      </c>
      <c r="AG40" s="10">
        <v>1858266.0459</v>
      </c>
      <c r="AH40" s="10">
        <v>4120782.6790200002</v>
      </c>
      <c r="AI40" s="10">
        <v>6344198.0274200002</v>
      </c>
      <c r="AJ40" s="10">
        <v>7129982.4786999896</v>
      </c>
      <c r="AK40" s="10">
        <v>2433498.7443320001</v>
      </c>
      <c r="AL40" s="10">
        <v>12706988.3606</v>
      </c>
      <c r="AM40" s="10">
        <v>2479128.02721</v>
      </c>
      <c r="AN40" s="10">
        <v>6226271.3045600001</v>
      </c>
      <c r="AO40" s="10">
        <v>2210847.7226999998</v>
      </c>
      <c r="AP40" s="10"/>
      <c r="AQ40" s="10">
        <v>832364.02529000002</v>
      </c>
      <c r="AR40" s="10">
        <v>5813693.1245200001</v>
      </c>
      <c r="AS40" s="10">
        <v>470736.49708499998</v>
      </c>
      <c r="AT40" s="10">
        <v>3415347.88472</v>
      </c>
      <c r="AU40" s="10">
        <v>5332065.5251900004</v>
      </c>
      <c r="AV40" s="10"/>
      <c r="AW40" s="10">
        <v>0</v>
      </c>
      <c r="AX40" s="10">
        <v>450132.63280000002</v>
      </c>
      <c r="AY40" s="10">
        <v>2058566.7213399999</v>
      </c>
      <c r="AZ40" s="10"/>
      <c r="BA40" s="10">
        <v>5541.1091999999999</v>
      </c>
      <c r="BB40" s="10">
        <v>1316226.3057800001</v>
      </c>
      <c r="BC40" s="10">
        <v>997937.46829999995</v>
      </c>
      <c r="BD40" s="10">
        <v>368456.97402800003</v>
      </c>
      <c r="BE40" s="10">
        <v>732068.37056399998</v>
      </c>
      <c r="BF40" s="10">
        <v>503840.81656000001</v>
      </c>
      <c r="BG40" s="10">
        <v>343669.05550000002</v>
      </c>
      <c r="BH40" s="10"/>
      <c r="BI40" s="10">
        <v>557717.12705000001</v>
      </c>
      <c r="BJ40" s="10">
        <v>626115.07854999998</v>
      </c>
      <c r="BK40" s="10">
        <v>116136.4418</v>
      </c>
      <c r="BL40" s="10">
        <v>212379.4039</v>
      </c>
      <c r="BM40" s="10">
        <v>928527.29524999997</v>
      </c>
      <c r="BN40" s="10">
        <v>639842.55718999996</v>
      </c>
      <c r="BO40" s="10">
        <v>675581.20302999998</v>
      </c>
      <c r="BP40" s="10">
        <v>749372.77265000006</v>
      </c>
      <c r="BQ40" s="10">
        <v>99586.815530000007</v>
      </c>
      <c r="BR40" s="10">
        <v>150449.85105999999</v>
      </c>
      <c r="BS40" s="10">
        <v>113038.40664</v>
      </c>
      <c r="BT40" s="10"/>
      <c r="BU40" s="10">
        <v>3021.0211199999999</v>
      </c>
      <c r="BV40" s="10">
        <v>365415.91249000002</v>
      </c>
      <c r="BW40" s="10"/>
      <c r="BX40" s="10">
        <v>378789.97187299997</v>
      </c>
      <c r="BY40" s="10">
        <v>42921.32935</v>
      </c>
      <c r="BZ40" s="10"/>
      <c r="CA40" s="10">
        <v>141821.04539000001</v>
      </c>
      <c r="CB40" s="10">
        <v>64421.841659999998</v>
      </c>
      <c r="CC40" s="10">
        <v>39877.717669999998</v>
      </c>
      <c r="CD40" s="10">
        <v>66183.213319999995</v>
      </c>
      <c r="CE40" s="10">
        <v>306441.66765000002</v>
      </c>
      <c r="CF40" s="10">
        <v>1546.47299</v>
      </c>
      <c r="CG40" s="10"/>
      <c r="CH40" s="10">
        <v>33465.621899999998</v>
      </c>
      <c r="CI40" s="10"/>
      <c r="CJ40" s="10">
        <v>7775.6242759999996</v>
      </c>
      <c r="CK40" s="10">
        <v>49045.027320000001</v>
      </c>
      <c r="CL40" s="10"/>
      <c r="CM40" s="10">
        <v>7010.1392999999998</v>
      </c>
      <c r="CN40" s="10">
        <v>42405.765099999997</v>
      </c>
      <c r="CO40" s="10"/>
      <c r="CP40" s="10"/>
      <c r="CQ40" s="10">
        <v>0</v>
      </c>
      <c r="CR40" s="10"/>
      <c r="CS40" s="10">
        <v>0</v>
      </c>
      <c r="CT40" s="10"/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/>
      <c r="DA40" s="10">
        <v>0</v>
      </c>
      <c r="DB40" s="10">
        <v>0</v>
      </c>
      <c r="DC40" s="10"/>
      <c r="DD40" s="10">
        <v>0</v>
      </c>
      <c r="DE40" s="10">
        <v>0</v>
      </c>
      <c r="DF40" s="10">
        <v>0</v>
      </c>
      <c r="DG40" s="10"/>
      <c r="DH40" s="10">
        <v>0</v>
      </c>
      <c r="DI40" s="10">
        <v>0</v>
      </c>
    </row>
    <row r="41" spans="1:113" x14ac:dyDescent="0.35">
      <c r="A41" s="8">
        <v>46149</v>
      </c>
      <c r="B41" s="9">
        <v>3440811799.4513502</v>
      </c>
      <c r="C41" s="10">
        <v>1184296300.5594599</v>
      </c>
      <c r="D41" s="10">
        <v>308389086.70625001</v>
      </c>
      <c r="E41" s="10">
        <v>227824630.34869999</v>
      </c>
      <c r="F41" s="10">
        <v>640241947.68285</v>
      </c>
      <c r="G41" s="10">
        <v>371905670.63209999</v>
      </c>
      <c r="H41" s="10">
        <v>64834931.319190003</v>
      </c>
      <c r="I41" s="10">
        <v>68234458.864360005</v>
      </c>
      <c r="J41" s="10">
        <v>73170841.761010006</v>
      </c>
      <c r="K41" s="10">
        <v>86926106.004099995</v>
      </c>
      <c r="L41" s="10">
        <v>42259471.217330001</v>
      </c>
      <c r="M41" s="10">
        <v>27833854.953499999</v>
      </c>
      <c r="N41" s="10">
        <v>37850067.197520003</v>
      </c>
      <c r="O41" s="10">
        <v>10722090.984617</v>
      </c>
      <c r="P41" s="10"/>
      <c r="Q41" s="10">
        <v>12077966.75856</v>
      </c>
      <c r="R41" s="10">
        <v>43983713.716930002</v>
      </c>
      <c r="S41" s="10">
        <v>592537.69400000002</v>
      </c>
      <c r="T41" s="10">
        <v>10990274.880062999</v>
      </c>
      <c r="U41" s="10">
        <v>11218096.86461</v>
      </c>
      <c r="V41" s="10">
        <v>12094904.566400001</v>
      </c>
      <c r="W41" s="10">
        <v>29979414.533259999</v>
      </c>
      <c r="X41" s="10">
        <v>14788195.594350001</v>
      </c>
      <c r="Y41" s="10">
        <v>11755370.27259</v>
      </c>
      <c r="Z41" s="10">
        <v>17163855.151980001</v>
      </c>
      <c r="AA41" s="10">
        <v>2419230.2320900001</v>
      </c>
      <c r="AB41" s="10">
        <v>18289453.776700001</v>
      </c>
      <c r="AC41" s="10">
        <v>5746597.7789700003</v>
      </c>
      <c r="AD41" s="10">
        <v>656571.26419999998</v>
      </c>
      <c r="AE41" s="10">
        <v>3903435.5409599999</v>
      </c>
      <c r="AF41" s="10">
        <v>9478720.71514</v>
      </c>
      <c r="AG41" s="10">
        <v>1911517.0260000001</v>
      </c>
      <c r="AH41" s="10">
        <v>7526928.6175899999</v>
      </c>
      <c r="AI41" s="10">
        <v>7323020.1905100001</v>
      </c>
      <c r="AJ41" s="10">
        <v>2251384.2382999999</v>
      </c>
      <c r="AK41" s="10">
        <v>5240767.3119670004</v>
      </c>
      <c r="AL41" s="10">
        <v>16784925.876699999</v>
      </c>
      <c r="AM41" s="10">
        <v>4247697.4985199999</v>
      </c>
      <c r="AN41" s="10">
        <v>9140820.9860200007</v>
      </c>
      <c r="AO41" s="10">
        <v>3674082.7888500001</v>
      </c>
      <c r="AP41" s="10"/>
      <c r="AQ41" s="10">
        <v>588111.95545200002</v>
      </c>
      <c r="AR41" s="10">
        <v>1154919.6199700001</v>
      </c>
      <c r="AS41" s="10">
        <v>4186755.6094630002</v>
      </c>
      <c r="AT41" s="10">
        <v>3176201.3878700002</v>
      </c>
      <c r="AU41" s="10">
        <v>2005563.3374600001</v>
      </c>
      <c r="AV41" s="10"/>
      <c r="AW41" s="10">
        <v>0</v>
      </c>
      <c r="AX41" s="10">
        <v>503586.01409999997</v>
      </c>
      <c r="AY41" s="10">
        <v>3053946.7542500002</v>
      </c>
      <c r="AZ41" s="10"/>
      <c r="BA41" s="10">
        <v>21380.023399999998</v>
      </c>
      <c r="BB41" s="10">
        <v>1494228.94524</v>
      </c>
      <c r="BC41" s="10">
        <v>406549.21617999999</v>
      </c>
      <c r="BD41" s="10">
        <v>256243.79434399999</v>
      </c>
      <c r="BE41" s="10">
        <v>1104177.0981980001</v>
      </c>
      <c r="BF41" s="10">
        <v>882014.76249999995</v>
      </c>
      <c r="BG41" s="10">
        <v>961986.36572999996</v>
      </c>
      <c r="BH41" s="10"/>
      <c r="BI41" s="10">
        <v>524974.34952000005</v>
      </c>
      <c r="BJ41" s="10">
        <v>353837.98862000002</v>
      </c>
      <c r="BK41" s="10">
        <v>1179842.4405</v>
      </c>
      <c r="BL41" s="10">
        <v>548939.16630000004</v>
      </c>
      <c r="BM41" s="10">
        <v>4230486.1956399996</v>
      </c>
      <c r="BN41" s="10">
        <v>426000.75965999998</v>
      </c>
      <c r="BO41" s="10">
        <v>1065868.74116</v>
      </c>
      <c r="BP41" s="10">
        <v>1024444.60869</v>
      </c>
      <c r="BQ41" s="10">
        <v>85317.870800000004</v>
      </c>
      <c r="BR41" s="10">
        <v>111951.07793</v>
      </c>
      <c r="BS41" s="10">
        <v>77839.269268000004</v>
      </c>
      <c r="BT41" s="10"/>
      <c r="BU41" s="10">
        <v>336033.19430999999</v>
      </c>
      <c r="BV41" s="10">
        <v>149102.89189999999</v>
      </c>
      <c r="BW41" s="10"/>
      <c r="BX41" s="10">
        <v>1427345.823658</v>
      </c>
      <c r="BY41" s="10">
        <v>531531.38965999999</v>
      </c>
      <c r="BZ41" s="10"/>
      <c r="CA41" s="10">
        <v>139446.66422000001</v>
      </c>
      <c r="CB41" s="10">
        <v>77721.826809999999</v>
      </c>
      <c r="CC41" s="10">
        <v>4227.3295900000003</v>
      </c>
      <c r="CD41" s="10">
        <v>97584.720530000006</v>
      </c>
      <c r="CE41" s="10">
        <v>335631.45061</v>
      </c>
      <c r="CF41" s="10">
        <v>732.00584000000003</v>
      </c>
      <c r="CG41" s="10"/>
      <c r="CH41" s="10">
        <v>619.01909999999998</v>
      </c>
      <c r="CI41" s="10"/>
      <c r="CJ41" s="10">
        <v>132513.26467</v>
      </c>
      <c r="CK41" s="10">
        <v>81034.438760000005</v>
      </c>
      <c r="CL41" s="10"/>
      <c r="CM41" s="10">
        <v>34381.996200000001</v>
      </c>
      <c r="CN41" s="10">
        <v>309783.97700000001</v>
      </c>
      <c r="CO41" s="10"/>
      <c r="CP41" s="10"/>
      <c r="CQ41" s="10">
        <v>0</v>
      </c>
      <c r="CR41" s="10"/>
      <c r="CS41" s="10">
        <v>0</v>
      </c>
      <c r="CT41" s="10"/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/>
      <c r="DA41" s="10">
        <v>0</v>
      </c>
      <c r="DB41" s="10">
        <v>0</v>
      </c>
      <c r="DC41" s="10"/>
      <c r="DD41" s="10">
        <v>0</v>
      </c>
      <c r="DE41" s="10">
        <v>0</v>
      </c>
      <c r="DF41" s="10">
        <v>0</v>
      </c>
      <c r="DG41" s="10"/>
      <c r="DH41" s="10">
        <v>0</v>
      </c>
      <c r="DI41" s="10">
        <v>0</v>
      </c>
    </row>
    <row r="42" spans="1:113" x14ac:dyDescent="0.35">
      <c r="A42" s="8">
        <v>46148</v>
      </c>
      <c r="B42" s="9">
        <v>3400796612.45682</v>
      </c>
      <c r="C42" s="10">
        <v>1341018895.5037501</v>
      </c>
      <c r="D42" s="10">
        <v>241640912.09373999</v>
      </c>
      <c r="E42" s="10">
        <v>226432950.00929999</v>
      </c>
      <c r="F42" s="10">
        <v>586198724.34693003</v>
      </c>
      <c r="G42" s="10">
        <v>325931667.3617</v>
      </c>
      <c r="H42" s="10">
        <v>69681520.75609</v>
      </c>
      <c r="I42" s="10">
        <v>56629856.492339998</v>
      </c>
      <c r="J42" s="10">
        <v>60228080.647930004</v>
      </c>
      <c r="K42" s="10">
        <v>97416238.099900007</v>
      </c>
      <c r="L42" s="10">
        <v>44127989.07643</v>
      </c>
      <c r="M42" s="10">
        <v>36029553.527500004</v>
      </c>
      <c r="N42" s="10">
        <v>40872414.78644</v>
      </c>
      <c r="O42" s="10">
        <v>9171492.2410809994</v>
      </c>
      <c r="P42" s="10"/>
      <c r="Q42" s="10">
        <v>17244410.696230002</v>
      </c>
      <c r="R42" s="10">
        <v>14928189.949549999</v>
      </c>
      <c r="S42" s="10">
        <v>587006.22790000006</v>
      </c>
      <c r="T42" s="10">
        <v>9316472.9377299994</v>
      </c>
      <c r="U42" s="10">
        <v>13986666.667780001</v>
      </c>
      <c r="V42" s="10">
        <v>11314924.114700001</v>
      </c>
      <c r="W42" s="10">
        <v>12006082.12243</v>
      </c>
      <c r="X42" s="10">
        <v>12725854.10503</v>
      </c>
      <c r="Y42" s="10">
        <v>5200993.2407600004</v>
      </c>
      <c r="Z42" s="10">
        <v>36077235.559770003</v>
      </c>
      <c r="AA42" s="10">
        <v>3734921.44141</v>
      </c>
      <c r="AB42" s="10">
        <v>19650856.074840002</v>
      </c>
      <c r="AC42" s="10">
        <v>8935489.7798799891</v>
      </c>
      <c r="AD42" s="10">
        <v>1486639.5031999999</v>
      </c>
      <c r="AE42" s="10">
        <v>3731042.55363</v>
      </c>
      <c r="AF42" s="10">
        <v>7473057.9634100003</v>
      </c>
      <c r="AG42" s="10">
        <v>7986526.9885999998</v>
      </c>
      <c r="AH42" s="10">
        <v>8721342.8896600008</v>
      </c>
      <c r="AI42" s="10">
        <v>3965832.7385100001</v>
      </c>
      <c r="AJ42" s="10">
        <v>5847273.3976999996</v>
      </c>
      <c r="AK42" s="10">
        <v>11833668.013555</v>
      </c>
      <c r="AL42" s="10">
        <v>3528044.2733999998</v>
      </c>
      <c r="AM42" s="10">
        <v>4030462.77183</v>
      </c>
      <c r="AN42" s="10">
        <v>8100079.9501799997</v>
      </c>
      <c r="AO42" s="10">
        <v>4716206.36656</v>
      </c>
      <c r="AP42" s="10"/>
      <c r="AQ42" s="10">
        <v>1080601.9649720001</v>
      </c>
      <c r="AR42" s="10">
        <v>2401762.3306800001</v>
      </c>
      <c r="AS42" s="10">
        <v>213435.60675800001</v>
      </c>
      <c r="AT42" s="10">
        <v>3716362.30376</v>
      </c>
      <c r="AU42" s="10">
        <v>553007.58701000002</v>
      </c>
      <c r="AV42" s="10"/>
      <c r="AW42" s="10">
        <v>0</v>
      </c>
      <c r="AX42" s="10">
        <v>462285.51208999997</v>
      </c>
      <c r="AY42" s="10">
        <v>3840969.8269600002</v>
      </c>
      <c r="AZ42" s="10"/>
      <c r="BA42" s="10">
        <v>14302.2253</v>
      </c>
      <c r="BB42" s="10">
        <v>1287684.73645</v>
      </c>
      <c r="BC42" s="10">
        <v>862895.55078000005</v>
      </c>
      <c r="BD42" s="10">
        <v>287565.15687399998</v>
      </c>
      <c r="BE42" s="10">
        <v>967461.06934000005</v>
      </c>
      <c r="BF42" s="10">
        <v>1103493.63445</v>
      </c>
      <c r="BG42" s="10">
        <v>470822.72659999999</v>
      </c>
      <c r="BH42" s="10"/>
      <c r="BI42" s="10">
        <v>837634.21288999997</v>
      </c>
      <c r="BJ42" s="10">
        <v>345794.35544000001</v>
      </c>
      <c r="BK42" s="10">
        <v>78733.710200000001</v>
      </c>
      <c r="BL42" s="10">
        <v>115432.8872</v>
      </c>
      <c r="BM42" s="10">
        <v>3133253.0022200001</v>
      </c>
      <c r="BN42" s="10">
        <v>954120.20742999995</v>
      </c>
      <c r="BO42" s="10">
        <v>1349122.19041</v>
      </c>
      <c r="BP42" s="10">
        <v>881119.05142000003</v>
      </c>
      <c r="BQ42" s="10">
        <v>74836.255139999994</v>
      </c>
      <c r="BR42" s="10">
        <v>89646.210070000001</v>
      </c>
      <c r="BS42" s="10">
        <v>49339.596885999999</v>
      </c>
      <c r="BT42" s="10"/>
      <c r="BU42" s="10">
        <v>158662.31041000001</v>
      </c>
      <c r="BV42" s="10">
        <v>110878.82467</v>
      </c>
      <c r="BW42" s="10"/>
      <c r="BX42" s="10">
        <v>1059638.705537</v>
      </c>
      <c r="BY42" s="10">
        <v>346080.66343999997</v>
      </c>
      <c r="BZ42" s="10"/>
      <c r="CA42" s="10">
        <v>449775.34529999999</v>
      </c>
      <c r="CB42" s="10">
        <v>4498.9520300000004</v>
      </c>
      <c r="CC42" s="10">
        <v>43984.109060000003</v>
      </c>
      <c r="CD42" s="10">
        <v>105258.98269</v>
      </c>
      <c r="CE42" s="10">
        <v>479286.85336000001</v>
      </c>
      <c r="CF42" s="10">
        <v>2582.1930299999999</v>
      </c>
      <c r="CG42" s="10"/>
      <c r="CH42" s="10">
        <v>573.63739999999996</v>
      </c>
      <c r="CI42" s="10"/>
      <c r="CJ42" s="10">
        <v>112336.641229</v>
      </c>
      <c r="CK42" s="10">
        <v>92913.047860000006</v>
      </c>
      <c r="CL42" s="10"/>
      <c r="CM42" s="10">
        <v>20202.615900000001</v>
      </c>
      <c r="CN42" s="10">
        <v>128682.3922</v>
      </c>
      <c r="CO42" s="10"/>
      <c r="CP42" s="10"/>
      <c r="CQ42" s="10">
        <v>0</v>
      </c>
      <c r="CR42" s="10"/>
      <c r="CS42" s="10">
        <v>0</v>
      </c>
      <c r="CT42" s="10"/>
      <c r="CU42" s="10">
        <v>0</v>
      </c>
      <c r="CV42" s="10">
        <v>0</v>
      </c>
      <c r="CW42" s="10"/>
      <c r="CX42" s="10">
        <v>0</v>
      </c>
      <c r="CY42" s="10">
        <v>0</v>
      </c>
      <c r="CZ42" s="10"/>
      <c r="DA42" s="10">
        <v>0</v>
      </c>
      <c r="DB42" s="10">
        <v>0</v>
      </c>
      <c r="DC42" s="10"/>
      <c r="DD42" s="10">
        <v>0</v>
      </c>
      <c r="DE42" s="10">
        <v>0</v>
      </c>
      <c r="DF42" s="10">
        <v>0</v>
      </c>
      <c r="DG42" s="10"/>
      <c r="DH42" s="10">
        <v>0</v>
      </c>
      <c r="DI42" s="10">
        <v>0</v>
      </c>
    </row>
    <row r="43" spans="1:113" x14ac:dyDescent="0.35">
      <c r="A43" s="8">
        <v>46147</v>
      </c>
      <c r="B43" s="9">
        <v>2223250801.3343501</v>
      </c>
      <c r="C43" s="10">
        <v>712222628.66926897</v>
      </c>
      <c r="D43" s="10">
        <v>164707096.18957001</v>
      </c>
      <c r="E43" s="10">
        <v>220507563.51629999</v>
      </c>
      <c r="F43" s="10">
        <v>318861318.13630003</v>
      </c>
      <c r="G43" s="10">
        <v>207829568.3712</v>
      </c>
      <c r="H43" s="10">
        <v>36258583.178219996</v>
      </c>
      <c r="I43" s="10">
        <v>61688281.715839997</v>
      </c>
      <c r="J43" s="10">
        <v>29079037.882750001</v>
      </c>
      <c r="K43" s="10">
        <v>89987892.413599998</v>
      </c>
      <c r="L43" s="10">
        <v>25660461.704390001</v>
      </c>
      <c r="M43" s="10">
        <v>52479807.149159998</v>
      </c>
      <c r="N43" s="10">
        <v>53700848.60345</v>
      </c>
      <c r="O43" s="10">
        <v>6821989.7164399996</v>
      </c>
      <c r="P43" s="10"/>
      <c r="Q43" s="10">
        <v>15643579.82123</v>
      </c>
      <c r="R43" s="10">
        <v>11615077.28215</v>
      </c>
      <c r="S43" s="10">
        <v>342788.64490000001</v>
      </c>
      <c r="T43" s="10">
        <v>10110677.965097999</v>
      </c>
      <c r="U43" s="10">
        <v>14012798.28733</v>
      </c>
      <c r="V43" s="10">
        <v>6433569.9381900001</v>
      </c>
      <c r="W43" s="10">
        <v>16336121.47116</v>
      </c>
      <c r="X43" s="10">
        <v>7566323.5486700004</v>
      </c>
      <c r="Y43" s="10">
        <v>12119122.13586</v>
      </c>
      <c r="Z43" s="10">
        <v>44018753.638970003</v>
      </c>
      <c r="AA43" s="10">
        <v>2639395.92135</v>
      </c>
      <c r="AB43" s="10">
        <v>6728479.7049799999</v>
      </c>
      <c r="AC43" s="10">
        <v>25847722.014800001</v>
      </c>
      <c r="AD43" s="10">
        <v>3241295.1074000001</v>
      </c>
      <c r="AE43" s="10">
        <v>5680344.1722400002</v>
      </c>
      <c r="AF43" s="10">
        <v>7253127.2885499997</v>
      </c>
      <c r="AG43" s="10">
        <v>3512986.3283000002</v>
      </c>
      <c r="AH43" s="10">
        <v>10501394.956800001</v>
      </c>
      <c r="AI43" s="10">
        <v>6459662.1396700004</v>
      </c>
      <c r="AJ43" s="10">
        <v>3430904.5323999999</v>
      </c>
      <c r="AK43" s="10">
        <v>3619136.1205219999</v>
      </c>
      <c r="AL43" s="10">
        <v>1939558.1976000001</v>
      </c>
      <c r="AM43" s="10">
        <v>1479613.7460099999</v>
      </c>
      <c r="AN43" s="10">
        <v>3859901.9235899998</v>
      </c>
      <c r="AO43" s="10">
        <v>934332.01728999999</v>
      </c>
      <c r="AP43" s="10"/>
      <c r="AQ43" s="10">
        <v>1307887.2441459999</v>
      </c>
      <c r="AR43" s="10">
        <v>1066142.17022</v>
      </c>
      <c r="AS43" s="10">
        <v>434718.11518600001</v>
      </c>
      <c r="AT43" s="10">
        <v>3623603.0566099999</v>
      </c>
      <c r="AU43" s="10">
        <v>291577.08480000001</v>
      </c>
      <c r="AV43" s="10"/>
      <c r="AW43" s="10">
        <v>0</v>
      </c>
      <c r="AX43" s="10">
        <v>589561.73528000002</v>
      </c>
      <c r="AY43" s="10">
        <v>2324882.7270900002</v>
      </c>
      <c r="AZ43" s="10"/>
      <c r="BA43" s="10">
        <v>30335.968000000001</v>
      </c>
      <c r="BB43" s="10">
        <v>1237103.8502499999</v>
      </c>
      <c r="BC43" s="10">
        <v>585457.71556000004</v>
      </c>
      <c r="BD43" s="10">
        <v>203964.373915</v>
      </c>
      <c r="BE43" s="10">
        <v>252866.19073500001</v>
      </c>
      <c r="BF43" s="10">
        <v>720104.56224</v>
      </c>
      <c r="BG43" s="10">
        <v>124885.88529999999</v>
      </c>
      <c r="BH43" s="10"/>
      <c r="BI43" s="10">
        <v>886258.65454999998</v>
      </c>
      <c r="BJ43" s="10">
        <v>300176.52629000001</v>
      </c>
      <c r="BK43" s="10">
        <v>35959.323799999998</v>
      </c>
      <c r="BL43" s="10">
        <v>71215.571320000003</v>
      </c>
      <c r="BM43" s="10">
        <v>153304.25938</v>
      </c>
      <c r="BN43" s="10">
        <v>1082529.0392700001</v>
      </c>
      <c r="BO43" s="10">
        <v>100237.15614000001</v>
      </c>
      <c r="BP43" s="10">
        <v>333390.53084000002</v>
      </c>
      <c r="BQ43" s="10">
        <v>23196.292850000002</v>
      </c>
      <c r="BR43" s="10">
        <v>54828.415269999998</v>
      </c>
      <c r="BS43" s="10">
        <v>116183.35934</v>
      </c>
      <c r="BT43" s="10"/>
      <c r="BU43" s="10">
        <v>146462.17311</v>
      </c>
      <c r="BV43" s="10">
        <v>92685.88553</v>
      </c>
      <c r="BW43" s="10"/>
      <c r="BX43" s="10">
        <v>1056826.9998900001</v>
      </c>
      <c r="BY43" s="10">
        <v>153062.69226000001</v>
      </c>
      <c r="BZ43" s="10"/>
      <c r="CA43" s="10">
        <v>205320.1727</v>
      </c>
      <c r="CB43" s="10">
        <v>90519.494649999993</v>
      </c>
      <c r="CC43" s="10">
        <v>25411.82316</v>
      </c>
      <c r="CD43" s="10">
        <v>94850.429650000005</v>
      </c>
      <c r="CE43" s="10">
        <v>13021.21573</v>
      </c>
      <c r="CF43" s="10">
        <v>2642.5282999999999</v>
      </c>
      <c r="CG43" s="10"/>
      <c r="CH43" s="10">
        <v>13519.134599999999</v>
      </c>
      <c r="CI43" s="10"/>
      <c r="CJ43" s="10">
        <v>11700.660689</v>
      </c>
      <c r="CK43" s="10">
        <v>120549.94355</v>
      </c>
      <c r="CL43" s="10"/>
      <c r="CM43" s="10">
        <v>115194.14479999999</v>
      </c>
      <c r="CN43" s="10">
        <v>26920.075799999999</v>
      </c>
      <c r="CO43" s="10"/>
      <c r="CP43" s="10"/>
      <c r="CQ43" s="10">
        <v>0</v>
      </c>
      <c r="CR43" s="10"/>
      <c r="CS43" s="10">
        <v>0</v>
      </c>
      <c r="CT43" s="10"/>
      <c r="CU43" s="10">
        <v>0</v>
      </c>
      <c r="CV43" s="10">
        <v>0</v>
      </c>
      <c r="CW43" s="10"/>
      <c r="CX43" s="10">
        <v>0</v>
      </c>
      <c r="CY43" s="10">
        <v>0</v>
      </c>
      <c r="CZ43" s="10"/>
      <c r="DA43" s="10">
        <v>0</v>
      </c>
      <c r="DB43" s="10">
        <v>0</v>
      </c>
      <c r="DC43" s="10"/>
      <c r="DD43" s="10">
        <v>0</v>
      </c>
      <c r="DE43" s="10">
        <v>0</v>
      </c>
      <c r="DF43" s="10">
        <v>0</v>
      </c>
      <c r="DG43" s="10"/>
      <c r="DH43" s="10">
        <v>0</v>
      </c>
      <c r="DI43" s="10">
        <v>0</v>
      </c>
    </row>
    <row r="44" spans="1:113" x14ac:dyDescent="0.35">
      <c r="A44" s="8">
        <v>46146</v>
      </c>
      <c r="B44" s="9">
        <v>3122413802.1816802</v>
      </c>
      <c r="C44" s="10">
        <v>1096634909.9190099</v>
      </c>
      <c r="D44" s="10">
        <v>273480822.96139002</v>
      </c>
      <c r="E44" s="10">
        <v>324723792.33380002</v>
      </c>
      <c r="F44" s="10">
        <v>532994699.63990003</v>
      </c>
      <c r="G44" s="10">
        <v>327886822.90979999</v>
      </c>
      <c r="H44" s="10">
        <v>67167927.475820005</v>
      </c>
      <c r="I44" s="10">
        <v>53802093.916620001</v>
      </c>
      <c r="J44" s="10">
        <v>40656886.49103</v>
      </c>
      <c r="K44" s="10">
        <v>71993101.018700004</v>
      </c>
      <c r="L44" s="10">
        <v>18647492.062729999</v>
      </c>
      <c r="M44" s="10">
        <v>33160338.841880001</v>
      </c>
      <c r="N44" s="10">
        <v>43817189.231349997</v>
      </c>
      <c r="O44" s="10">
        <v>5751797.0328129996</v>
      </c>
      <c r="P44" s="10"/>
      <c r="Q44" s="10">
        <v>10609856.400420001</v>
      </c>
      <c r="R44" s="10">
        <v>11413541.245510001</v>
      </c>
      <c r="S44" s="10">
        <v>172651.1005</v>
      </c>
      <c r="T44" s="10">
        <v>11790607.19241</v>
      </c>
      <c r="U44" s="10">
        <v>23826180.96401</v>
      </c>
      <c r="V44" s="10">
        <v>3965256.6075900001</v>
      </c>
      <c r="W44" s="10">
        <v>11843782.315330001</v>
      </c>
      <c r="X44" s="10">
        <v>9807430.7220899891</v>
      </c>
      <c r="Y44" s="10">
        <v>18884224.845309999</v>
      </c>
      <c r="Z44" s="10">
        <v>8977406.4362999909</v>
      </c>
      <c r="AA44" s="10">
        <v>5845215.1624199999</v>
      </c>
      <c r="AB44" s="10">
        <v>9873351.5699300095</v>
      </c>
      <c r="AC44" s="10">
        <v>10375709.27562</v>
      </c>
      <c r="AD44" s="10">
        <v>6405354.2134999996</v>
      </c>
      <c r="AE44" s="10">
        <v>4729268.92191</v>
      </c>
      <c r="AF44" s="10">
        <v>12358993.307119999</v>
      </c>
      <c r="AG44" s="10">
        <v>6288045.7922999999</v>
      </c>
      <c r="AH44" s="10">
        <v>10705170.60698</v>
      </c>
      <c r="AI44" s="10">
        <v>6276025.7632700102</v>
      </c>
      <c r="AJ44" s="10">
        <v>503940.0662</v>
      </c>
      <c r="AK44" s="10">
        <v>7538996.6750379996</v>
      </c>
      <c r="AL44" s="10">
        <v>3635680.3615000001</v>
      </c>
      <c r="AM44" s="10">
        <v>1282894.49438</v>
      </c>
      <c r="AN44" s="10">
        <v>5222181.3402500004</v>
      </c>
      <c r="AO44" s="10">
        <v>2729883.7548400001</v>
      </c>
      <c r="AP44" s="10"/>
      <c r="AQ44" s="10">
        <v>588637.14268699999</v>
      </c>
      <c r="AR44" s="10">
        <v>1518484.24921</v>
      </c>
      <c r="AS44" s="10">
        <v>474471.47069699998</v>
      </c>
      <c r="AT44" s="10">
        <v>1512346.9902600001</v>
      </c>
      <c r="AU44" s="10">
        <v>11796.56133</v>
      </c>
      <c r="AV44" s="10"/>
      <c r="AW44" s="10">
        <v>0</v>
      </c>
      <c r="AX44" s="10">
        <v>2584621.5310999998</v>
      </c>
      <c r="AY44" s="10">
        <v>2608038.0971900001</v>
      </c>
      <c r="AZ44" s="10"/>
      <c r="BA44" s="10">
        <v>5813.6378999999997</v>
      </c>
      <c r="BB44" s="10">
        <v>363872.80927999999</v>
      </c>
      <c r="BC44" s="10">
        <v>1114945.7859100001</v>
      </c>
      <c r="BD44" s="10">
        <v>337238.339737</v>
      </c>
      <c r="BE44" s="10">
        <v>641533.50619999995</v>
      </c>
      <c r="BF44" s="10">
        <v>812656.57114000001</v>
      </c>
      <c r="BG44" s="10">
        <v>153073.91099999999</v>
      </c>
      <c r="BH44" s="10"/>
      <c r="BI44" s="10">
        <v>5947497.5221999995</v>
      </c>
      <c r="BJ44" s="10">
        <v>208577.55304</v>
      </c>
      <c r="BK44" s="10">
        <v>28602.449199999999</v>
      </c>
      <c r="BL44" s="10">
        <v>29058.511399999999</v>
      </c>
      <c r="BM44" s="10">
        <v>171301.15867999999</v>
      </c>
      <c r="BN44" s="10">
        <v>1330755.7016100001</v>
      </c>
      <c r="BO44" s="10">
        <v>522691.67859999998</v>
      </c>
      <c r="BP44" s="10">
        <v>123673.02135</v>
      </c>
      <c r="BQ44" s="10">
        <v>334283.50306999998</v>
      </c>
      <c r="BR44" s="10">
        <v>77070.669020000001</v>
      </c>
      <c r="BS44" s="10">
        <v>295070.49875700002</v>
      </c>
      <c r="BT44" s="10"/>
      <c r="BU44" s="10">
        <v>107558.85175</v>
      </c>
      <c r="BV44" s="10">
        <v>93752.876130000004</v>
      </c>
      <c r="BW44" s="10"/>
      <c r="BX44" s="10">
        <v>1543794.5529680001</v>
      </c>
      <c r="BY44" s="10">
        <v>310570.21054</v>
      </c>
      <c r="BZ44" s="10"/>
      <c r="CA44" s="10">
        <v>102875.00142</v>
      </c>
      <c r="CB44" s="10">
        <v>184615.75106000001</v>
      </c>
      <c r="CC44" s="10">
        <v>76022.270999999993</v>
      </c>
      <c r="CD44" s="10">
        <v>35102.607239999998</v>
      </c>
      <c r="CE44" s="10">
        <v>0</v>
      </c>
      <c r="CF44" s="10">
        <v>317.02059000000003</v>
      </c>
      <c r="CG44" s="10"/>
      <c r="CH44" s="10">
        <v>2322638.3870999999</v>
      </c>
      <c r="CI44" s="10"/>
      <c r="CJ44" s="10">
        <v>10094.561196000001</v>
      </c>
      <c r="CK44" s="10">
        <v>11420.931549999999</v>
      </c>
      <c r="CL44" s="10"/>
      <c r="CM44" s="10">
        <v>39403.319000000003</v>
      </c>
      <c r="CN44" s="10"/>
      <c r="CO44" s="10"/>
      <c r="CP44" s="10"/>
      <c r="CQ44" s="10">
        <v>0</v>
      </c>
      <c r="CR44" s="10"/>
      <c r="CS44" s="10">
        <v>0</v>
      </c>
      <c r="CT44" s="10"/>
      <c r="CU44" s="10">
        <v>0</v>
      </c>
      <c r="CV44" s="10">
        <v>0</v>
      </c>
      <c r="CW44" s="10"/>
      <c r="CX44" s="10">
        <v>0</v>
      </c>
      <c r="CY44" s="10">
        <v>0</v>
      </c>
      <c r="CZ44" s="10"/>
      <c r="DA44" s="10">
        <v>0</v>
      </c>
      <c r="DB44" s="10">
        <v>0</v>
      </c>
      <c r="DC44" s="10"/>
      <c r="DD44" s="10">
        <v>0</v>
      </c>
      <c r="DE44" s="10">
        <v>0</v>
      </c>
      <c r="DF44" s="10">
        <v>0</v>
      </c>
      <c r="DG44" s="10"/>
      <c r="DH44" s="10">
        <v>0</v>
      </c>
      <c r="DI44" s="10">
        <v>0</v>
      </c>
    </row>
    <row r="45" spans="1:113" x14ac:dyDescent="0.35">
      <c r="A45" s="8">
        <v>46145</v>
      </c>
      <c r="B45" s="9">
        <v>635689672.72617805</v>
      </c>
      <c r="C45" s="10">
        <v>242360933.21693599</v>
      </c>
      <c r="D45" s="10">
        <v>86581591.590119794</v>
      </c>
      <c r="E45" s="10">
        <v>47085083.826099999</v>
      </c>
      <c r="F45" s="10">
        <v>123726588.6759</v>
      </c>
      <c r="G45" s="10">
        <v>50612887.521799996</v>
      </c>
      <c r="H45" s="10">
        <v>11743026.066670001</v>
      </c>
      <c r="I45" s="10">
        <v>3081127.0441999999</v>
      </c>
      <c r="J45" s="10">
        <v>6044013.7484899899</v>
      </c>
      <c r="K45" s="10">
        <v>7331836.1764000002</v>
      </c>
      <c r="L45" s="10">
        <v>4259373.2651500003</v>
      </c>
      <c r="M45" s="10">
        <v>3644559.3495</v>
      </c>
      <c r="N45" s="10">
        <v>1823308.6333999999</v>
      </c>
      <c r="O45" s="10">
        <v>2267785.552557</v>
      </c>
      <c r="P45" s="10"/>
      <c r="Q45" s="10">
        <v>1504757.12194</v>
      </c>
      <c r="R45" s="10">
        <v>3325689.2758999998</v>
      </c>
      <c r="S45" s="10">
        <v>0</v>
      </c>
      <c r="T45" s="10">
        <v>1156723.6579430001</v>
      </c>
      <c r="U45" s="10">
        <v>2522840.3643100001</v>
      </c>
      <c r="V45" s="10">
        <v>2070502.1376</v>
      </c>
      <c r="W45" s="10">
        <v>690316.71114000003</v>
      </c>
      <c r="X45" s="10">
        <v>2409746.83586</v>
      </c>
      <c r="Y45" s="10">
        <v>1779907.1582299999</v>
      </c>
      <c r="Z45" s="10">
        <v>1760296.9836899999</v>
      </c>
      <c r="AA45" s="10">
        <v>1384734.79953</v>
      </c>
      <c r="AB45" s="10">
        <v>806833.78153000004</v>
      </c>
      <c r="AC45" s="10">
        <v>692257.89622</v>
      </c>
      <c r="AD45" s="10">
        <v>2525246.9287</v>
      </c>
      <c r="AE45" s="10">
        <v>7394907.4285700005</v>
      </c>
      <c r="AF45" s="10">
        <v>1336022.22468</v>
      </c>
      <c r="AG45" s="10">
        <v>3683714.9240000001</v>
      </c>
      <c r="AH45" s="10">
        <v>1407814.00033</v>
      </c>
      <c r="AI45" s="10">
        <v>1122767.2676200001</v>
      </c>
      <c r="AJ45" s="10">
        <v>0</v>
      </c>
      <c r="AK45" s="10">
        <v>2491979.210091</v>
      </c>
      <c r="AL45" s="10">
        <v>509863.58929999999</v>
      </c>
      <c r="AM45" s="10">
        <v>228534.29832999999</v>
      </c>
      <c r="AN45" s="10">
        <v>574953.85039000004</v>
      </c>
      <c r="AO45" s="10">
        <v>283113.56172</v>
      </c>
      <c r="AP45" s="10"/>
      <c r="AQ45" s="10">
        <v>68485.817003999997</v>
      </c>
      <c r="AR45" s="10">
        <v>184066.95009999999</v>
      </c>
      <c r="AS45" s="10">
        <v>32480.147878</v>
      </c>
      <c r="AT45" s="10">
        <v>0</v>
      </c>
      <c r="AU45" s="10">
        <v>0</v>
      </c>
      <c r="AV45" s="10"/>
      <c r="AW45" s="10">
        <v>0</v>
      </c>
      <c r="AX45" s="10">
        <v>1689562.27617</v>
      </c>
      <c r="AY45" s="10">
        <v>208369.72458000001</v>
      </c>
      <c r="AZ45" s="10"/>
      <c r="BA45" s="10">
        <v>8473.7165000000005</v>
      </c>
      <c r="BB45" s="10">
        <v>133607.23525</v>
      </c>
      <c r="BC45" s="10">
        <v>97087.954199999993</v>
      </c>
      <c r="BD45" s="10">
        <v>39722.936358999999</v>
      </c>
      <c r="BE45" s="10">
        <v>36748.081758</v>
      </c>
      <c r="BF45" s="10">
        <v>131622.59073</v>
      </c>
      <c r="BG45" s="10">
        <v>70050.703399999999</v>
      </c>
      <c r="BH45" s="10"/>
      <c r="BI45" s="10">
        <v>0</v>
      </c>
      <c r="BJ45" s="10">
        <v>10314.2446</v>
      </c>
      <c r="BK45" s="10">
        <v>12838.529</v>
      </c>
      <c r="BL45" s="10">
        <v>19405.217100000002</v>
      </c>
      <c r="BM45" s="10">
        <v>55976.914920000003</v>
      </c>
      <c r="BN45" s="10">
        <v>10544.669019999999</v>
      </c>
      <c r="BO45" s="10">
        <v>39482.605660000001</v>
      </c>
      <c r="BP45" s="10">
        <v>212293.08523999999</v>
      </c>
      <c r="BQ45" s="10">
        <v>32706.313300000002</v>
      </c>
      <c r="BR45" s="10">
        <v>977.20835999999997</v>
      </c>
      <c r="BS45" s="10">
        <v>4803.9612999999999</v>
      </c>
      <c r="BT45" s="10"/>
      <c r="BU45" s="10">
        <v>0</v>
      </c>
      <c r="BV45" s="10">
        <v>6295.2350800000004</v>
      </c>
      <c r="BW45" s="10"/>
      <c r="BX45" s="10">
        <v>76245.904582000003</v>
      </c>
      <c r="BY45" s="10">
        <v>0</v>
      </c>
      <c r="BZ45" s="10"/>
      <c r="CA45" s="10">
        <v>37774.389629999998</v>
      </c>
      <c r="CB45" s="10">
        <v>49796.139349999998</v>
      </c>
      <c r="CC45" s="10">
        <v>985.01583000000005</v>
      </c>
      <c r="CD45" s="10">
        <v>4408.8369300000004</v>
      </c>
      <c r="CE45" s="10">
        <v>0</v>
      </c>
      <c r="CF45" s="10">
        <v>1310.1271999999999</v>
      </c>
      <c r="CG45" s="10"/>
      <c r="CH45" s="10">
        <v>653.32230000000004</v>
      </c>
      <c r="CI45" s="10"/>
      <c r="CJ45" s="10">
        <v>186944.198</v>
      </c>
      <c r="CK45" s="10">
        <v>0</v>
      </c>
      <c r="CL45" s="10"/>
      <c r="CM45" s="10">
        <v>0</v>
      </c>
      <c r="CN45" s="10"/>
      <c r="CO45" s="10"/>
      <c r="CP45" s="10"/>
      <c r="CQ45" s="10">
        <v>0</v>
      </c>
      <c r="CR45" s="10"/>
      <c r="CS45" s="10">
        <v>0</v>
      </c>
      <c r="CT45" s="10"/>
      <c r="CU45" s="10">
        <v>0</v>
      </c>
      <c r="CV45" s="10">
        <v>0</v>
      </c>
      <c r="CW45" s="10"/>
      <c r="CX45" s="10">
        <v>0</v>
      </c>
      <c r="CY45" s="10">
        <v>0</v>
      </c>
      <c r="CZ45" s="10"/>
      <c r="DA45" s="10">
        <v>0</v>
      </c>
      <c r="DB45" s="10">
        <v>0</v>
      </c>
      <c r="DC45" s="10"/>
      <c r="DD45" s="10">
        <v>0</v>
      </c>
      <c r="DE45" s="10">
        <v>0</v>
      </c>
      <c r="DF45" s="10">
        <v>0</v>
      </c>
      <c r="DG45" s="10"/>
      <c r="DH45" s="10">
        <v>0</v>
      </c>
      <c r="DI45" s="10">
        <v>0</v>
      </c>
    </row>
    <row r="46" spans="1:113" x14ac:dyDescent="0.35">
      <c r="A46" s="8">
        <v>46144</v>
      </c>
      <c r="B46" s="9">
        <v>197741035.31640401</v>
      </c>
      <c r="C46" s="10">
        <v>49459327.433640003</v>
      </c>
      <c r="D46" s="10">
        <v>7854069.08182</v>
      </c>
      <c r="E46" s="10">
        <v>31617731.7194</v>
      </c>
      <c r="F46" s="10">
        <v>26994621.605500001</v>
      </c>
      <c r="G46" s="10">
        <v>25337895.548300002</v>
      </c>
      <c r="H46" s="10">
        <v>2329729.4107900001</v>
      </c>
      <c r="I46" s="10">
        <v>3155201.1401900002</v>
      </c>
      <c r="J46" s="10">
        <v>3277796.61766</v>
      </c>
      <c r="K46" s="10">
        <v>6850973.0257000001</v>
      </c>
      <c r="L46" s="10">
        <v>1557510.8781399999</v>
      </c>
      <c r="M46" s="10">
        <v>5324557.9644999998</v>
      </c>
      <c r="N46" s="10">
        <v>1502304.87005</v>
      </c>
      <c r="O46" s="10">
        <v>676160.61915100005</v>
      </c>
      <c r="P46" s="10"/>
      <c r="Q46" s="10">
        <v>1017249.02378</v>
      </c>
      <c r="R46" s="10">
        <v>513736.53172999999</v>
      </c>
      <c r="S46" s="10">
        <v>0</v>
      </c>
      <c r="T46" s="10">
        <v>1068187.662646</v>
      </c>
      <c r="U46" s="10">
        <v>3357696.2653700002</v>
      </c>
      <c r="V46" s="10">
        <v>560137.31649</v>
      </c>
      <c r="W46" s="10">
        <v>2041266.8499199999</v>
      </c>
      <c r="X46" s="10">
        <v>461161.55471</v>
      </c>
      <c r="Y46" s="10">
        <v>971942.96162000101</v>
      </c>
      <c r="Z46" s="10">
        <v>1716980.8544999999</v>
      </c>
      <c r="AA46" s="10">
        <v>666746.41631</v>
      </c>
      <c r="AB46" s="10">
        <v>260248.50055</v>
      </c>
      <c r="AC46" s="10">
        <v>425485.5955</v>
      </c>
      <c r="AD46" s="10">
        <v>3015829.3786999998</v>
      </c>
      <c r="AE46" s="10">
        <v>3985220.6833500001</v>
      </c>
      <c r="AF46" s="10">
        <v>905392.31360999995</v>
      </c>
      <c r="AG46" s="10">
        <v>4769971.5613000002</v>
      </c>
      <c r="AH46" s="10">
        <v>808474.90454999998</v>
      </c>
      <c r="AI46" s="10">
        <v>657916.75902</v>
      </c>
      <c r="AJ46" s="10">
        <v>0</v>
      </c>
      <c r="AK46" s="10">
        <v>503187.972434</v>
      </c>
      <c r="AL46" s="10">
        <v>317067.47749999998</v>
      </c>
      <c r="AM46" s="10">
        <v>111365.1762</v>
      </c>
      <c r="AN46" s="10">
        <v>751544.31876000005</v>
      </c>
      <c r="AO46" s="10">
        <v>192467.63647999999</v>
      </c>
      <c r="AP46" s="10"/>
      <c r="AQ46" s="10">
        <v>634180.53699100099</v>
      </c>
      <c r="AR46" s="10">
        <v>659968.63778999995</v>
      </c>
      <c r="AS46" s="10">
        <v>126214.374901</v>
      </c>
      <c r="AT46" s="10">
        <v>0</v>
      </c>
      <c r="AU46" s="10">
        <v>0</v>
      </c>
      <c r="AV46" s="10"/>
      <c r="AW46" s="10">
        <v>0</v>
      </c>
      <c r="AX46" s="10">
        <v>40167.380499999999</v>
      </c>
      <c r="AY46" s="10">
        <v>90458.466490000006</v>
      </c>
      <c r="AZ46" s="10"/>
      <c r="BA46" s="10">
        <v>2742.0970000000002</v>
      </c>
      <c r="BB46" s="10">
        <v>229461.36782000001</v>
      </c>
      <c r="BC46" s="10">
        <v>77734.716579999993</v>
      </c>
      <c r="BD46" s="10">
        <v>25124.678361999999</v>
      </c>
      <c r="BE46" s="10">
        <v>48398.773398999998</v>
      </c>
      <c r="BF46" s="10">
        <v>13299.15785</v>
      </c>
      <c r="BG46" s="10">
        <v>177702.56940000001</v>
      </c>
      <c r="BH46" s="10"/>
      <c r="BI46" s="10">
        <v>0</v>
      </c>
      <c r="BJ46" s="10">
        <v>10334.47752</v>
      </c>
      <c r="BK46" s="10">
        <v>9965.6510999999991</v>
      </c>
      <c r="BL46" s="10">
        <v>18645.267</v>
      </c>
      <c r="BM46" s="10">
        <v>202784.08137999999</v>
      </c>
      <c r="BN46" s="10">
        <v>5074.2833899999996</v>
      </c>
      <c r="BO46" s="10">
        <v>236845.48397999999</v>
      </c>
      <c r="BP46" s="10">
        <v>22906.932959999998</v>
      </c>
      <c r="BQ46" s="10">
        <v>845.27759000000003</v>
      </c>
      <c r="BR46" s="10">
        <v>110.8279</v>
      </c>
      <c r="BS46" s="10">
        <v>1612.4512299999999</v>
      </c>
      <c r="BT46" s="10"/>
      <c r="BU46" s="10">
        <v>139.53733</v>
      </c>
      <c r="BV46" s="10">
        <v>1660.8468700000001</v>
      </c>
      <c r="BW46" s="10"/>
      <c r="BX46" s="10">
        <v>168.55322000000001</v>
      </c>
      <c r="BY46" s="10">
        <v>0</v>
      </c>
      <c r="BZ46" s="10"/>
      <c r="CA46" s="10">
        <v>21098.59215</v>
      </c>
      <c r="CB46" s="10">
        <v>38835.14746</v>
      </c>
      <c r="CC46" s="10">
        <v>25259.45119</v>
      </c>
      <c r="CD46" s="10">
        <v>535.66372999999999</v>
      </c>
      <c r="CE46" s="10"/>
      <c r="CF46" s="10">
        <v>44.367719999999998</v>
      </c>
      <c r="CG46" s="10"/>
      <c r="CH46" s="10">
        <v>1470.25</v>
      </c>
      <c r="CI46" s="10"/>
      <c r="CJ46" s="10">
        <v>87.785730000000001</v>
      </c>
      <c r="CK46" s="10">
        <v>0</v>
      </c>
      <c r="CL46" s="10"/>
      <c r="CM46" s="10">
        <v>0</v>
      </c>
      <c r="CN46" s="10"/>
      <c r="CO46" s="10"/>
      <c r="CP46" s="10"/>
      <c r="CQ46" s="10">
        <v>0</v>
      </c>
      <c r="CR46" s="10"/>
      <c r="CS46" s="10">
        <v>0</v>
      </c>
      <c r="CT46" s="10"/>
      <c r="CU46" s="10">
        <v>0</v>
      </c>
      <c r="CV46" s="10">
        <v>0</v>
      </c>
      <c r="CW46" s="10"/>
      <c r="CX46" s="10">
        <v>0</v>
      </c>
      <c r="CY46" s="10">
        <v>0</v>
      </c>
      <c r="CZ46" s="10"/>
      <c r="DA46" s="10">
        <v>0</v>
      </c>
      <c r="DB46" s="10">
        <v>0</v>
      </c>
      <c r="DC46" s="10"/>
      <c r="DD46" s="10">
        <v>0</v>
      </c>
      <c r="DE46" s="10">
        <v>0</v>
      </c>
      <c r="DF46" s="10">
        <v>0</v>
      </c>
      <c r="DG46" s="10"/>
      <c r="DH46" s="10">
        <v>0</v>
      </c>
      <c r="DI46" s="10">
        <v>0</v>
      </c>
    </row>
    <row r="47" spans="1:113" x14ac:dyDescent="0.35">
      <c r="A47" s="8">
        <v>46143</v>
      </c>
      <c r="B47" s="9">
        <v>2185323153.0592899</v>
      </c>
      <c r="C47" s="10">
        <v>859853840.14014399</v>
      </c>
      <c r="D47" s="10">
        <v>215247455.25494</v>
      </c>
      <c r="E47" s="10">
        <v>185581951.05039999</v>
      </c>
      <c r="F47" s="10">
        <v>245707841.26840001</v>
      </c>
      <c r="G47" s="10">
        <v>205772690.52540001</v>
      </c>
      <c r="H47" s="10">
        <v>42991769.52189</v>
      </c>
      <c r="I47" s="10">
        <v>28171475.917539999</v>
      </c>
      <c r="J47" s="10">
        <v>30791740.189679999</v>
      </c>
      <c r="K47" s="10">
        <v>79745550.450399995</v>
      </c>
      <c r="L47" s="10">
        <v>29178663.19568</v>
      </c>
      <c r="M47" s="10">
        <v>31722205.815820001</v>
      </c>
      <c r="N47" s="10">
        <v>23998805.913639002</v>
      </c>
      <c r="O47" s="10">
        <v>3938714.5182400001</v>
      </c>
      <c r="P47" s="10"/>
      <c r="Q47" s="10">
        <v>18755321.909329999</v>
      </c>
      <c r="R47" s="10">
        <v>10812958.631650001</v>
      </c>
      <c r="S47" s="10">
        <v>0</v>
      </c>
      <c r="T47" s="10">
        <v>9151543.4746349994</v>
      </c>
      <c r="U47" s="10">
        <v>23831142.804189999</v>
      </c>
      <c r="V47" s="10">
        <v>1645766.4172700001</v>
      </c>
      <c r="W47" s="10">
        <v>10854318.46696</v>
      </c>
      <c r="X47" s="10">
        <v>4972333.4772300003</v>
      </c>
      <c r="Y47" s="10">
        <v>6946234.2728500003</v>
      </c>
      <c r="Z47" s="10">
        <v>6440623.3272000002</v>
      </c>
      <c r="AA47" s="10">
        <v>2854788.30424</v>
      </c>
      <c r="AB47" s="10">
        <v>11963749.059110001</v>
      </c>
      <c r="AC47" s="10">
        <v>11988358.3243</v>
      </c>
      <c r="AD47" s="10">
        <v>3679005.3149999999</v>
      </c>
      <c r="AE47" s="10">
        <v>4920007.9094900005</v>
      </c>
      <c r="AF47" s="10">
        <v>5278422.1869999999</v>
      </c>
      <c r="AG47" s="10">
        <v>10896487.7425</v>
      </c>
      <c r="AH47" s="10">
        <v>8946348.6938300002</v>
      </c>
      <c r="AI47" s="10">
        <v>17224265.693059999</v>
      </c>
      <c r="AJ47" s="10">
        <v>0</v>
      </c>
      <c r="AK47" s="10">
        <v>3298141.2038599998</v>
      </c>
      <c r="AL47" s="10">
        <v>3189452.3568000002</v>
      </c>
      <c r="AM47" s="10">
        <v>343901.48702</v>
      </c>
      <c r="AN47" s="10">
        <v>6543098.7785799997</v>
      </c>
      <c r="AO47" s="10">
        <v>1583020.3177100001</v>
      </c>
      <c r="AP47" s="10"/>
      <c r="AQ47" s="10">
        <v>1321039.8089010001</v>
      </c>
      <c r="AR47" s="10">
        <v>1466142.20166</v>
      </c>
      <c r="AS47" s="10">
        <v>1269311.2448450001</v>
      </c>
      <c r="AT47" s="10">
        <v>0</v>
      </c>
      <c r="AU47" s="10">
        <v>0</v>
      </c>
      <c r="AV47" s="10"/>
      <c r="AW47" s="10">
        <v>0</v>
      </c>
      <c r="AX47" s="10">
        <v>1820098.8209299999</v>
      </c>
      <c r="AY47" s="10">
        <v>2987004.5901100002</v>
      </c>
      <c r="AZ47" s="10"/>
      <c r="BA47" s="10">
        <v>4164.0599000000002</v>
      </c>
      <c r="BB47" s="10">
        <v>240197.75427999999</v>
      </c>
      <c r="BC47" s="10">
        <v>152010.69461999999</v>
      </c>
      <c r="BD47" s="10">
        <v>552309.08203799999</v>
      </c>
      <c r="BE47" s="10">
        <v>648227.39714799996</v>
      </c>
      <c r="BF47" s="10">
        <v>133878.95170000001</v>
      </c>
      <c r="BG47" s="10">
        <v>373944.54009999998</v>
      </c>
      <c r="BH47" s="10"/>
      <c r="BI47" s="10">
        <v>0</v>
      </c>
      <c r="BJ47" s="10">
        <v>49174.629509999999</v>
      </c>
      <c r="BK47" s="10">
        <v>18080.466799999998</v>
      </c>
      <c r="BL47" s="10">
        <v>22684.66432</v>
      </c>
      <c r="BM47" s="10">
        <v>185685.71878</v>
      </c>
      <c r="BN47" s="10">
        <v>1929351.28611</v>
      </c>
      <c r="BO47" s="10">
        <v>132920.53740999999</v>
      </c>
      <c r="BP47" s="10">
        <v>231282.27213</v>
      </c>
      <c r="BQ47" s="10">
        <v>1227.6874</v>
      </c>
      <c r="BR47" s="10">
        <v>45949.644520000002</v>
      </c>
      <c r="BS47" s="10">
        <v>129835.53469</v>
      </c>
      <c r="BT47" s="10"/>
      <c r="BU47" s="10">
        <v>63935.159290000003</v>
      </c>
      <c r="BV47" s="10">
        <v>37525.462749999999</v>
      </c>
      <c r="BW47" s="10"/>
      <c r="BX47" s="10">
        <v>125994.231931</v>
      </c>
      <c r="BY47" s="10">
        <v>0</v>
      </c>
      <c r="BZ47" s="10"/>
      <c r="CA47" s="10">
        <v>122081.97179</v>
      </c>
      <c r="CB47" s="10">
        <v>23364.311010000001</v>
      </c>
      <c r="CC47" s="10">
        <v>37800.909059999998</v>
      </c>
      <c r="CD47" s="10">
        <v>13632.19558</v>
      </c>
      <c r="CE47" s="10"/>
      <c r="CF47" s="10">
        <v>746.19582000000003</v>
      </c>
      <c r="CG47" s="10"/>
      <c r="CH47" s="10">
        <v>2025908.7450999999</v>
      </c>
      <c r="CI47" s="10"/>
      <c r="CJ47" s="10">
        <v>335648.37307099998</v>
      </c>
      <c r="CK47" s="10">
        <v>0</v>
      </c>
      <c r="CL47" s="10"/>
      <c r="CM47" s="10">
        <v>0</v>
      </c>
      <c r="CN47" s="10"/>
      <c r="CO47" s="10"/>
      <c r="CP47" s="10"/>
      <c r="CQ47" s="10">
        <v>0</v>
      </c>
      <c r="CR47" s="10"/>
      <c r="CS47" s="10">
        <v>0</v>
      </c>
      <c r="CT47" s="10"/>
      <c r="CU47" s="10">
        <v>0</v>
      </c>
      <c r="CV47" s="10">
        <v>0</v>
      </c>
      <c r="CW47" s="10"/>
      <c r="CX47" s="10">
        <v>0</v>
      </c>
      <c r="CY47" s="10">
        <v>0</v>
      </c>
      <c r="CZ47" s="10"/>
      <c r="DA47" s="10">
        <v>0</v>
      </c>
      <c r="DB47" s="10">
        <v>0</v>
      </c>
      <c r="DC47" s="10"/>
      <c r="DD47" s="10">
        <v>0</v>
      </c>
      <c r="DE47" s="10">
        <v>0</v>
      </c>
      <c r="DF47" s="10">
        <v>0</v>
      </c>
      <c r="DG47" s="10"/>
      <c r="DH47" s="10">
        <v>0</v>
      </c>
      <c r="DI47" s="10">
        <v>0</v>
      </c>
    </row>
    <row r="48" spans="1:113" x14ac:dyDescent="0.35">
      <c r="A48" s="8">
        <v>46142</v>
      </c>
      <c r="B48" s="9">
        <v>2661019240.1428399</v>
      </c>
      <c r="C48" s="10">
        <v>860059551.16562998</v>
      </c>
      <c r="D48" s="10">
        <v>224249349.20021001</v>
      </c>
      <c r="E48" s="10">
        <v>301732988.15329999</v>
      </c>
      <c r="F48" s="10">
        <v>302581864.48430002</v>
      </c>
      <c r="G48" s="10">
        <v>375925014.18510002</v>
      </c>
      <c r="H48" s="10">
        <v>55782571.318870001</v>
      </c>
      <c r="I48" s="10">
        <v>34453360.235529996</v>
      </c>
      <c r="J48" s="10">
        <v>76210780.349059999</v>
      </c>
      <c r="K48" s="10">
        <v>73388061.518700004</v>
      </c>
      <c r="L48" s="10">
        <v>23657419.757309999</v>
      </c>
      <c r="M48" s="10">
        <v>47120632.958839998</v>
      </c>
      <c r="N48" s="10">
        <v>18570613.236586999</v>
      </c>
      <c r="O48" s="10">
        <v>3981764.3498800001</v>
      </c>
      <c r="P48" s="10"/>
      <c r="Q48" s="10">
        <v>34656728.716619998</v>
      </c>
      <c r="R48" s="10">
        <v>8857638.3431199994</v>
      </c>
      <c r="S48" s="10">
        <v>0</v>
      </c>
      <c r="T48" s="10">
        <v>8148424.5993649997</v>
      </c>
      <c r="U48" s="10">
        <v>28028096.490910001</v>
      </c>
      <c r="V48" s="10">
        <v>3064403.5972799999</v>
      </c>
      <c r="W48" s="10">
        <v>6349146.9457099997</v>
      </c>
      <c r="X48" s="10">
        <v>5146846.89365</v>
      </c>
      <c r="Y48" s="10">
        <v>5769347.2247700002</v>
      </c>
      <c r="Z48" s="10">
        <v>11659244.88992</v>
      </c>
      <c r="AA48" s="10">
        <v>3441523.0867599999</v>
      </c>
      <c r="AB48" s="10">
        <v>3912380.00104</v>
      </c>
      <c r="AC48" s="10">
        <v>21988661.80257</v>
      </c>
      <c r="AD48" s="10">
        <v>0</v>
      </c>
      <c r="AE48" s="10">
        <v>5894232.8738299999</v>
      </c>
      <c r="AF48" s="10">
        <v>12954406.34529</v>
      </c>
      <c r="AG48" s="10">
        <v>24793754.9146</v>
      </c>
      <c r="AH48" s="10">
        <v>18326122.20059</v>
      </c>
      <c r="AI48" s="10">
        <v>28597482.24267</v>
      </c>
      <c r="AJ48" s="10">
        <v>0</v>
      </c>
      <c r="AK48" s="10">
        <v>4784032.600931</v>
      </c>
      <c r="AL48" s="10">
        <v>3051054.5156999999</v>
      </c>
      <c r="AM48" s="10">
        <v>1495429.7462299999</v>
      </c>
      <c r="AN48" s="10">
        <v>5204069.7617199998</v>
      </c>
      <c r="AO48" s="10">
        <v>1427717.9129900001</v>
      </c>
      <c r="AP48" s="10"/>
      <c r="AQ48" s="10">
        <v>861325.23882199998</v>
      </c>
      <c r="AR48" s="10">
        <v>1091531.0786900001</v>
      </c>
      <c r="AS48" s="10">
        <v>671922.41380500002</v>
      </c>
      <c r="AT48" s="10">
        <v>0</v>
      </c>
      <c r="AU48" s="10">
        <v>0</v>
      </c>
      <c r="AV48" s="10"/>
      <c r="AW48" s="10">
        <v>0</v>
      </c>
      <c r="AX48" s="10">
        <v>1771696.9683999999</v>
      </c>
      <c r="AY48" s="10">
        <v>3692675.4869499998</v>
      </c>
      <c r="AZ48" s="10"/>
      <c r="BA48" s="10">
        <v>6768.2335000000003</v>
      </c>
      <c r="BB48" s="10">
        <v>1113539.0485799999</v>
      </c>
      <c r="BC48" s="10">
        <v>75907.493860000002</v>
      </c>
      <c r="BD48" s="10">
        <v>750614.48039000004</v>
      </c>
      <c r="BE48" s="10">
        <v>916324.92893699999</v>
      </c>
      <c r="BF48" s="10">
        <v>877010.84473000001</v>
      </c>
      <c r="BG48" s="10">
        <v>223609.2543</v>
      </c>
      <c r="BH48" s="10"/>
      <c r="BI48" s="10">
        <v>0</v>
      </c>
      <c r="BJ48" s="10">
        <v>211336.80239</v>
      </c>
      <c r="BK48" s="10">
        <v>28458.555</v>
      </c>
      <c r="BL48" s="10">
        <v>724912.81139000005</v>
      </c>
      <c r="BM48" s="10">
        <v>101084.47688</v>
      </c>
      <c r="BN48" s="10">
        <v>1013790.99162</v>
      </c>
      <c r="BO48" s="10">
        <v>92482.917279999994</v>
      </c>
      <c r="BP48" s="10">
        <v>191119.17092999999</v>
      </c>
      <c r="BQ48" s="10">
        <v>16003.636109999999</v>
      </c>
      <c r="BR48" s="10">
        <v>87751.176349999994</v>
      </c>
      <c r="BS48" s="10">
        <v>194711.678862</v>
      </c>
      <c r="BT48" s="10"/>
      <c r="BU48" s="10">
        <v>80667.783779999998</v>
      </c>
      <c r="BV48" s="10">
        <v>239859.87898000001</v>
      </c>
      <c r="BW48" s="10"/>
      <c r="BX48" s="10">
        <v>375097.61751900002</v>
      </c>
      <c r="BY48" s="10">
        <v>0</v>
      </c>
      <c r="BZ48" s="10"/>
      <c r="CA48" s="10">
        <v>55053.707621000001</v>
      </c>
      <c r="CB48" s="10">
        <v>8111.5324799999999</v>
      </c>
      <c r="CC48" s="10">
        <v>9813.8713399999997</v>
      </c>
      <c r="CD48" s="10">
        <v>8897.9232599999996</v>
      </c>
      <c r="CE48" s="10"/>
      <c r="CF48" s="10">
        <v>3271.9838599999998</v>
      </c>
      <c r="CG48" s="10"/>
      <c r="CH48" s="10">
        <v>14378.3364</v>
      </c>
      <c r="CI48" s="10"/>
      <c r="CJ48" s="10">
        <v>244793.200243</v>
      </c>
      <c r="CK48" s="10">
        <v>0</v>
      </c>
      <c r="CL48" s="10"/>
      <c r="CM48" s="10">
        <v>0</v>
      </c>
      <c r="CN48" s="10"/>
      <c r="CO48" s="10"/>
      <c r="CP48" s="10"/>
      <c r="CQ48" s="10">
        <v>0</v>
      </c>
      <c r="CR48" s="10"/>
      <c r="CS48" s="10">
        <v>0</v>
      </c>
      <c r="CT48" s="10"/>
      <c r="CU48" s="10">
        <v>0</v>
      </c>
      <c r="CV48" s="10">
        <v>0</v>
      </c>
      <c r="CW48" s="10"/>
      <c r="CX48" s="10">
        <v>0</v>
      </c>
      <c r="CY48" s="10">
        <v>0</v>
      </c>
      <c r="CZ48" s="10"/>
      <c r="DA48" s="10">
        <v>0</v>
      </c>
      <c r="DB48" s="10">
        <v>0</v>
      </c>
      <c r="DC48" s="10"/>
      <c r="DD48" s="10">
        <v>0</v>
      </c>
      <c r="DE48" s="10">
        <v>0</v>
      </c>
      <c r="DF48" s="10">
        <v>0</v>
      </c>
      <c r="DG48" s="10"/>
      <c r="DH48" s="10">
        <v>0</v>
      </c>
      <c r="DI48" s="10">
        <v>0</v>
      </c>
    </row>
    <row r="49" spans="1:113" x14ac:dyDescent="0.35">
      <c r="A49" s="8">
        <v>46141</v>
      </c>
      <c r="B49" s="9">
        <v>2733679151.0243702</v>
      </c>
      <c r="C49" s="10">
        <v>831953778.79888999</v>
      </c>
      <c r="D49" s="10">
        <v>286657228.91921002</v>
      </c>
      <c r="E49" s="10">
        <v>298857329.74919897</v>
      </c>
      <c r="F49" s="10">
        <v>356164422.37589997</v>
      </c>
      <c r="G49" s="10">
        <v>364587989.57819998</v>
      </c>
      <c r="H49" s="10">
        <v>65082831.325139999</v>
      </c>
      <c r="I49" s="10">
        <v>24851531.75474</v>
      </c>
      <c r="J49" s="10">
        <v>43126409.055300102</v>
      </c>
      <c r="K49" s="10">
        <v>57709657.7535</v>
      </c>
      <c r="L49" s="10">
        <v>30859832.648669999</v>
      </c>
      <c r="M49" s="10">
        <v>71718505.717100099</v>
      </c>
      <c r="N49" s="10">
        <v>29782828.609538998</v>
      </c>
      <c r="O49" s="10">
        <v>5383002.9477260001</v>
      </c>
      <c r="P49" s="10"/>
      <c r="Q49" s="10">
        <v>41522284.531819999</v>
      </c>
      <c r="R49" s="10">
        <v>6278328.8289200002</v>
      </c>
      <c r="S49" s="10">
        <v>0</v>
      </c>
      <c r="T49" s="10">
        <v>22840401.893132001</v>
      </c>
      <c r="U49" s="10">
        <v>12652607.45923</v>
      </c>
      <c r="V49" s="10">
        <v>3064194.19545</v>
      </c>
      <c r="W49" s="10">
        <v>9060979.7698999997</v>
      </c>
      <c r="X49" s="10">
        <v>7116762.7684000004</v>
      </c>
      <c r="Y49" s="10">
        <v>6648406.2633699998</v>
      </c>
      <c r="Z49" s="10">
        <v>9958714.2883899994</v>
      </c>
      <c r="AA49" s="10">
        <v>6284422.06709</v>
      </c>
      <c r="AB49" s="10">
        <v>5817949.7324000001</v>
      </c>
      <c r="AC49" s="10">
        <v>43117520.774859898</v>
      </c>
      <c r="AD49" s="10">
        <v>0</v>
      </c>
      <c r="AE49" s="10">
        <v>5008527.0522299996</v>
      </c>
      <c r="AF49" s="10">
        <v>27334141.551350001</v>
      </c>
      <c r="AG49" s="10">
        <v>5864454.1780000003</v>
      </c>
      <c r="AH49" s="10">
        <v>21757786.348129999</v>
      </c>
      <c r="AI49" s="10">
        <v>3570073.4422399998</v>
      </c>
      <c r="AJ49" s="10">
        <v>0</v>
      </c>
      <c r="AK49" s="10">
        <v>6646180.0848110002</v>
      </c>
      <c r="AL49" s="10">
        <v>4285183.9809999997</v>
      </c>
      <c r="AM49" s="10">
        <v>2252659.9098700001</v>
      </c>
      <c r="AN49" s="10">
        <v>3040809.085</v>
      </c>
      <c r="AO49" s="10">
        <v>1098999.94487</v>
      </c>
      <c r="AP49" s="10"/>
      <c r="AQ49" s="10">
        <v>762086.00182999996</v>
      </c>
      <c r="AR49" s="10">
        <v>2284701.24058</v>
      </c>
      <c r="AS49" s="10">
        <v>392959.13614800002</v>
      </c>
      <c r="AT49" s="10">
        <v>0</v>
      </c>
      <c r="AU49" s="10">
        <v>0</v>
      </c>
      <c r="AV49" s="10"/>
      <c r="AW49" s="10">
        <v>0</v>
      </c>
      <c r="AX49" s="10">
        <v>613529.91584000003</v>
      </c>
      <c r="AY49" s="10">
        <v>1502317.0234999999</v>
      </c>
      <c r="AZ49" s="10"/>
      <c r="BA49" s="10">
        <v>1818.9544000000001</v>
      </c>
      <c r="BB49" s="10">
        <v>726384.97615</v>
      </c>
      <c r="BC49" s="10">
        <v>133090.10831000001</v>
      </c>
      <c r="BD49" s="10">
        <v>274159.80050000001</v>
      </c>
      <c r="BE49" s="10">
        <v>442998.96145300003</v>
      </c>
      <c r="BF49" s="10">
        <v>518481.95246</v>
      </c>
      <c r="BG49" s="10">
        <v>1133877.6424799999</v>
      </c>
      <c r="BH49" s="10"/>
      <c r="BI49" s="10">
        <v>0</v>
      </c>
      <c r="BJ49" s="10">
        <v>189498.74358000001</v>
      </c>
      <c r="BK49" s="10">
        <v>39006.715300000003</v>
      </c>
      <c r="BL49" s="10">
        <v>126681.16160000001</v>
      </c>
      <c r="BM49" s="10">
        <v>236345.65426000001</v>
      </c>
      <c r="BN49" s="10">
        <v>1145891.6494400001</v>
      </c>
      <c r="BO49" s="10">
        <v>46052.26554</v>
      </c>
      <c r="BP49" s="10">
        <v>60769.887329999998</v>
      </c>
      <c r="BQ49" s="10">
        <v>35174.478300000002</v>
      </c>
      <c r="BR49" s="10">
        <v>122897.55899999999</v>
      </c>
      <c r="BS49" s="10">
        <v>54944.455528999999</v>
      </c>
      <c r="BT49" s="10"/>
      <c r="BU49" s="10">
        <v>10791.752539999999</v>
      </c>
      <c r="BV49" s="10">
        <v>39749.686229999999</v>
      </c>
      <c r="BW49" s="10"/>
      <c r="BX49" s="10">
        <v>667368.42874</v>
      </c>
      <c r="BY49" s="10">
        <v>0</v>
      </c>
      <c r="BZ49" s="10"/>
      <c r="CA49" s="10">
        <v>45320.546224999998</v>
      </c>
      <c r="CB49" s="10">
        <v>31262.57404</v>
      </c>
      <c r="CC49" s="10">
        <v>61083.049330000002</v>
      </c>
      <c r="CD49" s="10">
        <v>13103.14927</v>
      </c>
      <c r="CE49" s="10"/>
      <c r="CF49" s="10">
        <v>1901.7700600000001</v>
      </c>
      <c r="CG49" s="10"/>
      <c r="CH49" s="10">
        <v>1780.4574</v>
      </c>
      <c r="CI49" s="10"/>
      <c r="CJ49" s="10">
        <v>6383.9434279999996</v>
      </c>
      <c r="CK49" s="10">
        <v>0</v>
      </c>
      <c r="CL49" s="10"/>
      <c r="CM49" s="10">
        <v>0</v>
      </c>
      <c r="CN49" s="10"/>
      <c r="CO49" s="10"/>
      <c r="CP49" s="10"/>
      <c r="CQ49" s="10">
        <v>0</v>
      </c>
      <c r="CR49" s="10"/>
      <c r="CS49" s="10">
        <v>0</v>
      </c>
      <c r="CT49" s="10"/>
      <c r="CU49" s="10">
        <v>0</v>
      </c>
      <c r="CV49" s="10">
        <v>0</v>
      </c>
      <c r="CW49" s="10"/>
      <c r="CX49" s="10">
        <v>0</v>
      </c>
      <c r="CY49" s="10">
        <v>0</v>
      </c>
      <c r="CZ49" s="10"/>
      <c r="DA49" s="10">
        <v>0</v>
      </c>
      <c r="DB49" s="10">
        <v>0</v>
      </c>
      <c r="DC49" s="10"/>
      <c r="DD49" s="10">
        <v>0</v>
      </c>
      <c r="DE49" s="10">
        <v>0</v>
      </c>
      <c r="DF49" s="10">
        <v>0</v>
      </c>
      <c r="DG49" s="10"/>
      <c r="DH49" s="10">
        <v>0</v>
      </c>
      <c r="DI49" s="10"/>
    </row>
    <row r="50" spans="1:113" x14ac:dyDescent="0.35">
      <c r="A50" s="8">
        <v>46140</v>
      </c>
      <c r="B50" s="9">
        <v>2264405737.0036001</v>
      </c>
      <c r="C50" s="10">
        <v>712812958.27018905</v>
      </c>
      <c r="D50" s="10">
        <v>393476887.79263997</v>
      </c>
      <c r="E50" s="10">
        <v>225559521.49309999</v>
      </c>
      <c r="F50" s="10">
        <v>291184407.74589998</v>
      </c>
      <c r="G50" s="10">
        <v>195729841.01210001</v>
      </c>
      <c r="H50" s="10">
        <v>70692826.216000006</v>
      </c>
      <c r="I50" s="10">
        <v>21243765.80387</v>
      </c>
      <c r="J50" s="10">
        <v>72690213.759719998</v>
      </c>
      <c r="K50" s="10">
        <v>37059347.261019997</v>
      </c>
      <c r="L50" s="10">
        <v>23050674.56095</v>
      </c>
      <c r="M50" s="10">
        <v>15814847.73927</v>
      </c>
      <c r="N50" s="10">
        <v>17755940.292305</v>
      </c>
      <c r="O50" s="10">
        <v>29269791.543446999</v>
      </c>
      <c r="P50" s="10"/>
      <c r="Q50" s="10">
        <v>10327263.9541</v>
      </c>
      <c r="R50" s="10">
        <v>6162627.5515999999</v>
      </c>
      <c r="S50" s="10">
        <v>0</v>
      </c>
      <c r="T50" s="10">
        <v>17849143.408654001</v>
      </c>
      <c r="U50" s="10">
        <v>8869059.1950100102</v>
      </c>
      <c r="V50" s="10">
        <v>2836742.1397799999</v>
      </c>
      <c r="W50" s="10">
        <v>6448750.61087</v>
      </c>
      <c r="X50" s="10">
        <v>6663508.1426100004</v>
      </c>
      <c r="Y50" s="10">
        <v>5925801.7888399996</v>
      </c>
      <c r="Z50" s="10">
        <v>5910971.0000200002</v>
      </c>
      <c r="AA50" s="10">
        <v>7810136.1914600004</v>
      </c>
      <c r="AB50" s="10">
        <v>12067840.149</v>
      </c>
      <c r="AC50" s="10">
        <v>7282072.9620200004</v>
      </c>
      <c r="AD50" s="10">
        <v>0</v>
      </c>
      <c r="AE50" s="10">
        <v>5099011.0965999998</v>
      </c>
      <c r="AF50" s="10">
        <v>5469249.0660300003</v>
      </c>
      <c r="AG50" s="10">
        <v>5953907.7298999997</v>
      </c>
      <c r="AH50" s="10">
        <v>4854882.1712800004</v>
      </c>
      <c r="AI50" s="10">
        <v>5596958.4318500003</v>
      </c>
      <c r="AJ50" s="10">
        <v>0</v>
      </c>
      <c r="AK50" s="10">
        <v>8783607.2135499995</v>
      </c>
      <c r="AL50" s="10">
        <v>3421789.5211</v>
      </c>
      <c r="AM50" s="10">
        <v>1542106.48768</v>
      </c>
      <c r="AN50" s="10">
        <v>6420845.7703299997</v>
      </c>
      <c r="AO50" s="10">
        <v>1912594.4974400001</v>
      </c>
      <c r="AP50" s="10"/>
      <c r="AQ50" s="10">
        <v>1422978.658752</v>
      </c>
      <c r="AR50" s="10">
        <v>2533004.91231</v>
      </c>
      <c r="AS50" s="10">
        <v>188082.752744</v>
      </c>
      <c r="AT50" s="10">
        <v>0</v>
      </c>
      <c r="AU50" s="10">
        <v>0</v>
      </c>
      <c r="AV50" s="10"/>
      <c r="AW50" s="10">
        <v>0</v>
      </c>
      <c r="AX50" s="10">
        <v>418400.26744999998</v>
      </c>
      <c r="AY50" s="10">
        <v>1526152.0152499999</v>
      </c>
      <c r="AZ50" s="10"/>
      <c r="BA50" s="10">
        <v>16802.768</v>
      </c>
      <c r="BB50" s="10">
        <v>1527628.5001000001</v>
      </c>
      <c r="BC50" s="10">
        <v>145215.77035000001</v>
      </c>
      <c r="BD50" s="10">
        <v>291016.04027100001</v>
      </c>
      <c r="BE50" s="10">
        <v>438651.33932000003</v>
      </c>
      <c r="BF50" s="10">
        <v>292845.65138</v>
      </c>
      <c r="BG50" s="10">
        <v>325219.50319999998</v>
      </c>
      <c r="BH50" s="10"/>
      <c r="BI50" s="10">
        <v>0</v>
      </c>
      <c r="BJ50" s="10">
        <v>240190.35941</v>
      </c>
      <c r="BK50" s="10">
        <v>62014.994299999998</v>
      </c>
      <c r="BL50" s="10">
        <v>229350.51790000001</v>
      </c>
      <c r="BM50" s="10">
        <v>198139.51605999999</v>
      </c>
      <c r="BN50" s="10">
        <v>177590.89662000001</v>
      </c>
      <c r="BO50" s="10">
        <v>134873.28008</v>
      </c>
      <c r="BP50" s="10">
        <v>178283.04440000001</v>
      </c>
      <c r="BQ50" s="10">
        <v>12228.777400000001</v>
      </c>
      <c r="BR50" s="10">
        <v>8582.7873600000003</v>
      </c>
      <c r="BS50" s="10">
        <v>207825.16934200001</v>
      </c>
      <c r="BT50" s="10"/>
      <c r="BU50" s="10">
        <v>7211.4081999999999</v>
      </c>
      <c r="BV50" s="10">
        <v>64358.620029999998</v>
      </c>
      <c r="BW50" s="10"/>
      <c r="BX50" s="10">
        <v>60998.847500000003</v>
      </c>
      <c r="BY50" s="10">
        <v>0</v>
      </c>
      <c r="BZ50" s="10"/>
      <c r="CA50" s="10">
        <v>79606.118896</v>
      </c>
      <c r="CB50" s="10">
        <v>9488.1769299999996</v>
      </c>
      <c r="CC50" s="10">
        <v>20469.859799999998</v>
      </c>
      <c r="CD50" s="10">
        <v>8754.0911199999991</v>
      </c>
      <c r="CE50" s="10"/>
      <c r="CF50" s="10">
        <v>3062.8163100000002</v>
      </c>
      <c r="CG50" s="10"/>
      <c r="CH50" s="10">
        <v>2463.8602000000001</v>
      </c>
      <c r="CI50" s="10"/>
      <c r="CJ50" s="10">
        <v>24353.112376000001</v>
      </c>
      <c r="CK50" s="10">
        <v>0</v>
      </c>
      <c r="CL50" s="10"/>
      <c r="CM50" s="10">
        <v>0</v>
      </c>
      <c r="CN50" s="10"/>
      <c r="CO50" s="10"/>
      <c r="CP50" s="10"/>
      <c r="CQ50" s="10">
        <v>0</v>
      </c>
      <c r="CR50" s="10"/>
      <c r="CS50" s="10">
        <v>0</v>
      </c>
      <c r="CT50" s="10"/>
      <c r="CU50" s="10">
        <v>0</v>
      </c>
      <c r="CV50" s="10">
        <v>0</v>
      </c>
      <c r="CW50" s="10"/>
      <c r="CX50" s="10">
        <v>0</v>
      </c>
      <c r="CY50" s="10">
        <v>0</v>
      </c>
      <c r="CZ50" s="10"/>
      <c r="DA50" s="10">
        <v>0</v>
      </c>
      <c r="DB50" s="10">
        <v>0</v>
      </c>
      <c r="DC50" s="10"/>
      <c r="DD50" s="10">
        <v>0</v>
      </c>
      <c r="DE50" s="10">
        <v>0</v>
      </c>
      <c r="DF50" s="10">
        <v>0</v>
      </c>
      <c r="DG50" s="10"/>
      <c r="DH50" s="10">
        <v>0</v>
      </c>
      <c r="DI50" s="10"/>
    </row>
    <row r="51" spans="1:113" x14ac:dyDescent="0.35">
      <c r="A51" s="8">
        <v>46139</v>
      </c>
      <c r="B51" s="9">
        <v>1552820878.5857301</v>
      </c>
      <c r="C51" s="10">
        <v>417505982.37575197</v>
      </c>
      <c r="D51" s="10">
        <v>185968765.960783</v>
      </c>
      <c r="E51" s="10">
        <v>195009193.7324</v>
      </c>
      <c r="F51" s="10">
        <v>129465400.1032</v>
      </c>
      <c r="G51" s="10">
        <v>221057882.76750001</v>
      </c>
      <c r="H51" s="10">
        <v>31553978.479389999</v>
      </c>
      <c r="I51" s="10">
        <v>22621333.059319999</v>
      </c>
      <c r="J51" s="10">
        <v>47593792.774070002</v>
      </c>
      <c r="K51" s="10">
        <v>29179875.369369999</v>
      </c>
      <c r="L51" s="10">
        <v>23520812.623410001</v>
      </c>
      <c r="M51" s="10">
        <v>32193213.159299999</v>
      </c>
      <c r="N51" s="10">
        <v>21440399.997880999</v>
      </c>
      <c r="O51" s="10">
        <v>4875061.0289989999</v>
      </c>
      <c r="P51" s="10"/>
      <c r="Q51" s="10">
        <v>13288776.45793</v>
      </c>
      <c r="R51" s="10">
        <v>8567947.7275499906</v>
      </c>
      <c r="S51" s="10">
        <v>0</v>
      </c>
      <c r="T51" s="10">
        <v>11707015.328229999</v>
      </c>
      <c r="U51" s="10">
        <v>13277131.284150001</v>
      </c>
      <c r="V51" s="10">
        <v>2526842.7699899999</v>
      </c>
      <c r="W51" s="10">
        <v>8401122.3816</v>
      </c>
      <c r="X51" s="10">
        <v>4354050.7232900001</v>
      </c>
      <c r="Y51" s="10">
        <v>10060142.824200001</v>
      </c>
      <c r="Z51" s="10">
        <v>13572617.87452</v>
      </c>
      <c r="AA51" s="10">
        <v>7660230.2061200002</v>
      </c>
      <c r="AB51" s="10">
        <v>9572447.2064300105</v>
      </c>
      <c r="AC51" s="10">
        <v>13392971.654130001</v>
      </c>
      <c r="AD51" s="10">
        <v>0</v>
      </c>
      <c r="AE51" s="10">
        <v>3506797.5621500001</v>
      </c>
      <c r="AF51" s="10">
        <v>8155746.3645099998</v>
      </c>
      <c r="AG51" s="10">
        <v>3181094.3377999999</v>
      </c>
      <c r="AH51" s="10">
        <v>5261171.2448199997</v>
      </c>
      <c r="AI51" s="10">
        <v>4920155.0106800003</v>
      </c>
      <c r="AJ51" s="10">
        <v>0</v>
      </c>
      <c r="AK51" s="10">
        <v>1570581.34785</v>
      </c>
      <c r="AL51" s="10">
        <v>4070195.0432000002</v>
      </c>
      <c r="AM51" s="10">
        <v>922926.06597</v>
      </c>
      <c r="AN51" s="10">
        <v>24408644.790739998</v>
      </c>
      <c r="AO51" s="10">
        <v>1944264.1578299999</v>
      </c>
      <c r="AP51" s="10"/>
      <c r="AQ51" s="10">
        <v>1123110.5731800001</v>
      </c>
      <c r="AR51" s="10">
        <v>4629801.9252899997</v>
      </c>
      <c r="AS51" s="10">
        <v>23136.39414</v>
      </c>
      <c r="AT51" s="10">
        <v>0</v>
      </c>
      <c r="AU51" s="10">
        <v>0</v>
      </c>
      <c r="AV51" s="10"/>
      <c r="AW51" s="10">
        <v>0</v>
      </c>
      <c r="AX51" s="10">
        <v>1304847.91692</v>
      </c>
      <c r="AY51" s="10">
        <v>3007628.8305000002</v>
      </c>
      <c r="AZ51" s="10"/>
      <c r="BA51" s="10">
        <v>43522.814200000001</v>
      </c>
      <c r="BB51" s="10">
        <v>2320145.5909000002</v>
      </c>
      <c r="BC51" s="10">
        <v>216916.78044</v>
      </c>
      <c r="BD51" s="10">
        <v>409497.39524899999</v>
      </c>
      <c r="BE51" s="10">
        <v>209313.09192499999</v>
      </c>
      <c r="BF51" s="10">
        <v>312844.07332999998</v>
      </c>
      <c r="BG51" s="10">
        <v>249485.12590000001</v>
      </c>
      <c r="BH51" s="10"/>
      <c r="BI51" s="10">
        <v>0</v>
      </c>
      <c r="BJ51" s="10">
        <v>451100.99085</v>
      </c>
      <c r="BK51" s="10">
        <v>29835.295999999998</v>
      </c>
      <c r="BL51" s="10">
        <v>54870.427600000003</v>
      </c>
      <c r="BM51" s="10">
        <v>147367.54514999999</v>
      </c>
      <c r="BN51" s="10">
        <v>30070.475760000001</v>
      </c>
      <c r="BO51" s="10">
        <v>56105.285620000002</v>
      </c>
      <c r="BP51" s="10">
        <v>259112.09098000001</v>
      </c>
      <c r="BQ51" s="10">
        <v>44844.83481</v>
      </c>
      <c r="BR51" s="10">
        <v>27972.625080000002</v>
      </c>
      <c r="BS51" s="10">
        <v>176477.00168300001</v>
      </c>
      <c r="BT51" s="10"/>
      <c r="BU51" s="10">
        <v>53755.597450000001</v>
      </c>
      <c r="BV51" s="10">
        <v>134769.60273000001</v>
      </c>
      <c r="BW51" s="10"/>
      <c r="BX51" s="10">
        <v>845645.56442099996</v>
      </c>
      <c r="BY51" s="10">
        <v>0</v>
      </c>
      <c r="BZ51" s="10"/>
      <c r="CA51" s="10">
        <v>112662.44886400001</v>
      </c>
      <c r="CB51" s="10">
        <v>8945.3386900000005</v>
      </c>
      <c r="CC51" s="10">
        <v>9190.1116099999999</v>
      </c>
      <c r="CD51" s="10">
        <v>211781.37903000001</v>
      </c>
      <c r="CE51" s="10"/>
      <c r="CF51" s="10">
        <v>2347.0818199999999</v>
      </c>
      <c r="CG51" s="10"/>
      <c r="CH51" s="10">
        <v>3009.7656000000002</v>
      </c>
      <c r="CI51" s="10"/>
      <c r="CJ51" s="10">
        <v>2200.8149400000002</v>
      </c>
      <c r="CK51" s="10">
        <v>0</v>
      </c>
      <c r="CL51" s="10"/>
      <c r="CM51" s="10">
        <v>0</v>
      </c>
      <c r="CN51" s="10"/>
      <c r="CO51" s="10"/>
      <c r="CP51" s="10"/>
      <c r="CQ51" s="10">
        <v>0</v>
      </c>
      <c r="CR51" s="10"/>
      <c r="CS51" s="10">
        <v>0</v>
      </c>
      <c r="CT51" s="10"/>
      <c r="CU51" s="10">
        <v>0</v>
      </c>
      <c r="CV51" s="10">
        <v>0</v>
      </c>
      <c r="CW51" s="10"/>
      <c r="CX51" s="10">
        <v>0</v>
      </c>
      <c r="CY51" s="10">
        <v>0</v>
      </c>
      <c r="CZ51" s="10"/>
      <c r="DA51" s="10">
        <v>0</v>
      </c>
      <c r="DB51" s="10">
        <v>0</v>
      </c>
      <c r="DC51" s="10"/>
      <c r="DD51" s="10">
        <v>0</v>
      </c>
      <c r="DE51" s="10">
        <v>0</v>
      </c>
      <c r="DF51" s="10">
        <v>0</v>
      </c>
      <c r="DG51" s="10"/>
      <c r="DH51" s="10">
        <v>0</v>
      </c>
      <c r="DI51" s="10"/>
    </row>
    <row r="52" spans="1:113" x14ac:dyDescent="0.35">
      <c r="A52" s="8">
        <v>46138</v>
      </c>
      <c r="B52" s="9">
        <v>512819479.97097898</v>
      </c>
      <c r="C52" s="10">
        <v>147954567.84173599</v>
      </c>
      <c r="D52" s="10">
        <v>49398224.500840001</v>
      </c>
      <c r="E52" s="10">
        <v>59089945.126900002</v>
      </c>
      <c r="F52" s="10">
        <v>52861772.756200001</v>
      </c>
      <c r="G52" s="10">
        <v>83480892.958900005</v>
      </c>
      <c r="H52" s="10">
        <v>15866510.629589999</v>
      </c>
      <c r="I52" s="10">
        <v>1107006.17292</v>
      </c>
      <c r="J52" s="10">
        <v>5380794.7112299995</v>
      </c>
      <c r="K52" s="10">
        <v>895872.82527999999</v>
      </c>
      <c r="L52" s="10">
        <v>4731517.0285200002</v>
      </c>
      <c r="M52" s="10">
        <v>3701925.4964700001</v>
      </c>
      <c r="N52" s="10">
        <v>2218623.0610560002</v>
      </c>
      <c r="O52" s="10">
        <v>5750181.5903099999</v>
      </c>
      <c r="P52" s="10"/>
      <c r="Q52" s="10">
        <v>983483.34129000001</v>
      </c>
      <c r="R52" s="10">
        <v>1460386.4157400001</v>
      </c>
      <c r="S52" s="10">
        <v>0</v>
      </c>
      <c r="T52" s="10">
        <v>2498577.7185379998</v>
      </c>
      <c r="U52" s="10">
        <v>4615322.03357</v>
      </c>
      <c r="V52" s="10">
        <v>743302.12866000005</v>
      </c>
      <c r="W52" s="10">
        <v>1506565.4447900001</v>
      </c>
      <c r="X52" s="10">
        <v>890617.65593000001</v>
      </c>
      <c r="Y52" s="10">
        <v>1471106.4398000001</v>
      </c>
      <c r="Z52" s="10">
        <v>1297150.3479200001</v>
      </c>
      <c r="AA52" s="10">
        <v>2414326.5485700001</v>
      </c>
      <c r="AB52" s="10">
        <v>340587.34245</v>
      </c>
      <c r="AC52" s="10">
        <v>2609504.6800099998</v>
      </c>
      <c r="AD52" s="10">
        <v>0</v>
      </c>
      <c r="AE52" s="10">
        <v>1999328.85941</v>
      </c>
      <c r="AF52" s="10">
        <v>1492025.9923400001</v>
      </c>
      <c r="AG52" s="10">
        <v>674592.34479999996</v>
      </c>
      <c r="AH52" s="10">
        <v>1063173.8049000001</v>
      </c>
      <c r="AI52" s="10">
        <v>802663.83609</v>
      </c>
      <c r="AJ52" s="10">
        <v>0</v>
      </c>
      <c r="AK52" s="10">
        <v>587857.58174699999</v>
      </c>
      <c r="AL52" s="10">
        <v>131016.6156</v>
      </c>
      <c r="AM52" s="10">
        <v>118949.61143</v>
      </c>
      <c r="AN52" s="10">
        <v>5853095.3755099997</v>
      </c>
      <c r="AO52" s="10">
        <v>497623.96727000002</v>
      </c>
      <c r="AP52" s="10"/>
      <c r="AQ52" s="10">
        <v>230762.57003900001</v>
      </c>
      <c r="AR52" s="10">
        <v>185959.29516000001</v>
      </c>
      <c r="AS52" s="10">
        <v>8445.3434629999992</v>
      </c>
      <c r="AT52" s="10">
        <v>0</v>
      </c>
      <c r="AU52" s="10">
        <v>0</v>
      </c>
      <c r="AV52" s="10"/>
      <c r="AW52" s="10">
        <v>0</v>
      </c>
      <c r="AX52" s="10">
        <v>2622420.3180999998</v>
      </c>
      <c r="AY52" s="10">
        <v>2476959.3715400002</v>
      </c>
      <c r="AZ52" s="10"/>
      <c r="BA52" s="10">
        <v>42805.963000000003</v>
      </c>
      <c r="BB52" s="10">
        <v>1236654.8511000001</v>
      </c>
      <c r="BC52" s="10">
        <v>2246419.9760799999</v>
      </c>
      <c r="BD52" s="10">
        <v>6387662.1279499996</v>
      </c>
      <c r="BE52" s="10">
        <v>1582306.1072539999</v>
      </c>
      <c r="BF52" s="10">
        <v>40713.376369999998</v>
      </c>
      <c r="BG52" s="10">
        <v>116402.98910000001</v>
      </c>
      <c r="BH52" s="10"/>
      <c r="BI52" s="10">
        <v>0</v>
      </c>
      <c r="BJ52" s="10">
        <v>74832.730410000004</v>
      </c>
      <c r="BK52" s="10">
        <v>57298.763299999999</v>
      </c>
      <c r="BL52" s="10">
        <v>339807.09370000003</v>
      </c>
      <c r="BM52" s="10">
        <v>7811577.8814500002</v>
      </c>
      <c r="BN52" s="10">
        <v>14450.96545</v>
      </c>
      <c r="BO52" s="10">
        <v>8447.5999699999993</v>
      </c>
      <c r="BP52" s="10">
        <v>196155.55703</v>
      </c>
      <c r="BQ52" s="10">
        <v>515.93604000000005</v>
      </c>
      <c r="BR52" s="10">
        <v>67.326809999999995</v>
      </c>
      <c r="BS52" s="10">
        <v>16991905.054818999</v>
      </c>
      <c r="BT52" s="10"/>
      <c r="BU52" s="10">
        <v>999.28189999999995</v>
      </c>
      <c r="BV52" s="10">
        <v>28976.55313</v>
      </c>
      <c r="BW52" s="10"/>
      <c r="BX52" s="10">
        <v>49.322282000000001</v>
      </c>
      <c r="BY52" s="10">
        <v>0</v>
      </c>
      <c r="BZ52" s="10"/>
      <c r="CA52" s="10">
        <v>1352269.2883270001</v>
      </c>
      <c r="CB52" s="10">
        <v>198643.35162999999</v>
      </c>
      <c r="CC52" s="10">
        <v>711.99545999999998</v>
      </c>
      <c r="CD52" s="10">
        <v>1761666.7533</v>
      </c>
      <c r="CE52" s="10"/>
      <c r="CF52" s="10">
        <v>48896.430710000001</v>
      </c>
      <c r="CG52" s="10"/>
      <c r="CH52" s="10">
        <v>907.47760000000005</v>
      </c>
      <c r="CI52" s="10"/>
      <c r="CJ52" s="10">
        <v>264695.53218799998</v>
      </c>
      <c r="CK52" s="10"/>
      <c r="CL52" s="10"/>
      <c r="CM52" s="10">
        <v>0</v>
      </c>
      <c r="CN52" s="10"/>
      <c r="CO52" s="10"/>
      <c r="CP52" s="10"/>
      <c r="CQ52" s="10">
        <v>0</v>
      </c>
      <c r="CR52" s="10"/>
      <c r="CS52" s="10">
        <v>0</v>
      </c>
      <c r="CT52" s="10"/>
      <c r="CU52" s="10">
        <v>0</v>
      </c>
      <c r="CV52" s="10">
        <v>0</v>
      </c>
      <c r="CW52" s="10"/>
      <c r="CX52" s="10">
        <v>0</v>
      </c>
      <c r="CY52" s="10">
        <v>0</v>
      </c>
      <c r="CZ52" s="10"/>
      <c r="DA52" s="10">
        <v>0</v>
      </c>
      <c r="DB52" s="10">
        <v>0</v>
      </c>
      <c r="DC52" s="10"/>
      <c r="DD52" s="10">
        <v>0</v>
      </c>
      <c r="DE52" s="10">
        <v>0</v>
      </c>
      <c r="DF52" s="10">
        <v>0</v>
      </c>
      <c r="DG52" s="10"/>
      <c r="DH52" s="10">
        <v>0</v>
      </c>
      <c r="DI52" s="10"/>
    </row>
    <row r="53" spans="1:113" x14ac:dyDescent="0.35">
      <c r="A53" s="8">
        <v>46137</v>
      </c>
      <c r="B53" s="9">
        <v>294315748.92149597</v>
      </c>
      <c r="C53" s="10">
        <v>82396576.324555993</v>
      </c>
      <c r="D53" s="10">
        <v>18706875.035429999</v>
      </c>
      <c r="E53" s="10">
        <v>31782458.6008</v>
      </c>
      <c r="F53" s="10">
        <v>75324193.551029995</v>
      </c>
      <c r="G53" s="10">
        <v>37933021.6483</v>
      </c>
      <c r="H53" s="10">
        <v>7310954.6259300001</v>
      </c>
      <c r="I53" s="10">
        <v>1025221.15764</v>
      </c>
      <c r="J53" s="10">
        <v>5541840.1223200001</v>
      </c>
      <c r="K53" s="10">
        <v>577696.11615999998</v>
      </c>
      <c r="L53" s="10">
        <v>3195743.91646</v>
      </c>
      <c r="M53" s="10">
        <v>1695109.1849400001</v>
      </c>
      <c r="N53" s="10">
        <v>1343720.131336</v>
      </c>
      <c r="O53" s="10">
        <v>351048.44224200002</v>
      </c>
      <c r="P53" s="10"/>
      <c r="Q53" s="10">
        <v>1693611.39384</v>
      </c>
      <c r="R53" s="10">
        <v>707338.79231000005</v>
      </c>
      <c r="S53" s="10">
        <v>0</v>
      </c>
      <c r="T53" s="10">
        <v>1744263.0640779999</v>
      </c>
      <c r="U53" s="10">
        <v>2070238.9428600001</v>
      </c>
      <c r="V53" s="10">
        <v>442006.36505999998</v>
      </c>
      <c r="W53" s="10">
        <v>1120034.3845800001</v>
      </c>
      <c r="X53" s="10">
        <v>713290.10028000001</v>
      </c>
      <c r="Y53" s="10">
        <v>1093460.4738400001</v>
      </c>
      <c r="Z53" s="10">
        <v>2905471.7867700001</v>
      </c>
      <c r="AA53" s="10">
        <v>589329.22641999996</v>
      </c>
      <c r="AB53" s="10">
        <v>596361.40220000001</v>
      </c>
      <c r="AC53" s="10">
        <v>1326022.74184</v>
      </c>
      <c r="AD53" s="10">
        <v>0</v>
      </c>
      <c r="AE53" s="10">
        <v>508724.93502999999</v>
      </c>
      <c r="AF53" s="10">
        <v>1026326.82582</v>
      </c>
      <c r="AG53" s="10">
        <v>184909.42300000001</v>
      </c>
      <c r="AH53" s="10">
        <v>867606.21409999998</v>
      </c>
      <c r="AI53" s="10">
        <v>1994272.9111899999</v>
      </c>
      <c r="AJ53" s="10">
        <v>0</v>
      </c>
      <c r="AK53" s="10">
        <v>570568.84970400005</v>
      </c>
      <c r="AL53" s="10">
        <v>345643.16529999999</v>
      </c>
      <c r="AM53" s="10">
        <v>74687.082580000002</v>
      </c>
      <c r="AN53" s="10">
        <v>4194944.8095199997</v>
      </c>
      <c r="AO53" s="10">
        <v>191316.02189999999</v>
      </c>
      <c r="AP53" s="10"/>
      <c r="AQ53" s="10">
        <v>305318.599835</v>
      </c>
      <c r="AR53" s="10">
        <v>279086.51107000001</v>
      </c>
      <c r="AS53" s="10">
        <v>31896.050974999998</v>
      </c>
      <c r="AT53" s="10">
        <v>0</v>
      </c>
      <c r="AU53" s="10">
        <v>0</v>
      </c>
      <c r="AV53" s="10"/>
      <c r="AW53" s="10">
        <v>0</v>
      </c>
      <c r="AX53" s="10">
        <v>80790.887589999998</v>
      </c>
      <c r="AY53" s="10">
        <v>25527.447169999999</v>
      </c>
      <c r="AZ53" s="10"/>
      <c r="BA53" s="10">
        <v>92.808700000000002</v>
      </c>
      <c r="BB53" s="10">
        <v>571722.66217999998</v>
      </c>
      <c r="BC53" s="10">
        <v>187046.75039</v>
      </c>
      <c r="BD53" s="10">
        <v>31212.007786999999</v>
      </c>
      <c r="BE53" s="10">
        <v>34552.590281999997</v>
      </c>
      <c r="BF53" s="10">
        <v>125736.61697</v>
      </c>
      <c r="BG53" s="10">
        <v>50436.912900000003</v>
      </c>
      <c r="BH53" s="10"/>
      <c r="BI53" s="10">
        <v>0</v>
      </c>
      <c r="BJ53" s="10">
        <v>43294.40004</v>
      </c>
      <c r="BK53" s="10">
        <v>41094.123699999996</v>
      </c>
      <c r="BL53" s="10">
        <v>18391.567299999999</v>
      </c>
      <c r="BM53" s="10">
        <v>9703.2152999999998</v>
      </c>
      <c r="BN53" s="10">
        <v>4643.07791</v>
      </c>
      <c r="BO53" s="10">
        <v>5327.8301600000004</v>
      </c>
      <c r="BP53" s="10">
        <v>112350.30185</v>
      </c>
      <c r="BQ53" s="10">
        <v>1969.8093899999999</v>
      </c>
      <c r="BR53" s="10">
        <v>3860.46758</v>
      </c>
      <c r="BS53" s="10">
        <v>1386.5768800000001</v>
      </c>
      <c r="BT53" s="10"/>
      <c r="BU53" s="10">
        <v>571.54697999999996</v>
      </c>
      <c r="BV53" s="10">
        <v>2034.67768</v>
      </c>
      <c r="BW53" s="10"/>
      <c r="BX53" s="10">
        <v>103.02279299999999</v>
      </c>
      <c r="BY53" s="10">
        <v>0</v>
      </c>
      <c r="BZ53" s="10"/>
      <c r="CA53" s="10">
        <v>98947.706724000003</v>
      </c>
      <c r="CB53" s="10">
        <v>26344.888900000002</v>
      </c>
      <c r="CC53" s="10">
        <v>401.80569000000003</v>
      </c>
      <c r="CD53" s="10">
        <v>56032.314140000002</v>
      </c>
      <c r="CE53" s="10"/>
      <c r="CF53" s="10">
        <v>120.62260000000001</v>
      </c>
      <c r="CG53" s="10"/>
      <c r="CH53" s="10">
        <v>140.47900000000001</v>
      </c>
      <c r="CI53" s="10"/>
      <c r="CJ53" s="10">
        <v>20722.871663999998</v>
      </c>
      <c r="CK53" s="10"/>
      <c r="CL53" s="10"/>
      <c r="CM53" s="10">
        <v>0</v>
      </c>
      <c r="CN53" s="10"/>
      <c r="CO53" s="10"/>
      <c r="CP53" s="10"/>
      <c r="CQ53" s="10">
        <v>0</v>
      </c>
      <c r="CR53" s="10"/>
      <c r="CS53" s="10">
        <v>0</v>
      </c>
      <c r="CT53" s="10"/>
      <c r="CU53" s="10">
        <v>0</v>
      </c>
      <c r="CV53" s="10">
        <v>0</v>
      </c>
      <c r="CW53" s="10"/>
      <c r="CX53" s="10">
        <v>0</v>
      </c>
      <c r="CY53" s="10">
        <v>0</v>
      </c>
      <c r="CZ53" s="10"/>
      <c r="DA53" s="10">
        <v>0</v>
      </c>
      <c r="DB53" s="10">
        <v>0</v>
      </c>
      <c r="DC53" s="10"/>
      <c r="DD53" s="10">
        <v>0</v>
      </c>
      <c r="DE53" s="10">
        <v>0</v>
      </c>
      <c r="DF53" s="10">
        <v>0</v>
      </c>
      <c r="DG53" s="10"/>
      <c r="DH53" s="10">
        <v>0</v>
      </c>
      <c r="DI53" s="10"/>
    </row>
    <row r="54" spans="1:113" x14ac:dyDescent="0.35">
      <c r="A54" s="8">
        <v>46136</v>
      </c>
      <c r="B54" s="9">
        <v>2061466597.0503299</v>
      </c>
      <c r="C54" s="10">
        <v>666741873.62063897</v>
      </c>
      <c r="D54" s="10">
        <v>252779455.25698</v>
      </c>
      <c r="E54" s="10">
        <v>250401343.29229999</v>
      </c>
      <c r="F54" s="10">
        <v>332914099.88985002</v>
      </c>
      <c r="G54" s="10">
        <v>234884288.76289999</v>
      </c>
      <c r="H54" s="10">
        <v>29584834.674260002</v>
      </c>
      <c r="I54" s="10">
        <v>15490109.972039999</v>
      </c>
      <c r="J54" s="10">
        <v>26145137.230470002</v>
      </c>
      <c r="K54" s="10">
        <v>22947005.980099998</v>
      </c>
      <c r="L54" s="10">
        <v>18929661.365339998</v>
      </c>
      <c r="M54" s="10">
        <v>49210443.086060002</v>
      </c>
      <c r="N54" s="10">
        <v>15140143.533066001</v>
      </c>
      <c r="O54" s="10">
        <v>5528853.0990869999</v>
      </c>
      <c r="P54" s="10"/>
      <c r="Q54" s="10">
        <v>11253880.735610001</v>
      </c>
      <c r="R54" s="10">
        <v>7889175.2719700001</v>
      </c>
      <c r="S54" s="10">
        <v>0</v>
      </c>
      <c r="T54" s="10">
        <v>8404341.5630399995</v>
      </c>
      <c r="U54" s="10">
        <v>7875690.3271599999</v>
      </c>
      <c r="V54" s="10">
        <v>1094839.0633100001</v>
      </c>
      <c r="W54" s="10">
        <v>7086645.1266700001</v>
      </c>
      <c r="X54" s="10">
        <v>6756903.5866299998</v>
      </c>
      <c r="Y54" s="10">
        <v>5528671.2718099998</v>
      </c>
      <c r="Z54" s="10">
        <v>11848424.228049999</v>
      </c>
      <c r="AA54" s="10">
        <v>11438143.768379999</v>
      </c>
      <c r="AB54" s="10">
        <v>6216824.9716400001</v>
      </c>
      <c r="AC54" s="10">
        <v>5486318.4278899999</v>
      </c>
      <c r="AD54" s="10">
        <v>0</v>
      </c>
      <c r="AE54" s="10">
        <v>4963393.4652100001</v>
      </c>
      <c r="AF54" s="10">
        <v>4921559.98704</v>
      </c>
      <c r="AG54" s="10">
        <v>2139238.0208000001</v>
      </c>
      <c r="AH54" s="10">
        <v>2674307.1304600001</v>
      </c>
      <c r="AI54" s="10">
        <v>3141308.7631899999</v>
      </c>
      <c r="AJ54" s="10">
        <v>0</v>
      </c>
      <c r="AK54" s="10">
        <v>1492484.082496</v>
      </c>
      <c r="AL54" s="10">
        <v>3505503.9421999999</v>
      </c>
      <c r="AM54" s="10">
        <v>589013.81949000002</v>
      </c>
      <c r="AN54" s="10">
        <v>4135934.31421</v>
      </c>
      <c r="AO54" s="10">
        <v>3105607.8514100001</v>
      </c>
      <c r="AP54" s="10"/>
      <c r="AQ54" s="10">
        <v>1247584.9125280001</v>
      </c>
      <c r="AR54" s="10">
        <v>5605527.3716599997</v>
      </c>
      <c r="AS54" s="10">
        <v>1584831.6874869999</v>
      </c>
      <c r="AT54" s="10">
        <v>0</v>
      </c>
      <c r="AU54" s="10">
        <v>0</v>
      </c>
      <c r="AV54" s="10"/>
      <c r="AW54" s="10">
        <v>0</v>
      </c>
      <c r="AX54" s="10">
        <v>394249.54777</v>
      </c>
      <c r="AY54" s="10">
        <v>691954.86141999997</v>
      </c>
      <c r="AZ54" s="10"/>
      <c r="BA54" s="10">
        <v>10613.7425</v>
      </c>
      <c r="BB54" s="10">
        <v>1389469.05244</v>
      </c>
      <c r="BC54" s="10">
        <v>272036.70678000001</v>
      </c>
      <c r="BD54" s="10">
        <v>275001.89487000002</v>
      </c>
      <c r="BE54" s="10">
        <v>718273.91357600002</v>
      </c>
      <c r="BF54" s="10">
        <v>291679.59510999999</v>
      </c>
      <c r="BG54" s="10">
        <v>221198.44529999999</v>
      </c>
      <c r="BH54" s="10"/>
      <c r="BI54" s="10">
        <v>0</v>
      </c>
      <c r="BJ54" s="10">
        <v>919490.56214000005</v>
      </c>
      <c r="BK54" s="10">
        <v>81777.558699999994</v>
      </c>
      <c r="BL54" s="10">
        <v>48340.320500000002</v>
      </c>
      <c r="BM54" s="10">
        <v>2360164.06195</v>
      </c>
      <c r="BN54" s="10">
        <v>40353.806230000002</v>
      </c>
      <c r="BO54" s="10">
        <v>714811.92923000001</v>
      </c>
      <c r="BP54" s="10">
        <v>189314.75687000001</v>
      </c>
      <c r="BQ54" s="10">
        <v>132050.86931000001</v>
      </c>
      <c r="BR54" s="10">
        <v>394527.18378000002</v>
      </c>
      <c r="BS54" s="10">
        <v>38220.034480000002</v>
      </c>
      <c r="BT54" s="10"/>
      <c r="BU54" s="10">
        <v>940395.64098000003</v>
      </c>
      <c r="BV54" s="10">
        <v>224541.95809999999</v>
      </c>
      <c r="BW54" s="10"/>
      <c r="BX54" s="10">
        <v>60666.107490000002</v>
      </c>
      <c r="BY54" s="10">
        <v>0</v>
      </c>
      <c r="BZ54" s="10"/>
      <c r="CA54" s="10">
        <v>44453.861491000003</v>
      </c>
      <c r="CB54" s="10">
        <v>24204.576860000001</v>
      </c>
      <c r="CC54" s="10">
        <v>90352.012889999998</v>
      </c>
      <c r="CD54" s="10">
        <v>195890.54368</v>
      </c>
      <c r="CE54" s="10"/>
      <c r="CF54" s="10">
        <v>5774.4413000000004</v>
      </c>
      <c r="CG54" s="10"/>
      <c r="CH54" s="10">
        <v>1336.4593</v>
      </c>
      <c r="CI54" s="10"/>
      <c r="CJ54" s="10">
        <v>12049.151854</v>
      </c>
      <c r="CK54" s="10"/>
      <c r="CL54" s="10"/>
      <c r="CM54" s="10">
        <v>0</v>
      </c>
      <c r="CN54" s="10"/>
      <c r="CO54" s="10"/>
      <c r="CP54" s="10"/>
      <c r="CQ54" s="10">
        <v>0</v>
      </c>
      <c r="CR54" s="10"/>
      <c r="CS54" s="10">
        <v>0</v>
      </c>
      <c r="CT54" s="10"/>
      <c r="CU54" s="10">
        <v>0</v>
      </c>
      <c r="CV54" s="10">
        <v>0</v>
      </c>
      <c r="CW54" s="10"/>
      <c r="CX54" s="10">
        <v>0</v>
      </c>
      <c r="CY54" s="10">
        <v>0</v>
      </c>
      <c r="CZ54" s="10"/>
      <c r="DA54" s="10">
        <v>0</v>
      </c>
      <c r="DB54" s="10">
        <v>0</v>
      </c>
      <c r="DC54" s="10"/>
      <c r="DD54" s="10">
        <v>0</v>
      </c>
      <c r="DE54" s="10">
        <v>0</v>
      </c>
      <c r="DF54" s="10">
        <v>0</v>
      </c>
      <c r="DG54" s="10"/>
      <c r="DH54" s="10">
        <v>0</v>
      </c>
      <c r="DI54" s="10"/>
    </row>
    <row r="55" spans="1:113" x14ac:dyDescent="0.35">
      <c r="A55" s="8">
        <v>46135</v>
      </c>
      <c r="B55" s="9">
        <v>2500426964.0911598</v>
      </c>
      <c r="C55" s="10">
        <v>895505020.69311905</v>
      </c>
      <c r="D55" s="10">
        <v>279315768.17368001</v>
      </c>
      <c r="E55" s="10">
        <v>274691593.08499998</v>
      </c>
      <c r="F55" s="10">
        <v>375457175.42438</v>
      </c>
      <c r="G55" s="10">
        <v>360963383.9447</v>
      </c>
      <c r="H55" s="10">
        <v>42536739.737949997</v>
      </c>
      <c r="I55" s="10">
        <v>9009473.8174600005</v>
      </c>
      <c r="J55" s="10">
        <v>14258266.607890001</v>
      </c>
      <c r="K55" s="10">
        <v>11572821.4166</v>
      </c>
      <c r="L55" s="10">
        <v>31904722.465240002</v>
      </c>
      <c r="M55" s="10">
        <v>24206547.420880001</v>
      </c>
      <c r="N55" s="10">
        <v>14494665.98543</v>
      </c>
      <c r="O55" s="10">
        <v>8410740.5599429999</v>
      </c>
      <c r="P55" s="10"/>
      <c r="Q55" s="10">
        <v>7625932.85941</v>
      </c>
      <c r="R55" s="10">
        <v>11639595.486160001</v>
      </c>
      <c r="S55" s="10">
        <v>0</v>
      </c>
      <c r="T55" s="10">
        <v>10682336.171243999</v>
      </c>
      <c r="U55" s="10">
        <v>8858027.8502600007</v>
      </c>
      <c r="V55" s="10">
        <v>2156715.12898</v>
      </c>
      <c r="W55" s="10">
        <v>5335742.2481300002</v>
      </c>
      <c r="X55" s="10">
        <v>13999157.441509999</v>
      </c>
      <c r="Y55" s="10">
        <v>5990732.6078700004</v>
      </c>
      <c r="Z55" s="10">
        <v>5459120.9437699998</v>
      </c>
      <c r="AA55" s="10">
        <v>10718793.14625</v>
      </c>
      <c r="AB55" s="10">
        <v>8963718.8448099997</v>
      </c>
      <c r="AC55" s="10">
        <v>5871876.5419600001</v>
      </c>
      <c r="AD55" s="10"/>
      <c r="AE55" s="10">
        <v>4514610.5380999995</v>
      </c>
      <c r="AF55" s="10">
        <v>5710812.4569600001</v>
      </c>
      <c r="AG55" s="10">
        <v>4116919.7154000001</v>
      </c>
      <c r="AH55" s="10">
        <v>3952850.22407</v>
      </c>
      <c r="AI55" s="10">
        <v>3406528.43689</v>
      </c>
      <c r="AJ55" s="10">
        <v>0</v>
      </c>
      <c r="AK55" s="10">
        <v>3132251.4443729999</v>
      </c>
      <c r="AL55" s="10">
        <v>1922452.0959000001</v>
      </c>
      <c r="AM55" s="10">
        <v>1140362.7625299999</v>
      </c>
      <c r="AN55" s="10">
        <v>1636554.91</v>
      </c>
      <c r="AO55" s="10">
        <v>1261563.7378400001</v>
      </c>
      <c r="AP55" s="10"/>
      <c r="AQ55" s="10">
        <v>1757274.074216</v>
      </c>
      <c r="AR55" s="10">
        <v>19030087.004609998</v>
      </c>
      <c r="AS55" s="10">
        <v>1232410.566806</v>
      </c>
      <c r="AT55" s="10">
        <v>0</v>
      </c>
      <c r="AU55" s="10">
        <v>0</v>
      </c>
      <c r="AV55" s="10"/>
      <c r="AW55" s="10">
        <v>0</v>
      </c>
      <c r="AX55" s="10">
        <v>452242.33807</v>
      </c>
      <c r="AY55" s="10">
        <v>1028941.82838</v>
      </c>
      <c r="AZ55" s="10"/>
      <c r="BA55" s="10">
        <v>17220.488499999999</v>
      </c>
      <c r="BB55" s="10">
        <v>198258.28049</v>
      </c>
      <c r="BC55" s="10">
        <v>131345.95765</v>
      </c>
      <c r="BD55" s="10">
        <v>71900.606618000005</v>
      </c>
      <c r="BE55" s="10">
        <v>929357.45249900001</v>
      </c>
      <c r="BF55" s="10">
        <v>403640.94793999998</v>
      </c>
      <c r="BG55" s="10">
        <v>535005.63040000002</v>
      </c>
      <c r="BH55" s="10"/>
      <c r="BI55" s="10">
        <v>0</v>
      </c>
      <c r="BJ55" s="10">
        <v>493087.56274999998</v>
      </c>
      <c r="BK55" s="10">
        <v>14206.686</v>
      </c>
      <c r="BL55" s="10">
        <v>295101.02740000002</v>
      </c>
      <c r="BM55" s="10">
        <v>116726.08740999999</v>
      </c>
      <c r="BN55" s="10">
        <v>41709.002710000001</v>
      </c>
      <c r="BO55" s="10">
        <v>147881.5141</v>
      </c>
      <c r="BP55" s="10">
        <v>1164779.08237</v>
      </c>
      <c r="BQ55" s="10">
        <v>92488.130149999997</v>
      </c>
      <c r="BR55" s="10">
        <v>258024.7838</v>
      </c>
      <c r="BS55" s="10">
        <v>97670.173710000003</v>
      </c>
      <c r="BT55" s="10"/>
      <c r="BU55" s="10">
        <v>510694.34071000002</v>
      </c>
      <c r="BV55" s="10">
        <v>451225.31922</v>
      </c>
      <c r="BW55" s="10"/>
      <c r="BX55" s="10">
        <v>114623.14688</v>
      </c>
      <c r="BY55" s="10">
        <v>0</v>
      </c>
      <c r="BZ55" s="10"/>
      <c r="CA55" s="10">
        <v>59499.478264999998</v>
      </c>
      <c r="CB55" s="10">
        <v>13968.655269999999</v>
      </c>
      <c r="CC55" s="10">
        <v>159617.65090000001</v>
      </c>
      <c r="CD55" s="10">
        <v>50455.544820000003</v>
      </c>
      <c r="CE55" s="10"/>
      <c r="CF55" s="10">
        <v>65153.224199999997</v>
      </c>
      <c r="CG55" s="10"/>
      <c r="CH55" s="10">
        <v>469.73399999999998</v>
      </c>
      <c r="CI55" s="10"/>
      <c r="CJ55" s="10">
        <v>68322.845625000002</v>
      </c>
      <c r="CK55" s="10"/>
      <c r="CL55" s="10"/>
      <c r="CM55" s="10">
        <v>0</v>
      </c>
      <c r="CN55" s="10"/>
      <c r="CO55" s="10"/>
      <c r="CP55" s="10"/>
      <c r="CQ55" s="10">
        <v>0</v>
      </c>
      <c r="CR55" s="10"/>
      <c r="CS55" s="10">
        <v>0</v>
      </c>
      <c r="CT55" s="10"/>
      <c r="CU55" s="10">
        <v>0</v>
      </c>
      <c r="CV55" s="10">
        <v>0</v>
      </c>
      <c r="CW55" s="10"/>
      <c r="CX55" s="10">
        <v>0</v>
      </c>
      <c r="CY55" s="10">
        <v>0</v>
      </c>
      <c r="CZ55" s="10"/>
      <c r="DA55" s="10">
        <v>0</v>
      </c>
      <c r="DB55" s="10">
        <v>0</v>
      </c>
      <c r="DC55" s="10"/>
      <c r="DD55" s="10">
        <v>0</v>
      </c>
      <c r="DE55" s="10">
        <v>0</v>
      </c>
      <c r="DF55" s="10">
        <v>0</v>
      </c>
      <c r="DG55" s="10"/>
      <c r="DH55" s="10">
        <v>0</v>
      </c>
      <c r="DI55" s="10"/>
    </row>
    <row r="56" spans="1:113" x14ac:dyDescent="0.35">
      <c r="A56" s="8">
        <v>46134</v>
      </c>
      <c r="B56" s="9">
        <v>1710259696.80915</v>
      </c>
      <c r="C56" s="10">
        <v>693830797.27351201</v>
      </c>
      <c r="D56" s="10">
        <v>173538806.32294801</v>
      </c>
      <c r="E56" s="10">
        <v>140690523.8766</v>
      </c>
      <c r="F56" s="10">
        <v>209093414.74739</v>
      </c>
      <c r="G56" s="10">
        <v>255064305.9576</v>
      </c>
      <c r="H56" s="10">
        <v>48233392.481090002</v>
      </c>
      <c r="I56" s="10">
        <v>11129788.431569999</v>
      </c>
      <c r="J56" s="10">
        <v>7007849.3366</v>
      </c>
      <c r="K56" s="10">
        <v>8414406.8377700001</v>
      </c>
      <c r="L56" s="10">
        <v>35921148.214100003</v>
      </c>
      <c r="M56" s="10">
        <v>5737403.4640499996</v>
      </c>
      <c r="N56" s="10">
        <v>15520903.089554001</v>
      </c>
      <c r="O56" s="10">
        <v>5310221.6378260003</v>
      </c>
      <c r="P56" s="10"/>
      <c r="Q56" s="10">
        <v>3811503.7869699998</v>
      </c>
      <c r="R56" s="10">
        <v>5887012.5586000001</v>
      </c>
      <c r="S56" s="10">
        <v>0</v>
      </c>
      <c r="T56" s="10">
        <v>5054385.5920350002</v>
      </c>
      <c r="U56" s="10">
        <v>10086055.491660001</v>
      </c>
      <c r="V56" s="10">
        <v>2302854.1225700001</v>
      </c>
      <c r="W56" s="10">
        <v>5343862.4099399997</v>
      </c>
      <c r="X56" s="10">
        <v>5497103.3878600001</v>
      </c>
      <c r="Y56" s="10">
        <v>3223602.85463</v>
      </c>
      <c r="Z56" s="10">
        <v>4845800.8918700004</v>
      </c>
      <c r="AA56" s="10">
        <v>9096545.0907800104</v>
      </c>
      <c r="AB56" s="10">
        <v>3536678.4401600002</v>
      </c>
      <c r="AC56" s="10">
        <v>2718382.0861200001</v>
      </c>
      <c r="AD56" s="10"/>
      <c r="AE56" s="10">
        <v>4431821.4561999999</v>
      </c>
      <c r="AF56" s="10">
        <v>3954059.2856299998</v>
      </c>
      <c r="AG56" s="10">
        <v>3966472.3191999998</v>
      </c>
      <c r="AH56" s="10">
        <v>1471404.5207499999</v>
      </c>
      <c r="AI56" s="10">
        <v>1796801.06311</v>
      </c>
      <c r="AJ56" s="10">
        <v>0</v>
      </c>
      <c r="AK56" s="10">
        <v>1863955.8034709999</v>
      </c>
      <c r="AL56" s="10">
        <v>1715006.7435000001</v>
      </c>
      <c r="AM56" s="10">
        <v>1090827.0596700001</v>
      </c>
      <c r="AN56" s="10">
        <v>1438458.2323499999</v>
      </c>
      <c r="AO56" s="10">
        <v>2736078.1080399998</v>
      </c>
      <c r="AP56" s="10"/>
      <c r="AQ56" s="10">
        <v>474937.39137999999</v>
      </c>
      <c r="AR56" s="10">
        <v>5085254.0072900001</v>
      </c>
      <c r="AS56" s="10">
        <v>841749.06318699999</v>
      </c>
      <c r="AT56" s="10">
        <v>0</v>
      </c>
      <c r="AU56" s="10">
        <v>0</v>
      </c>
      <c r="AV56" s="10"/>
      <c r="AW56" s="10">
        <v>0</v>
      </c>
      <c r="AX56" s="10">
        <v>1672771.61222</v>
      </c>
      <c r="AY56" s="10">
        <v>1304308.13399</v>
      </c>
      <c r="AZ56" s="10"/>
      <c r="BA56" s="10">
        <v>8824.4567000000006</v>
      </c>
      <c r="BB56" s="10">
        <v>178359.81393999999</v>
      </c>
      <c r="BC56" s="10">
        <v>74727.091180000003</v>
      </c>
      <c r="BD56" s="10">
        <v>61223.116821000003</v>
      </c>
      <c r="BE56" s="10">
        <v>449894.84859100002</v>
      </c>
      <c r="BF56" s="10">
        <v>220528.30131000001</v>
      </c>
      <c r="BG56" s="10">
        <v>393365.02130000002</v>
      </c>
      <c r="BH56" s="10"/>
      <c r="BI56" s="10">
        <v>0</v>
      </c>
      <c r="BJ56" s="10">
        <v>527271.55680999998</v>
      </c>
      <c r="BK56" s="10">
        <v>228702.67120000001</v>
      </c>
      <c r="BL56" s="10">
        <v>1217013.74856</v>
      </c>
      <c r="BM56" s="10">
        <v>301527.39961000002</v>
      </c>
      <c r="BN56" s="10">
        <v>75164.482040000003</v>
      </c>
      <c r="BO56" s="10">
        <v>206338.58760999999</v>
      </c>
      <c r="BP56" s="10">
        <v>556761.56899000006</v>
      </c>
      <c r="BQ56" s="10">
        <v>159094.74410000001</v>
      </c>
      <c r="BR56" s="10">
        <v>9760.3718900000003</v>
      </c>
      <c r="BS56" s="10">
        <v>3084.0937359999998</v>
      </c>
      <c r="BT56" s="10"/>
      <c r="BU56" s="10">
        <v>118714.61384000001</v>
      </c>
      <c r="BV56" s="10">
        <v>315316.89848999999</v>
      </c>
      <c r="BW56" s="10"/>
      <c r="BX56" s="10">
        <v>156429.21076099999</v>
      </c>
      <c r="BY56" s="10">
        <v>0</v>
      </c>
      <c r="BZ56" s="10"/>
      <c r="CA56" s="10">
        <v>79881.136010999995</v>
      </c>
      <c r="CB56" s="10">
        <v>512.22703999999999</v>
      </c>
      <c r="CC56" s="10">
        <v>93617.457479999997</v>
      </c>
      <c r="CD56" s="10">
        <v>13022.40395</v>
      </c>
      <c r="CE56" s="10"/>
      <c r="CF56" s="10">
        <v>1119.54242</v>
      </c>
      <c r="CG56" s="10"/>
      <c r="CH56" s="10">
        <v>13142.4357</v>
      </c>
      <c r="CI56" s="10"/>
      <c r="CJ56" s="10">
        <v>55645.825274000003</v>
      </c>
      <c r="CK56" s="10"/>
      <c r="CL56" s="10"/>
      <c r="CM56" s="10">
        <v>0</v>
      </c>
      <c r="CN56" s="10"/>
      <c r="CO56" s="10"/>
      <c r="CP56" s="10"/>
      <c r="CQ56" s="10">
        <v>0</v>
      </c>
      <c r="CR56" s="10"/>
      <c r="CS56" s="10">
        <v>0</v>
      </c>
      <c r="CT56" s="10"/>
      <c r="CU56" s="10">
        <v>0</v>
      </c>
      <c r="CV56" s="10">
        <v>0</v>
      </c>
      <c r="CW56" s="10"/>
      <c r="CX56" s="10">
        <v>0</v>
      </c>
      <c r="CY56" s="10">
        <v>0</v>
      </c>
      <c r="CZ56" s="10"/>
      <c r="DA56" s="10">
        <v>0</v>
      </c>
      <c r="DB56" s="10">
        <v>0</v>
      </c>
      <c r="DC56" s="10"/>
      <c r="DD56" s="10">
        <v>0</v>
      </c>
      <c r="DE56" s="10">
        <v>0</v>
      </c>
      <c r="DF56" s="10">
        <v>0</v>
      </c>
      <c r="DG56" s="10"/>
      <c r="DH56" s="10">
        <v>0</v>
      </c>
      <c r="DI56" s="10"/>
    </row>
    <row r="57" spans="1:113" x14ac:dyDescent="0.35">
      <c r="A57" s="8">
        <v>46133</v>
      </c>
      <c r="B57" s="9">
        <v>2395987298.72434</v>
      </c>
      <c r="C57" s="10">
        <v>986347638.94320905</v>
      </c>
      <c r="D57" s="10">
        <v>265779572.02608001</v>
      </c>
      <c r="E57" s="10">
        <v>210012147.44209999</v>
      </c>
      <c r="F57" s="10">
        <v>336675556.46534002</v>
      </c>
      <c r="G57" s="10">
        <v>293446941.34710002</v>
      </c>
      <c r="H57" s="10">
        <v>74066278.592680007</v>
      </c>
      <c r="I57" s="10">
        <v>5275859.2539499998</v>
      </c>
      <c r="J57" s="10">
        <v>8859229.0412000008</v>
      </c>
      <c r="K57" s="10">
        <v>10979881.830399999</v>
      </c>
      <c r="L57" s="10">
        <v>12496987.60527</v>
      </c>
      <c r="M57" s="10">
        <v>4574181.68946</v>
      </c>
      <c r="N57" s="10">
        <v>15947032.963605</v>
      </c>
      <c r="O57" s="10">
        <v>4434325.820781</v>
      </c>
      <c r="P57" s="10"/>
      <c r="Q57" s="10">
        <v>3911638.3516799998</v>
      </c>
      <c r="R57" s="10">
        <v>8353327.6610700004</v>
      </c>
      <c r="S57" s="10">
        <v>0</v>
      </c>
      <c r="T57" s="10">
        <v>7424034.9719289998</v>
      </c>
      <c r="U57" s="10">
        <v>13809384.189409999</v>
      </c>
      <c r="V57" s="10">
        <v>1596751.1602400001</v>
      </c>
      <c r="W57" s="10">
        <v>7523114.4868400004</v>
      </c>
      <c r="X57" s="10">
        <v>32509986.51808</v>
      </c>
      <c r="Y57" s="10">
        <v>3010586.2580400002</v>
      </c>
      <c r="Z57" s="10">
        <v>2224034.8217199999</v>
      </c>
      <c r="AA57" s="10">
        <v>12088893.24206</v>
      </c>
      <c r="AB57" s="10">
        <v>7304458.1155899996</v>
      </c>
      <c r="AC57" s="10">
        <v>12445556.811240001</v>
      </c>
      <c r="AD57" s="10"/>
      <c r="AE57" s="10">
        <v>8890998.4621900003</v>
      </c>
      <c r="AF57" s="10">
        <v>2840792.5668899999</v>
      </c>
      <c r="AG57" s="10">
        <v>7557955.0231999997</v>
      </c>
      <c r="AH57" s="10">
        <v>1172271.20951</v>
      </c>
      <c r="AI57" s="10">
        <v>5397421.2142000003</v>
      </c>
      <c r="AJ57" s="10"/>
      <c r="AK57" s="10">
        <v>3020859.9717580001</v>
      </c>
      <c r="AL57" s="10">
        <v>1245230.1155000001</v>
      </c>
      <c r="AM57" s="10">
        <v>1586821.9582799999</v>
      </c>
      <c r="AN57" s="10">
        <v>788989.33759000001</v>
      </c>
      <c r="AO57" s="10">
        <v>1530678.0594599999</v>
      </c>
      <c r="AP57" s="10"/>
      <c r="AQ57" s="10">
        <v>965279.38267800002</v>
      </c>
      <c r="AR57" s="10">
        <v>11083322.66353</v>
      </c>
      <c r="AS57" s="10">
        <v>156857.90629300001</v>
      </c>
      <c r="AT57" s="10">
        <v>0</v>
      </c>
      <c r="AU57" s="10">
        <v>0</v>
      </c>
      <c r="AV57" s="10"/>
      <c r="AW57" s="10">
        <v>0</v>
      </c>
      <c r="AX57" s="10">
        <v>816417.60488999996</v>
      </c>
      <c r="AY57" s="10">
        <v>2708551.5459400001</v>
      </c>
      <c r="AZ57" s="10"/>
      <c r="BA57" s="10">
        <v>54470.348100000003</v>
      </c>
      <c r="BB57" s="10">
        <v>45373.02506</v>
      </c>
      <c r="BC57" s="10">
        <v>155577.89139</v>
      </c>
      <c r="BD57" s="10">
        <v>151067.69812399999</v>
      </c>
      <c r="BE57" s="10">
        <v>813491.54700799996</v>
      </c>
      <c r="BF57" s="10">
        <v>277880.54421000002</v>
      </c>
      <c r="BG57" s="10">
        <v>337477.06670000002</v>
      </c>
      <c r="BH57" s="10"/>
      <c r="BI57" s="10">
        <v>0</v>
      </c>
      <c r="BJ57" s="10">
        <v>333935.47457000002</v>
      </c>
      <c r="BK57" s="10">
        <v>156189.43799999999</v>
      </c>
      <c r="BL57" s="10">
        <v>409466.82854999998</v>
      </c>
      <c r="BM57" s="10">
        <v>677656.18834999995</v>
      </c>
      <c r="BN57" s="10">
        <v>5786.5104300000003</v>
      </c>
      <c r="BO57" s="10">
        <v>83468.875419999997</v>
      </c>
      <c r="BP57" s="10">
        <v>282146.23202</v>
      </c>
      <c r="BQ57" s="10">
        <v>105568.46318000001</v>
      </c>
      <c r="BR57" s="10">
        <v>112072.11903</v>
      </c>
      <c r="BS57" s="10">
        <v>121212.526885</v>
      </c>
      <c r="BT57" s="10"/>
      <c r="BU57" s="10">
        <v>142818.29089</v>
      </c>
      <c r="BV57" s="10">
        <v>119386.50889</v>
      </c>
      <c r="BW57" s="10"/>
      <c r="BX57" s="10">
        <v>119562.721603</v>
      </c>
      <c r="BY57" s="10">
        <v>0</v>
      </c>
      <c r="BZ57" s="10"/>
      <c r="CA57" s="10">
        <v>22052.508750000001</v>
      </c>
      <c r="CB57" s="10">
        <v>107912.20035</v>
      </c>
      <c r="CC57" s="10">
        <v>171808.27679999999</v>
      </c>
      <c r="CD57" s="10">
        <v>12058.176600000001</v>
      </c>
      <c r="CE57" s="10"/>
      <c r="CF57" s="10">
        <v>1723.21379</v>
      </c>
      <c r="CG57" s="10"/>
      <c r="CH57" s="10">
        <v>17238.104899999998</v>
      </c>
      <c r="CI57" s="10"/>
      <c r="CJ57" s="10">
        <v>290051.31375700003</v>
      </c>
      <c r="CK57" s="10"/>
      <c r="CL57" s="10"/>
      <c r="CM57" s="10">
        <v>0</v>
      </c>
      <c r="CN57" s="10"/>
      <c r="CO57" s="10"/>
      <c r="CP57" s="10"/>
      <c r="CQ57" s="10">
        <v>0</v>
      </c>
      <c r="CR57" s="10"/>
      <c r="CS57" s="10">
        <v>0</v>
      </c>
      <c r="CT57" s="10"/>
      <c r="CU57" s="10">
        <v>0</v>
      </c>
      <c r="CV57" s="10">
        <v>0</v>
      </c>
      <c r="CW57" s="10"/>
      <c r="CX57" s="10">
        <v>0</v>
      </c>
      <c r="CY57" s="10">
        <v>0</v>
      </c>
      <c r="CZ57" s="10"/>
      <c r="DA57" s="10">
        <v>0</v>
      </c>
      <c r="DB57" s="10">
        <v>0</v>
      </c>
      <c r="DC57" s="10"/>
      <c r="DD57" s="10">
        <v>0</v>
      </c>
      <c r="DE57" s="10">
        <v>0</v>
      </c>
      <c r="DF57" s="10">
        <v>0</v>
      </c>
      <c r="DG57" s="10"/>
      <c r="DH57" s="10">
        <v>0</v>
      </c>
      <c r="DI57" s="10"/>
    </row>
    <row r="58" spans="1:113" x14ac:dyDescent="0.35">
      <c r="A58" s="8">
        <v>46132</v>
      </c>
      <c r="B58" s="9">
        <v>1973442666.12041</v>
      </c>
      <c r="C58" s="10">
        <v>760589872.26250505</v>
      </c>
      <c r="D58" s="10">
        <v>165196631.44909</v>
      </c>
      <c r="E58" s="10">
        <v>171350061.8594</v>
      </c>
      <c r="F58" s="10">
        <v>312376122.36175001</v>
      </c>
      <c r="G58" s="10">
        <v>299046486.1846</v>
      </c>
      <c r="H58" s="10">
        <v>34764147.263109997</v>
      </c>
      <c r="I58" s="10">
        <v>7211432.1763399998</v>
      </c>
      <c r="J58" s="10">
        <v>10735244.119650001</v>
      </c>
      <c r="K58" s="10">
        <v>10295315.626839999</v>
      </c>
      <c r="L58" s="10">
        <v>17032285.981940001</v>
      </c>
      <c r="M58" s="10">
        <v>7168016.7304800004</v>
      </c>
      <c r="N58" s="10">
        <v>22123415.470105998</v>
      </c>
      <c r="O58" s="10">
        <v>5280708.3716850001</v>
      </c>
      <c r="P58" s="10"/>
      <c r="Q58" s="10">
        <v>5016970.6646499997</v>
      </c>
      <c r="R58" s="10">
        <v>5116489.7478799997</v>
      </c>
      <c r="S58" s="10">
        <v>0</v>
      </c>
      <c r="T58" s="10">
        <v>17751180.195214</v>
      </c>
      <c r="U58" s="10">
        <v>19888125.045990001</v>
      </c>
      <c r="V58" s="10">
        <v>1645607.24924</v>
      </c>
      <c r="W58" s="10">
        <v>12389230.113050001</v>
      </c>
      <c r="X58" s="10">
        <v>5927061.3219299996</v>
      </c>
      <c r="Y58" s="10">
        <v>6034282.7771399999</v>
      </c>
      <c r="Z58" s="10">
        <v>2399617.34797</v>
      </c>
      <c r="AA58" s="10">
        <v>12073970.23244</v>
      </c>
      <c r="AB58" s="10">
        <v>4568077.2197799999</v>
      </c>
      <c r="AC58" s="10">
        <v>5088845.50612</v>
      </c>
      <c r="AD58" s="10"/>
      <c r="AE58" s="10">
        <v>3566429.0417499999</v>
      </c>
      <c r="AF58" s="10">
        <v>3685573.9641999998</v>
      </c>
      <c r="AG58" s="10">
        <v>2605888.3975</v>
      </c>
      <c r="AH58" s="10">
        <v>2310338.8680799999</v>
      </c>
      <c r="AI58" s="10">
        <v>6827051.0408199998</v>
      </c>
      <c r="AJ58" s="10"/>
      <c r="AK58" s="10">
        <v>3771189.616076</v>
      </c>
      <c r="AL58" s="10">
        <v>2394722.2231999999</v>
      </c>
      <c r="AM58" s="10">
        <v>331048.24075</v>
      </c>
      <c r="AN58" s="10">
        <v>1192333.88558</v>
      </c>
      <c r="AO58" s="10">
        <v>2356407.9773300001</v>
      </c>
      <c r="AP58" s="10"/>
      <c r="AQ58" s="10">
        <v>1721594.921693</v>
      </c>
      <c r="AR58" s="10">
        <v>7063401.8774600001</v>
      </c>
      <c r="AS58" s="10">
        <v>4689964.573105</v>
      </c>
      <c r="AT58" s="10">
        <v>0</v>
      </c>
      <c r="AU58" s="10">
        <v>0</v>
      </c>
      <c r="AV58" s="10"/>
      <c r="AW58" s="10">
        <v>0</v>
      </c>
      <c r="AX58" s="10">
        <v>766957.60256999999</v>
      </c>
      <c r="AY58" s="10">
        <v>2571082.8461500001</v>
      </c>
      <c r="AZ58" s="10"/>
      <c r="BA58" s="10">
        <v>14331.802299999999</v>
      </c>
      <c r="BB58" s="10">
        <v>611388.39937999996</v>
      </c>
      <c r="BC58" s="10">
        <v>75340.483259999994</v>
      </c>
      <c r="BD58" s="10">
        <v>84180.588447000002</v>
      </c>
      <c r="BE58" s="10">
        <v>870166.98459100001</v>
      </c>
      <c r="BF58" s="10">
        <v>302076.01627999998</v>
      </c>
      <c r="BG58" s="10">
        <v>643504.68307999999</v>
      </c>
      <c r="BH58" s="10"/>
      <c r="BI58" s="10">
        <v>0</v>
      </c>
      <c r="BJ58" s="10">
        <v>367511.96925000002</v>
      </c>
      <c r="BK58" s="10">
        <v>6779.7835999999998</v>
      </c>
      <c r="BL58" s="10">
        <v>19716.32157</v>
      </c>
      <c r="BM58" s="10">
        <v>507024.42969999998</v>
      </c>
      <c r="BN58" s="10">
        <v>89582.470390000002</v>
      </c>
      <c r="BO58" s="10">
        <v>83866.119890000002</v>
      </c>
      <c r="BP58" s="10">
        <v>1115296.01305</v>
      </c>
      <c r="BQ58" s="10">
        <v>4229.93534</v>
      </c>
      <c r="BR58" s="10">
        <v>406120.17489000002</v>
      </c>
      <c r="BS58" s="10">
        <v>10357.975377999999</v>
      </c>
      <c r="BT58" s="10"/>
      <c r="BU58" s="10">
        <v>653080.75402999995</v>
      </c>
      <c r="BV58" s="10">
        <v>285582.71471999999</v>
      </c>
      <c r="BW58" s="10"/>
      <c r="BX58" s="10">
        <v>142719.74415099999</v>
      </c>
      <c r="BY58" s="10">
        <v>0</v>
      </c>
      <c r="BZ58" s="10"/>
      <c r="CA58" s="10">
        <v>34084.646203999997</v>
      </c>
      <c r="CB58" s="10">
        <v>133098.10855999999</v>
      </c>
      <c r="CC58" s="10">
        <v>46449.657720000003</v>
      </c>
      <c r="CD58" s="10">
        <v>10721.829180000001</v>
      </c>
      <c r="CE58" s="10"/>
      <c r="CF58" s="10">
        <v>1023.77354</v>
      </c>
      <c r="CG58" s="10"/>
      <c r="CH58" s="10">
        <v>998.61170000000004</v>
      </c>
      <c r="CI58" s="10"/>
      <c r="CJ58" s="10">
        <v>249.77504999999999</v>
      </c>
      <c r="CK58" s="10"/>
      <c r="CL58" s="10"/>
      <c r="CM58" s="10">
        <v>0</v>
      </c>
      <c r="CN58" s="10"/>
      <c r="CO58" s="10"/>
      <c r="CP58" s="10"/>
      <c r="CQ58" s="10">
        <v>0</v>
      </c>
      <c r="CR58" s="10"/>
      <c r="CS58" s="10">
        <v>0</v>
      </c>
      <c r="CT58" s="10"/>
      <c r="CU58" s="10">
        <v>0</v>
      </c>
      <c r="CV58" s="10">
        <v>0</v>
      </c>
      <c r="CW58" s="10"/>
      <c r="CX58" s="10">
        <v>0</v>
      </c>
      <c r="CY58" s="10">
        <v>0</v>
      </c>
      <c r="CZ58" s="10"/>
      <c r="DA58" s="10">
        <v>0</v>
      </c>
      <c r="DB58" s="10">
        <v>0</v>
      </c>
      <c r="DC58" s="10"/>
      <c r="DD58" s="10">
        <v>0</v>
      </c>
      <c r="DE58" s="10">
        <v>0</v>
      </c>
      <c r="DF58" s="10">
        <v>0</v>
      </c>
      <c r="DG58" s="10"/>
      <c r="DH58" s="10">
        <v>0</v>
      </c>
      <c r="DI58" s="10"/>
    </row>
    <row r="59" spans="1:113" x14ac:dyDescent="0.35">
      <c r="A59" s="8">
        <v>46131</v>
      </c>
      <c r="B59" s="9">
        <v>1016419248.07512</v>
      </c>
      <c r="C59" s="10">
        <v>481753584.58176202</v>
      </c>
      <c r="D59" s="10">
        <v>64754360.68603</v>
      </c>
      <c r="E59" s="10">
        <v>56096652.382299997</v>
      </c>
      <c r="F59" s="10">
        <v>196641592.56055</v>
      </c>
      <c r="G59" s="10">
        <v>95096216.669799998</v>
      </c>
      <c r="H59" s="10">
        <v>26440150.83365</v>
      </c>
      <c r="I59" s="10">
        <v>1275093.3553500001</v>
      </c>
      <c r="J59" s="10">
        <v>3736125.4020099998</v>
      </c>
      <c r="K59" s="10">
        <v>2731012.53736</v>
      </c>
      <c r="L59" s="10">
        <v>6229139.7751200004</v>
      </c>
      <c r="M59" s="10">
        <v>1625045.07164</v>
      </c>
      <c r="N59" s="10">
        <v>8820573.00605</v>
      </c>
      <c r="O59" s="10">
        <v>2723638.1946080001</v>
      </c>
      <c r="P59" s="10"/>
      <c r="Q59" s="10">
        <v>2108240.3722600001</v>
      </c>
      <c r="R59" s="10">
        <v>2383062.64457</v>
      </c>
      <c r="S59" s="10">
        <v>0</v>
      </c>
      <c r="T59" s="10">
        <v>8079149.6439199904</v>
      </c>
      <c r="U59" s="10">
        <v>10255914.47642</v>
      </c>
      <c r="V59" s="10">
        <v>505288.71385</v>
      </c>
      <c r="W59" s="10">
        <v>6990836.2053699996</v>
      </c>
      <c r="X59" s="10">
        <v>3026656.486</v>
      </c>
      <c r="Y59" s="10">
        <v>1984763.1294100001</v>
      </c>
      <c r="Z59" s="10">
        <v>1060985.02868</v>
      </c>
      <c r="AA59" s="10">
        <v>2423539.3036799999</v>
      </c>
      <c r="AB59" s="10">
        <v>973232.92789000005</v>
      </c>
      <c r="AC59" s="10">
        <v>2802673.1796800001</v>
      </c>
      <c r="AD59" s="10"/>
      <c r="AE59" s="10">
        <v>7000729.0103500001</v>
      </c>
      <c r="AF59" s="10">
        <v>1384802.98276</v>
      </c>
      <c r="AG59" s="10">
        <v>7440658.0105999997</v>
      </c>
      <c r="AH59" s="10">
        <v>828409.27287999995</v>
      </c>
      <c r="AI59" s="10">
        <v>484641.52412999998</v>
      </c>
      <c r="AJ59" s="10"/>
      <c r="AK59" s="10">
        <v>2779182.5333890002</v>
      </c>
      <c r="AL59" s="10">
        <v>525691.86410000001</v>
      </c>
      <c r="AM59" s="10">
        <v>180060.41794000001</v>
      </c>
      <c r="AN59" s="10">
        <v>614737.68863999995</v>
      </c>
      <c r="AO59" s="10">
        <v>510354.08649999998</v>
      </c>
      <c r="AP59" s="10"/>
      <c r="AQ59" s="10">
        <v>504012.01695700001</v>
      </c>
      <c r="AR59" s="10">
        <v>566619.86277999997</v>
      </c>
      <c r="AS59" s="10">
        <v>116212.187938</v>
      </c>
      <c r="AT59" s="10">
        <v>0</v>
      </c>
      <c r="AU59" s="10">
        <v>0</v>
      </c>
      <c r="AV59" s="10"/>
      <c r="AW59" s="10">
        <v>0</v>
      </c>
      <c r="AX59" s="10">
        <v>125383.15622999999</v>
      </c>
      <c r="AY59" s="10">
        <v>29438.14315</v>
      </c>
      <c r="AZ59" s="10"/>
      <c r="BA59" s="10">
        <v>1860.0704000000001</v>
      </c>
      <c r="BB59" s="10">
        <v>5554.7186300000003</v>
      </c>
      <c r="BC59" s="10">
        <v>243733.82801999999</v>
      </c>
      <c r="BD59" s="10">
        <v>39053.051396000003</v>
      </c>
      <c r="BE59" s="10">
        <v>113250.016751</v>
      </c>
      <c r="BF59" s="10">
        <v>63657.729370000001</v>
      </c>
      <c r="BG59" s="10">
        <v>615236.0061</v>
      </c>
      <c r="BH59" s="10"/>
      <c r="BI59" s="10">
        <v>0</v>
      </c>
      <c r="BJ59" s="10">
        <v>24578.67527</v>
      </c>
      <c r="BK59" s="10">
        <v>27877.643100000001</v>
      </c>
      <c r="BL59" s="10">
        <v>105728.93706</v>
      </c>
      <c r="BM59" s="10">
        <v>4982.5325000000003</v>
      </c>
      <c r="BN59" s="10">
        <v>26348.756590000001</v>
      </c>
      <c r="BO59" s="10">
        <v>65140.283109999997</v>
      </c>
      <c r="BP59" s="10">
        <v>152218.38036000001</v>
      </c>
      <c r="BQ59" s="10">
        <v>143.03986</v>
      </c>
      <c r="BR59" s="10">
        <v>2184.9763800000001</v>
      </c>
      <c r="BS59" s="10">
        <v>2461.790223</v>
      </c>
      <c r="BT59" s="10"/>
      <c r="BU59" s="10">
        <v>863.30120999999997</v>
      </c>
      <c r="BV59" s="10">
        <v>3956.0525400000001</v>
      </c>
      <c r="BW59" s="10"/>
      <c r="BX59" s="10">
        <v>458699.05855700001</v>
      </c>
      <c r="BY59" s="10">
        <v>0</v>
      </c>
      <c r="BZ59" s="10"/>
      <c r="CA59" s="10">
        <v>27699.412222999999</v>
      </c>
      <c r="CB59" s="10">
        <v>192996.48986999999</v>
      </c>
      <c r="CC59" s="10">
        <v>1995.82989</v>
      </c>
      <c r="CD59" s="10">
        <v>0</v>
      </c>
      <c r="CE59" s="10"/>
      <c r="CF59" s="10">
        <v>10773.011479999999</v>
      </c>
      <c r="CG59" s="10"/>
      <c r="CH59" s="10">
        <v>0</v>
      </c>
      <c r="CI59" s="10"/>
      <c r="CJ59" s="10">
        <v>619794.55792699999</v>
      </c>
      <c r="CK59" s="10"/>
      <c r="CL59" s="10"/>
      <c r="CM59" s="10">
        <v>0</v>
      </c>
      <c r="CN59" s="10"/>
      <c r="CO59" s="10"/>
      <c r="CP59" s="10"/>
      <c r="CQ59" s="10">
        <v>0</v>
      </c>
      <c r="CR59" s="10"/>
      <c r="CS59" s="10">
        <v>0</v>
      </c>
      <c r="CT59" s="10"/>
      <c r="CU59" s="10">
        <v>0</v>
      </c>
      <c r="CV59" s="10">
        <v>0</v>
      </c>
      <c r="CW59" s="10"/>
      <c r="CX59" s="10">
        <v>0</v>
      </c>
      <c r="CY59" s="10">
        <v>0</v>
      </c>
      <c r="CZ59" s="10"/>
      <c r="DA59" s="10">
        <v>0</v>
      </c>
      <c r="DB59" s="10">
        <v>0</v>
      </c>
      <c r="DC59" s="10"/>
      <c r="DD59" s="10">
        <v>0</v>
      </c>
      <c r="DE59" s="10">
        <v>0</v>
      </c>
      <c r="DF59" s="10">
        <v>0</v>
      </c>
      <c r="DG59" s="10"/>
      <c r="DH59" s="10">
        <v>0</v>
      </c>
      <c r="DI59" s="10"/>
    </row>
    <row r="60" spans="1:113" x14ac:dyDescent="0.35">
      <c r="A60" s="8">
        <v>46130</v>
      </c>
      <c r="B60" s="9">
        <v>646653452.55053902</v>
      </c>
      <c r="C60" s="10">
        <v>316248983.586932</v>
      </c>
      <c r="D60" s="10">
        <v>12213682.61373</v>
      </c>
      <c r="E60" s="10">
        <v>38646423.089900002</v>
      </c>
      <c r="F60" s="10">
        <v>105145477.43287</v>
      </c>
      <c r="G60" s="10">
        <v>73952390.4639</v>
      </c>
      <c r="H60" s="10">
        <v>18203210.439800002</v>
      </c>
      <c r="I60" s="10">
        <v>3161763.6379399998</v>
      </c>
      <c r="J60" s="10">
        <v>4652599.7213599999</v>
      </c>
      <c r="K60" s="10">
        <v>1538326.4778700001</v>
      </c>
      <c r="L60" s="10">
        <v>6511562.1140799997</v>
      </c>
      <c r="M60" s="10">
        <v>2887324.6450499999</v>
      </c>
      <c r="N60" s="10">
        <v>4965500.7966</v>
      </c>
      <c r="O60" s="10">
        <v>385698.86238000001</v>
      </c>
      <c r="P60" s="10"/>
      <c r="Q60" s="10">
        <v>1688053.8176800001</v>
      </c>
      <c r="R60" s="10">
        <v>535362.75344999996</v>
      </c>
      <c r="S60" s="10">
        <v>0</v>
      </c>
      <c r="T60" s="10">
        <v>6850042.255233</v>
      </c>
      <c r="U60" s="10">
        <v>7438448.2351299999</v>
      </c>
      <c r="V60" s="10">
        <v>149274.36742</v>
      </c>
      <c r="W60" s="10">
        <v>3051613.64824</v>
      </c>
      <c r="X60" s="10">
        <v>1893167.48914</v>
      </c>
      <c r="Y60" s="10">
        <v>2676675.9117999999</v>
      </c>
      <c r="Z60" s="10">
        <v>1425745.88246</v>
      </c>
      <c r="AA60" s="10">
        <v>477308.81727</v>
      </c>
      <c r="AB60" s="10">
        <v>2687883.7156199999</v>
      </c>
      <c r="AC60" s="10">
        <v>1075267.86641</v>
      </c>
      <c r="AD60" s="10"/>
      <c r="AE60" s="10">
        <v>5630030.0602799999</v>
      </c>
      <c r="AF60" s="10">
        <v>1688696.01618</v>
      </c>
      <c r="AG60" s="10">
        <v>7190982.5345000001</v>
      </c>
      <c r="AH60" s="10">
        <v>1230786.7721500001</v>
      </c>
      <c r="AI60" s="10">
        <v>1038086.78157</v>
      </c>
      <c r="AJ60" s="10"/>
      <c r="AK60" s="10">
        <v>3250287.8831879999</v>
      </c>
      <c r="AL60" s="10">
        <v>421730.0932</v>
      </c>
      <c r="AM60" s="10">
        <v>52658.585899999998</v>
      </c>
      <c r="AN60" s="10">
        <v>685489.53280000098</v>
      </c>
      <c r="AO60" s="10">
        <v>556461.69718000002</v>
      </c>
      <c r="AP60" s="10"/>
      <c r="AQ60" s="10">
        <v>418166.86933199997</v>
      </c>
      <c r="AR60" s="10">
        <v>2313732.2087400001</v>
      </c>
      <c r="AS60" s="10">
        <v>32754.847215000002</v>
      </c>
      <c r="AT60" s="10">
        <v>0</v>
      </c>
      <c r="AU60" s="10">
        <v>0</v>
      </c>
      <c r="AV60" s="10"/>
      <c r="AW60" s="10">
        <v>0</v>
      </c>
      <c r="AX60" s="10">
        <v>405536.33510999999</v>
      </c>
      <c r="AY60" s="10">
        <v>49862.285210000002</v>
      </c>
      <c r="AZ60" s="10"/>
      <c r="BA60" s="10">
        <v>1136.6468</v>
      </c>
      <c r="BB60" s="10">
        <v>73254.114430000001</v>
      </c>
      <c r="BC60" s="10">
        <v>41232.227630000001</v>
      </c>
      <c r="BD60" s="10">
        <v>94.135227999999998</v>
      </c>
      <c r="BE60" s="10">
        <v>50872.940996999998</v>
      </c>
      <c r="BF60" s="10">
        <v>20023.274850000002</v>
      </c>
      <c r="BG60" s="10">
        <v>645953.46750000003</v>
      </c>
      <c r="BH60" s="10"/>
      <c r="BI60" s="10">
        <v>0</v>
      </c>
      <c r="BJ60" s="10">
        <v>1227.43451</v>
      </c>
      <c r="BK60" s="10">
        <v>49190.8004</v>
      </c>
      <c r="BL60" s="10">
        <v>18049.887940000001</v>
      </c>
      <c r="BM60" s="10">
        <v>42793.7353</v>
      </c>
      <c r="BN60" s="10">
        <v>8417.3693399999993</v>
      </c>
      <c r="BO60" s="10">
        <v>95536.837230000005</v>
      </c>
      <c r="BP60" s="10">
        <v>158177.27515999999</v>
      </c>
      <c r="BQ60" s="10">
        <v>1290.1607100000001</v>
      </c>
      <c r="BR60" s="10">
        <v>5244.6100800000004</v>
      </c>
      <c r="BS60" s="10">
        <v>36463.935991999999</v>
      </c>
      <c r="BT60" s="10"/>
      <c r="BU60" s="10">
        <v>805.47266999999999</v>
      </c>
      <c r="BV60" s="10">
        <v>2972.1500900000001</v>
      </c>
      <c r="BW60" s="10"/>
      <c r="BX60" s="10">
        <v>711.87210700000003</v>
      </c>
      <c r="BY60" s="10">
        <v>0</v>
      </c>
      <c r="BZ60" s="10"/>
      <c r="CA60" s="10">
        <v>2247.347307</v>
      </c>
      <c r="CB60" s="10">
        <v>88941.069310000006</v>
      </c>
      <c r="CC60" s="10">
        <v>3788.3519700000002</v>
      </c>
      <c r="CD60" s="10">
        <v>2027.57062</v>
      </c>
      <c r="CE60" s="10"/>
      <c r="CF60" s="10">
        <v>172.76175000000001</v>
      </c>
      <c r="CG60" s="10"/>
      <c r="CH60" s="10"/>
      <c r="CI60" s="10"/>
      <c r="CJ60" s="10">
        <v>1875775.9557980001</v>
      </c>
      <c r="CK60" s="10"/>
      <c r="CL60" s="10"/>
      <c r="CM60" s="10">
        <v>0</v>
      </c>
      <c r="CN60" s="10"/>
      <c r="CO60" s="10"/>
      <c r="CP60" s="10"/>
      <c r="CQ60" s="10">
        <v>0</v>
      </c>
      <c r="CR60" s="10"/>
      <c r="CS60" s="10">
        <v>0</v>
      </c>
      <c r="CT60" s="10"/>
      <c r="CU60" s="10">
        <v>0</v>
      </c>
      <c r="CV60" s="10">
        <v>0</v>
      </c>
      <c r="CW60" s="10"/>
      <c r="CX60" s="10">
        <v>0</v>
      </c>
      <c r="CY60" s="10">
        <v>0</v>
      </c>
      <c r="CZ60" s="10"/>
      <c r="DA60" s="10">
        <v>0</v>
      </c>
      <c r="DB60" s="10">
        <v>0</v>
      </c>
      <c r="DC60" s="10"/>
      <c r="DD60" s="10">
        <v>0</v>
      </c>
      <c r="DE60" s="10">
        <v>0</v>
      </c>
      <c r="DF60" s="10">
        <v>0</v>
      </c>
      <c r="DG60" s="10"/>
      <c r="DH60" s="10">
        <v>0</v>
      </c>
      <c r="DI60" s="10"/>
    </row>
    <row r="61" spans="1:113" x14ac:dyDescent="0.35">
      <c r="A61" s="8">
        <v>46129</v>
      </c>
      <c r="B61" s="9">
        <v>2510214949.0352101</v>
      </c>
      <c r="C61" s="10">
        <v>939755805.57896698</v>
      </c>
      <c r="D61" s="10">
        <v>202257792.69389001</v>
      </c>
      <c r="E61" s="10">
        <v>249903112.83050001</v>
      </c>
      <c r="F61" s="10">
        <v>505479271.88881999</v>
      </c>
      <c r="G61" s="10">
        <v>323016430.25919998</v>
      </c>
      <c r="H61" s="10">
        <v>34822733.679810002</v>
      </c>
      <c r="I61" s="10">
        <v>5628054.41756</v>
      </c>
      <c r="J61" s="10">
        <v>9108132.7805799991</v>
      </c>
      <c r="K61" s="10">
        <v>12238915.713439999</v>
      </c>
      <c r="L61" s="10">
        <v>19950415.06701</v>
      </c>
      <c r="M61" s="10">
        <v>6923632.6603399999</v>
      </c>
      <c r="N61" s="10">
        <v>32052548.3191</v>
      </c>
      <c r="O61" s="10">
        <v>3641661.5240460001</v>
      </c>
      <c r="P61" s="10"/>
      <c r="Q61" s="10">
        <v>7588284.7765100002</v>
      </c>
      <c r="R61" s="10">
        <v>6879702.0842500003</v>
      </c>
      <c r="S61" s="10">
        <v>0</v>
      </c>
      <c r="T61" s="10">
        <v>11664199.054455001</v>
      </c>
      <c r="U61" s="10">
        <v>21664925.90766</v>
      </c>
      <c r="V61" s="10">
        <v>1255449.6037900001</v>
      </c>
      <c r="W61" s="10">
        <v>7659307.25392</v>
      </c>
      <c r="X61" s="10">
        <v>10482196.463300001</v>
      </c>
      <c r="Y61" s="10">
        <v>5765220.3478699997</v>
      </c>
      <c r="Z61" s="10">
        <v>4301550.3475900004</v>
      </c>
      <c r="AA61" s="10">
        <v>11381853.775590001</v>
      </c>
      <c r="AB61" s="10">
        <v>8064467.9149799999</v>
      </c>
      <c r="AC61" s="10">
        <v>5219546.4484999999</v>
      </c>
      <c r="AD61" s="10"/>
      <c r="AE61" s="10">
        <v>7056319.1069700001</v>
      </c>
      <c r="AF61" s="10">
        <v>7173226.5238199998</v>
      </c>
      <c r="AG61" s="10">
        <v>2256285.1131000002</v>
      </c>
      <c r="AH61" s="10">
        <v>3791205.59883</v>
      </c>
      <c r="AI61" s="10">
        <v>2798184.07467</v>
      </c>
      <c r="AJ61" s="10"/>
      <c r="AK61" s="10">
        <v>6696582.6222310001</v>
      </c>
      <c r="AL61" s="10">
        <v>2065729.4328999999</v>
      </c>
      <c r="AM61" s="10">
        <v>607118.87711</v>
      </c>
      <c r="AN61" s="10">
        <v>2852094.41077</v>
      </c>
      <c r="AO61" s="10">
        <v>3040513.1523199999</v>
      </c>
      <c r="AP61" s="10"/>
      <c r="AQ61" s="10">
        <v>5946794.3442620002</v>
      </c>
      <c r="AR61" s="10">
        <v>8217452.5125099998</v>
      </c>
      <c r="AS61" s="10">
        <v>363329.52114099998</v>
      </c>
      <c r="AT61" s="10">
        <v>0</v>
      </c>
      <c r="AU61" s="10">
        <v>0</v>
      </c>
      <c r="AV61" s="10"/>
      <c r="AW61" s="10">
        <v>0</v>
      </c>
      <c r="AX61" s="10">
        <v>615730.19295000006</v>
      </c>
      <c r="AY61" s="10">
        <v>1512352.9709900001</v>
      </c>
      <c r="AZ61" s="10"/>
      <c r="BA61" s="10">
        <v>4074.0639000000001</v>
      </c>
      <c r="BB61" s="10">
        <v>202912.08244</v>
      </c>
      <c r="BC61" s="10">
        <v>61271.468560000001</v>
      </c>
      <c r="BD61" s="10">
        <v>205309.455357</v>
      </c>
      <c r="BE61" s="10">
        <v>833043.95462500001</v>
      </c>
      <c r="BF61" s="10">
        <v>709284.11488000001</v>
      </c>
      <c r="BG61" s="10">
        <v>760828.80458</v>
      </c>
      <c r="BH61" s="10"/>
      <c r="BI61" s="10">
        <v>0</v>
      </c>
      <c r="BJ61" s="10">
        <v>188785.47716000001</v>
      </c>
      <c r="BK61" s="10">
        <v>37465.561999999998</v>
      </c>
      <c r="BL61" s="10">
        <v>106618.02671000001</v>
      </c>
      <c r="BM61" s="10">
        <v>1385180.0064099999</v>
      </c>
      <c r="BN61" s="10">
        <v>325346.43458</v>
      </c>
      <c r="BO61" s="10">
        <v>642900.52761999995</v>
      </c>
      <c r="BP61" s="10">
        <v>308652.10314000002</v>
      </c>
      <c r="BQ61" s="10">
        <v>1002.96818</v>
      </c>
      <c r="BR61" s="10">
        <v>232220.28844999999</v>
      </c>
      <c r="BS61" s="10">
        <v>82759.914512999996</v>
      </c>
      <c r="BT61" s="10"/>
      <c r="BU61" s="10">
        <v>457836.22074000002</v>
      </c>
      <c r="BV61" s="10">
        <v>300144.08669999999</v>
      </c>
      <c r="BW61" s="10"/>
      <c r="BX61" s="10">
        <v>830825.71443000005</v>
      </c>
      <c r="BY61" s="10">
        <v>0</v>
      </c>
      <c r="BZ61" s="10"/>
      <c r="CA61" s="10">
        <v>77458.605481000006</v>
      </c>
      <c r="CB61" s="10">
        <v>453414.92625000002</v>
      </c>
      <c r="CC61" s="10">
        <v>70265.054260000004</v>
      </c>
      <c r="CD61" s="10">
        <v>82713.129730000001</v>
      </c>
      <c r="CE61" s="10"/>
      <c r="CF61" s="10">
        <v>192.38060999999999</v>
      </c>
      <c r="CG61" s="10"/>
      <c r="CH61" s="10"/>
      <c r="CI61" s="10"/>
      <c r="CJ61" s="10">
        <v>156313.817652</v>
      </c>
      <c r="CK61" s="10"/>
      <c r="CL61" s="10"/>
      <c r="CM61" s="10">
        <v>0</v>
      </c>
      <c r="CN61" s="10"/>
      <c r="CO61" s="10"/>
      <c r="CP61" s="10"/>
      <c r="CQ61" s="10">
        <v>0</v>
      </c>
      <c r="CR61" s="10"/>
      <c r="CS61" s="10">
        <v>0</v>
      </c>
      <c r="CT61" s="10"/>
      <c r="CU61" s="10">
        <v>0</v>
      </c>
      <c r="CV61" s="10">
        <v>0</v>
      </c>
      <c r="CW61" s="10"/>
      <c r="CX61" s="10">
        <v>0</v>
      </c>
      <c r="CY61" s="10">
        <v>0</v>
      </c>
      <c r="CZ61" s="10"/>
      <c r="DA61" s="10">
        <v>0</v>
      </c>
      <c r="DB61" s="10">
        <v>0</v>
      </c>
      <c r="DC61" s="10"/>
      <c r="DD61" s="10">
        <v>0</v>
      </c>
      <c r="DE61" s="10">
        <v>0</v>
      </c>
      <c r="DF61" s="10">
        <v>0</v>
      </c>
      <c r="DG61" s="10"/>
      <c r="DH61" s="10">
        <v>0</v>
      </c>
      <c r="DI61" s="10"/>
    </row>
    <row r="62" spans="1:113" x14ac:dyDescent="0.35">
      <c r="A62" s="8">
        <v>46128</v>
      </c>
      <c r="B62" s="9">
        <v>1681143557.7885201</v>
      </c>
      <c r="C62" s="10">
        <v>526846055.20609301</v>
      </c>
      <c r="D62" s="10">
        <v>148050948.07512999</v>
      </c>
      <c r="E62" s="10">
        <v>255288830.08809999</v>
      </c>
      <c r="F62" s="10">
        <v>174254301.62948</v>
      </c>
      <c r="G62" s="10">
        <v>317705638.85350001</v>
      </c>
      <c r="H62" s="10">
        <v>21298255.93654</v>
      </c>
      <c r="I62" s="10">
        <v>11368051.992860001</v>
      </c>
      <c r="J62" s="10">
        <v>12791625.66186</v>
      </c>
      <c r="K62" s="10">
        <v>25670749.326579999</v>
      </c>
      <c r="L62" s="10">
        <v>22063713.84699</v>
      </c>
      <c r="M62" s="10">
        <v>6860106.4100900004</v>
      </c>
      <c r="N62" s="10">
        <v>22124888.762079999</v>
      </c>
      <c r="O62" s="10">
        <v>7551104.4154089997</v>
      </c>
      <c r="P62" s="10"/>
      <c r="Q62" s="10">
        <v>4355127.9856599998</v>
      </c>
      <c r="R62" s="10">
        <v>5814337.7376300003</v>
      </c>
      <c r="S62" s="10">
        <v>0</v>
      </c>
      <c r="T62" s="10">
        <v>12089154.247548001</v>
      </c>
      <c r="U62" s="10">
        <v>6158342.96251</v>
      </c>
      <c r="V62" s="10">
        <v>666757.49191999994</v>
      </c>
      <c r="W62" s="10">
        <v>4121323.0169799998</v>
      </c>
      <c r="X62" s="10">
        <v>6478529.3286499996</v>
      </c>
      <c r="Y62" s="10">
        <v>4623168.5144300004</v>
      </c>
      <c r="Z62" s="10">
        <v>5467373.6105599999</v>
      </c>
      <c r="AA62" s="10">
        <v>11300845.884099999</v>
      </c>
      <c r="AB62" s="10">
        <v>5948685.2289199997</v>
      </c>
      <c r="AC62" s="10">
        <v>2287738.51033</v>
      </c>
      <c r="AD62" s="10"/>
      <c r="AE62" s="10">
        <v>2614404.72211</v>
      </c>
      <c r="AF62" s="10">
        <v>10525704.48831</v>
      </c>
      <c r="AG62" s="10">
        <v>1136836.7745999999</v>
      </c>
      <c r="AH62" s="10">
        <v>2052559.8828700001</v>
      </c>
      <c r="AI62" s="10">
        <v>3344538.5668100002</v>
      </c>
      <c r="AJ62" s="10"/>
      <c r="AK62" s="10">
        <v>858832.415912</v>
      </c>
      <c r="AL62" s="10">
        <v>1281096.4649</v>
      </c>
      <c r="AM62" s="10">
        <v>1133973.01223</v>
      </c>
      <c r="AN62" s="10">
        <v>3489258.8155299998</v>
      </c>
      <c r="AO62" s="10">
        <v>5528231.6941900002</v>
      </c>
      <c r="AP62" s="10"/>
      <c r="AQ62" s="10">
        <v>8927210.2614159994</v>
      </c>
      <c r="AR62" s="10">
        <v>10983856.48559</v>
      </c>
      <c r="AS62" s="10">
        <v>268546.25165799999</v>
      </c>
      <c r="AT62" s="10">
        <v>0</v>
      </c>
      <c r="AU62" s="10">
        <v>0</v>
      </c>
      <c r="AV62" s="10"/>
      <c r="AW62" s="10">
        <v>0</v>
      </c>
      <c r="AX62" s="10">
        <v>836647.70507999999</v>
      </c>
      <c r="AY62" s="10">
        <v>989962.89813999995</v>
      </c>
      <c r="AZ62" s="10"/>
      <c r="BA62" s="10">
        <v>5362.3675999999996</v>
      </c>
      <c r="BB62" s="10">
        <v>277925.45731000003</v>
      </c>
      <c r="BC62" s="10">
        <v>33335.24353</v>
      </c>
      <c r="BD62" s="10">
        <v>92187.653126000005</v>
      </c>
      <c r="BE62" s="10">
        <v>835639.87773299997</v>
      </c>
      <c r="BF62" s="10">
        <v>66507.558239999998</v>
      </c>
      <c r="BG62" s="10">
        <v>238785.75649999999</v>
      </c>
      <c r="BH62" s="10"/>
      <c r="BI62" s="10">
        <v>0</v>
      </c>
      <c r="BJ62" s="10">
        <v>259282.82689999999</v>
      </c>
      <c r="BK62" s="10">
        <v>12663.277</v>
      </c>
      <c r="BL62" s="10">
        <v>52110.804089999998</v>
      </c>
      <c r="BM62" s="10">
        <v>1226625.8073</v>
      </c>
      <c r="BN62" s="10">
        <v>924639.76908999996</v>
      </c>
      <c r="BO62" s="10">
        <v>75754.085179999995</v>
      </c>
      <c r="BP62" s="10">
        <v>309902.48768999998</v>
      </c>
      <c r="BQ62" s="10">
        <v>30822.164000000001</v>
      </c>
      <c r="BR62" s="10">
        <v>254153.18530000001</v>
      </c>
      <c r="BS62" s="10">
        <v>186754.77568200001</v>
      </c>
      <c r="BT62" s="10"/>
      <c r="BU62" s="10">
        <v>364358.83620999998</v>
      </c>
      <c r="BV62" s="10">
        <v>475623.26620999997</v>
      </c>
      <c r="BW62" s="10"/>
      <c r="BX62" s="10">
        <v>56694.614330999997</v>
      </c>
      <c r="BY62" s="10">
        <v>0</v>
      </c>
      <c r="BZ62" s="10"/>
      <c r="CA62" s="10">
        <v>39565.084397999999</v>
      </c>
      <c r="CB62" s="10">
        <v>33019.844680000002</v>
      </c>
      <c r="CC62" s="10">
        <v>64908.706440000002</v>
      </c>
      <c r="CD62" s="10">
        <v>66952.851410000003</v>
      </c>
      <c r="CE62" s="10"/>
      <c r="CF62" s="10">
        <v>380.38254999999998</v>
      </c>
      <c r="CG62" s="10"/>
      <c r="CH62" s="10"/>
      <c r="CI62" s="10"/>
      <c r="CJ62" s="10">
        <v>2285.94272</v>
      </c>
      <c r="CK62" s="10"/>
      <c r="CL62" s="10"/>
      <c r="CM62" s="10">
        <v>0</v>
      </c>
      <c r="CN62" s="10"/>
      <c r="CO62" s="10"/>
      <c r="CP62" s="10"/>
      <c r="CQ62" s="10">
        <v>0</v>
      </c>
      <c r="CR62" s="10"/>
      <c r="CS62" s="10">
        <v>0</v>
      </c>
      <c r="CT62" s="10"/>
      <c r="CU62" s="10"/>
      <c r="CV62" s="10">
        <v>0</v>
      </c>
      <c r="CW62" s="10"/>
      <c r="CX62" s="10">
        <v>0</v>
      </c>
      <c r="CY62" s="10">
        <v>0</v>
      </c>
      <c r="CZ62" s="10"/>
      <c r="DA62" s="10">
        <v>0</v>
      </c>
      <c r="DB62" s="10">
        <v>0</v>
      </c>
      <c r="DC62" s="10"/>
      <c r="DD62" s="10">
        <v>0</v>
      </c>
      <c r="DE62" s="10">
        <v>0</v>
      </c>
      <c r="DF62" s="10">
        <v>0</v>
      </c>
      <c r="DG62" s="10"/>
      <c r="DH62" s="10">
        <v>0</v>
      </c>
      <c r="DI62" s="10"/>
    </row>
    <row r="63" spans="1:113" x14ac:dyDescent="0.35">
      <c r="A63" s="8">
        <v>46127</v>
      </c>
      <c r="B63" s="9">
        <v>1950442352.7514601</v>
      </c>
      <c r="C63" s="10">
        <v>550870431.62502897</v>
      </c>
      <c r="D63" s="10">
        <v>213423360.12773001</v>
      </c>
      <c r="E63" s="10">
        <v>161960108.14179999</v>
      </c>
      <c r="F63" s="10">
        <v>287879561.11421001</v>
      </c>
      <c r="G63" s="10">
        <v>421773426.0442</v>
      </c>
      <c r="H63" s="10">
        <v>44271885.524870001</v>
      </c>
      <c r="I63" s="10">
        <v>8094600.5507800002</v>
      </c>
      <c r="J63" s="10">
        <v>18519835.34522</v>
      </c>
      <c r="K63" s="10">
        <v>23357280.914900001</v>
      </c>
      <c r="L63" s="10">
        <v>31255770.000390001</v>
      </c>
      <c r="M63" s="10">
        <v>8257137.8851699997</v>
      </c>
      <c r="N63" s="10">
        <v>29322878.070099998</v>
      </c>
      <c r="O63" s="10">
        <v>16837587.018897001</v>
      </c>
      <c r="P63" s="10"/>
      <c r="Q63" s="10">
        <v>3979260.2525800001</v>
      </c>
      <c r="R63" s="10">
        <v>7791134.44869</v>
      </c>
      <c r="S63" s="10">
        <v>0</v>
      </c>
      <c r="T63" s="10">
        <v>23543318.045154002</v>
      </c>
      <c r="U63" s="10">
        <v>4429046.6564800004</v>
      </c>
      <c r="V63" s="10">
        <v>1909371.50746</v>
      </c>
      <c r="W63" s="10">
        <v>6246136.81415</v>
      </c>
      <c r="X63" s="10">
        <v>6584172.4477199996</v>
      </c>
      <c r="Y63" s="10">
        <v>5877786.1072199997</v>
      </c>
      <c r="Z63" s="10">
        <v>1344546.5858700001</v>
      </c>
      <c r="AA63" s="10">
        <v>10915708.2728</v>
      </c>
      <c r="AB63" s="10">
        <v>11425542.696140001</v>
      </c>
      <c r="AC63" s="10">
        <v>2715988.0007099998</v>
      </c>
      <c r="AD63" s="10"/>
      <c r="AE63" s="10">
        <v>5403462.56855</v>
      </c>
      <c r="AF63" s="10">
        <v>5747108.1071800003</v>
      </c>
      <c r="AG63" s="10">
        <v>3136295.9382000002</v>
      </c>
      <c r="AH63" s="10">
        <v>3501039.20108</v>
      </c>
      <c r="AI63" s="10">
        <v>2371078.8485099999</v>
      </c>
      <c r="AJ63" s="10"/>
      <c r="AK63" s="10">
        <v>4685013.5083309999</v>
      </c>
      <c r="AL63" s="10">
        <v>2435783.7436000002</v>
      </c>
      <c r="AM63" s="10">
        <v>402626.85440000001</v>
      </c>
      <c r="AN63" s="10">
        <v>3358029.0994600002</v>
      </c>
      <c r="AO63" s="10">
        <v>1463259.73395</v>
      </c>
      <c r="AP63" s="10"/>
      <c r="AQ63" s="10">
        <v>2334551.9176500002</v>
      </c>
      <c r="AR63" s="10">
        <v>6750804.8841599999</v>
      </c>
      <c r="AS63" s="10">
        <v>158721.040293</v>
      </c>
      <c r="AT63" s="10">
        <v>0</v>
      </c>
      <c r="AU63" s="10">
        <v>0</v>
      </c>
      <c r="AV63" s="10"/>
      <c r="AW63" s="10">
        <v>0</v>
      </c>
      <c r="AX63" s="10">
        <v>624909.36059000005</v>
      </c>
      <c r="AY63" s="10">
        <v>588483.66543000005</v>
      </c>
      <c r="AZ63" s="10"/>
      <c r="BA63" s="10">
        <v>13305.538399999999</v>
      </c>
      <c r="BB63" s="10">
        <v>263590.09801999998</v>
      </c>
      <c r="BC63" s="10">
        <v>53107.636550000003</v>
      </c>
      <c r="BD63" s="10">
        <v>235228.03717299999</v>
      </c>
      <c r="BE63" s="10">
        <v>606119.80848000001</v>
      </c>
      <c r="BF63" s="10">
        <v>128700.84415</v>
      </c>
      <c r="BG63" s="10">
        <v>288373.71234000003</v>
      </c>
      <c r="BH63" s="10"/>
      <c r="BI63" s="10">
        <v>0</v>
      </c>
      <c r="BJ63" s="10">
        <v>352400.31782</v>
      </c>
      <c r="BK63" s="10">
        <v>36996.729599999999</v>
      </c>
      <c r="BL63" s="10">
        <v>134837.95581000001</v>
      </c>
      <c r="BM63" s="10">
        <v>0</v>
      </c>
      <c r="BN63" s="10">
        <v>72941.995330000005</v>
      </c>
      <c r="BO63" s="10">
        <v>284393.00183999998</v>
      </c>
      <c r="BP63" s="10">
        <v>87011.272670000006</v>
      </c>
      <c r="BQ63" s="10">
        <v>236383.87263999999</v>
      </c>
      <c r="BR63" s="10">
        <v>159112.34054</v>
      </c>
      <c r="BS63" s="10">
        <v>123574.311296</v>
      </c>
      <c r="BT63" s="10"/>
      <c r="BU63" s="10">
        <v>670928.62384000001</v>
      </c>
      <c r="BV63" s="10">
        <v>514408.00625999999</v>
      </c>
      <c r="BW63" s="10"/>
      <c r="BX63" s="10">
        <v>58019.650811</v>
      </c>
      <c r="BY63" s="10">
        <v>0</v>
      </c>
      <c r="BZ63" s="10"/>
      <c r="CA63" s="10">
        <v>53784.843353999997</v>
      </c>
      <c r="CB63" s="10">
        <v>292307.61455</v>
      </c>
      <c r="CC63" s="10">
        <v>179324.84226999999</v>
      </c>
      <c r="CD63" s="10">
        <v>29411.008819999999</v>
      </c>
      <c r="CE63" s="10"/>
      <c r="CF63" s="10">
        <v>5576.4339300000001</v>
      </c>
      <c r="CG63" s="10"/>
      <c r="CH63" s="10"/>
      <c r="CI63" s="10"/>
      <c r="CJ63" s="10">
        <v>15471.585314</v>
      </c>
      <c r="CK63" s="10"/>
      <c r="CL63" s="10"/>
      <c r="CM63" s="10">
        <v>0</v>
      </c>
      <c r="CN63" s="10"/>
      <c r="CO63" s="10"/>
      <c r="CP63" s="10"/>
      <c r="CQ63" s="10">
        <v>0</v>
      </c>
      <c r="CR63" s="10"/>
      <c r="CS63" s="10">
        <v>0</v>
      </c>
      <c r="CT63" s="10"/>
      <c r="CU63" s="10"/>
      <c r="CV63" s="10">
        <v>0</v>
      </c>
      <c r="CW63" s="10"/>
      <c r="CX63" s="10">
        <v>0</v>
      </c>
      <c r="CY63" s="10">
        <v>0</v>
      </c>
      <c r="CZ63" s="10"/>
      <c r="DA63" s="10">
        <v>0</v>
      </c>
      <c r="DB63" s="10">
        <v>0</v>
      </c>
      <c r="DC63" s="10"/>
      <c r="DD63" s="10">
        <v>0</v>
      </c>
      <c r="DE63" s="10">
        <v>0</v>
      </c>
      <c r="DF63" s="10">
        <v>0</v>
      </c>
      <c r="DG63" s="10"/>
      <c r="DH63" s="10">
        <v>0</v>
      </c>
      <c r="DI63" s="10"/>
    </row>
    <row r="64" spans="1:113" x14ac:dyDescent="0.35">
      <c r="A64" s="8">
        <v>46126</v>
      </c>
      <c r="B64" s="9">
        <v>2117241313.1073201</v>
      </c>
      <c r="C64" s="10">
        <v>845673737.26941097</v>
      </c>
      <c r="D64" s="10">
        <v>142529634.11063999</v>
      </c>
      <c r="E64" s="10">
        <v>166431526.71349999</v>
      </c>
      <c r="F64" s="10">
        <v>351601800.1117</v>
      </c>
      <c r="G64" s="10">
        <v>279199555.94580001</v>
      </c>
      <c r="H64" s="10">
        <v>35166267.023680001</v>
      </c>
      <c r="I64" s="10">
        <v>19034818.29188</v>
      </c>
      <c r="J64" s="10">
        <v>39259812.251319997</v>
      </c>
      <c r="K64" s="10">
        <v>36109528.875950001</v>
      </c>
      <c r="L64" s="10">
        <v>21039872.408909999</v>
      </c>
      <c r="M64" s="10">
        <v>6379434.4508199999</v>
      </c>
      <c r="N64" s="10">
        <v>42689702.143523999</v>
      </c>
      <c r="O64" s="10">
        <v>17717099.051741</v>
      </c>
      <c r="P64" s="10"/>
      <c r="Q64" s="10">
        <v>6789974.4511700002</v>
      </c>
      <c r="R64" s="10">
        <v>10277831.336169999</v>
      </c>
      <c r="S64" s="10">
        <v>0</v>
      </c>
      <c r="T64" s="10">
        <v>9691295.6609179992</v>
      </c>
      <c r="U64" s="10">
        <v>7057353.7385900002</v>
      </c>
      <c r="V64" s="10">
        <v>2465396.9490100001</v>
      </c>
      <c r="W64" s="10">
        <v>5510350.2014899999</v>
      </c>
      <c r="X64" s="10">
        <v>6985847.25404</v>
      </c>
      <c r="Y64" s="10">
        <v>3887214.09387</v>
      </c>
      <c r="Z64" s="10">
        <v>2297211.6943999999</v>
      </c>
      <c r="AA64" s="10">
        <v>5392959.7591500003</v>
      </c>
      <c r="AB64" s="10">
        <v>10003154.07766</v>
      </c>
      <c r="AC64" s="10">
        <v>5980945.2547199996</v>
      </c>
      <c r="AD64" s="10"/>
      <c r="AE64" s="10">
        <v>4719887.9921899997</v>
      </c>
      <c r="AF64" s="10">
        <v>4132420.5860600001</v>
      </c>
      <c r="AG64" s="10">
        <v>2035878.6385999999</v>
      </c>
      <c r="AH64" s="10">
        <v>3200598.0416899999</v>
      </c>
      <c r="AI64" s="10">
        <v>2348152.0930499998</v>
      </c>
      <c r="AJ64" s="10"/>
      <c r="AK64" s="10">
        <v>4966423.3984289998</v>
      </c>
      <c r="AL64" s="10">
        <v>3521233.7991999998</v>
      </c>
      <c r="AM64" s="10">
        <v>667182.89529000001</v>
      </c>
      <c r="AN64" s="10">
        <v>1519903.42768</v>
      </c>
      <c r="AO64" s="10">
        <v>1216778.4844200001</v>
      </c>
      <c r="AP64" s="10"/>
      <c r="AQ64" s="10">
        <v>1693217.80009</v>
      </c>
      <c r="AR64" s="10">
        <v>317825.60976000002</v>
      </c>
      <c r="AS64" s="10">
        <v>479699.04987699998</v>
      </c>
      <c r="AT64" s="10">
        <v>0</v>
      </c>
      <c r="AU64" s="10">
        <v>0</v>
      </c>
      <c r="AV64" s="10"/>
      <c r="AW64" s="10">
        <v>0</v>
      </c>
      <c r="AX64" s="10">
        <v>1048930.9608799999</v>
      </c>
      <c r="AY64" s="10">
        <v>333031.40049999999</v>
      </c>
      <c r="AZ64" s="10"/>
      <c r="BA64" s="10">
        <v>1305.0904</v>
      </c>
      <c r="BB64" s="10">
        <v>640034.08004999999</v>
      </c>
      <c r="BC64" s="10">
        <v>64037.371310000002</v>
      </c>
      <c r="BD64" s="10">
        <v>36128.546505999999</v>
      </c>
      <c r="BE64" s="10">
        <v>1180455.836131</v>
      </c>
      <c r="BF64" s="10">
        <v>113294.7411</v>
      </c>
      <c r="BG64" s="10">
        <v>590423.06394999998</v>
      </c>
      <c r="BH64" s="10"/>
      <c r="BI64" s="10">
        <v>0</v>
      </c>
      <c r="BJ64" s="10">
        <v>264471.95068000001</v>
      </c>
      <c r="BK64" s="10">
        <v>13515.001700000001</v>
      </c>
      <c r="BL64" s="10">
        <v>113324.86497</v>
      </c>
      <c r="BM64" s="10"/>
      <c r="BN64" s="10">
        <v>318725.27015</v>
      </c>
      <c r="BO64" s="10">
        <v>205906.42123000001</v>
      </c>
      <c r="BP64" s="10">
        <v>498243.61408000003</v>
      </c>
      <c r="BQ64" s="10">
        <v>616259.75650999998</v>
      </c>
      <c r="BR64" s="10">
        <v>161035.70087</v>
      </c>
      <c r="BS64" s="10">
        <v>47420.404452000002</v>
      </c>
      <c r="BT64" s="10"/>
      <c r="BU64" s="10">
        <v>22136.734410000001</v>
      </c>
      <c r="BV64" s="10">
        <v>691028.43973999994</v>
      </c>
      <c r="BW64" s="10"/>
      <c r="BX64" s="10">
        <v>128681.00870599999</v>
      </c>
      <c r="BY64" s="10">
        <v>0</v>
      </c>
      <c r="BZ64" s="10"/>
      <c r="CA64" s="10">
        <v>58930.161783000003</v>
      </c>
      <c r="CB64" s="10">
        <v>41974.566460000002</v>
      </c>
      <c r="CC64" s="10">
        <v>37859.545989999999</v>
      </c>
      <c r="CD64" s="10">
        <v>22176.394329999999</v>
      </c>
      <c r="CE64" s="10"/>
      <c r="CF64" s="10">
        <v>43.385420000000003</v>
      </c>
      <c r="CG64" s="10"/>
      <c r="CH64" s="10"/>
      <c r="CI64" s="10"/>
      <c r="CJ64" s="10">
        <v>413.85861</v>
      </c>
      <c r="CK64" s="10"/>
      <c r="CL64" s="10"/>
      <c r="CM64" s="10">
        <v>0</v>
      </c>
      <c r="CN64" s="10"/>
      <c r="CO64" s="10"/>
      <c r="CP64" s="10"/>
      <c r="CQ64" s="10">
        <v>0</v>
      </c>
      <c r="CR64" s="10"/>
      <c r="CS64" s="10">
        <v>0</v>
      </c>
      <c r="CT64" s="10"/>
      <c r="CU64" s="10"/>
      <c r="CV64" s="10">
        <v>0</v>
      </c>
      <c r="CW64" s="10"/>
      <c r="CX64" s="10">
        <v>0</v>
      </c>
      <c r="CY64" s="10">
        <v>0</v>
      </c>
      <c r="CZ64" s="10"/>
      <c r="DA64" s="10">
        <v>0</v>
      </c>
      <c r="DB64" s="10">
        <v>0</v>
      </c>
      <c r="DC64" s="10"/>
      <c r="DD64" s="10">
        <v>0</v>
      </c>
      <c r="DE64" s="10">
        <v>0</v>
      </c>
      <c r="DF64" s="10">
        <v>0</v>
      </c>
      <c r="DG64" s="10"/>
      <c r="DH64" s="10">
        <v>0</v>
      </c>
      <c r="DI64" s="10"/>
    </row>
    <row r="65" spans="1:113" x14ac:dyDescent="0.35">
      <c r="A65" s="8">
        <v>46125</v>
      </c>
      <c r="B65" s="9">
        <v>2534406850.8944402</v>
      </c>
      <c r="C65" s="10">
        <v>1034967026.61946</v>
      </c>
      <c r="D65" s="10">
        <v>158183690.98320001</v>
      </c>
      <c r="E65" s="10">
        <v>230505492.852</v>
      </c>
      <c r="F65" s="10">
        <v>440691910.44028002</v>
      </c>
      <c r="G65" s="10">
        <v>367052111.34329998</v>
      </c>
      <c r="H65" s="10">
        <v>38447525.20668</v>
      </c>
      <c r="I65" s="10">
        <v>7532932.0389299998</v>
      </c>
      <c r="J65" s="10">
        <v>16392101.76199</v>
      </c>
      <c r="K65" s="10">
        <v>29196922.740789998</v>
      </c>
      <c r="L65" s="10">
        <v>22502632.76021</v>
      </c>
      <c r="M65" s="10">
        <v>10267215.776280001</v>
      </c>
      <c r="N65" s="10">
        <v>26294171.067230001</v>
      </c>
      <c r="O65" s="10">
        <v>17936178.929646</v>
      </c>
      <c r="P65" s="10"/>
      <c r="Q65" s="10">
        <v>6550328.3497799998</v>
      </c>
      <c r="R65" s="10">
        <v>10890739.28792</v>
      </c>
      <c r="S65" s="10">
        <v>0</v>
      </c>
      <c r="T65" s="10">
        <v>7478110.3791460004</v>
      </c>
      <c r="U65" s="10">
        <v>8207210.1415600004</v>
      </c>
      <c r="V65" s="10">
        <v>1701145.1129900001</v>
      </c>
      <c r="W65" s="10">
        <v>8263136.77882999</v>
      </c>
      <c r="X65" s="10">
        <v>14202899.42773</v>
      </c>
      <c r="Y65" s="10">
        <v>8331488.2366000004</v>
      </c>
      <c r="Z65" s="10">
        <v>2186448.0810500002</v>
      </c>
      <c r="AA65" s="10">
        <v>5271240.8602600005</v>
      </c>
      <c r="AB65" s="10">
        <v>4286053.5323099997</v>
      </c>
      <c r="AC65" s="10">
        <v>4306717.1328699999</v>
      </c>
      <c r="AD65" s="10"/>
      <c r="AE65" s="10">
        <v>9412675.2750000209</v>
      </c>
      <c r="AF65" s="10">
        <v>6379647.6097499998</v>
      </c>
      <c r="AG65" s="10">
        <v>3522092.3938000002</v>
      </c>
      <c r="AH65" s="10">
        <v>3117081.3484</v>
      </c>
      <c r="AI65" s="10">
        <v>3597433.7360399999</v>
      </c>
      <c r="AJ65" s="10"/>
      <c r="AK65" s="10">
        <v>4631000.1582180001</v>
      </c>
      <c r="AL65" s="10">
        <v>4271722.2712700004</v>
      </c>
      <c r="AM65" s="10">
        <v>1649868.0037700001</v>
      </c>
      <c r="AN65" s="10">
        <v>2077688.69863</v>
      </c>
      <c r="AO65" s="10">
        <v>2355700.4154599998</v>
      </c>
      <c r="AP65" s="10"/>
      <c r="AQ65" s="10">
        <v>1097263.7804399999</v>
      </c>
      <c r="AR65" s="10">
        <v>531653.25592999998</v>
      </c>
      <c r="AS65" s="10">
        <v>1047458.645741</v>
      </c>
      <c r="AT65" s="10">
        <v>0</v>
      </c>
      <c r="AU65" s="10">
        <v>0</v>
      </c>
      <c r="AV65" s="10"/>
      <c r="AW65" s="10">
        <v>0</v>
      </c>
      <c r="AX65" s="10">
        <v>564289.07531999995</v>
      </c>
      <c r="AY65" s="10">
        <v>518489.98327000003</v>
      </c>
      <c r="AZ65" s="10"/>
      <c r="BA65" s="10">
        <v>22513.309000000001</v>
      </c>
      <c r="BB65" s="10">
        <v>136667.04672000001</v>
      </c>
      <c r="BC65" s="10">
        <v>42839.029540000003</v>
      </c>
      <c r="BD65" s="10">
        <v>136799.63039100001</v>
      </c>
      <c r="BE65" s="10">
        <v>823033.40592399996</v>
      </c>
      <c r="BF65" s="10">
        <v>207360.54574999999</v>
      </c>
      <c r="BG65" s="10">
        <v>584557.61183999898</v>
      </c>
      <c r="BH65" s="10"/>
      <c r="BI65" s="10">
        <v>0</v>
      </c>
      <c r="BJ65" s="10">
        <v>175997.10509999999</v>
      </c>
      <c r="BK65" s="10">
        <v>57116.041499999999</v>
      </c>
      <c r="BL65" s="10">
        <v>64389.752780000003</v>
      </c>
      <c r="BM65" s="10"/>
      <c r="BN65" s="10">
        <v>1501678.3940000001</v>
      </c>
      <c r="BO65" s="10">
        <v>54488.716399999998</v>
      </c>
      <c r="BP65" s="10">
        <v>878604.6054</v>
      </c>
      <c r="BQ65" s="10">
        <v>260817.80291</v>
      </c>
      <c r="BR65" s="10">
        <v>31830.148099999999</v>
      </c>
      <c r="BS65" s="10">
        <v>97382.792889999997</v>
      </c>
      <c r="BT65" s="10"/>
      <c r="BU65" s="10">
        <v>2746.1932400000001</v>
      </c>
      <c r="BV65" s="10">
        <v>163936.09304000001</v>
      </c>
      <c r="BW65" s="10"/>
      <c r="BX65" s="10">
        <v>2253351.9020480001</v>
      </c>
      <c r="BY65" s="10">
        <v>0</v>
      </c>
      <c r="BZ65" s="10"/>
      <c r="CA65" s="10">
        <v>98259.602142999996</v>
      </c>
      <c r="CB65" s="10">
        <v>258872.32477000001</v>
      </c>
      <c r="CC65" s="10">
        <v>54327.693140000003</v>
      </c>
      <c r="CD65" s="10">
        <v>78226.951300000001</v>
      </c>
      <c r="CE65" s="10"/>
      <c r="CF65" s="10">
        <v>1383.52206</v>
      </c>
      <c r="CG65" s="10"/>
      <c r="CH65" s="10"/>
      <c r="CI65" s="10"/>
      <c r="CJ65" s="10">
        <v>176.18237999999999</v>
      </c>
      <c r="CK65" s="10"/>
      <c r="CL65" s="10"/>
      <c r="CM65" s="10">
        <v>0</v>
      </c>
      <c r="CN65" s="10"/>
      <c r="CO65" s="10"/>
      <c r="CP65" s="10"/>
      <c r="CQ65" s="10">
        <v>0</v>
      </c>
      <c r="CR65" s="10"/>
      <c r="CS65" s="10">
        <v>0</v>
      </c>
      <c r="CT65" s="10"/>
      <c r="CU65" s="10"/>
      <c r="CV65" s="10">
        <v>0</v>
      </c>
      <c r="CW65" s="10"/>
      <c r="CX65" s="10">
        <v>0</v>
      </c>
      <c r="CY65" s="10">
        <v>0</v>
      </c>
      <c r="CZ65" s="10"/>
      <c r="DA65" s="10">
        <v>0</v>
      </c>
      <c r="DB65" s="10">
        <v>0</v>
      </c>
      <c r="DC65" s="10"/>
      <c r="DD65" s="10">
        <v>0</v>
      </c>
      <c r="DE65" s="10">
        <v>0</v>
      </c>
      <c r="DF65" s="10">
        <v>0</v>
      </c>
      <c r="DG65" s="10"/>
      <c r="DH65" s="10">
        <v>0</v>
      </c>
      <c r="DI65" s="10"/>
    </row>
    <row r="66" spans="1:113" x14ac:dyDescent="0.35">
      <c r="A66" s="8">
        <v>46124</v>
      </c>
      <c r="B66" s="9">
        <v>1830943255.14188</v>
      </c>
      <c r="C66" s="10">
        <v>852732739.02892995</v>
      </c>
      <c r="D66" s="10">
        <v>71456723.006669998</v>
      </c>
      <c r="E66" s="10">
        <v>131235995.21089999</v>
      </c>
      <c r="F66" s="10">
        <v>390784787.82260001</v>
      </c>
      <c r="G66" s="10">
        <v>210560309.11500001</v>
      </c>
      <c r="H66" s="10">
        <v>31520866.260359999</v>
      </c>
      <c r="I66" s="10">
        <v>6207683.1954300003</v>
      </c>
      <c r="J66" s="10">
        <v>11370059.45432</v>
      </c>
      <c r="K66" s="10">
        <v>4729895.8326000003</v>
      </c>
      <c r="L66" s="10">
        <v>11540450.443980001</v>
      </c>
      <c r="M66" s="10">
        <v>6203832.7654999997</v>
      </c>
      <c r="N66" s="10">
        <v>10813267.0221</v>
      </c>
      <c r="O66" s="10">
        <v>6250108.1698089996</v>
      </c>
      <c r="P66" s="10"/>
      <c r="Q66" s="10">
        <v>2834058.0175000001</v>
      </c>
      <c r="R66" s="10">
        <v>7254775.9074999997</v>
      </c>
      <c r="S66" s="10">
        <v>0</v>
      </c>
      <c r="T66" s="10">
        <v>5257661.609557</v>
      </c>
      <c r="U66" s="10">
        <v>6258053.5268000001</v>
      </c>
      <c r="V66" s="10">
        <v>1233709.4660199999</v>
      </c>
      <c r="W66" s="10">
        <v>6332114.1209199997</v>
      </c>
      <c r="X66" s="10">
        <v>9126420.3267599996</v>
      </c>
      <c r="Y66" s="10">
        <v>4818981.06116</v>
      </c>
      <c r="Z66" s="10">
        <v>1715410.1702099999</v>
      </c>
      <c r="AA66" s="10">
        <v>3827928.09405</v>
      </c>
      <c r="AB66" s="10">
        <v>998070.56932000001</v>
      </c>
      <c r="AC66" s="10">
        <v>3015068.66316</v>
      </c>
      <c r="AD66" s="10"/>
      <c r="AE66" s="10">
        <v>4468963.98594</v>
      </c>
      <c r="AF66" s="10">
        <v>2264688.85855</v>
      </c>
      <c r="AG66" s="10">
        <v>10255722.212300001</v>
      </c>
      <c r="AH66" s="10">
        <v>1840213.66539</v>
      </c>
      <c r="AI66" s="10">
        <v>1817763.0120300001</v>
      </c>
      <c r="AJ66" s="10"/>
      <c r="AK66" s="10">
        <v>5045002.1221240005</v>
      </c>
      <c r="AL66" s="10">
        <v>659645.90086000005</v>
      </c>
      <c r="AM66" s="10">
        <v>800804.97158999997</v>
      </c>
      <c r="AN66" s="10">
        <v>1051645.5045799999</v>
      </c>
      <c r="AO66" s="10">
        <v>1292812.3754700001</v>
      </c>
      <c r="AP66" s="10"/>
      <c r="AQ66" s="10">
        <v>312734.82046000002</v>
      </c>
      <c r="AR66" s="10">
        <v>34846.223769999997</v>
      </c>
      <c r="AS66" s="10">
        <v>101198.901885</v>
      </c>
      <c r="AT66" s="10">
        <v>0</v>
      </c>
      <c r="AU66" s="10"/>
      <c r="AV66" s="10"/>
      <c r="AW66" s="10">
        <v>0</v>
      </c>
      <c r="AX66" s="10">
        <v>130682.24172000001</v>
      </c>
      <c r="AY66" s="10">
        <v>372956.63639</v>
      </c>
      <c r="AZ66" s="10"/>
      <c r="BA66" s="10">
        <v>2093.0951</v>
      </c>
      <c r="BB66" s="10">
        <v>58778.851300000002</v>
      </c>
      <c r="BC66" s="10">
        <v>41063.363850000002</v>
      </c>
      <c r="BD66" s="10">
        <v>4099.2850399999998</v>
      </c>
      <c r="BE66" s="10">
        <v>302417.687126</v>
      </c>
      <c r="BF66" s="10">
        <v>43459.612889999997</v>
      </c>
      <c r="BG66" s="10">
        <v>262612.78391</v>
      </c>
      <c r="BH66" s="10"/>
      <c r="BI66" s="10">
        <v>0</v>
      </c>
      <c r="BJ66" s="10">
        <v>50292.916129999998</v>
      </c>
      <c r="BK66" s="10">
        <v>49334.223400000003</v>
      </c>
      <c r="BL66" s="10">
        <v>172815.98524000001</v>
      </c>
      <c r="BM66" s="10"/>
      <c r="BN66" s="10">
        <v>8316.5834300000006</v>
      </c>
      <c r="BO66" s="10">
        <v>29122.68434</v>
      </c>
      <c r="BP66" s="10">
        <v>417275.47026999999</v>
      </c>
      <c r="BQ66" s="10">
        <v>2091.1844700000001</v>
      </c>
      <c r="BR66" s="10">
        <v>1414.6845499999999</v>
      </c>
      <c r="BS66" s="10">
        <v>4740.1433999999999</v>
      </c>
      <c r="BT66" s="10"/>
      <c r="BU66" s="10">
        <v>744.76235999999994</v>
      </c>
      <c r="BV66" s="10">
        <v>85205.456430000006</v>
      </c>
      <c r="BW66" s="10"/>
      <c r="BX66" s="10">
        <v>556764.84328200005</v>
      </c>
      <c r="BY66" s="10">
        <v>0</v>
      </c>
      <c r="BZ66" s="10"/>
      <c r="CA66" s="10">
        <v>36824.732244999999</v>
      </c>
      <c r="CB66" s="10">
        <v>222225.17254</v>
      </c>
      <c r="CC66" s="10">
        <v>50010.555959999998</v>
      </c>
      <c r="CD66" s="10">
        <v>11190.325000000001</v>
      </c>
      <c r="CE66" s="10"/>
      <c r="CF66" s="10">
        <v>1335.89903</v>
      </c>
      <c r="CG66" s="10"/>
      <c r="CH66" s="10"/>
      <c r="CI66" s="10"/>
      <c r="CJ66" s="10">
        <v>374.54637300000002</v>
      </c>
      <c r="CK66" s="10"/>
      <c r="CL66" s="10"/>
      <c r="CM66" s="10">
        <v>0</v>
      </c>
      <c r="CN66" s="10"/>
      <c r="CO66" s="10"/>
      <c r="CP66" s="10"/>
      <c r="CQ66" s="10">
        <v>0</v>
      </c>
      <c r="CR66" s="10"/>
      <c r="CS66" s="10">
        <v>0</v>
      </c>
      <c r="CT66" s="10"/>
      <c r="CU66" s="10"/>
      <c r="CV66" s="10">
        <v>0</v>
      </c>
      <c r="CW66" s="10"/>
      <c r="CX66" s="10">
        <v>0</v>
      </c>
      <c r="CY66" s="10">
        <v>0</v>
      </c>
      <c r="CZ66" s="10"/>
      <c r="DA66" s="10">
        <v>0</v>
      </c>
      <c r="DB66" s="10">
        <v>0</v>
      </c>
      <c r="DC66" s="10"/>
      <c r="DD66" s="10">
        <v>0</v>
      </c>
      <c r="DE66" s="10">
        <v>0</v>
      </c>
      <c r="DF66" s="10">
        <v>0</v>
      </c>
      <c r="DG66" s="10"/>
      <c r="DH66" s="10">
        <v>0</v>
      </c>
      <c r="DI66" s="10"/>
    </row>
    <row r="67" spans="1:113" x14ac:dyDescent="0.35">
      <c r="A67" s="8">
        <v>46123</v>
      </c>
      <c r="B67" s="9">
        <v>498454992.19660598</v>
      </c>
      <c r="C67" s="10">
        <v>233436089.207187</v>
      </c>
      <c r="D67" s="10">
        <v>8022978.3783099996</v>
      </c>
      <c r="E67" s="10">
        <v>42785228.532899998</v>
      </c>
      <c r="F67" s="10">
        <v>98572554.052019998</v>
      </c>
      <c r="G67" s="10">
        <v>48067744.025799997</v>
      </c>
      <c r="H67" s="10">
        <v>3342744.1399400001</v>
      </c>
      <c r="I67" s="10">
        <v>2960342.7425600002</v>
      </c>
      <c r="J67" s="10">
        <v>4842280.8080000002</v>
      </c>
      <c r="K67" s="10">
        <v>2559927.5180899999</v>
      </c>
      <c r="L67" s="10">
        <v>7145720.3721700003</v>
      </c>
      <c r="M67" s="10">
        <v>1768008.6456899999</v>
      </c>
      <c r="N67" s="10">
        <v>4356127.8245980004</v>
      </c>
      <c r="O67" s="10">
        <v>1082952.200581</v>
      </c>
      <c r="P67" s="10"/>
      <c r="Q67" s="10">
        <v>2033072.4845400001</v>
      </c>
      <c r="R67" s="10">
        <v>1939903.61375</v>
      </c>
      <c r="S67" s="10">
        <v>0</v>
      </c>
      <c r="T67" s="10">
        <v>2342227.20285</v>
      </c>
      <c r="U67" s="10">
        <v>2853895.1982200001</v>
      </c>
      <c r="V67" s="10">
        <v>173994.79126</v>
      </c>
      <c r="W67" s="10">
        <v>3314798.6803600001</v>
      </c>
      <c r="X67" s="10">
        <v>3099249.9851000002</v>
      </c>
      <c r="Y67" s="10">
        <v>2348762.64506</v>
      </c>
      <c r="Z67" s="10">
        <v>1391501.69285</v>
      </c>
      <c r="AA67" s="10">
        <v>237149.03829999999</v>
      </c>
      <c r="AB67" s="10">
        <v>171015.92898</v>
      </c>
      <c r="AC67" s="10">
        <v>1516617.3502400001</v>
      </c>
      <c r="AD67" s="10"/>
      <c r="AE67" s="10">
        <v>5800892.6475099996</v>
      </c>
      <c r="AF67" s="10">
        <v>1360077.0245300001</v>
      </c>
      <c r="AG67" s="10">
        <v>3985239.8824</v>
      </c>
      <c r="AH67" s="10">
        <v>1249343.27602</v>
      </c>
      <c r="AI67" s="10">
        <v>900318.18351</v>
      </c>
      <c r="AJ67" s="10"/>
      <c r="AK67" s="10">
        <v>574985.23655200005</v>
      </c>
      <c r="AL67" s="10">
        <v>435253.94900000002</v>
      </c>
      <c r="AM67" s="10">
        <v>44990.466269999997</v>
      </c>
      <c r="AN67" s="10">
        <v>367905.21301000001</v>
      </c>
      <c r="AO67" s="10">
        <v>478223.43231</v>
      </c>
      <c r="AP67" s="10"/>
      <c r="AQ67" s="10">
        <v>343125.79882999999</v>
      </c>
      <c r="AR67" s="10">
        <v>2952.2315199999998</v>
      </c>
      <c r="AS67" s="10">
        <v>258824.88647999999</v>
      </c>
      <c r="AT67" s="10">
        <v>0</v>
      </c>
      <c r="AU67" s="10"/>
      <c r="AV67" s="10"/>
      <c r="AW67" s="10">
        <v>0</v>
      </c>
      <c r="AX67" s="10">
        <v>101167.10769</v>
      </c>
      <c r="AY67" s="10">
        <v>126159.26956</v>
      </c>
      <c r="AZ67" s="10"/>
      <c r="BA67" s="10">
        <v>4983.2839999999997</v>
      </c>
      <c r="BB67" s="10">
        <v>6262.26343</v>
      </c>
      <c r="BC67" s="10">
        <v>116412.49296</v>
      </c>
      <c r="BD67" s="10">
        <v>660.86632099999997</v>
      </c>
      <c r="BE67" s="10">
        <v>71484.103237000003</v>
      </c>
      <c r="BF67" s="10">
        <v>33941.10282</v>
      </c>
      <c r="BG67" s="10">
        <v>445851.29408000002</v>
      </c>
      <c r="BH67" s="10"/>
      <c r="BI67" s="10">
        <v>0</v>
      </c>
      <c r="BJ67" s="10">
        <v>21595.065009999998</v>
      </c>
      <c r="BK67" s="10">
        <v>46401.149599999997</v>
      </c>
      <c r="BL67" s="10">
        <v>113377.01119999999</v>
      </c>
      <c r="BM67" s="10"/>
      <c r="BN67" s="10">
        <v>6717.8809799999999</v>
      </c>
      <c r="BO67" s="10">
        <v>9674.2879799999992</v>
      </c>
      <c r="BP67" s="10">
        <v>127332.42952999999</v>
      </c>
      <c r="BQ67" s="10">
        <v>79087.352469999998</v>
      </c>
      <c r="BR67" s="10">
        <v>9967.9637500000008</v>
      </c>
      <c r="BS67" s="10">
        <v>3877.520051</v>
      </c>
      <c r="BT67" s="10"/>
      <c r="BU67" s="10">
        <v>13202.533810000001</v>
      </c>
      <c r="BV67" s="10">
        <v>2912.1536299999998</v>
      </c>
      <c r="BW67" s="10"/>
      <c r="BX67" s="10">
        <v>489323.72284300003</v>
      </c>
      <c r="BY67" s="10">
        <v>0</v>
      </c>
      <c r="BZ67" s="10"/>
      <c r="CA67" s="10">
        <v>19743.932828000001</v>
      </c>
      <c r="CB67" s="10">
        <v>110298.79191</v>
      </c>
      <c r="CC67" s="10">
        <v>233573.71958</v>
      </c>
      <c r="CD67" s="10">
        <v>1510.4952000000001</v>
      </c>
      <c r="CE67" s="10"/>
      <c r="CF67" s="10">
        <v>5459.0025699999997</v>
      </c>
      <c r="CG67" s="10"/>
      <c r="CH67" s="10"/>
      <c r="CI67" s="10"/>
      <c r="CJ67" s="10">
        <v>86996.112267999997</v>
      </c>
      <c r="CK67" s="10"/>
      <c r="CL67" s="10"/>
      <c r="CM67" s="10">
        <v>0</v>
      </c>
      <c r="CN67" s="10"/>
      <c r="CO67" s="10"/>
      <c r="CP67" s="10"/>
      <c r="CQ67" s="10">
        <v>0</v>
      </c>
      <c r="CR67" s="10"/>
      <c r="CS67" s="10">
        <v>0</v>
      </c>
      <c r="CT67" s="10"/>
      <c r="CU67" s="10"/>
      <c r="CV67" s="10">
        <v>0</v>
      </c>
      <c r="CW67" s="10"/>
      <c r="CX67" s="10">
        <v>0</v>
      </c>
      <c r="CY67" s="10">
        <v>0</v>
      </c>
      <c r="CZ67" s="10"/>
      <c r="DA67" s="10">
        <v>0</v>
      </c>
      <c r="DB67" s="10">
        <v>0</v>
      </c>
      <c r="DC67" s="10"/>
      <c r="DD67" s="10">
        <v>0</v>
      </c>
      <c r="DE67" s="10">
        <v>0</v>
      </c>
      <c r="DF67" s="10">
        <v>0</v>
      </c>
      <c r="DG67" s="10"/>
      <c r="DH67" s="10">
        <v>0</v>
      </c>
      <c r="DI67" s="10"/>
    </row>
    <row r="68" spans="1:113" x14ac:dyDescent="0.35">
      <c r="A68" s="8">
        <v>46122</v>
      </c>
      <c r="B68" s="9">
        <v>1855107581.4883599</v>
      </c>
      <c r="C68" s="10">
        <v>704801760.55139697</v>
      </c>
      <c r="D68" s="10">
        <v>132529714.53063001</v>
      </c>
      <c r="E68" s="10">
        <v>180730019.09259999</v>
      </c>
      <c r="F68" s="10">
        <v>284540651.05730098</v>
      </c>
      <c r="G68" s="10">
        <v>220443305.32789999</v>
      </c>
      <c r="H68" s="10">
        <v>44939338.757129997</v>
      </c>
      <c r="I68" s="10">
        <v>12894431.5721</v>
      </c>
      <c r="J68" s="10">
        <v>18037793.60179</v>
      </c>
      <c r="K68" s="10">
        <v>22917125.966249999</v>
      </c>
      <c r="L68" s="10">
        <v>27236059.604979999</v>
      </c>
      <c r="M68" s="10">
        <v>13661298.042710001</v>
      </c>
      <c r="N68" s="10">
        <v>43083743.241237998</v>
      </c>
      <c r="O68" s="10">
        <v>11876207.056217</v>
      </c>
      <c r="P68" s="10"/>
      <c r="Q68" s="10">
        <v>7741355.2200999996</v>
      </c>
      <c r="R68" s="10">
        <v>13321873.08048</v>
      </c>
      <c r="S68" s="10"/>
      <c r="T68" s="10">
        <v>7777401.5181409996</v>
      </c>
      <c r="U68" s="10">
        <v>4910507.0424699998</v>
      </c>
      <c r="V68" s="10">
        <v>973229.34543999995</v>
      </c>
      <c r="W68" s="10">
        <v>8499141.2078099996</v>
      </c>
      <c r="X68" s="10">
        <v>5206278.2095999997</v>
      </c>
      <c r="Y68" s="10">
        <v>21513796.684069999</v>
      </c>
      <c r="Z68" s="10">
        <v>3605283.27691</v>
      </c>
      <c r="AA68" s="10">
        <v>4766128.2365600001</v>
      </c>
      <c r="AB68" s="10">
        <v>3542072.44197</v>
      </c>
      <c r="AC68" s="10">
        <v>5141082.0552000003</v>
      </c>
      <c r="AD68" s="10"/>
      <c r="AE68" s="10">
        <v>2161500.0767600001</v>
      </c>
      <c r="AF68" s="10">
        <v>6945974.3833100004</v>
      </c>
      <c r="AG68" s="10">
        <v>1271305.4087</v>
      </c>
      <c r="AH68" s="10">
        <v>3096971.9092299999</v>
      </c>
      <c r="AI68" s="10">
        <v>3251344.5847800002</v>
      </c>
      <c r="AJ68" s="10"/>
      <c r="AK68" s="10">
        <v>6628913.5533330003</v>
      </c>
      <c r="AL68" s="10">
        <v>8521126.2866399996</v>
      </c>
      <c r="AM68" s="10">
        <v>270549.28554999997</v>
      </c>
      <c r="AN68" s="10">
        <v>4810272.2157399999</v>
      </c>
      <c r="AO68" s="10">
        <v>1559998.51198</v>
      </c>
      <c r="AP68" s="10"/>
      <c r="AQ68" s="10">
        <v>803727.79283000005</v>
      </c>
      <c r="AR68" s="10">
        <v>237287.14928000001</v>
      </c>
      <c r="AS68" s="10">
        <v>939198.26008599997</v>
      </c>
      <c r="AT68" s="10">
        <v>0</v>
      </c>
      <c r="AU68" s="10"/>
      <c r="AV68" s="10"/>
      <c r="AW68" s="10">
        <v>0</v>
      </c>
      <c r="AX68" s="10">
        <v>456828.02344999998</v>
      </c>
      <c r="AY68" s="10">
        <v>1335529.9038</v>
      </c>
      <c r="AZ68" s="10"/>
      <c r="BA68" s="10">
        <v>7188.2605999999996</v>
      </c>
      <c r="BB68" s="10">
        <v>76457.438569999998</v>
      </c>
      <c r="BC68" s="10">
        <v>633527.91359000001</v>
      </c>
      <c r="BD68" s="10">
        <v>69692.599673000004</v>
      </c>
      <c r="BE68" s="10">
        <v>1008664.224612</v>
      </c>
      <c r="BF68" s="10">
        <v>463664.10154</v>
      </c>
      <c r="BG68" s="10">
        <v>652396.32866999996</v>
      </c>
      <c r="BH68" s="10"/>
      <c r="BI68" s="10">
        <v>0</v>
      </c>
      <c r="BJ68" s="10">
        <v>388798.35764</v>
      </c>
      <c r="BK68" s="10">
        <v>99660.815700000006</v>
      </c>
      <c r="BL68" s="10">
        <v>17210.58122</v>
      </c>
      <c r="BM68" s="10"/>
      <c r="BN68" s="10">
        <v>1412763.0927800001</v>
      </c>
      <c r="BO68" s="10">
        <v>406491.05024999997</v>
      </c>
      <c r="BP68" s="10">
        <v>722160.90289999999</v>
      </c>
      <c r="BQ68" s="10">
        <v>123198.41951000001</v>
      </c>
      <c r="BR68" s="10">
        <v>32264.84592</v>
      </c>
      <c r="BS68" s="10">
        <v>60272.598873000003</v>
      </c>
      <c r="BT68" s="10"/>
      <c r="BU68" s="10">
        <v>272940.07246</v>
      </c>
      <c r="BV68" s="10">
        <v>506621.71250000002</v>
      </c>
      <c r="BW68" s="10"/>
      <c r="BX68" s="10">
        <v>500842.56702700001</v>
      </c>
      <c r="BY68" s="10">
        <v>0</v>
      </c>
      <c r="BZ68" s="10"/>
      <c r="CA68" s="10">
        <v>334358.80218</v>
      </c>
      <c r="CB68" s="10">
        <v>51301.124230000001</v>
      </c>
      <c r="CC68" s="10">
        <v>225605.04102999999</v>
      </c>
      <c r="CD68" s="10">
        <v>52427.738440000001</v>
      </c>
      <c r="CE68" s="10"/>
      <c r="CF68" s="10">
        <v>1702.2570800000001</v>
      </c>
      <c r="CG68" s="10"/>
      <c r="CH68" s="10"/>
      <c r="CI68" s="10"/>
      <c r="CJ68" s="10">
        <v>7246.5748999999996</v>
      </c>
      <c r="CK68" s="10"/>
      <c r="CL68" s="10"/>
      <c r="CM68" s="10">
        <v>0</v>
      </c>
      <c r="CN68" s="10"/>
      <c r="CO68" s="10"/>
      <c r="CP68" s="10"/>
      <c r="CQ68" s="10">
        <v>0</v>
      </c>
      <c r="CR68" s="10"/>
      <c r="CS68" s="10">
        <v>0</v>
      </c>
      <c r="CT68" s="10"/>
      <c r="CU68" s="10"/>
      <c r="CV68" s="10">
        <v>0</v>
      </c>
      <c r="CW68" s="10"/>
      <c r="CX68" s="10">
        <v>0</v>
      </c>
      <c r="CY68" s="10">
        <v>0</v>
      </c>
      <c r="CZ68" s="10"/>
      <c r="DA68" s="10">
        <v>0</v>
      </c>
      <c r="DB68" s="10">
        <v>0</v>
      </c>
      <c r="DC68" s="10"/>
      <c r="DD68" s="10">
        <v>0</v>
      </c>
      <c r="DE68" s="10">
        <v>0</v>
      </c>
      <c r="DF68" s="10">
        <v>0</v>
      </c>
      <c r="DG68" s="10"/>
      <c r="DH68" s="10">
        <v>0</v>
      </c>
      <c r="DI68" s="10"/>
    </row>
    <row r="69" spans="1:113" x14ac:dyDescent="0.35">
      <c r="A69" s="8">
        <v>46121</v>
      </c>
      <c r="B69" s="9">
        <v>3140547260.993</v>
      </c>
      <c r="C69" s="10">
        <v>1349552998.2593999</v>
      </c>
      <c r="D69" s="10">
        <v>208408338.05732</v>
      </c>
      <c r="E69" s="10">
        <v>261671725.85440001</v>
      </c>
      <c r="F69" s="10">
        <v>659928967.47988999</v>
      </c>
      <c r="G69" s="10">
        <v>305836368.08270001</v>
      </c>
      <c r="H69" s="10">
        <v>42365036.017070003</v>
      </c>
      <c r="I69" s="10">
        <v>12852719.54253</v>
      </c>
      <c r="J69" s="10">
        <v>12478465.31855</v>
      </c>
      <c r="K69" s="10">
        <v>25181759.284990001</v>
      </c>
      <c r="L69" s="10">
        <v>29736837.434390001</v>
      </c>
      <c r="M69" s="10">
        <v>20285835.562819999</v>
      </c>
      <c r="N69" s="10">
        <v>50440729.174778998</v>
      </c>
      <c r="O69" s="10">
        <v>4814325.144874</v>
      </c>
      <c r="P69" s="10"/>
      <c r="Q69" s="10">
        <v>9994027.0419299994</v>
      </c>
      <c r="R69" s="10">
        <v>18606436.62923</v>
      </c>
      <c r="S69" s="10"/>
      <c r="T69" s="10">
        <v>12834086.819512</v>
      </c>
      <c r="U69" s="10">
        <v>7439684.1237599999</v>
      </c>
      <c r="V69" s="10">
        <v>2303969.99156</v>
      </c>
      <c r="W69" s="10">
        <v>16534184.027760001</v>
      </c>
      <c r="X69" s="10">
        <v>12303870.242869999</v>
      </c>
      <c r="Y69" s="10">
        <v>8145638.6878699996</v>
      </c>
      <c r="Z69" s="10">
        <v>1376084.5619999999</v>
      </c>
      <c r="AA69" s="10">
        <v>6530385.62421</v>
      </c>
      <c r="AB69" s="10">
        <v>2876351.4226899999</v>
      </c>
      <c r="AC69" s="10">
        <v>8581132.1814300008</v>
      </c>
      <c r="AD69" s="10"/>
      <c r="AE69" s="10">
        <v>1922950.06962</v>
      </c>
      <c r="AF69" s="10">
        <v>5735387.60415</v>
      </c>
      <c r="AG69" s="10">
        <v>1288795.1943000001</v>
      </c>
      <c r="AH69" s="10">
        <v>4860269.9789300002</v>
      </c>
      <c r="AI69" s="10">
        <v>3291674.6343999999</v>
      </c>
      <c r="AJ69" s="10"/>
      <c r="AK69" s="10">
        <v>5335968.1808940005</v>
      </c>
      <c r="AL69" s="10">
        <v>5252008.3648100002</v>
      </c>
      <c r="AM69" s="10">
        <v>383759.58727999998</v>
      </c>
      <c r="AN69" s="10">
        <v>1685909.2015199999</v>
      </c>
      <c r="AO69" s="10">
        <v>4311525.0333200004</v>
      </c>
      <c r="AP69" s="10"/>
      <c r="AQ69" s="10">
        <v>1155288.438107</v>
      </c>
      <c r="AR69" s="10">
        <v>228973.93711</v>
      </c>
      <c r="AS69" s="10">
        <v>1058326.0432569999</v>
      </c>
      <c r="AT69" s="10">
        <v>0</v>
      </c>
      <c r="AU69" s="10"/>
      <c r="AV69" s="10"/>
      <c r="AW69" s="10">
        <v>0</v>
      </c>
      <c r="AX69" s="10">
        <v>353605.66379000002</v>
      </c>
      <c r="AY69" s="10">
        <v>468288.37297999999</v>
      </c>
      <c r="AZ69" s="10"/>
      <c r="BA69" s="10">
        <v>19840.229200000002</v>
      </c>
      <c r="BB69" s="10">
        <v>150026.05150999999</v>
      </c>
      <c r="BC69" s="10">
        <v>72905.098140000002</v>
      </c>
      <c r="BD69" s="10">
        <v>53590.601683000001</v>
      </c>
      <c r="BE69" s="10">
        <v>1517589.9115200001</v>
      </c>
      <c r="BF69" s="10">
        <v>889752.59745999996</v>
      </c>
      <c r="BG69" s="10">
        <v>844540.00759000005</v>
      </c>
      <c r="BH69" s="10"/>
      <c r="BI69" s="10">
        <v>0</v>
      </c>
      <c r="BJ69" s="10">
        <v>49010.298490000001</v>
      </c>
      <c r="BK69" s="10">
        <v>71856.006500000003</v>
      </c>
      <c r="BL69" s="10">
        <v>107210.19796</v>
      </c>
      <c r="BM69" s="10"/>
      <c r="BN69" s="10">
        <v>4966161.4602800002</v>
      </c>
      <c r="BO69" s="10">
        <v>463707.53466</v>
      </c>
      <c r="BP69" s="10">
        <v>941963.92139000003</v>
      </c>
      <c r="BQ69" s="10">
        <v>85515.057960000006</v>
      </c>
      <c r="BR69" s="10">
        <v>58716.596989999998</v>
      </c>
      <c r="BS69" s="10">
        <v>200698.38149999999</v>
      </c>
      <c r="BT69" s="10"/>
      <c r="BU69" s="10">
        <v>14811.20924</v>
      </c>
      <c r="BV69" s="10">
        <v>371987.49338</v>
      </c>
      <c r="BW69" s="10"/>
      <c r="BX69" s="10">
        <v>446967.34710700001</v>
      </c>
      <c r="BY69" s="10">
        <v>0</v>
      </c>
      <c r="BZ69" s="10"/>
      <c r="CA69" s="10">
        <v>32886.499982000001</v>
      </c>
      <c r="CB69" s="10">
        <v>221978.12507000001</v>
      </c>
      <c r="CC69" s="10">
        <v>109750.04833000001</v>
      </c>
      <c r="CD69" s="10">
        <v>226405.46909999999</v>
      </c>
      <c r="CE69" s="10"/>
      <c r="CF69" s="10">
        <v>99332.848929999993</v>
      </c>
      <c r="CG69" s="10"/>
      <c r="CH69" s="10"/>
      <c r="CI69" s="10"/>
      <c r="CJ69" s="10">
        <v>117371.126024</v>
      </c>
      <c r="CK69" s="10"/>
      <c r="CL69" s="10"/>
      <c r="CM69" s="10">
        <v>0</v>
      </c>
      <c r="CN69" s="10"/>
      <c r="CO69" s="10"/>
      <c r="CP69" s="10"/>
      <c r="CQ69" s="10">
        <v>0</v>
      </c>
      <c r="CR69" s="10"/>
      <c r="CS69" s="10">
        <v>0</v>
      </c>
      <c r="CT69" s="10"/>
      <c r="CU69" s="10"/>
      <c r="CV69" s="10">
        <v>0</v>
      </c>
      <c r="CW69" s="10"/>
      <c r="CX69" s="10">
        <v>0</v>
      </c>
      <c r="CY69" s="10">
        <v>0</v>
      </c>
      <c r="CZ69" s="10"/>
      <c r="DA69" s="10">
        <v>0</v>
      </c>
      <c r="DB69" s="10">
        <v>0</v>
      </c>
      <c r="DC69" s="10"/>
      <c r="DD69" s="10">
        <v>0</v>
      </c>
      <c r="DE69" s="10">
        <v>0</v>
      </c>
      <c r="DF69" s="10">
        <v>0</v>
      </c>
      <c r="DG69" s="10"/>
      <c r="DH69" s="10">
        <v>0</v>
      </c>
      <c r="DI69" s="10"/>
    </row>
    <row r="70" spans="1:113" x14ac:dyDescent="0.35">
      <c r="A70" s="8">
        <v>46120</v>
      </c>
      <c r="B70" s="9">
        <v>4513372788.5076599</v>
      </c>
      <c r="C70" s="10">
        <v>1908988887.5773201</v>
      </c>
      <c r="D70" s="10">
        <v>294887744.96499997</v>
      </c>
      <c r="E70" s="10">
        <v>331320386.9605</v>
      </c>
      <c r="F70" s="10">
        <v>1017807934.41388</v>
      </c>
      <c r="G70" s="10">
        <v>449878363.09530002</v>
      </c>
      <c r="H70" s="10">
        <v>78329990.432139993</v>
      </c>
      <c r="I70" s="10">
        <v>51103605.607539997</v>
      </c>
      <c r="J70" s="10">
        <v>30130578.198589999</v>
      </c>
      <c r="K70" s="10">
        <v>45498230.97958</v>
      </c>
      <c r="L70" s="10">
        <v>43517359.726219997</v>
      </c>
      <c r="M70" s="10">
        <v>19935589.827169999</v>
      </c>
      <c r="N70" s="10">
        <v>33284860.395562001</v>
      </c>
      <c r="O70" s="10">
        <v>5128147.6513320003</v>
      </c>
      <c r="P70" s="10"/>
      <c r="Q70" s="10">
        <v>14297923.88209</v>
      </c>
      <c r="R70" s="10">
        <v>25415655.733229998</v>
      </c>
      <c r="S70" s="10"/>
      <c r="T70" s="10">
        <v>20629279.712103002</v>
      </c>
      <c r="U70" s="10">
        <v>6677587.4977900004</v>
      </c>
      <c r="V70" s="10">
        <v>7978202.4928400004</v>
      </c>
      <c r="W70" s="10">
        <v>9917435.2877500001</v>
      </c>
      <c r="X70" s="10">
        <v>21604726.4254</v>
      </c>
      <c r="Y70" s="10">
        <v>9979001.8342599999</v>
      </c>
      <c r="Z70" s="10">
        <v>2062400.7914199999</v>
      </c>
      <c r="AA70" s="10">
        <v>11484667.95537</v>
      </c>
      <c r="AB70" s="10">
        <v>4565339.82271</v>
      </c>
      <c r="AC70" s="10">
        <v>2909020.9177899999</v>
      </c>
      <c r="AD70" s="10"/>
      <c r="AE70" s="10">
        <v>9467496.6523100007</v>
      </c>
      <c r="AF70" s="10">
        <v>4391088.7416500002</v>
      </c>
      <c r="AG70" s="10">
        <v>2789539.9465999999</v>
      </c>
      <c r="AH70" s="10">
        <v>5393470.3813500004</v>
      </c>
      <c r="AI70" s="10">
        <v>5447794.2257599998</v>
      </c>
      <c r="AJ70" s="10"/>
      <c r="AK70" s="10">
        <v>12121164.488996999</v>
      </c>
      <c r="AL70" s="10">
        <v>2032316.9292599999</v>
      </c>
      <c r="AM70" s="10">
        <v>1732523.80859</v>
      </c>
      <c r="AN70" s="10">
        <v>1581626.07284</v>
      </c>
      <c r="AO70" s="10">
        <v>6311667.0872400003</v>
      </c>
      <c r="AP70" s="10"/>
      <c r="AQ70" s="10">
        <v>1443706.1703349999</v>
      </c>
      <c r="AR70" s="10">
        <v>255304.51024</v>
      </c>
      <c r="AS70" s="10">
        <v>1148709.7447830001</v>
      </c>
      <c r="AT70" s="10">
        <v>0</v>
      </c>
      <c r="AU70" s="10"/>
      <c r="AV70" s="10"/>
      <c r="AW70" s="10">
        <v>0</v>
      </c>
      <c r="AX70" s="10">
        <v>1251690.5261899999</v>
      </c>
      <c r="AY70" s="10">
        <v>1478498.5529199999</v>
      </c>
      <c r="AZ70" s="10"/>
      <c r="BA70" s="10">
        <v>38005.475299999998</v>
      </c>
      <c r="BB70" s="10">
        <v>528750.11352999997</v>
      </c>
      <c r="BC70" s="10">
        <v>200288.75054000001</v>
      </c>
      <c r="BD70" s="10">
        <v>253334.42600899999</v>
      </c>
      <c r="BE70" s="10">
        <v>1715293.7779669999</v>
      </c>
      <c r="BF70" s="10">
        <v>1203057.48905</v>
      </c>
      <c r="BG70" s="10">
        <v>430716.40694000002</v>
      </c>
      <c r="BH70" s="10"/>
      <c r="BI70" s="10">
        <v>0</v>
      </c>
      <c r="BJ70" s="10">
        <v>840624.75540000002</v>
      </c>
      <c r="BK70" s="10">
        <v>11808.533600000001</v>
      </c>
      <c r="BL70" s="10">
        <v>185885.68367999999</v>
      </c>
      <c r="BM70" s="10"/>
      <c r="BN70" s="10">
        <v>652107.67321000004</v>
      </c>
      <c r="BO70" s="10">
        <v>427855.19138999999</v>
      </c>
      <c r="BP70" s="10">
        <v>0</v>
      </c>
      <c r="BQ70" s="10">
        <v>119259.81544000001</v>
      </c>
      <c r="BR70" s="10">
        <v>404214.77354999998</v>
      </c>
      <c r="BS70" s="10">
        <v>266404.23736999999</v>
      </c>
      <c r="BT70" s="10"/>
      <c r="BU70" s="10">
        <v>81048.537859999997</v>
      </c>
      <c r="BV70" s="10">
        <v>233154.39145</v>
      </c>
      <c r="BW70" s="10"/>
      <c r="BX70" s="10">
        <v>74576.293273000003</v>
      </c>
      <c r="BY70" s="10">
        <v>0</v>
      </c>
      <c r="BZ70" s="10"/>
      <c r="CA70" s="10">
        <v>0</v>
      </c>
      <c r="CB70" s="10">
        <v>164932.87182</v>
      </c>
      <c r="CC70" s="10">
        <v>238852.29871</v>
      </c>
      <c r="CD70" s="10">
        <v>4715.0857299999998</v>
      </c>
      <c r="CE70" s="10"/>
      <c r="CF70" s="10">
        <v>567970.39716000005</v>
      </c>
      <c r="CG70" s="10"/>
      <c r="CH70" s="10"/>
      <c r="CI70" s="10"/>
      <c r="CJ70" s="10">
        <v>550411.50673499994</v>
      </c>
      <c r="CK70" s="10"/>
      <c r="CL70" s="10"/>
      <c r="CM70" s="10">
        <v>0</v>
      </c>
      <c r="CN70" s="10"/>
      <c r="CO70" s="10"/>
      <c r="CP70" s="10"/>
      <c r="CQ70" s="10">
        <v>0</v>
      </c>
      <c r="CR70" s="10"/>
      <c r="CS70" s="10">
        <v>0</v>
      </c>
      <c r="CT70" s="10"/>
      <c r="CU70" s="10"/>
      <c r="CV70" s="10">
        <v>0</v>
      </c>
      <c r="CW70" s="10"/>
      <c r="CX70" s="10">
        <v>0</v>
      </c>
      <c r="CY70" s="10">
        <v>0</v>
      </c>
      <c r="CZ70" s="10"/>
      <c r="DA70" s="10">
        <v>0</v>
      </c>
      <c r="DB70" s="10">
        <v>0</v>
      </c>
      <c r="DC70" s="10"/>
      <c r="DD70" s="10">
        <v>0</v>
      </c>
      <c r="DE70" s="10">
        <v>0</v>
      </c>
      <c r="DF70" s="10">
        <v>0</v>
      </c>
      <c r="DG70" s="10"/>
      <c r="DH70" s="10">
        <v>0</v>
      </c>
      <c r="DI70" s="10"/>
    </row>
    <row r="71" spans="1:113" x14ac:dyDescent="0.35">
      <c r="A71" s="8">
        <v>46119</v>
      </c>
      <c r="B71" s="9">
        <v>5193533355.3441696</v>
      </c>
      <c r="C71" s="10">
        <v>2204430429.70824</v>
      </c>
      <c r="D71" s="10">
        <v>448743154.31756997</v>
      </c>
      <c r="E71" s="10">
        <v>605392262.51629901</v>
      </c>
      <c r="F71" s="10">
        <v>1064935935.66215</v>
      </c>
      <c r="G71" s="10">
        <v>412108606.61699998</v>
      </c>
      <c r="H71" s="10">
        <v>104902493.62792</v>
      </c>
      <c r="I71" s="10">
        <v>9370562.3183200005</v>
      </c>
      <c r="J71" s="10">
        <v>23675196.316380002</v>
      </c>
      <c r="K71" s="10">
        <v>17001103.196400002</v>
      </c>
      <c r="L71" s="10">
        <v>35333212.241619997</v>
      </c>
      <c r="M71" s="10">
        <v>20917696.87023</v>
      </c>
      <c r="N71" s="10">
        <v>33301690.788396001</v>
      </c>
      <c r="O71" s="10">
        <v>4738491.9672349999</v>
      </c>
      <c r="P71" s="10"/>
      <c r="Q71" s="10">
        <v>11956436.78052</v>
      </c>
      <c r="R71" s="10">
        <v>23704763.725189999</v>
      </c>
      <c r="S71" s="10"/>
      <c r="T71" s="10">
        <v>11416093.952643</v>
      </c>
      <c r="U71" s="10">
        <v>6408171.1822300004</v>
      </c>
      <c r="V71" s="10">
        <v>2123810.6019600001</v>
      </c>
      <c r="W71" s="10">
        <v>10599197.18701</v>
      </c>
      <c r="X71" s="10">
        <v>19564269.676490001</v>
      </c>
      <c r="Y71" s="10">
        <v>7654864.3987100003</v>
      </c>
      <c r="Z71" s="10">
        <v>3438201.3210999998</v>
      </c>
      <c r="AA71" s="10">
        <v>26271825.316739999</v>
      </c>
      <c r="AB71" s="10">
        <v>1664495.4177399999</v>
      </c>
      <c r="AC71" s="10">
        <v>5828193.8209699998</v>
      </c>
      <c r="AD71" s="10"/>
      <c r="AE71" s="10">
        <v>13321904.55486</v>
      </c>
      <c r="AF71" s="10">
        <v>2529322.7829</v>
      </c>
      <c r="AG71" s="10">
        <v>3322786.2137000002</v>
      </c>
      <c r="AH71" s="10">
        <v>4275686.6280899998</v>
      </c>
      <c r="AI71" s="10">
        <v>12985233.136150001</v>
      </c>
      <c r="AJ71" s="10"/>
      <c r="AK71" s="10">
        <v>18609421.363146</v>
      </c>
      <c r="AL71" s="10">
        <v>1546846.53565</v>
      </c>
      <c r="AM71" s="10">
        <v>1468148.2442699999</v>
      </c>
      <c r="AN71" s="10">
        <v>4389999.7287699999</v>
      </c>
      <c r="AO71" s="10">
        <v>1282141.33378</v>
      </c>
      <c r="AP71" s="10"/>
      <c r="AQ71" s="10">
        <v>1222178.5623290001</v>
      </c>
      <c r="AR71" s="10">
        <v>353310.07121000002</v>
      </c>
      <c r="AS71" s="10">
        <v>1290555.6494789999</v>
      </c>
      <c r="AT71" s="10">
        <v>0</v>
      </c>
      <c r="AU71" s="10"/>
      <c r="AV71" s="10"/>
      <c r="AW71" s="10"/>
      <c r="AX71" s="10">
        <v>431690.21101999999</v>
      </c>
      <c r="AY71" s="10">
        <v>1843185.75887</v>
      </c>
      <c r="AZ71" s="10"/>
      <c r="BA71" s="10">
        <v>7636.3117000000002</v>
      </c>
      <c r="BB71" s="10">
        <v>437191.16720000003</v>
      </c>
      <c r="BC71" s="10">
        <v>93949.413759999996</v>
      </c>
      <c r="BD71" s="10">
        <v>91984.752592999997</v>
      </c>
      <c r="BE71" s="10">
        <v>2153332.8664589999</v>
      </c>
      <c r="BF71" s="10">
        <v>1124348.0271399999</v>
      </c>
      <c r="BG71" s="10">
        <v>218028.06745</v>
      </c>
      <c r="BH71" s="10"/>
      <c r="BI71" s="10">
        <v>0</v>
      </c>
      <c r="BJ71" s="10">
        <v>744315.58687</v>
      </c>
      <c r="BK71" s="10">
        <v>70972.184200000003</v>
      </c>
      <c r="BL71" s="10">
        <v>626971.57860999997</v>
      </c>
      <c r="BM71" s="10"/>
      <c r="BN71" s="10">
        <v>59776.487029999997</v>
      </c>
      <c r="BO71" s="10">
        <v>173820.47932000001</v>
      </c>
      <c r="BP71" s="10">
        <v>0</v>
      </c>
      <c r="BQ71" s="10">
        <v>696004.67778000003</v>
      </c>
      <c r="BR71" s="10">
        <v>327555.87884000002</v>
      </c>
      <c r="BS71" s="10">
        <v>105207.08912999999</v>
      </c>
      <c r="BT71" s="10"/>
      <c r="BU71" s="10">
        <v>240462.05077999999</v>
      </c>
      <c r="BV71" s="10">
        <v>278896.43401999999</v>
      </c>
      <c r="BW71" s="10"/>
      <c r="BX71" s="10">
        <v>370340.18729500001</v>
      </c>
      <c r="BY71" s="10">
        <v>0</v>
      </c>
      <c r="BZ71" s="10"/>
      <c r="CA71" s="10">
        <v>0</v>
      </c>
      <c r="CB71" s="10">
        <v>439272.51721999998</v>
      </c>
      <c r="CC71" s="10">
        <v>152793.78398000001</v>
      </c>
      <c r="CD71" s="10">
        <v>141407.35055</v>
      </c>
      <c r="CE71" s="10"/>
      <c r="CF71" s="10">
        <v>616899.25861000002</v>
      </c>
      <c r="CG71" s="10"/>
      <c r="CH71" s="10"/>
      <c r="CI71" s="10"/>
      <c r="CJ71" s="10">
        <v>8618.8903389999996</v>
      </c>
      <c r="CK71" s="10"/>
      <c r="CL71" s="10"/>
      <c r="CM71" s="10">
        <v>0</v>
      </c>
      <c r="CN71" s="10"/>
      <c r="CO71" s="10"/>
      <c r="CP71" s="10"/>
      <c r="CQ71" s="10">
        <v>0</v>
      </c>
      <c r="CR71" s="10"/>
      <c r="CS71" s="10">
        <v>0</v>
      </c>
      <c r="CT71" s="10"/>
      <c r="CU71" s="10"/>
      <c r="CV71" s="10">
        <v>0</v>
      </c>
      <c r="CW71" s="10"/>
      <c r="CX71" s="10">
        <v>0</v>
      </c>
      <c r="CY71" s="10">
        <v>0</v>
      </c>
      <c r="CZ71" s="10"/>
      <c r="DA71" s="10">
        <v>0</v>
      </c>
      <c r="DB71" s="10">
        <v>0</v>
      </c>
      <c r="DC71" s="10"/>
      <c r="DD71" s="10">
        <v>0</v>
      </c>
      <c r="DE71" s="10">
        <v>0</v>
      </c>
      <c r="DF71" s="10">
        <v>0</v>
      </c>
      <c r="DG71" s="10"/>
      <c r="DH71" s="10">
        <v>0</v>
      </c>
      <c r="DI71" s="10"/>
    </row>
    <row r="72" spans="1:113" x14ac:dyDescent="0.35">
      <c r="A72" s="8">
        <v>46118</v>
      </c>
      <c r="B72" s="9">
        <v>2494820848.0486302</v>
      </c>
      <c r="C72" s="10">
        <v>869671632.71496999</v>
      </c>
      <c r="D72" s="10">
        <v>265172576.30603001</v>
      </c>
      <c r="E72" s="10">
        <v>307701132.03100002</v>
      </c>
      <c r="F72" s="10">
        <v>495525136.87840003</v>
      </c>
      <c r="G72" s="10">
        <v>218190509.23339999</v>
      </c>
      <c r="H72" s="10">
        <v>70384564.078309998</v>
      </c>
      <c r="I72" s="10">
        <v>11026801.026459999</v>
      </c>
      <c r="J72" s="10">
        <v>10993853.38446</v>
      </c>
      <c r="K72" s="10">
        <v>26987661.107250001</v>
      </c>
      <c r="L72" s="10">
        <v>31578124.713350002</v>
      </c>
      <c r="M72" s="10">
        <v>11065062.010910001</v>
      </c>
      <c r="N72" s="10">
        <v>30812666.128913</v>
      </c>
      <c r="O72" s="10">
        <v>5393085.437802</v>
      </c>
      <c r="P72" s="10"/>
      <c r="Q72" s="10">
        <v>7088160.4097999996</v>
      </c>
      <c r="R72" s="10">
        <v>28391967.81191</v>
      </c>
      <c r="S72" s="10"/>
      <c r="T72" s="10">
        <v>12618778.761426</v>
      </c>
      <c r="U72" s="10">
        <v>7188514.1263899999</v>
      </c>
      <c r="V72" s="10">
        <v>1133731.6796200001</v>
      </c>
      <c r="W72" s="10">
        <v>7939017.27037</v>
      </c>
      <c r="X72" s="10">
        <v>10554249.5963</v>
      </c>
      <c r="Y72" s="10">
        <v>4038671.5860000001</v>
      </c>
      <c r="Z72" s="10">
        <v>1701493.1198799999</v>
      </c>
      <c r="AA72" s="10">
        <v>10449549.80583</v>
      </c>
      <c r="AB72" s="10">
        <v>976669.96678000002</v>
      </c>
      <c r="AC72" s="10">
        <v>1612421.0598899999</v>
      </c>
      <c r="AD72" s="10"/>
      <c r="AE72" s="10">
        <v>9516065.2712699994</v>
      </c>
      <c r="AF72" s="10">
        <v>1558637.4391300001</v>
      </c>
      <c r="AG72" s="10">
        <v>9936191.5823999997</v>
      </c>
      <c r="AH72" s="10">
        <v>1956819.18799</v>
      </c>
      <c r="AI72" s="10">
        <v>4131775.3481999999</v>
      </c>
      <c r="AJ72" s="10"/>
      <c r="AK72" s="10">
        <v>3578519.5004500002</v>
      </c>
      <c r="AL72" s="10">
        <v>989172.51797000004</v>
      </c>
      <c r="AM72" s="10">
        <v>692101.03222000005</v>
      </c>
      <c r="AN72" s="10">
        <v>3812381.2627099999</v>
      </c>
      <c r="AO72" s="10">
        <v>759595.73757999996</v>
      </c>
      <c r="AP72" s="10"/>
      <c r="AQ72" s="10">
        <v>1663096.122676</v>
      </c>
      <c r="AR72" s="10">
        <v>561261.74300000002</v>
      </c>
      <c r="AS72" s="10">
        <v>957715.96193800005</v>
      </c>
      <c r="AT72" s="10">
        <v>0</v>
      </c>
      <c r="AU72" s="10"/>
      <c r="AV72" s="10"/>
      <c r="AW72" s="10"/>
      <c r="AX72" s="10">
        <v>466452.6335</v>
      </c>
      <c r="AY72" s="10">
        <v>693589.21495000005</v>
      </c>
      <c r="AZ72" s="10"/>
      <c r="BA72" s="10">
        <v>4541.2903999999999</v>
      </c>
      <c r="BB72" s="10">
        <v>157816.64567</v>
      </c>
      <c r="BC72" s="10">
        <v>9493.0178199999991</v>
      </c>
      <c r="BD72" s="10">
        <v>210451.45789600001</v>
      </c>
      <c r="BE72" s="10">
        <v>1463307.9264159999</v>
      </c>
      <c r="BF72" s="10">
        <v>1646022.64075</v>
      </c>
      <c r="BG72" s="10">
        <v>14458.601339999999</v>
      </c>
      <c r="BH72" s="10"/>
      <c r="BI72" s="10">
        <v>0</v>
      </c>
      <c r="BJ72" s="10">
        <v>13852.983829999999</v>
      </c>
      <c r="BK72" s="10">
        <v>9968.14</v>
      </c>
      <c r="BL72" s="10">
        <v>9775.2726299999995</v>
      </c>
      <c r="BM72" s="10"/>
      <c r="BN72" s="10">
        <v>0</v>
      </c>
      <c r="BO72" s="10">
        <v>125610.6504</v>
      </c>
      <c r="BP72" s="10">
        <v>0</v>
      </c>
      <c r="BQ72" s="10">
        <v>85853.645690000005</v>
      </c>
      <c r="BR72" s="10">
        <v>16060.77448</v>
      </c>
      <c r="BS72" s="10">
        <v>10212.54026</v>
      </c>
      <c r="BT72" s="10"/>
      <c r="BU72" s="10">
        <v>33169.759270000002</v>
      </c>
      <c r="BV72" s="10">
        <v>4125.4751900000001</v>
      </c>
      <c r="BW72" s="10"/>
      <c r="BX72" s="10">
        <v>432150.917113</v>
      </c>
      <c r="BY72" s="10">
        <v>0</v>
      </c>
      <c r="BZ72" s="10"/>
      <c r="CA72" s="10">
        <v>0</v>
      </c>
      <c r="CB72" s="10">
        <v>676903.33284000005</v>
      </c>
      <c r="CC72" s="10">
        <v>45879.738559999998</v>
      </c>
      <c r="CD72" s="10">
        <v>351628.2818</v>
      </c>
      <c r="CE72" s="10"/>
      <c r="CF72" s="10">
        <v>29878.456699999999</v>
      </c>
      <c r="CG72" s="10"/>
      <c r="CH72" s="10"/>
      <c r="CI72" s="10"/>
      <c r="CJ72" s="10">
        <v>281.69813499999998</v>
      </c>
      <c r="CK72" s="10"/>
      <c r="CL72" s="10"/>
      <c r="CM72" s="10">
        <v>0</v>
      </c>
      <c r="CN72" s="10"/>
      <c r="CO72" s="10"/>
      <c r="CP72" s="10"/>
      <c r="CQ72" s="10">
        <v>0</v>
      </c>
      <c r="CR72" s="10"/>
      <c r="CS72" s="10">
        <v>0</v>
      </c>
      <c r="CT72" s="10"/>
      <c r="CU72" s="10"/>
      <c r="CV72" s="10">
        <v>0</v>
      </c>
      <c r="CW72" s="10"/>
      <c r="CX72" s="10">
        <v>0</v>
      </c>
      <c r="CY72" s="10">
        <v>0</v>
      </c>
      <c r="CZ72" s="10"/>
      <c r="DA72" s="10">
        <v>0</v>
      </c>
      <c r="DB72" s="10">
        <v>0</v>
      </c>
      <c r="DC72" s="10"/>
      <c r="DD72" s="10">
        <v>0</v>
      </c>
      <c r="DE72" s="10">
        <v>0</v>
      </c>
      <c r="DF72" s="10">
        <v>0</v>
      </c>
      <c r="DG72" s="10"/>
      <c r="DH72" s="10">
        <v>0</v>
      </c>
      <c r="DI72" s="10"/>
    </row>
    <row r="73" spans="1:113" x14ac:dyDescent="0.35">
      <c r="A73" s="8">
        <v>46117</v>
      </c>
      <c r="B73" s="9">
        <v>673778023.54922998</v>
      </c>
      <c r="C73" s="10">
        <v>273633838.36540002</v>
      </c>
      <c r="D73" s="10">
        <v>65670184.857199997</v>
      </c>
      <c r="E73" s="10">
        <v>63690513.581</v>
      </c>
      <c r="F73" s="10">
        <v>114429634.5131</v>
      </c>
      <c r="G73" s="10">
        <v>51881098.633100003</v>
      </c>
      <c r="H73" s="10">
        <v>33678741.056570001</v>
      </c>
      <c r="I73" s="10">
        <v>1439128.2395200001</v>
      </c>
      <c r="J73" s="10">
        <v>3163779.0527400002</v>
      </c>
      <c r="K73" s="10">
        <v>1914136.4205</v>
      </c>
      <c r="L73" s="10">
        <v>4186294.1579399998</v>
      </c>
      <c r="M73" s="10">
        <v>2013502.97016</v>
      </c>
      <c r="N73" s="10">
        <v>4464259.0483240001</v>
      </c>
      <c r="O73" s="10">
        <v>1127213.6227170001</v>
      </c>
      <c r="P73" s="10"/>
      <c r="Q73" s="10">
        <v>1342297.0431900001</v>
      </c>
      <c r="R73" s="10">
        <v>3813605.7026399998</v>
      </c>
      <c r="S73" s="10"/>
      <c r="T73" s="10">
        <v>3297219.3287200001</v>
      </c>
      <c r="U73" s="10">
        <v>3715593.0975700002</v>
      </c>
      <c r="V73" s="10">
        <v>292385.52597999998</v>
      </c>
      <c r="W73" s="10">
        <v>2911056.1804599999</v>
      </c>
      <c r="X73" s="10">
        <v>2675562.7150599998</v>
      </c>
      <c r="Y73" s="10">
        <v>1132681.24227</v>
      </c>
      <c r="Z73" s="10">
        <v>310846.56628000003</v>
      </c>
      <c r="AA73" s="10">
        <v>19084211.768440001</v>
      </c>
      <c r="AB73" s="10">
        <v>214370.25224</v>
      </c>
      <c r="AC73" s="10">
        <v>478976.75553999998</v>
      </c>
      <c r="AD73" s="10"/>
      <c r="AE73" s="10">
        <v>3424233.9195099999</v>
      </c>
      <c r="AF73" s="10">
        <v>279411.09914000001</v>
      </c>
      <c r="AG73" s="10">
        <v>2266510.2788</v>
      </c>
      <c r="AH73" s="10">
        <v>515960.92583000002</v>
      </c>
      <c r="AI73" s="10">
        <v>226282.77739999999</v>
      </c>
      <c r="AJ73" s="10"/>
      <c r="AK73" s="10">
        <v>2342029.94545</v>
      </c>
      <c r="AL73" s="10">
        <v>47259.810270000002</v>
      </c>
      <c r="AM73" s="10">
        <v>463447.28567999997</v>
      </c>
      <c r="AN73" s="10">
        <v>131953.36926000001</v>
      </c>
      <c r="AO73" s="10">
        <v>56853.835650000001</v>
      </c>
      <c r="AP73" s="10"/>
      <c r="AQ73" s="10">
        <v>63126.600551000003</v>
      </c>
      <c r="AR73" s="10">
        <v>377162.42398999998</v>
      </c>
      <c r="AS73" s="10">
        <v>34862.115311000001</v>
      </c>
      <c r="AT73" s="10">
        <v>0</v>
      </c>
      <c r="AU73" s="10"/>
      <c r="AV73" s="10"/>
      <c r="AW73" s="10"/>
      <c r="AX73" s="10">
        <v>2587.9472500000002</v>
      </c>
      <c r="AY73" s="10">
        <v>6359.5258100000001</v>
      </c>
      <c r="AZ73" s="10"/>
      <c r="BA73" s="10">
        <v>15941.806699999999</v>
      </c>
      <c r="BB73" s="10">
        <v>190817.88018000001</v>
      </c>
      <c r="BC73" s="10">
        <v>37531.62831</v>
      </c>
      <c r="BD73" s="10">
        <v>2833.0871860000002</v>
      </c>
      <c r="BE73" s="10">
        <v>476729.36875000002</v>
      </c>
      <c r="BF73" s="10">
        <v>251375.64038999999</v>
      </c>
      <c r="BG73" s="10">
        <v>14970.975329999999</v>
      </c>
      <c r="BH73" s="10"/>
      <c r="BI73" s="10">
        <v>0</v>
      </c>
      <c r="BJ73" s="10">
        <v>2442.7328699999998</v>
      </c>
      <c r="BK73" s="10">
        <v>2345.9160000000002</v>
      </c>
      <c r="BL73" s="10">
        <v>322.21208999999999</v>
      </c>
      <c r="BM73" s="10"/>
      <c r="BN73" s="10">
        <v>0</v>
      </c>
      <c r="BO73" s="10">
        <v>41010.929040000003</v>
      </c>
      <c r="BP73" s="10">
        <v>0</v>
      </c>
      <c r="BQ73" s="10">
        <v>1706.0801100000001</v>
      </c>
      <c r="BR73" s="10">
        <v>1228.28234</v>
      </c>
      <c r="BS73" s="10">
        <v>1041704.50486</v>
      </c>
      <c r="BT73" s="10"/>
      <c r="BU73" s="10">
        <v>12445.335849999999</v>
      </c>
      <c r="BV73" s="10">
        <v>274.65415999999999</v>
      </c>
      <c r="BW73" s="10"/>
      <c r="BX73" s="10">
        <v>249364.814109</v>
      </c>
      <c r="BY73" s="10">
        <v>0</v>
      </c>
      <c r="BZ73" s="10"/>
      <c r="CA73" s="10">
        <v>0</v>
      </c>
      <c r="CB73" s="10">
        <v>160007.13907</v>
      </c>
      <c r="CC73" s="10">
        <v>561.55186000000003</v>
      </c>
      <c r="CD73" s="10">
        <v>462158.48173</v>
      </c>
      <c r="CE73" s="10"/>
      <c r="CF73" s="10">
        <v>163.69969</v>
      </c>
      <c r="CG73" s="10"/>
      <c r="CH73" s="10"/>
      <c r="CI73" s="10"/>
      <c r="CJ73" s="10">
        <v>12914.272042000001</v>
      </c>
      <c r="CK73" s="10"/>
      <c r="CL73" s="10"/>
      <c r="CM73" s="10"/>
      <c r="CN73" s="10"/>
      <c r="CO73" s="10"/>
      <c r="CP73" s="10"/>
      <c r="CQ73" s="10">
        <v>0</v>
      </c>
      <c r="CR73" s="10"/>
      <c r="CS73" s="10">
        <v>0</v>
      </c>
      <c r="CT73" s="10"/>
      <c r="CU73" s="10"/>
      <c r="CV73" s="10">
        <v>0</v>
      </c>
      <c r="CW73" s="10"/>
      <c r="CX73" s="10">
        <v>0</v>
      </c>
      <c r="CY73" s="10">
        <v>0</v>
      </c>
      <c r="CZ73" s="10"/>
      <c r="DA73" s="10">
        <v>0</v>
      </c>
      <c r="DB73" s="10">
        <v>0</v>
      </c>
      <c r="DC73" s="10"/>
      <c r="DD73" s="10">
        <v>0</v>
      </c>
      <c r="DE73" s="10">
        <v>0</v>
      </c>
      <c r="DF73" s="10">
        <v>0</v>
      </c>
      <c r="DG73" s="10"/>
      <c r="DH73" s="10">
        <v>0</v>
      </c>
      <c r="DI73" s="10"/>
    </row>
    <row r="74" spans="1:113" x14ac:dyDescent="0.35">
      <c r="A74" s="8">
        <v>46116</v>
      </c>
      <c r="B74" s="9">
        <v>195732766.11711499</v>
      </c>
      <c r="C74" s="10">
        <v>63341433.427469999</v>
      </c>
      <c r="D74" s="10">
        <v>8661612.6525699999</v>
      </c>
      <c r="E74" s="10">
        <v>20527770.280300099</v>
      </c>
      <c r="F74" s="10">
        <v>43482713.596699998</v>
      </c>
      <c r="G74" s="10">
        <v>27479142.3917</v>
      </c>
      <c r="H74" s="10">
        <v>3502237.4339200002</v>
      </c>
      <c r="I74" s="10">
        <v>733619.91835000005</v>
      </c>
      <c r="J74" s="10">
        <v>1480866.19252</v>
      </c>
      <c r="K74" s="10">
        <v>1856445.6825300001</v>
      </c>
      <c r="L74" s="10">
        <v>1634153.9808499999</v>
      </c>
      <c r="M74" s="10">
        <v>644121.73745999997</v>
      </c>
      <c r="N74" s="10">
        <v>1181672.785076</v>
      </c>
      <c r="O74" s="10">
        <v>645549.21672200004</v>
      </c>
      <c r="P74" s="10"/>
      <c r="Q74" s="10">
        <v>1360202.9914299999</v>
      </c>
      <c r="R74" s="10">
        <v>1062034.26825</v>
      </c>
      <c r="S74" s="10"/>
      <c r="T74" s="10">
        <v>613256.36688400002</v>
      </c>
      <c r="U74" s="10">
        <v>769033.47640000004</v>
      </c>
      <c r="V74" s="10">
        <v>197187.56826999999</v>
      </c>
      <c r="W74" s="10">
        <v>730410.92619999999</v>
      </c>
      <c r="X74" s="10">
        <v>1129104.70478</v>
      </c>
      <c r="Y74" s="10">
        <v>495959.69666999998</v>
      </c>
      <c r="Z74" s="10">
        <v>157958.72172999999</v>
      </c>
      <c r="AA74" s="10">
        <v>74225.014720000006</v>
      </c>
      <c r="AB74" s="10">
        <v>26190.3508</v>
      </c>
      <c r="AC74" s="10">
        <v>273862.52964999998</v>
      </c>
      <c r="AD74" s="10"/>
      <c r="AE74" s="10">
        <v>5541789.1698899996</v>
      </c>
      <c r="AF74" s="10">
        <v>137911.56284999999</v>
      </c>
      <c r="AG74" s="10">
        <v>3129601.4240999999</v>
      </c>
      <c r="AH74" s="10">
        <v>236839.54808000001</v>
      </c>
      <c r="AI74" s="10">
        <v>130247.06596000001</v>
      </c>
      <c r="AJ74" s="10"/>
      <c r="AK74" s="10">
        <v>696488.63814000005</v>
      </c>
      <c r="AL74" s="10">
        <v>149728.0099</v>
      </c>
      <c r="AM74" s="10">
        <v>132720.01128999999</v>
      </c>
      <c r="AN74" s="10">
        <v>163946.41772999999</v>
      </c>
      <c r="AO74" s="10">
        <v>30481.033530000001</v>
      </c>
      <c r="AP74" s="10"/>
      <c r="AQ74" s="10">
        <v>121290.50135799999</v>
      </c>
      <c r="AR74" s="10">
        <v>569387.59112999996</v>
      </c>
      <c r="AS74" s="10">
        <v>287893.662205</v>
      </c>
      <c r="AT74" s="10">
        <v>0</v>
      </c>
      <c r="AU74" s="10"/>
      <c r="AV74" s="10"/>
      <c r="AW74" s="10"/>
      <c r="AX74" s="10">
        <v>116101.40964</v>
      </c>
      <c r="AY74" s="10">
        <v>731.83849999999995</v>
      </c>
      <c r="AZ74" s="10"/>
      <c r="BA74" s="10">
        <v>3490.5387999999998</v>
      </c>
      <c r="BB74" s="10">
        <v>162797.36648</v>
      </c>
      <c r="BC74" s="10">
        <v>7517.7591599999996</v>
      </c>
      <c r="BD74" s="10">
        <v>790174.04463500006</v>
      </c>
      <c r="BE74" s="10">
        <v>393905.16960600001</v>
      </c>
      <c r="BF74" s="10">
        <v>36031.418010000001</v>
      </c>
      <c r="BG74" s="10">
        <v>35190.989049999996</v>
      </c>
      <c r="BH74" s="10"/>
      <c r="BI74" s="10">
        <v>0</v>
      </c>
      <c r="BJ74" s="10">
        <v>133.54414</v>
      </c>
      <c r="BK74" s="10">
        <v>5461.7034000000003</v>
      </c>
      <c r="BL74" s="10">
        <v>857.97533999999996</v>
      </c>
      <c r="BM74" s="10"/>
      <c r="BN74" s="10">
        <v>0</v>
      </c>
      <c r="BO74" s="10">
        <v>15965.381289999999</v>
      </c>
      <c r="BP74" s="10">
        <v>0</v>
      </c>
      <c r="BQ74" s="10">
        <v>37.35783</v>
      </c>
      <c r="BR74" s="10">
        <v>420.58661000000001</v>
      </c>
      <c r="BS74" s="10">
        <v>1885.2637500000001</v>
      </c>
      <c r="BT74" s="10"/>
      <c r="BU74" s="10">
        <v>57.452039999999997</v>
      </c>
      <c r="BV74" s="10">
        <v>88.524940000000001</v>
      </c>
      <c r="BW74" s="10"/>
      <c r="BX74" s="10">
        <v>711.62833000000001</v>
      </c>
      <c r="BY74" s="10">
        <v>0</v>
      </c>
      <c r="BZ74" s="10"/>
      <c r="CA74" s="10">
        <v>0</v>
      </c>
      <c r="CB74" s="10">
        <v>103183.33839999999</v>
      </c>
      <c r="CC74" s="10">
        <v>71.740679999999998</v>
      </c>
      <c r="CD74" s="10">
        <v>487703.94685000001</v>
      </c>
      <c r="CE74" s="10"/>
      <c r="CF74" s="10">
        <v>3124.2083200000002</v>
      </c>
      <c r="CG74" s="10"/>
      <c r="CH74" s="10"/>
      <c r="CI74" s="10"/>
      <c r="CJ74" s="10">
        <v>178032.383199</v>
      </c>
      <c r="CK74" s="10"/>
      <c r="CL74" s="10"/>
      <c r="CM74" s="10"/>
      <c r="CN74" s="10"/>
      <c r="CO74" s="10"/>
      <c r="CP74" s="10"/>
      <c r="CQ74" s="10">
        <v>0</v>
      </c>
      <c r="CR74" s="10"/>
      <c r="CS74" s="10">
        <v>0</v>
      </c>
      <c r="CT74" s="10"/>
      <c r="CU74" s="10"/>
      <c r="CV74" s="10">
        <v>0</v>
      </c>
      <c r="CW74" s="10"/>
      <c r="CX74" s="10">
        <v>0</v>
      </c>
      <c r="CY74" s="10">
        <v>0</v>
      </c>
      <c r="CZ74" s="10"/>
      <c r="DA74" s="10">
        <v>0</v>
      </c>
      <c r="DB74" s="10">
        <v>0</v>
      </c>
      <c r="DC74" s="10"/>
      <c r="DD74" s="10">
        <v>0</v>
      </c>
      <c r="DE74" s="10">
        <v>0</v>
      </c>
      <c r="DF74" s="10">
        <v>0</v>
      </c>
      <c r="DG74" s="10"/>
      <c r="DH74" s="10">
        <v>0</v>
      </c>
      <c r="DI74" s="10"/>
    </row>
    <row r="75" spans="1:113" x14ac:dyDescent="0.35">
      <c r="A75" s="8">
        <v>46115</v>
      </c>
      <c r="B75" s="9">
        <v>426129439.602516</v>
      </c>
      <c r="C75" s="10">
        <v>139833160.44005999</v>
      </c>
      <c r="D75" s="10">
        <v>9951172.1028700005</v>
      </c>
      <c r="E75" s="10">
        <v>77830163.805999994</v>
      </c>
      <c r="F75" s="10">
        <v>76793116.662699997</v>
      </c>
      <c r="G75" s="10">
        <v>55151575.521799996</v>
      </c>
      <c r="H75" s="10">
        <v>18016431.344149999</v>
      </c>
      <c r="I75" s="10">
        <v>1754471.5053099999</v>
      </c>
      <c r="J75" s="10">
        <v>3234396.2223100001</v>
      </c>
      <c r="K75" s="10">
        <v>1894240.0994800001</v>
      </c>
      <c r="L75" s="10">
        <v>4947786.19508</v>
      </c>
      <c r="M75" s="10">
        <v>1482577.8341300001</v>
      </c>
      <c r="N75" s="10">
        <v>4222465.7065939996</v>
      </c>
      <c r="O75" s="10">
        <v>1072781.1275309999</v>
      </c>
      <c r="P75" s="10"/>
      <c r="Q75" s="10">
        <v>1018540.19431</v>
      </c>
      <c r="R75" s="10">
        <v>1039770.49926</v>
      </c>
      <c r="S75" s="10"/>
      <c r="T75" s="10">
        <v>1584641.445078</v>
      </c>
      <c r="U75" s="10">
        <v>2605671.33133</v>
      </c>
      <c r="V75" s="10">
        <v>1366764.1552899999</v>
      </c>
      <c r="W75" s="10">
        <v>1375562.2347599999</v>
      </c>
      <c r="X75" s="10">
        <v>2172306.1791599998</v>
      </c>
      <c r="Y75" s="10">
        <v>980313.82982999994</v>
      </c>
      <c r="Z75" s="10">
        <v>241995.8786</v>
      </c>
      <c r="AA75" s="10">
        <v>293969.06144000002</v>
      </c>
      <c r="AB75" s="10">
        <v>146406.09028</v>
      </c>
      <c r="AC75" s="10">
        <v>422559.14036999998</v>
      </c>
      <c r="AD75" s="10"/>
      <c r="AE75" s="10">
        <v>4324999.6102799997</v>
      </c>
      <c r="AF75" s="10">
        <v>772893.83226000005</v>
      </c>
      <c r="AG75" s="10">
        <v>5392257.2339000003</v>
      </c>
      <c r="AH75" s="10">
        <v>625922.18258999998</v>
      </c>
      <c r="AI75" s="10">
        <v>563169.59429000004</v>
      </c>
      <c r="AJ75" s="10"/>
      <c r="AK75" s="10">
        <v>336946.30060999998</v>
      </c>
      <c r="AL75" s="10">
        <v>429728.27328999998</v>
      </c>
      <c r="AM75" s="10">
        <v>334126.79067999998</v>
      </c>
      <c r="AN75" s="10">
        <v>104677.49838</v>
      </c>
      <c r="AO75" s="10">
        <v>184252.70095</v>
      </c>
      <c r="AP75" s="10"/>
      <c r="AQ75" s="10">
        <v>72345.696775999997</v>
      </c>
      <c r="AR75" s="10">
        <v>328484.65821999998</v>
      </c>
      <c r="AS75" s="10">
        <v>16635.732403000002</v>
      </c>
      <c r="AT75" s="10">
        <v>0</v>
      </c>
      <c r="AU75" s="10"/>
      <c r="AV75" s="10"/>
      <c r="AW75" s="10"/>
      <c r="AX75" s="10">
        <v>4847.1031000000003</v>
      </c>
      <c r="AY75" s="10">
        <v>15165.254440000001</v>
      </c>
      <c r="AZ75" s="10"/>
      <c r="BA75" s="10">
        <v>9820.3179</v>
      </c>
      <c r="BB75" s="10">
        <v>98121.422399999996</v>
      </c>
      <c r="BC75" s="10">
        <v>21140.822950000002</v>
      </c>
      <c r="BD75" s="10">
        <v>4936.42695</v>
      </c>
      <c r="BE75" s="10">
        <v>423326.53159199998</v>
      </c>
      <c r="BF75" s="10">
        <v>109412.89870000001</v>
      </c>
      <c r="BG75" s="10">
        <v>56376.898690000002</v>
      </c>
      <c r="BH75" s="10"/>
      <c r="BI75" s="10">
        <v>0</v>
      </c>
      <c r="BJ75" s="10">
        <v>4193.1240399999997</v>
      </c>
      <c r="BK75" s="10">
        <v>8188.7340999999997</v>
      </c>
      <c r="BL75" s="10">
        <v>510.79556000000002</v>
      </c>
      <c r="BM75" s="10"/>
      <c r="BN75" s="10">
        <v>0</v>
      </c>
      <c r="BO75" s="10">
        <v>2689.3161</v>
      </c>
      <c r="BP75" s="10">
        <v>0</v>
      </c>
      <c r="BQ75" s="10">
        <v>2244.3063499999998</v>
      </c>
      <c r="BR75" s="10">
        <v>246.15947</v>
      </c>
      <c r="BS75" s="10">
        <v>1911961.50636</v>
      </c>
      <c r="BT75" s="10"/>
      <c r="BU75" s="10">
        <v>569.88936999999999</v>
      </c>
      <c r="BV75" s="10">
        <v>2011.03</v>
      </c>
      <c r="BW75" s="10"/>
      <c r="BX75" s="10">
        <v>1441.9490719999999</v>
      </c>
      <c r="BY75" s="10">
        <v>0</v>
      </c>
      <c r="BZ75" s="10"/>
      <c r="CA75" s="10">
        <v>0</v>
      </c>
      <c r="CB75" s="10">
        <v>112145.01526</v>
      </c>
      <c r="CC75" s="10">
        <v>3616.1154099999999</v>
      </c>
      <c r="CD75" s="10">
        <v>356816.07318000001</v>
      </c>
      <c r="CE75" s="10"/>
      <c r="CF75" s="10">
        <v>56382.039169999996</v>
      </c>
      <c r="CG75" s="10"/>
      <c r="CH75" s="10"/>
      <c r="CI75" s="10"/>
      <c r="CJ75" s="10">
        <v>3997.16</v>
      </c>
      <c r="CK75" s="10"/>
      <c r="CL75" s="10"/>
      <c r="CM75" s="10"/>
      <c r="CN75" s="10"/>
      <c r="CO75" s="10"/>
      <c r="CP75" s="10"/>
      <c r="CQ75" s="10">
        <v>0</v>
      </c>
      <c r="CR75" s="10"/>
      <c r="CS75" s="10">
        <v>0</v>
      </c>
      <c r="CT75" s="10"/>
      <c r="CU75" s="10"/>
      <c r="CV75" s="10">
        <v>0</v>
      </c>
      <c r="CW75" s="10"/>
      <c r="CX75" s="10">
        <v>0</v>
      </c>
      <c r="CY75" s="10">
        <v>0</v>
      </c>
      <c r="CZ75" s="10"/>
      <c r="DA75" s="10">
        <v>0</v>
      </c>
      <c r="DB75" s="10">
        <v>0</v>
      </c>
      <c r="DC75" s="10"/>
      <c r="DD75" s="10">
        <v>0</v>
      </c>
      <c r="DE75" s="10">
        <v>0</v>
      </c>
      <c r="DF75" s="10">
        <v>0</v>
      </c>
      <c r="DG75" s="10"/>
      <c r="DH75" s="10">
        <v>0</v>
      </c>
      <c r="DI75" s="10"/>
    </row>
    <row r="76" spans="1:113" x14ac:dyDescent="0.35">
      <c r="A76" s="8">
        <v>46114</v>
      </c>
      <c r="B76" s="9">
        <v>4019440769.3274698</v>
      </c>
      <c r="C76" s="10">
        <v>1209194983.14166</v>
      </c>
      <c r="D76" s="10">
        <v>405045318.41391999</v>
      </c>
      <c r="E76" s="10">
        <v>459739417.23509997</v>
      </c>
      <c r="F76" s="10">
        <v>827469908.11575997</v>
      </c>
      <c r="G76" s="10">
        <v>499362075.66769999</v>
      </c>
      <c r="H76" s="10">
        <v>216929096.32933</v>
      </c>
      <c r="I76" s="10">
        <v>26878207.418079998</v>
      </c>
      <c r="J76" s="10">
        <v>34003832.62359</v>
      </c>
      <c r="K76" s="10">
        <v>46742603.598750003</v>
      </c>
      <c r="L76" s="10">
        <v>30866362.505580001</v>
      </c>
      <c r="M76" s="10">
        <v>16662862.29528</v>
      </c>
      <c r="N76" s="10">
        <v>39930325.817185998</v>
      </c>
      <c r="O76" s="10">
        <v>10436991.084825</v>
      </c>
      <c r="P76" s="10"/>
      <c r="Q76" s="10">
        <v>8006280.6348700002</v>
      </c>
      <c r="R76" s="10">
        <v>23300618.499899998</v>
      </c>
      <c r="S76" s="10"/>
      <c r="T76" s="10">
        <v>15483629.072117001</v>
      </c>
      <c r="U76" s="10">
        <v>5988257.2806900004</v>
      </c>
      <c r="V76" s="10">
        <v>3475416.7029599999</v>
      </c>
      <c r="W76" s="10">
        <v>15470317.03569</v>
      </c>
      <c r="X76" s="10">
        <v>14435374.43258</v>
      </c>
      <c r="Y76" s="10">
        <v>9954335.4174199998</v>
      </c>
      <c r="Z76" s="10">
        <v>3164821.5825800002</v>
      </c>
      <c r="AA76" s="10">
        <v>15817530.144889999</v>
      </c>
      <c r="AB76" s="10">
        <v>2329527.0693399999</v>
      </c>
      <c r="AC76" s="10">
        <v>4613496.9937899997</v>
      </c>
      <c r="AD76" s="10"/>
      <c r="AE76" s="10">
        <v>12303983.96195</v>
      </c>
      <c r="AF76" s="10">
        <v>4042239.0504600001</v>
      </c>
      <c r="AG76" s="10">
        <v>13246564.8138</v>
      </c>
      <c r="AH76" s="10">
        <v>3110331.8460200001</v>
      </c>
      <c r="AI76" s="10">
        <v>3652032.41022</v>
      </c>
      <c r="AJ76" s="10"/>
      <c r="AK76" s="10">
        <v>11056555.314779</v>
      </c>
      <c r="AL76" s="10">
        <v>3946043.5647700001</v>
      </c>
      <c r="AM76" s="10">
        <v>1027336.26381</v>
      </c>
      <c r="AN76" s="10">
        <v>674690.86230000004</v>
      </c>
      <c r="AO76" s="10">
        <v>1709401.2822100001</v>
      </c>
      <c r="AP76" s="10"/>
      <c r="AQ76" s="10">
        <v>3564253.6413730001</v>
      </c>
      <c r="AR76" s="10">
        <v>295091.29262000002</v>
      </c>
      <c r="AS76" s="10">
        <v>599813.96609400003</v>
      </c>
      <c r="AT76" s="10">
        <v>0</v>
      </c>
      <c r="AU76" s="10"/>
      <c r="AV76" s="10"/>
      <c r="AW76" s="10"/>
      <c r="AX76" s="10">
        <v>1899403.5045799999</v>
      </c>
      <c r="AY76" s="10">
        <v>1910508.46144</v>
      </c>
      <c r="AZ76" s="10"/>
      <c r="BA76" s="10">
        <v>5455.8248000000003</v>
      </c>
      <c r="BB76" s="10">
        <v>237526.47083999999</v>
      </c>
      <c r="BC76" s="10">
        <v>1543944.41864</v>
      </c>
      <c r="BD76" s="10">
        <v>775528.65952800005</v>
      </c>
      <c r="BE76" s="10">
        <v>1665398.8167040001</v>
      </c>
      <c r="BF76" s="10">
        <v>1613909.54932</v>
      </c>
      <c r="BG76" s="10">
        <v>99342.058739999906</v>
      </c>
      <c r="BH76" s="10"/>
      <c r="BI76" s="10">
        <v>0</v>
      </c>
      <c r="BJ76" s="10">
        <v>157092.81972999999</v>
      </c>
      <c r="BK76" s="10">
        <v>111229.6928</v>
      </c>
      <c r="BL76" s="10">
        <v>1220.24929</v>
      </c>
      <c r="BM76" s="10"/>
      <c r="BN76" s="10">
        <v>0</v>
      </c>
      <c r="BO76" s="10">
        <v>311361.53972</v>
      </c>
      <c r="BP76" s="10">
        <v>0</v>
      </c>
      <c r="BQ76" s="10">
        <v>38576.414049999999</v>
      </c>
      <c r="BR76" s="10">
        <v>9194.9891000000007</v>
      </c>
      <c r="BS76" s="10">
        <v>1537769.162337</v>
      </c>
      <c r="BT76" s="10"/>
      <c r="BU76" s="10">
        <v>40402.583140000002</v>
      </c>
      <c r="BV76" s="10">
        <v>4241.4440299999997</v>
      </c>
      <c r="BW76" s="10"/>
      <c r="BX76" s="10">
        <v>914944.28535200004</v>
      </c>
      <c r="BY76" s="10">
        <v>0</v>
      </c>
      <c r="BZ76" s="10"/>
      <c r="CA76" s="10">
        <v>0</v>
      </c>
      <c r="CB76" s="10">
        <v>1276021.5375600001</v>
      </c>
      <c r="CC76" s="10">
        <v>21224.2595</v>
      </c>
      <c r="CD76" s="10">
        <v>340024.11031999998</v>
      </c>
      <c r="CE76" s="10"/>
      <c r="CF76" s="10">
        <v>390101.20867999998</v>
      </c>
      <c r="CG76" s="10"/>
      <c r="CH76" s="10"/>
      <c r="CI76" s="10"/>
      <c r="CJ76" s="10">
        <v>6419.8832700000003</v>
      </c>
      <c r="CK76" s="10"/>
      <c r="CL76" s="10"/>
      <c r="CM76" s="10"/>
      <c r="CN76" s="10"/>
      <c r="CO76" s="10"/>
      <c r="CP76" s="10"/>
      <c r="CQ76" s="10">
        <v>0</v>
      </c>
      <c r="CR76" s="10"/>
      <c r="CS76" s="10">
        <v>0</v>
      </c>
      <c r="CT76" s="10"/>
      <c r="CU76" s="10"/>
      <c r="CV76" s="10">
        <v>0</v>
      </c>
      <c r="CW76" s="10"/>
      <c r="CX76" s="10">
        <v>0</v>
      </c>
      <c r="CY76" s="10"/>
      <c r="CZ76" s="10"/>
      <c r="DA76" s="10">
        <v>0</v>
      </c>
      <c r="DB76" s="10">
        <v>0</v>
      </c>
      <c r="DC76" s="10"/>
      <c r="DD76" s="10">
        <v>0</v>
      </c>
      <c r="DE76" s="10">
        <v>0</v>
      </c>
      <c r="DF76" s="10">
        <v>0</v>
      </c>
      <c r="DG76" s="10"/>
      <c r="DH76" s="10">
        <v>0</v>
      </c>
      <c r="DI76" s="10"/>
    </row>
    <row r="77" spans="1:113" x14ac:dyDescent="0.35">
      <c r="A77" s="8">
        <v>46113</v>
      </c>
      <c r="B77" s="9">
        <v>3008228455.0125499</v>
      </c>
      <c r="C77" s="10">
        <v>837692819.13668597</v>
      </c>
      <c r="D77" s="10">
        <v>296716458.51011002</v>
      </c>
      <c r="E77" s="10">
        <v>363238603.65579998</v>
      </c>
      <c r="F77" s="10">
        <v>731201010.57059097</v>
      </c>
      <c r="G77" s="10">
        <v>310198128.30650097</v>
      </c>
      <c r="H77" s="10">
        <v>106987909.31523</v>
      </c>
      <c r="I77" s="10">
        <v>33151064.754489999</v>
      </c>
      <c r="J77" s="10">
        <v>26569461.62494</v>
      </c>
      <c r="K77" s="10">
        <v>41506261.036710002</v>
      </c>
      <c r="L77" s="10">
        <v>18901758.178890001</v>
      </c>
      <c r="M77" s="10">
        <v>19605698.3594</v>
      </c>
      <c r="N77" s="10">
        <v>42502243.815714002</v>
      </c>
      <c r="O77" s="10">
        <v>6491600.0168949999</v>
      </c>
      <c r="P77" s="10"/>
      <c r="Q77" s="10">
        <v>12567096.845140001</v>
      </c>
      <c r="R77" s="10">
        <v>15619070.555029999</v>
      </c>
      <c r="S77" s="10"/>
      <c r="T77" s="10">
        <v>11853988.848245</v>
      </c>
      <c r="U77" s="10">
        <v>4680281.7873900002</v>
      </c>
      <c r="V77" s="10">
        <v>2732347.7302199998</v>
      </c>
      <c r="W77" s="10">
        <v>17638991.075490002</v>
      </c>
      <c r="X77" s="10">
        <v>13103359.938379999</v>
      </c>
      <c r="Y77" s="10">
        <v>9289220.8916900009</v>
      </c>
      <c r="Z77" s="10">
        <v>2253012.7996800002</v>
      </c>
      <c r="AA77" s="10">
        <v>17126213.43217</v>
      </c>
      <c r="AB77" s="10">
        <v>1388988.9009499999</v>
      </c>
      <c r="AC77" s="10">
        <v>3281792.9575899998</v>
      </c>
      <c r="AD77" s="10"/>
      <c r="AE77" s="10">
        <v>13991925.710310001</v>
      </c>
      <c r="AF77" s="10">
        <v>3796493.0603</v>
      </c>
      <c r="AG77" s="10">
        <v>11854484.766000001</v>
      </c>
      <c r="AH77" s="10">
        <v>4152453.5234099999</v>
      </c>
      <c r="AI77" s="10">
        <v>2818387.2613300001</v>
      </c>
      <c r="AJ77" s="10"/>
      <c r="AK77" s="10">
        <v>3551638.8930170001</v>
      </c>
      <c r="AL77" s="10">
        <v>3907476.20285</v>
      </c>
      <c r="AM77" s="10">
        <v>1254941.1393500001</v>
      </c>
      <c r="AN77" s="10">
        <v>2000871.2901600001</v>
      </c>
      <c r="AO77" s="10">
        <v>1027572.4521</v>
      </c>
      <c r="AP77" s="10"/>
      <c r="AQ77" s="10">
        <v>1731311.158601</v>
      </c>
      <c r="AR77" s="10">
        <v>142756.03721000001</v>
      </c>
      <c r="AS77" s="10">
        <v>1307654.1911549999</v>
      </c>
      <c r="AT77" s="10">
        <v>0</v>
      </c>
      <c r="AU77" s="10"/>
      <c r="AV77" s="10"/>
      <c r="AW77" s="10"/>
      <c r="AX77" s="10">
        <v>1293111.56375</v>
      </c>
      <c r="AY77" s="10">
        <v>1849339.8544300001</v>
      </c>
      <c r="AZ77" s="10"/>
      <c r="BA77" s="10">
        <v>18891.170399999999</v>
      </c>
      <c r="BB77" s="10">
        <v>200669.95806</v>
      </c>
      <c r="BC77" s="10">
        <v>181193.02369999999</v>
      </c>
      <c r="BD77" s="10">
        <v>1462393.213983</v>
      </c>
      <c r="BE77" s="10">
        <v>1489102.983699</v>
      </c>
      <c r="BF77" s="10">
        <v>1360017.7864399999</v>
      </c>
      <c r="BG77" s="10">
        <v>16462.691299999999</v>
      </c>
      <c r="BH77" s="10"/>
      <c r="BI77" s="10">
        <v>0</v>
      </c>
      <c r="BJ77" s="10">
        <v>191224.28336999999</v>
      </c>
      <c r="BK77" s="10">
        <v>44101.4424</v>
      </c>
      <c r="BL77" s="10">
        <v>19336.410339999999</v>
      </c>
      <c r="BM77" s="10"/>
      <c r="BN77" s="10"/>
      <c r="BO77" s="10">
        <v>240169.29268000001</v>
      </c>
      <c r="BP77" s="10">
        <v>0</v>
      </c>
      <c r="BQ77" s="10">
        <v>172338.95826000001</v>
      </c>
      <c r="BR77" s="10">
        <v>35075.767870000003</v>
      </c>
      <c r="BS77" s="10">
        <v>94810.515637999997</v>
      </c>
      <c r="BT77" s="10"/>
      <c r="BU77" s="10">
        <v>1050993.34965</v>
      </c>
      <c r="BV77" s="10">
        <v>56669.228620000002</v>
      </c>
      <c r="BW77" s="10"/>
      <c r="BX77" s="10">
        <v>122830.79378000001</v>
      </c>
      <c r="BY77" s="10">
        <v>0</v>
      </c>
      <c r="BZ77" s="10"/>
      <c r="CA77" s="10">
        <v>0</v>
      </c>
      <c r="CB77" s="10">
        <v>339467.1153</v>
      </c>
      <c r="CC77" s="10">
        <v>67925.583670000007</v>
      </c>
      <c r="CD77" s="10">
        <v>51024.846700000002</v>
      </c>
      <c r="CE77" s="10"/>
      <c r="CF77" s="10">
        <v>21962.18879</v>
      </c>
      <c r="CG77" s="10"/>
      <c r="CH77" s="10"/>
      <c r="CI77" s="10"/>
      <c r="CJ77" s="10">
        <v>13994.26</v>
      </c>
      <c r="CK77" s="10"/>
      <c r="CL77" s="10"/>
      <c r="CM77" s="10"/>
      <c r="CN77" s="10"/>
      <c r="CO77" s="10"/>
      <c r="CP77" s="10"/>
      <c r="CQ77" s="10">
        <v>0</v>
      </c>
      <c r="CR77" s="10"/>
      <c r="CS77" s="10">
        <v>0</v>
      </c>
      <c r="CT77" s="10"/>
      <c r="CU77" s="10"/>
      <c r="CV77" s="10">
        <v>0</v>
      </c>
      <c r="CW77" s="10"/>
      <c r="CX77" s="10">
        <v>0</v>
      </c>
      <c r="CY77" s="10"/>
      <c r="CZ77" s="10"/>
      <c r="DA77" s="10">
        <v>0</v>
      </c>
      <c r="DB77" s="10">
        <v>0</v>
      </c>
      <c r="DC77" s="10"/>
      <c r="DD77" s="10">
        <v>0</v>
      </c>
      <c r="DE77" s="10">
        <v>0</v>
      </c>
      <c r="DF77" s="10">
        <v>0</v>
      </c>
      <c r="DG77" s="10"/>
      <c r="DH77" s="10">
        <v>0</v>
      </c>
      <c r="DI77" s="10"/>
    </row>
    <row r="78" spans="1:113" x14ac:dyDescent="0.35">
      <c r="A78" s="8">
        <v>46112</v>
      </c>
      <c r="B78" s="9">
        <v>3308299317.4094701</v>
      </c>
      <c r="C78" s="10">
        <v>815758520.805439</v>
      </c>
      <c r="D78" s="10">
        <v>345219583.00617999</v>
      </c>
      <c r="E78" s="10">
        <v>465656350.50379997</v>
      </c>
      <c r="F78" s="10">
        <v>702789465.40699899</v>
      </c>
      <c r="G78" s="10">
        <v>416021681.40600002</v>
      </c>
      <c r="H78" s="10">
        <v>151502372.15744001</v>
      </c>
      <c r="I78" s="10">
        <v>56468724.20685</v>
      </c>
      <c r="J78" s="10">
        <v>34558806.67244</v>
      </c>
      <c r="K78" s="10">
        <v>35543540.529069997</v>
      </c>
      <c r="L78" s="10">
        <v>31259207.25423</v>
      </c>
      <c r="M78" s="10">
        <v>10966759.739229999</v>
      </c>
      <c r="N78" s="10">
        <v>33562279.003602996</v>
      </c>
      <c r="O78" s="10">
        <v>7628603.2056919998</v>
      </c>
      <c r="P78" s="10"/>
      <c r="Q78" s="10">
        <v>10481424.824790001</v>
      </c>
      <c r="R78" s="10">
        <v>27304185.050519999</v>
      </c>
      <c r="S78" s="10"/>
      <c r="T78" s="10">
        <v>18123861.465025999</v>
      </c>
      <c r="U78" s="10">
        <v>7279321.33354</v>
      </c>
      <c r="V78" s="10">
        <v>4003585.5292500001</v>
      </c>
      <c r="W78" s="10">
        <v>12277480.66767</v>
      </c>
      <c r="X78" s="10">
        <v>20256614.623380002</v>
      </c>
      <c r="Y78" s="10">
        <v>8579822.0948200002</v>
      </c>
      <c r="Z78" s="10">
        <v>2238931.9855800001</v>
      </c>
      <c r="AA78" s="10">
        <v>21848130.4027</v>
      </c>
      <c r="AB78" s="10">
        <v>1865391.05923</v>
      </c>
      <c r="AC78" s="10">
        <v>4423548.95414</v>
      </c>
      <c r="AD78" s="10"/>
      <c r="AE78" s="10">
        <v>12623561.04864</v>
      </c>
      <c r="AF78" s="10">
        <v>5977890.73972</v>
      </c>
      <c r="AG78" s="10">
        <v>10307617.3358</v>
      </c>
      <c r="AH78" s="10">
        <v>4298453.3335899999</v>
      </c>
      <c r="AI78" s="10">
        <v>4370153.54782</v>
      </c>
      <c r="AJ78" s="10"/>
      <c r="AK78" s="10">
        <v>5012614.162916</v>
      </c>
      <c r="AL78" s="10">
        <v>4580916.8022699999</v>
      </c>
      <c r="AM78" s="10">
        <v>927613.94559999998</v>
      </c>
      <c r="AN78" s="10">
        <v>3645154.2157800002</v>
      </c>
      <c r="AO78" s="10">
        <v>981041.89550999994</v>
      </c>
      <c r="AP78" s="10"/>
      <c r="AQ78" s="10">
        <v>1400729.287146</v>
      </c>
      <c r="AR78" s="10">
        <v>308506.15162999998</v>
      </c>
      <c r="AS78" s="10">
        <v>925379.87711700005</v>
      </c>
      <c r="AT78" s="10">
        <v>0</v>
      </c>
      <c r="AU78" s="10"/>
      <c r="AV78" s="10"/>
      <c r="AW78" s="10"/>
      <c r="AX78" s="10">
        <v>1110154.94359</v>
      </c>
      <c r="AY78" s="10">
        <v>949371.56894000003</v>
      </c>
      <c r="AZ78" s="10"/>
      <c r="BA78" s="10">
        <v>23.132200000000001</v>
      </c>
      <c r="BB78" s="10">
        <v>290566.11814999999</v>
      </c>
      <c r="BC78" s="10">
        <v>373205.80210999999</v>
      </c>
      <c r="BD78" s="10">
        <v>157140.67485400001</v>
      </c>
      <c r="BE78" s="10">
        <v>1204154.110053</v>
      </c>
      <c r="BF78" s="10">
        <v>1544618.83436</v>
      </c>
      <c r="BG78" s="10">
        <v>45418.518929999998</v>
      </c>
      <c r="BH78" s="10"/>
      <c r="BI78" s="10">
        <v>0</v>
      </c>
      <c r="BJ78" s="10">
        <v>218535.76118999999</v>
      </c>
      <c r="BK78" s="10">
        <v>21555.965700000001</v>
      </c>
      <c r="BL78" s="10">
        <v>19693.064979999999</v>
      </c>
      <c r="BM78" s="10"/>
      <c r="BN78" s="10"/>
      <c r="BO78" s="10">
        <v>127734.08684</v>
      </c>
      <c r="BP78" s="10">
        <v>0</v>
      </c>
      <c r="BQ78" s="10">
        <v>24280.245589999999</v>
      </c>
      <c r="BR78" s="10">
        <v>29983.854589999999</v>
      </c>
      <c r="BS78" s="10">
        <v>20967.627788999998</v>
      </c>
      <c r="BT78" s="10"/>
      <c r="BU78" s="10">
        <v>36335.705139999998</v>
      </c>
      <c r="BV78" s="10">
        <v>472326.81133</v>
      </c>
      <c r="BW78" s="10"/>
      <c r="BX78" s="10">
        <v>45709.684996999997</v>
      </c>
      <c r="BY78" s="10">
        <v>0</v>
      </c>
      <c r="BZ78" s="10"/>
      <c r="CA78" s="10">
        <v>0</v>
      </c>
      <c r="CB78" s="10">
        <v>295874.05524999998</v>
      </c>
      <c r="CC78" s="10">
        <v>104893.38628999999</v>
      </c>
      <c r="CD78" s="10">
        <v>26730.44745</v>
      </c>
      <c r="CE78" s="10"/>
      <c r="CF78" s="10">
        <v>187095.28971000001</v>
      </c>
      <c r="CG78" s="10"/>
      <c r="CH78" s="10"/>
      <c r="CI78" s="10"/>
      <c r="CJ78" s="10">
        <v>15123.488283999999</v>
      </c>
      <c r="CK78" s="10"/>
      <c r="CL78" s="10"/>
      <c r="CM78" s="10"/>
      <c r="CN78" s="10"/>
      <c r="CO78" s="10"/>
      <c r="CP78" s="10"/>
      <c r="CQ78" s="10">
        <v>0</v>
      </c>
      <c r="CR78" s="10"/>
      <c r="CS78" s="10">
        <v>0</v>
      </c>
      <c r="CT78" s="10"/>
      <c r="CU78" s="10"/>
      <c r="CV78" s="10">
        <v>0</v>
      </c>
      <c r="CW78" s="10"/>
      <c r="CX78" s="10">
        <v>0</v>
      </c>
      <c r="CY78" s="10"/>
      <c r="CZ78" s="10"/>
      <c r="DA78" s="10">
        <v>0</v>
      </c>
      <c r="DB78" s="10">
        <v>0</v>
      </c>
      <c r="DC78" s="10"/>
      <c r="DD78" s="10">
        <v>0</v>
      </c>
      <c r="DE78" s="10">
        <v>0</v>
      </c>
      <c r="DF78" s="10">
        <v>0</v>
      </c>
      <c r="DG78" s="10"/>
      <c r="DH78" s="10">
        <v>0</v>
      </c>
      <c r="DI78" s="10"/>
    </row>
    <row r="79" spans="1:113" x14ac:dyDescent="0.35">
      <c r="A79" s="8">
        <v>46111</v>
      </c>
      <c r="B79" s="9">
        <v>2073741202.0750599</v>
      </c>
      <c r="C79" s="10">
        <v>534366227.539482</v>
      </c>
      <c r="D79" s="10">
        <v>290051716.61407</v>
      </c>
      <c r="E79" s="10">
        <v>214948840.16010001</v>
      </c>
      <c r="F79" s="10">
        <v>358899184.94039899</v>
      </c>
      <c r="G79" s="10">
        <v>224741379.18380001</v>
      </c>
      <c r="H79" s="10">
        <v>95179144.483070001</v>
      </c>
      <c r="I79" s="10">
        <v>36693443.337869897</v>
      </c>
      <c r="J79" s="10">
        <v>23459631.038260002</v>
      </c>
      <c r="K79" s="10">
        <v>25527792.165089998</v>
      </c>
      <c r="L79" s="10">
        <v>24387738.699730001</v>
      </c>
      <c r="M79" s="10">
        <v>8533410.3053699993</v>
      </c>
      <c r="N79" s="10">
        <v>32578975.957479</v>
      </c>
      <c r="O79" s="10">
        <v>7466249.8317270102</v>
      </c>
      <c r="P79" s="10"/>
      <c r="Q79" s="10">
        <v>13177681.81256</v>
      </c>
      <c r="R79" s="10">
        <v>50474012.990450002</v>
      </c>
      <c r="S79" s="10"/>
      <c r="T79" s="10">
        <v>12690240.180554001</v>
      </c>
      <c r="U79" s="10">
        <v>5831073.8476099996</v>
      </c>
      <c r="V79" s="10">
        <v>3401092.5234900001</v>
      </c>
      <c r="W79" s="10">
        <v>7662164.7818200001</v>
      </c>
      <c r="X79" s="10">
        <v>8087826.9930800004</v>
      </c>
      <c r="Y79" s="10">
        <v>6930562.0908599999</v>
      </c>
      <c r="Z79" s="10">
        <v>2053759.87766</v>
      </c>
      <c r="AA79" s="10">
        <v>19980534.611439999</v>
      </c>
      <c r="AB79" s="10">
        <v>705858.62422999996</v>
      </c>
      <c r="AC79" s="10">
        <v>2587595.9484299999</v>
      </c>
      <c r="AD79" s="10"/>
      <c r="AE79" s="10">
        <v>18555052.609609999</v>
      </c>
      <c r="AF79" s="10">
        <v>6887887.2335099997</v>
      </c>
      <c r="AG79" s="10">
        <v>10328457.9169</v>
      </c>
      <c r="AH79" s="10">
        <v>4339147.4973099995</v>
      </c>
      <c r="AI79" s="10">
        <v>3073088.0692599998</v>
      </c>
      <c r="AJ79" s="10"/>
      <c r="AK79" s="10">
        <v>5486903.7432199996</v>
      </c>
      <c r="AL79" s="10">
        <v>2238474.5567299998</v>
      </c>
      <c r="AM79" s="10">
        <v>945193.67137</v>
      </c>
      <c r="AN79" s="10">
        <v>2810200.39041</v>
      </c>
      <c r="AO79" s="10">
        <v>718700.03446</v>
      </c>
      <c r="AP79" s="10"/>
      <c r="AQ79" s="10">
        <v>1211117.791122</v>
      </c>
      <c r="AR79" s="10">
        <v>73367.353860000003</v>
      </c>
      <c r="AS79" s="10">
        <v>894232.89962100005</v>
      </c>
      <c r="AT79" s="10">
        <v>0</v>
      </c>
      <c r="AU79" s="10"/>
      <c r="AV79" s="10"/>
      <c r="AW79" s="10"/>
      <c r="AX79" s="10">
        <v>367927.36443000002</v>
      </c>
      <c r="AY79" s="10">
        <v>647621.77968000004</v>
      </c>
      <c r="AZ79" s="10"/>
      <c r="BA79" s="10">
        <v>1366.1638</v>
      </c>
      <c r="BB79" s="10">
        <v>577399.58226000005</v>
      </c>
      <c r="BC79" s="10">
        <v>341994.4178</v>
      </c>
      <c r="BD79" s="10">
        <v>218523.06216500001</v>
      </c>
      <c r="BE79" s="10">
        <v>889159.67863400001</v>
      </c>
      <c r="BF79" s="10">
        <v>901113.82032000006</v>
      </c>
      <c r="BG79" s="10">
        <v>46446.21991</v>
      </c>
      <c r="BH79" s="10"/>
      <c r="BI79" s="10">
        <v>0</v>
      </c>
      <c r="BJ79" s="10">
        <v>133804.86472000001</v>
      </c>
      <c r="BK79" s="10">
        <v>24655.745500000001</v>
      </c>
      <c r="BL79" s="10">
        <v>165018.31221</v>
      </c>
      <c r="BM79" s="10"/>
      <c r="BN79" s="10"/>
      <c r="BO79" s="10">
        <v>487640.35712</v>
      </c>
      <c r="BP79" s="10">
        <v>0</v>
      </c>
      <c r="BQ79" s="10">
        <v>19403.946</v>
      </c>
      <c r="BR79" s="10">
        <v>209419.90103000001</v>
      </c>
      <c r="BS79" s="10">
        <v>23425.248066</v>
      </c>
      <c r="BT79" s="10"/>
      <c r="BU79" s="10">
        <v>68540.089430000007</v>
      </c>
      <c r="BV79" s="10">
        <v>501702.07657999999</v>
      </c>
      <c r="BW79" s="10"/>
      <c r="BX79" s="10">
        <v>0</v>
      </c>
      <c r="BY79" s="10"/>
      <c r="BZ79" s="10"/>
      <c r="CA79" s="10">
        <v>0</v>
      </c>
      <c r="CB79" s="10">
        <v>101860.97727</v>
      </c>
      <c r="CC79" s="10">
        <v>3174.6095099999998</v>
      </c>
      <c r="CD79" s="10">
        <v>32937.628779999999</v>
      </c>
      <c r="CE79" s="10"/>
      <c r="CF79" s="10">
        <v>21.53407</v>
      </c>
      <c r="CG79" s="10"/>
      <c r="CH79" s="10"/>
      <c r="CI79" s="10"/>
      <c r="CJ79" s="10">
        <v>82.389764999999997</v>
      </c>
      <c r="CK79" s="10"/>
      <c r="CL79" s="10"/>
      <c r="CM79" s="10"/>
      <c r="CN79" s="10"/>
      <c r="CO79" s="10"/>
      <c r="CP79" s="10"/>
      <c r="CQ79" s="10">
        <v>0</v>
      </c>
      <c r="CR79" s="10"/>
      <c r="CS79" s="10">
        <v>0</v>
      </c>
      <c r="CT79" s="10"/>
      <c r="CU79" s="10"/>
      <c r="CV79" s="10">
        <v>0</v>
      </c>
      <c r="CW79" s="10"/>
      <c r="CX79" s="10">
        <v>0</v>
      </c>
      <c r="CY79" s="10"/>
      <c r="CZ79" s="10"/>
      <c r="DA79" s="10">
        <v>0</v>
      </c>
      <c r="DB79" s="10">
        <v>0</v>
      </c>
      <c r="DC79" s="10"/>
      <c r="DD79" s="10">
        <v>0</v>
      </c>
      <c r="DE79" s="10">
        <v>0</v>
      </c>
      <c r="DF79" s="10">
        <v>0</v>
      </c>
      <c r="DG79" s="10"/>
      <c r="DH79" s="10">
        <v>0</v>
      </c>
      <c r="DI79" s="10"/>
    </row>
    <row r="80" spans="1:113" x14ac:dyDescent="0.35">
      <c r="A80" s="8">
        <v>46110</v>
      </c>
      <c r="B80" s="9">
        <v>573564772.53668404</v>
      </c>
      <c r="C80" s="10">
        <v>181496489.99516001</v>
      </c>
      <c r="D80" s="10">
        <v>56535147.219240099</v>
      </c>
      <c r="E80" s="10">
        <v>57863845.943999998</v>
      </c>
      <c r="F80" s="10">
        <v>113403529.3717</v>
      </c>
      <c r="G80" s="10">
        <v>50367192.610100098</v>
      </c>
      <c r="H80" s="10">
        <v>32596418.182519998</v>
      </c>
      <c r="I80" s="10">
        <v>1167605.1845499999</v>
      </c>
      <c r="J80" s="10">
        <v>3877224.0860000001</v>
      </c>
      <c r="K80" s="10">
        <v>753276.74828000006</v>
      </c>
      <c r="L80" s="10">
        <v>5095977.4436299996</v>
      </c>
      <c r="M80" s="10">
        <v>1145159.66441</v>
      </c>
      <c r="N80" s="10">
        <v>3051089.296716</v>
      </c>
      <c r="O80" s="10">
        <v>1960373.0644779999</v>
      </c>
      <c r="P80" s="10"/>
      <c r="Q80" s="10">
        <v>1276357.0388400001</v>
      </c>
      <c r="R80" s="10">
        <v>15152210.469599999</v>
      </c>
      <c r="S80" s="10"/>
      <c r="T80" s="10">
        <v>1295522.6125169999</v>
      </c>
      <c r="U80" s="10">
        <v>1218414.8104900001</v>
      </c>
      <c r="V80" s="10">
        <v>685161.69032000005</v>
      </c>
      <c r="W80" s="10">
        <v>1627626.0977400001</v>
      </c>
      <c r="X80" s="10">
        <v>2071856.7399200001</v>
      </c>
      <c r="Y80" s="10">
        <v>978662.63947000005</v>
      </c>
      <c r="Z80" s="10">
        <v>275788.53321000002</v>
      </c>
      <c r="AA80" s="10">
        <v>4720538.3462800104</v>
      </c>
      <c r="AB80" s="10">
        <v>26082.61665</v>
      </c>
      <c r="AC80" s="10">
        <v>881269.24476999999</v>
      </c>
      <c r="AD80" s="10"/>
      <c r="AE80" s="10">
        <v>14467176.132789999</v>
      </c>
      <c r="AF80" s="10">
        <v>379370.94497000001</v>
      </c>
      <c r="AG80" s="10">
        <v>12482471.9353</v>
      </c>
      <c r="AH80" s="10">
        <v>416342.12448</v>
      </c>
      <c r="AI80" s="10">
        <v>554512.05012999999</v>
      </c>
      <c r="AJ80" s="10"/>
      <c r="AK80" s="10">
        <v>3982894.5143510001</v>
      </c>
      <c r="AL80" s="10">
        <v>25855.28903</v>
      </c>
      <c r="AM80" s="10">
        <v>169006.02893</v>
      </c>
      <c r="AN80" s="10">
        <v>12657.97567</v>
      </c>
      <c r="AO80" s="10">
        <v>70780.604800000001</v>
      </c>
      <c r="AP80" s="10"/>
      <c r="AQ80" s="10">
        <v>59303.724592999999</v>
      </c>
      <c r="AR80" s="10">
        <v>755.86474999999996</v>
      </c>
      <c r="AS80" s="10">
        <v>39292.607087999997</v>
      </c>
      <c r="AT80" s="10">
        <v>0</v>
      </c>
      <c r="AU80" s="10"/>
      <c r="AV80" s="10"/>
      <c r="AW80" s="10"/>
      <c r="AX80" s="10">
        <v>20471.486959999998</v>
      </c>
      <c r="AY80" s="10">
        <v>3563.9243999999999</v>
      </c>
      <c r="AZ80" s="10"/>
      <c r="BA80" s="10">
        <v>3468.1424999999999</v>
      </c>
      <c r="BB80" s="10">
        <v>24309.59634</v>
      </c>
      <c r="BC80" s="10">
        <v>10064.775589999999</v>
      </c>
      <c r="BD80" s="10">
        <v>2313.029391</v>
      </c>
      <c r="BE80" s="10">
        <v>80604.138208999997</v>
      </c>
      <c r="BF80" s="10">
        <v>68962.72292</v>
      </c>
      <c r="BG80" s="10">
        <v>28161.105899999999</v>
      </c>
      <c r="BH80" s="10"/>
      <c r="BI80" s="10">
        <v>0</v>
      </c>
      <c r="BJ80" s="10">
        <v>3140.51676</v>
      </c>
      <c r="BK80" s="10">
        <v>7078.9832999999999</v>
      </c>
      <c r="BL80" s="10">
        <v>2993.3069599999999</v>
      </c>
      <c r="BM80" s="10"/>
      <c r="BN80" s="10"/>
      <c r="BO80" s="10">
        <v>178224.89689999999</v>
      </c>
      <c r="BP80" s="10">
        <v>0</v>
      </c>
      <c r="BQ80" s="10">
        <v>328.84062999999998</v>
      </c>
      <c r="BR80" s="10">
        <v>4506.6021799999999</v>
      </c>
      <c r="BS80" s="10">
        <v>372.84099099999997</v>
      </c>
      <c r="BT80" s="10"/>
      <c r="BU80" s="10">
        <v>20561.050579999999</v>
      </c>
      <c r="BV80" s="10">
        <v>1872.21253</v>
      </c>
      <c r="BW80" s="10"/>
      <c r="BX80" s="10">
        <v>0</v>
      </c>
      <c r="BY80" s="10"/>
      <c r="BZ80" s="10"/>
      <c r="CA80" s="10">
        <v>0</v>
      </c>
      <c r="CB80" s="10">
        <v>413946.55647000001</v>
      </c>
      <c r="CC80" s="10">
        <v>6461.1826099999998</v>
      </c>
      <c r="CD80" s="10">
        <v>693.96384999999998</v>
      </c>
      <c r="CE80" s="10"/>
      <c r="CF80" s="10">
        <v>0</v>
      </c>
      <c r="CG80" s="10"/>
      <c r="CH80" s="10"/>
      <c r="CI80" s="10"/>
      <c r="CJ80" s="10">
        <v>499433.21324000001</v>
      </c>
      <c r="CK80" s="10"/>
      <c r="CL80" s="10"/>
      <c r="CM80" s="10"/>
      <c r="CN80" s="10"/>
      <c r="CO80" s="10"/>
      <c r="CP80" s="10"/>
      <c r="CQ80" s="10">
        <v>0</v>
      </c>
      <c r="CR80" s="10"/>
      <c r="CS80" s="10">
        <v>0</v>
      </c>
      <c r="CT80" s="10"/>
      <c r="CU80" s="10"/>
      <c r="CV80" s="10">
        <v>0</v>
      </c>
      <c r="CW80" s="10"/>
      <c r="CX80" s="10">
        <v>0</v>
      </c>
      <c r="CY80" s="10"/>
      <c r="CZ80" s="10"/>
      <c r="DA80" s="10">
        <v>0</v>
      </c>
      <c r="DB80" s="10">
        <v>0</v>
      </c>
      <c r="DC80" s="10"/>
      <c r="DD80" s="10">
        <v>0</v>
      </c>
      <c r="DE80" s="10">
        <v>0</v>
      </c>
      <c r="DF80" s="10">
        <v>0</v>
      </c>
      <c r="DG80" s="10"/>
      <c r="DH80" s="10">
        <v>0</v>
      </c>
      <c r="DI80" s="10"/>
    </row>
    <row r="81" spans="1:113" x14ac:dyDescent="0.35">
      <c r="A81" s="8">
        <v>46109</v>
      </c>
      <c r="B81" s="9">
        <v>337839866.727911</v>
      </c>
      <c r="C81" s="10">
        <v>112655642.41111501</v>
      </c>
      <c r="D81" s="10">
        <v>7170452.6288200002</v>
      </c>
      <c r="E81" s="10">
        <v>28145260.6252</v>
      </c>
      <c r="F81" s="10">
        <v>76054604.256999999</v>
      </c>
      <c r="G81" s="10">
        <v>30604054.284000002</v>
      </c>
      <c r="H81" s="10">
        <v>9435166.6295999996</v>
      </c>
      <c r="I81" s="10">
        <v>8370805.8260300001</v>
      </c>
      <c r="J81" s="10">
        <v>3861078.6667800001</v>
      </c>
      <c r="K81" s="10">
        <v>709177.63815999997</v>
      </c>
      <c r="L81" s="10">
        <v>6855374.99077</v>
      </c>
      <c r="M81" s="10">
        <v>1522808.3422300001</v>
      </c>
      <c r="N81" s="10">
        <v>3300635.7448470001</v>
      </c>
      <c r="O81" s="10">
        <v>242974.22663399999</v>
      </c>
      <c r="P81" s="10"/>
      <c r="Q81" s="10">
        <v>2703250.9823599998</v>
      </c>
      <c r="R81" s="10">
        <v>3813839.8067899998</v>
      </c>
      <c r="S81" s="10"/>
      <c r="T81" s="10">
        <v>2457074.6449119998</v>
      </c>
      <c r="U81" s="10">
        <v>2082517.3784399999</v>
      </c>
      <c r="V81" s="10">
        <v>102363.17858000001</v>
      </c>
      <c r="W81" s="10">
        <v>2347209.8827599999</v>
      </c>
      <c r="X81" s="10">
        <v>850183.07363</v>
      </c>
      <c r="Y81" s="10">
        <v>1247598.31745</v>
      </c>
      <c r="Z81" s="10">
        <v>503569.83134999999</v>
      </c>
      <c r="AA81" s="10">
        <v>394527.04220000003</v>
      </c>
      <c r="AB81" s="10">
        <v>337062.09779000003</v>
      </c>
      <c r="AC81" s="10">
        <v>584388.16735999996</v>
      </c>
      <c r="AD81" s="10"/>
      <c r="AE81" s="10">
        <v>16198633.59217</v>
      </c>
      <c r="AF81" s="10">
        <v>683845.80061000003</v>
      </c>
      <c r="AG81" s="10">
        <v>7994074.3865999999</v>
      </c>
      <c r="AH81" s="10">
        <v>917248.70301000006</v>
      </c>
      <c r="AI81" s="10">
        <v>912031.41795000003</v>
      </c>
      <c r="AJ81" s="10"/>
      <c r="AK81" s="10">
        <v>2893051.3966580001</v>
      </c>
      <c r="AL81" s="10">
        <v>137835.45720999999</v>
      </c>
      <c r="AM81" s="10">
        <v>30505.034350000002</v>
      </c>
      <c r="AN81" s="10">
        <v>148888.34958000001</v>
      </c>
      <c r="AO81" s="10">
        <v>244430.26185000001</v>
      </c>
      <c r="AP81" s="10"/>
      <c r="AQ81" s="10">
        <v>581520.95383699995</v>
      </c>
      <c r="AR81" s="10">
        <v>5902.9970800000001</v>
      </c>
      <c r="AS81" s="10">
        <v>127677.69288</v>
      </c>
      <c r="AT81" s="10">
        <v>0</v>
      </c>
      <c r="AU81" s="10"/>
      <c r="AV81" s="10"/>
      <c r="AW81" s="10"/>
      <c r="AX81" s="10">
        <v>9053.9973900000005</v>
      </c>
      <c r="AY81" s="10">
        <v>9325.9527699999999</v>
      </c>
      <c r="AZ81" s="10"/>
      <c r="BA81" s="10">
        <v>7184.5412999999999</v>
      </c>
      <c r="BB81" s="10">
        <v>11657.382379999999</v>
      </c>
      <c r="BC81" s="10">
        <v>3298.33338</v>
      </c>
      <c r="BD81" s="10">
        <v>1014.39338</v>
      </c>
      <c r="BE81" s="10">
        <v>42413.234796999997</v>
      </c>
      <c r="BF81" s="10">
        <v>42521.450819999998</v>
      </c>
      <c r="BG81" s="10">
        <v>10852.75959</v>
      </c>
      <c r="BH81" s="10"/>
      <c r="BI81" s="10">
        <v>0</v>
      </c>
      <c r="BJ81" s="10">
        <v>28.700209999999998</v>
      </c>
      <c r="BK81" s="10">
        <v>31960.2667</v>
      </c>
      <c r="BL81" s="10">
        <v>5180.2539999999999</v>
      </c>
      <c r="BM81" s="10"/>
      <c r="BN81" s="10"/>
      <c r="BO81" s="10">
        <v>142027.17108999999</v>
      </c>
      <c r="BP81" s="10">
        <v>0</v>
      </c>
      <c r="BQ81" s="10">
        <v>142.93283</v>
      </c>
      <c r="BR81" s="10">
        <v>285.55383999999998</v>
      </c>
      <c r="BS81" s="10">
        <v>215.768271</v>
      </c>
      <c r="BT81" s="10"/>
      <c r="BU81" s="10">
        <v>0</v>
      </c>
      <c r="BV81" s="10">
        <v>41377.989280000002</v>
      </c>
      <c r="BW81" s="10"/>
      <c r="BX81" s="10">
        <v>0</v>
      </c>
      <c r="BY81" s="10"/>
      <c r="BZ81" s="10"/>
      <c r="CA81" s="10">
        <v>0</v>
      </c>
      <c r="CB81" s="10">
        <v>252012.01809</v>
      </c>
      <c r="CC81" s="10">
        <v>1921.0152</v>
      </c>
      <c r="CD81" s="10">
        <v>10.632960000000001</v>
      </c>
      <c r="CE81" s="10"/>
      <c r="CF81" s="10">
        <v>0</v>
      </c>
      <c r="CG81" s="10"/>
      <c r="CH81" s="10"/>
      <c r="CI81" s="10"/>
      <c r="CJ81" s="10">
        <v>115.66104</v>
      </c>
      <c r="CK81" s="10"/>
      <c r="CL81" s="10"/>
      <c r="CM81" s="10"/>
      <c r="CN81" s="10"/>
      <c r="CO81" s="10"/>
      <c r="CP81" s="10"/>
      <c r="CQ81" s="10">
        <v>0</v>
      </c>
      <c r="CR81" s="10"/>
      <c r="CS81" s="10">
        <v>0</v>
      </c>
      <c r="CT81" s="10"/>
      <c r="CU81" s="10"/>
      <c r="CV81" s="10">
        <v>0</v>
      </c>
      <c r="CW81" s="10"/>
      <c r="CX81" s="10">
        <v>0</v>
      </c>
      <c r="CY81" s="10"/>
      <c r="CZ81" s="10"/>
      <c r="DA81" s="10">
        <v>0</v>
      </c>
      <c r="DB81" s="10">
        <v>0</v>
      </c>
      <c r="DC81" s="10"/>
      <c r="DD81" s="10">
        <v>0</v>
      </c>
      <c r="DE81" s="10"/>
      <c r="DF81" s="10">
        <v>0</v>
      </c>
      <c r="DG81" s="10"/>
      <c r="DH81" s="10">
        <v>0</v>
      </c>
      <c r="DI81" s="10"/>
    </row>
    <row r="82" spans="1:113" x14ac:dyDescent="0.35">
      <c r="A82" s="8">
        <v>46108</v>
      </c>
      <c r="B82" s="9">
        <v>2092618747.0817299</v>
      </c>
      <c r="C82" s="10">
        <v>397696927.60416299</v>
      </c>
      <c r="D82" s="10">
        <v>410649424.97016001</v>
      </c>
      <c r="E82" s="10">
        <v>193628359.42089999</v>
      </c>
      <c r="F82" s="10">
        <v>362527799.74049997</v>
      </c>
      <c r="G82" s="10">
        <v>221417379.7696</v>
      </c>
      <c r="H82" s="10">
        <v>145402661.90241</v>
      </c>
      <c r="I82" s="10">
        <v>31919298.843279999</v>
      </c>
      <c r="J82" s="10">
        <v>34670452.734499998</v>
      </c>
      <c r="K82" s="10">
        <v>16219103.841670001</v>
      </c>
      <c r="L82" s="10">
        <v>36450390.477329999</v>
      </c>
      <c r="M82" s="10">
        <v>8246775.2805899996</v>
      </c>
      <c r="N82" s="10">
        <v>41319510.239545003</v>
      </c>
      <c r="O82" s="10">
        <v>3429984.5636760001</v>
      </c>
      <c r="P82" s="10"/>
      <c r="Q82" s="10">
        <v>14692823.411</v>
      </c>
      <c r="R82" s="10">
        <v>16281325.59584</v>
      </c>
      <c r="S82" s="10"/>
      <c r="T82" s="10">
        <v>10223433.198563</v>
      </c>
      <c r="U82" s="10">
        <v>7861772.9337499999</v>
      </c>
      <c r="V82" s="10">
        <v>1571872.5994899999</v>
      </c>
      <c r="W82" s="10">
        <v>9546475.9573299997</v>
      </c>
      <c r="X82" s="10">
        <v>15896454.95449</v>
      </c>
      <c r="Y82" s="10">
        <v>8266612.5958500002</v>
      </c>
      <c r="Z82" s="10">
        <v>1658879.4115200001</v>
      </c>
      <c r="AA82" s="10">
        <v>25019736.38738</v>
      </c>
      <c r="AB82" s="10">
        <v>1778393.69527</v>
      </c>
      <c r="AC82" s="10">
        <v>6780445.6980299996</v>
      </c>
      <c r="AD82" s="10"/>
      <c r="AE82" s="10">
        <v>18662902.908810001</v>
      </c>
      <c r="AF82" s="10">
        <v>4026744.9316599998</v>
      </c>
      <c r="AG82" s="10">
        <v>11543594.417400001</v>
      </c>
      <c r="AH82" s="10">
        <v>7698861.0048099998</v>
      </c>
      <c r="AI82" s="10">
        <v>4080884.3739900002</v>
      </c>
      <c r="AJ82" s="10"/>
      <c r="AK82" s="10">
        <v>4849999.2583910003</v>
      </c>
      <c r="AL82" s="10">
        <v>3619794.78143</v>
      </c>
      <c r="AM82" s="10">
        <v>279952.92791999999</v>
      </c>
      <c r="AN82" s="10">
        <v>885150.84733999998</v>
      </c>
      <c r="AO82" s="10">
        <v>717414.92619999999</v>
      </c>
      <c r="AP82" s="10"/>
      <c r="AQ82" s="10">
        <v>3473885.454502</v>
      </c>
      <c r="AR82" s="10">
        <v>227681.59981000001</v>
      </c>
      <c r="AS82" s="10">
        <v>1482090.0150230001</v>
      </c>
      <c r="AT82" s="10">
        <v>0</v>
      </c>
      <c r="AU82" s="10"/>
      <c r="AV82" s="10"/>
      <c r="AW82" s="10"/>
      <c r="AX82" s="10">
        <v>1841281.6810900001</v>
      </c>
      <c r="AY82" s="10">
        <v>568852.61060000001</v>
      </c>
      <c r="AZ82" s="10"/>
      <c r="BA82" s="10">
        <v>4962.3892999999998</v>
      </c>
      <c r="BB82" s="10">
        <v>834170.58829999994</v>
      </c>
      <c r="BC82" s="10">
        <v>108698.02726</v>
      </c>
      <c r="BD82" s="10">
        <v>18845.940029000001</v>
      </c>
      <c r="BE82" s="10">
        <v>777243.63022599998</v>
      </c>
      <c r="BF82" s="10">
        <v>826382.21797</v>
      </c>
      <c r="BG82" s="10">
        <v>121036.72577</v>
      </c>
      <c r="BH82" s="10"/>
      <c r="BI82" s="10">
        <v>0</v>
      </c>
      <c r="BJ82" s="10">
        <v>261099.74668000001</v>
      </c>
      <c r="BK82" s="10">
        <v>49756.5386</v>
      </c>
      <c r="BL82" s="10">
        <v>9006.36852</v>
      </c>
      <c r="BM82" s="10"/>
      <c r="BN82" s="10"/>
      <c r="BO82" s="10">
        <v>844583.95345999999</v>
      </c>
      <c r="BP82" s="10">
        <v>0</v>
      </c>
      <c r="BQ82" s="10">
        <v>113157.83495999999</v>
      </c>
      <c r="BR82" s="10">
        <v>26942.184799999999</v>
      </c>
      <c r="BS82" s="10">
        <v>7731.7364829999997</v>
      </c>
      <c r="BT82" s="10"/>
      <c r="BU82" s="10">
        <v>741350.54913000006</v>
      </c>
      <c r="BV82" s="10">
        <v>412525.54404000001</v>
      </c>
      <c r="BW82" s="10"/>
      <c r="BX82" s="10">
        <v>0</v>
      </c>
      <c r="BY82" s="10"/>
      <c r="BZ82" s="10"/>
      <c r="CA82" s="10">
        <v>0</v>
      </c>
      <c r="CB82" s="10">
        <v>183326.31959</v>
      </c>
      <c r="CC82" s="10">
        <v>161298.57490000001</v>
      </c>
      <c r="CD82" s="10">
        <v>1184.1194800000001</v>
      </c>
      <c r="CE82" s="10"/>
      <c r="CF82" s="10">
        <v>0</v>
      </c>
      <c r="CG82" s="10"/>
      <c r="CH82" s="10"/>
      <c r="CI82" s="10"/>
      <c r="CJ82" s="10">
        <v>56.526420000000002</v>
      </c>
      <c r="CK82" s="10"/>
      <c r="CL82" s="10"/>
      <c r="CM82" s="10"/>
      <c r="CN82" s="10"/>
      <c r="CO82" s="10"/>
      <c r="CP82" s="10"/>
      <c r="CQ82" s="10">
        <v>0</v>
      </c>
      <c r="CR82" s="10"/>
      <c r="CS82" s="10">
        <v>0</v>
      </c>
      <c r="CT82" s="10"/>
      <c r="CU82" s="10"/>
      <c r="CV82" s="10">
        <v>0</v>
      </c>
      <c r="CW82" s="10"/>
      <c r="CX82" s="10">
        <v>0</v>
      </c>
      <c r="CY82" s="10"/>
      <c r="CZ82" s="10"/>
      <c r="DA82" s="10">
        <v>0</v>
      </c>
      <c r="DB82" s="10">
        <v>0</v>
      </c>
      <c r="DC82" s="10"/>
      <c r="DD82" s="10">
        <v>0</v>
      </c>
      <c r="DE82" s="10"/>
      <c r="DF82" s="10">
        <v>0</v>
      </c>
      <c r="DG82" s="10"/>
      <c r="DH82" s="10">
        <v>0</v>
      </c>
      <c r="DI82" s="10"/>
    </row>
    <row r="83" spans="1:113" x14ac:dyDescent="0.35">
      <c r="A83" s="8">
        <v>46107</v>
      </c>
      <c r="B83" s="9">
        <v>2208119877.5243001</v>
      </c>
      <c r="C83" s="10">
        <v>439703261.86241502</v>
      </c>
      <c r="D83" s="10">
        <v>575688724.23343003</v>
      </c>
      <c r="E83" s="10">
        <v>213860439.7798</v>
      </c>
      <c r="F83" s="10">
        <v>356720319.94771999</v>
      </c>
      <c r="G83" s="10">
        <v>190215000.89219999</v>
      </c>
      <c r="H83" s="10">
        <v>127411182.73853</v>
      </c>
      <c r="I83" s="10">
        <v>16033818.295910001</v>
      </c>
      <c r="J83" s="10">
        <v>20910144.29919</v>
      </c>
      <c r="K83" s="10">
        <v>31526277.67385</v>
      </c>
      <c r="L83" s="10">
        <v>18807722.877610002</v>
      </c>
      <c r="M83" s="10">
        <v>6466707.6004999997</v>
      </c>
      <c r="N83" s="10">
        <v>42354815.835156001</v>
      </c>
      <c r="O83" s="10">
        <v>6682969.1228759997</v>
      </c>
      <c r="P83" s="10"/>
      <c r="Q83" s="10">
        <v>6549441.5065900004</v>
      </c>
      <c r="R83" s="10">
        <v>17176357.216510002</v>
      </c>
      <c r="S83" s="10"/>
      <c r="T83" s="10">
        <v>8920774.7747179996</v>
      </c>
      <c r="U83" s="10">
        <v>3869248.8552600001</v>
      </c>
      <c r="V83" s="10">
        <v>4324445.4469499998</v>
      </c>
      <c r="W83" s="10">
        <v>8991491.6683600005</v>
      </c>
      <c r="X83" s="10">
        <v>14232469.42227</v>
      </c>
      <c r="Y83" s="10">
        <v>6971068.2034400003</v>
      </c>
      <c r="Z83" s="10">
        <v>3045268.6401800001</v>
      </c>
      <c r="AA83" s="10">
        <v>23242772.973250002</v>
      </c>
      <c r="AB83" s="10">
        <v>1341047.3797599999</v>
      </c>
      <c r="AC83" s="10">
        <v>3759471.5586899999</v>
      </c>
      <c r="AD83" s="10"/>
      <c r="AE83" s="10">
        <v>19476997.595389999</v>
      </c>
      <c r="AF83" s="10">
        <v>2961779.4307400002</v>
      </c>
      <c r="AG83" s="10">
        <v>7900719.9839000003</v>
      </c>
      <c r="AH83" s="10">
        <v>5342315.3829199998</v>
      </c>
      <c r="AI83" s="10">
        <v>4058639.6340600001</v>
      </c>
      <c r="AJ83" s="10"/>
      <c r="AK83" s="10">
        <v>3799187.1639709999</v>
      </c>
      <c r="AL83" s="10">
        <v>2662126.3531800001</v>
      </c>
      <c r="AM83" s="10">
        <v>484388.34684999997</v>
      </c>
      <c r="AN83" s="10">
        <v>870365.61734999996</v>
      </c>
      <c r="AO83" s="10">
        <v>1001937.73837</v>
      </c>
      <c r="AP83" s="10"/>
      <c r="AQ83" s="10">
        <v>4422710.7496450003</v>
      </c>
      <c r="AR83" s="10">
        <v>229076.29843</v>
      </c>
      <c r="AS83" s="10">
        <v>255041.50516299999</v>
      </c>
      <c r="AT83" s="10"/>
      <c r="AU83" s="10"/>
      <c r="AV83" s="10"/>
      <c r="AW83" s="10"/>
      <c r="AX83" s="10">
        <v>1291810.07656</v>
      </c>
      <c r="AY83" s="10">
        <v>641224.57406000001</v>
      </c>
      <c r="AZ83" s="10"/>
      <c r="BA83" s="10">
        <v>7758.7393000000002</v>
      </c>
      <c r="BB83" s="10">
        <v>215594.74400000001</v>
      </c>
      <c r="BC83" s="10">
        <v>140017.73869</v>
      </c>
      <c r="BD83" s="10">
        <v>15766.779624000001</v>
      </c>
      <c r="BE83" s="10">
        <v>448976.93632500002</v>
      </c>
      <c r="BF83" s="10">
        <v>514977.36505000002</v>
      </c>
      <c r="BG83" s="10">
        <v>79460.953380000006</v>
      </c>
      <c r="BH83" s="10"/>
      <c r="BI83" s="10">
        <v>0</v>
      </c>
      <c r="BJ83" s="10">
        <v>142062.05139000001</v>
      </c>
      <c r="BK83" s="10">
        <v>52385.958100000003</v>
      </c>
      <c r="BL83" s="10">
        <v>2676.4996900000001</v>
      </c>
      <c r="BM83" s="10"/>
      <c r="BN83" s="10"/>
      <c r="BO83" s="10">
        <v>1073822.0395599999</v>
      </c>
      <c r="BP83" s="10">
        <v>0</v>
      </c>
      <c r="BQ83" s="10">
        <v>288255.88696999999</v>
      </c>
      <c r="BR83" s="10">
        <v>58341.865619999997</v>
      </c>
      <c r="BS83" s="10">
        <v>16348.781116</v>
      </c>
      <c r="BT83" s="10"/>
      <c r="BU83" s="10">
        <v>170369.62276999999</v>
      </c>
      <c r="BV83" s="10">
        <v>225064.00828000001</v>
      </c>
      <c r="BW83" s="10"/>
      <c r="BX83" s="10">
        <v>0</v>
      </c>
      <c r="BY83" s="10"/>
      <c r="BZ83" s="10"/>
      <c r="CA83" s="10">
        <v>0</v>
      </c>
      <c r="CB83" s="10">
        <v>8319.2860299999993</v>
      </c>
      <c r="CC83" s="10">
        <v>410720.10158999998</v>
      </c>
      <c r="CD83" s="10">
        <v>45339.87167</v>
      </c>
      <c r="CE83" s="10"/>
      <c r="CF83" s="10">
        <v>0</v>
      </c>
      <c r="CG83" s="10"/>
      <c r="CH83" s="10"/>
      <c r="CI83" s="10"/>
      <c r="CJ83" s="10">
        <v>55.039389999999997</v>
      </c>
      <c r="CK83" s="10"/>
      <c r="CL83" s="10"/>
      <c r="CM83" s="10"/>
      <c r="CN83" s="10"/>
      <c r="CO83" s="10"/>
      <c r="CP83" s="10"/>
      <c r="CQ83" s="10">
        <v>0</v>
      </c>
      <c r="CR83" s="10"/>
      <c r="CS83" s="10">
        <v>0</v>
      </c>
      <c r="CT83" s="10"/>
      <c r="CU83" s="10"/>
      <c r="CV83" s="10">
        <v>0</v>
      </c>
      <c r="CW83" s="10"/>
      <c r="CX83" s="10">
        <v>0</v>
      </c>
      <c r="CY83" s="10"/>
      <c r="CZ83" s="10"/>
      <c r="DA83" s="10">
        <v>0</v>
      </c>
      <c r="DB83" s="10">
        <v>0</v>
      </c>
      <c r="DC83" s="10"/>
      <c r="DD83" s="10">
        <v>0</v>
      </c>
      <c r="DE83" s="10"/>
      <c r="DF83" s="10">
        <v>0</v>
      </c>
      <c r="DG83" s="10"/>
      <c r="DH83" s="10">
        <v>0</v>
      </c>
      <c r="DI83" s="10"/>
    </row>
    <row r="84" spans="1:113" x14ac:dyDescent="0.35">
      <c r="A84" s="8">
        <v>46106</v>
      </c>
      <c r="B84" s="9">
        <v>2263506158.0522299</v>
      </c>
      <c r="C84" s="10">
        <v>543153823.47672296</v>
      </c>
      <c r="D84" s="10">
        <v>460678010.76027</v>
      </c>
      <c r="E84" s="10">
        <v>175110962.0264</v>
      </c>
      <c r="F84" s="10">
        <v>397557416.63984001</v>
      </c>
      <c r="G84" s="10">
        <v>193817182.6848</v>
      </c>
      <c r="H84" s="10">
        <v>142063220.09494001</v>
      </c>
      <c r="I84" s="10">
        <v>17996871.014230002</v>
      </c>
      <c r="J84" s="10">
        <v>22913593.215769999</v>
      </c>
      <c r="K84" s="10">
        <v>18485027.80026</v>
      </c>
      <c r="L84" s="10">
        <v>22194195.601300001</v>
      </c>
      <c r="M84" s="10">
        <v>12836505.851290001</v>
      </c>
      <c r="N84" s="10">
        <v>75960942.323839903</v>
      </c>
      <c r="O84" s="10">
        <v>12550840.426650001</v>
      </c>
      <c r="P84" s="10"/>
      <c r="Q84" s="10">
        <v>5215767.6572899995</v>
      </c>
      <c r="R84" s="10">
        <v>27099191.715440001</v>
      </c>
      <c r="S84" s="10"/>
      <c r="T84" s="10">
        <v>14070640.416680999</v>
      </c>
      <c r="U84" s="10">
        <v>6037435.5529899998</v>
      </c>
      <c r="V84" s="10">
        <v>3178925.51198</v>
      </c>
      <c r="W84" s="10">
        <v>11423444.206900001</v>
      </c>
      <c r="X84" s="10">
        <v>10944378.156239999</v>
      </c>
      <c r="Y84" s="10">
        <v>7193302.1968099996</v>
      </c>
      <c r="Z84" s="10">
        <v>3496174.75985</v>
      </c>
      <c r="AA84" s="10">
        <v>22181023.67213</v>
      </c>
      <c r="AB84" s="10">
        <v>2698000.6337299999</v>
      </c>
      <c r="AC84" s="10">
        <v>2548600.5567800002</v>
      </c>
      <c r="AD84" s="10"/>
      <c r="AE84" s="10">
        <v>15193688.023320001</v>
      </c>
      <c r="AF84" s="10">
        <v>4251621.5110999998</v>
      </c>
      <c r="AG84" s="10">
        <v>8418683.7469999902</v>
      </c>
      <c r="AH84" s="10">
        <v>2416502.54287</v>
      </c>
      <c r="AI84" s="10">
        <v>2084202.9039499999</v>
      </c>
      <c r="AJ84" s="10"/>
      <c r="AK84" s="10">
        <v>2943506.8852220001</v>
      </c>
      <c r="AL84" s="10">
        <v>1919899.17065</v>
      </c>
      <c r="AM84" s="10">
        <v>506088.43748000002</v>
      </c>
      <c r="AN84" s="10">
        <v>819073.87939999998</v>
      </c>
      <c r="AO84" s="10">
        <v>3877835.2991599999</v>
      </c>
      <c r="AP84" s="10"/>
      <c r="AQ84" s="10">
        <v>1247830.7039320001</v>
      </c>
      <c r="AR84" s="10">
        <v>6389.3071499999996</v>
      </c>
      <c r="AS84" s="10">
        <v>1003112.683822</v>
      </c>
      <c r="AT84" s="10"/>
      <c r="AU84" s="10"/>
      <c r="AV84" s="10"/>
      <c r="AW84" s="10"/>
      <c r="AX84" s="10">
        <v>1790875.0583500001</v>
      </c>
      <c r="AY84" s="10">
        <v>2066391.50388</v>
      </c>
      <c r="AZ84" s="10"/>
      <c r="BA84" s="10">
        <v>5341.7551999999996</v>
      </c>
      <c r="BB84" s="10">
        <v>695943.52937999996</v>
      </c>
      <c r="BC84" s="10">
        <v>18303.151180000001</v>
      </c>
      <c r="BD84" s="10">
        <v>4347.6027539999995</v>
      </c>
      <c r="BE84" s="10">
        <v>703948.24103100004</v>
      </c>
      <c r="BF84" s="10">
        <v>199116.89992</v>
      </c>
      <c r="BG84" s="10">
        <v>46040.802649999998</v>
      </c>
      <c r="BH84" s="10"/>
      <c r="BI84" s="10">
        <v>0</v>
      </c>
      <c r="BJ84" s="10">
        <v>114031.63311</v>
      </c>
      <c r="BK84" s="10">
        <v>156626.17360000001</v>
      </c>
      <c r="BL84" s="10">
        <v>5633.07935</v>
      </c>
      <c r="BM84" s="10"/>
      <c r="BN84" s="10"/>
      <c r="BO84" s="10">
        <v>403404.90839</v>
      </c>
      <c r="BP84" s="10">
        <v>0</v>
      </c>
      <c r="BQ84" s="10">
        <v>25687.700669999998</v>
      </c>
      <c r="BR84" s="10">
        <v>21884.217430000001</v>
      </c>
      <c r="BS84" s="10">
        <v>3995.0407209999998</v>
      </c>
      <c r="BT84" s="10"/>
      <c r="BU84" s="10">
        <v>84005.076679999998</v>
      </c>
      <c r="BV84" s="10">
        <v>688032.22433999996</v>
      </c>
      <c r="BW84" s="10"/>
      <c r="BX84" s="10">
        <v>0</v>
      </c>
      <c r="BY84" s="10"/>
      <c r="BZ84" s="10"/>
      <c r="CA84" s="10">
        <v>0</v>
      </c>
      <c r="CB84" s="10">
        <v>4569.5455400000001</v>
      </c>
      <c r="CC84" s="10">
        <v>238723.86997999999</v>
      </c>
      <c r="CD84" s="10">
        <v>134097.25094</v>
      </c>
      <c r="CE84" s="10"/>
      <c r="CF84" s="10">
        <v>0</v>
      </c>
      <c r="CG84" s="10"/>
      <c r="CH84" s="10"/>
      <c r="CI84" s="10"/>
      <c r="CJ84" s="10">
        <v>1246.73894</v>
      </c>
      <c r="CK84" s="10"/>
      <c r="CL84" s="10"/>
      <c r="CM84" s="10"/>
      <c r="CN84" s="10"/>
      <c r="CO84" s="10"/>
      <c r="CP84" s="10"/>
      <c r="CQ84" s="10">
        <v>0</v>
      </c>
      <c r="CR84" s="10"/>
      <c r="CS84" s="10">
        <v>0</v>
      </c>
      <c r="CT84" s="10"/>
      <c r="CU84" s="10"/>
      <c r="CV84" s="10">
        <v>0</v>
      </c>
      <c r="CW84" s="10"/>
      <c r="CX84" s="10">
        <v>0</v>
      </c>
      <c r="CY84" s="10"/>
      <c r="CZ84" s="10"/>
      <c r="DA84" s="10">
        <v>0</v>
      </c>
      <c r="DB84" s="10">
        <v>0</v>
      </c>
      <c r="DC84" s="10"/>
      <c r="DD84" s="10">
        <v>0</v>
      </c>
      <c r="DE84" s="10"/>
      <c r="DF84" s="10">
        <v>0</v>
      </c>
      <c r="DG84" s="10"/>
      <c r="DH84" s="10">
        <v>0</v>
      </c>
      <c r="DI84" s="10"/>
    </row>
    <row r="85" spans="1:113" x14ac:dyDescent="0.35">
      <c r="A85" s="8">
        <v>46105</v>
      </c>
      <c r="B85" s="9">
        <v>3102076334.8572001</v>
      </c>
      <c r="C85" s="10">
        <v>784555384.63230205</v>
      </c>
      <c r="D85" s="10">
        <v>600070842.13651001</v>
      </c>
      <c r="E85" s="10">
        <v>295222434.54860002</v>
      </c>
      <c r="F85" s="10">
        <v>559080510.84170997</v>
      </c>
      <c r="G85" s="10">
        <v>228003325.20649999</v>
      </c>
      <c r="H85" s="10">
        <v>231504499.90661001</v>
      </c>
      <c r="I85" s="10">
        <v>21387128.330260001</v>
      </c>
      <c r="J85" s="10">
        <v>22858585.76622</v>
      </c>
      <c r="K85" s="10">
        <v>9311971.7587899994</v>
      </c>
      <c r="L85" s="10">
        <v>29472822.819389999</v>
      </c>
      <c r="M85" s="10">
        <v>7537851.4510199996</v>
      </c>
      <c r="N85" s="10">
        <v>101867103.782684</v>
      </c>
      <c r="O85" s="10">
        <v>22558969.010942999</v>
      </c>
      <c r="P85" s="10"/>
      <c r="Q85" s="10">
        <v>4138003.2390999999</v>
      </c>
      <c r="R85" s="10">
        <v>29864032.212469999</v>
      </c>
      <c r="S85" s="10"/>
      <c r="T85" s="10">
        <v>11262274.151028</v>
      </c>
      <c r="U85" s="10">
        <v>6417968.6771400003</v>
      </c>
      <c r="V85" s="10">
        <v>4826401.2225099998</v>
      </c>
      <c r="W85" s="10">
        <v>16818209.833470002</v>
      </c>
      <c r="X85" s="10">
        <v>20470443.88143</v>
      </c>
      <c r="Y85" s="10">
        <v>13087278.282649999</v>
      </c>
      <c r="Z85" s="10">
        <v>2356889.1219500001</v>
      </c>
      <c r="AA85" s="10">
        <v>25743643.886410002</v>
      </c>
      <c r="AB85" s="10">
        <v>1821160.2144299999</v>
      </c>
      <c r="AC85" s="10">
        <v>3305149.4514100002</v>
      </c>
      <c r="AD85" s="10"/>
      <c r="AE85" s="10">
        <v>13300529.491800001</v>
      </c>
      <c r="AF85" s="10">
        <v>2894879.1859200001</v>
      </c>
      <c r="AG85" s="10">
        <v>8151205.9161</v>
      </c>
      <c r="AH85" s="10">
        <v>1626452.28113</v>
      </c>
      <c r="AI85" s="10">
        <v>3247904.9110599998</v>
      </c>
      <c r="AJ85" s="10"/>
      <c r="AK85" s="10">
        <v>4119765.3921070001</v>
      </c>
      <c r="AL85" s="10">
        <v>3829122.3581400001</v>
      </c>
      <c r="AM85" s="10">
        <v>386959.30427000002</v>
      </c>
      <c r="AN85" s="10">
        <v>888379.97202999995</v>
      </c>
      <c r="AO85" s="10">
        <v>2824831.37977</v>
      </c>
      <c r="AP85" s="10"/>
      <c r="AQ85" s="10">
        <v>976872.63505899999</v>
      </c>
      <c r="AR85" s="10">
        <v>0</v>
      </c>
      <c r="AS85" s="10">
        <v>327707.69470400002</v>
      </c>
      <c r="AT85" s="10"/>
      <c r="AU85" s="10"/>
      <c r="AV85" s="10"/>
      <c r="AW85" s="10"/>
      <c r="AX85" s="10">
        <v>1924427.98165</v>
      </c>
      <c r="AY85" s="10">
        <v>2240235.7927399999</v>
      </c>
      <c r="AZ85" s="10"/>
      <c r="BA85" s="10">
        <v>4800.8967000000002</v>
      </c>
      <c r="BB85" s="10">
        <v>170590.14493000001</v>
      </c>
      <c r="BC85" s="10">
        <v>133805.27150999999</v>
      </c>
      <c r="BD85" s="10">
        <v>0</v>
      </c>
      <c r="BE85" s="10">
        <v>444192.276526</v>
      </c>
      <c r="BF85" s="10">
        <v>264281.22460999998</v>
      </c>
      <c r="BG85" s="10">
        <v>11250.597470000001</v>
      </c>
      <c r="BH85" s="10"/>
      <c r="BI85" s="10">
        <v>0</v>
      </c>
      <c r="BJ85" s="10">
        <v>139554.32730999999</v>
      </c>
      <c r="BK85" s="10">
        <v>31533.286599999999</v>
      </c>
      <c r="BL85" s="10">
        <v>6787.4421700000003</v>
      </c>
      <c r="BM85" s="10"/>
      <c r="BN85" s="10"/>
      <c r="BO85" s="10">
        <v>178133.12048000001</v>
      </c>
      <c r="BP85" s="10">
        <v>0</v>
      </c>
      <c r="BQ85" s="10">
        <v>85608.549190000005</v>
      </c>
      <c r="BR85" s="10">
        <v>8956.43577</v>
      </c>
      <c r="BS85" s="10">
        <v>0</v>
      </c>
      <c r="BT85" s="10"/>
      <c r="BU85" s="10">
        <v>109656.77541</v>
      </c>
      <c r="BV85" s="10">
        <v>25968.88681</v>
      </c>
      <c r="BW85" s="10"/>
      <c r="BX85" s="10">
        <v>0</v>
      </c>
      <c r="BY85" s="10"/>
      <c r="BZ85" s="10"/>
      <c r="CA85" s="10">
        <v>0</v>
      </c>
      <c r="CB85" s="10">
        <v>127378.75870000001</v>
      </c>
      <c r="CC85" s="10">
        <v>51176.191099999996</v>
      </c>
      <c r="CD85" s="10">
        <v>0</v>
      </c>
      <c r="CE85" s="10"/>
      <c r="CF85" s="10">
        <v>0</v>
      </c>
      <c r="CG85" s="10"/>
      <c r="CH85" s="10"/>
      <c r="CI85" s="10"/>
      <c r="CJ85" s="10">
        <v>502.00990000000002</v>
      </c>
      <c r="CK85" s="10"/>
      <c r="CL85" s="10"/>
      <c r="CM85" s="10"/>
      <c r="CN85" s="10"/>
      <c r="CO85" s="10"/>
      <c r="CP85" s="10"/>
      <c r="CQ85" s="10">
        <v>0</v>
      </c>
      <c r="CR85" s="10"/>
      <c r="CS85" s="10">
        <v>0</v>
      </c>
      <c r="CT85" s="10"/>
      <c r="CU85" s="10"/>
      <c r="CV85" s="10">
        <v>0</v>
      </c>
      <c r="CW85" s="10"/>
      <c r="CX85" s="10">
        <v>0</v>
      </c>
      <c r="CY85" s="10"/>
      <c r="CZ85" s="10"/>
      <c r="DA85" s="10">
        <v>0</v>
      </c>
      <c r="DB85" s="10">
        <v>0</v>
      </c>
      <c r="DC85" s="10"/>
      <c r="DD85" s="10">
        <v>0</v>
      </c>
      <c r="DE85" s="10"/>
      <c r="DF85" s="10">
        <v>0</v>
      </c>
      <c r="DG85" s="10"/>
      <c r="DH85" s="10">
        <v>0</v>
      </c>
      <c r="DI85" s="10"/>
    </row>
    <row r="86" spans="1:113" x14ac:dyDescent="0.35">
      <c r="A86" s="8">
        <v>46104</v>
      </c>
      <c r="B86" s="9">
        <v>5367251829.3867798</v>
      </c>
      <c r="C86" s="10">
        <v>1238823404.7670801</v>
      </c>
      <c r="D86" s="10">
        <v>1370489508.0514801</v>
      </c>
      <c r="E86" s="10">
        <v>378041599.80360001</v>
      </c>
      <c r="F86" s="10">
        <v>948613298.20037997</v>
      </c>
      <c r="G86" s="10">
        <v>289308013.67970002</v>
      </c>
      <c r="H86" s="10">
        <v>575808861.08806002</v>
      </c>
      <c r="I86" s="10">
        <v>26138361.706209999</v>
      </c>
      <c r="J86" s="10">
        <v>45146188.430540003</v>
      </c>
      <c r="K86" s="10">
        <v>17720454.217360001</v>
      </c>
      <c r="L86" s="10">
        <v>35709922.583970003</v>
      </c>
      <c r="M86" s="10">
        <v>12127208.765389999</v>
      </c>
      <c r="N86" s="10">
        <v>63181773.223159999</v>
      </c>
      <c r="O86" s="10">
        <v>46667846.535709001</v>
      </c>
      <c r="P86" s="10"/>
      <c r="Q86" s="10">
        <v>10406618.70418</v>
      </c>
      <c r="R86" s="10">
        <v>55086948.464929998</v>
      </c>
      <c r="S86" s="10"/>
      <c r="T86" s="10">
        <v>16784365.673927002</v>
      </c>
      <c r="U86" s="10">
        <v>14839754.756619999</v>
      </c>
      <c r="V86" s="10">
        <v>6760779.0338000003</v>
      </c>
      <c r="W86" s="10">
        <v>17303519.568709999</v>
      </c>
      <c r="X86" s="10">
        <v>25574046.307569999</v>
      </c>
      <c r="Y86" s="10">
        <v>18759839.084679998</v>
      </c>
      <c r="Z86" s="10">
        <v>4268945.7991399998</v>
      </c>
      <c r="AA86" s="10">
        <v>48139562.680059999</v>
      </c>
      <c r="AB86" s="10">
        <v>4626125.4759400003</v>
      </c>
      <c r="AC86" s="10">
        <v>6692582.5778299998</v>
      </c>
      <c r="AD86" s="10"/>
      <c r="AE86" s="10">
        <v>11105765.829159999</v>
      </c>
      <c r="AF86" s="10">
        <v>4811043.5545100002</v>
      </c>
      <c r="AG86" s="10">
        <v>10173492.915100001</v>
      </c>
      <c r="AH86" s="10">
        <v>6366656.0193499997</v>
      </c>
      <c r="AI86" s="10">
        <v>4666748.2982999999</v>
      </c>
      <c r="AJ86" s="10"/>
      <c r="AK86" s="10">
        <v>9211209.1894300003</v>
      </c>
      <c r="AL86" s="10">
        <v>6124418.7067</v>
      </c>
      <c r="AM86" s="10">
        <v>893507.23999000003</v>
      </c>
      <c r="AN86" s="10">
        <v>2552327.8917899998</v>
      </c>
      <c r="AO86" s="10">
        <v>5819085.1917399997</v>
      </c>
      <c r="AP86" s="10"/>
      <c r="AQ86" s="10">
        <v>3736848.3016519998</v>
      </c>
      <c r="AR86" s="10">
        <v>0</v>
      </c>
      <c r="AS86" s="10">
        <v>2058131.7661919999</v>
      </c>
      <c r="AT86" s="10"/>
      <c r="AU86" s="10"/>
      <c r="AV86" s="10"/>
      <c r="AW86" s="10"/>
      <c r="AX86" s="10">
        <v>5649415.1126300003</v>
      </c>
      <c r="AY86" s="10">
        <v>3824690.1335499999</v>
      </c>
      <c r="AZ86" s="10"/>
      <c r="BA86" s="10">
        <v>462.70929999999998</v>
      </c>
      <c r="BB86" s="10">
        <v>753332.86627</v>
      </c>
      <c r="BC86" s="10">
        <v>369114.02068000002</v>
      </c>
      <c r="BD86" s="10">
        <v>0</v>
      </c>
      <c r="BE86" s="10">
        <v>3656868.985626</v>
      </c>
      <c r="BF86" s="10">
        <v>566422.45797999995</v>
      </c>
      <c r="BG86" s="10">
        <v>66302.528470000005</v>
      </c>
      <c r="BH86" s="10"/>
      <c r="BI86" s="10">
        <v>0</v>
      </c>
      <c r="BJ86" s="10">
        <v>2790901.0053500002</v>
      </c>
      <c r="BK86" s="10">
        <v>26069.574199999999</v>
      </c>
      <c r="BL86" s="10">
        <v>22523.548869999999</v>
      </c>
      <c r="BM86" s="10"/>
      <c r="BN86" s="10"/>
      <c r="BO86" s="10">
        <v>2731427.0191100002</v>
      </c>
      <c r="BP86" s="10">
        <v>0</v>
      </c>
      <c r="BQ86" s="10">
        <v>712403.01283000002</v>
      </c>
      <c r="BR86" s="10">
        <v>274359.63757999998</v>
      </c>
      <c r="BS86" s="10">
        <v>0</v>
      </c>
      <c r="BT86" s="10"/>
      <c r="BU86" s="10">
        <v>294868.45312000002</v>
      </c>
      <c r="BV86" s="10">
        <v>52214.433969999998</v>
      </c>
      <c r="BW86" s="10"/>
      <c r="BX86" s="10">
        <v>0</v>
      </c>
      <c r="BY86" s="10"/>
      <c r="BZ86" s="10"/>
      <c r="CA86" s="10">
        <v>0</v>
      </c>
      <c r="CB86" s="10">
        <v>408296.45614000002</v>
      </c>
      <c r="CC86" s="10">
        <v>513292.39867999998</v>
      </c>
      <c r="CD86" s="10">
        <v>0</v>
      </c>
      <c r="CE86" s="10"/>
      <c r="CF86" s="10">
        <v>0</v>
      </c>
      <c r="CG86" s="10"/>
      <c r="CH86" s="10"/>
      <c r="CI86" s="10"/>
      <c r="CJ86" s="10">
        <v>100.94849000000001</v>
      </c>
      <c r="CK86" s="10"/>
      <c r="CL86" s="10"/>
      <c r="CM86" s="10"/>
      <c r="CN86" s="10"/>
      <c r="CO86" s="10"/>
      <c r="CP86" s="10"/>
      <c r="CQ86" s="10">
        <v>0</v>
      </c>
      <c r="CR86" s="10"/>
      <c r="CS86" s="10">
        <v>0</v>
      </c>
      <c r="CT86" s="10"/>
      <c r="CU86" s="10"/>
      <c r="CV86" s="10">
        <v>0</v>
      </c>
      <c r="CW86" s="10"/>
      <c r="CX86" s="10">
        <v>0</v>
      </c>
      <c r="CY86" s="10"/>
      <c r="CZ86" s="10"/>
      <c r="DA86" s="10">
        <v>0</v>
      </c>
      <c r="DB86" s="10">
        <v>0</v>
      </c>
      <c r="DC86" s="10"/>
      <c r="DD86" s="10">
        <v>0</v>
      </c>
      <c r="DE86" s="10"/>
      <c r="DF86" s="10">
        <v>0</v>
      </c>
      <c r="DG86" s="10"/>
      <c r="DH86" s="10">
        <v>0</v>
      </c>
      <c r="DI86" s="10"/>
    </row>
    <row r="87" spans="1:113" x14ac:dyDescent="0.35">
      <c r="A87" s="8">
        <v>46103</v>
      </c>
      <c r="B87" s="9">
        <v>817341831.07515502</v>
      </c>
      <c r="C87" s="10">
        <v>207359548.37360999</v>
      </c>
      <c r="D87" s="10">
        <v>112182540.07002001</v>
      </c>
      <c r="E87" s="10">
        <v>78212347.798899993</v>
      </c>
      <c r="F87" s="10">
        <v>203278075.8827</v>
      </c>
      <c r="G87" s="10">
        <v>46089315.883500002</v>
      </c>
      <c r="H87" s="10">
        <v>67385256.724849999</v>
      </c>
      <c r="I87" s="10">
        <v>2421276.5973100001</v>
      </c>
      <c r="J87" s="10">
        <v>6041870.9832800003</v>
      </c>
      <c r="K87" s="10">
        <v>1486038.4198499999</v>
      </c>
      <c r="L87" s="10">
        <v>9063349.52348</v>
      </c>
      <c r="M87" s="10">
        <v>1518496.7723399999</v>
      </c>
      <c r="N87" s="10">
        <v>5681156.37225</v>
      </c>
      <c r="O87" s="10">
        <v>3039099.3328760001</v>
      </c>
      <c r="P87" s="10"/>
      <c r="Q87" s="10">
        <v>1200860.1433900001</v>
      </c>
      <c r="R87" s="10">
        <v>10882471.7181</v>
      </c>
      <c r="S87" s="10"/>
      <c r="T87" s="10">
        <v>5222386.3277700003</v>
      </c>
      <c r="U87" s="10">
        <v>6001122.2601700099</v>
      </c>
      <c r="V87" s="10">
        <v>2209415.3555399999</v>
      </c>
      <c r="W87" s="10">
        <v>4928882.0811900003</v>
      </c>
      <c r="X87" s="10">
        <v>4297844.8336100001</v>
      </c>
      <c r="Y87" s="10">
        <v>1763667.8985900001</v>
      </c>
      <c r="Z87" s="10">
        <v>563029.84776000003</v>
      </c>
      <c r="AA87" s="10">
        <v>3493924.4604500001</v>
      </c>
      <c r="AB87" s="10">
        <v>180076.59796000001</v>
      </c>
      <c r="AC87" s="10">
        <v>965924.39749999996</v>
      </c>
      <c r="AD87" s="10"/>
      <c r="AE87" s="10">
        <v>9385566.55842999</v>
      </c>
      <c r="AF87" s="10">
        <v>580461.13256000006</v>
      </c>
      <c r="AG87" s="10">
        <v>9568120.1875999998</v>
      </c>
      <c r="AH87" s="10">
        <v>1215902.87552</v>
      </c>
      <c r="AI87" s="10">
        <v>731583.64318999997</v>
      </c>
      <c r="AJ87" s="10"/>
      <c r="AK87" s="10">
        <v>6039206.2571289996</v>
      </c>
      <c r="AL87" s="10">
        <v>304737.24897000002</v>
      </c>
      <c r="AM87" s="10">
        <v>471979.15188999998</v>
      </c>
      <c r="AN87" s="10">
        <v>1079481.37637</v>
      </c>
      <c r="AO87" s="10">
        <v>1035068.41902</v>
      </c>
      <c r="AP87" s="10"/>
      <c r="AQ87" s="10">
        <v>57616.491044000002</v>
      </c>
      <c r="AR87" s="10">
        <v>0</v>
      </c>
      <c r="AS87" s="10">
        <v>440286.68155799998</v>
      </c>
      <c r="AT87" s="10"/>
      <c r="AU87" s="10"/>
      <c r="AV87" s="10"/>
      <c r="AW87" s="10"/>
      <c r="AX87" s="10">
        <v>26289.619210000001</v>
      </c>
      <c r="AY87" s="10">
        <v>191242.19807000001</v>
      </c>
      <c r="AZ87" s="10"/>
      <c r="BA87" s="10">
        <v>13576.1319</v>
      </c>
      <c r="BB87" s="10">
        <v>120257.45139</v>
      </c>
      <c r="BC87" s="10">
        <v>111415.51402</v>
      </c>
      <c r="BD87" s="10">
        <v>0</v>
      </c>
      <c r="BE87" s="10">
        <v>110646.515378</v>
      </c>
      <c r="BF87" s="10">
        <v>45094.725689999999</v>
      </c>
      <c r="BG87" s="10">
        <v>1640.9332199999999</v>
      </c>
      <c r="BH87" s="10"/>
      <c r="BI87" s="10">
        <v>0</v>
      </c>
      <c r="BJ87" s="10">
        <v>5581.2125500000002</v>
      </c>
      <c r="BK87" s="10">
        <v>6205.6750000000002</v>
      </c>
      <c r="BL87" s="10">
        <v>13278.90418</v>
      </c>
      <c r="BM87" s="10"/>
      <c r="BN87" s="10"/>
      <c r="BO87" s="10">
        <v>19257.26023</v>
      </c>
      <c r="BP87" s="10">
        <v>0</v>
      </c>
      <c r="BQ87" s="10">
        <v>139.85481999999999</v>
      </c>
      <c r="BR87" s="10">
        <v>3174.42038</v>
      </c>
      <c r="BS87" s="10">
        <v>0</v>
      </c>
      <c r="BT87" s="10"/>
      <c r="BU87" s="10">
        <v>0</v>
      </c>
      <c r="BV87" s="10">
        <v>13402.50585</v>
      </c>
      <c r="BW87" s="10"/>
      <c r="BX87" s="10">
        <v>0</v>
      </c>
      <c r="BY87" s="10"/>
      <c r="BZ87" s="10"/>
      <c r="CA87" s="10">
        <v>0</v>
      </c>
      <c r="CB87" s="10">
        <v>267753.86741000001</v>
      </c>
      <c r="CC87" s="10">
        <v>12118</v>
      </c>
      <c r="CD87" s="10"/>
      <c r="CE87" s="10"/>
      <c r="CF87" s="10">
        <v>0</v>
      </c>
      <c r="CG87" s="10"/>
      <c r="CH87" s="10"/>
      <c r="CI87" s="10"/>
      <c r="CJ87" s="10">
        <v>2767.6055799999999</v>
      </c>
      <c r="CK87" s="10"/>
      <c r="CL87" s="10"/>
      <c r="CM87" s="10"/>
      <c r="CN87" s="10"/>
      <c r="CO87" s="10"/>
      <c r="CP87" s="10"/>
      <c r="CQ87" s="10">
        <v>0</v>
      </c>
      <c r="CR87" s="10"/>
      <c r="CS87" s="10">
        <v>0</v>
      </c>
      <c r="CT87" s="10"/>
      <c r="CU87" s="10"/>
      <c r="CV87" s="10">
        <v>0</v>
      </c>
      <c r="CW87" s="10"/>
      <c r="CX87" s="10">
        <v>0</v>
      </c>
      <c r="CY87" s="10"/>
      <c r="CZ87" s="10"/>
      <c r="DA87" s="10">
        <v>0</v>
      </c>
      <c r="DB87" s="10">
        <v>0</v>
      </c>
      <c r="DC87" s="10"/>
      <c r="DD87" s="10">
        <v>0</v>
      </c>
      <c r="DE87" s="10"/>
      <c r="DF87" s="10">
        <v>0</v>
      </c>
      <c r="DG87" s="10"/>
      <c r="DH87" s="10">
        <v>0</v>
      </c>
      <c r="DI87" s="10"/>
    </row>
    <row r="88" spans="1:113" x14ac:dyDescent="0.35">
      <c r="A88" s="8">
        <v>46102</v>
      </c>
      <c r="B88" s="9">
        <v>313458740.117562</v>
      </c>
      <c r="C88" s="10">
        <v>69925160.604265898</v>
      </c>
      <c r="D88" s="10">
        <v>21766354.22394</v>
      </c>
      <c r="E88" s="10">
        <v>40072419.760200001</v>
      </c>
      <c r="F88" s="10">
        <v>71738761.917600095</v>
      </c>
      <c r="G88" s="10">
        <v>15081956.7283</v>
      </c>
      <c r="H88" s="10">
        <v>21111261.900460001</v>
      </c>
      <c r="I88" s="10">
        <v>1762781.4895599999</v>
      </c>
      <c r="J88" s="10">
        <v>5717304.4164800001</v>
      </c>
      <c r="K88" s="10">
        <v>826141.43156000297</v>
      </c>
      <c r="L88" s="10">
        <v>3223708.0803700001</v>
      </c>
      <c r="M88" s="10">
        <v>1310539.2269900001</v>
      </c>
      <c r="N88" s="10">
        <v>5095652.8876299998</v>
      </c>
      <c r="O88" s="10">
        <v>12752319.512289001</v>
      </c>
      <c r="P88" s="10"/>
      <c r="Q88" s="10">
        <v>758152.51200999995</v>
      </c>
      <c r="R88" s="10">
        <v>4356589.6296499996</v>
      </c>
      <c r="S88" s="10"/>
      <c r="T88" s="10">
        <v>2531461.9771520002</v>
      </c>
      <c r="U88" s="10">
        <v>2812326.0234400001</v>
      </c>
      <c r="V88" s="10">
        <v>615210.10935000004</v>
      </c>
      <c r="W88" s="10">
        <v>2615834.0116900001</v>
      </c>
      <c r="X88" s="10">
        <v>3296132.6312500001</v>
      </c>
      <c r="Y88" s="10">
        <v>1955725.38583</v>
      </c>
      <c r="Z88" s="10">
        <v>854736.64266000001</v>
      </c>
      <c r="AA88" s="10">
        <v>464180.95134999999</v>
      </c>
      <c r="AB88" s="10">
        <v>184890.53974000001</v>
      </c>
      <c r="AC88" s="10">
        <v>602860.17247999995</v>
      </c>
      <c r="AD88" s="10"/>
      <c r="AE88" s="10">
        <v>5657594.2679500002</v>
      </c>
      <c r="AF88" s="10">
        <v>283187.41352</v>
      </c>
      <c r="AG88" s="10">
        <v>10300970.305299999</v>
      </c>
      <c r="AH88" s="10">
        <v>516158.25042999903</v>
      </c>
      <c r="AI88" s="10">
        <v>338169.71445000003</v>
      </c>
      <c r="AJ88" s="10"/>
      <c r="AK88" s="10">
        <v>1686033.5174829999</v>
      </c>
      <c r="AL88" s="10">
        <v>283094.04697000002</v>
      </c>
      <c r="AM88" s="10">
        <v>311369.31030999997</v>
      </c>
      <c r="AN88" s="10">
        <v>231624.32701000001</v>
      </c>
      <c r="AO88" s="10">
        <v>670610.34089999995</v>
      </c>
      <c r="AP88" s="10"/>
      <c r="AQ88" s="10">
        <v>135555.85612899999</v>
      </c>
      <c r="AR88" s="10">
        <v>0</v>
      </c>
      <c r="AS88" s="10">
        <v>152122.567607</v>
      </c>
      <c r="AT88" s="10"/>
      <c r="AU88" s="10"/>
      <c r="AV88" s="10"/>
      <c r="AW88" s="10"/>
      <c r="AX88" s="10">
        <v>2511.40011</v>
      </c>
      <c r="AY88" s="10">
        <v>111793.12278000001</v>
      </c>
      <c r="AZ88" s="10"/>
      <c r="BA88" s="10">
        <v>10447.005800000001</v>
      </c>
      <c r="BB88" s="10">
        <v>52229.242380000003</v>
      </c>
      <c r="BC88" s="10">
        <v>8253.7282300000006</v>
      </c>
      <c r="BD88" s="10">
        <v>0</v>
      </c>
      <c r="BE88" s="10">
        <v>416042.47207600001</v>
      </c>
      <c r="BF88" s="10">
        <v>60390.627419999997</v>
      </c>
      <c r="BG88" s="10">
        <v>6867.92</v>
      </c>
      <c r="BH88" s="10"/>
      <c r="BI88" s="10">
        <v>0</v>
      </c>
      <c r="BJ88" s="10">
        <v>53.463250000000002</v>
      </c>
      <c r="BK88" s="10">
        <v>1393.2666999999999</v>
      </c>
      <c r="BL88" s="10">
        <v>3082.3205800000001</v>
      </c>
      <c r="BM88" s="10"/>
      <c r="BN88" s="10"/>
      <c r="BO88" s="10">
        <v>329805.19222000003</v>
      </c>
      <c r="BP88" s="10">
        <v>0</v>
      </c>
      <c r="BQ88" s="10">
        <v>88255.250339999999</v>
      </c>
      <c r="BR88" s="10">
        <v>1045.0650599999999</v>
      </c>
      <c r="BS88" s="10">
        <v>0</v>
      </c>
      <c r="BT88" s="10"/>
      <c r="BU88" s="10">
        <v>16477.589919999999</v>
      </c>
      <c r="BV88" s="10">
        <v>144095.33098</v>
      </c>
      <c r="BW88" s="10"/>
      <c r="BX88" s="10">
        <v>0</v>
      </c>
      <c r="BY88" s="10"/>
      <c r="BZ88" s="10"/>
      <c r="CA88" s="10">
        <v>0</v>
      </c>
      <c r="CB88" s="10">
        <v>207043.21760999999</v>
      </c>
      <c r="CC88" s="10">
        <v>1.2178</v>
      </c>
      <c r="CD88" s="10"/>
      <c r="CE88" s="10"/>
      <c r="CF88" s="10">
        <v>0</v>
      </c>
      <c r="CG88" s="10"/>
      <c r="CH88" s="10"/>
      <c r="CI88" s="10"/>
      <c r="CJ88" s="10">
        <v>0</v>
      </c>
      <c r="CK88" s="10"/>
      <c r="CL88" s="10"/>
      <c r="CM88" s="10"/>
      <c r="CN88" s="10"/>
      <c r="CO88" s="10"/>
      <c r="CP88" s="10"/>
      <c r="CQ88" s="10">
        <v>0</v>
      </c>
      <c r="CR88" s="10"/>
      <c r="CS88" s="10">
        <v>0</v>
      </c>
      <c r="CT88" s="10"/>
      <c r="CU88" s="10"/>
      <c r="CV88" s="10">
        <v>0</v>
      </c>
      <c r="CW88" s="10"/>
      <c r="CX88" s="10">
        <v>0</v>
      </c>
      <c r="CY88" s="10"/>
      <c r="CZ88" s="10"/>
      <c r="DA88" s="10">
        <v>0</v>
      </c>
      <c r="DB88" s="10">
        <v>0</v>
      </c>
      <c r="DC88" s="10"/>
      <c r="DD88" s="10">
        <v>0</v>
      </c>
      <c r="DE88" s="10"/>
      <c r="DF88" s="10">
        <v>0</v>
      </c>
      <c r="DG88" s="10"/>
      <c r="DH88" s="10">
        <v>0</v>
      </c>
      <c r="DI88" s="10"/>
    </row>
    <row r="89" spans="1:113" x14ac:dyDescent="0.35">
      <c r="A89" s="8">
        <v>46101</v>
      </c>
      <c r="B89" s="9">
        <v>2056035150.21663</v>
      </c>
      <c r="C89" s="10">
        <v>427763577.29900903</v>
      </c>
      <c r="D89" s="10">
        <v>451832666.69849002</v>
      </c>
      <c r="E89" s="10">
        <v>250547744.25009999</v>
      </c>
      <c r="F89" s="10">
        <v>315771100.53570002</v>
      </c>
      <c r="G89" s="10">
        <v>116423541.70739999</v>
      </c>
      <c r="H89" s="10">
        <v>171764298.40718001</v>
      </c>
      <c r="I89" s="10">
        <v>12350525.055840001</v>
      </c>
      <c r="J89" s="10">
        <v>16669630.951889999</v>
      </c>
      <c r="K89" s="10">
        <v>14613762.112430001</v>
      </c>
      <c r="L89" s="10">
        <v>25810973.228640001</v>
      </c>
      <c r="M89" s="10">
        <v>6281501.9994099997</v>
      </c>
      <c r="N89" s="10">
        <v>49584170.467320003</v>
      </c>
      <c r="O89" s="10">
        <v>11536543.536738999</v>
      </c>
      <c r="P89" s="10"/>
      <c r="Q89" s="10">
        <v>5462538.9187700003</v>
      </c>
      <c r="R89" s="10">
        <v>37766501.65755</v>
      </c>
      <c r="S89" s="10"/>
      <c r="T89" s="10">
        <v>11715745.437178001</v>
      </c>
      <c r="U89" s="10">
        <v>5743533.2894099997</v>
      </c>
      <c r="V89" s="10">
        <v>2893693.36497</v>
      </c>
      <c r="W89" s="10">
        <v>15268280.53187</v>
      </c>
      <c r="X89" s="10">
        <v>9725555.3459399994</v>
      </c>
      <c r="Y89" s="10">
        <v>13788605.83811</v>
      </c>
      <c r="Z89" s="10">
        <v>1356513.4926400001</v>
      </c>
      <c r="AA89" s="10">
        <v>19335173.26213</v>
      </c>
      <c r="AB89" s="10">
        <v>2215673.5105300001</v>
      </c>
      <c r="AC89" s="10">
        <v>3190195.3360799998</v>
      </c>
      <c r="AD89" s="10"/>
      <c r="AE89" s="10">
        <v>12046403.617380001</v>
      </c>
      <c r="AF89" s="10">
        <v>2648590.08024</v>
      </c>
      <c r="AG89" s="10">
        <v>10942984.410800001</v>
      </c>
      <c r="AH89" s="10">
        <v>2334715.2018599999</v>
      </c>
      <c r="AI89" s="10">
        <v>3109018.72266</v>
      </c>
      <c r="AJ89" s="10"/>
      <c r="AK89" s="10">
        <v>5366869.4757319996</v>
      </c>
      <c r="AL89" s="10">
        <v>1972409.8472200001</v>
      </c>
      <c r="AM89" s="10">
        <v>378259.13659000001</v>
      </c>
      <c r="AN89" s="10">
        <v>942317.76951999997</v>
      </c>
      <c r="AO89" s="10">
        <v>1164898.05275</v>
      </c>
      <c r="AP89" s="10"/>
      <c r="AQ89" s="10">
        <v>1435251.6275569999</v>
      </c>
      <c r="AR89" s="10">
        <v>0</v>
      </c>
      <c r="AS89" s="10">
        <v>1447725.6840929999</v>
      </c>
      <c r="AT89" s="10"/>
      <c r="AU89" s="10"/>
      <c r="AV89" s="10"/>
      <c r="AW89" s="10"/>
      <c r="AX89" s="10">
        <v>3895386.5688700001</v>
      </c>
      <c r="AY89" s="10">
        <v>1828986.0007</v>
      </c>
      <c r="AZ89" s="10"/>
      <c r="BA89" s="10">
        <v>5505.4444000000003</v>
      </c>
      <c r="BB89" s="10">
        <v>602774.22238000005</v>
      </c>
      <c r="BC89" s="10">
        <v>137794.99319000001</v>
      </c>
      <c r="BD89" s="10">
        <v>0</v>
      </c>
      <c r="BE89" s="10">
        <v>3446494.4385930002</v>
      </c>
      <c r="BF89" s="10">
        <v>469779.21520999999</v>
      </c>
      <c r="BG89" s="10">
        <v>30155.47135</v>
      </c>
      <c r="BH89" s="10"/>
      <c r="BI89" s="10">
        <v>0</v>
      </c>
      <c r="BJ89" s="10">
        <v>56820.264009999999</v>
      </c>
      <c r="BK89" s="10">
        <v>2077.8481000000002</v>
      </c>
      <c r="BL89" s="10">
        <v>3654.9273199999998</v>
      </c>
      <c r="BM89" s="10"/>
      <c r="BN89" s="10"/>
      <c r="BO89" s="10">
        <v>679346.85290000006</v>
      </c>
      <c r="BP89" s="10">
        <v>0</v>
      </c>
      <c r="BQ89" s="10">
        <v>165743.82972000001</v>
      </c>
      <c r="BR89" s="10">
        <v>325843.62696000002</v>
      </c>
      <c r="BS89" s="10">
        <v>0</v>
      </c>
      <c r="BT89" s="10"/>
      <c r="BU89" s="10">
        <v>337024.32968000002</v>
      </c>
      <c r="BV89" s="10">
        <v>139127.10063</v>
      </c>
      <c r="BW89" s="10"/>
      <c r="BX89" s="10">
        <v>0</v>
      </c>
      <c r="BY89" s="10"/>
      <c r="BZ89" s="10"/>
      <c r="CA89" s="10">
        <v>0</v>
      </c>
      <c r="CB89" s="10">
        <v>391801.71945999999</v>
      </c>
      <c r="CC89" s="10">
        <v>314573.56367</v>
      </c>
      <c r="CD89" s="10"/>
      <c r="CE89" s="10"/>
      <c r="CF89" s="10">
        <v>0</v>
      </c>
      <c r="CG89" s="10"/>
      <c r="CH89" s="10"/>
      <c r="CI89" s="10"/>
      <c r="CJ89" s="10">
        <v>769.93776000000003</v>
      </c>
      <c r="CK89" s="10"/>
      <c r="CL89" s="10"/>
      <c r="CM89" s="10"/>
      <c r="CN89" s="10"/>
      <c r="CO89" s="10"/>
      <c r="CP89" s="10"/>
      <c r="CQ89" s="10">
        <v>0</v>
      </c>
      <c r="CR89" s="10"/>
      <c r="CS89" s="10">
        <v>0</v>
      </c>
      <c r="CT89" s="10"/>
      <c r="CU89" s="10"/>
      <c r="CV89" s="10">
        <v>0</v>
      </c>
      <c r="CW89" s="10"/>
      <c r="CX89" s="10">
        <v>0</v>
      </c>
      <c r="CY89" s="10"/>
      <c r="CZ89" s="10"/>
      <c r="DA89" s="10">
        <v>0</v>
      </c>
      <c r="DB89" s="10">
        <v>0</v>
      </c>
      <c r="DC89" s="10"/>
      <c r="DD89" s="10">
        <v>0</v>
      </c>
      <c r="DE89" s="10"/>
      <c r="DF89" s="10">
        <v>0</v>
      </c>
      <c r="DG89" s="10"/>
      <c r="DH89" s="10">
        <v>0</v>
      </c>
      <c r="DI89" s="10"/>
    </row>
    <row r="90" spans="1:113" x14ac:dyDescent="0.35">
      <c r="A90" s="8">
        <v>46100</v>
      </c>
      <c r="B90" s="9">
        <v>3623030773.2469201</v>
      </c>
      <c r="C90" s="10">
        <v>979697814.85535204</v>
      </c>
      <c r="D90" s="10">
        <v>864036982.86317098</v>
      </c>
      <c r="E90" s="10">
        <v>364835593.2978</v>
      </c>
      <c r="F90" s="10">
        <v>643901285.64180005</v>
      </c>
      <c r="G90" s="10">
        <v>121732926.75669999</v>
      </c>
      <c r="H90" s="10">
        <v>264807602.55921999</v>
      </c>
      <c r="I90" s="10">
        <v>17079623.094250001</v>
      </c>
      <c r="J90" s="10">
        <v>22016326.971390001</v>
      </c>
      <c r="K90" s="10">
        <v>13868171.999059999</v>
      </c>
      <c r="L90" s="10">
        <v>21276126.826889999</v>
      </c>
      <c r="M90" s="10">
        <v>5509035.9388100002</v>
      </c>
      <c r="N90" s="10">
        <v>49291390.678280003</v>
      </c>
      <c r="O90" s="10">
        <v>28608033.468415</v>
      </c>
      <c r="P90" s="10"/>
      <c r="Q90" s="10">
        <v>3991470.5990300002</v>
      </c>
      <c r="R90" s="10">
        <v>53201907.938429996</v>
      </c>
      <c r="S90" s="10"/>
      <c r="T90" s="10">
        <v>12821150.087613</v>
      </c>
      <c r="U90" s="10">
        <v>7678667.9361800002</v>
      </c>
      <c r="V90" s="10">
        <v>3235810.5211900002</v>
      </c>
      <c r="W90" s="10">
        <v>12840322.10372</v>
      </c>
      <c r="X90" s="10">
        <v>16692023.524350001</v>
      </c>
      <c r="Y90" s="10">
        <v>12405795.206800001</v>
      </c>
      <c r="Z90" s="10">
        <v>2245270.6895099999</v>
      </c>
      <c r="AA90" s="10">
        <v>36306606.117260002</v>
      </c>
      <c r="AB90" s="10">
        <v>3032590.6747499998</v>
      </c>
      <c r="AC90" s="10">
        <v>3308786.83397</v>
      </c>
      <c r="AD90" s="10"/>
      <c r="AE90" s="10">
        <v>9094379.5414800104</v>
      </c>
      <c r="AF90" s="10">
        <v>1665484.2105</v>
      </c>
      <c r="AG90" s="10">
        <v>10590899.290200001</v>
      </c>
      <c r="AH90" s="10">
        <v>2830563.5463700001</v>
      </c>
      <c r="AI90" s="10">
        <v>2569473.2144999998</v>
      </c>
      <c r="AJ90" s="10"/>
      <c r="AK90" s="10">
        <v>4133481.616955</v>
      </c>
      <c r="AL90" s="10">
        <v>2081106.0888100001</v>
      </c>
      <c r="AM90" s="10">
        <v>688984.46748999995</v>
      </c>
      <c r="AN90" s="10">
        <v>919015.5368</v>
      </c>
      <c r="AO90" s="10">
        <v>5577779.4339600001</v>
      </c>
      <c r="AP90" s="10"/>
      <c r="AQ90" s="10">
        <v>1102923.905663</v>
      </c>
      <c r="AR90" s="10">
        <v>0</v>
      </c>
      <c r="AS90" s="10">
        <v>1424746.154756</v>
      </c>
      <c r="AT90" s="10"/>
      <c r="AU90" s="10"/>
      <c r="AV90" s="10"/>
      <c r="AW90" s="10"/>
      <c r="AX90" s="10">
        <v>6417216.5271100001</v>
      </c>
      <c r="AY90" s="10">
        <v>962611.83612999995</v>
      </c>
      <c r="AZ90" s="10"/>
      <c r="BA90" s="10">
        <v>5006.5277999999998</v>
      </c>
      <c r="BB90" s="10">
        <v>1666891.0366499999</v>
      </c>
      <c r="BC90" s="10">
        <v>156180.77064</v>
      </c>
      <c r="BD90" s="10">
        <v>0</v>
      </c>
      <c r="BE90" s="10">
        <v>1399204.3242279999</v>
      </c>
      <c r="BF90" s="10">
        <v>1015223.75696</v>
      </c>
      <c r="BG90" s="10">
        <v>104196.95185</v>
      </c>
      <c r="BH90" s="10"/>
      <c r="BI90" s="10">
        <v>0</v>
      </c>
      <c r="BJ90" s="10">
        <v>730811.27084000001</v>
      </c>
      <c r="BK90" s="10">
        <v>3967.6151</v>
      </c>
      <c r="BL90" s="10">
        <v>7449.2184699999998</v>
      </c>
      <c r="BM90" s="10"/>
      <c r="BN90" s="10"/>
      <c r="BO90" s="10">
        <v>1165880.7589199999</v>
      </c>
      <c r="BP90" s="10">
        <v>0</v>
      </c>
      <c r="BQ90" s="10">
        <v>127524.89204999999</v>
      </c>
      <c r="BR90" s="10">
        <v>179431.26837000001</v>
      </c>
      <c r="BS90" s="10">
        <v>0</v>
      </c>
      <c r="BT90" s="10"/>
      <c r="BU90" s="10">
        <v>565906.98716999998</v>
      </c>
      <c r="BV90" s="10">
        <v>815350.61040000001</v>
      </c>
      <c r="BW90" s="10"/>
      <c r="BX90" s="10">
        <v>0</v>
      </c>
      <c r="BY90" s="10"/>
      <c r="BZ90" s="10"/>
      <c r="CA90" s="10">
        <v>0</v>
      </c>
      <c r="CB90" s="10">
        <v>495744.69409</v>
      </c>
      <c r="CC90" s="10">
        <v>111964.75296</v>
      </c>
      <c r="CD90" s="10"/>
      <c r="CE90" s="10"/>
      <c r="CF90" s="10">
        <v>0</v>
      </c>
      <c r="CG90" s="10"/>
      <c r="CH90" s="10"/>
      <c r="CI90" s="10"/>
      <c r="CJ90" s="10">
        <v>55.255760000000002</v>
      </c>
      <c r="CK90" s="10"/>
      <c r="CL90" s="10"/>
      <c r="CM90" s="10"/>
      <c r="CN90" s="10"/>
      <c r="CO90" s="10"/>
      <c r="CP90" s="10"/>
      <c r="CQ90" s="10">
        <v>0</v>
      </c>
      <c r="CR90" s="10"/>
      <c r="CS90" s="10">
        <v>0</v>
      </c>
      <c r="CT90" s="10"/>
      <c r="CU90" s="10"/>
      <c r="CV90" s="10">
        <v>0</v>
      </c>
      <c r="CW90" s="10"/>
      <c r="CX90" s="10">
        <v>0</v>
      </c>
      <c r="CY90" s="10"/>
      <c r="CZ90" s="10"/>
      <c r="DA90" s="10">
        <v>0</v>
      </c>
      <c r="DB90" s="10">
        <v>0</v>
      </c>
      <c r="DC90" s="10"/>
      <c r="DD90" s="10">
        <v>0</v>
      </c>
      <c r="DE90" s="10"/>
      <c r="DF90" s="10">
        <v>0</v>
      </c>
      <c r="DG90" s="10"/>
      <c r="DH90" s="10">
        <v>0</v>
      </c>
      <c r="DI90" s="10"/>
    </row>
    <row r="91" spans="1:113" x14ac:dyDescent="0.35">
      <c r="A91" s="8">
        <v>46099</v>
      </c>
      <c r="B91" s="9">
        <v>2147164133.5315101</v>
      </c>
      <c r="C91" s="10">
        <v>849326206.18289804</v>
      </c>
      <c r="D91" s="10">
        <v>317940690.92106998</v>
      </c>
      <c r="E91" s="10">
        <v>292067264.28369999</v>
      </c>
      <c r="F91" s="10">
        <v>258798748.33627</v>
      </c>
      <c r="G91" s="10">
        <v>26377865.645799998</v>
      </c>
      <c r="H91" s="10">
        <v>85739215.538760006</v>
      </c>
      <c r="I91" s="10">
        <v>23396276.055989999</v>
      </c>
      <c r="J91" s="10">
        <v>19729012.725869998</v>
      </c>
      <c r="K91" s="10">
        <v>11196008.60696</v>
      </c>
      <c r="L91" s="10">
        <v>9971027.0372199994</v>
      </c>
      <c r="M91" s="10">
        <v>5976637.9846999999</v>
      </c>
      <c r="N91" s="10">
        <v>26554391.633189999</v>
      </c>
      <c r="O91" s="10">
        <v>16179506.575480999</v>
      </c>
      <c r="P91" s="10"/>
      <c r="Q91" s="10">
        <v>5039720.3355999999</v>
      </c>
      <c r="R91" s="10">
        <v>33160767.822980002</v>
      </c>
      <c r="S91" s="10"/>
      <c r="T91" s="10">
        <v>19745852.907867</v>
      </c>
      <c r="U91" s="10">
        <v>8485235.6266799998</v>
      </c>
      <c r="V91" s="10">
        <v>5162035.3963700002</v>
      </c>
      <c r="W91" s="10">
        <v>14852913.566190001</v>
      </c>
      <c r="X91" s="10">
        <v>17379449.52589</v>
      </c>
      <c r="Y91" s="10">
        <v>8842718.1871799994</v>
      </c>
      <c r="Z91" s="10">
        <v>2301999.8122399999</v>
      </c>
      <c r="AA91" s="10">
        <v>28579836.331689999</v>
      </c>
      <c r="AB91" s="10">
        <v>3266926.8201600001</v>
      </c>
      <c r="AC91" s="10">
        <v>2700886.3595099999</v>
      </c>
      <c r="AD91" s="10"/>
      <c r="AE91" s="10">
        <v>11016318.26443</v>
      </c>
      <c r="AF91" s="10">
        <v>2443533.7365999999</v>
      </c>
      <c r="AG91" s="10">
        <v>9024720.3513000105</v>
      </c>
      <c r="AH91" s="10">
        <v>3084159.8425599998</v>
      </c>
      <c r="AI91" s="10">
        <v>2744444.8588200002</v>
      </c>
      <c r="AJ91" s="10"/>
      <c r="AK91" s="10">
        <v>6470470.9777969997</v>
      </c>
      <c r="AL91" s="10">
        <v>2340870.6502100001</v>
      </c>
      <c r="AM91" s="10">
        <v>1116713.2837400001</v>
      </c>
      <c r="AN91" s="10">
        <v>1008593.9426299999</v>
      </c>
      <c r="AO91" s="10">
        <v>6505728.3463399997</v>
      </c>
      <c r="AP91" s="10"/>
      <c r="AQ91" s="10">
        <v>1008773.302578</v>
      </c>
      <c r="AR91" s="10">
        <v>0</v>
      </c>
      <c r="AS91" s="10">
        <v>430015.81520000001</v>
      </c>
      <c r="AT91" s="10"/>
      <c r="AU91" s="10"/>
      <c r="AV91" s="10"/>
      <c r="AW91" s="10"/>
      <c r="AX91" s="10">
        <v>1751769.61106</v>
      </c>
      <c r="AY91" s="10">
        <v>1098462.97477</v>
      </c>
      <c r="AZ91" s="10"/>
      <c r="BA91" s="10">
        <v>6159.9425000000001</v>
      </c>
      <c r="BB91" s="10">
        <v>1165219.4029999999</v>
      </c>
      <c r="BC91" s="10">
        <v>214563.92503000001</v>
      </c>
      <c r="BD91" s="10">
        <v>0</v>
      </c>
      <c r="BE91" s="10">
        <v>655222.56129300001</v>
      </c>
      <c r="BF91" s="10">
        <v>222175.44545</v>
      </c>
      <c r="BG91" s="10">
        <v>200057.42653</v>
      </c>
      <c r="BH91" s="10"/>
      <c r="BI91" s="10">
        <v>0</v>
      </c>
      <c r="BJ91" s="10">
        <v>168398.13386</v>
      </c>
      <c r="BK91" s="10">
        <v>5517.5101000000004</v>
      </c>
      <c r="BL91" s="10">
        <v>7303.0156500000003</v>
      </c>
      <c r="BM91" s="10"/>
      <c r="BN91" s="10"/>
      <c r="BO91" s="10">
        <v>259053.10529000001</v>
      </c>
      <c r="BP91" s="10">
        <v>0</v>
      </c>
      <c r="BQ91" s="10">
        <v>22385.504959999998</v>
      </c>
      <c r="BR91" s="10">
        <v>159088.16678</v>
      </c>
      <c r="BS91" s="10">
        <v>0</v>
      </c>
      <c r="BT91" s="10"/>
      <c r="BU91" s="10">
        <v>224434.95035999999</v>
      </c>
      <c r="BV91" s="10">
        <v>589051.66796999995</v>
      </c>
      <c r="BW91" s="10"/>
      <c r="BX91" s="10">
        <v>0</v>
      </c>
      <c r="BY91" s="10"/>
      <c r="BZ91" s="10"/>
      <c r="CA91" s="10">
        <v>0</v>
      </c>
      <c r="CB91" s="10">
        <v>364904.34479</v>
      </c>
      <c r="CC91" s="10">
        <v>84007.680659999998</v>
      </c>
      <c r="CD91" s="10"/>
      <c r="CE91" s="10"/>
      <c r="CF91" s="10">
        <v>0</v>
      </c>
      <c r="CG91" s="10"/>
      <c r="CH91" s="10"/>
      <c r="CI91" s="10"/>
      <c r="CJ91" s="10">
        <v>820.56898999999999</v>
      </c>
      <c r="CK91" s="10"/>
      <c r="CL91" s="10"/>
      <c r="CM91" s="10"/>
      <c r="CN91" s="10"/>
      <c r="CO91" s="10"/>
      <c r="CP91" s="10"/>
      <c r="CQ91" s="10">
        <v>0</v>
      </c>
      <c r="CR91" s="10"/>
      <c r="CS91" s="10">
        <v>0</v>
      </c>
      <c r="CT91" s="10"/>
      <c r="CU91" s="10"/>
      <c r="CV91" s="10">
        <v>0</v>
      </c>
      <c r="CW91" s="10"/>
      <c r="CX91" s="10">
        <v>0</v>
      </c>
      <c r="CY91" s="10"/>
      <c r="CZ91" s="10"/>
      <c r="DA91" s="10">
        <v>0</v>
      </c>
      <c r="DB91" s="10">
        <v>0</v>
      </c>
      <c r="DC91" s="10"/>
      <c r="DD91" s="10">
        <v>0</v>
      </c>
      <c r="DE91" s="10"/>
      <c r="DF91" s="10">
        <v>0</v>
      </c>
      <c r="DG91" s="10"/>
      <c r="DH91" s="10">
        <v>0</v>
      </c>
      <c r="DI91" s="10"/>
    </row>
    <row r="92" spans="1:113" x14ac:dyDescent="0.35">
      <c r="A92" s="8">
        <v>46098</v>
      </c>
      <c r="B92" s="9">
        <v>1160889432.48031</v>
      </c>
      <c r="C92" s="10">
        <v>409899655.07975203</v>
      </c>
      <c r="D92" s="10">
        <v>167461836.78417999</v>
      </c>
      <c r="E92" s="10">
        <v>195694467.792</v>
      </c>
      <c r="F92" s="10">
        <v>141480961.38468</v>
      </c>
      <c r="G92" s="10"/>
      <c r="H92" s="10">
        <v>36205082.974339999</v>
      </c>
      <c r="I92" s="10">
        <v>8070758.8528199997</v>
      </c>
      <c r="J92" s="10">
        <v>18240064.948559999</v>
      </c>
      <c r="K92" s="10">
        <v>9748934.8839400001</v>
      </c>
      <c r="L92" s="10">
        <v>11449427.214330001</v>
      </c>
      <c r="M92" s="10">
        <v>8286016.3865799997</v>
      </c>
      <c r="N92" s="10">
        <v>23208129.75389</v>
      </c>
      <c r="O92" s="10">
        <v>4996081.262755</v>
      </c>
      <c r="P92" s="10"/>
      <c r="Q92" s="10">
        <v>4461494.5200100001</v>
      </c>
      <c r="R92" s="10">
        <v>6292230.2693299996</v>
      </c>
      <c r="S92" s="10"/>
      <c r="T92" s="10">
        <v>8870812.9131990001</v>
      </c>
      <c r="U92" s="10">
        <v>10755412.5294</v>
      </c>
      <c r="V92" s="10">
        <v>2387864.95903</v>
      </c>
      <c r="W92" s="10">
        <v>8546638.1327400003</v>
      </c>
      <c r="X92" s="10">
        <v>14104869.514900001</v>
      </c>
      <c r="Y92" s="10">
        <v>6073956.28859</v>
      </c>
      <c r="Z92" s="10">
        <v>1403703.1545599999</v>
      </c>
      <c r="AA92" s="10">
        <v>13542661.310830001</v>
      </c>
      <c r="AB92" s="10">
        <v>3265662.2232300001</v>
      </c>
      <c r="AC92" s="10">
        <v>5071093.2930600001</v>
      </c>
      <c r="AD92" s="10"/>
      <c r="AE92" s="10">
        <v>14156324.565339999</v>
      </c>
      <c r="AF92" s="10">
        <v>1361768.21135</v>
      </c>
      <c r="AG92" s="10">
        <v>5022674.8982999995</v>
      </c>
      <c r="AH92" s="10">
        <v>1761462.09614</v>
      </c>
      <c r="AI92" s="10">
        <v>2657430.06965</v>
      </c>
      <c r="AJ92" s="10"/>
      <c r="AK92" s="10">
        <v>3261404.40919</v>
      </c>
      <c r="AL92" s="10">
        <v>2662386.5019899998</v>
      </c>
      <c r="AM92" s="10">
        <v>939191.44434000005</v>
      </c>
      <c r="AN92" s="10">
        <v>920851.93701999995</v>
      </c>
      <c r="AO92" s="10">
        <v>2457818.3129500002</v>
      </c>
      <c r="AP92" s="10"/>
      <c r="AQ92" s="10">
        <v>980070.09770200006</v>
      </c>
      <c r="AR92" s="10">
        <v>0</v>
      </c>
      <c r="AS92" s="10">
        <v>206309.39113100001</v>
      </c>
      <c r="AT92" s="10"/>
      <c r="AU92" s="10"/>
      <c r="AV92" s="10"/>
      <c r="AW92" s="10"/>
      <c r="AX92" s="10">
        <v>1557292.66597</v>
      </c>
      <c r="AY92" s="10">
        <v>839977.45753999997</v>
      </c>
      <c r="AZ92" s="10"/>
      <c r="BA92" s="10">
        <v>14940.197399999999</v>
      </c>
      <c r="BB92" s="10">
        <v>532602.25985000003</v>
      </c>
      <c r="BC92" s="10">
        <v>355465.44689000002</v>
      </c>
      <c r="BD92" s="10">
        <v>0</v>
      </c>
      <c r="BE92" s="10">
        <v>639156.30170900002</v>
      </c>
      <c r="BF92" s="10">
        <v>85238.644709999993</v>
      </c>
      <c r="BG92" s="10">
        <v>46976.466520000002</v>
      </c>
      <c r="BH92" s="10"/>
      <c r="BI92" s="10">
        <v>0</v>
      </c>
      <c r="BJ92" s="10">
        <v>44900.866430000002</v>
      </c>
      <c r="BK92" s="10">
        <v>8199.9933000000001</v>
      </c>
      <c r="BL92" s="10">
        <v>2939.9740200000001</v>
      </c>
      <c r="BM92" s="10"/>
      <c r="BN92" s="10"/>
      <c r="BO92" s="10">
        <v>178100.6783</v>
      </c>
      <c r="BP92" s="10">
        <v>0</v>
      </c>
      <c r="BQ92" s="10">
        <v>13606.72637</v>
      </c>
      <c r="BR92" s="10">
        <v>67095.778309999994</v>
      </c>
      <c r="BS92" s="10">
        <v>0</v>
      </c>
      <c r="BT92" s="10"/>
      <c r="BU92" s="10">
        <v>55790.910470000003</v>
      </c>
      <c r="BV92" s="10">
        <v>50314.985910000003</v>
      </c>
      <c r="BW92" s="10"/>
      <c r="BX92" s="10">
        <v>0</v>
      </c>
      <c r="BY92" s="10"/>
      <c r="BZ92" s="10"/>
      <c r="CA92" s="10">
        <v>0</v>
      </c>
      <c r="CB92" s="10">
        <v>176360.01063999999</v>
      </c>
      <c r="CC92" s="10">
        <v>302052.87407999998</v>
      </c>
      <c r="CD92" s="10"/>
      <c r="CE92" s="10"/>
      <c r="CF92" s="10">
        <v>0</v>
      </c>
      <c r="CG92" s="10"/>
      <c r="CH92" s="10"/>
      <c r="CI92" s="10"/>
      <c r="CJ92" s="10">
        <v>12911.880080000001</v>
      </c>
      <c r="CK92" s="10"/>
      <c r="CL92" s="10"/>
      <c r="CM92" s="10"/>
      <c r="CN92" s="10"/>
      <c r="CO92" s="10"/>
      <c r="CP92" s="10"/>
      <c r="CQ92" s="10">
        <v>0</v>
      </c>
      <c r="CR92" s="10"/>
      <c r="CS92" s="10">
        <v>0</v>
      </c>
      <c r="CT92" s="10"/>
      <c r="CU92" s="10"/>
      <c r="CV92" s="10">
        <v>0</v>
      </c>
      <c r="CW92" s="10"/>
      <c r="CX92" s="10">
        <v>0</v>
      </c>
      <c r="CY92" s="10"/>
      <c r="CZ92" s="10"/>
      <c r="DA92" s="10">
        <v>0</v>
      </c>
      <c r="DB92" s="10">
        <v>0</v>
      </c>
      <c r="DC92" s="10"/>
      <c r="DD92" s="10">
        <v>0</v>
      </c>
      <c r="DE92" s="10"/>
      <c r="DF92" s="10">
        <v>0</v>
      </c>
      <c r="DG92" s="10"/>
      <c r="DH92" s="10">
        <v>0</v>
      </c>
      <c r="DI92" s="10"/>
    </row>
    <row r="93" spans="1:113" x14ac:dyDescent="0.35">
      <c r="A93" s="8">
        <v>46097</v>
      </c>
      <c r="B93" s="9">
        <v>1741240810.8580401</v>
      </c>
      <c r="C93" s="10">
        <v>674052416.27851701</v>
      </c>
      <c r="D93" s="10">
        <v>311807868.15526998</v>
      </c>
      <c r="E93" s="10">
        <v>202427393.37450001</v>
      </c>
      <c r="F93" s="10">
        <v>230002093.14657</v>
      </c>
      <c r="G93" s="10"/>
      <c r="H93" s="10">
        <v>60123415.404610001</v>
      </c>
      <c r="I93" s="10">
        <v>7684291.0165499998</v>
      </c>
      <c r="J93" s="10">
        <v>37092748.311410002</v>
      </c>
      <c r="K93" s="10">
        <v>14019283.865150001</v>
      </c>
      <c r="L93" s="10">
        <v>15417788.52822</v>
      </c>
      <c r="M93" s="10">
        <v>6741427.9445500001</v>
      </c>
      <c r="N93" s="10">
        <v>19367732.19703</v>
      </c>
      <c r="O93" s="10">
        <v>10297695.402841</v>
      </c>
      <c r="P93" s="10"/>
      <c r="Q93" s="10">
        <v>4614413.0070399996</v>
      </c>
      <c r="R93" s="10">
        <v>13974984.557320001</v>
      </c>
      <c r="S93" s="10"/>
      <c r="T93" s="10">
        <v>8447407.7814729996</v>
      </c>
      <c r="U93" s="10">
        <v>9011800.9057899993</v>
      </c>
      <c r="V93" s="10">
        <v>3062511.58861</v>
      </c>
      <c r="W93" s="10">
        <v>12427264.53837</v>
      </c>
      <c r="X93" s="10">
        <v>12966166.996300001</v>
      </c>
      <c r="Y93" s="10">
        <v>7576926.7011000002</v>
      </c>
      <c r="Z93" s="10">
        <v>1686942.2125800001</v>
      </c>
      <c r="AA93" s="10">
        <v>18913030.694540001</v>
      </c>
      <c r="AB93" s="10">
        <v>3100569.9851799998</v>
      </c>
      <c r="AC93" s="10">
        <v>2855334.5400200002</v>
      </c>
      <c r="AD93" s="10"/>
      <c r="AE93" s="10">
        <v>10957947.851330001</v>
      </c>
      <c r="AF93" s="10">
        <v>1934833.83953</v>
      </c>
      <c r="AG93" s="10">
        <v>8715709.1477999892</v>
      </c>
      <c r="AH93" s="10">
        <v>4354825.9403799996</v>
      </c>
      <c r="AI93" s="10">
        <v>1240396.1222699999</v>
      </c>
      <c r="AJ93" s="10"/>
      <c r="AK93" s="10">
        <v>6239143.8209760003</v>
      </c>
      <c r="AL93" s="10">
        <v>3574225.16499</v>
      </c>
      <c r="AM93" s="10">
        <v>748061.59849000105</v>
      </c>
      <c r="AN93" s="10">
        <v>1308987.0153600001</v>
      </c>
      <c r="AO93" s="10">
        <v>2874738.17936</v>
      </c>
      <c r="AP93" s="10"/>
      <c r="AQ93" s="10">
        <v>1293553.8987680001</v>
      </c>
      <c r="AR93" s="10">
        <v>0</v>
      </c>
      <c r="AS93" s="10">
        <v>278534.89292000001</v>
      </c>
      <c r="AT93" s="10"/>
      <c r="AU93" s="10"/>
      <c r="AV93" s="10"/>
      <c r="AW93" s="10"/>
      <c r="AX93" s="10">
        <v>3612303.9250599998</v>
      </c>
      <c r="AY93" s="10">
        <v>1837207.9443699999</v>
      </c>
      <c r="AZ93" s="10"/>
      <c r="BA93" s="10">
        <v>6763.0492999999997</v>
      </c>
      <c r="BB93" s="10">
        <v>739470.78381000005</v>
      </c>
      <c r="BC93" s="10">
        <v>296744.55349000002</v>
      </c>
      <c r="BD93" s="10">
        <v>0</v>
      </c>
      <c r="BE93" s="10">
        <v>686141.05511700001</v>
      </c>
      <c r="BF93" s="10">
        <v>263155.12962000002</v>
      </c>
      <c r="BG93" s="10">
        <v>10815.00603</v>
      </c>
      <c r="BH93" s="10"/>
      <c r="BI93" s="10">
        <v>0</v>
      </c>
      <c r="BJ93" s="10">
        <v>342357.26420999999</v>
      </c>
      <c r="BK93" s="10">
        <v>72618.031199999998</v>
      </c>
      <c r="BL93" s="10">
        <v>9039.8172500000001</v>
      </c>
      <c r="BM93" s="10"/>
      <c r="BN93" s="10"/>
      <c r="BO93" s="10">
        <v>108494.90961</v>
      </c>
      <c r="BP93" s="10">
        <v>0</v>
      </c>
      <c r="BQ93" s="10">
        <v>7930.9812499999998</v>
      </c>
      <c r="BR93" s="10">
        <v>398571.50303999998</v>
      </c>
      <c r="BS93" s="10">
        <v>0</v>
      </c>
      <c r="BT93" s="10"/>
      <c r="BU93" s="10">
        <v>1290146.22202</v>
      </c>
      <c r="BV93" s="10">
        <v>155195.30048000001</v>
      </c>
      <c r="BW93" s="10"/>
      <c r="BX93" s="10">
        <v>0</v>
      </c>
      <c r="BY93" s="10"/>
      <c r="BZ93" s="10"/>
      <c r="CA93" s="10">
        <v>0</v>
      </c>
      <c r="CB93" s="10">
        <v>124057.14978000001</v>
      </c>
      <c r="CC93" s="10">
        <v>86306.670259999999</v>
      </c>
      <c r="CD93" s="10"/>
      <c r="CE93" s="10"/>
      <c r="CF93" s="10">
        <v>0</v>
      </c>
      <c r="CG93" s="10"/>
      <c r="CH93" s="10"/>
      <c r="CI93" s="10"/>
      <c r="CJ93" s="10">
        <v>1026.95643</v>
      </c>
      <c r="CK93" s="10"/>
      <c r="CL93" s="10"/>
      <c r="CM93" s="10"/>
      <c r="CN93" s="10"/>
      <c r="CO93" s="10"/>
      <c r="CP93" s="10"/>
      <c r="CQ93" s="10">
        <v>0</v>
      </c>
      <c r="CR93" s="10"/>
      <c r="CS93" s="10">
        <v>0</v>
      </c>
      <c r="CT93" s="10"/>
      <c r="CU93" s="10"/>
      <c r="CV93" s="10">
        <v>0</v>
      </c>
      <c r="CW93" s="10"/>
      <c r="CX93" s="10">
        <v>0</v>
      </c>
      <c r="CY93" s="10"/>
      <c r="CZ93" s="10"/>
      <c r="DA93" s="10">
        <v>0</v>
      </c>
      <c r="DB93" s="10">
        <v>0</v>
      </c>
      <c r="DC93" s="10"/>
      <c r="DD93" s="10">
        <v>0</v>
      </c>
      <c r="DE93" s="10"/>
      <c r="DF93" s="10">
        <v>0</v>
      </c>
      <c r="DG93" s="10"/>
      <c r="DH93" s="10">
        <v>0</v>
      </c>
      <c r="DI93" s="10"/>
    </row>
    <row r="94" spans="1:113" x14ac:dyDescent="0.35">
      <c r="A94" s="8">
        <v>46096</v>
      </c>
      <c r="B94" s="9">
        <v>826447177.40541506</v>
      </c>
      <c r="C94" s="10">
        <v>369156611.76582199</v>
      </c>
      <c r="D94" s="10">
        <v>50904613.856530003</v>
      </c>
      <c r="E94" s="10">
        <v>137816186.3935</v>
      </c>
      <c r="F94" s="10">
        <v>131079366.44852</v>
      </c>
      <c r="G94" s="10"/>
      <c r="H94" s="10">
        <v>40877215.861769997</v>
      </c>
      <c r="I94" s="10">
        <v>1216756.7309900001</v>
      </c>
      <c r="J94" s="10">
        <v>6911237.87316</v>
      </c>
      <c r="K94" s="10">
        <v>2149829.2711299998</v>
      </c>
      <c r="L94" s="10">
        <v>6513045.8251299998</v>
      </c>
      <c r="M94" s="10">
        <v>1011497.43454</v>
      </c>
      <c r="N94" s="10">
        <v>3550996.5218400001</v>
      </c>
      <c r="O94" s="10">
        <v>2997784.5218549999</v>
      </c>
      <c r="P94" s="10"/>
      <c r="Q94" s="10">
        <v>988053.9031</v>
      </c>
      <c r="R94" s="10">
        <v>7199257.8200700004</v>
      </c>
      <c r="S94" s="10"/>
      <c r="T94" s="10">
        <v>3317193.5585670001</v>
      </c>
      <c r="U94" s="10">
        <v>3022112.2686800002</v>
      </c>
      <c r="V94" s="10">
        <v>652702.22793000005</v>
      </c>
      <c r="W94" s="10">
        <v>1726761.3538299999</v>
      </c>
      <c r="X94" s="10">
        <v>2156865.9547199998</v>
      </c>
      <c r="Y94" s="10">
        <v>1230676.60253</v>
      </c>
      <c r="Z94" s="10">
        <v>792586.58961999998</v>
      </c>
      <c r="AA94" s="10">
        <v>2887502.2053100001</v>
      </c>
      <c r="AB94" s="10">
        <v>101865.25290000001</v>
      </c>
      <c r="AC94" s="10">
        <v>393138.87513</v>
      </c>
      <c r="AD94" s="10"/>
      <c r="AE94" s="10">
        <v>12129907.994340001</v>
      </c>
      <c r="AF94" s="10">
        <v>223781.03166000001</v>
      </c>
      <c r="AG94" s="10">
        <v>6979339.5332000004</v>
      </c>
      <c r="AH94" s="10">
        <v>2129248.42454</v>
      </c>
      <c r="AI94" s="10">
        <v>577886.72919999994</v>
      </c>
      <c r="AJ94" s="10"/>
      <c r="AK94" s="10">
        <v>10488141.335976999</v>
      </c>
      <c r="AL94" s="10">
        <v>147554.85560000001</v>
      </c>
      <c r="AM94" s="10">
        <v>286779.41379000002</v>
      </c>
      <c r="AN94" s="10">
        <v>1301298.9350000001</v>
      </c>
      <c r="AO94" s="10">
        <v>40288.29838</v>
      </c>
      <c r="AP94" s="10"/>
      <c r="AQ94" s="10">
        <v>155513.09777399999</v>
      </c>
      <c r="AR94" s="10">
        <v>0</v>
      </c>
      <c r="AS94" s="10">
        <v>12429155.587406</v>
      </c>
      <c r="AT94" s="10"/>
      <c r="AU94" s="10"/>
      <c r="AV94" s="10"/>
      <c r="AW94" s="10"/>
      <c r="AX94" s="10">
        <v>80064.538939999999</v>
      </c>
      <c r="AY94" s="10">
        <v>23431.284060000002</v>
      </c>
      <c r="AZ94" s="10"/>
      <c r="BA94" s="10">
        <v>5306.2352000000001</v>
      </c>
      <c r="BB94" s="10">
        <v>43754.632080000003</v>
      </c>
      <c r="BC94" s="10">
        <v>50898.200400000002</v>
      </c>
      <c r="BD94" s="10">
        <v>0</v>
      </c>
      <c r="BE94" s="10">
        <v>34800.219283999999</v>
      </c>
      <c r="BF94" s="10">
        <v>187019.84215000001</v>
      </c>
      <c r="BG94" s="10">
        <v>5497.3543499999996</v>
      </c>
      <c r="BH94" s="10"/>
      <c r="BI94" s="10">
        <v>0</v>
      </c>
      <c r="BJ94" s="10">
        <v>315.55622</v>
      </c>
      <c r="BK94" s="10">
        <v>49122.864699999998</v>
      </c>
      <c r="BL94" s="10">
        <v>91241.412819999998</v>
      </c>
      <c r="BM94" s="10"/>
      <c r="BN94" s="10"/>
      <c r="BO94" s="10">
        <v>37624.978969999996</v>
      </c>
      <c r="BP94" s="10">
        <v>0</v>
      </c>
      <c r="BQ94" s="10">
        <v>101.75145000000001</v>
      </c>
      <c r="BR94" s="10">
        <v>892.18317000000002</v>
      </c>
      <c r="BS94" s="10">
        <v>0</v>
      </c>
      <c r="BT94" s="10"/>
      <c r="BU94" s="10">
        <v>30236.164089999998</v>
      </c>
      <c r="BV94" s="10">
        <v>651.47284999999999</v>
      </c>
      <c r="BW94" s="10"/>
      <c r="BX94" s="10">
        <v>0</v>
      </c>
      <c r="BY94" s="10"/>
      <c r="BZ94" s="10"/>
      <c r="CA94" s="10">
        <v>0</v>
      </c>
      <c r="CB94" s="10">
        <v>258369.25568999999</v>
      </c>
      <c r="CC94" s="10">
        <v>1403.2741699999999</v>
      </c>
      <c r="CD94" s="10"/>
      <c r="CE94" s="10"/>
      <c r="CF94" s="10">
        <v>0</v>
      </c>
      <c r="CG94" s="10"/>
      <c r="CH94" s="10"/>
      <c r="CI94" s="10"/>
      <c r="CJ94" s="10">
        <v>3691.8307799999998</v>
      </c>
      <c r="CK94" s="10"/>
      <c r="CL94" s="10"/>
      <c r="CM94" s="10"/>
      <c r="CN94" s="10"/>
      <c r="CO94" s="10"/>
      <c r="CP94" s="10"/>
      <c r="CQ94" s="10">
        <v>0</v>
      </c>
      <c r="CR94" s="10"/>
      <c r="CS94" s="10">
        <v>0</v>
      </c>
      <c r="CT94" s="10"/>
      <c r="CU94" s="10"/>
      <c r="CV94" s="10">
        <v>0</v>
      </c>
      <c r="CW94" s="10"/>
      <c r="CX94" s="10">
        <v>0</v>
      </c>
      <c r="CY94" s="10"/>
      <c r="CZ94" s="10"/>
      <c r="DA94" s="10">
        <v>0</v>
      </c>
      <c r="DB94" s="10">
        <v>0</v>
      </c>
      <c r="DC94" s="10"/>
      <c r="DD94" s="10">
        <v>0</v>
      </c>
      <c r="DE94" s="10"/>
      <c r="DF94" s="10">
        <v>0</v>
      </c>
      <c r="DG94" s="10"/>
      <c r="DH94" s="10">
        <v>0</v>
      </c>
      <c r="DI94" s="10"/>
    </row>
    <row r="95" spans="1:113" x14ac:dyDescent="0.35">
      <c r="A95" s="8">
        <v>46095</v>
      </c>
      <c r="B95" s="9">
        <v>549928237.62234998</v>
      </c>
      <c r="C95" s="10">
        <v>271788754.56937301</v>
      </c>
      <c r="D95" s="10">
        <v>13618833.67901</v>
      </c>
      <c r="E95" s="10">
        <v>101644362.99590001</v>
      </c>
      <c r="F95" s="10">
        <v>93527897.695119902</v>
      </c>
      <c r="G95" s="10"/>
      <c r="H95" s="10">
        <v>12114865.277419999</v>
      </c>
      <c r="I95" s="10">
        <v>1719705.6721900001</v>
      </c>
      <c r="J95" s="10">
        <v>2473923.9065299998</v>
      </c>
      <c r="K95" s="10">
        <v>846870.12331999897</v>
      </c>
      <c r="L95" s="10">
        <v>2190503.5756899999</v>
      </c>
      <c r="M95" s="10">
        <v>1005583.1137099999</v>
      </c>
      <c r="N95" s="10">
        <v>3401534.827</v>
      </c>
      <c r="O95" s="10">
        <v>1967937.926621</v>
      </c>
      <c r="P95" s="10"/>
      <c r="Q95" s="10">
        <v>531603.21440000006</v>
      </c>
      <c r="R95" s="10">
        <v>3713673.0959999999</v>
      </c>
      <c r="S95" s="10"/>
      <c r="T95" s="10">
        <v>1404833.0093499999</v>
      </c>
      <c r="U95" s="10">
        <v>3112333.7670900002</v>
      </c>
      <c r="V95" s="10">
        <v>332631.53041000001</v>
      </c>
      <c r="W95" s="10">
        <v>2786141.90759</v>
      </c>
      <c r="X95" s="10">
        <v>1918169.03877</v>
      </c>
      <c r="Y95" s="10">
        <v>605172.29205000005</v>
      </c>
      <c r="Z95" s="10">
        <v>665602.17463999998</v>
      </c>
      <c r="AA95" s="10">
        <v>171094.49085999999</v>
      </c>
      <c r="AB95" s="10">
        <v>187917.51131999999</v>
      </c>
      <c r="AC95" s="10">
        <v>491350.56731999997</v>
      </c>
      <c r="AD95" s="10"/>
      <c r="AE95" s="10">
        <v>8186671.0566999996</v>
      </c>
      <c r="AF95" s="10">
        <v>373115.45503999997</v>
      </c>
      <c r="AG95" s="10">
        <v>6559535.4483000003</v>
      </c>
      <c r="AH95" s="10">
        <v>1820302.7967099999</v>
      </c>
      <c r="AI95" s="10">
        <v>256152.28268999999</v>
      </c>
      <c r="AJ95" s="10"/>
      <c r="AK95" s="10">
        <v>8099086.5018290002</v>
      </c>
      <c r="AL95" s="10">
        <v>766683.12653000106</v>
      </c>
      <c r="AM95" s="10">
        <v>162533.49531999999</v>
      </c>
      <c r="AN95" s="10">
        <v>138392.41615999999</v>
      </c>
      <c r="AO95" s="10">
        <v>146578.85719000001</v>
      </c>
      <c r="AP95" s="10"/>
      <c r="AQ95" s="10">
        <v>106780.55239700001</v>
      </c>
      <c r="AR95" s="10"/>
      <c r="AS95" s="10">
        <v>33996.231293999997</v>
      </c>
      <c r="AT95" s="10"/>
      <c r="AU95" s="10"/>
      <c r="AV95" s="10"/>
      <c r="AW95" s="10"/>
      <c r="AX95" s="10">
        <v>608933.94235000003</v>
      </c>
      <c r="AY95" s="10">
        <v>11242.2958</v>
      </c>
      <c r="AZ95" s="10"/>
      <c r="BA95" s="10">
        <v>1114.8072999999999</v>
      </c>
      <c r="BB95" s="10">
        <v>74950.337580000007</v>
      </c>
      <c r="BC95" s="10">
        <v>30010.67713</v>
      </c>
      <c r="BD95" s="10">
        <v>0</v>
      </c>
      <c r="BE95" s="10">
        <v>12002.350746</v>
      </c>
      <c r="BF95" s="10">
        <v>40117.000939999998</v>
      </c>
      <c r="BG95" s="10">
        <v>16180.984909999999</v>
      </c>
      <c r="BH95" s="10"/>
      <c r="BI95" s="10">
        <v>0</v>
      </c>
      <c r="BJ95" s="10">
        <v>2817.6467899999998</v>
      </c>
      <c r="BK95" s="10">
        <v>20057.133699999998</v>
      </c>
      <c r="BL95" s="10">
        <v>57377.891459999999</v>
      </c>
      <c r="BM95" s="10"/>
      <c r="BN95" s="10"/>
      <c r="BO95" s="10">
        <v>43252.499629999998</v>
      </c>
      <c r="BP95" s="10">
        <v>0</v>
      </c>
      <c r="BQ95" s="10">
        <v>971.49396000000002</v>
      </c>
      <c r="BR95" s="10">
        <v>704.32381999999996</v>
      </c>
      <c r="BS95" s="10">
        <v>0</v>
      </c>
      <c r="BT95" s="10"/>
      <c r="BU95" s="10">
        <v>4556.9056799999998</v>
      </c>
      <c r="BV95" s="10">
        <v>841.88549999999998</v>
      </c>
      <c r="BW95" s="10"/>
      <c r="BX95" s="10">
        <v>0</v>
      </c>
      <c r="BY95" s="10"/>
      <c r="BZ95" s="10"/>
      <c r="CA95" s="10">
        <v>0</v>
      </c>
      <c r="CB95" s="10">
        <v>117928.34672</v>
      </c>
      <c r="CC95" s="10">
        <v>9049.3661699999993</v>
      </c>
      <c r="CD95" s="10"/>
      <c r="CE95" s="10"/>
      <c r="CF95" s="10">
        <v>0</v>
      </c>
      <c r="CG95" s="10"/>
      <c r="CH95" s="10"/>
      <c r="CI95" s="10"/>
      <c r="CJ95" s="10">
        <v>5003.5503200000003</v>
      </c>
      <c r="CK95" s="10"/>
      <c r="CL95" s="10"/>
      <c r="CM95" s="10"/>
      <c r="CN95" s="10"/>
      <c r="CO95" s="10"/>
      <c r="CP95" s="10"/>
      <c r="CQ95" s="10">
        <v>0</v>
      </c>
      <c r="CR95" s="10"/>
      <c r="CS95" s="10">
        <v>0</v>
      </c>
      <c r="CT95" s="10"/>
      <c r="CU95" s="10"/>
      <c r="CV95" s="10">
        <v>0</v>
      </c>
      <c r="CW95" s="10"/>
      <c r="CX95" s="10">
        <v>0</v>
      </c>
      <c r="CY95" s="10"/>
      <c r="CZ95" s="10"/>
      <c r="DA95" s="10">
        <v>0</v>
      </c>
      <c r="DB95" s="10">
        <v>0</v>
      </c>
      <c r="DC95" s="10"/>
      <c r="DD95" s="10">
        <v>0</v>
      </c>
      <c r="DE95" s="10"/>
      <c r="DF95" s="10">
        <v>0</v>
      </c>
      <c r="DG95" s="10"/>
      <c r="DH95" s="10">
        <v>0</v>
      </c>
      <c r="DI95" s="10"/>
    </row>
    <row r="96" spans="1:113" x14ac:dyDescent="0.35">
      <c r="A96" s="8">
        <v>46094</v>
      </c>
      <c r="B96" s="9">
        <v>1837062423.6180201</v>
      </c>
      <c r="C96" s="10">
        <v>720438236.86416698</v>
      </c>
      <c r="D96" s="10">
        <v>273836544.96107</v>
      </c>
      <c r="E96" s="10">
        <v>293195718.97869998</v>
      </c>
      <c r="F96" s="10">
        <v>158141222.75525001</v>
      </c>
      <c r="G96" s="10"/>
      <c r="H96" s="10">
        <v>106022795.35877</v>
      </c>
      <c r="I96" s="10">
        <v>11803019.444970001</v>
      </c>
      <c r="J96" s="10">
        <v>22239154.625399999</v>
      </c>
      <c r="K96" s="10">
        <v>11702998.05816</v>
      </c>
      <c r="L96" s="10">
        <v>15216071.84921</v>
      </c>
      <c r="M96" s="10">
        <v>8927518.8711799998</v>
      </c>
      <c r="N96" s="10">
        <v>18230354.57739</v>
      </c>
      <c r="O96" s="10">
        <v>7686836.9283119999</v>
      </c>
      <c r="P96" s="10"/>
      <c r="Q96" s="10">
        <v>13472828.990839999</v>
      </c>
      <c r="R96" s="10">
        <v>20115805.59753</v>
      </c>
      <c r="S96" s="10"/>
      <c r="T96" s="10">
        <v>20314384.010887999</v>
      </c>
      <c r="U96" s="10">
        <v>15864304.64074</v>
      </c>
      <c r="V96" s="10">
        <v>1177640.0009600001</v>
      </c>
      <c r="W96" s="10">
        <v>20417284.144609999</v>
      </c>
      <c r="X96" s="10">
        <v>8468034.7422800008</v>
      </c>
      <c r="Y96" s="10">
        <v>15076477.022050001</v>
      </c>
      <c r="Z96" s="10">
        <v>2388332.9851000002</v>
      </c>
      <c r="AA96" s="10">
        <v>11389456.69644</v>
      </c>
      <c r="AB96" s="10">
        <v>5430372.1544300001</v>
      </c>
      <c r="AC96" s="10">
        <v>3192604.8928800002</v>
      </c>
      <c r="AD96" s="10"/>
      <c r="AE96" s="10">
        <v>14613959.97315</v>
      </c>
      <c r="AF96" s="10">
        <v>2410510.2027400001</v>
      </c>
      <c r="AG96" s="10">
        <v>4636490.0856999997</v>
      </c>
      <c r="AH96" s="10">
        <v>4206907.7588999998</v>
      </c>
      <c r="AI96" s="10">
        <v>3234155.4908799999</v>
      </c>
      <c r="AJ96" s="10"/>
      <c r="AK96" s="10">
        <v>5465956.970218</v>
      </c>
      <c r="AL96" s="10">
        <v>2712535.58831</v>
      </c>
      <c r="AM96" s="10">
        <v>433521.28328999999</v>
      </c>
      <c r="AN96" s="10">
        <v>766691.80556000001</v>
      </c>
      <c r="AO96" s="10">
        <v>2547185.5318</v>
      </c>
      <c r="AP96" s="10"/>
      <c r="AQ96" s="10">
        <v>1621624.402006</v>
      </c>
      <c r="AR96" s="10"/>
      <c r="AS96" s="10">
        <v>185075.603252</v>
      </c>
      <c r="AT96" s="10"/>
      <c r="AU96" s="10"/>
      <c r="AV96" s="10"/>
      <c r="AW96" s="10"/>
      <c r="AX96" s="10">
        <v>3042866.2234700001</v>
      </c>
      <c r="AY96" s="10">
        <v>1609580.36534</v>
      </c>
      <c r="AZ96" s="10"/>
      <c r="BA96" s="10">
        <v>8018.3329999999996</v>
      </c>
      <c r="BB96" s="10">
        <v>722946.89451000001</v>
      </c>
      <c r="BC96" s="10">
        <v>139182.63743999999</v>
      </c>
      <c r="BD96" s="10">
        <v>0</v>
      </c>
      <c r="BE96" s="10">
        <v>456611.41706900002</v>
      </c>
      <c r="BF96" s="10">
        <v>342314.43351</v>
      </c>
      <c r="BG96" s="10">
        <v>42801.464269999997</v>
      </c>
      <c r="BH96" s="10"/>
      <c r="BI96" s="10">
        <v>0</v>
      </c>
      <c r="BJ96" s="10">
        <v>2839.8421800000001</v>
      </c>
      <c r="BK96" s="10">
        <v>9651.5318000000007</v>
      </c>
      <c r="BL96" s="10">
        <v>7515.55915</v>
      </c>
      <c r="BM96" s="10"/>
      <c r="BN96" s="10"/>
      <c r="BO96" s="10">
        <v>214812.38115</v>
      </c>
      <c r="BP96" s="10">
        <v>0</v>
      </c>
      <c r="BQ96" s="10">
        <v>19643.13135</v>
      </c>
      <c r="BR96" s="10">
        <v>277933.93961</v>
      </c>
      <c r="BS96" s="10">
        <v>0</v>
      </c>
      <c r="BT96" s="10"/>
      <c r="BU96" s="10">
        <v>830855.09550000005</v>
      </c>
      <c r="BV96" s="10">
        <v>661072.21756999998</v>
      </c>
      <c r="BW96" s="10"/>
      <c r="BX96" s="10">
        <v>0</v>
      </c>
      <c r="BY96" s="10"/>
      <c r="BZ96" s="10"/>
      <c r="CA96" s="10">
        <v>0</v>
      </c>
      <c r="CB96" s="10">
        <v>198658.51955999999</v>
      </c>
      <c r="CC96" s="10">
        <v>888917.84415000002</v>
      </c>
      <c r="CD96" s="10"/>
      <c r="CE96" s="10"/>
      <c r="CF96" s="10">
        <v>0</v>
      </c>
      <c r="CG96" s="10"/>
      <c r="CH96" s="10"/>
      <c r="CI96" s="10"/>
      <c r="CJ96" s="10">
        <v>3587.9402599999999</v>
      </c>
      <c r="CK96" s="10"/>
      <c r="CL96" s="10"/>
      <c r="CM96" s="10"/>
      <c r="CN96" s="10"/>
      <c r="CO96" s="10"/>
      <c r="CP96" s="10"/>
      <c r="CQ96" s="10">
        <v>0</v>
      </c>
      <c r="CR96" s="10"/>
      <c r="CS96" s="10">
        <v>0</v>
      </c>
      <c r="CT96" s="10"/>
      <c r="CU96" s="10"/>
      <c r="CV96" s="10">
        <v>0</v>
      </c>
      <c r="CW96" s="10"/>
      <c r="CX96" s="10">
        <v>0</v>
      </c>
      <c r="CY96" s="10"/>
      <c r="CZ96" s="10"/>
      <c r="DA96" s="10">
        <v>0</v>
      </c>
      <c r="DB96" s="10">
        <v>0</v>
      </c>
      <c r="DC96" s="10"/>
      <c r="DD96" s="10">
        <v>0</v>
      </c>
      <c r="DE96" s="10"/>
      <c r="DF96" s="10">
        <v>0</v>
      </c>
      <c r="DG96" s="10"/>
      <c r="DH96" s="10">
        <v>0</v>
      </c>
      <c r="DI96" s="10"/>
    </row>
    <row r="97" spans="1:113" x14ac:dyDescent="0.35">
      <c r="A97" s="8">
        <v>46093</v>
      </c>
      <c r="B97" s="9">
        <v>2495854750.8424401</v>
      </c>
      <c r="C97" s="10">
        <v>1253382167.43083</v>
      </c>
      <c r="D97" s="10">
        <v>273880838.30603999</v>
      </c>
      <c r="E97" s="10">
        <v>328421846.28039998</v>
      </c>
      <c r="F97" s="10">
        <v>234944441.26914001</v>
      </c>
      <c r="G97" s="10"/>
      <c r="H97" s="10">
        <v>82856589.522229999</v>
      </c>
      <c r="I97" s="10">
        <v>9080558.5997000001</v>
      </c>
      <c r="J97" s="10">
        <v>16324947.02547</v>
      </c>
      <c r="K97" s="10">
        <v>12514485.667540001</v>
      </c>
      <c r="L97" s="10">
        <v>16570557.46019</v>
      </c>
      <c r="M97" s="10">
        <v>8371854.0162599999</v>
      </c>
      <c r="N97" s="10">
        <v>26853682.547630001</v>
      </c>
      <c r="O97" s="10">
        <v>18370806.456289001</v>
      </c>
      <c r="P97" s="10"/>
      <c r="Q97" s="10">
        <v>19329715.89508</v>
      </c>
      <c r="R97" s="10">
        <v>26825151.13916</v>
      </c>
      <c r="S97" s="10"/>
      <c r="T97" s="10">
        <v>13463528.84</v>
      </c>
      <c r="U97" s="10">
        <v>5485755.9396200003</v>
      </c>
      <c r="V97" s="10">
        <v>3591454.4307800001</v>
      </c>
      <c r="W97" s="10">
        <v>13343833.99963</v>
      </c>
      <c r="X97" s="10">
        <v>12841988.22744</v>
      </c>
      <c r="Y97" s="10">
        <v>16687946.26447</v>
      </c>
      <c r="Z97" s="10">
        <v>2472299.6718700002</v>
      </c>
      <c r="AA97" s="10">
        <v>23844553.814520001</v>
      </c>
      <c r="AB97" s="10">
        <v>5862371.5965900002</v>
      </c>
      <c r="AC97" s="10">
        <v>3431806.9376500002</v>
      </c>
      <c r="AD97" s="10"/>
      <c r="AE97" s="10">
        <v>17126055.363510001</v>
      </c>
      <c r="AF97" s="10">
        <v>1895935.66267</v>
      </c>
      <c r="AG97" s="10">
        <v>12653664.8617</v>
      </c>
      <c r="AH97" s="10">
        <v>3170317.3741299999</v>
      </c>
      <c r="AI97" s="10">
        <v>4411265.6207400002</v>
      </c>
      <c r="AJ97" s="10"/>
      <c r="AK97" s="10">
        <v>8294358.1208779998</v>
      </c>
      <c r="AL97" s="10">
        <v>2099051.6462099999</v>
      </c>
      <c r="AM97" s="10">
        <v>907006.90965000005</v>
      </c>
      <c r="AN97" s="10">
        <v>3027666.8690999998</v>
      </c>
      <c r="AO97" s="10">
        <v>3005220.7867800002</v>
      </c>
      <c r="AP97" s="10"/>
      <c r="AQ97" s="10">
        <v>2647079.813879</v>
      </c>
      <c r="AR97" s="10"/>
      <c r="AS97" s="10">
        <v>450107.99066399998</v>
      </c>
      <c r="AT97" s="10"/>
      <c r="AU97" s="10"/>
      <c r="AV97" s="10"/>
      <c r="AW97" s="10"/>
      <c r="AX97" s="10">
        <v>1581664.8363600001</v>
      </c>
      <c r="AY97" s="10">
        <v>969951.32874999999</v>
      </c>
      <c r="AZ97" s="10"/>
      <c r="BA97" s="10">
        <v>7371.9948000000004</v>
      </c>
      <c r="BB97" s="10">
        <v>348873.12143</v>
      </c>
      <c r="BC97" s="10">
        <v>339187.71542999998</v>
      </c>
      <c r="BD97" s="10">
        <v>0</v>
      </c>
      <c r="BE97" s="10">
        <v>799866.82644500001</v>
      </c>
      <c r="BF97" s="10">
        <v>43671.721649999999</v>
      </c>
      <c r="BG97" s="10">
        <v>27674.645339999999</v>
      </c>
      <c r="BH97" s="10"/>
      <c r="BI97" s="10">
        <v>0</v>
      </c>
      <c r="BJ97" s="10">
        <v>354731.69488999998</v>
      </c>
      <c r="BK97" s="10">
        <v>30004.119200000001</v>
      </c>
      <c r="BL97" s="10">
        <v>83693.971229999996</v>
      </c>
      <c r="BM97" s="10"/>
      <c r="BN97" s="10"/>
      <c r="BO97" s="10">
        <v>1128036.69101</v>
      </c>
      <c r="BP97" s="10">
        <v>0</v>
      </c>
      <c r="BQ97" s="10">
        <v>41544.441030000002</v>
      </c>
      <c r="BR97" s="10">
        <v>119059.76845</v>
      </c>
      <c r="BS97" s="10">
        <v>0</v>
      </c>
      <c r="BT97" s="10"/>
      <c r="BU97" s="10">
        <v>739761.45721999998</v>
      </c>
      <c r="BV97" s="10">
        <v>472451.76004999998</v>
      </c>
      <c r="BW97" s="10"/>
      <c r="BX97" s="10">
        <v>0</v>
      </c>
      <c r="BY97" s="10"/>
      <c r="BZ97" s="10"/>
      <c r="CA97" s="10">
        <v>0</v>
      </c>
      <c r="CB97" s="10">
        <v>154263.02124</v>
      </c>
      <c r="CC97" s="10">
        <v>171869.28562000001</v>
      </c>
      <c r="CD97" s="10"/>
      <c r="CE97" s="10"/>
      <c r="CF97" s="10">
        <v>0</v>
      </c>
      <c r="CG97" s="10"/>
      <c r="CH97" s="10"/>
      <c r="CI97" s="10"/>
      <c r="CJ97" s="10">
        <v>160.083855</v>
      </c>
      <c r="CK97" s="10"/>
      <c r="CL97" s="10"/>
      <c r="CM97" s="10"/>
      <c r="CN97" s="10"/>
      <c r="CO97" s="10"/>
      <c r="CP97" s="10"/>
      <c r="CQ97" s="10">
        <v>0</v>
      </c>
      <c r="CR97" s="10"/>
      <c r="CS97" s="10">
        <v>0</v>
      </c>
      <c r="CT97" s="10"/>
      <c r="CU97" s="10"/>
      <c r="CV97" s="10">
        <v>0</v>
      </c>
      <c r="CW97" s="10"/>
      <c r="CX97" s="10">
        <v>0</v>
      </c>
      <c r="CY97" s="10"/>
      <c r="CZ97" s="10"/>
      <c r="DA97" s="10">
        <v>0</v>
      </c>
      <c r="DB97" s="10">
        <v>0</v>
      </c>
      <c r="DC97" s="10"/>
      <c r="DD97" s="10">
        <v>0</v>
      </c>
      <c r="DE97" s="10"/>
      <c r="DF97" s="10">
        <v>0</v>
      </c>
      <c r="DG97" s="10"/>
      <c r="DH97" s="10">
        <v>0</v>
      </c>
      <c r="DI97" s="10"/>
    </row>
    <row r="98" spans="1:113" x14ac:dyDescent="0.35">
      <c r="A98" s="8">
        <v>46092</v>
      </c>
      <c r="B98" s="9">
        <v>2062767153.3336501</v>
      </c>
      <c r="C98" s="10">
        <v>1056938489.46623</v>
      </c>
      <c r="D98" s="10">
        <v>247948781.23401999</v>
      </c>
      <c r="E98" s="10">
        <v>269857921.69190001</v>
      </c>
      <c r="F98" s="10">
        <v>146612151.95479</v>
      </c>
      <c r="G98" s="10"/>
      <c r="H98" s="10">
        <v>63786940.059079997</v>
      </c>
      <c r="I98" s="10">
        <v>6525914.1356800003</v>
      </c>
      <c r="J98" s="10">
        <v>12801801.950850001</v>
      </c>
      <c r="K98" s="10">
        <v>13940387.59306</v>
      </c>
      <c r="L98" s="10">
        <v>22971967.502360001</v>
      </c>
      <c r="M98" s="10">
        <v>9449020.4037900008</v>
      </c>
      <c r="N98" s="10">
        <v>32022532.391929999</v>
      </c>
      <c r="O98" s="10">
        <v>8678180.2806739993</v>
      </c>
      <c r="P98" s="10"/>
      <c r="Q98" s="10">
        <v>5060531.2227800004</v>
      </c>
      <c r="R98" s="10">
        <v>15977414.41509</v>
      </c>
      <c r="S98" s="10"/>
      <c r="T98" s="10">
        <v>17349360.073098999</v>
      </c>
      <c r="U98" s="10">
        <v>7626974.4670200003</v>
      </c>
      <c r="V98" s="10">
        <v>2852457.13338</v>
      </c>
      <c r="W98" s="10">
        <v>11849366.5134</v>
      </c>
      <c r="X98" s="10">
        <v>9284197.8255899996</v>
      </c>
      <c r="Y98" s="10">
        <v>8965571.9655300006</v>
      </c>
      <c r="Z98" s="10">
        <v>2166077.71875</v>
      </c>
      <c r="AA98" s="10">
        <v>15117915.35344</v>
      </c>
      <c r="AB98" s="10">
        <v>14422925.801550001</v>
      </c>
      <c r="AC98" s="10">
        <v>3763942.7450000001</v>
      </c>
      <c r="AD98" s="10"/>
      <c r="AE98" s="10">
        <v>10084282.65361</v>
      </c>
      <c r="AF98" s="10">
        <v>3278105.3085099999</v>
      </c>
      <c r="AG98" s="10">
        <v>4843851.7993999999</v>
      </c>
      <c r="AH98" s="10">
        <v>2441925.3722999999</v>
      </c>
      <c r="AI98" s="10">
        <v>3075135.9766699998</v>
      </c>
      <c r="AJ98" s="10"/>
      <c r="AK98" s="10">
        <v>15218410.530015999</v>
      </c>
      <c r="AL98" s="10">
        <v>2597099.1918799998</v>
      </c>
      <c r="AM98" s="10">
        <v>849912.48031999997</v>
      </c>
      <c r="AN98" s="10">
        <v>1600238.7265900001</v>
      </c>
      <c r="AO98" s="10">
        <v>2012272.2639899999</v>
      </c>
      <c r="AP98" s="10"/>
      <c r="AQ98" s="10">
        <v>1631156.0957500001</v>
      </c>
      <c r="AR98" s="10"/>
      <c r="AS98" s="10">
        <v>212431.87651500001</v>
      </c>
      <c r="AT98" s="10"/>
      <c r="AU98" s="10"/>
      <c r="AV98" s="10"/>
      <c r="AW98" s="10"/>
      <c r="AX98" s="10">
        <v>2961375.6431300002</v>
      </c>
      <c r="AY98" s="10">
        <v>2007910.29776</v>
      </c>
      <c r="AZ98" s="10"/>
      <c r="BA98" s="10">
        <v>37676.6296</v>
      </c>
      <c r="BB98" s="10">
        <v>611764.92090999999</v>
      </c>
      <c r="BC98" s="10">
        <v>438533.06640000001</v>
      </c>
      <c r="BD98" s="10">
        <v>0</v>
      </c>
      <c r="BE98" s="10">
        <v>555832.31397100003</v>
      </c>
      <c r="BF98" s="10">
        <v>18053.518889999999</v>
      </c>
      <c r="BG98" s="10">
        <v>40093.324860000001</v>
      </c>
      <c r="BH98" s="10"/>
      <c r="BI98" s="10">
        <v>0</v>
      </c>
      <c r="BJ98" s="10">
        <v>1959.42509</v>
      </c>
      <c r="BK98" s="10">
        <v>12900.508400000001</v>
      </c>
      <c r="BL98" s="10">
        <v>36169.71084</v>
      </c>
      <c r="BM98" s="10"/>
      <c r="BN98" s="10"/>
      <c r="BO98" s="10">
        <v>285621.59101999999</v>
      </c>
      <c r="BP98" s="10">
        <v>0</v>
      </c>
      <c r="BQ98" s="10">
        <v>70939.245150000002</v>
      </c>
      <c r="BR98" s="10">
        <v>124748.66763</v>
      </c>
      <c r="BS98" s="10">
        <v>0</v>
      </c>
      <c r="BT98" s="10"/>
      <c r="BU98" s="10">
        <v>968797.25251999998</v>
      </c>
      <c r="BV98" s="10">
        <v>672611.88589999999</v>
      </c>
      <c r="BW98" s="10"/>
      <c r="BX98" s="10">
        <v>0</v>
      </c>
      <c r="BY98" s="10"/>
      <c r="BZ98" s="10"/>
      <c r="CA98" s="10">
        <v>0</v>
      </c>
      <c r="CB98" s="10">
        <v>73337.724780000004</v>
      </c>
      <c r="CC98" s="10">
        <v>31928.554820000001</v>
      </c>
      <c r="CD98" s="10"/>
      <c r="CE98" s="10"/>
      <c r="CF98" s="10">
        <v>0</v>
      </c>
      <c r="CG98" s="10"/>
      <c r="CH98" s="10"/>
      <c r="CI98" s="10"/>
      <c r="CJ98" s="10">
        <v>1252.87743</v>
      </c>
      <c r="CK98" s="10"/>
      <c r="CL98" s="10"/>
      <c r="CM98" s="10"/>
      <c r="CN98" s="10"/>
      <c r="CO98" s="10"/>
      <c r="CP98" s="10"/>
      <c r="CQ98" s="10">
        <v>0</v>
      </c>
      <c r="CR98" s="10"/>
      <c r="CS98" s="10">
        <v>0</v>
      </c>
      <c r="CT98" s="10"/>
      <c r="CU98" s="10"/>
      <c r="CV98" s="10">
        <v>0</v>
      </c>
      <c r="CW98" s="10"/>
      <c r="CX98" s="10">
        <v>0</v>
      </c>
      <c r="CY98" s="10"/>
      <c r="CZ98" s="10"/>
      <c r="DA98" s="10">
        <v>0</v>
      </c>
      <c r="DB98" s="10">
        <v>0</v>
      </c>
      <c r="DC98" s="10"/>
      <c r="DD98" s="10">
        <v>0</v>
      </c>
      <c r="DE98" s="10"/>
      <c r="DF98" s="10">
        <v>0</v>
      </c>
      <c r="DG98" s="10"/>
      <c r="DH98" s="10">
        <v>0</v>
      </c>
      <c r="DI98" s="10"/>
    </row>
    <row r="99" spans="1:113" x14ac:dyDescent="0.35">
      <c r="A99" s="8">
        <v>46091</v>
      </c>
      <c r="B99" s="9">
        <v>2432529439.7094498</v>
      </c>
      <c r="C99" s="10">
        <v>1178436394.13761</v>
      </c>
      <c r="D99" s="10">
        <v>248794922.02682</v>
      </c>
      <c r="E99" s="10">
        <v>379849042.39819998</v>
      </c>
      <c r="F99" s="10">
        <v>193548590.01988</v>
      </c>
      <c r="G99" s="10"/>
      <c r="H99" s="10">
        <v>78013843.150250003</v>
      </c>
      <c r="I99" s="10">
        <v>12336419.64044</v>
      </c>
      <c r="J99" s="10">
        <v>24908612.117589999</v>
      </c>
      <c r="K99" s="10">
        <v>11178217.0748</v>
      </c>
      <c r="L99" s="10">
        <v>22225005.727619998</v>
      </c>
      <c r="M99" s="10">
        <v>12891133.652170001</v>
      </c>
      <c r="N99" s="10">
        <v>29848453.38538</v>
      </c>
      <c r="O99" s="10">
        <v>12694323.651605001</v>
      </c>
      <c r="P99" s="10"/>
      <c r="Q99" s="10">
        <v>7089800.8388400003</v>
      </c>
      <c r="R99" s="10">
        <v>19436132.076389998</v>
      </c>
      <c r="S99" s="10"/>
      <c r="T99" s="10">
        <v>14002581.035541</v>
      </c>
      <c r="U99" s="10">
        <v>16048572.415960001</v>
      </c>
      <c r="V99" s="10">
        <v>7318007.58103</v>
      </c>
      <c r="W99" s="10">
        <v>11202745.75398</v>
      </c>
      <c r="X99" s="10">
        <v>35123898.290200002</v>
      </c>
      <c r="Y99" s="10">
        <v>6238874.11154</v>
      </c>
      <c r="Z99" s="10">
        <v>2531572.5688</v>
      </c>
      <c r="AA99" s="10">
        <v>13787063.61764</v>
      </c>
      <c r="AB99" s="10">
        <v>6869487.8014399996</v>
      </c>
      <c r="AC99" s="10">
        <v>3585083.4827100001</v>
      </c>
      <c r="AD99" s="10"/>
      <c r="AE99" s="10">
        <v>13259715.757750001</v>
      </c>
      <c r="AF99" s="10">
        <v>2276583.2714</v>
      </c>
      <c r="AG99" s="10">
        <v>12898440.1932</v>
      </c>
      <c r="AH99" s="10">
        <v>2398272.7181000002</v>
      </c>
      <c r="AI99" s="10">
        <v>2602862.7328400002</v>
      </c>
      <c r="AJ99" s="10"/>
      <c r="AK99" s="10">
        <v>25746673.291219</v>
      </c>
      <c r="AL99" s="10">
        <v>2258610.2263000002</v>
      </c>
      <c r="AM99" s="10">
        <v>840151.87288000004</v>
      </c>
      <c r="AN99" s="10">
        <v>1340436.0356099999</v>
      </c>
      <c r="AO99" s="10">
        <v>3690569.4441</v>
      </c>
      <c r="AP99" s="10"/>
      <c r="AQ99" s="10">
        <v>1609227.4011619999</v>
      </c>
      <c r="AR99" s="10"/>
      <c r="AS99" s="10">
        <v>820792.47791899997</v>
      </c>
      <c r="AT99" s="10"/>
      <c r="AU99" s="10"/>
      <c r="AV99" s="10"/>
      <c r="AW99" s="10"/>
      <c r="AX99" s="10">
        <v>4365937.4676200002</v>
      </c>
      <c r="AY99" s="10">
        <v>1944016.0429</v>
      </c>
      <c r="AZ99" s="10"/>
      <c r="BA99" s="10">
        <v>51010.441800000001</v>
      </c>
      <c r="BB99" s="10">
        <v>2993729.8175900001</v>
      </c>
      <c r="BC99" s="10">
        <v>652922.66350999998</v>
      </c>
      <c r="BD99" s="10">
        <v>0</v>
      </c>
      <c r="BE99" s="10">
        <v>430834.821237</v>
      </c>
      <c r="BF99" s="10">
        <v>74194.696309999999</v>
      </c>
      <c r="BG99" s="10">
        <v>46202.021840000001</v>
      </c>
      <c r="BH99" s="10"/>
      <c r="BI99" s="10">
        <v>0</v>
      </c>
      <c r="BJ99" s="10">
        <v>84930.280530000004</v>
      </c>
      <c r="BK99" s="10">
        <v>33947.917500000003</v>
      </c>
      <c r="BL99" s="10">
        <v>11309.70498</v>
      </c>
      <c r="BM99" s="10"/>
      <c r="BN99" s="10"/>
      <c r="BO99" s="10">
        <v>2820393.0189299998</v>
      </c>
      <c r="BP99" s="10">
        <v>0</v>
      </c>
      <c r="BQ99" s="10">
        <v>316114.19741999998</v>
      </c>
      <c r="BR99" s="10">
        <v>312561.16326</v>
      </c>
      <c r="BS99" s="10">
        <v>0</v>
      </c>
      <c r="BT99" s="10"/>
      <c r="BU99" s="10">
        <v>204296.89369</v>
      </c>
      <c r="BV99" s="10">
        <v>144539.22951999999</v>
      </c>
      <c r="BW99" s="10"/>
      <c r="BX99" s="10">
        <v>0</v>
      </c>
      <c r="BY99" s="10"/>
      <c r="BZ99" s="10"/>
      <c r="CA99" s="10">
        <v>0</v>
      </c>
      <c r="CB99" s="10">
        <v>41181.868569999999</v>
      </c>
      <c r="CC99" s="10">
        <v>299121.79199</v>
      </c>
      <c r="CD99" s="10"/>
      <c r="CE99" s="10"/>
      <c r="CF99" s="10">
        <v>0</v>
      </c>
      <c r="CG99" s="10"/>
      <c r="CH99" s="10"/>
      <c r="CI99" s="10"/>
      <c r="CJ99" s="10">
        <v>1083.691335</v>
      </c>
      <c r="CK99" s="10"/>
      <c r="CL99" s="10"/>
      <c r="CM99" s="10"/>
      <c r="CN99" s="10"/>
      <c r="CO99" s="10"/>
      <c r="CP99" s="10"/>
      <c r="CQ99" s="10">
        <v>0</v>
      </c>
      <c r="CR99" s="10"/>
      <c r="CS99" s="10">
        <v>0</v>
      </c>
      <c r="CT99" s="10"/>
      <c r="CU99" s="10"/>
      <c r="CV99" s="10">
        <v>0</v>
      </c>
      <c r="CW99" s="10"/>
      <c r="CX99" s="10">
        <v>0</v>
      </c>
      <c r="CY99" s="10"/>
      <c r="CZ99" s="10"/>
      <c r="DA99" s="10">
        <v>0</v>
      </c>
      <c r="DB99" s="10">
        <v>0</v>
      </c>
      <c r="DC99" s="10"/>
      <c r="DD99" s="10">
        <v>0</v>
      </c>
      <c r="DE99" s="10"/>
      <c r="DF99" s="10">
        <v>0</v>
      </c>
      <c r="DG99" s="10"/>
      <c r="DH99" s="10">
        <v>0</v>
      </c>
      <c r="DI99" s="10"/>
    </row>
    <row r="100" spans="1:113" x14ac:dyDescent="0.35">
      <c r="A100" s="8">
        <v>46090</v>
      </c>
      <c r="B100" s="9">
        <v>3760381516.81182</v>
      </c>
      <c r="C100" s="10">
        <v>1892768015.89433</v>
      </c>
      <c r="D100" s="10">
        <v>496307552.823681</v>
      </c>
      <c r="E100" s="10">
        <v>554667078.65339994</v>
      </c>
      <c r="F100" s="10">
        <v>281081220.16168898</v>
      </c>
      <c r="G100" s="10"/>
      <c r="H100" s="10">
        <v>92438444.077830002</v>
      </c>
      <c r="I100" s="10">
        <v>21521248.865010001</v>
      </c>
      <c r="J100" s="10">
        <v>35896702.796329997</v>
      </c>
      <c r="K100" s="10">
        <v>20706004.061080001</v>
      </c>
      <c r="L100" s="10">
        <v>20413434.072170001</v>
      </c>
      <c r="M100" s="10">
        <v>11783506.736649999</v>
      </c>
      <c r="N100" s="10">
        <v>30715311.022615999</v>
      </c>
      <c r="O100" s="10">
        <v>23517816.606412001</v>
      </c>
      <c r="P100" s="10"/>
      <c r="Q100" s="10">
        <v>12219693.42261</v>
      </c>
      <c r="R100" s="10">
        <v>43077763.141379997</v>
      </c>
      <c r="S100" s="10"/>
      <c r="T100" s="10">
        <v>15047788.696455</v>
      </c>
      <c r="U100" s="10">
        <v>9734373.9880500007</v>
      </c>
      <c r="V100" s="10">
        <v>4514775.71313</v>
      </c>
      <c r="W100" s="10">
        <v>12520296.605970001</v>
      </c>
      <c r="X100" s="10">
        <v>19630926.047260001</v>
      </c>
      <c r="Y100" s="10">
        <v>7766059.2207599999</v>
      </c>
      <c r="Z100" s="10">
        <v>3161690.5691800001</v>
      </c>
      <c r="AA100" s="10">
        <v>21641350.1829</v>
      </c>
      <c r="AB100" s="10">
        <v>4903496.4507400002</v>
      </c>
      <c r="AC100" s="10">
        <v>6665768.2240199996</v>
      </c>
      <c r="AD100" s="10"/>
      <c r="AE100" s="10">
        <v>19519025.083530001</v>
      </c>
      <c r="AF100" s="10">
        <v>4215838.8211899996</v>
      </c>
      <c r="AG100" s="10">
        <v>15256700.8781</v>
      </c>
      <c r="AH100" s="10">
        <v>3333916.9787599999</v>
      </c>
      <c r="AI100" s="10">
        <v>4114523.1892300001</v>
      </c>
      <c r="AJ100" s="10"/>
      <c r="AK100" s="10">
        <v>40452825.750730999</v>
      </c>
      <c r="AL100" s="10">
        <v>2201319.89861</v>
      </c>
      <c r="AM100" s="10">
        <v>1188835.9768399999</v>
      </c>
      <c r="AN100" s="10">
        <v>3279605.2618300002</v>
      </c>
      <c r="AO100" s="10">
        <v>4669390.5967800003</v>
      </c>
      <c r="AP100" s="10"/>
      <c r="AQ100" s="10">
        <v>4251992.9649980003</v>
      </c>
      <c r="AR100" s="10"/>
      <c r="AS100" s="10">
        <v>1515746.060152</v>
      </c>
      <c r="AT100" s="10"/>
      <c r="AU100" s="10"/>
      <c r="AV100" s="10"/>
      <c r="AW100" s="10"/>
      <c r="AX100" s="10">
        <v>1491587.6534299999</v>
      </c>
      <c r="AY100" s="10">
        <v>1912128.77098</v>
      </c>
      <c r="AZ100" s="10"/>
      <c r="BA100" s="10">
        <v>51186.544000000002</v>
      </c>
      <c r="BB100" s="10">
        <v>2756399.4813899999</v>
      </c>
      <c r="BC100" s="10">
        <v>529414.98424999998</v>
      </c>
      <c r="BD100" s="10">
        <v>0</v>
      </c>
      <c r="BE100" s="10">
        <v>807893.31170800002</v>
      </c>
      <c r="BF100" s="10">
        <v>498737.85632000002</v>
      </c>
      <c r="BG100" s="10">
        <v>161511.42833</v>
      </c>
      <c r="BH100" s="10"/>
      <c r="BI100" s="10">
        <v>0</v>
      </c>
      <c r="BJ100" s="10">
        <v>218430.27963</v>
      </c>
      <c r="BK100" s="10">
        <v>41860.5337</v>
      </c>
      <c r="BL100" s="10">
        <v>36659.463089999997</v>
      </c>
      <c r="BM100" s="10"/>
      <c r="BN100" s="10"/>
      <c r="BO100" s="10">
        <v>469469.72330999997</v>
      </c>
      <c r="BP100" s="10">
        <v>0</v>
      </c>
      <c r="BQ100" s="10">
        <v>673781.36702000001</v>
      </c>
      <c r="BR100" s="10">
        <v>1070658.5854</v>
      </c>
      <c r="BS100" s="10">
        <v>0</v>
      </c>
      <c r="BT100" s="10"/>
      <c r="BU100" s="10">
        <v>359905.06969999999</v>
      </c>
      <c r="BV100" s="10">
        <v>2154818.6425000001</v>
      </c>
      <c r="BW100" s="10"/>
      <c r="BX100" s="10">
        <v>0</v>
      </c>
      <c r="BY100" s="10"/>
      <c r="BZ100" s="10"/>
      <c r="CA100" s="10">
        <v>0</v>
      </c>
      <c r="CB100" s="10">
        <v>0</v>
      </c>
      <c r="CC100" s="10">
        <v>445463.88263000001</v>
      </c>
      <c r="CD100" s="10"/>
      <c r="CE100" s="10"/>
      <c r="CF100" s="10">
        <v>0</v>
      </c>
      <c r="CG100" s="10"/>
      <c r="CH100" s="10"/>
      <c r="CI100" s="10"/>
      <c r="CJ100" s="10">
        <v>1569.7400299999999</v>
      </c>
      <c r="CK100" s="10"/>
      <c r="CL100" s="10"/>
      <c r="CM100" s="10"/>
      <c r="CN100" s="10"/>
      <c r="CO100" s="10"/>
      <c r="CP100" s="10"/>
      <c r="CQ100" s="10">
        <v>0</v>
      </c>
      <c r="CR100" s="10"/>
      <c r="CS100" s="10">
        <v>0</v>
      </c>
      <c r="CT100" s="10"/>
      <c r="CU100" s="10"/>
      <c r="CV100" s="10">
        <v>0</v>
      </c>
      <c r="CW100" s="10"/>
      <c r="CX100" s="10">
        <v>0</v>
      </c>
      <c r="CY100" s="10"/>
      <c r="CZ100" s="10"/>
      <c r="DA100" s="10">
        <v>0</v>
      </c>
      <c r="DB100" s="10">
        <v>0</v>
      </c>
      <c r="DC100" s="10"/>
      <c r="DD100" s="10">
        <v>0</v>
      </c>
      <c r="DE100" s="10"/>
      <c r="DF100" s="10">
        <v>0</v>
      </c>
      <c r="DG100" s="10"/>
      <c r="DH100" s="10">
        <v>0</v>
      </c>
      <c r="DI100" s="10"/>
    </row>
    <row r="101" spans="1:113" x14ac:dyDescent="0.35">
      <c r="A101" s="8">
        <v>46089</v>
      </c>
      <c r="B101" s="9">
        <v>656609095.70582294</v>
      </c>
      <c r="C101" s="10">
        <v>309880416.72776598</v>
      </c>
      <c r="D101" s="10">
        <v>60452711.953270197</v>
      </c>
      <c r="E101" s="10">
        <v>96845496.335900098</v>
      </c>
      <c r="F101" s="10">
        <v>35076606.454790004</v>
      </c>
      <c r="G101" s="10"/>
      <c r="H101" s="10">
        <v>23343445.96551</v>
      </c>
      <c r="I101" s="10">
        <v>3873986.9341899999</v>
      </c>
      <c r="J101" s="10">
        <v>34253834.560369998</v>
      </c>
      <c r="K101" s="10">
        <v>1191305.0133499999</v>
      </c>
      <c r="L101" s="10">
        <v>3741213.2983900001</v>
      </c>
      <c r="M101" s="10">
        <v>1004638.24525</v>
      </c>
      <c r="N101" s="10">
        <v>5076926.1247030003</v>
      </c>
      <c r="O101" s="10">
        <v>5829284.0601749998</v>
      </c>
      <c r="P101" s="10"/>
      <c r="Q101" s="10">
        <v>3012498.78632</v>
      </c>
      <c r="R101" s="10">
        <v>6055342.0505499998</v>
      </c>
      <c r="S101" s="10"/>
      <c r="T101" s="10">
        <v>3611548.2370059998</v>
      </c>
      <c r="U101" s="10">
        <v>1729489.08635</v>
      </c>
      <c r="V101" s="10">
        <v>1095309.6447099999</v>
      </c>
      <c r="W101" s="10">
        <v>1127307.0622</v>
      </c>
      <c r="X101" s="10">
        <v>1031970.57567</v>
      </c>
      <c r="Y101" s="10">
        <v>632645.11370999995</v>
      </c>
      <c r="Z101" s="10">
        <v>352165.2795</v>
      </c>
      <c r="AA101" s="10">
        <v>3085050.3850800102</v>
      </c>
      <c r="AB101" s="10">
        <v>151511.20772000001</v>
      </c>
      <c r="AC101" s="10">
        <v>871137.75765000004</v>
      </c>
      <c r="AD101" s="10"/>
      <c r="AE101" s="10">
        <v>16840733.353879999</v>
      </c>
      <c r="AF101" s="10">
        <v>432638.61033</v>
      </c>
      <c r="AG101" s="10">
        <v>11875502.339400001</v>
      </c>
      <c r="AH101" s="10">
        <v>407834.25406000001</v>
      </c>
      <c r="AI101" s="10">
        <v>435814.0895</v>
      </c>
      <c r="AJ101" s="10"/>
      <c r="AK101" s="10">
        <v>17452954.004551001</v>
      </c>
      <c r="AL101" s="10">
        <v>66274.477530000004</v>
      </c>
      <c r="AM101" s="10">
        <v>344095.79121</v>
      </c>
      <c r="AN101" s="10">
        <v>1689831.3849899999</v>
      </c>
      <c r="AO101" s="10">
        <v>73258.783649999998</v>
      </c>
      <c r="AP101" s="10"/>
      <c r="AQ101" s="10">
        <v>36828.162787000001</v>
      </c>
      <c r="AR101" s="10"/>
      <c r="AS101" s="10">
        <v>1833177.1284930001</v>
      </c>
      <c r="AT101" s="10"/>
      <c r="AU101" s="10"/>
      <c r="AV101" s="10"/>
      <c r="AW101" s="10"/>
      <c r="AX101" s="10">
        <v>25023.133559999998</v>
      </c>
      <c r="AY101" s="10">
        <v>26882.349330000001</v>
      </c>
      <c r="AZ101" s="10"/>
      <c r="BA101" s="10">
        <v>5533.6014999999998</v>
      </c>
      <c r="BB101" s="10">
        <v>360308.02716</v>
      </c>
      <c r="BC101" s="10">
        <v>337712.00767000002</v>
      </c>
      <c r="BD101" s="10">
        <v>0</v>
      </c>
      <c r="BE101" s="10">
        <v>26264.283372000002</v>
      </c>
      <c r="BF101" s="10">
        <v>84804.320189999999</v>
      </c>
      <c r="BG101" s="10">
        <v>77021.117459999994</v>
      </c>
      <c r="BH101" s="10"/>
      <c r="BI101" s="10">
        <v>0</v>
      </c>
      <c r="BJ101" s="10">
        <v>75144.935259999998</v>
      </c>
      <c r="BK101" s="10">
        <v>3203.6786000000002</v>
      </c>
      <c r="BL101" s="10">
        <v>380080.07848000003</v>
      </c>
      <c r="BM101" s="10"/>
      <c r="BN101" s="10"/>
      <c r="BO101" s="10">
        <v>179409.33048999999</v>
      </c>
      <c r="BP101" s="10">
        <v>0</v>
      </c>
      <c r="BQ101" s="10">
        <v>0</v>
      </c>
      <c r="BR101" s="10">
        <v>166495.54195000001</v>
      </c>
      <c r="BS101" s="10">
        <v>0</v>
      </c>
      <c r="BT101" s="10"/>
      <c r="BU101" s="10">
        <v>37460.761509999997</v>
      </c>
      <c r="BV101" s="10">
        <v>5849.7359900000001</v>
      </c>
      <c r="BW101" s="10"/>
      <c r="BX101" s="10">
        <v>0</v>
      </c>
      <c r="BY101" s="10"/>
      <c r="BZ101" s="10"/>
      <c r="CA101" s="10">
        <v>0</v>
      </c>
      <c r="CB101" s="10">
        <v>0</v>
      </c>
      <c r="CC101" s="10">
        <v>912.12874999999997</v>
      </c>
      <c r="CD101" s="10"/>
      <c r="CE101" s="10"/>
      <c r="CF101" s="10">
        <v>0</v>
      </c>
      <c r="CG101" s="10"/>
      <c r="CH101" s="10"/>
      <c r="CI101" s="10"/>
      <c r="CJ101" s="10">
        <v>2207.4340400000001</v>
      </c>
      <c r="CK101" s="10"/>
      <c r="CL101" s="10"/>
      <c r="CM101" s="10"/>
      <c r="CN101" s="10"/>
      <c r="CO101" s="10"/>
      <c r="CP101" s="10"/>
      <c r="CQ101" s="10">
        <v>0</v>
      </c>
      <c r="CR101" s="10"/>
      <c r="CS101" s="10">
        <v>0</v>
      </c>
      <c r="CT101" s="10"/>
      <c r="CU101" s="10"/>
      <c r="CV101" s="10"/>
      <c r="CW101" s="10"/>
      <c r="CX101" s="10">
        <v>0</v>
      </c>
      <c r="CY101" s="10"/>
      <c r="CZ101" s="10"/>
      <c r="DA101" s="10">
        <v>0</v>
      </c>
      <c r="DB101" s="10">
        <v>0</v>
      </c>
      <c r="DC101" s="10"/>
      <c r="DD101" s="10">
        <v>0</v>
      </c>
      <c r="DE101" s="10"/>
      <c r="DF101" s="10">
        <v>0</v>
      </c>
      <c r="DG101" s="10"/>
      <c r="DH101" s="10">
        <v>0</v>
      </c>
      <c r="DI101" s="10"/>
    </row>
    <row r="102" spans="1:113" x14ac:dyDescent="0.35">
      <c r="A102" s="8">
        <v>46088</v>
      </c>
      <c r="B102" s="9">
        <v>373848314.06425101</v>
      </c>
      <c r="C102" s="10">
        <v>139612536.06507599</v>
      </c>
      <c r="D102" s="10">
        <v>13698699.700510001</v>
      </c>
      <c r="E102" s="10">
        <v>60656131.968199998</v>
      </c>
      <c r="F102" s="10">
        <v>18534259.23483</v>
      </c>
      <c r="G102" s="10"/>
      <c r="H102" s="10">
        <v>7508411.8664200101</v>
      </c>
      <c r="I102" s="10">
        <v>18729381.163090002</v>
      </c>
      <c r="J102" s="10">
        <v>42959890.987810001</v>
      </c>
      <c r="K102" s="10">
        <v>12526406.436520001</v>
      </c>
      <c r="L102" s="10">
        <v>3193678.9829699998</v>
      </c>
      <c r="M102" s="10">
        <v>679334.28607999999</v>
      </c>
      <c r="N102" s="10">
        <v>3730221.8902690001</v>
      </c>
      <c r="O102" s="10">
        <v>2776196.0346679999</v>
      </c>
      <c r="P102" s="10"/>
      <c r="Q102" s="10">
        <v>1177413.70569</v>
      </c>
      <c r="R102" s="10">
        <v>3122653.2841099999</v>
      </c>
      <c r="S102" s="10"/>
      <c r="T102" s="10">
        <v>916808.21382599999</v>
      </c>
      <c r="U102" s="10">
        <v>1947707.08155</v>
      </c>
      <c r="V102" s="10">
        <v>239270.05559999999</v>
      </c>
      <c r="W102" s="10">
        <v>1553015.0752999999</v>
      </c>
      <c r="X102" s="10">
        <v>758760.89419999998</v>
      </c>
      <c r="Y102" s="10">
        <v>635698.07911000005</v>
      </c>
      <c r="Z102" s="10">
        <v>387459.95523999998</v>
      </c>
      <c r="AA102" s="10">
        <v>141576.17615000001</v>
      </c>
      <c r="AB102" s="10">
        <v>315738.17303000001</v>
      </c>
      <c r="AC102" s="10">
        <v>467621.52097999997</v>
      </c>
      <c r="AD102" s="10"/>
      <c r="AE102" s="10">
        <v>14095706.57516</v>
      </c>
      <c r="AF102" s="10">
        <v>105658.14361</v>
      </c>
      <c r="AG102" s="10">
        <v>11586983.8332</v>
      </c>
      <c r="AH102" s="10">
        <v>261958.22615</v>
      </c>
      <c r="AI102" s="10">
        <v>906478.85364000103</v>
      </c>
      <c r="AJ102" s="10"/>
      <c r="AK102" s="10">
        <v>7692340.1835120004</v>
      </c>
      <c r="AL102" s="10">
        <v>36183.66375</v>
      </c>
      <c r="AM102" s="10">
        <v>80738.767720000003</v>
      </c>
      <c r="AN102" s="10">
        <v>205360.70110000001</v>
      </c>
      <c r="AO102" s="10">
        <v>158954.70577999999</v>
      </c>
      <c r="AP102" s="10"/>
      <c r="AQ102" s="10">
        <v>120213.822573</v>
      </c>
      <c r="AR102" s="10"/>
      <c r="AS102" s="10">
        <v>636819.48075900006</v>
      </c>
      <c r="AT102" s="10"/>
      <c r="AU102" s="10"/>
      <c r="AV102" s="10"/>
      <c r="AW102" s="10"/>
      <c r="AX102" s="10">
        <v>78574.851970000003</v>
      </c>
      <c r="AY102" s="10">
        <v>92030.518079999994</v>
      </c>
      <c r="AZ102" s="10"/>
      <c r="BA102" s="10">
        <v>1174.7746999999999</v>
      </c>
      <c r="BB102" s="10">
        <v>174779.73978999999</v>
      </c>
      <c r="BC102" s="10">
        <v>80824.399810000003</v>
      </c>
      <c r="BD102" s="10">
        <v>0</v>
      </c>
      <c r="BE102" s="10">
        <v>18890.511218</v>
      </c>
      <c r="BF102" s="10">
        <v>35444.950320000004</v>
      </c>
      <c r="BG102" s="10">
        <v>94579.785069999998</v>
      </c>
      <c r="BH102" s="10"/>
      <c r="BI102" s="10">
        <v>0</v>
      </c>
      <c r="BJ102" s="10">
        <v>0</v>
      </c>
      <c r="BK102" s="10">
        <v>15729.595499999999</v>
      </c>
      <c r="BL102" s="10">
        <v>13977.097690000001</v>
      </c>
      <c r="BM102" s="10"/>
      <c r="BN102" s="10"/>
      <c r="BO102" s="10">
        <v>17096.3423</v>
      </c>
      <c r="BP102" s="10">
        <v>0</v>
      </c>
      <c r="BQ102" s="10">
        <v>0</v>
      </c>
      <c r="BR102" s="10">
        <v>31549.684359999999</v>
      </c>
      <c r="BS102" s="10">
        <v>0</v>
      </c>
      <c r="BT102" s="10"/>
      <c r="BU102" s="10">
        <v>52078.274310000001</v>
      </c>
      <c r="BV102" s="10">
        <v>958340.48381999996</v>
      </c>
      <c r="BW102" s="10"/>
      <c r="BX102" s="10">
        <v>0</v>
      </c>
      <c r="BY102" s="10"/>
      <c r="BZ102" s="10"/>
      <c r="CA102" s="10">
        <v>0</v>
      </c>
      <c r="CB102" s="10">
        <v>0</v>
      </c>
      <c r="CC102" s="10">
        <v>24324.420010000002</v>
      </c>
      <c r="CD102" s="10"/>
      <c r="CE102" s="10"/>
      <c r="CF102" s="10"/>
      <c r="CG102" s="10"/>
      <c r="CH102" s="10"/>
      <c r="CI102" s="10"/>
      <c r="CJ102" s="10">
        <v>2650.8471199999999</v>
      </c>
      <c r="CK102" s="10"/>
      <c r="CL102" s="10"/>
      <c r="CM102" s="10"/>
      <c r="CN102" s="10"/>
      <c r="CO102" s="10"/>
      <c r="CP102" s="10"/>
      <c r="CQ102" s="10">
        <v>0</v>
      </c>
      <c r="CR102" s="10"/>
      <c r="CS102" s="10">
        <v>0</v>
      </c>
      <c r="CT102" s="10"/>
      <c r="CU102" s="10"/>
      <c r="CV102" s="10"/>
      <c r="CW102" s="10"/>
      <c r="CX102" s="10">
        <v>0</v>
      </c>
      <c r="CY102" s="10"/>
      <c r="CZ102" s="10"/>
      <c r="DA102" s="10">
        <v>0</v>
      </c>
      <c r="DB102" s="10">
        <v>0</v>
      </c>
      <c r="DC102" s="10"/>
      <c r="DD102" s="10">
        <v>0</v>
      </c>
      <c r="DE102" s="10"/>
      <c r="DF102" s="10">
        <v>0</v>
      </c>
      <c r="DG102" s="10"/>
      <c r="DH102" s="10">
        <v>0</v>
      </c>
      <c r="DI102" s="10"/>
    </row>
    <row r="103" spans="1:113" x14ac:dyDescent="0.35">
      <c r="A103" s="8">
        <v>46087</v>
      </c>
      <c r="B103" s="9">
        <v>1967649497.98964</v>
      </c>
      <c r="C103" s="10">
        <v>414021841.15031099</v>
      </c>
      <c r="D103" s="10">
        <v>496140430.97814</v>
      </c>
      <c r="E103" s="10">
        <v>523504223.3502</v>
      </c>
      <c r="F103" s="10">
        <v>56827112.71384</v>
      </c>
      <c r="G103" s="10"/>
      <c r="H103" s="10">
        <v>90347363.508919999</v>
      </c>
      <c r="I103" s="10">
        <v>14061600.813130001</v>
      </c>
      <c r="J103" s="10">
        <v>75276766.444120005</v>
      </c>
      <c r="K103" s="10">
        <v>7527883.97994</v>
      </c>
      <c r="L103" s="10">
        <v>20554561.226909999</v>
      </c>
      <c r="M103" s="10">
        <v>11861231.0535</v>
      </c>
      <c r="N103" s="10">
        <v>28912000.00152</v>
      </c>
      <c r="O103" s="10">
        <v>17974415.075286001</v>
      </c>
      <c r="P103" s="10"/>
      <c r="Q103" s="10">
        <v>7735193.9719200004</v>
      </c>
      <c r="R103" s="10">
        <v>21298147.797839999</v>
      </c>
      <c r="S103" s="10"/>
      <c r="T103" s="10">
        <v>9159717.2809040006</v>
      </c>
      <c r="U103" s="10">
        <v>6902981.5110999998</v>
      </c>
      <c r="V103" s="10">
        <v>4328762.0651099999</v>
      </c>
      <c r="W103" s="10">
        <v>10338822.765419999</v>
      </c>
      <c r="X103" s="10">
        <v>16012995.82712</v>
      </c>
      <c r="Y103" s="10">
        <v>17088865.87613</v>
      </c>
      <c r="Z103" s="10">
        <v>3515777.8643700001</v>
      </c>
      <c r="AA103" s="10">
        <v>20711105.432920001</v>
      </c>
      <c r="AB103" s="10">
        <v>11237999.44073</v>
      </c>
      <c r="AC103" s="10">
        <v>5226588.9988099998</v>
      </c>
      <c r="AD103" s="10"/>
      <c r="AE103" s="10">
        <v>18285157.257819999</v>
      </c>
      <c r="AF103" s="10">
        <v>4595868.5981900003</v>
      </c>
      <c r="AG103" s="10">
        <v>11277455.7766</v>
      </c>
      <c r="AH103" s="10">
        <v>2638673.96251</v>
      </c>
      <c r="AI103" s="10">
        <v>3145042.9667000002</v>
      </c>
      <c r="AJ103" s="10"/>
      <c r="AK103" s="10">
        <v>14815405.343132</v>
      </c>
      <c r="AL103" s="10">
        <v>1967001.4630499999</v>
      </c>
      <c r="AM103" s="10">
        <v>1037847.12679</v>
      </c>
      <c r="AN103" s="10">
        <v>885065.54709999997</v>
      </c>
      <c r="AO103" s="10">
        <v>3985013.3020700002</v>
      </c>
      <c r="AP103" s="10"/>
      <c r="AQ103" s="10">
        <v>2112508.8215390001</v>
      </c>
      <c r="AR103" s="10"/>
      <c r="AS103" s="10">
        <v>3026087.5138400001</v>
      </c>
      <c r="AT103" s="10"/>
      <c r="AU103" s="10"/>
      <c r="AV103" s="10"/>
      <c r="AW103" s="10"/>
      <c r="AX103" s="10">
        <v>2675401.35109</v>
      </c>
      <c r="AY103" s="10">
        <v>1370205.9543099999</v>
      </c>
      <c r="AZ103" s="10"/>
      <c r="BA103" s="10">
        <v>52851.518600000003</v>
      </c>
      <c r="BB103" s="10">
        <v>1331952.40802</v>
      </c>
      <c r="BC103" s="10">
        <v>443177.50617000001</v>
      </c>
      <c r="BD103" s="10">
        <v>0</v>
      </c>
      <c r="BE103" s="10">
        <v>115937.378413</v>
      </c>
      <c r="BF103" s="10">
        <v>128601.94164999999</v>
      </c>
      <c r="BG103" s="10">
        <v>172915.1219</v>
      </c>
      <c r="BH103" s="10"/>
      <c r="BI103" s="10">
        <v>0</v>
      </c>
      <c r="BJ103" s="10">
        <v>153168.29027</v>
      </c>
      <c r="BK103" s="10">
        <v>101827.9773</v>
      </c>
      <c r="BL103" s="10">
        <v>57936.840640000002</v>
      </c>
      <c r="BM103" s="10"/>
      <c r="BN103" s="10"/>
      <c r="BO103" s="10">
        <v>184204.91467</v>
      </c>
      <c r="BP103" s="10">
        <v>0</v>
      </c>
      <c r="BQ103" s="10">
        <v>131192.61723999999</v>
      </c>
      <c r="BR103" s="10">
        <v>374988.39765</v>
      </c>
      <c r="BS103" s="10">
        <v>0</v>
      </c>
      <c r="BT103" s="10"/>
      <c r="BU103" s="10">
        <v>300700.16067000001</v>
      </c>
      <c r="BV103" s="10">
        <v>1156475.487</v>
      </c>
      <c r="BW103" s="10"/>
      <c r="BX103" s="10">
        <v>0</v>
      </c>
      <c r="BY103" s="10"/>
      <c r="BZ103" s="10"/>
      <c r="CA103" s="10">
        <v>0</v>
      </c>
      <c r="CB103" s="10">
        <v>0</v>
      </c>
      <c r="CC103" s="10">
        <v>556300.86453000002</v>
      </c>
      <c r="CD103" s="10"/>
      <c r="CE103" s="10"/>
      <c r="CF103" s="10"/>
      <c r="CG103" s="10"/>
      <c r="CH103" s="10"/>
      <c r="CI103" s="10"/>
      <c r="CJ103" s="10">
        <v>4142.4519799999998</v>
      </c>
      <c r="CK103" s="10"/>
      <c r="CL103" s="10"/>
      <c r="CM103" s="10"/>
      <c r="CN103" s="10"/>
      <c r="CO103" s="10"/>
      <c r="CP103" s="10"/>
      <c r="CQ103" s="10">
        <v>0</v>
      </c>
      <c r="CR103" s="10"/>
      <c r="CS103" s="10">
        <v>0</v>
      </c>
      <c r="CT103" s="10"/>
      <c r="CU103" s="10"/>
      <c r="CV103" s="10"/>
      <c r="CW103" s="10"/>
      <c r="CX103" s="10">
        <v>0</v>
      </c>
      <c r="CY103" s="10"/>
      <c r="CZ103" s="10"/>
      <c r="DA103" s="10">
        <v>0</v>
      </c>
      <c r="DB103" s="10">
        <v>0</v>
      </c>
      <c r="DC103" s="10"/>
      <c r="DD103" s="10">
        <v>0</v>
      </c>
      <c r="DE103" s="10"/>
      <c r="DF103" s="10">
        <v>0</v>
      </c>
      <c r="DG103" s="10"/>
      <c r="DH103" s="10">
        <v>0</v>
      </c>
      <c r="DI103" s="10"/>
    </row>
    <row r="104" spans="1:113" x14ac:dyDescent="0.35">
      <c r="A104" s="8">
        <v>46086</v>
      </c>
      <c r="B104" s="9">
        <v>1865921255.25175</v>
      </c>
      <c r="C104" s="10">
        <v>243351561.87661099</v>
      </c>
      <c r="D104" s="10">
        <v>711403737.03648901</v>
      </c>
      <c r="E104" s="10">
        <v>399810887.05080003</v>
      </c>
      <c r="F104" s="10">
        <v>20117329.80271</v>
      </c>
      <c r="G104" s="10"/>
      <c r="H104" s="10">
        <v>125070499.69292</v>
      </c>
      <c r="I104" s="10">
        <v>7982141.66371</v>
      </c>
      <c r="J104" s="10">
        <v>31692977.59773</v>
      </c>
      <c r="K104" s="10">
        <v>10465149.271950001</v>
      </c>
      <c r="L104" s="10">
        <v>18785847.819940001</v>
      </c>
      <c r="M104" s="10">
        <v>11639381.26046</v>
      </c>
      <c r="N104" s="10">
        <v>28125431.116069999</v>
      </c>
      <c r="O104" s="10">
        <v>10529540.157587999</v>
      </c>
      <c r="P104" s="10"/>
      <c r="Q104" s="10">
        <v>8226448.0120599996</v>
      </c>
      <c r="R104" s="10">
        <v>22229084.200130001</v>
      </c>
      <c r="S104" s="10"/>
      <c r="T104" s="10">
        <v>14314271.382788001</v>
      </c>
      <c r="U104" s="10">
        <v>6948670.4135199999</v>
      </c>
      <c r="V104" s="10">
        <v>13099070.779960001</v>
      </c>
      <c r="W104" s="10">
        <v>19125506.090980001</v>
      </c>
      <c r="X104" s="10">
        <v>34268124.317280002</v>
      </c>
      <c r="Y104" s="10">
        <v>12908281.554579999</v>
      </c>
      <c r="Z104" s="10">
        <v>4739410.7627800005</v>
      </c>
      <c r="AA104" s="10">
        <v>24313789.443410002</v>
      </c>
      <c r="AB104" s="10">
        <v>4456809.9717399999</v>
      </c>
      <c r="AC104" s="10">
        <v>7804691.1732999999</v>
      </c>
      <c r="AD104" s="10"/>
      <c r="AE104" s="10">
        <v>14673489.611470001</v>
      </c>
      <c r="AF104" s="10">
        <v>6001557.8311400004</v>
      </c>
      <c r="AG104" s="10">
        <v>11462921.3588</v>
      </c>
      <c r="AH104" s="10">
        <v>3502495.1843699999</v>
      </c>
      <c r="AI104" s="10">
        <v>4021694.6552900001</v>
      </c>
      <c r="AJ104" s="10"/>
      <c r="AK104" s="10">
        <v>6360701.7296270002</v>
      </c>
      <c r="AL104" s="10">
        <v>2464585.7719100001</v>
      </c>
      <c r="AM104" s="10">
        <v>1781794.44722</v>
      </c>
      <c r="AN104" s="10">
        <v>1023016.13268</v>
      </c>
      <c r="AO104" s="10">
        <v>5027293.4262800002</v>
      </c>
      <c r="AP104" s="10"/>
      <c r="AQ104" s="10">
        <v>4634009.0124639999</v>
      </c>
      <c r="AR104" s="10"/>
      <c r="AS104" s="10">
        <v>2171609.9885979998</v>
      </c>
      <c r="AT104" s="10"/>
      <c r="AU104" s="10"/>
      <c r="AV104" s="10"/>
      <c r="AW104" s="10"/>
      <c r="AX104" s="10">
        <v>2935063.94557</v>
      </c>
      <c r="AY104" s="10">
        <v>3029432.8040900002</v>
      </c>
      <c r="AZ104" s="10"/>
      <c r="BA104" s="10">
        <v>25838.093099999998</v>
      </c>
      <c r="BB104" s="10">
        <v>650396.43053000001</v>
      </c>
      <c r="BC104" s="10">
        <v>2377142.2678999999</v>
      </c>
      <c r="BD104" s="10">
        <v>0</v>
      </c>
      <c r="BE104" s="10">
        <v>133495.07370899999</v>
      </c>
      <c r="BF104" s="10">
        <v>264165.69715000002</v>
      </c>
      <c r="BG104" s="10">
        <v>166405.09651999999</v>
      </c>
      <c r="BH104" s="10"/>
      <c r="BI104" s="10">
        <v>0</v>
      </c>
      <c r="BJ104" s="10">
        <v>96822.565579999995</v>
      </c>
      <c r="BK104" s="10">
        <v>39746.659599999999</v>
      </c>
      <c r="BL104" s="10">
        <v>40138.023020000001</v>
      </c>
      <c r="BM104" s="10"/>
      <c r="BN104" s="10"/>
      <c r="BO104" s="10">
        <v>244874.08647000001</v>
      </c>
      <c r="BP104" s="10">
        <v>0</v>
      </c>
      <c r="BQ104" s="10">
        <v>41421.04666</v>
      </c>
      <c r="BR104" s="10">
        <v>125124.94978</v>
      </c>
      <c r="BS104" s="10">
        <v>0</v>
      </c>
      <c r="BT104" s="10"/>
      <c r="BU104" s="10">
        <v>806363.93330000003</v>
      </c>
      <c r="BV104" s="10">
        <v>137945.48796</v>
      </c>
      <c r="BW104" s="10"/>
      <c r="BX104" s="10">
        <v>0</v>
      </c>
      <c r="BY104" s="10"/>
      <c r="BZ104" s="10"/>
      <c r="CA104" s="10">
        <v>0</v>
      </c>
      <c r="CB104" s="10"/>
      <c r="CC104" s="10">
        <v>266498.09272999997</v>
      </c>
      <c r="CD104" s="10"/>
      <c r="CE104" s="10"/>
      <c r="CF104" s="10"/>
      <c r="CG104" s="10"/>
      <c r="CH104" s="10"/>
      <c r="CI104" s="10"/>
      <c r="CJ104" s="10">
        <v>6569.3987299999999</v>
      </c>
      <c r="CK104" s="10"/>
      <c r="CL104" s="10"/>
      <c r="CM104" s="10"/>
      <c r="CN104" s="10"/>
      <c r="CO104" s="10"/>
      <c r="CP104" s="10"/>
      <c r="CQ104" s="10">
        <v>0</v>
      </c>
      <c r="CR104" s="10"/>
      <c r="CS104" s="10">
        <v>0</v>
      </c>
      <c r="CT104" s="10"/>
      <c r="CU104" s="10"/>
      <c r="CV104" s="10"/>
      <c r="CW104" s="10"/>
      <c r="CX104" s="10">
        <v>0</v>
      </c>
      <c r="CY104" s="10"/>
      <c r="CZ104" s="10"/>
      <c r="DA104" s="10">
        <v>0</v>
      </c>
      <c r="DB104" s="10">
        <v>0</v>
      </c>
      <c r="DC104" s="10"/>
      <c r="DD104" s="10">
        <v>0</v>
      </c>
      <c r="DE104" s="10"/>
      <c r="DF104" s="10">
        <v>0</v>
      </c>
      <c r="DG104" s="10"/>
      <c r="DH104" s="10">
        <v>0</v>
      </c>
      <c r="DI104" s="10"/>
    </row>
    <row r="105" spans="1:113" x14ac:dyDescent="0.35">
      <c r="A105" s="8">
        <v>46085</v>
      </c>
      <c r="B105" s="9">
        <v>2094933171.2201099</v>
      </c>
      <c r="C105" s="10">
        <v>202082565.339858</v>
      </c>
      <c r="D105" s="10">
        <v>925983610.42457998</v>
      </c>
      <c r="E105" s="10">
        <v>456020069.14450002</v>
      </c>
      <c r="F105" s="10">
        <v>1320880.05577</v>
      </c>
      <c r="G105" s="10"/>
      <c r="H105" s="10">
        <v>110984181.63688</v>
      </c>
      <c r="I105" s="10">
        <v>12349461.27751</v>
      </c>
      <c r="J105" s="10">
        <v>33937023.987769999</v>
      </c>
      <c r="K105" s="10">
        <v>12519687.8696</v>
      </c>
      <c r="L105" s="10">
        <v>16429255.69723</v>
      </c>
      <c r="M105" s="10">
        <v>10154219.93072</v>
      </c>
      <c r="N105" s="10">
        <v>33074355.265712</v>
      </c>
      <c r="O105" s="10">
        <v>12036850.702397</v>
      </c>
      <c r="P105" s="10"/>
      <c r="Q105" s="10">
        <v>9957515.2442400008</v>
      </c>
      <c r="R105" s="10">
        <v>37814691.564269997</v>
      </c>
      <c r="S105" s="10"/>
      <c r="T105" s="10">
        <v>16166448.957261</v>
      </c>
      <c r="U105" s="10">
        <v>13069165.56243</v>
      </c>
      <c r="V105" s="10">
        <v>9652706.0505900104</v>
      </c>
      <c r="W105" s="10">
        <v>20416090.080490001</v>
      </c>
      <c r="X105" s="10">
        <v>35211296.095749997</v>
      </c>
      <c r="Y105" s="10">
        <v>12732742.16784</v>
      </c>
      <c r="Z105" s="10">
        <v>4383423.8218900003</v>
      </c>
      <c r="AA105" s="10">
        <v>29561069.83622</v>
      </c>
      <c r="AB105" s="10">
        <v>1473264.4362300001</v>
      </c>
      <c r="AC105" s="10">
        <v>7871024.99419</v>
      </c>
      <c r="AD105" s="10"/>
      <c r="AE105" s="10">
        <v>11355767.355389999</v>
      </c>
      <c r="AF105" s="10">
        <v>6806477.9706899999</v>
      </c>
      <c r="AG105" s="10">
        <v>13544166.9078</v>
      </c>
      <c r="AH105" s="10">
        <v>1828861.2605999999</v>
      </c>
      <c r="AI105" s="10">
        <v>4862511.79574</v>
      </c>
      <c r="AJ105" s="10"/>
      <c r="AK105" s="10">
        <v>6122555.460949</v>
      </c>
      <c r="AL105" s="10">
        <v>1604657.8669</v>
      </c>
      <c r="AM105" s="10">
        <v>2467532.5210799999</v>
      </c>
      <c r="AN105" s="10">
        <v>1349205.62864</v>
      </c>
      <c r="AO105" s="10">
        <v>5171510.8283599997</v>
      </c>
      <c r="AP105" s="10"/>
      <c r="AQ105" s="10">
        <v>4159985.2688389998</v>
      </c>
      <c r="AR105" s="10"/>
      <c r="AS105" s="10">
        <v>2653451.227347</v>
      </c>
      <c r="AT105" s="10"/>
      <c r="AU105" s="10"/>
      <c r="AV105" s="10"/>
      <c r="AW105" s="10"/>
      <c r="AX105" s="10">
        <v>1911877.2655499999</v>
      </c>
      <c r="AY105" s="10">
        <v>1667311.4845199999</v>
      </c>
      <c r="AZ105" s="10"/>
      <c r="BA105" s="10">
        <v>8737.9150000000009</v>
      </c>
      <c r="BB105" s="10">
        <v>453669.67112999997</v>
      </c>
      <c r="BC105" s="10">
        <v>1958477.3479599999</v>
      </c>
      <c r="BD105" s="10">
        <v>0</v>
      </c>
      <c r="BE105" s="10">
        <v>189174.808498</v>
      </c>
      <c r="BF105" s="10">
        <v>236593.6586</v>
      </c>
      <c r="BG105" s="10">
        <v>179895.65577000001</v>
      </c>
      <c r="BH105" s="10"/>
      <c r="BI105" s="10">
        <v>0</v>
      </c>
      <c r="BJ105" s="10">
        <v>69244.74252</v>
      </c>
      <c r="BK105" s="10">
        <v>27477.0566</v>
      </c>
      <c r="BL105" s="10">
        <v>191640.84169</v>
      </c>
      <c r="BM105" s="10"/>
      <c r="BN105" s="10"/>
      <c r="BO105" s="10">
        <v>58855.122900000002</v>
      </c>
      <c r="BP105" s="10">
        <v>0</v>
      </c>
      <c r="BQ105" s="10">
        <v>18167.478999999999</v>
      </c>
      <c r="BR105" s="10">
        <v>71730.654800000004</v>
      </c>
      <c r="BS105" s="10">
        <v>0</v>
      </c>
      <c r="BT105" s="10"/>
      <c r="BU105" s="10">
        <v>330060.65191000002</v>
      </c>
      <c r="BV105" s="10">
        <v>16606.58597</v>
      </c>
      <c r="BW105" s="10"/>
      <c r="BX105" s="10">
        <v>0</v>
      </c>
      <c r="BY105" s="10"/>
      <c r="BZ105" s="10"/>
      <c r="CA105" s="10">
        <v>0</v>
      </c>
      <c r="CB105" s="10"/>
      <c r="CC105" s="10">
        <v>413930.18180000002</v>
      </c>
      <c r="CD105" s="10"/>
      <c r="CE105" s="10"/>
      <c r="CF105" s="10"/>
      <c r="CG105" s="10"/>
      <c r="CH105" s="10"/>
      <c r="CI105" s="10"/>
      <c r="CJ105" s="10">
        <v>1435.8596299999999</v>
      </c>
      <c r="CK105" s="10"/>
      <c r="CL105" s="10"/>
      <c r="CM105" s="10"/>
      <c r="CN105" s="10"/>
      <c r="CO105" s="10"/>
      <c r="CP105" s="10"/>
      <c r="CQ105" s="10">
        <v>0</v>
      </c>
      <c r="CR105" s="10"/>
      <c r="CS105" s="10">
        <v>0</v>
      </c>
      <c r="CT105" s="10"/>
      <c r="CU105" s="10"/>
      <c r="CV105" s="10"/>
      <c r="CW105" s="10"/>
      <c r="CX105" s="10">
        <v>0</v>
      </c>
      <c r="CY105" s="10"/>
      <c r="CZ105" s="10"/>
      <c r="DA105" s="10">
        <v>0</v>
      </c>
      <c r="DB105" s="10">
        <v>0</v>
      </c>
      <c r="DC105" s="10"/>
      <c r="DD105" s="10">
        <v>0</v>
      </c>
      <c r="DE105" s="10"/>
      <c r="DF105" s="10">
        <v>0</v>
      </c>
      <c r="DG105" s="10"/>
      <c r="DH105" s="10">
        <v>0</v>
      </c>
      <c r="DI105" s="10"/>
    </row>
    <row r="106" spans="1:113" x14ac:dyDescent="0.35">
      <c r="A106" s="8">
        <v>46084</v>
      </c>
      <c r="B106" s="9">
        <v>3058597793.2910399</v>
      </c>
      <c r="C106" s="10">
        <v>235016256.29636201</v>
      </c>
      <c r="D106" s="10">
        <v>1435806933.39239</v>
      </c>
      <c r="E106" s="10">
        <v>549435912.570701</v>
      </c>
      <c r="F106" s="10"/>
      <c r="G106" s="10"/>
      <c r="H106" s="10">
        <v>328057369.22069001</v>
      </c>
      <c r="I106" s="10">
        <v>12896606.56147</v>
      </c>
      <c r="J106" s="10">
        <v>127098826.71419001</v>
      </c>
      <c r="K106" s="10">
        <v>14399385.664999999</v>
      </c>
      <c r="L106" s="10">
        <v>17661994.269719999</v>
      </c>
      <c r="M106" s="10">
        <v>12427038.48294</v>
      </c>
      <c r="N106" s="10">
        <v>48813113.627108</v>
      </c>
      <c r="O106" s="10">
        <v>17862682.687922001</v>
      </c>
      <c r="P106" s="10"/>
      <c r="Q106" s="10">
        <v>9432426.1550699994</v>
      </c>
      <c r="R106" s="10">
        <v>38716421.129320003</v>
      </c>
      <c r="S106" s="10"/>
      <c r="T106" s="10">
        <v>17933258.673264001</v>
      </c>
      <c r="U106" s="10">
        <v>8968041.3409199994</v>
      </c>
      <c r="V106" s="10">
        <v>17657312.300639998</v>
      </c>
      <c r="W106" s="10">
        <v>12302104.14256</v>
      </c>
      <c r="X106" s="10">
        <v>7545553.6350400001</v>
      </c>
      <c r="Y106" s="10">
        <v>12735399.167300001</v>
      </c>
      <c r="Z106" s="10">
        <v>4265555.6796300001</v>
      </c>
      <c r="AA106" s="10">
        <v>33747853.058179997</v>
      </c>
      <c r="AB106" s="10">
        <v>1878681.0136800001</v>
      </c>
      <c r="AC106" s="10">
        <v>8658359.5352200009</v>
      </c>
      <c r="AD106" s="10"/>
      <c r="AE106" s="10">
        <v>11675420.47119</v>
      </c>
      <c r="AF106" s="10">
        <v>6205589.7027099999</v>
      </c>
      <c r="AG106" s="10">
        <v>9790239.3813000005</v>
      </c>
      <c r="AH106" s="10">
        <v>2937450.48019</v>
      </c>
      <c r="AI106" s="10">
        <v>4052503.6511499998</v>
      </c>
      <c r="AJ106" s="10"/>
      <c r="AK106" s="10">
        <v>12119258.934278</v>
      </c>
      <c r="AL106" s="10">
        <v>1357661.57892</v>
      </c>
      <c r="AM106" s="10">
        <v>5521593.3514900003</v>
      </c>
      <c r="AN106" s="10">
        <v>2168100.4605700001</v>
      </c>
      <c r="AO106" s="10">
        <v>4757482.0297900001</v>
      </c>
      <c r="AP106" s="10"/>
      <c r="AQ106" s="10">
        <v>4985881.6166350003</v>
      </c>
      <c r="AR106" s="10"/>
      <c r="AS106" s="10">
        <v>2526327.1894800002</v>
      </c>
      <c r="AT106" s="10"/>
      <c r="AU106" s="10"/>
      <c r="AV106" s="10"/>
      <c r="AW106" s="10"/>
      <c r="AX106" s="10">
        <v>7868978.0085300002</v>
      </c>
      <c r="AY106" s="10">
        <v>2326877.7958900002</v>
      </c>
      <c r="AZ106" s="10"/>
      <c r="BA106" s="10">
        <v>11984.5628</v>
      </c>
      <c r="BB106" s="10">
        <v>2273903.4645500001</v>
      </c>
      <c r="BC106" s="10">
        <v>904600.85473000002</v>
      </c>
      <c r="BD106" s="10">
        <v>0</v>
      </c>
      <c r="BE106" s="10">
        <v>527442.40359899995</v>
      </c>
      <c r="BF106" s="10">
        <v>304504.59360000002</v>
      </c>
      <c r="BG106" s="10">
        <v>74051.8845</v>
      </c>
      <c r="BH106" s="10"/>
      <c r="BI106" s="10">
        <v>0</v>
      </c>
      <c r="BJ106" s="10">
        <v>99923.552070000005</v>
      </c>
      <c r="BK106" s="10">
        <v>41543.4427</v>
      </c>
      <c r="BL106" s="10">
        <v>482129.81579000002</v>
      </c>
      <c r="BM106" s="10"/>
      <c r="BN106" s="10"/>
      <c r="BO106" s="10">
        <v>857152.08655999997</v>
      </c>
      <c r="BP106" s="10">
        <v>0</v>
      </c>
      <c r="BQ106" s="10">
        <v>152665.24345000001</v>
      </c>
      <c r="BR106" s="10">
        <v>94228.455199999997</v>
      </c>
      <c r="BS106" s="10">
        <v>0</v>
      </c>
      <c r="BT106" s="10"/>
      <c r="BU106" s="10">
        <v>284008.49096000002</v>
      </c>
      <c r="BV106" s="10">
        <v>424653.87813999999</v>
      </c>
      <c r="BW106" s="10"/>
      <c r="BX106" s="10">
        <v>0</v>
      </c>
      <c r="BY106" s="10"/>
      <c r="BZ106" s="10"/>
      <c r="CA106" s="10">
        <v>0</v>
      </c>
      <c r="CB106" s="10"/>
      <c r="CC106" s="10">
        <v>452550.19164999999</v>
      </c>
      <c r="CD106" s="10"/>
      <c r="CE106" s="10"/>
      <c r="CF106" s="10"/>
      <c r="CG106" s="10"/>
      <c r="CH106" s="10"/>
      <c r="CI106" s="10"/>
      <c r="CJ106" s="10">
        <v>2000.3993</v>
      </c>
      <c r="CK106" s="10"/>
      <c r="CL106" s="10"/>
      <c r="CM106" s="10"/>
      <c r="CN106" s="10"/>
      <c r="CO106" s="10"/>
      <c r="CP106" s="10"/>
      <c r="CQ106" s="10">
        <v>0</v>
      </c>
      <c r="CR106" s="10"/>
      <c r="CS106" s="10">
        <v>0</v>
      </c>
      <c r="CT106" s="10"/>
      <c r="CU106" s="10"/>
      <c r="CV106" s="10"/>
      <c r="CW106" s="10"/>
      <c r="CX106" s="10">
        <v>0</v>
      </c>
      <c r="CY106" s="10"/>
      <c r="CZ106" s="10"/>
      <c r="DA106" s="10">
        <v>0</v>
      </c>
      <c r="DB106" s="10">
        <v>0</v>
      </c>
      <c r="DC106" s="10"/>
      <c r="DD106" s="10">
        <v>0</v>
      </c>
      <c r="DE106" s="10"/>
      <c r="DF106" s="10">
        <v>0</v>
      </c>
      <c r="DG106" s="10"/>
      <c r="DH106" s="10">
        <v>0</v>
      </c>
      <c r="DI106" s="10"/>
    </row>
    <row r="107" spans="1:113" x14ac:dyDescent="0.35">
      <c r="A107" s="8">
        <v>46083</v>
      </c>
      <c r="B107" s="9">
        <v>1993446454.57388</v>
      </c>
      <c r="C107" s="10">
        <v>112753688.67515101</v>
      </c>
      <c r="D107" s="10">
        <v>1006614258.37078</v>
      </c>
      <c r="E107" s="10">
        <v>325406364.6178</v>
      </c>
      <c r="F107" s="10"/>
      <c r="G107" s="10"/>
      <c r="H107" s="10">
        <v>199239763.86849001</v>
      </c>
      <c r="I107" s="10">
        <v>10074259.87974</v>
      </c>
      <c r="J107" s="10">
        <v>78811616.409290001</v>
      </c>
      <c r="K107" s="10">
        <v>5677570.0057300003</v>
      </c>
      <c r="L107" s="10">
        <v>21361378.408360001</v>
      </c>
      <c r="M107" s="10">
        <v>6387085.4873500001</v>
      </c>
      <c r="N107" s="10">
        <v>31630779.592670999</v>
      </c>
      <c r="O107" s="10">
        <v>12738874.105070001</v>
      </c>
      <c r="P107" s="10"/>
      <c r="Q107" s="10">
        <v>7600156.2582999999</v>
      </c>
      <c r="R107" s="10">
        <v>12284705.673590001</v>
      </c>
      <c r="S107" s="10"/>
      <c r="T107" s="10">
        <v>19379881.953095</v>
      </c>
      <c r="U107" s="10">
        <v>5744200.7383500002</v>
      </c>
      <c r="V107" s="10">
        <v>7542192.5354699995</v>
      </c>
      <c r="W107" s="10">
        <v>7462460.8987699999</v>
      </c>
      <c r="X107" s="10">
        <v>865341.10655999999</v>
      </c>
      <c r="Y107" s="10">
        <v>22640258.192540001</v>
      </c>
      <c r="Z107" s="10">
        <v>2830944.7637200002</v>
      </c>
      <c r="AA107" s="10">
        <v>11715579.39508</v>
      </c>
      <c r="AB107" s="10">
        <v>1308113.58574</v>
      </c>
      <c r="AC107" s="10">
        <v>13714530.252739999</v>
      </c>
      <c r="AD107" s="10"/>
      <c r="AE107" s="10">
        <v>10818613.70448</v>
      </c>
      <c r="AF107" s="10">
        <v>3462532.9820500002</v>
      </c>
      <c r="AG107" s="10">
        <v>11774290.4684</v>
      </c>
      <c r="AH107" s="10">
        <v>3478374.6588300001</v>
      </c>
      <c r="AI107" s="10">
        <v>5335079.2851099996</v>
      </c>
      <c r="AJ107" s="10"/>
      <c r="AK107" s="10">
        <v>11823118.6423</v>
      </c>
      <c r="AL107" s="10">
        <v>1490435.0332599999</v>
      </c>
      <c r="AM107" s="10">
        <v>1158671.44597</v>
      </c>
      <c r="AN107" s="10">
        <v>3335507.1536900001</v>
      </c>
      <c r="AO107" s="10">
        <v>1790019.36356</v>
      </c>
      <c r="AP107" s="10"/>
      <c r="AQ107" s="10">
        <v>3653825.375614</v>
      </c>
      <c r="AR107" s="10"/>
      <c r="AS107" s="10">
        <v>1318034.215534</v>
      </c>
      <c r="AT107" s="10"/>
      <c r="AU107" s="10"/>
      <c r="AV107" s="10"/>
      <c r="AW107" s="10"/>
      <c r="AX107" s="10">
        <v>2894028.5583199998</v>
      </c>
      <c r="AY107" s="10">
        <v>1353507.88359</v>
      </c>
      <c r="AZ107" s="10"/>
      <c r="BA107" s="10">
        <v>22979.226500000001</v>
      </c>
      <c r="BB107" s="10">
        <v>1282996.9846600001</v>
      </c>
      <c r="BC107" s="10">
        <v>900837.82990000001</v>
      </c>
      <c r="BD107" s="10">
        <v>0</v>
      </c>
      <c r="BE107" s="10">
        <v>110099.402224</v>
      </c>
      <c r="BF107" s="10">
        <v>139301.50210000001</v>
      </c>
      <c r="BG107" s="10">
        <v>45862.83066</v>
      </c>
      <c r="BH107" s="10"/>
      <c r="BI107" s="10">
        <v>0</v>
      </c>
      <c r="BJ107" s="10">
        <v>387359.95778</v>
      </c>
      <c r="BK107" s="10">
        <v>27200.817299999999</v>
      </c>
      <c r="BL107" s="10">
        <v>113649.30903999999</v>
      </c>
      <c r="BM107" s="10"/>
      <c r="BN107" s="10"/>
      <c r="BO107" s="10">
        <v>642142.71085000003</v>
      </c>
      <c r="BP107" s="10">
        <v>0</v>
      </c>
      <c r="BQ107" s="10">
        <v>59027.910989999997</v>
      </c>
      <c r="BR107" s="10">
        <v>86920.890939999997</v>
      </c>
      <c r="BS107" s="10">
        <v>0</v>
      </c>
      <c r="BT107" s="10"/>
      <c r="BU107" s="10">
        <v>1312273.4460700001</v>
      </c>
      <c r="BV107" s="10">
        <v>429591.48508000001</v>
      </c>
      <c r="BW107" s="10"/>
      <c r="BX107" s="10">
        <v>0</v>
      </c>
      <c r="BY107" s="10"/>
      <c r="BZ107" s="10"/>
      <c r="CA107" s="10">
        <v>0</v>
      </c>
      <c r="CB107" s="10"/>
      <c r="CC107" s="10">
        <v>412398.30582000001</v>
      </c>
      <c r="CD107" s="10"/>
      <c r="CE107" s="10"/>
      <c r="CF107" s="10"/>
      <c r="CG107" s="10"/>
      <c r="CH107" s="10"/>
      <c r="CI107" s="10"/>
      <c r="CJ107" s="10">
        <v>3768.41887</v>
      </c>
      <c r="CK107" s="10"/>
      <c r="CL107" s="10"/>
      <c r="CM107" s="10"/>
      <c r="CN107" s="10"/>
      <c r="CO107" s="10"/>
      <c r="CP107" s="10"/>
      <c r="CQ107" s="10">
        <v>0</v>
      </c>
      <c r="CR107" s="10"/>
      <c r="CS107" s="10">
        <v>0</v>
      </c>
      <c r="CT107" s="10"/>
      <c r="CU107" s="10"/>
      <c r="CV107" s="10"/>
      <c r="CW107" s="10"/>
      <c r="CX107" s="10">
        <v>0</v>
      </c>
      <c r="CY107" s="10"/>
      <c r="CZ107" s="10"/>
      <c r="DA107" s="10">
        <v>0</v>
      </c>
      <c r="DB107" s="10">
        <v>0</v>
      </c>
      <c r="DC107" s="10"/>
      <c r="DD107" s="10">
        <v>0</v>
      </c>
      <c r="DE107" s="10"/>
      <c r="DF107" s="10">
        <v>0</v>
      </c>
      <c r="DG107" s="10"/>
      <c r="DH107" s="10">
        <v>0</v>
      </c>
      <c r="DI107" s="10"/>
    </row>
    <row r="108" spans="1:113" x14ac:dyDescent="0.35">
      <c r="A108" s="8">
        <v>46082</v>
      </c>
      <c r="B108" s="9">
        <v>494947613.430197</v>
      </c>
      <c r="C108" s="10">
        <v>26934230.699428</v>
      </c>
      <c r="D108" s="10">
        <v>182715196.46156999</v>
      </c>
      <c r="E108" s="10">
        <v>77239651.399700001</v>
      </c>
      <c r="F108" s="10"/>
      <c r="G108" s="10"/>
      <c r="H108" s="10">
        <v>106120261.09299</v>
      </c>
      <c r="I108" s="10">
        <v>1729444.51211</v>
      </c>
      <c r="J108" s="10">
        <v>18316393.029369999</v>
      </c>
      <c r="K108" s="10">
        <v>854050.87112999998</v>
      </c>
      <c r="L108" s="10">
        <v>4665801.4173900001</v>
      </c>
      <c r="M108" s="10">
        <v>483344.66856000002</v>
      </c>
      <c r="N108" s="10">
        <v>2909760.5268370002</v>
      </c>
      <c r="O108" s="10">
        <v>8332584.59846</v>
      </c>
      <c r="P108" s="10"/>
      <c r="Q108" s="10">
        <v>1510126.6731700001</v>
      </c>
      <c r="R108" s="10">
        <v>3929279.40301</v>
      </c>
      <c r="S108" s="10"/>
      <c r="T108" s="10">
        <v>2814419.5796969999</v>
      </c>
      <c r="U108" s="10">
        <v>4359807.0192299997</v>
      </c>
      <c r="V108" s="10">
        <v>536317.88520000002</v>
      </c>
      <c r="W108" s="10">
        <v>1353087.8261599999</v>
      </c>
      <c r="X108" s="10">
        <v>0</v>
      </c>
      <c r="Y108" s="10">
        <v>6068277.7197800204</v>
      </c>
      <c r="Z108" s="10">
        <v>291341.39244999998</v>
      </c>
      <c r="AA108" s="10">
        <v>2516334.1445200001</v>
      </c>
      <c r="AB108" s="10">
        <v>717972.04465000005</v>
      </c>
      <c r="AC108" s="10">
        <v>3565715.3222500002</v>
      </c>
      <c r="AD108" s="10"/>
      <c r="AE108" s="10">
        <v>11360475.04535</v>
      </c>
      <c r="AF108" s="10">
        <v>742280.20299000002</v>
      </c>
      <c r="AG108" s="10">
        <v>9058960.1400000006</v>
      </c>
      <c r="AH108" s="10">
        <v>472181.09081000002</v>
      </c>
      <c r="AI108" s="10">
        <v>537541.48736000096</v>
      </c>
      <c r="AJ108" s="10"/>
      <c r="AK108" s="10">
        <v>2517707.4915439999</v>
      </c>
      <c r="AL108" s="10">
        <v>329056.9963</v>
      </c>
      <c r="AM108" s="10">
        <v>3269283.5052899998</v>
      </c>
      <c r="AN108" s="10">
        <v>2009190.0561599999</v>
      </c>
      <c r="AO108" s="10">
        <v>116084.84570999999</v>
      </c>
      <c r="AP108" s="10"/>
      <c r="AQ108" s="10">
        <v>323299.64139599999</v>
      </c>
      <c r="AR108" s="10"/>
      <c r="AS108" s="10">
        <v>1499057.855305</v>
      </c>
      <c r="AT108" s="10"/>
      <c r="AU108" s="10"/>
      <c r="AV108" s="10"/>
      <c r="AW108" s="10"/>
      <c r="AX108" s="10">
        <v>2595655.2191400002</v>
      </c>
      <c r="AY108" s="10">
        <v>690545.43689000001</v>
      </c>
      <c r="AZ108" s="10"/>
      <c r="BA108" s="10">
        <v>12662.5092</v>
      </c>
      <c r="BB108" s="10">
        <v>167886.96458999999</v>
      </c>
      <c r="BC108" s="10">
        <v>18608.52346</v>
      </c>
      <c r="BD108" s="10">
        <v>0</v>
      </c>
      <c r="BE108" s="10"/>
      <c r="BF108" s="10">
        <v>115501.70879999999</v>
      </c>
      <c r="BG108" s="10">
        <v>146095.35876999999</v>
      </c>
      <c r="BH108" s="10"/>
      <c r="BI108" s="10">
        <v>0</v>
      </c>
      <c r="BJ108" s="10">
        <v>123260.96524999999</v>
      </c>
      <c r="BK108" s="10">
        <v>45326.110200000003</v>
      </c>
      <c r="BL108" s="10">
        <v>173062.2597</v>
      </c>
      <c r="BM108" s="10"/>
      <c r="BN108" s="10"/>
      <c r="BO108" s="10">
        <v>351181.40740999999</v>
      </c>
      <c r="BP108" s="10">
        <v>0</v>
      </c>
      <c r="BQ108" s="10">
        <v>4562.4675500000003</v>
      </c>
      <c r="BR108" s="10">
        <v>99.309569999999994</v>
      </c>
      <c r="BS108" s="10">
        <v>0</v>
      </c>
      <c r="BT108" s="10"/>
      <c r="BU108" s="10">
        <v>260057.35600999999</v>
      </c>
      <c r="BV108" s="10">
        <v>42291.089780000002</v>
      </c>
      <c r="BW108" s="10"/>
      <c r="BX108" s="10">
        <v>0</v>
      </c>
      <c r="BY108" s="10"/>
      <c r="BZ108" s="10"/>
      <c r="CA108" s="10">
        <v>0</v>
      </c>
      <c r="CB108" s="10"/>
      <c r="CC108" s="10">
        <v>0</v>
      </c>
      <c r="CD108" s="10"/>
      <c r="CE108" s="10"/>
      <c r="CF108" s="10"/>
      <c r="CG108" s="10"/>
      <c r="CH108" s="10"/>
      <c r="CI108" s="10"/>
      <c r="CJ108" s="10">
        <v>2300.098</v>
      </c>
      <c r="CK108" s="10"/>
      <c r="CL108" s="10"/>
      <c r="CM108" s="10"/>
      <c r="CN108" s="10"/>
      <c r="CO108" s="10"/>
      <c r="CP108" s="10"/>
      <c r="CQ108" s="10">
        <v>0</v>
      </c>
      <c r="CR108" s="10"/>
      <c r="CS108" s="10">
        <v>0</v>
      </c>
      <c r="CT108" s="10"/>
      <c r="CU108" s="10"/>
      <c r="CV108" s="10"/>
      <c r="CW108" s="10"/>
      <c r="CX108" s="10">
        <v>0</v>
      </c>
      <c r="CY108" s="10"/>
      <c r="CZ108" s="10"/>
      <c r="DA108" s="10">
        <v>0</v>
      </c>
      <c r="DB108" s="10">
        <v>0</v>
      </c>
      <c r="DC108" s="10"/>
      <c r="DD108" s="10">
        <v>0</v>
      </c>
      <c r="DE108" s="10"/>
      <c r="DF108" s="10">
        <v>0</v>
      </c>
      <c r="DG108" s="10"/>
      <c r="DH108" s="10">
        <v>0</v>
      </c>
      <c r="DI108" s="10"/>
    </row>
    <row r="109" spans="1:113" x14ac:dyDescent="0.35">
      <c r="A109" s="8">
        <v>46081</v>
      </c>
      <c r="B109" s="9">
        <v>633601474.27390397</v>
      </c>
      <c r="C109" s="10">
        <v>8542586.0695760008</v>
      </c>
      <c r="D109" s="10">
        <v>214717008.58403999</v>
      </c>
      <c r="E109" s="10">
        <v>95765224.900999993</v>
      </c>
      <c r="F109" s="10"/>
      <c r="G109" s="10"/>
      <c r="H109" s="10">
        <v>180511565.03101</v>
      </c>
      <c r="I109" s="10">
        <v>3533924.7917900002</v>
      </c>
      <c r="J109" s="10">
        <v>16792538.421999998</v>
      </c>
      <c r="K109" s="10">
        <v>606646.47612999997</v>
      </c>
      <c r="L109" s="10">
        <v>7851014.0302400002</v>
      </c>
      <c r="M109" s="10">
        <v>3231917.0909500001</v>
      </c>
      <c r="N109" s="10">
        <v>7371758.0107009998</v>
      </c>
      <c r="O109" s="10">
        <v>9771295.1158099994</v>
      </c>
      <c r="P109" s="10"/>
      <c r="Q109" s="10">
        <v>2869205.60348</v>
      </c>
      <c r="R109" s="10">
        <v>3199892.7272399999</v>
      </c>
      <c r="S109" s="10"/>
      <c r="T109" s="10">
        <v>8165266.8001399999</v>
      </c>
      <c r="U109" s="10">
        <v>6747221.0470099999</v>
      </c>
      <c r="V109" s="10">
        <v>2124974.3599800002</v>
      </c>
      <c r="W109" s="10">
        <v>4465184.6255799998</v>
      </c>
      <c r="X109" s="10">
        <v>0</v>
      </c>
      <c r="Y109" s="10">
        <v>6324409.6621000003</v>
      </c>
      <c r="Z109" s="10">
        <v>812373.87222999998</v>
      </c>
      <c r="AA109" s="10">
        <v>699709.41157</v>
      </c>
      <c r="AB109" s="10">
        <v>1545529.38197</v>
      </c>
      <c r="AC109" s="10">
        <v>2193340.6748100002</v>
      </c>
      <c r="AD109" s="10"/>
      <c r="AE109" s="10">
        <v>5048072.0554400003</v>
      </c>
      <c r="AF109" s="10">
        <v>995763.85358</v>
      </c>
      <c r="AG109" s="10">
        <v>14068012.363500001</v>
      </c>
      <c r="AH109" s="10">
        <v>993041.08921999997</v>
      </c>
      <c r="AI109" s="10">
        <v>1305989.8476199999</v>
      </c>
      <c r="AJ109" s="10"/>
      <c r="AK109" s="10">
        <v>1913278.5338669999</v>
      </c>
      <c r="AL109" s="10">
        <v>231753.43804000001</v>
      </c>
      <c r="AM109" s="10">
        <v>3812157.6202699998</v>
      </c>
      <c r="AN109" s="10">
        <v>6680358.2835499998</v>
      </c>
      <c r="AO109" s="10">
        <v>417034.43964</v>
      </c>
      <c r="AP109" s="10"/>
      <c r="AQ109" s="10">
        <v>584357.65181099996</v>
      </c>
      <c r="AR109" s="10"/>
      <c r="AS109" s="10">
        <v>205642.33626899999</v>
      </c>
      <c r="AT109" s="10"/>
      <c r="AU109" s="10"/>
      <c r="AV109" s="10"/>
      <c r="AW109" s="10"/>
      <c r="AX109" s="10">
        <v>466281.33912000002</v>
      </c>
      <c r="AY109" s="10">
        <v>60596.472249999999</v>
      </c>
      <c r="AZ109" s="10"/>
      <c r="BA109" s="10">
        <v>76830.702399999995</v>
      </c>
      <c r="BB109" s="10">
        <v>277137.07420999999</v>
      </c>
      <c r="BC109" s="10">
        <v>2736598.47169</v>
      </c>
      <c r="BD109" s="10">
        <v>0</v>
      </c>
      <c r="BE109" s="10"/>
      <c r="BF109" s="10">
        <v>91994.638900000005</v>
      </c>
      <c r="BG109" s="10">
        <v>281840.47395000001</v>
      </c>
      <c r="BH109" s="10"/>
      <c r="BI109" s="10">
        <v>0</v>
      </c>
      <c r="BJ109" s="10">
        <v>24578.994620000001</v>
      </c>
      <c r="BK109" s="10">
        <v>89118.818599999999</v>
      </c>
      <c r="BL109" s="10">
        <v>4588717.0121500101</v>
      </c>
      <c r="BM109" s="10"/>
      <c r="BN109" s="10"/>
      <c r="BO109" s="10">
        <v>124085.82527</v>
      </c>
      <c r="BP109" s="10">
        <v>0</v>
      </c>
      <c r="BQ109" s="10">
        <v>67045.098190000004</v>
      </c>
      <c r="BR109" s="10">
        <v>30461.714769999999</v>
      </c>
      <c r="BS109" s="10">
        <v>0</v>
      </c>
      <c r="BT109" s="10"/>
      <c r="BU109" s="10">
        <v>475102.50928</v>
      </c>
      <c r="BV109" s="10">
        <v>95378.246780000001</v>
      </c>
      <c r="BW109" s="10"/>
      <c r="BX109" s="10">
        <v>0</v>
      </c>
      <c r="BY109" s="10"/>
      <c r="BZ109" s="10"/>
      <c r="CA109" s="10">
        <v>0</v>
      </c>
      <c r="CB109" s="10"/>
      <c r="CC109" s="10">
        <v>961.78979000000004</v>
      </c>
      <c r="CD109" s="10"/>
      <c r="CE109" s="10"/>
      <c r="CF109" s="10"/>
      <c r="CG109" s="10"/>
      <c r="CH109" s="10"/>
      <c r="CI109" s="10"/>
      <c r="CJ109" s="10">
        <v>16696.889770000002</v>
      </c>
      <c r="CK109" s="10"/>
      <c r="CL109" s="10"/>
      <c r="CM109" s="10"/>
      <c r="CN109" s="10"/>
      <c r="CO109" s="10"/>
      <c r="CP109" s="10"/>
      <c r="CQ109" s="10">
        <v>0</v>
      </c>
      <c r="CR109" s="10"/>
      <c r="CS109" s="10">
        <v>0</v>
      </c>
      <c r="CT109" s="10"/>
      <c r="CU109" s="10"/>
      <c r="CV109" s="10"/>
      <c r="CW109" s="10"/>
      <c r="CX109" s="10">
        <v>0</v>
      </c>
      <c r="CY109" s="10"/>
      <c r="CZ109" s="10"/>
      <c r="DA109" s="10">
        <v>0</v>
      </c>
      <c r="DB109" s="10">
        <v>0</v>
      </c>
      <c r="DC109" s="10"/>
      <c r="DD109" s="10">
        <v>0</v>
      </c>
      <c r="DE109" s="10"/>
      <c r="DF109" s="10">
        <v>0</v>
      </c>
      <c r="DG109" s="10"/>
      <c r="DH109" s="10">
        <v>0</v>
      </c>
      <c r="DI109" s="10"/>
    </row>
    <row r="110" spans="1:113" x14ac:dyDescent="0.35">
      <c r="A110" s="8">
        <v>46080</v>
      </c>
      <c r="B110" s="9">
        <v>1134471473.1632299</v>
      </c>
      <c r="C110" s="10">
        <v>21941231.530138001</v>
      </c>
      <c r="D110" s="10">
        <v>505919383.55059999</v>
      </c>
      <c r="E110" s="10">
        <v>232435314.97189999</v>
      </c>
      <c r="F110" s="10"/>
      <c r="G110" s="10"/>
      <c r="H110" s="10">
        <v>88732221.878690004</v>
      </c>
      <c r="I110" s="10">
        <v>16464944.317369999</v>
      </c>
      <c r="J110" s="10">
        <v>48165156.859209999</v>
      </c>
      <c r="K110" s="10">
        <v>7507867.9086600002</v>
      </c>
      <c r="L110" s="10">
        <v>8570252.9002</v>
      </c>
      <c r="M110" s="10">
        <v>7058019.5916099995</v>
      </c>
      <c r="N110" s="10">
        <v>17233844.510267999</v>
      </c>
      <c r="O110" s="10">
        <v>21072764.654762</v>
      </c>
      <c r="P110" s="10"/>
      <c r="Q110" s="10">
        <v>9145965.4894200005</v>
      </c>
      <c r="R110" s="10">
        <v>9136258.7527799997</v>
      </c>
      <c r="S110" s="10"/>
      <c r="T110" s="10">
        <v>8210848.0668120002</v>
      </c>
      <c r="U110" s="10">
        <v>4526533.7177900001</v>
      </c>
      <c r="V110" s="10">
        <v>5379168.4974699998</v>
      </c>
      <c r="W110" s="10">
        <v>7594545.4038899997</v>
      </c>
      <c r="X110" s="10"/>
      <c r="Y110" s="10">
        <v>4674459.35671</v>
      </c>
      <c r="Z110" s="10">
        <v>3114561.7620399999</v>
      </c>
      <c r="AA110" s="10">
        <v>23085492.129889999</v>
      </c>
      <c r="AB110" s="10">
        <v>4021076.43756</v>
      </c>
      <c r="AC110" s="10">
        <v>8526168.7834300008</v>
      </c>
      <c r="AD110" s="10"/>
      <c r="AE110" s="10">
        <v>9948948.0006700009</v>
      </c>
      <c r="AF110" s="10">
        <v>5895644.89659</v>
      </c>
      <c r="AG110" s="10">
        <v>10442961.3455</v>
      </c>
      <c r="AH110" s="10">
        <v>5480625.3707100004</v>
      </c>
      <c r="AI110" s="10">
        <v>4696386.7553700004</v>
      </c>
      <c r="AJ110" s="10"/>
      <c r="AK110" s="10">
        <v>2228237.851737</v>
      </c>
      <c r="AL110" s="10">
        <v>3611900.4809500002</v>
      </c>
      <c r="AM110" s="10">
        <v>2147957.60451</v>
      </c>
      <c r="AN110" s="10">
        <v>860967.19807000004</v>
      </c>
      <c r="AO110" s="10">
        <v>4194511.4701800002</v>
      </c>
      <c r="AP110" s="10"/>
      <c r="AQ110" s="10">
        <v>8568983.9026500005</v>
      </c>
      <c r="AR110" s="10"/>
      <c r="AS110" s="10">
        <v>3981899.422092</v>
      </c>
      <c r="AT110" s="10"/>
      <c r="AU110" s="10"/>
      <c r="AV110" s="10"/>
      <c r="AW110" s="10"/>
      <c r="AX110" s="10">
        <v>2860946.5608100002</v>
      </c>
      <c r="AY110" s="10">
        <v>1059499.71157</v>
      </c>
      <c r="AZ110" s="10"/>
      <c r="BA110" s="10">
        <v>1677.4336000000001</v>
      </c>
      <c r="BB110" s="10">
        <v>1020308.17553</v>
      </c>
      <c r="BC110" s="10">
        <v>716395.53582999995</v>
      </c>
      <c r="BD110" s="10">
        <v>0</v>
      </c>
      <c r="BE110" s="10"/>
      <c r="BF110" s="10">
        <v>297988.76199999999</v>
      </c>
      <c r="BG110" s="10">
        <v>137769.11300000001</v>
      </c>
      <c r="BH110" s="10"/>
      <c r="BI110" s="10">
        <v>0</v>
      </c>
      <c r="BJ110" s="10">
        <v>225439.65977999999</v>
      </c>
      <c r="BK110" s="10">
        <v>51421.053399999997</v>
      </c>
      <c r="BL110" s="10">
        <v>2587764.8695499999</v>
      </c>
      <c r="BM110" s="10"/>
      <c r="BN110" s="10"/>
      <c r="BO110" s="10">
        <v>274854.33642000001</v>
      </c>
      <c r="BP110" s="10">
        <v>0</v>
      </c>
      <c r="BQ110" s="10">
        <v>1649.22604</v>
      </c>
      <c r="BR110" s="10">
        <v>92688.909849999996</v>
      </c>
      <c r="BS110" s="10">
        <v>0</v>
      </c>
      <c r="BT110" s="10"/>
      <c r="BU110" s="10">
        <v>342666.21309999999</v>
      </c>
      <c r="BV110" s="10">
        <v>152402.67726</v>
      </c>
      <c r="BW110" s="10"/>
      <c r="BX110" s="10">
        <v>0</v>
      </c>
      <c r="BY110" s="10"/>
      <c r="BZ110" s="10"/>
      <c r="CA110" s="10">
        <v>0</v>
      </c>
      <c r="CB110" s="10"/>
      <c r="CC110" s="10">
        <v>61995.199760000003</v>
      </c>
      <c r="CD110" s="10"/>
      <c r="CE110" s="10"/>
      <c r="CF110" s="10"/>
      <c r="CG110" s="10"/>
      <c r="CH110" s="10"/>
      <c r="CI110" s="10"/>
      <c r="CJ110" s="10">
        <v>10900.3555</v>
      </c>
      <c r="CK110" s="10"/>
      <c r="CL110" s="10"/>
      <c r="CM110" s="10"/>
      <c r="CN110" s="10"/>
      <c r="CO110" s="10"/>
      <c r="CP110" s="10"/>
      <c r="CQ110" s="10">
        <v>0</v>
      </c>
      <c r="CR110" s="10"/>
      <c r="CS110" s="10">
        <v>0</v>
      </c>
      <c r="CT110" s="10"/>
      <c r="CU110" s="10"/>
      <c r="CV110" s="10"/>
      <c r="CW110" s="10"/>
      <c r="CX110" s="10">
        <v>0</v>
      </c>
      <c r="CY110" s="10"/>
      <c r="CZ110" s="10"/>
      <c r="DA110" s="10">
        <v>0</v>
      </c>
      <c r="DB110" s="10">
        <v>0</v>
      </c>
      <c r="DC110" s="10"/>
      <c r="DD110" s="10">
        <v>0</v>
      </c>
      <c r="DE110" s="10"/>
      <c r="DF110" s="10">
        <v>0</v>
      </c>
      <c r="DG110" s="10"/>
      <c r="DH110" s="10">
        <v>0</v>
      </c>
      <c r="DI110" s="10"/>
    </row>
    <row r="111" spans="1:113" x14ac:dyDescent="0.35">
      <c r="A111" s="8">
        <v>46079</v>
      </c>
      <c r="B111" s="9">
        <v>1376450595.18922</v>
      </c>
      <c r="C111" s="10">
        <v>23178161.523283999</v>
      </c>
      <c r="D111" s="10">
        <v>711348939.56862104</v>
      </c>
      <c r="E111" s="10">
        <v>241175084.63159999</v>
      </c>
      <c r="F111" s="10"/>
      <c r="G111" s="10"/>
      <c r="H111" s="10">
        <v>55152953.059720002</v>
      </c>
      <c r="I111" s="10">
        <v>33918838.181060001</v>
      </c>
      <c r="J111" s="10">
        <v>100585759.8338</v>
      </c>
      <c r="K111" s="10">
        <v>16754014.22552</v>
      </c>
      <c r="L111" s="10">
        <v>8087861.7226499999</v>
      </c>
      <c r="M111" s="10">
        <v>6200778.3847099999</v>
      </c>
      <c r="N111" s="10">
        <v>38685796.662335999</v>
      </c>
      <c r="O111" s="10">
        <v>9069230.7320339996</v>
      </c>
      <c r="P111" s="10"/>
      <c r="Q111" s="10">
        <v>13153336.28253</v>
      </c>
      <c r="R111" s="10">
        <v>3937385.35879</v>
      </c>
      <c r="S111" s="10"/>
      <c r="T111" s="10">
        <v>7376396.9562339997</v>
      </c>
      <c r="U111" s="10">
        <v>6261581.8305200003</v>
      </c>
      <c r="V111" s="10">
        <v>4928473.3044100003</v>
      </c>
      <c r="W111" s="10">
        <v>8658387.1285999995</v>
      </c>
      <c r="X111" s="10"/>
      <c r="Y111" s="10">
        <v>4262816.0698100002</v>
      </c>
      <c r="Z111" s="10">
        <v>4613211.2390200002</v>
      </c>
      <c r="AA111" s="10">
        <v>9263422.63277</v>
      </c>
      <c r="AB111" s="10">
        <v>2805860.85549</v>
      </c>
      <c r="AC111" s="10">
        <v>3370004.63846</v>
      </c>
      <c r="AD111" s="10"/>
      <c r="AE111" s="10">
        <v>7249575.6586199999</v>
      </c>
      <c r="AF111" s="10">
        <v>7256669.3713100003</v>
      </c>
      <c r="AG111" s="10">
        <v>6759004.3273999998</v>
      </c>
      <c r="AH111" s="10">
        <v>3278564.9026199998</v>
      </c>
      <c r="AI111" s="10">
        <v>4008848.4826699998</v>
      </c>
      <c r="AJ111" s="10"/>
      <c r="AK111" s="10">
        <v>1960783.1284169999</v>
      </c>
      <c r="AL111" s="10">
        <v>4322330.8648699997</v>
      </c>
      <c r="AM111" s="10">
        <v>2619575.26884</v>
      </c>
      <c r="AN111" s="10">
        <v>4055651.3400599998</v>
      </c>
      <c r="AO111" s="10">
        <v>4149180.0545700002</v>
      </c>
      <c r="AP111" s="10"/>
      <c r="AQ111" s="10">
        <v>6679295.3545310004</v>
      </c>
      <c r="AR111" s="10"/>
      <c r="AS111" s="10">
        <v>3107716.453001</v>
      </c>
      <c r="AT111" s="10"/>
      <c r="AU111" s="10"/>
      <c r="AV111" s="10"/>
      <c r="AW111" s="10"/>
      <c r="AX111" s="10">
        <v>2055478.1295100001</v>
      </c>
      <c r="AY111" s="10">
        <v>1673138.9717300001</v>
      </c>
      <c r="AZ111" s="10"/>
      <c r="BA111" s="10">
        <v>40384.631300000001</v>
      </c>
      <c r="BB111" s="10">
        <v>1766666.65809</v>
      </c>
      <c r="BC111" s="10">
        <v>535700.26595999999</v>
      </c>
      <c r="BD111" s="10">
        <v>0</v>
      </c>
      <c r="BE111" s="10"/>
      <c r="BF111" s="10">
        <v>185993.20019999999</v>
      </c>
      <c r="BG111" s="10">
        <v>57774.147830000002</v>
      </c>
      <c r="BH111" s="10"/>
      <c r="BI111" s="10">
        <v>0</v>
      </c>
      <c r="BJ111" s="10">
        <v>719250.29374999995</v>
      </c>
      <c r="BK111" s="10">
        <v>102559.31849999999</v>
      </c>
      <c r="BL111" s="10">
        <v>107560.30362000001</v>
      </c>
      <c r="BM111" s="10"/>
      <c r="BN111" s="10"/>
      <c r="BO111" s="10">
        <v>128566.70844</v>
      </c>
      <c r="BP111" s="10">
        <v>0</v>
      </c>
      <c r="BQ111" s="10">
        <v>5864.1787000000004</v>
      </c>
      <c r="BR111" s="10">
        <v>88924.964330000003</v>
      </c>
      <c r="BS111" s="10">
        <v>0</v>
      </c>
      <c r="BT111" s="10"/>
      <c r="BU111" s="10">
        <v>481773.24050999997</v>
      </c>
      <c r="BV111" s="10">
        <v>73079.176229999997</v>
      </c>
      <c r="BW111" s="10"/>
      <c r="BX111" s="10">
        <v>0</v>
      </c>
      <c r="BY111" s="10"/>
      <c r="BZ111" s="10"/>
      <c r="CA111" s="10">
        <v>0</v>
      </c>
      <c r="CB111" s="10"/>
      <c r="CC111" s="10">
        <v>181362.41531000001</v>
      </c>
      <c r="CD111" s="10"/>
      <c r="CE111" s="10"/>
      <c r="CF111" s="10"/>
      <c r="CG111" s="10"/>
      <c r="CH111" s="10"/>
      <c r="CI111" s="10"/>
      <c r="CJ111" s="10">
        <v>11028.556329999999</v>
      </c>
      <c r="CK111" s="10"/>
      <c r="CL111" s="10"/>
      <c r="CM111" s="10"/>
      <c r="CN111" s="10"/>
      <c r="CO111" s="10"/>
      <c r="CP111" s="10"/>
      <c r="CQ111" s="10">
        <v>0</v>
      </c>
      <c r="CR111" s="10"/>
      <c r="CS111" s="10">
        <v>0</v>
      </c>
      <c r="CT111" s="10"/>
      <c r="CU111" s="10"/>
      <c r="CV111" s="10"/>
      <c r="CW111" s="10"/>
      <c r="CX111" s="10">
        <v>0</v>
      </c>
      <c r="CY111" s="10"/>
      <c r="CZ111" s="10"/>
      <c r="DA111" s="10">
        <v>0</v>
      </c>
      <c r="DB111" s="10">
        <v>0</v>
      </c>
      <c r="DC111" s="10"/>
      <c r="DD111" s="10">
        <v>0</v>
      </c>
      <c r="DE111" s="10"/>
      <c r="DF111" s="10">
        <v>0</v>
      </c>
      <c r="DG111" s="10"/>
      <c r="DH111" s="10">
        <v>0</v>
      </c>
      <c r="DI111" s="10"/>
    </row>
    <row r="112" spans="1:113" x14ac:dyDescent="0.35">
      <c r="A112" s="8">
        <v>46078</v>
      </c>
      <c r="B112" s="9">
        <v>1574240137.1754</v>
      </c>
      <c r="C112" s="10">
        <v>11211837.757843999</v>
      </c>
      <c r="D112" s="10">
        <v>932225809.92071795</v>
      </c>
      <c r="E112" s="10">
        <v>248042381.6205</v>
      </c>
      <c r="F112" s="10"/>
      <c r="G112" s="10"/>
      <c r="H112" s="10">
        <v>68896342.225500003</v>
      </c>
      <c r="I112" s="10">
        <v>18617004.651549999</v>
      </c>
      <c r="J112" s="10">
        <v>70393550.504429996</v>
      </c>
      <c r="K112" s="10">
        <v>14374913.713099999</v>
      </c>
      <c r="L112" s="10">
        <v>9577636.2922799997</v>
      </c>
      <c r="M112" s="10">
        <v>6067712.8168299999</v>
      </c>
      <c r="N112" s="10">
        <v>36363082.938156001</v>
      </c>
      <c r="O112" s="10">
        <v>25612185.532042</v>
      </c>
      <c r="P112" s="10"/>
      <c r="Q112" s="10">
        <v>4627754.7537900005</v>
      </c>
      <c r="R112" s="10">
        <v>6967950.1326000001</v>
      </c>
      <c r="S112" s="10"/>
      <c r="T112" s="10">
        <v>9595271.1491669994</v>
      </c>
      <c r="U112" s="10">
        <v>7794157.1659500003</v>
      </c>
      <c r="V112" s="10">
        <v>2915381.94851</v>
      </c>
      <c r="W112" s="10">
        <v>13260399.734650001</v>
      </c>
      <c r="X112" s="10"/>
      <c r="Y112" s="10">
        <v>6990680.5089500099</v>
      </c>
      <c r="Z112" s="10">
        <v>5887766.8099400001</v>
      </c>
      <c r="AA112" s="10">
        <v>10149950.55755</v>
      </c>
      <c r="AB112" s="10">
        <v>2964749.8812699998</v>
      </c>
      <c r="AC112" s="10">
        <v>3871820.0142299999</v>
      </c>
      <c r="AD112" s="10"/>
      <c r="AE112" s="10">
        <v>6800982.1330399998</v>
      </c>
      <c r="AF112" s="10">
        <v>5652429.3639099998</v>
      </c>
      <c r="AG112" s="10">
        <v>9909135.7707000002</v>
      </c>
      <c r="AH112" s="10">
        <v>3292300.63301</v>
      </c>
      <c r="AI112" s="10">
        <v>2797707.77299</v>
      </c>
      <c r="AJ112" s="10"/>
      <c r="AK112" s="10">
        <v>475441.07832899998</v>
      </c>
      <c r="AL112" s="10">
        <v>2745393.5627899999</v>
      </c>
      <c r="AM112" s="10">
        <v>1231476.4922</v>
      </c>
      <c r="AN112" s="10">
        <v>2085856.20964</v>
      </c>
      <c r="AO112" s="10">
        <v>3621464.6500300001</v>
      </c>
      <c r="AP112" s="10"/>
      <c r="AQ112" s="10">
        <v>4923734.6330840001</v>
      </c>
      <c r="AR112" s="10"/>
      <c r="AS112" s="10">
        <v>3133733.7082179999</v>
      </c>
      <c r="AT112" s="10"/>
      <c r="AU112" s="10"/>
      <c r="AV112" s="10"/>
      <c r="AW112" s="10"/>
      <c r="AX112" s="10">
        <v>3291522.7199499998</v>
      </c>
      <c r="AY112" s="10">
        <v>1269665.44985</v>
      </c>
      <c r="AZ112" s="10"/>
      <c r="BA112" s="10">
        <v>96552.217399999994</v>
      </c>
      <c r="BB112" s="10">
        <v>3029650.6014200002</v>
      </c>
      <c r="BC112" s="10">
        <v>1748171.52529</v>
      </c>
      <c r="BD112" s="10">
        <v>0</v>
      </c>
      <c r="BE112" s="10"/>
      <c r="BF112" s="10">
        <v>299839.1422</v>
      </c>
      <c r="BG112" s="10">
        <v>28328.093850000001</v>
      </c>
      <c r="BH112" s="10"/>
      <c r="BI112" s="10">
        <v>0</v>
      </c>
      <c r="BJ112" s="10">
        <v>278659.44351000001</v>
      </c>
      <c r="BK112" s="10">
        <v>12828.2989</v>
      </c>
      <c r="BL112" s="10">
        <v>57241.785060000002</v>
      </c>
      <c r="BM112" s="10"/>
      <c r="BN112" s="10"/>
      <c r="BO112" s="10">
        <v>140464.01199999999</v>
      </c>
      <c r="BP112" s="10">
        <v>0</v>
      </c>
      <c r="BQ112" s="10">
        <v>26780.780200000001</v>
      </c>
      <c r="BR112" s="10">
        <v>302228.23975000001</v>
      </c>
      <c r="BS112" s="10">
        <v>0</v>
      </c>
      <c r="BT112" s="10"/>
      <c r="BU112" s="10">
        <v>286036.03541999997</v>
      </c>
      <c r="BV112" s="10">
        <v>63269.436249999999</v>
      </c>
      <c r="BW112" s="10"/>
      <c r="BX112" s="10">
        <v>0</v>
      </c>
      <c r="BY112" s="10"/>
      <c r="BZ112" s="10"/>
      <c r="CA112" s="10">
        <v>0</v>
      </c>
      <c r="CB112" s="10"/>
      <c r="CC112" s="10">
        <v>229782.27239</v>
      </c>
      <c r="CD112" s="10"/>
      <c r="CE112" s="10"/>
      <c r="CF112" s="10"/>
      <c r="CG112" s="10"/>
      <c r="CH112" s="10"/>
      <c r="CI112" s="10"/>
      <c r="CJ112" s="10">
        <v>1120.4844599999999</v>
      </c>
      <c r="CK112" s="10"/>
      <c r="CL112" s="10"/>
      <c r="CM112" s="10"/>
      <c r="CN112" s="10"/>
      <c r="CO112" s="10"/>
      <c r="CP112" s="10"/>
      <c r="CQ112" s="10">
        <v>0</v>
      </c>
      <c r="CR112" s="10"/>
      <c r="CS112" s="10">
        <v>0</v>
      </c>
      <c r="CT112" s="10"/>
      <c r="CU112" s="10"/>
      <c r="CV112" s="10"/>
      <c r="CW112" s="10"/>
      <c r="CX112" s="10">
        <v>0</v>
      </c>
      <c r="CY112" s="10"/>
      <c r="CZ112" s="10"/>
      <c r="DA112" s="10">
        <v>0</v>
      </c>
      <c r="DB112" s="10">
        <v>0</v>
      </c>
      <c r="DC112" s="10"/>
      <c r="DD112" s="10">
        <v>0</v>
      </c>
      <c r="DE112" s="10"/>
      <c r="DF112" s="10">
        <v>0</v>
      </c>
      <c r="DG112" s="10"/>
      <c r="DH112" s="10">
        <v>0</v>
      </c>
      <c r="DI112" s="10"/>
    </row>
    <row r="113" spans="1:113" x14ac:dyDescent="0.35">
      <c r="A113" s="8">
        <v>46077</v>
      </c>
      <c r="B113" s="9">
        <v>1273983435.98299</v>
      </c>
      <c r="C113" s="10">
        <v>23858930.554915</v>
      </c>
      <c r="D113" s="10">
        <v>706635238.19186902</v>
      </c>
      <c r="E113" s="10">
        <v>206012574.88249999</v>
      </c>
      <c r="F113" s="10"/>
      <c r="G113" s="10"/>
      <c r="H113" s="10">
        <v>100493967.16203</v>
      </c>
      <c r="I113" s="10">
        <v>10170144.1863</v>
      </c>
      <c r="J113" s="10">
        <v>43425101.335620001</v>
      </c>
      <c r="K113" s="10">
        <v>34698656.335170001</v>
      </c>
      <c r="L113" s="10">
        <v>8749700.3998799995</v>
      </c>
      <c r="M113" s="10">
        <v>9052203.0232500006</v>
      </c>
      <c r="N113" s="10">
        <v>2981547.1428999999</v>
      </c>
      <c r="O113" s="10">
        <v>27726555.702341001</v>
      </c>
      <c r="P113" s="10"/>
      <c r="Q113" s="10">
        <v>7289210.1054499997</v>
      </c>
      <c r="R113" s="10">
        <v>7603327.6092100004</v>
      </c>
      <c r="S113" s="10"/>
      <c r="T113" s="10">
        <v>5219942.8538699998</v>
      </c>
      <c r="U113" s="10">
        <v>5522235.1913599996</v>
      </c>
      <c r="V113" s="10">
        <v>2181058.6519800001</v>
      </c>
      <c r="W113" s="10">
        <v>7393654.1169100003</v>
      </c>
      <c r="X113" s="10"/>
      <c r="Y113" s="10">
        <v>4996474.3310599998</v>
      </c>
      <c r="Z113" s="10">
        <v>11737627.633020001</v>
      </c>
      <c r="AA113" s="10">
        <v>8979727.4548899997</v>
      </c>
      <c r="AB113" s="10">
        <v>1666493.6320700001</v>
      </c>
      <c r="AC113" s="10">
        <v>3765667.3422400001</v>
      </c>
      <c r="AD113" s="10"/>
      <c r="AE113" s="10">
        <v>3693994.1903200001</v>
      </c>
      <c r="AF113" s="10">
        <v>2811167.48159</v>
      </c>
      <c r="AG113" s="10">
        <v>3199726.6442999998</v>
      </c>
      <c r="AH113" s="10">
        <v>1926121.0051</v>
      </c>
      <c r="AI113" s="10">
        <v>2902469.9888900002</v>
      </c>
      <c r="AJ113" s="10"/>
      <c r="AK113" s="10">
        <v>936594.94916099997</v>
      </c>
      <c r="AL113" s="10">
        <v>2255065.96924</v>
      </c>
      <c r="AM113" s="10">
        <v>985594.93640999997</v>
      </c>
      <c r="AN113" s="10">
        <v>1047379.05164</v>
      </c>
      <c r="AO113" s="10">
        <v>852676.47279000003</v>
      </c>
      <c r="AP113" s="10"/>
      <c r="AQ113" s="10">
        <v>2079404.6513759999</v>
      </c>
      <c r="AR113" s="10"/>
      <c r="AS113" s="10">
        <v>1080868.130935</v>
      </c>
      <c r="AT113" s="10"/>
      <c r="AU113" s="10"/>
      <c r="AV113" s="10"/>
      <c r="AW113" s="10"/>
      <c r="AX113" s="10">
        <v>1922466.69866</v>
      </c>
      <c r="AY113" s="10">
        <v>2107364.83256</v>
      </c>
      <c r="AZ113" s="10"/>
      <c r="BA113" s="10">
        <v>18603.335999999999</v>
      </c>
      <c r="BB113" s="10">
        <v>1280746.8836999999</v>
      </c>
      <c r="BC113" s="10">
        <v>137668.93719999999</v>
      </c>
      <c r="BD113" s="10">
        <v>0</v>
      </c>
      <c r="BE113" s="10"/>
      <c r="BF113" s="10">
        <v>289566.4094</v>
      </c>
      <c r="BG113" s="10">
        <v>39848.353499999997</v>
      </c>
      <c r="BH113" s="10"/>
      <c r="BI113" s="10">
        <v>0</v>
      </c>
      <c r="BJ113" s="10">
        <v>788069.33898</v>
      </c>
      <c r="BK113" s="10">
        <v>87529.6734</v>
      </c>
      <c r="BL113" s="10">
        <v>508665.40575999999</v>
      </c>
      <c r="BM113" s="10"/>
      <c r="BN113" s="10"/>
      <c r="BO113" s="10">
        <v>330407.59197000001</v>
      </c>
      <c r="BP113" s="10">
        <v>0</v>
      </c>
      <c r="BQ113" s="10">
        <v>2721.0820800000001</v>
      </c>
      <c r="BR113" s="10">
        <v>290128.72622999997</v>
      </c>
      <c r="BS113" s="10">
        <v>0</v>
      </c>
      <c r="BT113" s="10"/>
      <c r="BU113" s="10">
        <v>900293.30221999995</v>
      </c>
      <c r="BV113" s="10">
        <v>147027.48240000001</v>
      </c>
      <c r="BW113" s="10"/>
      <c r="BX113" s="10">
        <v>0</v>
      </c>
      <c r="BY113" s="10"/>
      <c r="BZ113" s="10"/>
      <c r="CA113" s="10">
        <v>0</v>
      </c>
      <c r="CB113" s="10"/>
      <c r="CC113" s="10">
        <v>1167598.6340699999</v>
      </c>
      <c r="CD113" s="10"/>
      <c r="CE113" s="10"/>
      <c r="CF113" s="10"/>
      <c r="CG113" s="10"/>
      <c r="CH113" s="10"/>
      <c r="CI113" s="10"/>
      <c r="CJ113" s="10">
        <v>33627.984270000001</v>
      </c>
      <c r="CK113" s="10"/>
      <c r="CL113" s="10"/>
      <c r="CM113" s="10"/>
      <c r="CN113" s="10"/>
      <c r="CO113" s="10"/>
      <c r="CP113" s="10"/>
      <c r="CQ113" s="10"/>
      <c r="CR113" s="10"/>
      <c r="CS113" s="10">
        <v>0</v>
      </c>
      <c r="CT113" s="10"/>
      <c r="CU113" s="10"/>
      <c r="CV113" s="10"/>
      <c r="CW113" s="10"/>
      <c r="CX113" s="10">
        <v>0</v>
      </c>
      <c r="CY113" s="10"/>
      <c r="CZ113" s="10"/>
      <c r="DA113" s="10">
        <v>0</v>
      </c>
      <c r="DB113" s="10">
        <v>0</v>
      </c>
      <c r="DC113" s="10"/>
      <c r="DD113" s="10">
        <v>0</v>
      </c>
      <c r="DE113" s="10"/>
      <c r="DF113" s="10">
        <v>0</v>
      </c>
      <c r="DG113" s="10"/>
      <c r="DH113" s="10">
        <v>0</v>
      </c>
      <c r="DI113" s="10"/>
    </row>
    <row r="114" spans="1:113" x14ac:dyDescent="0.35">
      <c r="A114" s="8">
        <v>46076</v>
      </c>
      <c r="B114" s="9">
        <v>1038699692.49089</v>
      </c>
      <c r="C114" s="10">
        <v>14721838.035137</v>
      </c>
      <c r="D114" s="10">
        <v>491220515.58086997</v>
      </c>
      <c r="E114" s="10">
        <v>280640423.9903</v>
      </c>
      <c r="F114" s="10"/>
      <c r="G114" s="10"/>
      <c r="H114" s="10">
        <v>78949728.157409996</v>
      </c>
      <c r="I114" s="10">
        <v>6819751.7229699995</v>
      </c>
      <c r="J114" s="10">
        <v>20022603.704550002</v>
      </c>
      <c r="K114" s="10">
        <v>16616306.851989999</v>
      </c>
      <c r="L114" s="10">
        <v>12492285.301000001</v>
      </c>
      <c r="M114" s="10">
        <v>4287716.8054</v>
      </c>
      <c r="N114" s="10">
        <v>2210830.8086910001</v>
      </c>
      <c r="O114" s="10">
        <v>8505295.1425139997</v>
      </c>
      <c r="P114" s="10"/>
      <c r="Q114" s="10">
        <v>7463236.9826499997</v>
      </c>
      <c r="R114" s="10">
        <v>10211624.75114</v>
      </c>
      <c r="S114" s="10"/>
      <c r="T114" s="10">
        <v>6578902.666681</v>
      </c>
      <c r="U114" s="10">
        <v>6539582.3368899999</v>
      </c>
      <c r="V114" s="10">
        <v>1638716.60858</v>
      </c>
      <c r="W114" s="10">
        <v>6495773.4588200003</v>
      </c>
      <c r="X114" s="10"/>
      <c r="Y114" s="10">
        <v>7518323.5400900003</v>
      </c>
      <c r="Z114" s="10">
        <v>2513818.7591900001</v>
      </c>
      <c r="AA114" s="10">
        <v>5454323.17655</v>
      </c>
      <c r="AB114" s="10">
        <v>1910695.0652099999</v>
      </c>
      <c r="AC114" s="10">
        <v>3689688.6701400001</v>
      </c>
      <c r="AD114" s="10"/>
      <c r="AE114" s="10">
        <v>6200984.1254399996</v>
      </c>
      <c r="AF114" s="10">
        <v>5967781.7429999998</v>
      </c>
      <c r="AG114" s="10">
        <v>2733266.6312000002</v>
      </c>
      <c r="AH114" s="10">
        <v>4274192.5912899999</v>
      </c>
      <c r="AI114" s="10">
        <v>4846242.60231</v>
      </c>
      <c r="AJ114" s="10"/>
      <c r="AK114" s="10">
        <v>963558.33731800003</v>
      </c>
      <c r="AL114" s="10">
        <v>552601.51306000003</v>
      </c>
      <c r="AM114" s="10">
        <v>460766.25109999999</v>
      </c>
      <c r="AN114" s="10">
        <v>560408.84022000001</v>
      </c>
      <c r="AO114" s="10">
        <v>2308260.74156</v>
      </c>
      <c r="AP114" s="10"/>
      <c r="AQ114" s="10">
        <v>2068287.7257729999</v>
      </c>
      <c r="AR114" s="10"/>
      <c r="AS114" s="10">
        <v>2049040.426095</v>
      </c>
      <c r="AT114" s="10"/>
      <c r="AU114" s="10"/>
      <c r="AV114" s="10"/>
      <c r="AW114" s="10"/>
      <c r="AX114" s="10">
        <v>2865746.2863099999</v>
      </c>
      <c r="AY114" s="10">
        <v>272560.98976999999</v>
      </c>
      <c r="AZ114" s="10"/>
      <c r="BA114" s="10">
        <v>58482.414700000001</v>
      </c>
      <c r="BB114" s="10">
        <v>2950114.36051</v>
      </c>
      <c r="BC114" s="10">
        <v>443242.74891000002</v>
      </c>
      <c r="BD114" s="10">
        <v>0</v>
      </c>
      <c r="BE114" s="10"/>
      <c r="BF114" s="10">
        <v>36807.530400000003</v>
      </c>
      <c r="BG114" s="10">
        <v>93955.428440000003</v>
      </c>
      <c r="BH114" s="10"/>
      <c r="BI114" s="10">
        <v>0</v>
      </c>
      <c r="BJ114" s="10">
        <v>796485.14265000005</v>
      </c>
      <c r="BK114" s="10">
        <v>455098.51069999998</v>
      </c>
      <c r="BL114" s="10">
        <v>241315.25748</v>
      </c>
      <c r="BM114" s="10"/>
      <c r="BN114" s="10"/>
      <c r="BO114" s="10">
        <v>173067.63514</v>
      </c>
      <c r="BP114" s="10">
        <v>0</v>
      </c>
      <c r="BQ114" s="10">
        <v>31379.804370000002</v>
      </c>
      <c r="BR114" s="10">
        <v>105595.78786</v>
      </c>
      <c r="BS114" s="10">
        <v>0</v>
      </c>
      <c r="BT114" s="10"/>
      <c r="BU114" s="10">
        <v>245307.67602000001</v>
      </c>
      <c r="BV114" s="10">
        <v>79147.374320000003</v>
      </c>
      <c r="BW114" s="10"/>
      <c r="BX114" s="10">
        <v>0</v>
      </c>
      <c r="BY114" s="10"/>
      <c r="BZ114" s="10"/>
      <c r="CA114" s="10">
        <v>0</v>
      </c>
      <c r="CB114" s="10"/>
      <c r="CC114" s="10">
        <v>338231.48629999999</v>
      </c>
      <c r="CD114" s="10"/>
      <c r="CE114" s="10"/>
      <c r="CF114" s="10"/>
      <c r="CG114" s="10"/>
      <c r="CH114" s="10"/>
      <c r="CI114" s="10"/>
      <c r="CJ114" s="10">
        <v>25780.41187</v>
      </c>
      <c r="CK114" s="10"/>
      <c r="CL114" s="10"/>
      <c r="CM114" s="10"/>
      <c r="CN114" s="10"/>
      <c r="CO114" s="10"/>
      <c r="CP114" s="10"/>
      <c r="CQ114" s="10"/>
      <c r="CR114" s="10"/>
      <c r="CS114" s="10">
        <v>0</v>
      </c>
      <c r="CT114" s="10"/>
      <c r="CU114" s="10"/>
      <c r="CV114" s="10"/>
      <c r="CW114" s="10"/>
      <c r="CX114" s="10">
        <v>0</v>
      </c>
      <c r="CY114" s="10"/>
      <c r="CZ114" s="10"/>
      <c r="DA114" s="10">
        <v>0</v>
      </c>
      <c r="DB114" s="10">
        <v>0</v>
      </c>
      <c r="DC114" s="10"/>
      <c r="DD114" s="10">
        <v>0</v>
      </c>
      <c r="DE114" s="10"/>
      <c r="DF114" s="10">
        <v>0</v>
      </c>
      <c r="DG114" s="10"/>
      <c r="DH114" s="10">
        <v>0</v>
      </c>
      <c r="DI114" s="10"/>
    </row>
    <row r="115" spans="1:113" x14ac:dyDescent="0.35">
      <c r="A115" s="8">
        <v>46075</v>
      </c>
      <c r="B115" s="9">
        <v>251359085.36086899</v>
      </c>
      <c r="C115" s="10">
        <v>4644981.6072310004</v>
      </c>
      <c r="D115" s="10">
        <v>118426203.99832</v>
      </c>
      <c r="E115" s="10">
        <v>55320806.426799998</v>
      </c>
      <c r="F115" s="10"/>
      <c r="G115" s="10"/>
      <c r="H115" s="10">
        <v>44067782.584969997</v>
      </c>
      <c r="I115" s="10">
        <v>95761.237389999995</v>
      </c>
      <c r="J115" s="10">
        <v>2845564.0258800001</v>
      </c>
      <c r="K115" s="10">
        <v>129849.20892</v>
      </c>
      <c r="L115" s="10">
        <v>1408158.73049</v>
      </c>
      <c r="M115" s="10">
        <v>154530.08316000001</v>
      </c>
      <c r="N115" s="10">
        <v>315785.624985</v>
      </c>
      <c r="O115" s="10">
        <v>1232563.3005669999</v>
      </c>
      <c r="P115" s="10"/>
      <c r="Q115" s="10">
        <v>1597497.0790899999</v>
      </c>
      <c r="R115" s="10">
        <v>2366377.6023900001</v>
      </c>
      <c r="S115" s="10"/>
      <c r="T115" s="10">
        <v>498412.05267599999</v>
      </c>
      <c r="U115" s="10">
        <v>913908.16631</v>
      </c>
      <c r="V115" s="10">
        <v>1182817.46395</v>
      </c>
      <c r="W115" s="10">
        <v>820727.48265000002</v>
      </c>
      <c r="X115" s="10"/>
      <c r="Y115" s="10">
        <v>1237468.77788</v>
      </c>
      <c r="Z115" s="10">
        <v>226634.82686999999</v>
      </c>
      <c r="AA115" s="10">
        <v>298779.11255999998</v>
      </c>
      <c r="AB115" s="10">
        <v>84405.583849999995</v>
      </c>
      <c r="AC115" s="10">
        <v>594255.60360999999</v>
      </c>
      <c r="AD115" s="10"/>
      <c r="AE115" s="10">
        <v>5768999.3638399998</v>
      </c>
      <c r="AF115" s="10">
        <v>268833.28652000002</v>
      </c>
      <c r="AG115" s="10">
        <v>2298335.4824000001</v>
      </c>
      <c r="AH115" s="10">
        <v>148626.85310000001</v>
      </c>
      <c r="AI115" s="10">
        <v>512523.39030999999</v>
      </c>
      <c r="AJ115" s="10"/>
      <c r="AK115" s="10">
        <v>1145156.1147380001</v>
      </c>
      <c r="AL115" s="10">
        <v>6216.28856</v>
      </c>
      <c r="AM115" s="10">
        <v>382849.83681000001</v>
      </c>
      <c r="AN115" s="10">
        <v>39724.732380000001</v>
      </c>
      <c r="AO115" s="10">
        <v>48230.394529999998</v>
      </c>
      <c r="AP115" s="10"/>
      <c r="AQ115" s="10">
        <v>106417.269567</v>
      </c>
      <c r="AR115" s="10"/>
      <c r="AS115" s="10">
        <v>177397.59262499999</v>
      </c>
      <c r="AT115" s="10"/>
      <c r="AU115" s="10"/>
      <c r="AV115" s="10"/>
      <c r="AW115" s="10"/>
      <c r="AX115" s="10">
        <v>2164.1038699999999</v>
      </c>
      <c r="AY115" s="10">
        <v>18378.63723</v>
      </c>
      <c r="AZ115" s="10"/>
      <c r="BA115" s="10">
        <v>226233.3523</v>
      </c>
      <c r="BB115" s="10">
        <v>699103.65668999997</v>
      </c>
      <c r="BC115" s="10">
        <v>669942.00078</v>
      </c>
      <c r="BD115" s="10">
        <v>0</v>
      </c>
      <c r="BE115" s="10"/>
      <c r="BF115" s="10">
        <v>6485.7759999999998</v>
      </c>
      <c r="BG115" s="10">
        <v>4779.0983699999997</v>
      </c>
      <c r="BH115" s="10"/>
      <c r="BI115" s="10">
        <v>0</v>
      </c>
      <c r="BJ115" s="10">
        <v>4258.4875000000002</v>
      </c>
      <c r="BK115" s="10">
        <v>232675.90820000001</v>
      </c>
      <c r="BL115" s="10">
        <v>34448.40423</v>
      </c>
      <c r="BM115" s="10"/>
      <c r="BN115" s="10"/>
      <c r="BO115" s="10">
        <v>18259.719509999999</v>
      </c>
      <c r="BP115" s="10">
        <v>0</v>
      </c>
      <c r="BQ115" s="10">
        <v>739.97159999999997</v>
      </c>
      <c r="BR115" s="10">
        <v>28228.85901</v>
      </c>
      <c r="BS115" s="10">
        <v>0</v>
      </c>
      <c r="BT115" s="10"/>
      <c r="BU115" s="10">
        <v>4996.4002399999999</v>
      </c>
      <c r="BV115" s="10">
        <v>22296.916850000001</v>
      </c>
      <c r="BW115" s="10"/>
      <c r="BX115" s="10">
        <v>0</v>
      </c>
      <c r="BY115" s="10"/>
      <c r="BZ115" s="10"/>
      <c r="CA115" s="10">
        <v>0</v>
      </c>
      <c r="CB115" s="10"/>
      <c r="CC115" s="10">
        <v>217.49459999999999</v>
      </c>
      <c r="CD115" s="10"/>
      <c r="CE115" s="10"/>
      <c r="CF115" s="10"/>
      <c r="CG115" s="10"/>
      <c r="CH115" s="10"/>
      <c r="CI115" s="10"/>
      <c r="CJ115" s="10">
        <v>19295.38796</v>
      </c>
      <c r="CK115" s="10"/>
      <c r="CL115" s="10"/>
      <c r="CM115" s="10"/>
      <c r="CN115" s="10"/>
      <c r="CO115" s="10"/>
      <c r="CP115" s="10"/>
      <c r="CQ115" s="10"/>
      <c r="CR115" s="10"/>
      <c r="CS115" s="10">
        <v>0</v>
      </c>
      <c r="CT115" s="10"/>
      <c r="CU115" s="10"/>
      <c r="CV115" s="10"/>
      <c r="CW115" s="10"/>
      <c r="CX115" s="10">
        <v>0</v>
      </c>
      <c r="CY115" s="10"/>
      <c r="CZ115" s="10"/>
      <c r="DA115" s="10">
        <v>0</v>
      </c>
      <c r="DB115" s="10">
        <v>0</v>
      </c>
      <c r="DC115" s="10"/>
      <c r="DD115" s="10">
        <v>0</v>
      </c>
      <c r="DE115" s="10"/>
      <c r="DF115" s="10">
        <v>0</v>
      </c>
      <c r="DG115" s="10"/>
      <c r="DH115" s="10">
        <v>0</v>
      </c>
      <c r="DI115" s="10"/>
    </row>
    <row r="116" spans="1:113" x14ac:dyDescent="0.35">
      <c r="A116" s="8">
        <v>46074</v>
      </c>
      <c r="B116" s="9">
        <v>145767121.70217499</v>
      </c>
      <c r="C116" s="10">
        <v>672233.67144299997</v>
      </c>
      <c r="D116" s="10">
        <v>19885554.658380002</v>
      </c>
      <c r="E116" s="10">
        <v>80137642.170200005</v>
      </c>
      <c r="F116" s="10"/>
      <c r="G116" s="10"/>
      <c r="H116" s="10">
        <v>21928553.62218</v>
      </c>
      <c r="I116" s="10">
        <v>394231.02129</v>
      </c>
      <c r="J116" s="10">
        <v>2291560.0981700001</v>
      </c>
      <c r="K116" s="10">
        <v>508506.95565999998</v>
      </c>
      <c r="L116" s="10">
        <v>1486191.03764</v>
      </c>
      <c r="M116" s="10">
        <v>408293.97642000002</v>
      </c>
      <c r="N116" s="10">
        <v>647013.98863100004</v>
      </c>
      <c r="O116" s="10">
        <v>784500.62335699995</v>
      </c>
      <c r="P116" s="10"/>
      <c r="Q116" s="10">
        <v>1890686.16239</v>
      </c>
      <c r="R116" s="10">
        <v>454019.51399000001</v>
      </c>
      <c r="S116" s="10"/>
      <c r="T116" s="10">
        <v>1000926.901388</v>
      </c>
      <c r="U116" s="10">
        <v>1613975.1677999999</v>
      </c>
      <c r="V116" s="10">
        <v>257365.82715</v>
      </c>
      <c r="W116" s="10">
        <v>944820.62468999997</v>
      </c>
      <c r="X116" s="10"/>
      <c r="Y116" s="10">
        <v>351446.24254000001</v>
      </c>
      <c r="Z116" s="10">
        <v>133850.90843000001</v>
      </c>
      <c r="AA116" s="10">
        <v>95775.197029999996</v>
      </c>
      <c r="AB116" s="10">
        <v>250102.5496</v>
      </c>
      <c r="AC116" s="10">
        <v>312463.11313000001</v>
      </c>
      <c r="AD116" s="10"/>
      <c r="AE116" s="10">
        <v>2849311.1597699998</v>
      </c>
      <c r="AF116" s="10">
        <v>494253.12093999999</v>
      </c>
      <c r="AG116" s="10">
        <v>2021275.8474999999</v>
      </c>
      <c r="AH116" s="10">
        <v>264408.01712999999</v>
      </c>
      <c r="AI116" s="10">
        <v>276193.64999000001</v>
      </c>
      <c r="AJ116" s="10"/>
      <c r="AK116" s="10">
        <v>489514.31166299997</v>
      </c>
      <c r="AL116" s="10">
        <v>155570.67850000001</v>
      </c>
      <c r="AM116" s="10">
        <v>163365.91175</v>
      </c>
      <c r="AN116" s="10">
        <v>59157.979099999997</v>
      </c>
      <c r="AO116" s="10">
        <v>249962.61047000001</v>
      </c>
      <c r="AP116" s="10"/>
      <c r="AQ116" s="10">
        <v>41591.420036000003</v>
      </c>
      <c r="AR116" s="10"/>
      <c r="AS116" s="10">
        <v>1142336.0185370001</v>
      </c>
      <c r="AT116" s="10"/>
      <c r="AU116" s="10"/>
      <c r="AV116" s="10"/>
      <c r="AW116" s="10"/>
      <c r="AX116" s="10">
        <v>151437.41020000001</v>
      </c>
      <c r="AY116" s="10">
        <v>17602.820500000002</v>
      </c>
      <c r="AZ116" s="10"/>
      <c r="BA116" s="10">
        <v>2153.3676</v>
      </c>
      <c r="BB116" s="10">
        <v>205950.19287</v>
      </c>
      <c r="BC116" s="10">
        <v>134671.60876</v>
      </c>
      <c r="BD116" s="10">
        <v>0</v>
      </c>
      <c r="BE116" s="10"/>
      <c r="BF116" s="10">
        <v>1429.2697000000001</v>
      </c>
      <c r="BG116" s="10">
        <v>21221.862120000002</v>
      </c>
      <c r="BH116" s="10"/>
      <c r="BI116" s="10">
        <v>0</v>
      </c>
      <c r="BJ116" s="10">
        <v>22582.26511</v>
      </c>
      <c r="BK116" s="10">
        <v>64196.086000000003</v>
      </c>
      <c r="BL116" s="10">
        <v>271027.08306999999</v>
      </c>
      <c r="BM116" s="10"/>
      <c r="BN116" s="10"/>
      <c r="BO116" s="10">
        <v>75260.025450000001</v>
      </c>
      <c r="BP116" s="10">
        <v>0</v>
      </c>
      <c r="BQ116" s="10">
        <v>36797.505369999999</v>
      </c>
      <c r="BR116" s="10">
        <v>81173.662890000007</v>
      </c>
      <c r="BS116" s="10">
        <v>0</v>
      </c>
      <c r="BT116" s="10"/>
      <c r="BU116" s="10">
        <v>8889.1542599999993</v>
      </c>
      <c r="BV116" s="10">
        <v>2650.4904999999999</v>
      </c>
      <c r="BW116" s="10"/>
      <c r="BX116" s="10">
        <v>0</v>
      </c>
      <c r="BY116" s="10"/>
      <c r="BZ116" s="10"/>
      <c r="CA116" s="10">
        <v>0</v>
      </c>
      <c r="CB116" s="10"/>
      <c r="CC116" s="10">
        <v>12130.88018</v>
      </c>
      <c r="CD116" s="10"/>
      <c r="CE116" s="10"/>
      <c r="CF116" s="10"/>
      <c r="CG116" s="10"/>
      <c r="CH116" s="10"/>
      <c r="CI116" s="10"/>
      <c r="CJ116" s="10">
        <v>1293.2607</v>
      </c>
      <c r="CK116" s="10"/>
      <c r="CL116" s="10"/>
      <c r="CM116" s="10"/>
      <c r="CN116" s="10"/>
      <c r="CO116" s="10"/>
      <c r="CP116" s="10"/>
      <c r="CQ116" s="10"/>
      <c r="CR116" s="10"/>
      <c r="CS116" s="10">
        <v>0</v>
      </c>
      <c r="CT116" s="10"/>
      <c r="CU116" s="10"/>
      <c r="CV116" s="10"/>
      <c r="CW116" s="10"/>
      <c r="CX116" s="10">
        <v>0</v>
      </c>
      <c r="CY116" s="10"/>
      <c r="CZ116" s="10"/>
      <c r="DA116" s="10">
        <v>0</v>
      </c>
      <c r="DB116" s="10">
        <v>0</v>
      </c>
      <c r="DC116" s="10"/>
      <c r="DD116" s="10">
        <v>0</v>
      </c>
      <c r="DE116" s="10"/>
      <c r="DF116" s="10">
        <v>0</v>
      </c>
      <c r="DG116" s="10"/>
      <c r="DH116" s="10">
        <v>0</v>
      </c>
      <c r="DI116" s="10"/>
    </row>
    <row r="117" spans="1:113" x14ac:dyDescent="0.35">
      <c r="A117" s="8">
        <v>46073</v>
      </c>
      <c r="B117" s="9">
        <v>1268619393.24928</v>
      </c>
      <c r="C117" s="10">
        <v>16166885.125073999</v>
      </c>
      <c r="D117" s="10">
        <v>506751401.89877999</v>
      </c>
      <c r="E117" s="10">
        <v>451965170.87360001</v>
      </c>
      <c r="F117" s="10"/>
      <c r="G117" s="10"/>
      <c r="H117" s="10">
        <v>74689495.283889994</v>
      </c>
      <c r="I117" s="10">
        <v>19520627.074379999</v>
      </c>
      <c r="J117" s="10">
        <v>27660902.897629999</v>
      </c>
      <c r="K117" s="10">
        <v>16591528.53951</v>
      </c>
      <c r="L117" s="10">
        <v>14476154.12066</v>
      </c>
      <c r="M117" s="10">
        <v>5801242.5941899996</v>
      </c>
      <c r="N117" s="10">
        <v>2413110.7300439999</v>
      </c>
      <c r="O117" s="10">
        <v>8214229.9325759998</v>
      </c>
      <c r="P117" s="10"/>
      <c r="Q117" s="10">
        <v>12478662.911809999</v>
      </c>
      <c r="R117" s="10">
        <v>4274218.7413499998</v>
      </c>
      <c r="S117" s="10"/>
      <c r="T117" s="10">
        <v>6381644.5346729998</v>
      </c>
      <c r="U117" s="10">
        <v>7010240.4571900005</v>
      </c>
      <c r="V117" s="10">
        <v>1669404.82904</v>
      </c>
      <c r="W117" s="10">
        <v>8821423.9469300006</v>
      </c>
      <c r="X117" s="10"/>
      <c r="Y117" s="10">
        <v>8456874.3129999992</v>
      </c>
      <c r="Z117" s="10">
        <v>5634071.4672299996</v>
      </c>
      <c r="AA117" s="10">
        <v>4307055.5004700003</v>
      </c>
      <c r="AB117" s="10">
        <v>1886172.94352</v>
      </c>
      <c r="AC117" s="10">
        <v>5822507.9158699997</v>
      </c>
      <c r="AD117" s="10"/>
      <c r="AE117" s="10">
        <v>7016615.6198300002</v>
      </c>
      <c r="AF117" s="10">
        <v>3516234.8899599998</v>
      </c>
      <c r="AG117" s="10">
        <v>4510404.9130999995</v>
      </c>
      <c r="AH117" s="10">
        <v>2609609.9259899999</v>
      </c>
      <c r="AI117" s="10">
        <v>4638680.5602900004</v>
      </c>
      <c r="AJ117" s="10"/>
      <c r="AK117" s="10">
        <v>1212887.1183259999</v>
      </c>
      <c r="AL117" s="10">
        <v>771660.01963999995</v>
      </c>
      <c r="AM117" s="10">
        <v>460174.54095</v>
      </c>
      <c r="AN117" s="10">
        <v>319592.73725000001</v>
      </c>
      <c r="AO117" s="10">
        <v>2678840.1440300001</v>
      </c>
      <c r="AP117" s="10"/>
      <c r="AQ117" s="10">
        <v>2348949.7896289998</v>
      </c>
      <c r="AR117" s="10"/>
      <c r="AS117" s="10">
        <v>4617696.4501529997</v>
      </c>
      <c r="AT117" s="10"/>
      <c r="AU117" s="10"/>
      <c r="AV117" s="10"/>
      <c r="AW117" s="10"/>
      <c r="AX117" s="10">
        <v>1613213.9221900001</v>
      </c>
      <c r="AY117" s="10">
        <v>248090.29655999999</v>
      </c>
      <c r="AZ117" s="10"/>
      <c r="BA117" s="10">
        <v>17503.9486</v>
      </c>
      <c r="BB117" s="10">
        <v>425555.67949000001</v>
      </c>
      <c r="BC117" s="10">
        <v>296969.82446999999</v>
      </c>
      <c r="BD117" s="10">
        <v>0</v>
      </c>
      <c r="BE117" s="10"/>
      <c r="BF117" s="10">
        <v>83997.257899999997</v>
      </c>
      <c r="BG117" s="10">
        <v>28174.96415</v>
      </c>
      <c r="BH117" s="10"/>
      <c r="BI117" s="10">
        <v>0</v>
      </c>
      <c r="BJ117" s="10">
        <v>3277614.9294500002</v>
      </c>
      <c r="BK117" s="10">
        <v>598603.74230000004</v>
      </c>
      <c r="BL117" s="10">
        <v>508438.85915999999</v>
      </c>
      <c r="BM117" s="10"/>
      <c r="BN117" s="10"/>
      <c r="BO117" s="10">
        <v>3274659.3777999999</v>
      </c>
      <c r="BP117" s="10">
        <v>0</v>
      </c>
      <c r="BQ117" s="10">
        <v>3916572.1259699999</v>
      </c>
      <c r="BR117" s="10">
        <v>4204590.9823500002</v>
      </c>
      <c r="BS117" s="10">
        <v>0</v>
      </c>
      <c r="BT117" s="10"/>
      <c r="BU117" s="10">
        <v>3157915.21545</v>
      </c>
      <c r="BV117" s="10">
        <v>559214.85508000001</v>
      </c>
      <c r="BW117" s="10"/>
      <c r="BX117" s="10">
        <v>0</v>
      </c>
      <c r="BY117" s="10"/>
      <c r="BZ117" s="10"/>
      <c r="CA117" s="10">
        <v>0</v>
      </c>
      <c r="CB117" s="10"/>
      <c r="CC117" s="10">
        <v>713179.60225999996</v>
      </c>
      <c r="CD117" s="10"/>
      <c r="CE117" s="10"/>
      <c r="CF117" s="10"/>
      <c r="CG117" s="10"/>
      <c r="CH117" s="10"/>
      <c r="CI117" s="10"/>
      <c r="CJ117" s="10">
        <v>724.32552999999996</v>
      </c>
      <c r="CK117" s="10"/>
      <c r="CL117" s="10"/>
      <c r="CM117" s="10"/>
      <c r="CN117" s="10"/>
      <c r="CO117" s="10"/>
      <c r="CP117" s="10"/>
      <c r="CQ117" s="10"/>
      <c r="CR117" s="10"/>
      <c r="CS117" s="10">
        <v>0</v>
      </c>
      <c r="CT117" s="10"/>
      <c r="CU117" s="10"/>
      <c r="CV117" s="10"/>
      <c r="CW117" s="10"/>
      <c r="CX117" s="10">
        <v>0</v>
      </c>
      <c r="CY117" s="10"/>
      <c r="CZ117" s="10"/>
      <c r="DA117" s="10">
        <v>0</v>
      </c>
      <c r="DB117" s="10">
        <v>0</v>
      </c>
      <c r="DC117" s="10"/>
      <c r="DD117" s="10">
        <v>0</v>
      </c>
      <c r="DE117" s="10"/>
      <c r="DF117" s="10">
        <v>0</v>
      </c>
      <c r="DG117" s="10"/>
      <c r="DH117" s="10">
        <v>0</v>
      </c>
      <c r="DI117" s="10"/>
    </row>
    <row r="118" spans="1:113" x14ac:dyDescent="0.35">
      <c r="A118" s="8">
        <v>46072</v>
      </c>
      <c r="B118" s="9">
        <v>793083001.47663701</v>
      </c>
      <c r="C118" s="10">
        <v>17516253.355725002</v>
      </c>
      <c r="D118" s="10">
        <v>233396949.77076</v>
      </c>
      <c r="E118" s="10">
        <v>323375845.4745</v>
      </c>
      <c r="F118" s="10"/>
      <c r="G118" s="10"/>
      <c r="H118" s="10">
        <v>53080358.096380003</v>
      </c>
      <c r="I118" s="10">
        <v>6598845.50899</v>
      </c>
      <c r="J118" s="10">
        <v>20253128.652029999</v>
      </c>
      <c r="K118" s="10">
        <v>20196031.21869</v>
      </c>
      <c r="L118" s="10">
        <v>18688391.845389999</v>
      </c>
      <c r="M118" s="10">
        <v>5506905.9308200004</v>
      </c>
      <c r="N118" s="10">
        <v>2663313.8683259999</v>
      </c>
      <c r="O118" s="10">
        <v>7330899.8127370002</v>
      </c>
      <c r="P118" s="10"/>
      <c r="Q118" s="10">
        <v>6610872.4463499999</v>
      </c>
      <c r="R118" s="10">
        <v>6470937.9966599997</v>
      </c>
      <c r="S118" s="10"/>
      <c r="T118" s="10">
        <v>3786877.4913940001</v>
      </c>
      <c r="U118" s="10">
        <v>4945881.9652300002</v>
      </c>
      <c r="V118" s="10">
        <v>4039.8683999999998</v>
      </c>
      <c r="W118" s="10">
        <v>6197225.20529</v>
      </c>
      <c r="X118" s="10"/>
      <c r="Y118" s="10">
        <v>6444873.6948699998</v>
      </c>
      <c r="Z118" s="10">
        <v>3415474.0555199999</v>
      </c>
      <c r="AA118" s="10">
        <v>3432679.4840199999</v>
      </c>
      <c r="AB118" s="10">
        <v>2734471.8868</v>
      </c>
      <c r="AC118" s="10">
        <v>2340020.6315799998</v>
      </c>
      <c r="AD118" s="10"/>
      <c r="AE118" s="10">
        <v>6236803.9159500003</v>
      </c>
      <c r="AF118" s="10">
        <v>3008920.2140199998</v>
      </c>
      <c r="AG118" s="10">
        <v>3345449.5366000002</v>
      </c>
      <c r="AH118" s="10">
        <v>2349260.3828099999</v>
      </c>
      <c r="AI118" s="10">
        <v>3059051.1211399999</v>
      </c>
      <c r="AJ118" s="10"/>
      <c r="AK118" s="10">
        <v>1420519.358706</v>
      </c>
      <c r="AL118" s="10">
        <v>1167379.07923</v>
      </c>
      <c r="AM118" s="10">
        <v>0</v>
      </c>
      <c r="AN118" s="10">
        <v>1602260.23324</v>
      </c>
      <c r="AO118" s="10">
        <v>2092002.3432199999</v>
      </c>
      <c r="AP118" s="10"/>
      <c r="AQ118" s="10">
        <v>2171424.4188850001</v>
      </c>
      <c r="AR118" s="10"/>
      <c r="AS118" s="10">
        <v>2218982.6421059999</v>
      </c>
      <c r="AT118" s="10"/>
      <c r="AU118" s="10"/>
      <c r="AV118" s="10"/>
      <c r="AW118" s="10"/>
      <c r="AX118" s="10">
        <v>1543069.92301</v>
      </c>
      <c r="AY118" s="10">
        <v>306233.62935</v>
      </c>
      <c r="AZ118" s="10"/>
      <c r="BA118" s="10">
        <v>58787.356500000002</v>
      </c>
      <c r="BB118" s="10">
        <v>850823.80940999999</v>
      </c>
      <c r="BC118" s="10">
        <v>0</v>
      </c>
      <c r="BD118" s="10">
        <v>0</v>
      </c>
      <c r="BE118" s="10"/>
      <c r="BF118" s="10">
        <v>1221.8525999999999</v>
      </c>
      <c r="BG118" s="10">
        <v>7318.4391599999999</v>
      </c>
      <c r="BH118" s="10"/>
      <c r="BI118" s="10">
        <v>0</v>
      </c>
      <c r="BJ118" s="10">
        <v>372243.88978999999</v>
      </c>
      <c r="BK118" s="10">
        <v>538198.00309999997</v>
      </c>
      <c r="BL118" s="10">
        <v>649275.50112999999</v>
      </c>
      <c r="BM118" s="10"/>
      <c r="BN118" s="10"/>
      <c r="BO118" s="10">
        <v>428769.11564999999</v>
      </c>
      <c r="BP118" s="10">
        <v>0</v>
      </c>
      <c r="BQ118" s="10">
        <v>2693071.2198000001</v>
      </c>
      <c r="BR118" s="10">
        <v>1333836.7452700001</v>
      </c>
      <c r="BS118" s="10">
        <v>0</v>
      </c>
      <c r="BT118" s="10"/>
      <c r="BU118" s="10">
        <v>92510.815350000004</v>
      </c>
      <c r="BV118" s="10">
        <v>419250.21898000001</v>
      </c>
      <c r="BW118" s="10"/>
      <c r="BX118" s="10">
        <v>0</v>
      </c>
      <c r="BY118" s="10"/>
      <c r="BZ118" s="10"/>
      <c r="CA118" s="10">
        <v>0</v>
      </c>
      <c r="CB118" s="10"/>
      <c r="CC118" s="10">
        <v>64873.217960000002</v>
      </c>
      <c r="CD118" s="10"/>
      <c r="CE118" s="10"/>
      <c r="CF118" s="10"/>
      <c r="CG118" s="10"/>
      <c r="CH118" s="10"/>
      <c r="CI118" s="10"/>
      <c r="CJ118" s="10">
        <v>61186.233207999998</v>
      </c>
      <c r="CK118" s="10"/>
      <c r="CL118" s="10"/>
      <c r="CM118" s="10"/>
      <c r="CN118" s="10"/>
      <c r="CO118" s="10"/>
      <c r="CP118" s="10"/>
      <c r="CQ118" s="10"/>
      <c r="CR118" s="10"/>
      <c r="CS118" s="10">
        <v>0</v>
      </c>
      <c r="CT118" s="10"/>
      <c r="CU118" s="10"/>
      <c r="CV118" s="10"/>
      <c r="CW118" s="10"/>
      <c r="CX118" s="10">
        <v>0</v>
      </c>
      <c r="CY118" s="10"/>
      <c r="CZ118" s="10"/>
      <c r="DA118" s="10">
        <v>0</v>
      </c>
      <c r="DB118" s="10">
        <v>0</v>
      </c>
      <c r="DC118" s="10"/>
      <c r="DD118" s="10">
        <v>0</v>
      </c>
      <c r="DE118" s="10"/>
      <c r="DF118" s="10">
        <v>0</v>
      </c>
      <c r="DG118" s="10"/>
      <c r="DH118" s="10">
        <v>0</v>
      </c>
      <c r="DI118" s="10"/>
    </row>
    <row r="119" spans="1:113" x14ac:dyDescent="0.35">
      <c r="A119" s="8">
        <v>46071</v>
      </c>
      <c r="B119" s="9">
        <v>693451555.53715503</v>
      </c>
      <c r="C119" s="10">
        <v>6344692.5889250003</v>
      </c>
      <c r="D119" s="10">
        <v>220526168.04280999</v>
      </c>
      <c r="E119" s="10">
        <v>238515664.2216</v>
      </c>
      <c r="F119" s="10"/>
      <c r="G119" s="10"/>
      <c r="H119" s="10">
        <v>49789421.962949999</v>
      </c>
      <c r="I119" s="10">
        <v>14307270.78332</v>
      </c>
      <c r="J119" s="10">
        <v>37396274.384649999</v>
      </c>
      <c r="K119" s="10">
        <v>15863732.77564</v>
      </c>
      <c r="L119" s="10">
        <v>12293418.024700001</v>
      </c>
      <c r="M119" s="10">
        <v>5984584.31965</v>
      </c>
      <c r="N119" s="10">
        <v>2277961.087171</v>
      </c>
      <c r="O119" s="10">
        <v>7899887.9270510003</v>
      </c>
      <c r="P119" s="10"/>
      <c r="Q119" s="10">
        <v>8133174.9471399998</v>
      </c>
      <c r="R119" s="10">
        <v>2548619.3967800001</v>
      </c>
      <c r="S119" s="10"/>
      <c r="T119" s="10">
        <v>3148857.1474600001</v>
      </c>
      <c r="U119" s="10">
        <v>4073135.6113999998</v>
      </c>
      <c r="V119" s="10">
        <v>0</v>
      </c>
      <c r="W119" s="10">
        <v>6026493.3274499997</v>
      </c>
      <c r="X119" s="10"/>
      <c r="Y119" s="10">
        <v>8333743.2245800002</v>
      </c>
      <c r="Z119" s="10">
        <v>7104922.7685099998</v>
      </c>
      <c r="AA119" s="10">
        <v>4717359.9939200003</v>
      </c>
      <c r="AB119" s="10">
        <v>1881245.8920799999</v>
      </c>
      <c r="AC119" s="10">
        <v>4580749.8601399995</v>
      </c>
      <c r="AD119" s="10"/>
      <c r="AE119" s="10">
        <v>2764343.0399099998</v>
      </c>
      <c r="AF119" s="10">
        <v>3005879.1658200002</v>
      </c>
      <c r="AG119" s="10">
        <v>1614704.0984</v>
      </c>
      <c r="AH119" s="10">
        <v>3440182.3455500002</v>
      </c>
      <c r="AI119" s="10">
        <v>4473621.7281400003</v>
      </c>
      <c r="AJ119" s="10"/>
      <c r="AK119" s="10">
        <v>1337873.07651</v>
      </c>
      <c r="AL119" s="10">
        <v>2271006.3611400002</v>
      </c>
      <c r="AM119" s="10">
        <v>0</v>
      </c>
      <c r="AN119" s="10">
        <v>650549.58345000003</v>
      </c>
      <c r="AO119" s="10">
        <v>459684.78088999999</v>
      </c>
      <c r="AP119" s="10"/>
      <c r="AQ119" s="10">
        <v>1366059.8688749999</v>
      </c>
      <c r="AR119" s="10"/>
      <c r="AS119" s="10">
        <v>2627663.7826330001</v>
      </c>
      <c r="AT119" s="10"/>
      <c r="AU119" s="10"/>
      <c r="AV119" s="10"/>
      <c r="AW119" s="10"/>
      <c r="AX119" s="10">
        <v>1507136.7715</v>
      </c>
      <c r="AY119" s="10">
        <v>805602.14199000003</v>
      </c>
      <c r="AZ119" s="10"/>
      <c r="BA119" s="10">
        <v>72925.209600000002</v>
      </c>
      <c r="BB119" s="10">
        <v>1625702.25058</v>
      </c>
      <c r="BC119" s="10">
        <v>0</v>
      </c>
      <c r="BD119" s="10">
        <v>0</v>
      </c>
      <c r="BE119" s="10"/>
      <c r="BF119" s="10">
        <v>45643.366099999999</v>
      </c>
      <c r="BG119" s="10">
        <v>5890.3059800000001</v>
      </c>
      <c r="BH119" s="10"/>
      <c r="BI119" s="10">
        <v>0</v>
      </c>
      <c r="BJ119" s="10">
        <v>1081989.78798</v>
      </c>
      <c r="BK119" s="10">
        <v>17351.001100000001</v>
      </c>
      <c r="BL119" s="10">
        <v>40465.23302</v>
      </c>
      <c r="BM119" s="10"/>
      <c r="BN119" s="10"/>
      <c r="BO119" s="10">
        <v>86192.102759999994</v>
      </c>
      <c r="BP119" s="10">
        <v>0</v>
      </c>
      <c r="BQ119" s="10">
        <v>1847016.01342</v>
      </c>
      <c r="BR119" s="10">
        <v>408795.28791000001</v>
      </c>
      <c r="BS119" s="10">
        <v>0</v>
      </c>
      <c r="BT119" s="10"/>
      <c r="BU119" s="10">
        <v>41636.772949999999</v>
      </c>
      <c r="BV119" s="10">
        <v>91528.996249999997</v>
      </c>
      <c r="BW119" s="10"/>
      <c r="BX119" s="10">
        <v>0</v>
      </c>
      <c r="BY119" s="10"/>
      <c r="BZ119" s="10"/>
      <c r="CA119" s="10">
        <v>0</v>
      </c>
      <c r="CB119" s="10"/>
      <c r="CC119" s="10">
        <v>14734.17677</v>
      </c>
      <c r="CD119" s="10"/>
      <c r="CE119" s="10"/>
      <c r="CF119" s="10"/>
      <c r="CG119" s="10"/>
      <c r="CH119" s="10"/>
      <c r="CI119" s="10"/>
      <c r="CJ119" s="10">
        <v>0</v>
      </c>
      <c r="CK119" s="10"/>
      <c r="CL119" s="10"/>
      <c r="CM119" s="10"/>
      <c r="CN119" s="10"/>
      <c r="CO119" s="10"/>
      <c r="CP119" s="10"/>
      <c r="CQ119" s="10"/>
      <c r="CR119" s="10"/>
      <c r="CS119" s="10">
        <v>0</v>
      </c>
      <c r="CT119" s="10"/>
      <c r="CU119" s="10"/>
      <c r="CV119" s="10"/>
      <c r="CW119" s="10"/>
      <c r="CX119" s="10">
        <v>0</v>
      </c>
      <c r="CY119" s="10"/>
      <c r="CZ119" s="10"/>
      <c r="DA119" s="10">
        <v>0</v>
      </c>
      <c r="DB119" s="10">
        <v>0</v>
      </c>
      <c r="DC119" s="10"/>
      <c r="DD119" s="10">
        <v>0</v>
      </c>
      <c r="DE119" s="10"/>
      <c r="DF119" s="10">
        <v>0</v>
      </c>
      <c r="DG119" s="10"/>
      <c r="DH119" s="10">
        <v>0</v>
      </c>
      <c r="DI119" s="10"/>
    </row>
    <row r="120" spans="1:113" x14ac:dyDescent="0.35">
      <c r="A120" s="8">
        <v>46070</v>
      </c>
      <c r="B120" s="9">
        <v>1083336306.31407</v>
      </c>
      <c r="C120" s="10">
        <v>5238407.6849760097</v>
      </c>
      <c r="D120" s="10">
        <v>426928511.30612999</v>
      </c>
      <c r="E120" s="10">
        <v>341374151.27429998</v>
      </c>
      <c r="F120" s="10"/>
      <c r="G120" s="10"/>
      <c r="H120" s="10">
        <v>90368647.749740005</v>
      </c>
      <c r="I120" s="10">
        <v>17188799.2665</v>
      </c>
      <c r="J120" s="10">
        <v>27179458.342440002</v>
      </c>
      <c r="K120" s="10">
        <v>10652124.37518</v>
      </c>
      <c r="L120" s="10">
        <v>19514560.80068</v>
      </c>
      <c r="M120" s="10">
        <v>8646977.3331899997</v>
      </c>
      <c r="N120" s="10">
        <v>2951075.2306650002</v>
      </c>
      <c r="O120" s="10">
        <v>14127671.863149</v>
      </c>
      <c r="P120" s="10"/>
      <c r="Q120" s="10">
        <v>11318323.88067</v>
      </c>
      <c r="R120" s="10">
        <v>4662358.5358699998</v>
      </c>
      <c r="S120" s="10"/>
      <c r="T120" s="10">
        <v>6558833.0390649997</v>
      </c>
      <c r="U120" s="10">
        <v>6373007.7689199997</v>
      </c>
      <c r="V120" s="10">
        <v>0</v>
      </c>
      <c r="W120" s="10">
        <v>11220202.26008</v>
      </c>
      <c r="X120" s="10"/>
      <c r="Y120" s="10">
        <v>9984494.4049600102</v>
      </c>
      <c r="Z120" s="10">
        <v>4775537.3213</v>
      </c>
      <c r="AA120" s="10">
        <v>12235062.09207</v>
      </c>
      <c r="AB120" s="10">
        <v>3267173.2233099998</v>
      </c>
      <c r="AC120" s="10">
        <v>6054030.3109099995</v>
      </c>
      <c r="AD120" s="10"/>
      <c r="AE120" s="10">
        <v>1992108.4370899999</v>
      </c>
      <c r="AF120" s="10">
        <v>6418466.1723199999</v>
      </c>
      <c r="AG120" s="10">
        <v>1054581.0271000001</v>
      </c>
      <c r="AH120" s="10">
        <v>5493726.5382099999</v>
      </c>
      <c r="AI120" s="10">
        <v>6367940.0232100002</v>
      </c>
      <c r="AJ120" s="10"/>
      <c r="AK120" s="10">
        <v>213169.85584900001</v>
      </c>
      <c r="AL120" s="10">
        <v>275002.37290999998</v>
      </c>
      <c r="AM120" s="10">
        <v>0</v>
      </c>
      <c r="AN120" s="10">
        <v>517649.66603000002</v>
      </c>
      <c r="AO120" s="10">
        <v>1505027.7561000001</v>
      </c>
      <c r="AP120" s="10"/>
      <c r="AQ120" s="10">
        <v>5469332.74768</v>
      </c>
      <c r="AR120" s="10"/>
      <c r="AS120" s="10">
        <v>3419028.508467</v>
      </c>
      <c r="AT120" s="10"/>
      <c r="AU120" s="10"/>
      <c r="AV120" s="10"/>
      <c r="AW120" s="10"/>
      <c r="AX120" s="10">
        <v>5571635.7127999999</v>
      </c>
      <c r="AY120" s="10">
        <v>1059710.0274100001</v>
      </c>
      <c r="AZ120" s="10"/>
      <c r="BA120" s="10">
        <v>47214.711000000003</v>
      </c>
      <c r="BB120" s="10">
        <v>1953773.20193</v>
      </c>
      <c r="BC120" s="10"/>
      <c r="BD120" s="10">
        <v>0</v>
      </c>
      <c r="BE120" s="10"/>
      <c r="BF120" s="10">
        <v>17542.165199999999</v>
      </c>
      <c r="BG120" s="10">
        <v>22559.214459999999</v>
      </c>
      <c r="BH120" s="10"/>
      <c r="BI120" s="10">
        <v>0</v>
      </c>
      <c r="BJ120" s="10">
        <v>202640.02544999999</v>
      </c>
      <c r="BK120" s="10">
        <v>12881.974099999999</v>
      </c>
      <c r="BL120" s="10">
        <v>16214.090679999999</v>
      </c>
      <c r="BM120" s="10"/>
      <c r="BN120" s="10"/>
      <c r="BO120" s="10">
        <v>567791.48149000003</v>
      </c>
      <c r="BP120" s="10">
        <v>0</v>
      </c>
      <c r="BQ120" s="10">
        <v>132654.68388</v>
      </c>
      <c r="BR120" s="10">
        <v>240859.69026</v>
      </c>
      <c r="BS120" s="10">
        <v>0</v>
      </c>
      <c r="BT120" s="10"/>
      <c r="BU120" s="10">
        <v>105412.21633</v>
      </c>
      <c r="BV120" s="10">
        <v>23019.997060000002</v>
      </c>
      <c r="BW120" s="10"/>
      <c r="BX120" s="10">
        <v>0</v>
      </c>
      <c r="BY120" s="10"/>
      <c r="BZ120" s="10"/>
      <c r="CA120" s="10">
        <v>0</v>
      </c>
      <c r="CB120" s="10"/>
      <c r="CC120" s="10">
        <v>16955.952949999999</v>
      </c>
      <c r="CD120" s="10"/>
      <c r="CE120" s="10"/>
      <c r="CF120" s="10"/>
      <c r="CG120" s="10"/>
      <c r="CH120" s="10"/>
      <c r="CI120" s="10"/>
      <c r="CJ120" s="10">
        <v>0</v>
      </c>
      <c r="CK120" s="10"/>
      <c r="CL120" s="10"/>
      <c r="CM120" s="10"/>
      <c r="CN120" s="10"/>
      <c r="CO120" s="10"/>
      <c r="CP120" s="10"/>
      <c r="CQ120" s="10"/>
      <c r="CR120" s="10"/>
      <c r="CS120" s="10">
        <v>0</v>
      </c>
      <c r="CT120" s="10"/>
      <c r="CU120" s="10"/>
      <c r="CV120" s="10"/>
      <c r="CW120" s="10"/>
      <c r="CX120" s="10">
        <v>0</v>
      </c>
      <c r="CY120" s="10"/>
      <c r="CZ120" s="10"/>
      <c r="DA120" s="10">
        <v>0</v>
      </c>
      <c r="DB120" s="10">
        <v>0</v>
      </c>
      <c r="DC120" s="10"/>
      <c r="DD120" s="10">
        <v>0</v>
      </c>
      <c r="DE120" s="10"/>
      <c r="DF120" s="10">
        <v>0</v>
      </c>
      <c r="DG120" s="10"/>
      <c r="DH120" s="10">
        <v>0</v>
      </c>
      <c r="DI120" s="10"/>
    </row>
    <row r="121" spans="1:113" x14ac:dyDescent="0.35">
      <c r="A121" s="8">
        <v>46069</v>
      </c>
      <c r="B121" s="9">
        <v>357183256.070261</v>
      </c>
      <c r="C121" s="10">
        <v>1937397.5729489999</v>
      </c>
      <c r="D121" s="10">
        <v>160537595.03051001</v>
      </c>
      <c r="E121" s="10">
        <v>105385085.47130001</v>
      </c>
      <c r="F121" s="10"/>
      <c r="G121" s="10"/>
      <c r="H121" s="10">
        <v>28201936.995510001</v>
      </c>
      <c r="I121" s="10">
        <v>472244.45052000001</v>
      </c>
      <c r="J121" s="10">
        <v>4938334.5075399997</v>
      </c>
      <c r="K121" s="10">
        <v>166875.62275000001</v>
      </c>
      <c r="L121" s="10">
        <v>2942373.2901400002</v>
      </c>
      <c r="M121" s="10">
        <v>669100.46880999999</v>
      </c>
      <c r="N121" s="10">
        <v>651455.57634699997</v>
      </c>
      <c r="O121" s="10">
        <v>8729593.6493760105</v>
      </c>
      <c r="P121" s="10"/>
      <c r="Q121" s="10">
        <v>1851042.3378099999</v>
      </c>
      <c r="R121" s="10">
        <v>1551203.64402</v>
      </c>
      <c r="S121" s="10"/>
      <c r="T121" s="10">
        <v>894247.46190300002</v>
      </c>
      <c r="U121" s="10">
        <v>6950004.5587500101</v>
      </c>
      <c r="V121" s="10">
        <v>0</v>
      </c>
      <c r="W121" s="10">
        <v>5862149.5531700002</v>
      </c>
      <c r="X121" s="10"/>
      <c r="Y121" s="10">
        <v>2468180.4556900002</v>
      </c>
      <c r="Z121" s="10">
        <v>889902.05290999997</v>
      </c>
      <c r="AA121" s="10">
        <v>4245991.5852399999</v>
      </c>
      <c r="AB121" s="10">
        <v>134311.94321</v>
      </c>
      <c r="AC121" s="10">
        <v>830697.87020999996</v>
      </c>
      <c r="AD121" s="10"/>
      <c r="AE121" s="10">
        <v>1327486.8465400001</v>
      </c>
      <c r="AF121" s="10">
        <v>869959.71631000005</v>
      </c>
      <c r="AG121" s="10">
        <v>838751.86670000001</v>
      </c>
      <c r="AH121" s="10">
        <v>936794.11033000005</v>
      </c>
      <c r="AI121" s="10">
        <v>1381701.6076199999</v>
      </c>
      <c r="AJ121" s="10"/>
      <c r="AK121" s="10">
        <v>330062.61000699998</v>
      </c>
      <c r="AL121" s="10">
        <v>6659.3956600000001</v>
      </c>
      <c r="AM121" s="10">
        <v>0</v>
      </c>
      <c r="AN121" s="10">
        <v>14719.53155</v>
      </c>
      <c r="AO121" s="10">
        <v>608442.31169999996</v>
      </c>
      <c r="AP121" s="10"/>
      <c r="AQ121" s="10">
        <v>678309.00238199998</v>
      </c>
      <c r="AR121" s="10"/>
      <c r="AS121" s="10">
        <v>350770.00147700001</v>
      </c>
      <c r="AT121" s="10"/>
      <c r="AU121" s="10"/>
      <c r="AV121" s="10"/>
      <c r="AW121" s="10"/>
      <c r="AX121" s="10">
        <v>25806.296289999998</v>
      </c>
      <c r="AY121" s="10">
        <v>4769045.3007300003</v>
      </c>
      <c r="AZ121" s="10"/>
      <c r="BA121" s="10">
        <v>95799.085300000006</v>
      </c>
      <c r="BB121" s="10">
        <v>6766.7369900000003</v>
      </c>
      <c r="BC121" s="10"/>
      <c r="BD121" s="10">
        <v>0</v>
      </c>
      <c r="BE121" s="10"/>
      <c r="BF121" s="10">
        <v>12099.6986</v>
      </c>
      <c r="BG121" s="10">
        <v>9258.4515200000005</v>
      </c>
      <c r="BH121" s="10"/>
      <c r="BI121" s="10">
        <v>0</v>
      </c>
      <c r="BJ121" s="10">
        <v>127721.98835</v>
      </c>
      <c r="BK121" s="10">
        <v>13147.402599999999</v>
      </c>
      <c r="BL121" s="10">
        <v>39572.784310000003</v>
      </c>
      <c r="BM121" s="10"/>
      <c r="BN121" s="10"/>
      <c r="BO121" s="10">
        <v>12524.98422</v>
      </c>
      <c r="BP121" s="10">
        <v>0</v>
      </c>
      <c r="BQ121" s="10">
        <v>1521217.17502</v>
      </c>
      <c r="BR121" s="10">
        <v>2798217.3835499999</v>
      </c>
      <c r="BS121" s="10">
        <v>0</v>
      </c>
      <c r="BT121" s="10"/>
      <c r="BU121" s="10">
        <v>70114.112940000006</v>
      </c>
      <c r="BV121" s="10">
        <v>9128.8718900000003</v>
      </c>
      <c r="BW121" s="10"/>
      <c r="BX121" s="10">
        <v>0</v>
      </c>
      <c r="BY121" s="10"/>
      <c r="BZ121" s="10"/>
      <c r="CA121" s="10">
        <v>0</v>
      </c>
      <c r="CB121" s="10"/>
      <c r="CC121" s="10">
        <v>19454.69901</v>
      </c>
      <c r="CD121" s="10"/>
      <c r="CE121" s="10"/>
      <c r="CF121" s="10"/>
      <c r="CG121" s="10"/>
      <c r="CH121" s="10"/>
      <c r="CI121" s="10"/>
      <c r="CJ121" s="10">
        <v>0</v>
      </c>
      <c r="CK121" s="10"/>
      <c r="CL121" s="10"/>
      <c r="CM121" s="10"/>
      <c r="CN121" s="10"/>
      <c r="CO121" s="10"/>
      <c r="CP121" s="10"/>
      <c r="CQ121" s="10"/>
      <c r="CR121" s="10"/>
      <c r="CS121" s="10">
        <v>0</v>
      </c>
      <c r="CT121" s="10"/>
      <c r="CU121" s="10"/>
      <c r="CV121" s="10"/>
      <c r="CW121" s="10"/>
      <c r="CX121" s="10">
        <v>0</v>
      </c>
      <c r="CY121" s="10"/>
      <c r="CZ121" s="10"/>
      <c r="DA121" s="10">
        <v>0</v>
      </c>
      <c r="DB121" s="10">
        <v>0</v>
      </c>
      <c r="DC121" s="10"/>
      <c r="DD121" s="10">
        <v>0</v>
      </c>
      <c r="DE121" s="10"/>
      <c r="DF121" s="10">
        <v>0</v>
      </c>
      <c r="DG121" s="10"/>
      <c r="DH121" s="10">
        <v>0</v>
      </c>
      <c r="DI121" s="10"/>
    </row>
    <row r="122" spans="1:113" x14ac:dyDescent="0.35">
      <c r="A122" s="8">
        <v>46068</v>
      </c>
      <c r="B122" s="9">
        <v>165770077.37768</v>
      </c>
      <c r="C122" s="10">
        <v>315158.08018200001</v>
      </c>
      <c r="D122" s="10">
        <v>62998132.121490002</v>
      </c>
      <c r="E122" s="10">
        <v>55708614.679200001</v>
      </c>
      <c r="F122" s="10"/>
      <c r="G122" s="10"/>
      <c r="H122" s="10">
        <v>22961169.215229999</v>
      </c>
      <c r="I122" s="10">
        <v>143742.25119000001</v>
      </c>
      <c r="J122" s="10">
        <v>3478422.56758</v>
      </c>
      <c r="K122" s="10">
        <v>411174.46701999998</v>
      </c>
      <c r="L122" s="10">
        <v>1998486.1616799999</v>
      </c>
      <c r="M122" s="10">
        <v>165586.39697</v>
      </c>
      <c r="N122" s="10">
        <v>181667.23670199999</v>
      </c>
      <c r="O122" s="10">
        <v>2053960.491595</v>
      </c>
      <c r="P122" s="10"/>
      <c r="Q122" s="10">
        <v>679942.18854999996</v>
      </c>
      <c r="R122" s="10">
        <v>1024852.8782799999</v>
      </c>
      <c r="S122" s="10"/>
      <c r="T122" s="10">
        <v>1053880.5318710001</v>
      </c>
      <c r="U122" s="10">
        <v>2093224.5047299999</v>
      </c>
      <c r="V122" s="10">
        <v>0</v>
      </c>
      <c r="W122" s="10">
        <v>1059878.0989000001</v>
      </c>
      <c r="X122" s="10"/>
      <c r="Y122" s="10">
        <v>301494.51879</v>
      </c>
      <c r="Z122" s="10">
        <v>699292.93088</v>
      </c>
      <c r="AA122" s="10">
        <v>2550602.1280200002</v>
      </c>
      <c r="AB122" s="10">
        <v>39658.06061</v>
      </c>
      <c r="AC122" s="10">
        <v>438683.41246000002</v>
      </c>
      <c r="AD122" s="10"/>
      <c r="AE122" s="10">
        <v>603258.22485</v>
      </c>
      <c r="AF122" s="10">
        <v>502623.98960999999</v>
      </c>
      <c r="AG122" s="10">
        <v>400322.86749999999</v>
      </c>
      <c r="AH122" s="10">
        <v>207910.84719999999</v>
      </c>
      <c r="AI122" s="10">
        <v>256945.63118999999</v>
      </c>
      <c r="AJ122" s="10"/>
      <c r="AK122" s="10">
        <v>31224.497458999998</v>
      </c>
      <c r="AL122" s="10">
        <v>55839.89705</v>
      </c>
      <c r="AM122" s="10">
        <v>0</v>
      </c>
      <c r="AN122" s="10">
        <v>14635.94824</v>
      </c>
      <c r="AO122" s="10">
        <v>64358.973319999997</v>
      </c>
      <c r="AP122" s="10"/>
      <c r="AQ122" s="10">
        <v>535102.41968299996</v>
      </c>
      <c r="AR122" s="10"/>
      <c r="AS122" s="10">
        <v>778324.82528800005</v>
      </c>
      <c r="AT122" s="10"/>
      <c r="AU122" s="10"/>
      <c r="AV122" s="10"/>
      <c r="AW122" s="10"/>
      <c r="AX122" s="10">
        <v>11052.39222</v>
      </c>
      <c r="AY122" s="10">
        <v>32514.55906</v>
      </c>
      <c r="AZ122" s="10"/>
      <c r="BA122" s="10">
        <v>22862.0121</v>
      </c>
      <c r="BB122" s="10">
        <v>11945.94037</v>
      </c>
      <c r="BC122" s="10"/>
      <c r="BD122" s="10">
        <v>0</v>
      </c>
      <c r="BE122" s="10"/>
      <c r="BF122" s="10">
        <v>11029.4012</v>
      </c>
      <c r="BG122" s="10">
        <v>15118.039870000001</v>
      </c>
      <c r="BH122" s="10"/>
      <c r="BI122" s="10">
        <v>0</v>
      </c>
      <c r="BJ122" s="10">
        <v>143037.41438999999</v>
      </c>
      <c r="BK122" s="10">
        <v>97135.197799999994</v>
      </c>
      <c r="BL122" s="10">
        <v>43060.332920000001</v>
      </c>
      <c r="BM122" s="10"/>
      <c r="BN122" s="10"/>
      <c r="BO122" s="10">
        <v>14036.07258</v>
      </c>
      <c r="BP122" s="10">
        <v>0</v>
      </c>
      <c r="BQ122" s="10">
        <v>657176.31675</v>
      </c>
      <c r="BR122" s="10">
        <v>604766.47641</v>
      </c>
      <c r="BS122" s="10">
        <v>0</v>
      </c>
      <c r="BT122" s="10"/>
      <c r="BU122" s="10">
        <v>156766.68109999999</v>
      </c>
      <c r="BV122" s="10">
        <v>77148.828320000001</v>
      </c>
      <c r="BW122" s="10"/>
      <c r="BX122" s="10">
        <v>0</v>
      </c>
      <c r="BY122" s="10"/>
      <c r="BZ122" s="10"/>
      <c r="CA122" s="10">
        <v>0</v>
      </c>
      <c r="CB122" s="10"/>
      <c r="CC122" s="10">
        <v>64256.669269999999</v>
      </c>
      <c r="CD122" s="10"/>
      <c r="CE122" s="10"/>
      <c r="CF122" s="10"/>
      <c r="CG122" s="10"/>
      <c r="CH122" s="10"/>
      <c r="CI122" s="10"/>
      <c r="CJ122" s="10">
        <v>0</v>
      </c>
      <c r="CK122" s="10"/>
      <c r="CL122" s="10"/>
      <c r="CM122" s="10"/>
      <c r="CN122" s="10"/>
      <c r="CO122" s="10"/>
      <c r="CP122" s="10"/>
      <c r="CQ122" s="10"/>
      <c r="CR122" s="10"/>
      <c r="CS122" s="10">
        <v>0</v>
      </c>
      <c r="CT122" s="10"/>
      <c r="CU122" s="10"/>
      <c r="CV122" s="10"/>
      <c r="CW122" s="10"/>
      <c r="CX122" s="10">
        <v>0</v>
      </c>
      <c r="CY122" s="10"/>
      <c r="CZ122" s="10"/>
      <c r="DA122" s="10">
        <v>0</v>
      </c>
      <c r="DB122" s="10">
        <v>0</v>
      </c>
      <c r="DC122" s="10"/>
      <c r="DD122" s="10">
        <v>0</v>
      </c>
      <c r="DE122" s="10"/>
      <c r="DF122" s="10">
        <v>0</v>
      </c>
      <c r="DG122" s="10"/>
      <c r="DH122" s="10">
        <v>0</v>
      </c>
      <c r="DI122" s="10"/>
    </row>
    <row r="123" spans="1:113" x14ac:dyDescent="0.35">
      <c r="A123" s="8">
        <v>46067</v>
      </c>
      <c r="B123" s="9">
        <v>74136803.461802006</v>
      </c>
      <c r="C123" s="10">
        <v>77330.588573000001</v>
      </c>
      <c r="D123" s="10">
        <v>6381215.1535099996</v>
      </c>
      <c r="E123" s="10">
        <v>38949703.413400002</v>
      </c>
      <c r="F123" s="10"/>
      <c r="G123" s="10"/>
      <c r="H123" s="10">
        <v>7662453.4818200003</v>
      </c>
      <c r="I123" s="10">
        <v>493196.87994000001</v>
      </c>
      <c r="J123" s="10">
        <v>1599565.03348</v>
      </c>
      <c r="K123" s="10">
        <v>425311.99449999997</v>
      </c>
      <c r="L123" s="10">
        <v>3728604.0320000001</v>
      </c>
      <c r="M123" s="10">
        <v>788690.67896000005</v>
      </c>
      <c r="N123" s="10">
        <v>547379.32189699996</v>
      </c>
      <c r="O123" s="10">
        <v>665746.04016600002</v>
      </c>
      <c r="P123" s="10"/>
      <c r="Q123" s="10">
        <v>1008865.9233800001</v>
      </c>
      <c r="R123" s="10">
        <v>818489.76882</v>
      </c>
      <c r="S123" s="10"/>
      <c r="T123" s="10">
        <v>752088.668772</v>
      </c>
      <c r="U123" s="10">
        <v>2050839.93243</v>
      </c>
      <c r="V123" s="10">
        <v>0</v>
      </c>
      <c r="W123" s="10">
        <v>1453610.06225</v>
      </c>
      <c r="X123" s="10"/>
      <c r="Y123" s="10">
        <v>314581.06938</v>
      </c>
      <c r="Z123" s="10">
        <v>200100.80192999999</v>
      </c>
      <c r="AA123" s="10">
        <v>90930.852669999993</v>
      </c>
      <c r="AB123" s="10">
        <v>195016.26858999999</v>
      </c>
      <c r="AC123" s="10">
        <v>554910.22372000001</v>
      </c>
      <c r="AD123" s="10"/>
      <c r="AE123" s="10">
        <v>402463.01749</v>
      </c>
      <c r="AF123" s="10">
        <v>419563.86781999998</v>
      </c>
      <c r="AG123" s="10">
        <v>218685.2481</v>
      </c>
      <c r="AH123" s="10">
        <v>123912.13800000001</v>
      </c>
      <c r="AI123" s="10">
        <v>482915.47969000001</v>
      </c>
      <c r="AJ123" s="10"/>
      <c r="AK123" s="10">
        <v>39044.730085000003</v>
      </c>
      <c r="AL123" s="10">
        <v>82490.817370000004</v>
      </c>
      <c r="AM123" s="10">
        <v>0</v>
      </c>
      <c r="AN123" s="10">
        <v>187559.78904999999</v>
      </c>
      <c r="AO123" s="10">
        <v>454337.54755000002</v>
      </c>
      <c r="AP123" s="10"/>
      <c r="AQ123" s="10">
        <v>41299.508493000001</v>
      </c>
      <c r="AR123" s="10"/>
      <c r="AS123" s="10">
        <v>390288.43838599999</v>
      </c>
      <c r="AT123" s="10"/>
      <c r="AU123" s="10"/>
      <c r="AV123" s="10"/>
      <c r="AW123" s="10"/>
      <c r="AX123" s="10">
        <v>184350.20548</v>
      </c>
      <c r="AY123" s="10">
        <v>8223.5174399999996</v>
      </c>
      <c r="AZ123" s="10"/>
      <c r="BA123" s="10">
        <v>20294.9244</v>
      </c>
      <c r="BB123" s="10">
        <v>106030.19617</v>
      </c>
      <c r="BC123" s="10"/>
      <c r="BD123" s="10">
        <v>0</v>
      </c>
      <c r="BE123" s="10"/>
      <c r="BF123" s="10">
        <v>439.93400000000003</v>
      </c>
      <c r="BG123" s="10">
        <v>8591.5616699999991</v>
      </c>
      <c r="BH123" s="10"/>
      <c r="BI123" s="10">
        <v>0</v>
      </c>
      <c r="BJ123" s="10">
        <v>179095.37145000001</v>
      </c>
      <c r="BK123" s="10">
        <v>21046.888999999999</v>
      </c>
      <c r="BL123" s="10">
        <v>48753.679490000002</v>
      </c>
      <c r="BM123" s="10"/>
      <c r="BN123" s="10"/>
      <c r="BO123" s="10">
        <v>11351.94521</v>
      </c>
      <c r="BP123" s="10">
        <v>0</v>
      </c>
      <c r="BQ123" s="10">
        <v>678966.17822999996</v>
      </c>
      <c r="BR123" s="10">
        <v>38929.820070000002</v>
      </c>
      <c r="BS123" s="10">
        <v>0</v>
      </c>
      <c r="BT123" s="10"/>
      <c r="BU123" s="10">
        <v>11129.796340000001</v>
      </c>
      <c r="BV123" s="10">
        <v>1154489.53302</v>
      </c>
      <c r="BW123" s="10"/>
      <c r="BX123" s="10">
        <v>0</v>
      </c>
      <c r="BY123" s="10"/>
      <c r="BZ123" s="10"/>
      <c r="CA123" s="10">
        <v>0</v>
      </c>
      <c r="CB123" s="10"/>
      <c r="CC123" s="10">
        <v>63919.137609999998</v>
      </c>
      <c r="CD123" s="10"/>
      <c r="CE123" s="10"/>
      <c r="CF123" s="10"/>
      <c r="CG123" s="10"/>
      <c r="CH123" s="10"/>
      <c r="CI123" s="10"/>
      <c r="CJ123" s="10">
        <v>0</v>
      </c>
      <c r="CK123" s="10"/>
      <c r="CL123" s="10"/>
      <c r="CM123" s="10"/>
      <c r="CN123" s="10"/>
      <c r="CO123" s="10"/>
      <c r="CP123" s="10"/>
      <c r="CQ123" s="10"/>
      <c r="CR123" s="10"/>
      <c r="CS123" s="10">
        <v>0</v>
      </c>
      <c r="CT123" s="10"/>
      <c r="CU123" s="10"/>
      <c r="CV123" s="10"/>
      <c r="CW123" s="10"/>
      <c r="CX123" s="10">
        <v>0</v>
      </c>
      <c r="CY123" s="10"/>
      <c r="CZ123" s="10"/>
      <c r="DA123" s="10">
        <v>0</v>
      </c>
      <c r="DB123" s="10">
        <v>0</v>
      </c>
      <c r="DC123" s="10"/>
      <c r="DD123" s="10">
        <v>0</v>
      </c>
      <c r="DE123" s="10"/>
      <c r="DF123" s="10">
        <v>0</v>
      </c>
      <c r="DG123" s="10"/>
      <c r="DH123" s="10">
        <v>0</v>
      </c>
      <c r="DI123" s="10"/>
    </row>
    <row r="124" spans="1:113" x14ac:dyDescent="0.35">
      <c r="A124" s="8">
        <v>46066</v>
      </c>
      <c r="B124" s="9">
        <v>1171994503.8111999</v>
      </c>
      <c r="C124" s="10">
        <v>1402863.2741370001</v>
      </c>
      <c r="D124" s="10">
        <v>476520353.19207001</v>
      </c>
      <c r="E124" s="10">
        <v>410198941.32080001</v>
      </c>
      <c r="F124" s="10"/>
      <c r="G124" s="10"/>
      <c r="H124" s="10">
        <v>45544085.397739999</v>
      </c>
      <c r="I124" s="10">
        <v>9784187.9454299994</v>
      </c>
      <c r="J124" s="10">
        <v>24117402.191029999</v>
      </c>
      <c r="K124" s="10">
        <v>13512981.905950001</v>
      </c>
      <c r="L124" s="10">
        <v>25791403.238960002</v>
      </c>
      <c r="M124" s="10">
        <v>7638016.3107200004</v>
      </c>
      <c r="N124" s="10">
        <v>4926202.1097579999</v>
      </c>
      <c r="O124" s="10">
        <v>19964910.523816999</v>
      </c>
      <c r="P124" s="10"/>
      <c r="Q124" s="10">
        <v>12415121.745130001</v>
      </c>
      <c r="R124" s="10">
        <v>3676213.6646400001</v>
      </c>
      <c r="S124" s="10"/>
      <c r="T124" s="10">
        <v>11809121.719771</v>
      </c>
      <c r="U124" s="10">
        <v>8991211.9440199994</v>
      </c>
      <c r="V124" s="10">
        <v>0</v>
      </c>
      <c r="W124" s="10">
        <v>18912214.194710001</v>
      </c>
      <c r="X124" s="10"/>
      <c r="Y124" s="10">
        <v>8873214.7913400009</v>
      </c>
      <c r="Z124" s="10">
        <v>4450345.6788499998</v>
      </c>
      <c r="AA124" s="10">
        <v>5286363.4604200004</v>
      </c>
      <c r="AB124" s="10">
        <v>4293574.7605999997</v>
      </c>
      <c r="AC124" s="10">
        <v>5983176.4524100004</v>
      </c>
      <c r="AD124" s="10"/>
      <c r="AE124" s="10">
        <v>1036642.70708</v>
      </c>
      <c r="AF124" s="10">
        <v>3858599.3930600001</v>
      </c>
      <c r="AG124" s="10">
        <v>1380611.6041999999</v>
      </c>
      <c r="AH124" s="10">
        <v>3969794.2035599998</v>
      </c>
      <c r="AI124" s="10">
        <v>5464971.8462800002</v>
      </c>
      <c r="AJ124" s="10"/>
      <c r="AK124" s="10">
        <v>236263.64006599999</v>
      </c>
      <c r="AL124" s="10">
        <v>1477776.20365</v>
      </c>
      <c r="AM124" s="10">
        <v>0</v>
      </c>
      <c r="AN124" s="10">
        <v>433922.88264000003</v>
      </c>
      <c r="AO124" s="10">
        <v>2986623.5374699999</v>
      </c>
      <c r="AP124" s="10"/>
      <c r="AQ124" s="10">
        <v>2496577.241436</v>
      </c>
      <c r="AR124" s="10"/>
      <c r="AS124" s="10">
        <v>4811868.7475370001</v>
      </c>
      <c r="AT124" s="10"/>
      <c r="AU124" s="10"/>
      <c r="AV124" s="10"/>
      <c r="AW124" s="10"/>
      <c r="AX124" s="10">
        <v>14188963.177060001</v>
      </c>
      <c r="AY124" s="10">
        <v>1335696.01507</v>
      </c>
      <c r="AZ124" s="10"/>
      <c r="BA124" s="10">
        <v>53786.387300000002</v>
      </c>
      <c r="BB124" s="10">
        <v>158059.86887999999</v>
      </c>
      <c r="BC124" s="10"/>
      <c r="BD124" s="10">
        <v>0</v>
      </c>
      <c r="BE124" s="10"/>
      <c r="BF124" s="10">
        <v>5179.8617999999997</v>
      </c>
      <c r="BG124" s="10">
        <v>39577.467170000004</v>
      </c>
      <c r="BH124" s="10"/>
      <c r="BI124" s="10">
        <v>0</v>
      </c>
      <c r="BJ124" s="10">
        <v>1999900.5366499999</v>
      </c>
      <c r="BK124" s="10">
        <v>5870.1085999999996</v>
      </c>
      <c r="BL124" s="10">
        <v>66537.957479999997</v>
      </c>
      <c r="BM124" s="10"/>
      <c r="BN124" s="10"/>
      <c r="BO124" s="10">
        <v>83532.115430000005</v>
      </c>
      <c r="BP124" s="10">
        <v>0</v>
      </c>
      <c r="BQ124" s="10">
        <v>682126.67483000003</v>
      </c>
      <c r="BR124" s="10">
        <v>363200.34305000002</v>
      </c>
      <c r="BS124" s="10">
        <v>0</v>
      </c>
      <c r="BT124" s="10"/>
      <c r="BU124" s="10">
        <v>84710.517999999996</v>
      </c>
      <c r="BV124" s="10">
        <v>507176.53490000003</v>
      </c>
      <c r="BW124" s="10"/>
      <c r="BX124" s="10">
        <v>0</v>
      </c>
      <c r="BY124" s="10"/>
      <c r="BZ124" s="10"/>
      <c r="CA124" s="10">
        <v>0</v>
      </c>
      <c r="CB124" s="10"/>
      <c r="CC124" s="10">
        <v>174628.41570000001</v>
      </c>
      <c r="CD124" s="10"/>
      <c r="CE124" s="10"/>
      <c r="CF124" s="10"/>
      <c r="CG124" s="10"/>
      <c r="CH124" s="10"/>
      <c r="CI124" s="10"/>
      <c r="CJ124" s="10">
        <v>0</v>
      </c>
      <c r="CK124" s="10"/>
      <c r="CL124" s="10"/>
      <c r="CM124" s="10"/>
      <c r="CN124" s="10"/>
      <c r="CO124" s="10"/>
      <c r="CP124" s="10"/>
      <c r="CQ124" s="10"/>
      <c r="CR124" s="10"/>
      <c r="CS124" s="10">
        <v>0</v>
      </c>
      <c r="CT124" s="10"/>
      <c r="CU124" s="10"/>
      <c r="CV124" s="10"/>
      <c r="CW124" s="10"/>
      <c r="CX124" s="10">
        <v>0</v>
      </c>
      <c r="CY124" s="10"/>
      <c r="CZ124" s="10"/>
      <c r="DA124" s="10">
        <v>0</v>
      </c>
      <c r="DB124" s="10">
        <v>0</v>
      </c>
      <c r="DC124" s="10"/>
      <c r="DD124" s="10">
        <v>0</v>
      </c>
      <c r="DE124" s="10"/>
      <c r="DF124" s="10">
        <v>0</v>
      </c>
      <c r="DG124" s="10"/>
      <c r="DH124" s="10">
        <v>0</v>
      </c>
      <c r="DI124" s="10"/>
    </row>
    <row r="125" spans="1:113" x14ac:dyDescent="0.35">
      <c r="A125" s="8">
        <v>46065</v>
      </c>
      <c r="B125" s="9">
        <v>1517447668.15202</v>
      </c>
      <c r="C125" s="10">
        <v>1889873.533945</v>
      </c>
      <c r="D125" s="10">
        <v>789514782.41524005</v>
      </c>
      <c r="E125" s="10">
        <v>387326935.79250097</v>
      </c>
      <c r="F125" s="10"/>
      <c r="G125" s="10"/>
      <c r="H125" s="10">
        <v>87515137.635800004</v>
      </c>
      <c r="I125" s="10">
        <v>27455092.636879999</v>
      </c>
      <c r="J125" s="10">
        <v>21958449.997889999</v>
      </c>
      <c r="K125" s="10">
        <v>21027184.838879999</v>
      </c>
      <c r="L125" s="10">
        <v>19596425.39962</v>
      </c>
      <c r="M125" s="10">
        <v>7895709.3810299998</v>
      </c>
      <c r="N125" s="10">
        <v>5198864.1892759996</v>
      </c>
      <c r="O125" s="10">
        <v>17007837.219103001</v>
      </c>
      <c r="P125" s="10"/>
      <c r="Q125" s="10">
        <v>11576172.415859999</v>
      </c>
      <c r="R125" s="10">
        <v>1386547.4183100001</v>
      </c>
      <c r="S125" s="10"/>
      <c r="T125" s="10">
        <v>13266190.597453</v>
      </c>
      <c r="U125" s="10">
        <v>8909358.2260500006</v>
      </c>
      <c r="V125" s="10">
        <v>0</v>
      </c>
      <c r="W125" s="10">
        <v>15884617.17055</v>
      </c>
      <c r="X125" s="10"/>
      <c r="Y125" s="10">
        <v>9540648.5604500007</v>
      </c>
      <c r="Z125" s="10">
        <v>3586490.6425000001</v>
      </c>
      <c r="AA125" s="10">
        <v>15413173.171390001</v>
      </c>
      <c r="AB125" s="10">
        <v>3321180.8702799999</v>
      </c>
      <c r="AC125" s="10">
        <v>5441404.4558300003</v>
      </c>
      <c r="AD125" s="10"/>
      <c r="AE125" s="10">
        <v>2920047.3081399999</v>
      </c>
      <c r="AF125" s="10">
        <v>3662736.0670500002</v>
      </c>
      <c r="AG125" s="10">
        <v>2114595.6183000002</v>
      </c>
      <c r="AH125" s="10">
        <v>6282622.9491600003</v>
      </c>
      <c r="AI125" s="10">
        <v>6105346.92129</v>
      </c>
      <c r="AJ125" s="10"/>
      <c r="AK125" s="10">
        <v>1317176.903128</v>
      </c>
      <c r="AL125" s="10">
        <v>415317.16264</v>
      </c>
      <c r="AM125" s="10">
        <v>0</v>
      </c>
      <c r="AN125" s="10">
        <v>1403895.65595</v>
      </c>
      <c r="AO125" s="10">
        <v>1171342.2649600001</v>
      </c>
      <c r="AP125" s="10"/>
      <c r="AQ125" s="10">
        <v>2605868.834977</v>
      </c>
      <c r="AR125" s="10"/>
      <c r="AS125" s="10">
        <v>5039124.2230319995</v>
      </c>
      <c r="AT125" s="10"/>
      <c r="AU125" s="10"/>
      <c r="AV125" s="10"/>
      <c r="AW125" s="10"/>
      <c r="AX125" s="10">
        <v>4441046.6997400001</v>
      </c>
      <c r="AY125" s="10">
        <v>367791.96211000002</v>
      </c>
      <c r="AZ125" s="10"/>
      <c r="BA125" s="10">
        <v>125431.2178</v>
      </c>
      <c r="BB125" s="10">
        <v>697085.78691000002</v>
      </c>
      <c r="BC125" s="10"/>
      <c r="BD125" s="10">
        <v>0</v>
      </c>
      <c r="BE125" s="10"/>
      <c r="BF125" s="10">
        <v>49142.817000000003</v>
      </c>
      <c r="BG125" s="10">
        <v>189339.24101999999</v>
      </c>
      <c r="BH125" s="10"/>
      <c r="BI125" s="10">
        <v>0</v>
      </c>
      <c r="BJ125" s="10">
        <v>1324414.7234400001</v>
      </c>
      <c r="BK125" s="10">
        <v>73750.969200000007</v>
      </c>
      <c r="BL125" s="10">
        <v>74264.875820000001</v>
      </c>
      <c r="BM125" s="10"/>
      <c r="BN125" s="10"/>
      <c r="BO125" s="10">
        <v>281324.52010999998</v>
      </c>
      <c r="BP125" s="10">
        <v>0</v>
      </c>
      <c r="BQ125" s="10">
        <v>243717.98680000001</v>
      </c>
      <c r="BR125" s="10">
        <v>540475.81221</v>
      </c>
      <c r="BS125" s="10">
        <v>0</v>
      </c>
      <c r="BT125" s="10"/>
      <c r="BU125" s="10">
        <v>192944.39441000001</v>
      </c>
      <c r="BV125" s="10">
        <v>393336.43313999998</v>
      </c>
      <c r="BW125" s="10"/>
      <c r="BX125" s="10">
        <v>0</v>
      </c>
      <c r="BY125" s="10"/>
      <c r="BZ125" s="10"/>
      <c r="CA125" s="10">
        <v>0</v>
      </c>
      <c r="CB125" s="10"/>
      <c r="CC125" s="10">
        <v>703450.23485000001</v>
      </c>
      <c r="CD125" s="10"/>
      <c r="CE125" s="10"/>
      <c r="CF125" s="10"/>
      <c r="CG125" s="10"/>
      <c r="CH125" s="10"/>
      <c r="CI125" s="10"/>
      <c r="CJ125" s="10">
        <v>0</v>
      </c>
      <c r="CK125" s="10"/>
      <c r="CL125" s="10"/>
      <c r="CM125" s="10"/>
      <c r="CN125" s="10"/>
      <c r="CO125" s="10"/>
      <c r="CP125" s="10"/>
      <c r="CQ125" s="10"/>
      <c r="CR125" s="10"/>
      <c r="CS125" s="10">
        <v>0</v>
      </c>
      <c r="CT125" s="10"/>
      <c r="CU125" s="10"/>
      <c r="CV125" s="10"/>
      <c r="CW125" s="10"/>
      <c r="CX125" s="10">
        <v>0</v>
      </c>
      <c r="CY125" s="10"/>
      <c r="CZ125" s="10"/>
      <c r="DA125" s="10">
        <v>0</v>
      </c>
      <c r="DB125" s="10">
        <v>0</v>
      </c>
      <c r="DC125" s="10"/>
      <c r="DD125" s="10">
        <v>0</v>
      </c>
      <c r="DE125" s="10"/>
      <c r="DF125" s="10">
        <v>0</v>
      </c>
      <c r="DG125" s="10"/>
      <c r="DH125" s="10">
        <v>0</v>
      </c>
      <c r="DI125" s="10"/>
    </row>
    <row r="126" spans="1:113" x14ac:dyDescent="0.35">
      <c r="A126" s="8">
        <v>46064</v>
      </c>
      <c r="B126" s="9">
        <v>1123334931.6140399</v>
      </c>
      <c r="C126" s="10">
        <v>1995194.8014150001</v>
      </c>
      <c r="D126" s="10">
        <v>465903566.46891999</v>
      </c>
      <c r="E126" s="10">
        <v>322618586.24269998</v>
      </c>
      <c r="F126" s="10"/>
      <c r="G126" s="10"/>
      <c r="H126" s="10">
        <v>88574614.499500096</v>
      </c>
      <c r="I126" s="10">
        <v>20290646.955189999</v>
      </c>
      <c r="J126" s="10">
        <v>21298682.833349999</v>
      </c>
      <c r="K126" s="10">
        <v>12377751.33635</v>
      </c>
      <c r="L126" s="10">
        <v>19215382.422660001</v>
      </c>
      <c r="M126" s="10">
        <v>10257493.09416</v>
      </c>
      <c r="N126" s="10">
        <v>3583823.1707290001</v>
      </c>
      <c r="O126" s="10">
        <v>20906569.720244002</v>
      </c>
      <c r="P126" s="10"/>
      <c r="Q126" s="10">
        <v>22632358.314289998</v>
      </c>
      <c r="R126" s="10">
        <v>850111.61378999997</v>
      </c>
      <c r="S126" s="10"/>
      <c r="T126" s="10">
        <v>16986319.045024</v>
      </c>
      <c r="U126" s="10">
        <v>11846634.69895</v>
      </c>
      <c r="V126" s="10">
        <v>0</v>
      </c>
      <c r="W126" s="10">
        <v>9302080.9158100002</v>
      </c>
      <c r="X126" s="10"/>
      <c r="Y126" s="10">
        <v>9928153.8989700004</v>
      </c>
      <c r="Z126" s="10">
        <v>4604812.0247999998</v>
      </c>
      <c r="AA126" s="10">
        <v>7336969.7853699997</v>
      </c>
      <c r="AB126" s="10">
        <v>3074076.8664600002</v>
      </c>
      <c r="AC126" s="10">
        <v>4951605.2385099996</v>
      </c>
      <c r="AD126" s="10"/>
      <c r="AE126" s="10">
        <v>3012906.3778400002</v>
      </c>
      <c r="AF126" s="10">
        <v>5563736.4870300004</v>
      </c>
      <c r="AG126" s="10">
        <v>4029781.1702999999</v>
      </c>
      <c r="AH126" s="10">
        <v>7067225.6308800001</v>
      </c>
      <c r="AI126" s="10">
        <v>5855471.9345800001</v>
      </c>
      <c r="AJ126" s="10"/>
      <c r="AK126" s="10">
        <v>411427.57303700002</v>
      </c>
      <c r="AL126" s="10">
        <v>595922.5575</v>
      </c>
      <c r="AM126" s="10">
        <v>0</v>
      </c>
      <c r="AN126" s="10">
        <v>1051599.7908399999</v>
      </c>
      <c r="AO126" s="10">
        <v>1616657.93444</v>
      </c>
      <c r="AP126" s="10"/>
      <c r="AQ126" s="10">
        <v>2074628.228051</v>
      </c>
      <c r="AR126" s="10"/>
      <c r="AS126" s="10">
        <v>4195796.7115879999</v>
      </c>
      <c r="AT126" s="10"/>
      <c r="AU126" s="10"/>
      <c r="AV126" s="10"/>
      <c r="AW126" s="10"/>
      <c r="AX126" s="10">
        <v>2658864.21276</v>
      </c>
      <c r="AY126" s="10">
        <v>256206.59557</v>
      </c>
      <c r="AZ126" s="10"/>
      <c r="BA126" s="10">
        <v>55209.025800000003</v>
      </c>
      <c r="BB126" s="10">
        <v>132093.5465</v>
      </c>
      <c r="BC126" s="10"/>
      <c r="BD126" s="10">
        <v>0</v>
      </c>
      <c r="BE126" s="10"/>
      <c r="BF126" s="10">
        <v>11357.5726</v>
      </c>
      <c r="BG126" s="10">
        <v>13348.049639999999</v>
      </c>
      <c r="BH126" s="10"/>
      <c r="BI126" s="10">
        <v>0</v>
      </c>
      <c r="BJ126" s="10">
        <v>2929660.6558500002</v>
      </c>
      <c r="BK126" s="10">
        <v>38641.434999999998</v>
      </c>
      <c r="BL126" s="10">
        <v>726625.26366000006</v>
      </c>
      <c r="BM126" s="10"/>
      <c r="BN126" s="10"/>
      <c r="BO126" s="10">
        <v>216294.43992</v>
      </c>
      <c r="BP126" s="10"/>
      <c r="BQ126" s="10">
        <v>276820.86826999998</v>
      </c>
      <c r="BR126" s="10">
        <v>720459.82663999998</v>
      </c>
      <c r="BS126" s="10">
        <v>0</v>
      </c>
      <c r="BT126" s="10"/>
      <c r="BU126" s="10">
        <v>460814.21214999998</v>
      </c>
      <c r="BV126" s="10">
        <v>671134.98632000003</v>
      </c>
      <c r="BW126" s="10"/>
      <c r="BX126" s="10">
        <v>0</v>
      </c>
      <c r="BY126" s="10"/>
      <c r="BZ126" s="10"/>
      <c r="CA126" s="10">
        <v>0</v>
      </c>
      <c r="CB126" s="10"/>
      <c r="CC126" s="10">
        <v>156812.58008000001</v>
      </c>
      <c r="CD126" s="10"/>
      <c r="CE126" s="10"/>
      <c r="CF126" s="10"/>
      <c r="CG126" s="10"/>
      <c r="CH126" s="10"/>
      <c r="CI126" s="10"/>
      <c r="CJ126" s="10">
        <v>0</v>
      </c>
      <c r="CK126" s="10"/>
      <c r="CL126" s="10"/>
      <c r="CM126" s="10"/>
      <c r="CN126" s="10"/>
      <c r="CO126" s="10"/>
      <c r="CP126" s="10"/>
      <c r="CQ126" s="10"/>
      <c r="CR126" s="10"/>
      <c r="CS126" s="10">
        <v>0</v>
      </c>
      <c r="CT126" s="10"/>
      <c r="CU126" s="10"/>
      <c r="CV126" s="10"/>
      <c r="CW126" s="10"/>
      <c r="CX126" s="10">
        <v>0</v>
      </c>
      <c r="CY126" s="10"/>
      <c r="CZ126" s="10"/>
      <c r="DA126" s="10">
        <v>0</v>
      </c>
      <c r="DB126" s="10">
        <v>0</v>
      </c>
      <c r="DC126" s="10"/>
      <c r="DD126" s="10">
        <v>0</v>
      </c>
      <c r="DE126" s="10"/>
      <c r="DF126" s="10">
        <v>0</v>
      </c>
      <c r="DG126" s="10"/>
      <c r="DH126" s="10">
        <v>0</v>
      </c>
      <c r="DI126" s="10"/>
    </row>
    <row r="127" spans="1:113" x14ac:dyDescent="0.35">
      <c r="A127" s="8">
        <v>46063</v>
      </c>
      <c r="B127" s="9">
        <v>946684539.11882699</v>
      </c>
      <c r="C127" s="10">
        <v>3308819.8010869999</v>
      </c>
      <c r="D127" s="10">
        <v>390641025.94205999</v>
      </c>
      <c r="E127" s="10">
        <v>240319295.37090001</v>
      </c>
      <c r="F127" s="10"/>
      <c r="G127" s="10"/>
      <c r="H127" s="10">
        <v>56595100.503710002</v>
      </c>
      <c r="I127" s="10">
        <v>17547250.929990001</v>
      </c>
      <c r="J127" s="10">
        <v>30966954.085189998</v>
      </c>
      <c r="K127" s="10">
        <v>14673951.155139999</v>
      </c>
      <c r="L127" s="10">
        <v>16846641.543979999</v>
      </c>
      <c r="M127" s="10">
        <v>12075923.37277</v>
      </c>
      <c r="N127" s="10">
        <v>3442933.5761989998</v>
      </c>
      <c r="O127" s="10">
        <v>24351592.990752</v>
      </c>
      <c r="P127" s="10"/>
      <c r="Q127" s="10">
        <v>9758172.1337800007</v>
      </c>
      <c r="R127" s="10">
        <v>1411933.264</v>
      </c>
      <c r="S127" s="10"/>
      <c r="T127" s="10">
        <v>15557350.255643999</v>
      </c>
      <c r="U127" s="10">
        <v>11643923.13181</v>
      </c>
      <c r="V127" s="10">
        <v>0</v>
      </c>
      <c r="W127" s="10">
        <v>11899391.46487</v>
      </c>
      <c r="X127" s="10"/>
      <c r="Y127" s="10">
        <v>10367541.892750001</v>
      </c>
      <c r="Z127" s="10">
        <v>6335064.19331</v>
      </c>
      <c r="AA127" s="10">
        <v>5482570.8870799998</v>
      </c>
      <c r="AB127" s="10">
        <v>6437667.3860600004</v>
      </c>
      <c r="AC127" s="10">
        <v>7693091.8208799995</v>
      </c>
      <c r="AD127" s="10"/>
      <c r="AE127" s="10">
        <v>2015367.48184</v>
      </c>
      <c r="AF127" s="10">
        <v>9561370.9451800007</v>
      </c>
      <c r="AG127" s="10">
        <v>1741741.5149999999</v>
      </c>
      <c r="AH127" s="10">
        <v>4546837.4856599998</v>
      </c>
      <c r="AI127" s="10">
        <v>4916754.4045000002</v>
      </c>
      <c r="AJ127" s="10"/>
      <c r="AK127" s="10">
        <v>333902.498311</v>
      </c>
      <c r="AL127" s="10">
        <v>752971.61788999999</v>
      </c>
      <c r="AM127" s="10">
        <v>0</v>
      </c>
      <c r="AN127" s="10">
        <v>738738.51107000001</v>
      </c>
      <c r="AO127" s="10">
        <v>852383.91974000004</v>
      </c>
      <c r="AP127" s="10"/>
      <c r="AQ127" s="10">
        <v>4973554.1588270003</v>
      </c>
      <c r="AR127" s="10"/>
      <c r="AS127" s="10">
        <v>3616037.7796570002</v>
      </c>
      <c r="AT127" s="10"/>
      <c r="AU127" s="10"/>
      <c r="AV127" s="10"/>
      <c r="AW127" s="10"/>
      <c r="AX127" s="10">
        <v>5844380.0269799996</v>
      </c>
      <c r="AY127" s="10">
        <v>2664159.6600199998</v>
      </c>
      <c r="AZ127" s="10"/>
      <c r="BA127" s="10">
        <v>64457.123599999999</v>
      </c>
      <c r="BB127" s="10">
        <v>2627177.3041099999</v>
      </c>
      <c r="BC127" s="10"/>
      <c r="BD127" s="10">
        <v>0</v>
      </c>
      <c r="BE127" s="10"/>
      <c r="BF127" s="10">
        <v>16667.439200000001</v>
      </c>
      <c r="BG127" s="10">
        <v>18625.143650000002</v>
      </c>
      <c r="BH127" s="10"/>
      <c r="BI127" s="10">
        <v>0</v>
      </c>
      <c r="BJ127" s="10">
        <v>534998.92166999995</v>
      </c>
      <c r="BK127" s="10">
        <v>31866.775000000001</v>
      </c>
      <c r="BL127" s="10">
        <v>570072.08884999994</v>
      </c>
      <c r="BM127" s="10"/>
      <c r="BN127" s="10"/>
      <c r="BO127" s="10">
        <v>86840.063980000006</v>
      </c>
      <c r="BP127" s="10"/>
      <c r="BQ127" s="10">
        <v>416692.30758000002</v>
      </c>
      <c r="BR127" s="10">
        <v>876034.79128999996</v>
      </c>
      <c r="BS127" s="10">
        <v>0</v>
      </c>
      <c r="BT127" s="10"/>
      <c r="BU127" s="10">
        <v>513544.84972</v>
      </c>
      <c r="BV127" s="10">
        <v>957292.51581000001</v>
      </c>
      <c r="BW127" s="10"/>
      <c r="BX127" s="10">
        <v>0</v>
      </c>
      <c r="BY127" s="10"/>
      <c r="BZ127" s="10"/>
      <c r="CA127" s="10">
        <v>0</v>
      </c>
      <c r="CB127" s="10"/>
      <c r="CC127" s="10">
        <v>55874.087729999999</v>
      </c>
      <c r="CD127" s="10"/>
      <c r="CE127" s="10"/>
      <c r="CF127" s="10"/>
      <c r="CG127" s="10"/>
      <c r="CH127" s="10"/>
      <c r="CI127" s="10"/>
      <c r="CJ127" s="10">
        <v>0</v>
      </c>
      <c r="CK127" s="10"/>
      <c r="CL127" s="10"/>
      <c r="CM127" s="10"/>
      <c r="CN127" s="10"/>
      <c r="CO127" s="10"/>
      <c r="CP127" s="10"/>
      <c r="CQ127" s="10"/>
      <c r="CR127" s="10"/>
      <c r="CS127" s="10">
        <v>0</v>
      </c>
      <c r="CT127" s="10"/>
      <c r="CU127" s="10"/>
      <c r="CV127" s="10"/>
      <c r="CW127" s="10"/>
      <c r="CX127" s="10">
        <v>0</v>
      </c>
      <c r="CY127" s="10"/>
      <c r="CZ127" s="10"/>
      <c r="DA127" s="10">
        <v>0</v>
      </c>
      <c r="DB127" s="10">
        <v>0</v>
      </c>
      <c r="DC127" s="10"/>
      <c r="DD127" s="10">
        <v>0</v>
      </c>
      <c r="DE127" s="10"/>
      <c r="DF127" s="10">
        <v>0</v>
      </c>
      <c r="DG127" s="10"/>
      <c r="DH127" s="10">
        <v>0</v>
      </c>
      <c r="DI127" s="10"/>
    </row>
    <row r="128" spans="1:113" x14ac:dyDescent="0.35">
      <c r="A128" s="8">
        <v>46062</v>
      </c>
      <c r="B128" s="9">
        <v>1171923659.49775</v>
      </c>
      <c r="C128" s="10">
        <v>2633579.8332110001</v>
      </c>
      <c r="D128" s="10">
        <v>542541669.43534005</v>
      </c>
      <c r="E128" s="10">
        <v>236105652.71079999</v>
      </c>
      <c r="F128" s="10"/>
      <c r="G128" s="10"/>
      <c r="H128" s="10">
        <v>111991021.42106</v>
      </c>
      <c r="I128" s="10">
        <v>24898396.191909999</v>
      </c>
      <c r="J128" s="10">
        <v>32533597.11606</v>
      </c>
      <c r="K128" s="10">
        <v>14659294.09228</v>
      </c>
      <c r="L128" s="10">
        <v>14999252.94884</v>
      </c>
      <c r="M128" s="10">
        <v>21690934.29476</v>
      </c>
      <c r="N128" s="10">
        <v>4170822.4518639999</v>
      </c>
      <c r="O128" s="10">
        <v>35451357.918099999</v>
      </c>
      <c r="P128" s="10"/>
      <c r="Q128" s="10">
        <v>7886484.2403499996</v>
      </c>
      <c r="R128" s="10">
        <v>1775390.20343</v>
      </c>
      <c r="S128" s="10"/>
      <c r="T128" s="10">
        <v>12709869.449573999</v>
      </c>
      <c r="U128" s="10">
        <v>11804406.72782</v>
      </c>
      <c r="V128" s="10">
        <v>0</v>
      </c>
      <c r="W128" s="10">
        <v>9490260.9456400108</v>
      </c>
      <c r="X128" s="10"/>
      <c r="Y128" s="10">
        <v>9942417.50973</v>
      </c>
      <c r="Z128" s="10">
        <v>7173612.9478700003</v>
      </c>
      <c r="AA128" s="10">
        <v>15198872.30985</v>
      </c>
      <c r="AB128" s="10">
        <v>7627495.5596099999</v>
      </c>
      <c r="AC128" s="10">
        <v>7430694.0599100003</v>
      </c>
      <c r="AD128" s="10"/>
      <c r="AE128" s="10">
        <v>3419384.2578199999</v>
      </c>
      <c r="AF128" s="10">
        <v>5454529.4547300003</v>
      </c>
      <c r="AG128" s="10">
        <v>2816500.2754000002</v>
      </c>
      <c r="AH128" s="10">
        <v>4194383.5947200004</v>
      </c>
      <c r="AI128" s="10">
        <v>3537301.84467</v>
      </c>
      <c r="AJ128" s="10"/>
      <c r="AK128" s="10">
        <v>1343598.3363600001</v>
      </c>
      <c r="AL128" s="10">
        <v>1661632.89833</v>
      </c>
      <c r="AM128" s="10">
        <v>0</v>
      </c>
      <c r="AN128" s="10">
        <v>1134046.8521400001</v>
      </c>
      <c r="AO128" s="10">
        <v>1007801.2633</v>
      </c>
      <c r="AP128" s="10"/>
      <c r="AQ128" s="10">
        <v>2061617.097941</v>
      </c>
      <c r="AR128" s="10"/>
      <c r="AS128" s="10">
        <v>4049858.884503</v>
      </c>
      <c r="AT128" s="10"/>
      <c r="AU128" s="10"/>
      <c r="AV128" s="10"/>
      <c r="AW128" s="10"/>
      <c r="AX128" s="10">
        <v>2386309.5056599998</v>
      </c>
      <c r="AY128" s="10">
        <v>1373578.4696299999</v>
      </c>
      <c r="AZ128" s="10"/>
      <c r="BA128" s="10">
        <v>68047.422399999996</v>
      </c>
      <c r="BB128" s="10">
        <v>2704816.5661800001</v>
      </c>
      <c r="BC128" s="10"/>
      <c r="BD128" s="10">
        <v>0</v>
      </c>
      <c r="BE128" s="10"/>
      <c r="BF128" s="10">
        <v>57611.9323</v>
      </c>
      <c r="BG128" s="10">
        <v>23237.345600000001</v>
      </c>
      <c r="BH128" s="10"/>
      <c r="BI128" s="10">
        <v>0</v>
      </c>
      <c r="BJ128" s="10">
        <v>415016.15905999998</v>
      </c>
      <c r="BK128" s="10">
        <v>32639.056</v>
      </c>
      <c r="BL128" s="10">
        <v>90127.379209999999</v>
      </c>
      <c r="BM128" s="10"/>
      <c r="BN128" s="10"/>
      <c r="BO128" s="10">
        <v>146475.52319000001</v>
      </c>
      <c r="BP128" s="10"/>
      <c r="BQ128" s="10">
        <v>247743.07957</v>
      </c>
      <c r="BR128" s="10">
        <v>305601.66527</v>
      </c>
      <c r="BS128" s="10">
        <v>0</v>
      </c>
      <c r="BT128" s="10"/>
      <c r="BU128" s="10">
        <v>459832.40967000002</v>
      </c>
      <c r="BV128" s="10">
        <v>171115.74054</v>
      </c>
      <c r="BW128" s="10"/>
      <c r="BX128" s="10">
        <v>0</v>
      </c>
      <c r="BY128" s="10"/>
      <c r="BZ128" s="10"/>
      <c r="CA128" s="10">
        <v>0</v>
      </c>
      <c r="CB128" s="10"/>
      <c r="CC128" s="10">
        <v>45770.115550000002</v>
      </c>
      <c r="CD128" s="10"/>
      <c r="CE128" s="10"/>
      <c r="CF128" s="10"/>
      <c r="CG128" s="10"/>
      <c r="CH128" s="10"/>
      <c r="CI128" s="10"/>
      <c r="CJ128" s="10">
        <v>0</v>
      </c>
      <c r="CK128" s="10"/>
      <c r="CL128" s="10"/>
      <c r="CM128" s="10"/>
      <c r="CN128" s="10"/>
      <c r="CO128" s="10"/>
      <c r="CP128" s="10"/>
      <c r="CQ128" s="10"/>
      <c r="CR128" s="10"/>
      <c r="CS128" s="10">
        <v>0</v>
      </c>
      <c r="CT128" s="10"/>
      <c r="CU128" s="10"/>
      <c r="CV128" s="10"/>
      <c r="CW128" s="10"/>
      <c r="CX128" s="10">
        <v>0</v>
      </c>
      <c r="CY128" s="10"/>
      <c r="CZ128" s="10"/>
      <c r="DA128" s="10">
        <v>0</v>
      </c>
      <c r="DB128" s="10">
        <v>0</v>
      </c>
      <c r="DC128" s="10"/>
      <c r="DD128" s="10">
        <v>0</v>
      </c>
      <c r="DE128" s="10"/>
      <c r="DF128" s="10"/>
      <c r="DG128" s="10"/>
      <c r="DH128" s="10">
        <v>0</v>
      </c>
      <c r="DI128" s="10"/>
    </row>
    <row r="129" spans="1:113" x14ac:dyDescent="0.35">
      <c r="A129" s="8">
        <v>46061</v>
      </c>
      <c r="B129" s="9">
        <v>202997903.33186701</v>
      </c>
      <c r="C129" s="10">
        <v>170143.77342899999</v>
      </c>
      <c r="D129" s="10">
        <v>81608428.6620401</v>
      </c>
      <c r="E129" s="10">
        <v>36837974.710100003</v>
      </c>
      <c r="F129" s="10"/>
      <c r="G129" s="10"/>
      <c r="H129" s="10">
        <v>43350048.920960002</v>
      </c>
      <c r="I129" s="10">
        <v>131570.49158</v>
      </c>
      <c r="J129" s="10">
        <v>1443152.1716199999</v>
      </c>
      <c r="K129" s="10">
        <v>216493.91910999999</v>
      </c>
      <c r="L129" s="10">
        <v>2101558.4780700002</v>
      </c>
      <c r="M129" s="10">
        <v>350223.29486999998</v>
      </c>
      <c r="N129" s="10">
        <v>1109984.3997460001</v>
      </c>
      <c r="O129" s="10">
        <v>9808877.35616301</v>
      </c>
      <c r="P129" s="10"/>
      <c r="Q129" s="10">
        <v>874713.37158000004</v>
      </c>
      <c r="R129" s="10">
        <v>1421351.19787</v>
      </c>
      <c r="S129" s="10"/>
      <c r="T129" s="10">
        <v>631226.53888400004</v>
      </c>
      <c r="U129" s="10">
        <v>2189478.76516</v>
      </c>
      <c r="V129" s="10">
        <v>0</v>
      </c>
      <c r="W129" s="10">
        <v>625612.40702000004</v>
      </c>
      <c r="X129" s="10"/>
      <c r="Y129" s="10">
        <v>319281.84643999999</v>
      </c>
      <c r="Z129" s="10">
        <v>38711.261899999998</v>
      </c>
      <c r="AA129" s="10">
        <v>8815864.3053999897</v>
      </c>
      <c r="AB129" s="10">
        <v>113583.27656</v>
      </c>
      <c r="AC129" s="10">
        <v>531953.73685999995</v>
      </c>
      <c r="AD129" s="10"/>
      <c r="AE129" s="10">
        <v>541330.79833999998</v>
      </c>
      <c r="AF129" s="10">
        <v>445840.59584000002</v>
      </c>
      <c r="AG129" s="10">
        <v>3291936.3574000001</v>
      </c>
      <c r="AH129" s="10">
        <v>179586.50081</v>
      </c>
      <c r="AI129" s="10">
        <v>517099.44510999997</v>
      </c>
      <c r="AJ129" s="10"/>
      <c r="AK129" s="10">
        <v>37912.917389000002</v>
      </c>
      <c r="AL129" s="10">
        <v>73184.091969999994</v>
      </c>
      <c r="AM129" s="10">
        <v>0</v>
      </c>
      <c r="AN129" s="10">
        <v>2768625.44893</v>
      </c>
      <c r="AO129" s="10">
        <v>28527.997220000001</v>
      </c>
      <c r="AP129" s="10"/>
      <c r="AQ129" s="10">
        <v>39968.016150000003</v>
      </c>
      <c r="AR129" s="10"/>
      <c r="AS129" s="10">
        <v>522192.59346599999</v>
      </c>
      <c r="AT129" s="10"/>
      <c r="AU129" s="10"/>
      <c r="AV129" s="10"/>
      <c r="AW129" s="10"/>
      <c r="AX129" s="10">
        <v>95446.174679999996</v>
      </c>
      <c r="AY129" s="10">
        <v>139312.97865999999</v>
      </c>
      <c r="AZ129" s="10"/>
      <c r="BA129" s="10">
        <v>314968.5784</v>
      </c>
      <c r="BB129" s="10">
        <v>69090.594169999997</v>
      </c>
      <c r="BC129" s="10"/>
      <c r="BD129" s="10">
        <v>0</v>
      </c>
      <c r="BE129" s="10"/>
      <c r="BF129" s="10">
        <v>1623.1793</v>
      </c>
      <c r="BG129" s="10">
        <v>25556.132280000002</v>
      </c>
      <c r="BH129" s="10"/>
      <c r="BI129" s="10">
        <v>0</v>
      </c>
      <c r="BJ129" s="10">
        <v>45226.820749999999</v>
      </c>
      <c r="BK129" s="10">
        <v>12403.776099999999</v>
      </c>
      <c r="BL129" s="10">
        <v>1089841.29308</v>
      </c>
      <c r="BM129" s="10"/>
      <c r="BN129" s="10"/>
      <c r="BO129" s="10">
        <v>36320.163520000002</v>
      </c>
      <c r="BP129" s="10"/>
      <c r="BQ129" s="10">
        <v>6334.7329099999997</v>
      </c>
      <c r="BR129" s="10">
        <v>13618.04866</v>
      </c>
      <c r="BS129" s="10">
        <v>0</v>
      </c>
      <c r="BT129" s="10"/>
      <c r="BU129" s="10">
        <v>1126.4964</v>
      </c>
      <c r="BV129" s="10">
        <v>5684.9736300000004</v>
      </c>
      <c r="BW129" s="10"/>
      <c r="BX129" s="10">
        <v>0</v>
      </c>
      <c r="BY129" s="10"/>
      <c r="BZ129" s="10"/>
      <c r="CA129" s="10">
        <v>0</v>
      </c>
      <c r="CB129" s="10"/>
      <c r="CC129" s="10">
        <v>4911.7413399999996</v>
      </c>
      <c r="CD129" s="10"/>
      <c r="CE129" s="10"/>
      <c r="CF129" s="10"/>
      <c r="CG129" s="10"/>
      <c r="CH129" s="10"/>
      <c r="CI129" s="10"/>
      <c r="CJ129" s="10">
        <v>0</v>
      </c>
      <c r="CK129" s="10"/>
      <c r="CL129" s="10"/>
      <c r="CM129" s="10"/>
      <c r="CN129" s="10"/>
      <c r="CO129" s="10"/>
      <c r="CP129" s="10"/>
      <c r="CQ129" s="10"/>
      <c r="CR129" s="10"/>
      <c r="CS129" s="10">
        <v>0</v>
      </c>
      <c r="CT129" s="10"/>
      <c r="CU129" s="10"/>
      <c r="CV129" s="10"/>
      <c r="CW129" s="10"/>
      <c r="CX129" s="10">
        <v>0</v>
      </c>
      <c r="CY129" s="10"/>
      <c r="CZ129" s="10"/>
      <c r="DA129" s="10">
        <v>0</v>
      </c>
      <c r="DB129" s="10">
        <v>0</v>
      </c>
      <c r="DC129" s="10"/>
      <c r="DD129" s="10">
        <v>0</v>
      </c>
      <c r="DE129" s="10"/>
      <c r="DF129" s="10"/>
      <c r="DG129" s="10"/>
      <c r="DH129" s="10">
        <v>0</v>
      </c>
      <c r="DI129" s="10"/>
    </row>
    <row r="130" spans="1:113" x14ac:dyDescent="0.35">
      <c r="A130" s="8">
        <v>46060</v>
      </c>
      <c r="B130" s="9">
        <v>100130324.942036</v>
      </c>
      <c r="C130" s="10">
        <v>193135.056259</v>
      </c>
      <c r="D130" s="10">
        <v>15428409.3606</v>
      </c>
      <c r="E130" s="10">
        <v>40601604.2654</v>
      </c>
      <c r="F130" s="10"/>
      <c r="G130" s="10"/>
      <c r="H130" s="10">
        <v>15075346.8532</v>
      </c>
      <c r="I130" s="10">
        <v>261854.4351</v>
      </c>
      <c r="J130" s="10">
        <v>815350.24419</v>
      </c>
      <c r="K130" s="10">
        <v>100148.73823</v>
      </c>
      <c r="L130" s="10">
        <v>1534643.1299399999</v>
      </c>
      <c r="M130" s="10">
        <v>334212.52983000001</v>
      </c>
      <c r="N130" s="10">
        <v>1749833.266293</v>
      </c>
      <c r="O130" s="10">
        <v>2142372.7475419999</v>
      </c>
      <c r="P130" s="10"/>
      <c r="Q130" s="10">
        <v>780486.70126999996</v>
      </c>
      <c r="R130" s="10">
        <v>689558.21710000001</v>
      </c>
      <c r="S130" s="10"/>
      <c r="T130" s="10">
        <v>928461.55113299994</v>
      </c>
      <c r="U130" s="10">
        <v>5139941.5816599997</v>
      </c>
      <c r="V130" s="10">
        <v>0</v>
      </c>
      <c r="W130" s="10">
        <v>1023919.03713</v>
      </c>
      <c r="X130" s="10"/>
      <c r="Y130" s="10">
        <v>330742.07156999997</v>
      </c>
      <c r="Z130" s="10">
        <v>64615.838219999998</v>
      </c>
      <c r="AA130" s="10">
        <v>199495.8799</v>
      </c>
      <c r="AB130" s="10">
        <v>159463.96208999999</v>
      </c>
      <c r="AC130" s="10">
        <v>1425651.8966099999</v>
      </c>
      <c r="AD130" s="10"/>
      <c r="AE130" s="10">
        <v>228750.00180999999</v>
      </c>
      <c r="AF130" s="10">
        <v>483069.63731000002</v>
      </c>
      <c r="AG130" s="10">
        <v>788930.71950000001</v>
      </c>
      <c r="AH130" s="10">
        <v>517101.63520999998</v>
      </c>
      <c r="AI130" s="10">
        <v>466640.25075000001</v>
      </c>
      <c r="AJ130" s="10"/>
      <c r="AK130" s="10">
        <v>29259.471837000001</v>
      </c>
      <c r="AL130" s="10">
        <v>1328211.24379</v>
      </c>
      <c r="AM130" s="10">
        <v>0</v>
      </c>
      <c r="AN130" s="10">
        <v>4117055.4996799999</v>
      </c>
      <c r="AO130" s="10">
        <v>37974.392220000002</v>
      </c>
      <c r="AP130" s="10"/>
      <c r="AQ130" s="10">
        <v>29021.540168</v>
      </c>
      <c r="AR130" s="10"/>
      <c r="AS130" s="10">
        <v>1154728.550814</v>
      </c>
      <c r="AT130" s="10"/>
      <c r="AU130" s="10"/>
      <c r="AV130" s="10"/>
      <c r="AW130" s="10"/>
      <c r="AX130" s="10">
        <v>12125.5196</v>
      </c>
      <c r="AY130" s="10">
        <v>2881.7430800000002</v>
      </c>
      <c r="AZ130" s="10"/>
      <c r="BA130" s="10">
        <v>122906.49159999999</v>
      </c>
      <c r="BB130" s="10">
        <v>99268.952659999995</v>
      </c>
      <c r="BC130" s="10"/>
      <c r="BD130" s="10">
        <v>0</v>
      </c>
      <c r="BE130" s="10"/>
      <c r="BF130" s="10">
        <v>1830.4899</v>
      </c>
      <c r="BG130" s="10">
        <v>54118.242259999999</v>
      </c>
      <c r="BH130" s="10"/>
      <c r="BI130" s="10">
        <v>0</v>
      </c>
      <c r="BJ130" s="10">
        <v>77700.018110000005</v>
      </c>
      <c r="BK130" s="10">
        <v>46312.287100000001</v>
      </c>
      <c r="BL130" s="10">
        <v>1365268.95572</v>
      </c>
      <c r="BM130" s="10"/>
      <c r="BN130" s="10"/>
      <c r="BO130" s="10">
        <v>43497.11204</v>
      </c>
      <c r="BP130" s="10"/>
      <c r="BQ130" s="10">
        <v>13202.54204</v>
      </c>
      <c r="BR130" s="10">
        <v>61418.339200000002</v>
      </c>
      <c r="BS130" s="10">
        <v>0</v>
      </c>
      <c r="BT130" s="10"/>
      <c r="BU130" s="10">
        <v>21384.360850000001</v>
      </c>
      <c r="BV130" s="10">
        <v>28809.662960000001</v>
      </c>
      <c r="BW130" s="10"/>
      <c r="BX130" s="10">
        <v>0</v>
      </c>
      <c r="BY130" s="10"/>
      <c r="BZ130" s="10"/>
      <c r="CA130" s="10">
        <v>0</v>
      </c>
      <c r="CB130" s="10"/>
      <c r="CC130" s="10">
        <v>19609.918559999998</v>
      </c>
      <c r="CD130" s="10"/>
      <c r="CE130" s="10"/>
      <c r="CF130" s="10"/>
      <c r="CG130" s="10"/>
      <c r="CH130" s="10"/>
      <c r="CI130" s="10"/>
      <c r="CJ130" s="10">
        <v>0</v>
      </c>
      <c r="CK130" s="10"/>
      <c r="CL130" s="10"/>
      <c r="CM130" s="10"/>
      <c r="CN130" s="10"/>
      <c r="CO130" s="10"/>
      <c r="CP130" s="10"/>
      <c r="CQ130" s="10"/>
      <c r="CR130" s="10"/>
      <c r="CS130" s="10">
        <v>0</v>
      </c>
      <c r="CT130" s="10"/>
      <c r="CU130" s="10"/>
      <c r="CV130" s="10"/>
      <c r="CW130" s="10"/>
      <c r="CX130" s="10">
        <v>0</v>
      </c>
      <c r="CY130" s="10"/>
      <c r="CZ130" s="10"/>
      <c r="DA130" s="10">
        <v>0</v>
      </c>
      <c r="DB130" s="10">
        <v>0</v>
      </c>
      <c r="DC130" s="10"/>
      <c r="DD130" s="10">
        <v>0</v>
      </c>
      <c r="DE130" s="10"/>
      <c r="DF130" s="10"/>
      <c r="DG130" s="10"/>
      <c r="DH130" s="10">
        <v>0</v>
      </c>
      <c r="DI130" s="10"/>
    </row>
    <row r="131" spans="1:113" x14ac:dyDescent="0.35">
      <c r="A131" s="8">
        <v>46059</v>
      </c>
      <c r="B131" s="9">
        <v>2782255056.7220602</v>
      </c>
      <c r="C131" s="10">
        <v>3762718.4247730002</v>
      </c>
      <c r="D131" s="10">
        <v>1886206653.19506</v>
      </c>
      <c r="E131" s="10">
        <v>372924231.15009999</v>
      </c>
      <c r="F131" s="10"/>
      <c r="G131" s="10"/>
      <c r="H131" s="10">
        <v>170088375.76025999</v>
      </c>
      <c r="I131" s="10">
        <v>15592419.918339999</v>
      </c>
      <c r="J131" s="10">
        <v>24898244.682080001</v>
      </c>
      <c r="K131" s="10">
        <v>17110300.283690002</v>
      </c>
      <c r="L131" s="10">
        <v>22693309.781319998</v>
      </c>
      <c r="M131" s="10">
        <v>9424971.0262400005</v>
      </c>
      <c r="N131" s="10">
        <v>6249213.862036</v>
      </c>
      <c r="O131" s="10">
        <v>40023495.988685101</v>
      </c>
      <c r="P131" s="10"/>
      <c r="Q131" s="10">
        <v>18143505.307870001</v>
      </c>
      <c r="R131" s="10">
        <v>5656080.7180000003</v>
      </c>
      <c r="S131" s="10"/>
      <c r="T131" s="10">
        <v>14911471.805948</v>
      </c>
      <c r="U131" s="10">
        <v>22932011.596000001</v>
      </c>
      <c r="V131" s="10">
        <v>0</v>
      </c>
      <c r="W131" s="10">
        <v>13572227.103189999</v>
      </c>
      <c r="X131" s="10"/>
      <c r="Y131" s="10">
        <v>11950243.70129</v>
      </c>
      <c r="Z131" s="10">
        <v>6774215.3269699998</v>
      </c>
      <c r="AA131" s="10">
        <v>21802790.93324</v>
      </c>
      <c r="AB131" s="10">
        <v>3457166.1568300002</v>
      </c>
      <c r="AC131" s="10">
        <v>17417683.634020001</v>
      </c>
      <c r="AD131" s="10"/>
      <c r="AE131" s="10">
        <v>4425415.90546</v>
      </c>
      <c r="AF131" s="10">
        <v>7469905.8179900004</v>
      </c>
      <c r="AG131" s="10">
        <v>1735612.1703999999</v>
      </c>
      <c r="AH131" s="10">
        <v>4108504.0669399998</v>
      </c>
      <c r="AI131" s="10">
        <v>6014253.4292700002</v>
      </c>
      <c r="AJ131" s="10"/>
      <c r="AK131" s="10">
        <v>673245.42473500001</v>
      </c>
      <c r="AL131" s="10">
        <v>348801.63212999998</v>
      </c>
      <c r="AM131" s="10">
        <v>0</v>
      </c>
      <c r="AN131" s="10">
        <v>28739315.562449999</v>
      </c>
      <c r="AO131" s="10">
        <v>1504226.6839699999</v>
      </c>
      <c r="AP131" s="10"/>
      <c r="AQ131" s="10">
        <v>2328194.3749640002</v>
      </c>
      <c r="AR131" s="10"/>
      <c r="AS131" s="10">
        <v>5260493.389157</v>
      </c>
      <c r="AT131" s="10"/>
      <c r="AU131" s="10"/>
      <c r="AV131" s="10"/>
      <c r="AW131" s="10"/>
      <c r="AX131" s="10">
        <v>1942862.6477600001</v>
      </c>
      <c r="AY131" s="10">
        <v>5085984.4397099996</v>
      </c>
      <c r="AZ131" s="10"/>
      <c r="BA131" s="10">
        <v>416891.60519999999</v>
      </c>
      <c r="BB131" s="10">
        <v>435639.66158999997</v>
      </c>
      <c r="BC131" s="10"/>
      <c r="BD131" s="10">
        <v>0</v>
      </c>
      <c r="BE131" s="10"/>
      <c r="BF131" s="10">
        <v>359630.96380000003</v>
      </c>
      <c r="BG131" s="10">
        <v>94910.044349999996</v>
      </c>
      <c r="BH131" s="10"/>
      <c r="BI131" s="10">
        <v>0</v>
      </c>
      <c r="BJ131" s="10">
        <v>1202925.1192699999</v>
      </c>
      <c r="BK131" s="10">
        <v>114351.9708</v>
      </c>
      <c r="BL131" s="10">
        <v>478926.55950999999</v>
      </c>
      <c r="BM131" s="10"/>
      <c r="BN131" s="10"/>
      <c r="BO131" s="10">
        <v>535589.10094999999</v>
      </c>
      <c r="BP131" s="10"/>
      <c r="BQ131" s="10">
        <v>975021.70921</v>
      </c>
      <c r="BR131" s="10">
        <v>1635689.5795400001</v>
      </c>
      <c r="BS131" s="10">
        <v>0</v>
      </c>
      <c r="BT131" s="10"/>
      <c r="BU131" s="10">
        <v>179127.94263999999</v>
      </c>
      <c r="BV131" s="10">
        <v>506380.61861</v>
      </c>
      <c r="BW131" s="10"/>
      <c r="BX131" s="10">
        <v>0</v>
      </c>
      <c r="BY131" s="10"/>
      <c r="BZ131" s="10"/>
      <c r="CA131" s="10">
        <v>0</v>
      </c>
      <c r="CB131" s="10"/>
      <c r="CC131" s="10">
        <v>91825.94571</v>
      </c>
      <c r="CD131" s="10"/>
      <c r="CE131" s="10"/>
      <c r="CF131" s="10"/>
      <c r="CG131" s="10"/>
      <c r="CH131" s="10"/>
      <c r="CI131" s="10"/>
      <c r="CJ131" s="10">
        <v>0</v>
      </c>
      <c r="CK131" s="10"/>
      <c r="CL131" s="10"/>
      <c r="CM131" s="10"/>
      <c r="CN131" s="10"/>
      <c r="CO131" s="10"/>
      <c r="CP131" s="10"/>
      <c r="CQ131" s="10"/>
      <c r="CR131" s="10"/>
      <c r="CS131" s="10">
        <v>0</v>
      </c>
      <c r="CT131" s="10"/>
      <c r="CU131" s="10"/>
      <c r="CV131" s="10"/>
      <c r="CW131" s="10"/>
      <c r="CX131" s="10">
        <v>0</v>
      </c>
      <c r="CY131" s="10"/>
      <c r="CZ131" s="10"/>
      <c r="DA131" s="10">
        <v>0</v>
      </c>
      <c r="DB131" s="10">
        <v>0</v>
      </c>
      <c r="DC131" s="10"/>
      <c r="DD131" s="10">
        <v>0</v>
      </c>
      <c r="DE131" s="10"/>
      <c r="DF131" s="10"/>
      <c r="DG131" s="10"/>
      <c r="DH131" s="10">
        <v>0</v>
      </c>
      <c r="DI131" s="10"/>
    </row>
    <row r="132" spans="1:113" x14ac:dyDescent="0.35">
      <c r="A132" s="8">
        <v>46058</v>
      </c>
      <c r="B132" s="9">
        <v>4713080850.2460804</v>
      </c>
      <c r="C132" s="10">
        <v>7433203.1897109998</v>
      </c>
      <c r="D132" s="10">
        <v>3418622763.9264998</v>
      </c>
      <c r="E132" s="10">
        <v>541914430.42269802</v>
      </c>
      <c r="F132" s="10"/>
      <c r="G132" s="10"/>
      <c r="H132" s="10">
        <v>290717611.07555002</v>
      </c>
      <c r="I132" s="10">
        <v>31486268.040070001</v>
      </c>
      <c r="J132" s="10">
        <v>28684541.945900001</v>
      </c>
      <c r="K132" s="10">
        <v>65164969.88854</v>
      </c>
      <c r="L132" s="10">
        <v>23419456.159899998</v>
      </c>
      <c r="M132" s="10">
        <v>11903463.34547</v>
      </c>
      <c r="N132" s="10">
        <v>8091693.0421529999</v>
      </c>
      <c r="O132" s="10">
        <v>60035061.356730998</v>
      </c>
      <c r="P132" s="10"/>
      <c r="Q132" s="10">
        <v>31583439.081889998</v>
      </c>
      <c r="R132" s="10">
        <v>7275452.29452</v>
      </c>
      <c r="S132" s="10"/>
      <c r="T132" s="10">
        <v>12663871.583830001</v>
      </c>
      <c r="U132" s="10">
        <v>22021408.634470001</v>
      </c>
      <c r="V132" s="10">
        <v>0</v>
      </c>
      <c r="W132" s="10">
        <v>15069284.870750001</v>
      </c>
      <c r="X132" s="10"/>
      <c r="Y132" s="10">
        <v>17396740.340009999</v>
      </c>
      <c r="Z132" s="10">
        <v>11747611.764119999</v>
      </c>
      <c r="AA132" s="10">
        <v>23247669.486570001</v>
      </c>
      <c r="AB132" s="10">
        <v>4776527.4784000004</v>
      </c>
      <c r="AC132" s="10">
        <v>20283256.086619999</v>
      </c>
      <c r="AD132" s="10"/>
      <c r="AE132" s="10">
        <v>2877477.3736899998</v>
      </c>
      <c r="AF132" s="10">
        <v>5968894.0443700003</v>
      </c>
      <c r="AG132" s="10">
        <v>2186958.6883</v>
      </c>
      <c r="AH132" s="10">
        <v>7116916.8679400003</v>
      </c>
      <c r="AI132" s="10">
        <v>8419474.4615199994</v>
      </c>
      <c r="AJ132" s="10"/>
      <c r="AK132" s="10">
        <v>506040.85317100002</v>
      </c>
      <c r="AL132" s="10">
        <v>299889.02600000001</v>
      </c>
      <c r="AM132" s="10">
        <v>0</v>
      </c>
      <c r="AN132" s="10">
        <v>772924.95201999997</v>
      </c>
      <c r="AO132" s="10">
        <v>834604.37075999996</v>
      </c>
      <c r="AP132" s="10"/>
      <c r="AQ132" s="10">
        <v>4793596.7407769999</v>
      </c>
      <c r="AR132" s="10"/>
      <c r="AS132" s="10">
        <v>11946543.431815</v>
      </c>
      <c r="AT132" s="10"/>
      <c r="AU132" s="10"/>
      <c r="AV132" s="10"/>
      <c r="AW132" s="10"/>
      <c r="AX132" s="10">
        <v>3702724.1174900001</v>
      </c>
      <c r="AY132" s="10">
        <v>1391312.4881500001</v>
      </c>
      <c r="AZ132" s="10"/>
      <c r="BA132" s="10">
        <v>1653569.6804</v>
      </c>
      <c r="BB132" s="10">
        <v>677459.52524999995</v>
      </c>
      <c r="BC132" s="10"/>
      <c r="BD132" s="10">
        <v>0</v>
      </c>
      <c r="BE132" s="10"/>
      <c r="BF132" s="10">
        <v>517763.14120000001</v>
      </c>
      <c r="BG132" s="10">
        <v>77884.505529999995</v>
      </c>
      <c r="BH132" s="10"/>
      <c r="BI132" s="10">
        <v>0</v>
      </c>
      <c r="BJ132" s="10">
        <v>2149884.0167</v>
      </c>
      <c r="BK132" s="10">
        <v>385004.03470000002</v>
      </c>
      <c r="BL132" s="10">
        <v>327476.49796000001</v>
      </c>
      <c r="BM132" s="10"/>
      <c r="BN132" s="10"/>
      <c r="BO132" s="10">
        <v>620851.02133999998</v>
      </c>
      <c r="BP132" s="10"/>
      <c r="BQ132" s="10">
        <v>673378.77396000002</v>
      </c>
      <c r="BR132" s="10">
        <v>926107.61594000005</v>
      </c>
      <c r="BS132" s="10">
        <v>0</v>
      </c>
      <c r="BT132" s="10"/>
      <c r="BU132" s="10">
        <v>150159.46127999999</v>
      </c>
      <c r="BV132" s="10">
        <v>407212.77402000001</v>
      </c>
      <c r="BW132" s="10"/>
      <c r="BX132" s="10">
        <v>0</v>
      </c>
      <c r="BY132" s="10"/>
      <c r="BZ132" s="10"/>
      <c r="CA132" s="10">
        <v>0</v>
      </c>
      <c r="CB132" s="10"/>
      <c r="CC132" s="10">
        <v>158017.76740000001</v>
      </c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>
        <v>0</v>
      </c>
      <c r="CT132" s="10"/>
      <c r="CU132" s="10"/>
      <c r="CV132" s="10"/>
      <c r="CW132" s="10"/>
      <c r="CX132" s="10">
        <v>0</v>
      </c>
      <c r="CY132" s="10"/>
      <c r="CZ132" s="10"/>
      <c r="DA132" s="10">
        <v>0</v>
      </c>
      <c r="DB132" s="10">
        <v>0</v>
      </c>
      <c r="DC132" s="10"/>
      <c r="DD132" s="10">
        <v>0</v>
      </c>
      <c r="DE132" s="10"/>
      <c r="DF132" s="10"/>
      <c r="DG132" s="10"/>
      <c r="DH132" s="10">
        <v>0</v>
      </c>
      <c r="DI132" s="10"/>
    </row>
    <row r="133" spans="1:113" x14ac:dyDescent="0.35">
      <c r="A133" s="8">
        <v>46057</v>
      </c>
      <c r="B133" s="9">
        <v>2366412490.8429399</v>
      </c>
      <c r="C133" s="10">
        <v>10203804.235781999</v>
      </c>
      <c r="D133" s="10">
        <v>1300255776.08359</v>
      </c>
      <c r="E133" s="10">
        <v>401314638.45660001</v>
      </c>
      <c r="F133" s="10"/>
      <c r="G133" s="10"/>
      <c r="H133" s="10">
        <v>318797675.40507001</v>
      </c>
      <c r="I133" s="10">
        <v>13261637.039519999</v>
      </c>
      <c r="J133" s="10">
        <v>27857868.385600001</v>
      </c>
      <c r="K133" s="10">
        <v>13828661.101530001</v>
      </c>
      <c r="L133" s="10">
        <v>20624962.534290001</v>
      </c>
      <c r="M133" s="10">
        <v>12372944.084559999</v>
      </c>
      <c r="N133" s="10">
        <v>4512257.1322839996</v>
      </c>
      <c r="O133" s="10">
        <v>60896799.448031999</v>
      </c>
      <c r="P133" s="10"/>
      <c r="Q133" s="10">
        <v>42315161.770719998</v>
      </c>
      <c r="R133" s="10">
        <v>8737728.7442099992</v>
      </c>
      <c r="S133" s="10"/>
      <c r="T133" s="10">
        <v>9089050.7606819998</v>
      </c>
      <c r="U133" s="10">
        <v>9719910.1845699996</v>
      </c>
      <c r="V133" s="10">
        <v>0</v>
      </c>
      <c r="W133" s="10">
        <v>7035149.3454900002</v>
      </c>
      <c r="X133" s="10"/>
      <c r="Y133" s="10">
        <v>16517868.038899999</v>
      </c>
      <c r="Z133" s="10">
        <v>20322773.79651</v>
      </c>
      <c r="AA133" s="10">
        <v>9994155.1282100007</v>
      </c>
      <c r="AB133" s="10">
        <v>3537375.4092100002</v>
      </c>
      <c r="AC133" s="10">
        <v>6776210.0716300001</v>
      </c>
      <c r="AD133" s="10"/>
      <c r="AE133" s="10">
        <v>3567434.59265</v>
      </c>
      <c r="AF133" s="10">
        <v>5448318.2923400002</v>
      </c>
      <c r="AG133" s="10">
        <v>3348757.4156999998</v>
      </c>
      <c r="AH133" s="10">
        <v>6239337.3614299996</v>
      </c>
      <c r="AI133" s="10">
        <v>5496085.4524800004</v>
      </c>
      <c r="AJ133" s="10"/>
      <c r="AK133" s="10">
        <v>1081311.635148</v>
      </c>
      <c r="AL133" s="10">
        <v>511539.00517999998</v>
      </c>
      <c r="AM133" s="10">
        <v>0</v>
      </c>
      <c r="AN133" s="10">
        <v>761092.93287000002</v>
      </c>
      <c r="AO133" s="10">
        <v>2221062.7819500002</v>
      </c>
      <c r="AP133" s="10"/>
      <c r="AQ133" s="10">
        <v>2211554.6202790001</v>
      </c>
      <c r="AR133" s="10"/>
      <c r="AS133" s="10">
        <v>8733063.9582979996</v>
      </c>
      <c r="AT133" s="10"/>
      <c r="AU133" s="10"/>
      <c r="AV133" s="10"/>
      <c r="AW133" s="10"/>
      <c r="AX133" s="10">
        <v>624117.75618000003</v>
      </c>
      <c r="AY133" s="10">
        <v>478829.76088000002</v>
      </c>
      <c r="AZ133" s="10"/>
      <c r="BA133" s="10">
        <v>485736.11379999999</v>
      </c>
      <c r="BB133" s="10">
        <v>1159703.0606</v>
      </c>
      <c r="BC133" s="10"/>
      <c r="BD133" s="10">
        <v>0</v>
      </c>
      <c r="BE133" s="10"/>
      <c r="BF133" s="10">
        <v>535713.31469999999</v>
      </c>
      <c r="BG133" s="10">
        <v>106585.24545</v>
      </c>
      <c r="BH133" s="10"/>
      <c r="BI133" s="10">
        <v>0</v>
      </c>
      <c r="BJ133" s="10">
        <v>2171912.2764900001</v>
      </c>
      <c r="BK133" s="10">
        <v>243779.23379999999</v>
      </c>
      <c r="BL133" s="10">
        <v>631756.98019000003</v>
      </c>
      <c r="BM133" s="10"/>
      <c r="BN133" s="10"/>
      <c r="BO133" s="10">
        <v>414463.07295</v>
      </c>
      <c r="BP133" s="10"/>
      <c r="BQ133" s="10">
        <v>332483.97428999998</v>
      </c>
      <c r="BR133" s="10">
        <v>766251.65951999999</v>
      </c>
      <c r="BS133" s="10">
        <v>0</v>
      </c>
      <c r="BT133" s="10"/>
      <c r="BU133" s="10">
        <v>178733.36683000001</v>
      </c>
      <c r="BV133" s="10">
        <v>498538.30278999999</v>
      </c>
      <c r="BW133" s="10"/>
      <c r="BX133" s="10">
        <v>0</v>
      </c>
      <c r="BY133" s="10"/>
      <c r="BZ133" s="10"/>
      <c r="CA133" s="10"/>
      <c r="CB133" s="10"/>
      <c r="CC133" s="10">
        <v>191921.51915000001</v>
      </c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>
        <v>0</v>
      </c>
      <c r="CT133" s="10"/>
      <c r="CU133" s="10"/>
      <c r="CV133" s="10"/>
      <c r="CW133" s="10"/>
      <c r="CX133" s="10">
        <v>0</v>
      </c>
      <c r="CY133" s="10"/>
      <c r="CZ133" s="10"/>
      <c r="DA133" s="10">
        <v>0</v>
      </c>
      <c r="DB133" s="10">
        <v>0</v>
      </c>
      <c r="DC133" s="10"/>
      <c r="DD133" s="10">
        <v>0</v>
      </c>
      <c r="DE133" s="10"/>
      <c r="DF133" s="10"/>
      <c r="DG133" s="10"/>
      <c r="DH133" s="10">
        <v>0</v>
      </c>
      <c r="DI133" s="10"/>
    </row>
    <row r="134" spans="1:113" x14ac:dyDescent="0.35">
      <c r="A134" s="8">
        <v>46056</v>
      </c>
      <c r="B134" s="9">
        <v>2421825320.8275099</v>
      </c>
      <c r="C134" s="10">
        <v>14952605.339245999</v>
      </c>
      <c r="D134" s="10">
        <v>1254935677.2223201</v>
      </c>
      <c r="E134" s="10">
        <v>300546311.86309999</v>
      </c>
      <c r="F134" s="10"/>
      <c r="G134" s="10"/>
      <c r="H134" s="10">
        <v>425530014.21342999</v>
      </c>
      <c r="I134" s="10">
        <v>9596417.1432799995</v>
      </c>
      <c r="J134" s="10">
        <v>61697437.123970002</v>
      </c>
      <c r="K134" s="10">
        <v>17179375.408879999</v>
      </c>
      <c r="L134" s="10">
        <v>23540464.287459999</v>
      </c>
      <c r="M134" s="10">
        <v>14309607.358379999</v>
      </c>
      <c r="N134" s="10">
        <v>5580735.281498</v>
      </c>
      <c r="O134" s="10">
        <v>111045937.328624</v>
      </c>
      <c r="P134" s="10"/>
      <c r="Q134" s="10">
        <v>11550003.53311</v>
      </c>
      <c r="R134" s="10">
        <v>12627419.53351</v>
      </c>
      <c r="S134" s="10"/>
      <c r="T134" s="10">
        <v>14859822.406845</v>
      </c>
      <c r="U134" s="10">
        <v>19788128.63019</v>
      </c>
      <c r="V134" s="10">
        <v>0</v>
      </c>
      <c r="W134" s="10">
        <v>9303455.2990199998</v>
      </c>
      <c r="X134" s="10"/>
      <c r="Y134" s="10">
        <v>25578123.790800001</v>
      </c>
      <c r="Z134" s="10">
        <v>10453030.463719999</v>
      </c>
      <c r="AA134" s="10">
        <v>32484338.318330001</v>
      </c>
      <c r="AB134" s="10">
        <v>3263256.9721599999</v>
      </c>
      <c r="AC134" s="10">
        <v>4928010.8440199997</v>
      </c>
      <c r="AD134" s="10"/>
      <c r="AE134" s="10">
        <v>3329901.7210900001</v>
      </c>
      <c r="AF134" s="10">
        <v>2560567.8695999999</v>
      </c>
      <c r="AG134" s="10">
        <v>2408870.5244999998</v>
      </c>
      <c r="AH134" s="10">
        <v>3790969.87163</v>
      </c>
      <c r="AI134" s="10">
        <v>3767248.7461000001</v>
      </c>
      <c r="AJ134" s="10"/>
      <c r="AK134" s="10">
        <v>3338703.096804</v>
      </c>
      <c r="AL134" s="10">
        <v>607142.38499000005</v>
      </c>
      <c r="AM134" s="10">
        <v>0</v>
      </c>
      <c r="AN134" s="10">
        <v>811671.75135000004</v>
      </c>
      <c r="AO134" s="10">
        <v>2381394.6685299999</v>
      </c>
      <c r="AP134" s="10"/>
      <c r="AQ134" s="10">
        <v>1572784.8708299999</v>
      </c>
      <c r="AR134" s="10"/>
      <c r="AS134" s="10">
        <v>4738893.0308320001</v>
      </c>
      <c r="AT134" s="10"/>
      <c r="AU134" s="10"/>
      <c r="AV134" s="10"/>
      <c r="AW134" s="10"/>
      <c r="AX134" s="10">
        <v>597207.06310999999</v>
      </c>
      <c r="AY134" s="10">
        <v>732658.11140000005</v>
      </c>
      <c r="AZ134" s="10"/>
      <c r="BA134" s="10">
        <v>595446.11659999995</v>
      </c>
      <c r="BB134" s="10">
        <v>518414.02645</v>
      </c>
      <c r="BC134" s="10"/>
      <c r="BD134" s="10">
        <v>0</v>
      </c>
      <c r="BE134" s="10"/>
      <c r="BF134" s="10">
        <v>516050.84379999997</v>
      </c>
      <c r="BG134" s="10">
        <v>150133.85694</v>
      </c>
      <c r="BH134" s="10"/>
      <c r="BI134" s="10">
        <v>0</v>
      </c>
      <c r="BJ134" s="10">
        <v>1367639.1509400001</v>
      </c>
      <c r="BK134" s="10">
        <v>1470636.1514999999</v>
      </c>
      <c r="BL134" s="10">
        <v>582143.76907000004</v>
      </c>
      <c r="BM134" s="10"/>
      <c r="BN134" s="10"/>
      <c r="BO134" s="10">
        <v>283885.48703000002</v>
      </c>
      <c r="BP134" s="10"/>
      <c r="BQ134" s="10">
        <v>360386.27831999998</v>
      </c>
      <c r="BR134" s="10">
        <v>876899.63619999995</v>
      </c>
      <c r="BS134" s="10">
        <v>0</v>
      </c>
      <c r="BT134" s="10"/>
      <c r="BU134" s="10">
        <v>109389.6162</v>
      </c>
      <c r="BV134" s="10">
        <v>445763.07744000002</v>
      </c>
      <c r="BW134" s="10"/>
      <c r="BX134" s="10">
        <v>0</v>
      </c>
      <c r="BY134" s="10"/>
      <c r="BZ134" s="10"/>
      <c r="CA134" s="10"/>
      <c r="CB134" s="10"/>
      <c r="CC134" s="10">
        <v>160346.74436000001</v>
      </c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>
        <v>0</v>
      </c>
      <c r="CT134" s="10"/>
      <c r="CU134" s="10"/>
      <c r="CV134" s="10"/>
      <c r="CW134" s="10"/>
      <c r="CX134" s="10">
        <v>0</v>
      </c>
      <c r="CY134" s="10"/>
      <c r="CZ134" s="10"/>
      <c r="DA134" s="10">
        <v>0</v>
      </c>
      <c r="DB134" s="10">
        <v>0</v>
      </c>
      <c r="DC134" s="10"/>
      <c r="DD134" s="10">
        <v>0</v>
      </c>
      <c r="DE134" s="10"/>
      <c r="DF134" s="10"/>
      <c r="DG134" s="10"/>
      <c r="DH134" s="10">
        <v>0</v>
      </c>
      <c r="DI134" s="10"/>
    </row>
    <row r="135" spans="1:113" x14ac:dyDescent="0.35">
      <c r="A135" s="8">
        <v>46055</v>
      </c>
      <c r="B135" s="9">
        <v>2997003835.3014102</v>
      </c>
      <c r="C135" s="10">
        <v>8556012.53235</v>
      </c>
      <c r="D135" s="10">
        <v>1719462402.95755</v>
      </c>
      <c r="E135" s="10">
        <v>350815933.62300003</v>
      </c>
      <c r="F135" s="10"/>
      <c r="G135" s="10"/>
      <c r="H135" s="10">
        <v>491648615.79851002</v>
      </c>
      <c r="I135" s="10">
        <v>15828302.01966</v>
      </c>
      <c r="J135" s="10">
        <v>44672499.691699997</v>
      </c>
      <c r="K135" s="10">
        <v>18356700.855390001</v>
      </c>
      <c r="L135" s="10">
        <v>25892407.03689</v>
      </c>
      <c r="M135" s="10">
        <v>10700448.15065</v>
      </c>
      <c r="N135" s="10">
        <v>7303792.1470889999</v>
      </c>
      <c r="O135" s="10">
        <v>101449245.18337101</v>
      </c>
      <c r="P135" s="10"/>
      <c r="Q135" s="10">
        <v>13761775.05363</v>
      </c>
      <c r="R135" s="10">
        <v>17583945.127719998</v>
      </c>
      <c r="S135" s="10"/>
      <c r="T135" s="10">
        <v>27766836.275864001</v>
      </c>
      <c r="U135" s="10">
        <v>27718215.794369999</v>
      </c>
      <c r="V135" s="10">
        <v>0</v>
      </c>
      <c r="W135" s="10">
        <v>10551659.59275</v>
      </c>
      <c r="X135" s="10"/>
      <c r="Y135" s="10">
        <v>30356431.305950001</v>
      </c>
      <c r="Z135" s="10">
        <v>6722751.7429600097</v>
      </c>
      <c r="AA135" s="10">
        <v>16649508.477870001</v>
      </c>
      <c r="AB135" s="10">
        <v>8779861.4009499997</v>
      </c>
      <c r="AC135" s="10">
        <v>5188878.5523199998</v>
      </c>
      <c r="AD135" s="10"/>
      <c r="AE135" s="10">
        <v>5232357.9658700004</v>
      </c>
      <c r="AF135" s="10">
        <v>2987330.0409900001</v>
      </c>
      <c r="AG135" s="10">
        <v>2250083.9841999998</v>
      </c>
      <c r="AH135" s="10">
        <v>6026007.2544499999</v>
      </c>
      <c r="AI135" s="10">
        <v>6405468.8332099998</v>
      </c>
      <c r="AJ135" s="10"/>
      <c r="AK135" s="10">
        <v>541484.44790799997</v>
      </c>
      <c r="AL135" s="10">
        <v>278075.50819000002</v>
      </c>
      <c r="AM135" s="10">
        <v>0</v>
      </c>
      <c r="AN135" s="10">
        <v>0</v>
      </c>
      <c r="AO135" s="10">
        <v>1792426.18423</v>
      </c>
      <c r="AP135" s="10"/>
      <c r="AQ135" s="10">
        <v>1552083.9039350001</v>
      </c>
      <c r="AR135" s="10"/>
      <c r="AS135" s="10">
        <v>4707565.6384239998</v>
      </c>
      <c r="AT135" s="10"/>
      <c r="AU135" s="10"/>
      <c r="AV135" s="10"/>
      <c r="AW135" s="10"/>
      <c r="AX135" s="10">
        <v>1287951.6237600001</v>
      </c>
      <c r="AY135" s="10">
        <v>689894.52630000003</v>
      </c>
      <c r="AZ135" s="10"/>
      <c r="BA135" s="10">
        <v>614581.64950000006</v>
      </c>
      <c r="BB135" s="10">
        <v>499467.67047000001</v>
      </c>
      <c r="BC135" s="10"/>
      <c r="BD135" s="10">
        <v>0</v>
      </c>
      <c r="BE135" s="10"/>
      <c r="BF135" s="10">
        <v>290591.26640000002</v>
      </c>
      <c r="BG135" s="10">
        <v>125894.47649</v>
      </c>
      <c r="BH135" s="10"/>
      <c r="BI135" s="10"/>
      <c r="BJ135" s="10">
        <v>560868.56772000005</v>
      </c>
      <c r="BK135" s="10">
        <v>152662.96230000001</v>
      </c>
      <c r="BL135" s="10">
        <v>74657.565329999998</v>
      </c>
      <c r="BM135" s="10"/>
      <c r="BN135" s="10"/>
      <c r="BO135" s="10">
        <v>47420.04477</v>
      </c>
      <c r="BP135" s="10"/>
      <c r="BQ135" s="10">
        <v>391085.92330000002</v>
      </c>
      <c r="BR135" s="10">
        <v>184365.03174999999</v>
      </c>
      <c r="BS135" s="10">
        <v>0</v>
      </c>
      <c r="BT135" s="10"/>
      <c r="BU135" s="10">
        <v>31603.952420000001</v>
      </c>
      <c r="BV135" s="10">
        <v>455198.70861999999</v>
      </c>
      <c r="BW135" s="10"/>
      <c r="BX135" s="10">
        <v>0</v>
      </c>
      <c r="BY135" s="10"/>
      <c r="BZ135" s="10"/>
      <c r="CA135" s="10"/>
      <c r="CB135" s="10"/>
      <c r="CC135" s="10">
        <v>58484.250330000003</v>
      </c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>
        <v>0</v>
      </c>
      <c r="CT135" s="10"/>
      <c r="CU135" s="10"/>
      <c r="CV135" s="10"/>
      <c r="CW135" s="10"/>
      <c r="CX135" s="10">
        <v>0</v>
      </c>
      <c r="CY135" s="10"/>
      <c r="CZ135" s="10"/>
      <c r="DA135" s="10">
        <v>0</v>
      </c>
      <c r="DB135" s="10">
        <v>0</v>
      </c>
      <c r="DC135" s="10"/>
      <c r="DD135" s="10">
        <v>0</v>
      </c>
      <c r="DE135" s="10"/>
      <c r="DF135" s="10"/>
      <c r="DG135" s="10"/>
      <c r="DH135" s="10">
        <v>0</v>
      </c>
      <c r="DI135" s="10"/>
    </row>
    <row r="136" spans="1:113" x14ac:dyDescent="0.35">
      <c r="A136" s="8">
        <v>46054</v>
      </c>
      <c r="B136" s="9">
        <v>427264027.53540403</v>
      </c>
      <c r="C136" s="10">
        <v>5138781.8451260002</v>
      </c>
      <c r="D136" s="10">
        <v>218048419.02959001</v>
      </c>
      <c r="E136" s="10">
        <v>66022332.550099999</v>
      </c>
      <c r="F136" s="10"/>
      <c r="G136" s="10"/>
      <c r="H136" s="10">
        <v>88447809.152800098</v>
      </c>
      <c r="I136" s="10">
        <v>647755.20796000096</v>
      </c>
      <c r="J136" s="10">
        <v>2473713.56317</v>
      </c>
      <c r="K136" s="10">
        <v>467217.80752999999</v>
      </c>
      <c r="L136" s="10">
        <v>3543109.1187499999</v>
      </c>
      <c r="M136" s="10">
        <v>430315.14477999997</v>
      </c>
      <c r="N136" s="10">
        <v>635698.40569399996</v>
      </c>
      <c r="O136" s="10">
        <v>18490107.955756001</v>
      </c>
      <c r="P136" s="10"/>
      <c r="Q136" s="10">
        <v>1197380.19153</v>
      </c>
      <c r="R136" s="10">
        <v>812228.20076000004</v>
      </c>
      <c r="S136" s="10"/>
      <c r="T136" s="10">
        <v>987708.44550899998</v>
      </c>
      <c r="U136" s="10">
        <v>6282556.2415500004</v>
      </c>
      <c r="V136" s="10">
        <v>0</v>
      </c>
      <c r="W136" s="10">
        <v>2924214.4635000001</v>
      </c>
      <c r="X136" s="10"/>
      <c r="Y136" s="10">
        <v>807032.88225999998</v>
      </c>
      <c r="Z136" s="10">
        <v>450793.21117000002</v>
      </c>
      <c r="AA136" s="10">
        <v>1101822.4276000001</v>
      </c>
      <c r="AB136" s="10">
        <v>247482.44357999999</v>
      </c>
      <c r="AC136" s="10">
        <v>898363.74068000005</v>
      </c>
      <c r="AD136" s="10"/>
      <c r="AE136" s="10">
        <v>993005.73216000001</v>
      </c>
      <c r="AF136" s="10">
        <v>524977.71664999996</v>
      </c>
      <c r="AG136" s="10">
        <v>1879041.2287999999</v>
      </c>
      <c r="AH136" s="10">
        <v>502760.55943000002</v>
      </c>
      <c r="AI136" s="10">
        <v>223079.08351999999</v>
      </c>
      <c r="AJ136" s="10"/>
      <c r="AK136" s="10">
        <v>824253.466548</v>
      </c>
      <c r="AL136" s="10">
        <v>1369.10662</v>
      </c>
      <c r="AM136" s="10">
        <v>0</v>
      </c>
      <c r="AN136" s="10">
        <v>0</v>
      </c>
      <c r="AO136" s="10">
        <v>139419.32926</v>
      </c>
      <c r="AP136" s="10"/>
      <c r="AQ136" s="10">
        <v>36990.461932999999</v>
      </c>
      <c r="AR136" s="10"/>
      <c r="AS136" s="10">
        <v>537889.15472800005</v>
      </c>
      <c r="AT136" s="10"/>
      <c r="AU136" s="10"/>
      <c r="AV136" s="10"/>
      <c r="AW136" s="10"/>
      <c r="AX136" s="10">
        <v>15185.66214</v>
      </c>
      <c r="AY136" s="10">
        <v>56605.976029999998</v>
      </c>
      <c r="AZ136" s="10"/>
      <c r="BA136" s="10">
        <v>1019515.1206</v>
      </c>
      <c r="BB136" s="10">
        <v>31115.198410000001</v>
      </c>
      <c r="BC136" s="10"/>
      <c r="BD136" s="10">
        <v>0</v>
      </c>
      <c r="BE136" s="10"/>
      <c r="BF136" s="10">
        <v>41984.596700000002</v>
      </c>
      <c r="BG136" s="10">
        <v>51959.848270000002</v>
      </c>
      <c r="BH136" s="10"/>
      <c r="BI136" s="10"/>
      <c r="BJ136" s="10">
        <v>137870.81416000001</v>
      </c>
      <c r="BK136" s="10">
        <v>36829.022299999997</v>
      </c>
      <c r="BL136" s="10">
        <v>19743.217990000001</v>
      </c>
      <c r="BM136" s="10"/>
      <c r="BN136" s="10"/>
      <c r="BO136" s="10">
        <v>0</v>
      </c>
      <c r="BP136" s="10"/>
      <c r="BQ136" s="10">
        <v>63083.613389999999</v>
      </c>
      <c r="BR136" s="10">
        <v>1980.3152600000001</v>
      </c>
      <c r="BS136" s="10">
        <v>0</v>
      </c>
      <c r="BT136" s="10"/>
      <c r="BU136" s="10">
        <v>9730.4570500000009</v>
      </c>
      <c r="BV136" s="10">
        <v>60795.824059999999</v>
      </c>
      <c r="BW136" s="10"/>
      <c r="BX136" s="10">
        <v>0</v>
      </c>
      <c r="BY136" s="10"/>
      <c r="BZ136" s="10"/>
      <c r="CA136" s="10"/>
      <c r="CB136" s="10"/>
      <c r="CC136" s="10">
        <v>0</v>
      </c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>
        <v>0</v>
      </c>
      <c r="CY136" s="10"/>
      <c r="CZ136" s="10"/>
      <c r="DA136" s="10">
        <v>0</v>
      </c>
      <c r="DB136" s="10">
        <v>0</v>
      </c>
      <c r="DC136" s="10"/>
      <c r="DD136" s="10">
        <v>0</v>
      </c>
      <c r="DE136" s="10"/>
      <c r="DF136" s="10"/>
      <c r="DG136" s="10"/>
      <c r="DH136" s="10"/>
      <c r="DI136" s="10"/>
    </row>
    <row r="137" spans="1:113" x14ac:dyDescent="0.35">
      <c r="A137" s="8">
        <v>46053</v>
      </c>
      <c r="B137" s="9">
        <v>365407757.98515701</v>
      </c>
      <c r="C137" s="10">
        <v>1410062.029696</v>
      </c>
      <c r="D137" s="10">
        <v>157243304.17381999</v>
      </c>
      <c r="E137" s="10">
        <v>73532360.503699899</v>
      </c>
      <c r="F137" s="10"/>
      <c r="G137" s="10"/>
      <c r="H137" s="10">
        <v>67628189.105700001</v>
      </c>
      <c r="I137" s="10">
        <v>2300894.8968000002</v>
      </c>
      <c r="J137" s="10">
        <v>3621416.9736000001</v>
      </c>
      <c r="K137" s="10">
        <v>868543.92967999994</v>
      </c>
      <c r="L137" s="10">
        <v>4123197.9974000002</v>
      </c>
      <c r="M137" s="10">
        <v>2223787.5274399999</v>
      </c>
      <c r="N137" s="10">
        <v>863196.86225899996</v>
      </c>
      <c r="O137" s="10">
        <v>24998231.998252001</v>
      </c>
      <c r="P137" s="10"/>
      <c r="Q137" s="10">
        <v>2877711.61687</v>
      </c>
      <c r="R137" s="10">
        <v>553115.03977000003</v>
      </c>
      <c r="S137" s="10"/>
      <c r="T137" s="10">
        <v>625656.34702900006</v>
      </c>
      <c r="U137" s="10">
        <v>5851330.7000299999</v>
      </c>
      <c r="V137" s="10">
        <v>0</v>
      </c>
      <c r="W137" s="10">
        <v>2762392.4258900001</v>
      </c>
      <c r="X137" s="10"/>
      <c r="Y137" s="10">
        <v>1071040.6731199999</v>
      </c>
      <c r="Z137" s="10">
        <v>495335.10810000001</v>
      </c>
      <c r="AA137" s="10">
        <v>840962.70944999997</v>
      </c>
      <c r="AB137" s="10">
        <v>266114.80111</v>
      </c>
      <c r="AC137" s="10">
        <v>1642034.5951100001</v>
      </c>
      <c r="AD137" s="10"/>
      <c r="AE137" s="10">
        <v>1059358.75939</v>
      </c>
      <c r="AF137" s="10">
        <v>821864.89754000003</v>
      </c>
      <c r="AG137" s="10">
        <v>1197653.9985</v>
      </c>
      <c r="AH137" s="10">
        <v>1655314.2101700001</v>
      </c>
      <c r="AI137" s="10">
        <v>503963.83821000002</v>
      </c>
      <c r="AJ137" s="10"/>
      <c r="AK137" s="10">
        <v>322677.08566300001</v>
      </c>
      <c r="AL137" s="10">
        <v>27167.305619999999</v>
      </c>
      <c r="AM137" s="10">
        <v>0</v>
      </c>
      <c r="AN137" s="10">
        <v>0</v>
      </c>
      <c r="AO137" s="10">
        <v>1941127.5508000001</v>
      </c>
      <c r="AP137" s="10"/>
      <c r="AQ137" s="10">
        <v>73224.993195000003</v>
      </c>
      <c r="AR137" s="10"/>
      <c r="AS137" s="10">
        <v>470001.67421299999</v>
      </c>
      <c r="AT137" s="10"/>
      <c r="AU137" s="10"/>
      <c r="AV137" s="10"/>
      <c r="AW137" s="10"/>
      <c r="AX137" s="10">
        <v>97108.737680000006</v>
      </c>
      <c r="AY137" s="10">
        <v>60505.973160000001</v>
      </c>
      <c r="AZ137" s="10"/>
      <c r="BA137" s="10">
        <v>768142.96569999994</v>
      </c>
      <c r="BB137" s="10">
        <v>69661.213619999995</v>
      </c>
      <c r="BC137" s="10"/>
      <c r="BD137" s="10">
        <v>0</v>
      </c>
      <c r="BE137" s="10"/>
      <c r="BF137" s="10">
        <v>18390.631300000001</v>
      </c>
      <c r="BG137" s="10">
        <v>295763.19547999999</v>
      </c>
      <c r="BH137" s="10"/>
      <c r="BI137" s="10"/>
      <c r="BJ137" s="10">
        <v>46305.795100000003</v>
      </c>
      <c r="BK137" s="10">
        <v>70838.880499999999</v>
      </c>
      <c r="BL137" s="10">
        <v>73699.389609999998</v>
      </c>
      <c r="BM137" s="10"/>
      <c r="BN137" s="10"/>
      <c r="BO137" s="10">
        <v>0</v>
      </c>
      <c r="BP137" s="10"/>
      <c r="BQ137" s="10">
        <v>114.21429000000001</v>
      </c>
      <c r="BR137" s="10">
        <v>6100.9106300000003</v>
      </c>
      <c r="BS137" s="10">
        <v>0</v>
      </c>
      <c r="BT137" s="10"/>
      <c r="BU137" s="10">
        <v>6096.3229799999999</v>
      </c>
      <c r="BV137" s="10">
        <v>23795.42698</v>
      </c>
      <c r="BW137" s="10"/>
      <c r="BX137" s="10">
        <v>0</v>
      </c>
      <c r="BY137" s="10"/>
      <c r="BZ137" s="10"/>
      <c r="CA137" s="10"/>
      <c r="CB137" s="10"/>
      <c r="CC137" s="10">
        <v>0</v>
      </c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>
        <v>0</v>
      </c>
      <c r="DB137" s="10">
        <v>0</v>
      </c>
      <c r="DC137" s="10"/>
      <c r="DD137" s="10">
        <v>0</v>
      </c>
      <c r="DE137" s="10"/>
      <c r="DF137" s="10"/>
      <c r="DG137" s="10"/>
      <c r="DH137" s="10"/>
      <c r="DI137" s="10"/>
    </row>
    <row r="138" spans="1:113" x14ac:dyDescent="0.35">
      <c r="A138" s="8">
        <v>46052</v>
      </c>
      <c r="B138" s="9">
        <v>4516220592.3555098</v>
      </c>
      <c r="C138" s="10">
        <v>13917298.121283</v>
      </c>
      <c r="D138" s="10">
        <v>2966054593.1303301</v>
      </c>
      <c r="E138" s="10">
        <v>325322934.99110001</v>
      </c>
      <c r="F138" s="10"/>
      <c r="G138" s="10"/>
      <c r="H138" s="10">
        <v>680132567.59650004</v>
      </c>
      <c r="I138" s="10">
        <v>12489879.140389999</v>
      </c>
      <c r="J138" s="10">
        <v>25948130.661819998</v>
      </c>
      <c r="K138" s="10">
        <v>23229579.437479999</v>
      </c>
      <c r="L138" s="10">
        <v>27138481.988940001</v>
      </c>
      <c r="M138" s="10">
        <v>8517199.8132499997</v>
      </c>
      <c r="N138" s="10">
        <v>4808780.977244</v>
      </c>
      <c r="O138" s="10">
        <v>273237754.23533201</v>
      </c>
      <c r="P138" s="10"/>
      <c r="Q138" s="10">
        <v>12562931.35861</v>
      </c>
      <c r="R138" s="10">
        <v>4787566.8044699999</v>
      </c>
      <c r="S138" s="10"/>
      <c r="T138" s="10">
        <v>30668943.163031001</v>
      </c>
      <c r="U138" s="10">
        <v>8971691.7988900002</v>
      </c>
      <c r="V138" s="10">
        <v>0</v>
      </c>
      <c r="W138" s="10">
        <v>6777364.0500299996</v>
      </c>
      <c r="X138" s="10"/>
      <c r="Y138" s="10">
        <v>4118758.4103299999</v>
      </c>
      <c r="Z138" s="10">
        <v>4939360.0688800002</v>
      </c>
      <c r="AA138" s="10">
        <v>31784987.914209999</v>
      </c>
      <c r="AB138" s="10">
        <v>1884523.0177</v>
      </c>
      <c r="AC138" s="10">
        <v>5407022.37665</v>
      </c>
      <c r="AD138" s="10"/>
      <c r="AE138" s="10">
        <v>5059188.3504600003</v>
      </c>
      <c r="AF138" s="10">
        <v>4468925.4759499999</v>
      </c>
      <c r="AG138" s="10">
        <v>3735427.7248999998</v>
      </c>
      <c r="AH138" s="10">
        <v>5173398.6788499998</v>
      </c>
      <c r="AI138" s="10">
        <v>6218267.2972600004</v>
      </c>
      <c r="AJ138" s="10"/>
      <c r="AK138" s="10">
        <v>2495630.8244460002</v>
      </c>
      <c r="AL138" s="10">
        <v>320691.43508999998</v>
      </c>
      <c r="AM138" s="10">
        <v>0</v>
      </c>
      <c r="AN138" s="10">
        <v>0</v>
      </c>
      <c r="AO138" s="10">
        <v>477238.67290000001</v>
      </c>
      <c r="AP138" s="10"/>
      <c r="AQ138" s="10">
        <v>751089.35499400005</v>
      </c>
      <c r="AR138" s="10"/>
      <c r="AS138" s="10">
        <v>2343698.2411329998</v>
      </c>
      <c r="AT138" s="10"/>
      <c r="AU138" s="10"/>
      <c r="AV138" s="10"/>
      <c r="AW138" s="10"/>
      <c r="AX138" s="10">
        <v>2611081.5761099998</v>
      </c>
      <c r="AY138" s="10">
        <v>1027884.55134</v>
      </c>
      <c r="AZ138" s="10"/>
      <c r="BA138" s="10">
        <v>497135.8971</v>
      </c>
      <c r="BB138" s="10">
        <v>1765898.5549399999</v>
      </c>
      <c r="BC138" s="10"/>
      <c r="BD138" s="10">
        <v>0</v>
      </c>
      <c r="BE138" s="10"/>
      <c r="BF138" s="10">
        <v>1149806.1409</v>
      </c>
      <c r="BG138" s="10">
        <v>1393389.4743999999</v>
      </c>
      <c r="BH138" s="10"/>
      <c r="BI138" s="10"/>
      <c r="BJ138" s="10">
        <v>1768306.7378400001</v>
      </c>
      <c r="BK138" s="10">
        <v>211161.72210000001</v>
      </c>
      <c r="BL138" s="10">
        <v>77036.332920000001</v>
      </c>
      <c r="BM138" s="10"/>
      <c r="BN138" s="10"/>
      <c r="BO138" s="10">
        <v>0</v>
      </c>
      <c r="BP138" s="10"/>
      <c r="BQ138" s="10">
        <v>655649.61783999996</v>
      </c>
      <c r="BR138" s="10">
        <v>947620.27780000004</v>
      </c>
      <c r="BS138" s="10">
        <v>0</v>
      </c>
      <c r="BT138" s="10"/>
      <c r="BU138" s="10">
        <v>112175.78301</v>
      </c>
      <c r="BV138" s="10">
        <v>259540.57676</v>
      </c>
      <c r="BW138" s="10"/>
      <c r="BX138" s="10">
        <v>0</v>
      </c>
      <c r="BY138" s="10"/>
      <c r="BZ138" s="10"/>
      <c r="CA138" s="10"/>
      <c r="CB138" s="10"/>
      <c r="CC138" s="10">
        <v>0</v>
      </c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>
        <v>0</v>
      </c>
      <c r="DB138" s="10">
        <v>0</v>
      </c>
      <c r="DC138" s="10"/>
      <c r="DD138" s="10">
        <v>0</v>
      </c>
      <c r="DE138" s="10"/>
      <c r="DF138" s="10"/>
      <c r="DG138" s="10"/>
      <c r="DH138" s="10"/>
      <c r="DI138" s="10"/>
    </row>
    <row r="139" spans="1:113" x14ac:dyDescent="0.35">
      <c r="A139" s="8">
        <v>46051</v>
      </c>
      <c r="B139" s="9">
        <v>2984353934.0198598</v>
      </c>
      <c r="C139" s="10">
        <v>16180884.068227001</v>
      </c>
      <c r="D139" s="10">
        <v>1533856971.5365</v>
      </c>
      <c r="E139" s="10">
        <v>317805950.53250003</v>
      </c>
      <c r="F139" s="10"/>
      <c r="G139" s="10"/>
      <c r="H139" s="10">
        <v>533487954.84933001</v>
      </c>
      <c r="I139" s="10">
        <v>9670575.9151799995</v>
      </c>
      <c r="J139" s="10">
        <v>29895561.609420002</v>
      </c>
      <c r="K139" s="10">
        <v>9185180.6621599998</v>
      </c>
      <c r="L139" s="10">
        <v>51515358.481150001</v>
      </c>
      <c r="M139" s="10">
        <v>9934939.8048400003</v>
      </c>
      <c r="N139" s="10">
        <v>5214786.2976230001</v>
      </c>
      <c r="O139" s="10">
        <v>308874793.36108899</v>
      </c>
      <c r="P139" s="10"/>
      <c r="Q139" s="10">
        <v>13607809.64105</v>
      </c>
      <c r="R139" s="10">
        <v>9120248.4057</v>
      </c>
      <c r="S139" s="10"/>
      <c r="T139" s="10">
        <v>8155422.8700799998</v>
      </c>
      <c r="U139" s="10">
        <v>5398995.4728300003</v>
      </c>
      <c r="V139" s="10">
        <v>0</v>
      </c>
      <c r="W139" s="10">
        <v>8505700.6674600001</v>
      </c>
      <c r="X139" s="10"/>
      <c r="Y139" s="10">
        <v>13159591.90202</v>
      </c>
      <c r="Z139" s="10">
        <v>3418640.8656799998</v>
      </c>
      <c r="AA139" s="10">
        <v>32168017.983150002</v>
      </c>
      <c r="AB139" s="10">
        <v>4187968.63093</v>
      </c>
      <c r="AC139" s="10">
        <v>6858640.2544799997</v>
      </c>
      <c r="AD139" s="10"/>
      <c r="AE139" s="10">
        <v>5673971.86362</v>
      </c>
      <c r="AF139" s="10">
        <v>9394495.6401099991</v>
      </c>
      <c r="AG139" s="10">
        <v>3047603.8010999998</v>
      </c>
      <c r="AH139" s="10">
        <v>12298095.086069999</v>
      </c>
      <c r="AI139" s="10">
        <v>9081249.9043100104</v>
      </c>
      <c r="AJ139" s="10"/>
      <c r="AK139" s="10">
        <v>2033651.5411410001</v>
      </c>
      <c r="AL139" s="10">
        <v>501880.19905</v>
      </c>
      <c r="AM139" s="10">
        <v>0</v>
      </c>
      <c r="AN139" s="10">
        <v>0</v>
      </c>
      <c r="AO139" s="10">
        <v>1173695.08944</v>
      </c>
      <c r="AP139" s="10"/>
      <c r="AQ139" s="10">
        <v>1525132.3766739999</v>
      </c>
      <c r="AR139" s="10"/>
      <c r="AS139" s="10">
        <v>2187793.2472379999</v>
      </c>
      <c r="AT139" s="10"/>
      <c r="AU139" s="10"/>
      <c r="AV139" s="10"/>
      <c r="AW139" s="10"/>
      <c r="AX139" s="10">
        <v>1306186.34978</v>
      </c>
      <c r="AY139" s="10">
        <v>748563.11231999996</v>
      </c>
      <c r="AZ139" s="10"/>
      <c r="BA139" s="10">
        <v>879461.99959999998</v>
      </c>
      <c r="BB139" s="10">
        <v>1148372.51734</v>
      </c>
      <c r="BC139" s="10"/>
      <c r="BD139" s="10">
        <v>0</v>
      </c>
      <c r="BE139" s="10"/>
      <c r="BF139" s="10">
        <v>953740.81949999998</v>
      </c>
      <c r="BG139" s="10">
        <v>419962.14042000001</v>
      </c>
      <c r="BH139" s="10"/>
      <c r="BI139" s="10"/>
      <c r="BJ139" s="10">
        <v>1070519.5460600001</v>
      </c>
      <c r="BK139" s="10">
        <v>133267.90400000001</v>
      </c>
      <c r="BL139" s="10">
        <v>63338.862569999998</v>
      </c>
      <c r="BM139" s="10"/>
      <c r="BN139" s="10"/>
      <c r="BO139" s="10">
        <v>0</v>
      </c>
      <c r="BP139" s="10"/>
      <c r="BQ139" s="10">
        <v>193978.85204999999</v>
      </c>
      <c r="BR139" s="10">
        <v>314979.35606999998</v>
      </c>
      <c r="BS139" s="10">
        <v>0</v>
      </c>
      <c r="BT139" s="10"/>
      <c r="BU139" s="10">
        <v>0</v>
      </c>
      <c r="BV139" s="10">
        <v>0</v>
      </c>
      <c r="BW139" s="10"/>
      <c r="BX139" s="10">
        <v>0</v>
      </c>
      <c r="BY139" s="10"/>
      <c r="BZ139" s="10"/>
      <c r="CA139" s="10"/>
      <c r="CB139" s="10"/>
      <c r="CC139" s="10">
        <v>0</v>
      </c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>
        <v>0</v>
      </c>
      <c r="DB139" s="10">
        <v>0</v>
      </c>
      <c r="DC139" s="10"/>
      <c r="DD139" s="10">
        <v>0</v>
      </c>
      <c r="DE139" s="10"/>
      <c r="DF139" s="10"/>
      <c r="DG139" s="10"/>
      <c r="DH139" s="10"/>
      <c r="DI139" s="10"/>
    </row>
    <row r="140" spans="1:113" x14ac:dyDescent="0.35">
      <c r="A140" s="8">
        <v>46050</v>
      </c>
      <c r="B140" s="9">
        <v>1853960214.1819401</v>
      </c>
      <c r="C140" s="10">
        <v>10670818.738396</v>
      </c>
      <c r="D140" s="10">
        <v>1101991927.9519</v>
      </c>
      <c r="E140" s="10">
        <v>290933769.22829998</v>
      </c>
      <c r="F140" s="10"/>
      <c r="G140" s="10"/>
      <c r="H140" s="10">
        <v>208069211.05754</v>
      </c>
      <c r="I140" s="10">
        <v>14673489.215019999</v>
      </c>
      <c r="J140" s="10">
        <v>25770719.761440001</v>
      </c>
      <c r="K140" s="10">
        <v>6389948.2273700004</v>
      </c>
      <c r="L140" s="10">
        <v>25902008.27671</v>
      </c>
      <c r="M140" s="10">
        <v>14320882.02452</v>
      </c>
      <c r="N140" s="10">
        <v>10158687.86411</v>
      </c>
      <c r="O140" s="10">
        <v>37783338.309136003</v>
      </c>
      <c r="P140" s="10"/>
      <c r="Q140" s="10">
        <v>8549629.8685199991</v>
      </c>
      <c r="R140" s="10">
        <v>6502430.3393599996</v>
      </c>
      <c r="S140" s="10"/>
      <c r="T140" s="10">
        <v>6768728.2532700002</v>
      </c>
      <c r="U140" s="10">
        <v>3148986.1137899999</v>
      </c>
      <c r="V140" s="10">
        <v>0</v>
      </c>
      <c r="W140" s="10">
        <v>6854693.4786299998</v>
      </c>
      <c r="X140" s="10"/>
      <c r="Y140" s="10">
        <v>4309443.29856</v>
      </c>
      <c r="Z140" s="10">
        <v>3037507.3065999998</v>
      </c>
      <c r="AA140" s="10">
        <v>12085809.20751</v>
      </c>
      <c r="AB140" s="10">
        <v>4997343.7611600002</v>
      </c>
      <c r="AC140" s="10">
        <v>5847703.8541999999</v>
      </c>
      <c r="AD140" s="10"/>
      <c r="AE140" s="10">
        <v>5928856.15001</v>
      </c>
      <c r="AF140" s="10">
        <v>8235393.7461799998</v>
      </c>
      <c r="AG140" s="10">
        <v>6799820.6244999999</v>
      </c>
      <c r="AH140" s="10">
        <v>13843132.74119</v>
      </c>
      <c r="AI140" s="10">
        <v>3207720.89334</v>
      </c>
      <c r="AJ140" s="10"/>
      <c r="AK140" s="10">
        <v>564416.74326699995</v>
      </c>
      <c r="AL140" s="10">
        <v>792049.92050000001</v>
      </c>
      <c r="AM140" s="10">
        <v>0</v>
      </c>
      <c r="AN140" s="10">
        <v>0</v>
      </c>
      <c r="AO140" s="10">
        <v>1034490.98531</v>
      </c>
      <c r="AP140" s="10"/>
      <c r="AQ140" s="10">
        <v>821095.75747299998</v>
      </c>
      <c r="AR140" s="10"/>
      <c r="AS140" s="10">
        <v>979638.33740299998</v>
      </c>
      <c r="AT140" s="10"/>
      <c r="AU140" s="10"/>
      <c r="AV140" s="10"/>
      <c r="AW140" s="10"/>
      <c r="AX140" s="10">
        <v>879119.03137999994</v>
      </c>
      <c r="AY140" s="10">
        <v>905767.55463999999</v>
      </c>
      <c r="AZ140" s="10"/>
      <c r="BA140" s="10">
        <v>134499.33480000001</v>
      </c>
      <c r="BB140" s="10"/>
      <c r="BC140" s="10"/>
      <c r="BD140" s="10">
        <v>0</v>
      </c>
      <c r="BE140" s="10"/>
      <c r="BF140" s="10">
        <v>127074.0098</v>
      </c>
      <c r="BG140" s="10">
        <v>253249.45378000001</v>
      </c>
      <c r="BH140" s="10"/>
      <c r="BI140" s="10"/>
      <c r="BJ140" s="10">
        <v>140187.97024</v>
      </c>
      <c r="BK140" s="10">
        <v>100957.6048</v>
      </c>
      <c r="BL140" s="10">
        <v>154490.84387000001</v>
      </c>
      <c r="BM140" s="10"/>
      <c r="BN140" s="10"/>
      <c r="BO140" s="10">
        <v>0</v>
      </c>
      <c r="BP140" s="10"/>
      <c r="BQ140" s="10">
        <v>225275.63472999999</v>
      </c>
      <c r="BR140" s="10">
        <v>65900.708679999996</v>
      </c>
      <c r="BS140" s="10">
        <v>0</v>
      </c>
      <c r="BT140" s="10"/>
      <c r="BU140" s="10">
        <v>0</v>
      </c>
      <c r="BV140" s="10">
        <v>0</v>
      </c>
      <c r="BW140" s="10"/>
      <c r="BX140" s="10">
        <v>0</v>
      </c>
      <c r="BY140" s="10"/>
      <c r="BZ140" s="10"/>
      <c r="CA140" s="10"/>
      <c r="CB140" s="10"/>
      <c r="CC140" s="10">
        <v>0</v>
      </c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>
        <v>0</v>
      </c>
      <c r="DB140" s="10">
        <v>0</v>
      </c>
      <c r="DC140" s="10"/>
      <c r="DD140" s="10">
        <v>0</v>
      </c>
      <c r="DE140" s="10"/>
      <c r="DF140" s="10"/>
      <c r="DG140" s="10"/>
      <c r="DH140" s="10"/>
      <c r="DI140" s="10"/>
    </row>
    <row r="141" spans="1:113" x14ac:dyDescent="0.35">
      <c r="A141" s="8">
        <v>46049</v>
      </c>
      <c r="B141" s="9">
        <v>1689772391.11937</v>
      </c>
      <c r="C141" s="10">
        <v>2741773.0527400002</v>
      </c>
      <c r="D141" s="10">
        <v>1193855633.4535</v>
      </c>
      <c r="E141" s="10">
        <v>195534835.1029</v>
      </c>
      <c r="F141" s="10"/>
      <c r="G141" s="10"/>
      <c r="H141" s="10">
        <v>114101176.08882999</v>
      </c>
      <c r="I141" s="10">
        <v>10971433.48483</v>
      </c>
      <c r="J141" s="10">
        <v>14087195.31958</v>
      </c>
      <c r="K141" s="10">
        <v>7343688.5820000004</v>
      </c>
      <c r="L141" s="10">
        <v>13831494.460480001</v>
      </c>
      <c r="M141" s="10">
        <v>7640410.5023499997</v>
      </c>
      <c r="N141" s="10">
        <v>5406802.7376309996</v>
      </c>
      <c r="O141" s="10">
        <v>33657499.228398003</v>
      </c>
      <c r="P141" s="10"/>
      <c r="Q141" s="10">
        <v>8999723.2091099992</v>
      </c>
      <c r="R141" s="10">
        <v>8432452.5591000002</v>
      </c>
      <c r="S141" s="10"/>
      <c r="T141" s="10">
        <v>15388370.187750001</v>
      </c>
      <c r="U141" s="10">
        <v>6097260.4377199998</v>
      </c>
      <c r="V141" s="10">
        <v>0</v>
      </c>
      <c r="W141" s="10">
        <v>4363907.0192900002</v>
      </c>
      <c r="X141" s="10"/>
      <c r="Y141" s="10">
        <v>4297396.6868000003</v>
      </c>
      <c r="Z141" s="10">
        <v>1790727.35751</v>
      </c>
      <c r="AA141" s="10">
        <v>6627326.33861</v>
      </c>
      <c r="AB141" s="10">
        <v>2134262.7579700002</v>
      </c>
      <c r="AC141" s="10">
        <v>3924283.0329100001</v>
      </c>
      <c r="AD141" s="10"/>
      <c r="AE141" s="10">
        <v>7946972.5164400004</v>
      </c>
      <c r="AF141" s="10">
        <v>2048341.5155</v>
      </c>
      <c r="AG141" s="10">
        <v>4193187.2872000001</v>
      </c>
      <c r="AH141" s="10">
        <v>2555472.8752600001</v>
      </c>
      <c r="AI141" s="10">
        <v>3660487.0454099998</v>
      </c>
      <c r="AJ141" s="10"/>
      <c r="AK141" s="10">
        <v>320155.52738500002</v>
      </c>
      <c r="AL141" s="10">
        <v>1043732.3639</v>
      </c>
      <c r="AM141" s="10">
        <v>0</v>
      </c>
      <c r="AN141" s="10">
        <v>0</v>
      </c>
      <c r="AO141" s="10">
        <v>1048452.9053700001</v>
      </c>
      <c r="AP141" s="10"/>
      <c r="AQ141" s="10">
        <v>2655981.976944</v>
      </c>
      <c r="AR141" s="10"/>
      <c r="AS141" s="10">
        <v>498673.27515599999</v>
      </c>
      <c r="AT141" s="10"/>
      <c r="AU141" s="10"/>
      <c r="AV141" s="10"/>
      <c r="AW141" s="10"/>
      <c r="AX141" s="10">
        <v>634576.55027999997</v>
      </c>
      <c r="AY141" s="10">
        <v>639926.50953000004</v>
      </c>
      <c r="AZ141" s="10"/>
      <c r="BA141" s="10">
        <v>539124.87239999999</v>
      </c>
      <c r="BB141" s="10"/>
      <c r="BC141" s="10"/>
      <c r="BD141" s="10">
        <v>0</v>
      </c>
      <c r="BE141" s="10"/>
      <c r="BF141" s="10">
        <v>0</v>
      </c>
      <c r="BG141" s="10">
        <v>237071.53262000001</v>
      </c>
      <c r="BH141" s="10"/>
      <c r="BI141" s="10"/>
      <c r="BJ141" s="10">
        <v>71414.007370000007</v>
      </c>
      <c r="BK141" s="10">
        <v>175032.5246</v>
      </c>
      <c r="BL141" s="10">
        <v>101358.41267000001</v>
      </c>
      <c r="BM141" s="10"/>
      <c r="BN141" s="10"/>
      <c r="BO141" s="10">
        <v>0</v>
      </c>
      <c r="BP141" s="10"/>
      <c r="BQ141" s="10">
        <v>143682.55934000001</v>
      </c>
      <c r="BR141" s="10">
        <v>31095.261989999999</v>
      </c>
      <c r="BS141" s="10">
        <v>0</v>
      </c>
      <c r="BT141" s="10"/>
      <c r="BU141" s="10">
        <v>0</v>
      </c>
      <c r="BV141" s="10">
        <v>0</v>
      </c>
      <c r="BW141" s="10"/>
      <c r="BX141" s="10">
        <v>0</v>
      </c>
      <c r="BY141" s="10"/>
      <c r="BZ141" s="10"/>
      <c r="CA141" s="10"/>
      <c r="CB141" s="10"/>
      <c r="CC141" s="10">
        <v>0</v>
      </c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>
        <v>0</v>
      </c>
      <c r="DB141" s="10">
        <v>0</v>
      </c>
      <c r="DC141" s="10"/>
      <c r="DD141" s="10">
        <v>0</v>
      </c>
      <c r="DE141" s="10"/>
      <c r="DF141" s="10"/>
      <c r="DG141" s="10"/>
      <c r="DH141" s="10"/>
      <c r="DI141" s="10"/>
    </row>
    <row r="142" spans="1:113" x14ac:dyDescent="0.35">
      <c r="A142" s="8">
        <v>46048</v>
      </c>
      <c r="B142" s="9">
        <v>1577059960.6203301</v>
      </c>
      <c r="C142" s="10">
        <v>3656820.295959</v>
      </c>
      <c r="D142" s="10">
        <v>948595385.64859998</v>
      </c>
      <c r="E142" s="10">
        <v>233532541.99439999</v>
      </c>
      <c r="F142" s="10"/>
      <c r="G142" s="10"/>
      <c r="H142" s="10">
        <v>136341193.60253</v>
      </c>
      <c r="I142" s="10">
        <v>5289755.9698400004</v>
      </c>
      <c r="J142" s="10">
        <v>13844775.284499999</v>
      </c>
      <c r="K142" s="10">
        <v>4756898.9500099998</v>
      </c>
      <c r="L142" s="10">
        <v>13537514.8981</v>
      </c>
      <c r="M142" s="10">
        <v>12650157.218180001</v>
      </c>
      <c r="N142" s="10">
        <v>3442160.263272</v>
      </c>
      <c r="O142" s="10">
        <v>87213039.166339993</v>
      </c>
      <c r="P142" s="10"/>
      <c r="Q142" s="10">
        <v>6976748.9803099995</v>
      </c>
      <c r="R142" s="10">
        <v>13769022.956019999</v>
      </c>
      <c r="S142" s="10"/>
      <c r="T142" s="10">
        <v>18179145.01616</v>
      </c>
      <c r="U142" s="10">
        <v>5377881.6723699998</v>
      </c>
      <c r="V142" s="10">
        <v>0</v>
      </c>
      <c r="W142" s="10">
        <v>12462497.78372</v>
      </c>
      <c r="X142" s="10"/>
      <c r="Y142" s="10">
        <v>5804973.3561699996</v>
      </c>
      <c r="Z142" s="10">
        <v>2970675.3021</v>
      </c>
      <c r="AA142" s="10">
        <v>0</v>
      </c>
      <c r="AB142" s="10">
        <v>2304205.0658999998</v>
      </c>
      <c r="AC142" s="10">
        <v>4340074.35953</v>
      </c>
      <c r="AD142" s="10"/>
      <c r="AE142" s="10">
        <v>3312975.2250899998</v>
      </c>
      <c r="AF142" s="10">
        <v>2559752.6993399998</v>
      </c>
      <c r="AG142" s="10">
        <v>20607742.353399999</v>
      </c>
      <c r="AH142" s="10">
        <v>3958188.41071</v>
      </c>
      <c r="AI142" s="10">
        <v>4286472.0027000001</v>
      </c>
      <c r="AJ142" s="10"/>
      <c r="AK142" s="10">
        <v>442925.38943400001</v>
      </c>
      <c r="AL142" s="10">
        <v>0</v>
      </c>
      <c r="AM142" s="10">
        <v>0</v>
      </c>
      <c r="AN142" s="10">
        <v>0</v>
      </c>
      <c r="AO142" s="10">
        <v>1206941.64007</v>
      </c>
      <c r="AP142" s="10"/>
      <c r="AQ142" s="10">
        <v>3040677.6280709999</v>
      </c>
      <c r="AR142" s="10"/>
      <c r="AS142" s="10">
        <v>393222.32542399998</v>
      </c>
      <c r="AT142" s="10"/>
      <c r="AU142" s="10"/>
      <c r="AV142" s="10"/>
      <c r="AW142" s="10"/>
      <c r="AX142" s="10">
        <v>536819.21002999996</v>
      </c>
      <c r="AY142" s="10">
        <v>535567.96710999997</v>
      </c>
      <c r="AZ142" s="10"/>
      <c r="BA142" s="10">
        <v>366983.7292</v>
      </c>
      <c r="BB142" s="10"/>
      <c r="BC142" s="10"/>
      <c r="BD142" s="10">
        <v>0</v>
      </c>
      <c r="BE142" s="10"/>
      <c r="BF142" s="10">
        <v>0</v>
      </c>
      <c r="BG142" s="10">
        <v>51178.076939999999</v>
      </c>
      <c r="BH142" s="10"/>
      <c r="BI142" s="10"/>
      <c r="BJ142" s="10">
        <v>53249.691720000003</v>
      </c>
      <c r="BK142" s="10">
        <v>267941.37890000001</v>
      </c>
      <c r="BL142" s="10">
        <v>68694.387489999994</v>
      </c>
      <c r="BM142" s="10"/>
      <c r="BN142" s="10"/>
      <c r="BO142" s="10">
        <v>0</v>
      </c>
      <c r="BP142" s="10"/>
      <c r="BQ142" s="10">
        <v>274654.89737000002</v>
      </c>
      <c r="BR142" s="10">
        <v>50505.823320000003</v>
      </c>
      <c r="BS142" s="10">
        <v>0</v>
      </c>
      <c r="BT142" s="10"/>
      <c r="BU142" s="10">
        <v>0</v>
      </c>
      <c r="BV142" s="10">
        <v>0</v>
      </c>
      <c r="BW142" s="10"/>
      <c r="BX142" s="10">
        <v>0</v>
      </c>
      <c r="BY142" s="10"/>
      <c r="BZ142" s="10"/>
      <c r="CA142" s="10"/>
      <c r="CB142" s="10"/>
      <c r="CC142" s="10">
        <v>0</v>
      </c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>
        <v>0</v>
      </c>
      <c r="DB142" s="10">
        <v>0</v>
      </c>
      <c r="DC142" s="10"/>
      <c r="DD142" s="10">
        <v>0</v>
      </c>
      <c r="DE142" s="10"/>
      <c r="DF142" s="10"/>
      <c r="DG142" s="10"/>
      <c r="DH142" s="10"/>
      <c r="DI142" s="10"/>
    </row>
    <row r="143" spans="1:113" x14ac:dyDescent="0.35">
      <c r="A143" s="8">
        <v>46047</v>
      </c>
      <c r="B143" s="9">
        <v>296238162.88025397</v>
      </c>
      <c r="C143" s="10">
        <v>2668791.6678599999</v>
      </c>
      <c r="D143" s="10">
        <v>90396599.602799997</v>
      </c>
      <c r="E143" s="10">
        <v>69870123.297199994</v>
      </c>
      <c r="F143" s="10"/>
      <c r="G143" s="10"/>
      <c r="H143" s="10">
        <v>32629390.604339998</v>
      </c>
      <c r="I143" s="10">
        <v>1252473.02993</v>
      </c>
      <c r="J143" s="10">
        <v>4687867.1738400003</v>
      </c>
      <c r="K143" s="10">
        <v>641946.18169999996</v>
      </c>
      <c r="L143" s="10">
        <v>3253583.62304</v>
      </c>
      <c r="M143" s="10">
        <v>1580895.6066300001</v>
      </c>
      <c r="N143" s="10">
        <v>425023.80892500002</v>
      </c>
      <c r="O143" s="10">
        <v>25240875.599380001</v>
      </c>
      <c r="P143" s="10"/>
      <c r="Q143" s="10">
        <v>1314247.78443</v>
      </c>
      <c r="R143" s="10">
        <v>7164199.5904400004</v>
      </c>
      <c r="S143" s="10"/>
      <c r="T143" s="10">
        <v>788437.56458999997</v>
      </c>
      <c r="U143" s="10">
        <v>1261500.18521</v>
      </c>
      <c r="V143" s="10">
        <v>0</v>
      </c>
      <c r="W143" s="10">
        <v>596761.48184000002</v>
      </c>
      <c r="X143" s="10"/>
      <c r="Y143" s="10">
        <v>917707.73302000004</v>
      </c>
      <c r="Z143" s="10">
        <v>183332.96591</v>
      </c>
      <c r="AA143" s="10">
        <v>0</v>
      </c>
      <c r="AB143" s="10">
        <v>472668.87268999999</v>
      </c>
      <c r="AC143" s="10">
        <v>1122383.4331400001</v>
      </c>
      <c r="AD143" s="10"/>
      <c r="AE143" s="10">
        <v>19995602.937910002</v>
      </c>
      <c r="AF143" s="10">
        <v>689526.28197000001</v>
      </c>
      <c r="AG143" s="10">
        <v>21129722.0911</v>
      </c>
      <c r="AH143" s="10">
        <v>970406.56131999998</v>
      </c>
      <c r="AI143" s="10">
        <v>1222863.49896</v>
      </c>
      <c r="AJ143" s="10"/>
      <c r="AK143" s="10">
        <v>229214.586133</v>
      </c>
      <c r="AL143" s="10"/>
      <c r="AM143" s="10">
        <v>0</v>
      </c>
      <c r="AN143" s="10">
        <v>0</v>
      </c>
      <c r="AO143" s="10">
        <v>111659.66622</v>
      </c>
      <c r="AP143" s="10"/>
      <c r="AQ143" s="10">
        <v>1477391.4247649999</v>
      </c>
      <c r="AR143" s="10"/>
      <c r="AS143" s="10">
        <v>110791.218201</v>
      </c>
      <c r="AT143" s="10"/>
      <c r="AU143" s="10"/>
      <c r="AV143" s="10"/>
      <c r="AW143" s="10"/>
      <c r="AX143" s="10">
        <v>157116.10566</v>
      </c>
      <c r="AY143" s="10">
        <v>0</v>
      </c>
      <c r="AZ143" s="10"/>
      <c r="BA143" s="10">
        <v>3095640.6910999999</v>
      </c>
      <c r="BB143" s="10"/>
      <c r="BC143" s="10"/>
      <c r="BD143" s="10">
        <v>0</v>
      </c>
      <c r="BE143" s="10"/>
      <c r="BF143" s="10"/>
      <c r="BG143" s="10">
        <v>62832.561889999997</v>
      </c>
      <c r="BH143" s="10"/>
      <c r="BI143" s="10"/>
      <c r="BJ143" s="10">
        <v>56990.274740000001</v>
      </c>
      <c r="BK143" s="10">
        <v>132486.45740000001</v>
      </c>
      <c r="BL143" s="10">
        <v>15992.895500000001</v>
      </c>
      <c r="BM143" s="10"/>
      <c r="BN143" s="10"/>
      <c r="BO143" s="10">
        <v>0</v>
      </c>
      <c r="BP143" s="10"/>
      <c r="BQ143" s="10">
        <v>309129.38535</v>
      </c>
      <c r="BR143" s="10">
        <v>1986.4351200000001</v>
      </c>
      <c r="BS143" s="10">
        <v>0</v>
      </c>
      <c r="BT143" s="10"/>
      <c r="BU143" s="10">
        <v>0</v>
      </c>
      <c r="BV143" s="10">
        <v>0</v>
      </c>
      <c r="BW143" s="10"/>
      <c r="BX143" s="10">
        <v>0</v>
      </c>
      <c r="BY143" s="10"/>
      <c r="BZ143" s="10"/>
      <c r="CA143" s="10"/>
      <c r="CB143" s="10"/>
      <c r="CC143" s="10">
        <v>0</v>
      </c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>
        <v>0</v>
      </c>
      <c r="DB143" s="10">
        <v>0</v>
      </c>
      <c r="DC143" s="10"/>
      <c r="DD143" s="10">
        <v>0</v>
      </c>
      <c r="DE143" s="10"/>
      <c r="DF143" s="10"/>
      <c r="DG143" s="10"/>
      <c r="DH143" s="10"/>
      <c r="DI143" s="10"/>
    </row>
    <row r="144" spans="1:113" x14ac:dyDescent="0.35">
      <c r="A144" s="8">
        <v>46046</v>
      </c>
      <c r="B144" s="9">
        <v>166778288.55342501</v>
      </c>
      <c r="C144" s="10">
        <v>962873.69757399999</v>
      </c>
      <c r="D144" s="10">
        <v>65070206.936999999</v>
      </c>
      <c r="E144" s="10">
        <v>49179587.149499997</v>
      </c>
      <c r="F144" s="10"/>
      <c r="G144" s="10"/>
      <c r="H144" s="10">
        <v>17955652.036649998</v>
      </c>
      <c r="I144" s="10">
        <v>366330.74979999999</v>
      </c>
      <c r="J144" s="10">
        <v>836996.18822999997</v>
      </c>
      <c r="K144" s="10">
        <v>149900.19112</v>
      </c>
      <c r="L144" s="10">
        <v>1051127.18857</v>
      </c>
      <c r="M144" s="10">
        <v>1465236.5562499999</v>
      </c>
      <c r="N144" s="10">
        <v>155537.68098400001</v>
      </c>
      <c r="O144" s="10">
        <v>16665932.786477</v>
      </c>
      <c r="P144" s="10"/>
      <c r="Q144" s="10">
        <v>269209.05392999999</v>
      </c>
      <c r="R144" s="10">
        <v>7471825.8806699999</v>
      </c>
      <c r="S144" s="10"/>
      <c r="T144" s="10">
        <v>301742.62153</v>
      </c>
      <c r="U144" s="10">
        <v>104996.59480000001</v>
      </c>
      <c r="V144" s="10">
        <v>0</v>
      </c>
      <c r="W144" s="10">
        <v>520479.86748000002</v>
      </c>
      <c r="X144" s="10"/>
      <c r="Y144" s="10">
        <v>79845.041889999993</v>
      </c>
      <c r="Z144" s="10">
        <v>119078.31281</v>
      </c>
      <c r="AA144" s="10">
        <v>0</v>
      </c>
      <c r="AB144" s="10">
        <v>54354.157350000001</v>
      </c>
      <c r="AC144" s="10">
        <v>152231.37088</v>
      </c>
      <c r="AD144" s="10"/>
      <c r="AE144" s="10">
        <v>812307.23195000004</v>
      </c>
      <c r="AF144" s="10">
        <v>234636.20736999999</v>
      </c>
      <c r="AG144" s="10">
        <v>1384338.1950999999</v>
      </c>
      <c r="AH144" s="10">
        <v>222403.38647999999</v>
      </c>
      <c r="AI144" s="10">
        <v>64317.094160000001</v>
      </c>
      <c r="AJ144" s="10"/>
      <c r="AK144" s="10">
        <v>84797.914902000004</v>
      </c>
      <c r="AL144" s="10"/>
      <c r="AM144" s="10">
        <v>0</v>
      </c>
      <c r="AN144" s="10">
        <v>0</v>
      </c>
      <c r="AO144" s="10">
        <v>328784.46370999998</v>
      </c>
      <c r="AP144" s="10"/>
      <c r="AQ144" s="10">
        <v>159773.99026799999</v>
      </c>
      <c r="AR144" s="10"/>
      <c r="AS144" s="10">
        <v>59190.212670000001</v>
      </c>
      <c r="AT144" s="10"/>
      <c r="AU144" s="10"/>
      <c r="AV144" s="10"/>
      <c r="AW144" s="10"/>
      <c r="AX144" s="10">
        <v>38229.929539999997</v>
      </c>
      <c r="AY144" s="10"/>
      <c r="AZ144" s="10"/>
      <c r="BA144" s="10">
        <v>367323.79560000001</v>
      </c>
      <c r="BB144" s="10"/>
      <c r="BC144" s="10"/>
      <c r="BD144" s="10">
        <v>0</v>
      </c>
      <c r="BE144" s="10"/>
      <c r="BF144" s="10"/>
      <c r="BG144" s="10">
        <v>13027.721369999999</v>
      </c>
      <c r="BH144" s="10"/>
      <c r="BI144" s="10"/>
      <c r="BJ144" s="10">
        <v>1853.5202200000001</v>
      </c>
      <c r="BK144" s="10">
        <v>40237.680099999998</v>
      </c>
      <c r="BL144" s="10">
        <v>12089.345139999999</v>
      </c>
      <c r="BM144" s="10"/>
      <c r="BN144" s="10"/>
      <c r="BO144" s="10">
        <v>0</v>
      </c>
      <c r="BP144" s="10"/>
      <c r="BQ144" s="10">
        <v>17773.68792</v>
      </c>
      <c r="BR144" s="10">
        <v>4060.1134299999999</v>
      </c>
      <c r="BS144" s="10">
        <v>0</v>
      </c>
      <c r="BT144" s="10"/>
      <c r="BU144" s="10">
        <v>0</v>
      </c>
      <c r="BV144" s="10">
        <v>0</v>
      </c>
      <c r="BW144" s="10"/>
      <c r="BX144" s="10">
        <v>0</v>
      </c>
      <c r="BY144" s="10"/>
      <c r="BZ144" s="10"/>
      <c r="CA144" s="10"/>
      <c r="CB144" s="10"/>
      <c r="CC144" s="10">
        <v>0</v>
      </c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>
        <v>0</v>
      </c>
      <c r="DB144" s="10">
        <v>0</v>
      </c>
      <c r="DC144" s="10"/>
      <c r="DD144" s="10">
        <v>0</v>
      </c>
      <c r="DE144" s="10"/>
      <c r="DF144" s="10"/>
      <c r="DG144" s="10"/>
      <c r="DH144" s="10"/>
      <c r="DI144" s="10"/>
    </row>
    <row r="145" spans="1:113" x14ac:dyDescent="0.35">
      <c r="A145" s="8">
        <v>46045</v>
      </c>
      <c r="B145" s="9">
        <v>772179025.67229199</v>
      </c>
      <c r="C145" s="10">
        <v>3913108.2149550002</v>
      </c>
      <c r="D145" s="10">
        <v>291544496.4932</v>
      </c>
      <c r="E145" s="10">
        <v>216888856.62779999</v>
      </c>
      <c r="F145" s="10"/>
      <c r="G145" s="10"/>
      <c r="H145" s="10">
        <v>68194943.446199998</v>
      </c>
      <c r="I145" s="10">
        <v>6805261.85891</v>
      </c>
      <c r="J145" s="10">
        <v>22167853.505890001</v>
      </c>
      <c r="K145" s="10">
        <v>10245987.5648</v>
      </c>
      <c r="L145" s="10">
        <v>18036559.81047</v>
      </c>
      <c r="M145" s="10">
        <v>24759927.74729</v>
      </c>
      <c r="N145" s="10">
        <v>2524753.9898600001</v>
      </c>
      <c r="O145" s="10">
        <v>28745356.122795001</v>
      </c>
      <c r="P145" s="10"/>
      <c r="Q145" s="10">
        <v>6116907.7090800004</v>
      </c>
      <c r="R145" s="10">
        <v>4534774.0144199999</v>
      </c>
      <c r="S145" s="10"/>
      <c r="T145" s="10">
        <v>12650114.46745</v>
      </c>
      <c r="U145" s="10">
        <v>3850649.5378899998</v>
      </c>
      <c r="V145" s="10">
        <v>0</v>
      </c>
      <c r="W145" s="10">
        <v>13715896.70785</v>
      </c>
      <c r="X145" s="10"/>
      <c r="Y145" s="10">
        <v>2525276.4045000002</v>
      </c>
      <c r="Z145" s="10">
        <v>6223602.1054300005</v>
      </c>
      <c r="AA145" s="10"/>
      <c r="AB145" s="10">
        <v>1712766.9296800001</v>
      </c>
      <c r="AC145" s="10">
        <v>3947720.0753299999</v>
      </c>
      <c r="AD145" s="10"/>
      <c r="AE145" s="10">
        <v>3425468.52226</v>
      </c>
      <c r="AF145" s="10">
        <v>2050111.50416</v>
      </c>
      <c r="AG145" s="10">
        <v>4416009.9737999998</v>
      </c>
      <c r="AH145" s="10">
        <v>4777774.3170999996</v>
      </c>
      <c r="AI145" s="10">
        <v>1559114.60042</v>
      </c>
      <c r="AJ145" s="10"/>
      <c r="AK145" s="10">
        <v>478587.82311599999</v>
      </c>
      <c r="AL145" s="10"/>
      <c r="AM145" s="10">
        <v>0</v>
      </c>
      <c r="AN145" s="10">
        <v>0</v>
      </c>
      <c r="AO145" s="10">
        <v>1386643.3089999999</v>
      </c>
      <c r="AP145" s="10"/>
      <c r="AQ145" s="10">
        <v>2148736.0513200001</v>
      </c>
      <c r="AR145" s="10"/>
      <c r="AS145" s="10">
        <v>664934.31423599995</v>
      </c>
      <c r="AT145" s="10"/>
      <c r="AU145" s="10"/>
      <c r="AV145" s="10"/>
      <c r="AW145" s="10"/>
      <c r="AX145" s="10">
        <v>684295.05250999995</v>
      </c>
      <c r="AY145" s="10"/>
      <c r="AZ145" s="10"/>
      <c r="BA145" s="10">
        <v>390818.527</v>
      </c>
      <c r="BB145" s="10"/>
      <c r="BC145" s="10"/>
      <c r="BD145" s="10">
        <v>0</v>
      </c>
      <c r="BE145" s="10"/>
      <c r="BF145" s="10"/>
      <c r="BG145" s="10">
        <v>198594.47630000001</v>
      </c>
      <c r="BH145" s="10"/>
      <c r="BI145" s="10"/>
      <c r="BJ145" s="10">
        <v>139186.26003999999</v>
      </c>
      <c r="BK145" s="10">
        <v>62018.235139999997</v>
      </c>
      <c r="BL145" s="10">
        <v>126026.62802</v>
      </c>
      <c r="BM145" s="10"/>
      <c r="BN145" s="10"/>
      <c r="BO145" s="10">
        <v>0</v>
      </c>
      <c r="BP145" s="10"/>
      <c r="BQ145" s="10">
        <v>498237.60331999999</v>
      </c>
      <c r="BR145" s="10">
        <v>67655.140750000006</v>
      </c>
      <c r="BS145" s="10">
        <v>0</v>
      </c>
      <c r="BT145" s="10"/>
      <c r="BU145" s="10">
        <v>0</v>
      </c>
      <c r="BV145" s="10">
        <v>0</v>
      </c>
      <c r="BW145" s="10"/>
      <c r="BX145" s="10">
        <v>0</v>
      </c>
      <c r="BY145" s="10"/>
      <c r="BZ145" s="10"/>
      <c r="CA145" s="10"/>
      <c r="CB145" s="10"/>
      <c r="CC145" s="10">
        <v>0</v>
      </c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>
        <v>0</v>
      </c>
      <c r="DB145" s="10">
        <v>0</v>
      </c>
      <c r="DC145" s="10"/>
      <c r="DD145" s="10">
        <v>0</v>
      </c>
      <c r="DE145" s="10"/>
      <c r="DF145" s="10"/>
      <c r="DG145" s="10"/>
      <c r="DH145" s="10"/>
      <c r="DI145" s="10"/>
    </row>
    <row r="146" spans="1:113" x14ac:dyDescent="0.35">
      <c r="A146" s="8">
        <v>46044</v>
      </c>
      <c r="B146" s="9">
        <v>845484749.54501295</v>
      </c>
      <c r="C146" s="10">
        <v>1687508.633262</v>
      </c>
      <c r="D146" s="10">
        <v>169898422.83669001</v>
      </c>
      <c r="E146" s="10">
        <v>386534870.39850003</v>
      </c>
      <c r="F146" s="10"/>
      <c r="G146" s="10"/>
      <c r="H146" s="10">
        <v>59909685.218050003</v>
      </c>
      <c r="I146" s="10">
        <v>10046302.54896</v>
      </c>
      <c r="J146" s="10">
        <v>21409390.21748</v>
      </c>
      <c r="K146" s="10">
        <v>4091167.3352999999</v>
      </c>
      <c r="L146" s="10">
        <v>24685230.852460001</v>
      </c>
      <c r="M146" s="10">
        <v>35103167.15134</v>
      </c>
      <c r="N146" s="10">
        <v>3684361.3680909998</v>
      </c>
      <c r="O146" s="10">
        <v>6795186.2437620005</v>
      </c>
      <c r="P146" s="10"/>
      <c r="Q146" s="10">
        <v>9862135.0981699992</v>
      </c>
      <c r="R146" s="10">
        <v>12490020.19832</v>
      </c>
      <c r="S146" s="10"/>
      <c r="T146" s="10">
        <v>19128684.16615</v>
      </c>
      <c r="U146" s="10">
        <v>7560070.4559399998</v>
      </c>
      <c r="V146" s="10">
        <v>0</v>
      </c>
      <c r="W146" s="10">
        <v>12755196.665109999</v>
      </c>
      <c r="X146" s="10"/>
      <c r="Y146" s="10">
        <v>8344420.1739100004</v>
      </c>
      <c r="Z146" s="10">
        <v>8059208.2309999997</v>
      </c>
      <c r="AA146" s="10"/>
      <c r="AB146" s="10">
        <v>4803872.5803699996</v>
      </c>
      <c r="AC146" s="10">
        <v>5078036.0156500004</v>
      </c>
      <c r="AD146" s="10"/>
      <c r="AE146" s="10">
        <v>2171466.7812199998</v>
      </c>
      <c r="AF146" s="10">
        <v>4297939.6332999999</v>
      </c>
      <c r="AG146" s="10">
        <v>2413808.1549</v>
      </c>
      <c r="AH146" s="10">
        <v>9429548.8419599999</v>
      </c>
      <c r="AI146" s="10">
        <v>3331441.1139500001</v>
      </c>
      <c r="AJ146" s="10"/>
      <c r="AK146" s="10">
        <v>217654.54386000001</v>
      </c>
      <c r="AL146" s="10"/>
      <c r="AM146" s="10"/>
      <c r="AN146" s="10">
        <v>0</v>
      </c>
      <c r="AO146" s="10">
        <v>3308406.9563199999</v>
      </c>
      <c r="AP146" s="10"/>
      <c r="AQ146" s="10">
        <v>4781410.3947149999</v>
      </c>
      <c r="AR146" s="10"/>
      <c r="AS146" s="10">
        <v>763476.59325300006</v>
      </c>
      <c r="AT146" s="10"/>
      <c r="AU146" s="10"/>
      <c r="AV146" s="10"/>
      <c r="AW146" s="10"/>
      <c r="AX146" s="10">
        <v>940814.02133000002</v>
      </c>
      <c r="AY146" s="10"/>
      <c r="AZ146" s="10"/>
      <c r="BA146" s="10">
        <v>466725.70929999999</v>
      </c>
      <c r="BB146" s="10"/>
      <c r="BC146" s="10"/>
      <c r="BD146" s="10">
        <v>0</v>
      </c>
      <c r="BE146" s="10"/>
      <c r="BF146" s="10"/>
      <c r="BG146" s="10">
        <v>309797.27798000001</v>
      </c>
      <c r="BH146" s="10"/>
      <c r="BI146" s="10"/>
      <c r="BJ146" s="10">
        <v>297923.28117999999</v>
      </c>
      <c r="BK146" s="10">
        <v>90897.113710000005</v>
      </c>
      <c r="BL146" s="10">
        <v>141052.85471000001</v>
      </c>
      <c r="BM146" s="10"/>
      <c r="BN146" s="10"/>
      <c r="BO146" s="10">
        <v>0</v>
      </c>
      <c r="BP146" s="10"/>
      <c r="BQ146" s="10">
        <v>453357.33941000002</v>
      </c>
      <c r="BR146" s="10">
        <v>142092.5454</v>
      </c>
      <c r="BS146" s="10">
        <v>0</v>
      </c>
      <c r="BT146" s="10"/>
      <c r="BU146" s="10">
        <v>0</v>
      </c>
      <c r="BV146" s="10">
        <v>0</v>
      </c>
      <c r="BW146" s="10"/>
      <c r="BX146" s="10">
        <v>0</v>
      </c>
      <c r="BY146" s="10"/>
      <c r="BZ146" s="10"/>
      <c r="CA146" s="10"/>
      <c r="CB146" s="10"/>
      <c r="CC146" s="10">
        <v>0</v>
      </c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>
        <v>0</v>
      </c>
      <c r="DB146" s="10">
        <v>0</v>
      </c>
      <c r="DC146" s="10"/>
      <c r="DD146" s="10">
        <v>0</v>
      </c>
      <c r="DE146" s="10"/>
      <c r="DF146" s="10"/>
      <c r="DG146" s="10"/>
      <c r="DH146" s="10"/>
      <c r="DI146" s="10"/>
    </row>
    <row r="147" spans="1:113" x14ac:dyDescent="0.35">
      <c r="A147" s="8">
        <v>46043</v>
      </c>
      <c r="B147" s="9">
        <v>872836891.59363604</v>
      </c>
      <c r="C147" s="10">
        <v>1891399.9980949999</v>
      </c>
      <c r="D147" s="10">
        <v>221468026.61776</v>
      </c>
      <c r="E147" s="10">
        <v>330984361.1189</v>
      </c>
      <c r="F147" s="10"/>
      <c r="G147" s="10"/>
      <c r="H147" s="10">
        <v>93674714.488519996</v>
      </c>
      <c r="I147" s="10">
        <v>11733576.451920001</v>
      </c>
      <c r="J147" s="10">
        <v>19112828.0975</v>
      </c>
      <c r="K147" s="10">
        <v>3006572.5581999999</v>
      </c>
      <c r="L147" s="10">
        <v>24835189.399829999</v>
      </c>
      <c r="M147" s="10">
        <v>32528595.923379999</v>
      </c>
      <c r="N147" s="10">
        <v>6320100.0628030002</v>
      </c>
      <c r="O147" s="10">
        <v>21467797.489158001</v>
      </c>
      <c r="P147" s="10"/>
      <c r="Q147" s="10">
        <v>20265556.748810001</v>
      </c>
      <c r="R147" s="10">
        <v>355507.32681</v>
      </c>
      <c r="S147" s="10"/>
      <c r="T147" s="10">
        <v>14459567.174040001</v>
      </c>
      <c r="U147" s="10">
        <v>7123330.0974300001</v>
      </c>
      <c r="V147" s="10">
        <v>0</v>
      </c>
      <c r="W147" s="10">
        <v>6725532.7055900004</v>
      </c>
      <c r="X147" s="10"/>
      <c r="Y147" s="10">
        <v>10637893.77973</v>
      </c>
      <c r="Z147" s="10">
        <v>5084018.55222</v>
      </c>
      <c r="AA147" s="10"/>
      <c r="AB147" s="10">
        <v>4385606.4569899999</v>
      </c>
      <c r="AC147" s="10">
        <v>4007590.1456900002</v>
      </c>
      <c r="AD147" s="10"/>
      <c r="AE147" s="10">
        <v>2578342.2992600002</v>
      </c>
      <c r="AF147" s="10">
        <v>1649302.7131399999</v>
      </c>
      <c r="AG147" s="10">
        <v>2036147.9672999999</v>
      </c>
      <c r="AH147" s="10">
        <v>3814478.9263300002</v>
      </c>
      <c r="AI147" s="10">
        <v>2587252.6373899998</v>
      </c>
      <c r="AJ147" s="10"/>
      <c r="AK147" s="10">
        <v>249792.15852699999</v>
      </c>
      <c r="AL147" s="10"/>
      <c r="AM147" s="10"/>
      <c r="AN147" s="10">
        <v>0</v>
      </c>
      <c r="AO147" s="10">
        <v>618607.49378999998</v>
      </c>
      <c r="AP147" s="10"/>
      <c r="AQ147" s="10">
        <v>8880924.7263580002</v>
      </c>
      <c r="AR147" s="10"/>
      <c r="AS147" s="10">
        <v>1287575.090545</v>
      </c>
      <c r="AT147" s="10"/>
      <c r="AU147" s="10"/>
      <c r="AV147" s="10"/>
      <c r="AW147" s="10"/>
      <c r="AX147" s="10">
        <v>1004350.03143</v>
      </c>
      <c r="AY147" s="10"/>
      <c r="AZ147" s="10"/>
      <c r="BA147" s="10">
        <v>6845495.0393000003</v>
      </c>
      <c r="BB147" s="10"/>
      <c r="BC147" s="10"/>
      <c r="BD147" s="10">
        <v>0</v>
      </c>
      <c r="BE147" s="10"/>
      <c r="BF147" s="10"/>
      <c r="BG147" s="10">
        <v>155581.1684</v>
      </c>
      <c r="BH147" s="10"/>
      <c r="BI147" s="10"/>
      <c r="BJ147" s="10">
        <v>183906.92704000001</v>
      </c>
      <c r="BK147" s="10">
        <v>78253.243199999997</v>
      </c>
      <c r="BL147" s="10">
        <v>61478.265850000003</v>
      </c>
      <c r="BM147" s="10"/>
      <c r="BN147" s="10"/>
      <c r="BO147" s="10">
        <v>0</v>
      </c>
      <c r="BP147" s="10"/>
      <c r="BQ147" s="10">
        <v>540774.07996999996</v>
      </c>
      <c r="BR147" s="10">
        <v>196863.63243</v>
      </c>
      <c r="BS147" s="10">
        <v>0</v>
      </c>
      <c r="BT147" s="10"/>
      <c r="BU147" s="10">
        <v>0</v>
      </c>
      <c r="BV147" s="10">
        <v>0</v>
      </c>
      <c r="BW147" s="10"/>
      <c r="BX147" s="10">
        <v>0</v>
      </c>
      <c r="BY147" s="10"/>
      <c r="BZ147" s="10"/>
      <c r="CA147" s="10"/>
      <c r="CB147" s="10"/>
      <c r="CC147" s="10">
        <v>0</v>
      </c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>
        <v>0</v>
      </c>
      <c r="DB147" s="10">
        <v>0</v>
      </c>
      <c r="DC147" s="10"/>
      <c r="DD147" s="10">
        <v>0</v>
      </c>
      <c r="DE147" s="10"/>
      <c r="DF147" s="10"/>
      <c r="DG147" s="10"/>
      <c r="DH147" s="10"/>
      <c r="DI147" s="10"/>
    </row>
    <row r="148" spans="1:113" x14ac:dyDescent="0.35">
      <c r="A148" s="8">
        <v>46042</v>
      </c>
      <c r="B148" s="9">
        <v>705622384.65742505</v>
      </c>
      <c r="C148" s="10">
        <v>971221.59243399999</v>
      </c>
      <c r="D148" s="10">
        <v>167112783.20519</v>
      </c>
      <c r="E148" s="10">
        <v>293000371.66720003</v>
      </c>
      <c r="F148" s="10"/>
      <c r="G148" s="10"/>
      <c r="H148" s="10">
        <v>29661438.660909999</v>
      </c>
      <c r="I148" s="10">
        <v>4969508.6580499997</v>
      </c>
      <c r="J148" s="10">
        <v>17550242.019379999</v>
      </c>
      <c r="K148" s="10">
        <v>3870674.5774300001</v>
      </c>
      <c r="L148" s="10">
        <v>22616253.71917</v>
      </c>
      <c r="M148" s="10">
        <v>17809010.964359999</v>
      </c>
      <c r="N148" s="10">
        <v>5362252.5238070004</v>
      </c>
      <c r="O148" s="10">
        <v>25343687.119796999</v>
      </c>
      <c r="P148" s="10"/>
      <c r="Q148" s="10">
        <v>15464360.58859</v>
      </c>
      <c r="R148" s="10">
        <v>0</v>
      </c>
      <c r="S148" s="10"/>
      <c r="T148" s="10">
        <v>18824489.945330001</v>
      </c>
      <c r="U148" s="10">
        <v>9641860.8027199991</v>
      </c>
      <c r="V148" s="10">
        <v>0</v>
      </c>
      <c r="W148" s="10">
        <v>7315270.8892999999</v>
      </c>
      <c r="X148" s="10"/>
      <c r="Y148" s="10">
        <v>12346112.98157</v>
      </c>
      <c r="Z148" s="10">
        <v>3528150.4409400001</v>
      </c>
      <c r="AA148" s="10"/>
      <c r="AB148" s="10">
        <v>7162337.7167400001</v>
      </c>
      <c r="AC148" s="10">
        <v>8219467.6168600004</v>
      </c>
      <c r="AD148" s="10"/>
      <c r="AE148" s="10">
        <v>2910033.2198800002</v>
      </c>
      <c r="AF148" s="10">
        <v>1765394.5228200001</v>
      </c>
      <c r="AG148" s="10">
        <v>3511632.9090999998</v>
      </c>
      <c r="AH148" s="10">
        <v>5053150.40436</v>
      </c>
      <c r="AI148" s="10">
        <v>6121528.6370400004</v>
      </c>
      <c r="AJ148" s="10"/>
      <c r="AK148" s="10">
        <v>310559.870628</v>
      </c>
      <c r="AL148" s="10"/>
      <c r="AM148" s="10"/>
      <c r="AN148" s="10">
        <v>0</v>
      </c>
      <c r="AO148" s="10">
        <v>604337.54726000002</v>
      </c>
      <c r="AP148" s="10"/>
      <c r="AQ148" s="10">
        <v>8535481.6186490003</v>
      </c>
      <c r="AR148" s="10"/>
      <c r="AS148" s="10">
        <v>1509575.52443</v>
      </c>
      <c r="AT148" s="10"/>
      <c r="AU148" s="10"/>
      <c r="AV148" s="10"/>
      <c r="AW148" s="10"/>
      <c r="AX148" s="10">
        <v>367702.22866999998</v>
      </c>
      <c r="AY148" s="10"/>
      <c r="AZ148" s="10"/>
      <c r="BA148" s="10">
        <v>2893782.0496999999</v>
      </c>
      <c r="BB148" s="10"/>
      <c r="BC148" s="10"/>
      <c r="BD148" s="10">
        <v>0</v>
      </c>
      <c r="BE148" s="10"/>
      <c r="BF148" s="10"/>
      <c r="BG148" s="10">
        <v>8324.7168700000002</v>
      </c>
      <c r="BH148" s="10"/>
      <c r="BI148" s="10"/>
      <c r="BJ148" s="10">
        <v>154782.21719</v>
      </c>
      <c r="BK148" s="10">
        <v>40047.558389999998</v>
      </c>
      <c r="BL148" s="10">
        <v>20017.45318</v>
      </c>
      <c r="BM148" s="10"/>
      <c r="BN148" s="10"/>
      <c r="BO148" s="10"/>
      <c r="BP148" s="10"/>
      <c r="BQ148" s="10">
        <v>850128.05292000005</v>
      </c>
      <c r="BR148" s="10">
        <v>196410.43656</v>
      </c>
      <c r="BS148" s="10">
        <v>0</v>
      </c>
      <c r="BT148" s="10"/>
      <c r="BU148" s="10"/>
      <c r="BV148" s="10"/>
      <c r="BW148" s="10"/>
      <c r="BX148" s="10">
        <v>0</v>
      </c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>
        <v>0</v>
      </c>
      <c r="DB148" s="10"/>
      <c r="DC148" s="10"/>
      <c r="DD148" s="10">
        <v>0</v>
      </c>
      <c r="DE148" s="10"/>
      <c r="DF148" s="10"/>
      <c r="DG148" s="10"/>
      <c r="DH148" s="10"/>
      <c r="DI148" s="10"/>
    </row>
    <row r="149" spans="1:113" x14ac:dyDescent="0.35">
      <c r="A149" s="8">
        <v>46041</v>
      </c>
      <c r="B149" s="9">
        <v>400736500.20867199</v>
      </c>
      <c r="C149" s="10">
        <v>988443.50134199997</v>
      </c>
      <c r="D149" s="10">
        <v>133032330.61564</v>
      </c>
      <c r="E149" s="10">
        <v>172342954.29249999</v>
      </c>
      <c r="F149" s="10"/>
      <c r="G149" s="10"/>
      <c r="H149" s="10">
        <v>20286174.016339999</v>
      </c>
      <c r="I149" s="10">
        <v>1412338.0911099999</v>
      </c>
      <c r="J149" s="10">
        <v>7075769.2054199995</v>
      </c>
      <c r="K149" s="10">
        <v>282381.57916000002</v>
      </c>
      <c r="L149" s="10">
        <v>8403943.9665300008</v>
      </c>
      <c r="M149" s="10">
        <v>2124534.63643</v>
      </c>
      <c r="N149" s="10">
        <v>1061806.7901870001</v>
      </c>
      <c r="O149" s="10">
        <v>19418153.814544</v>
      </c>
      <c r="P149" s="10"/>
      <c r="Q149" s="10">
        <v>2464225.9388100002</v>
      </c>
      <c r="R149" s="10">
        <v>0</v>
      </c>
      <c r="S149" s="10"/>
      <c r="T149" s="10">
        <v>3185416.1324900002</v>
      </c>
      <c r="U149" s="10">
        <v>3876458.6408699998</v>
      </c>
      <c r="V149" s="10">
        <v>0</v>
      </c>
      <c r="W149" s="10">
        <v>3333013.4715200001</v>
      </c>
      <c r="X149" s="10"/>
      <c r="Y149" s="10">
        <v>1735498.43123</v>
      </c>
      <c r="Z149" s="10">
        <v>460523.93075</v>
      </c>
      <c r="AA149" s="10"/>
      <c r="AB149" s="10">
        <v>2637269.5225399998</v>
      </c>
      <c r="AC149" s="10">
        <v>2025815.8661400001</v>
      </c>
      <c r="AD149" s="10"/>
      <c r="AE149" s="10">
        <v>2209150.2574399998</v>
      </c>
      <c r="AF149" s="10">
        <v>886582.06344000006</v>
      </c>
      <c r="AG149" s="10">
        <v>1613747.7152</v>
      </c>
      <c r="AH149" s="10">
        <v>1393153.3665400001</v>
      </c>
      <c r="AI149" s="10">
        <v>2497431.0841199998</v>
      </c>
      <c r="AJ149" s="10"/>
      <c r="AK149" s="10">
        <v>87048.919349000003</v>
      </c>
      <c r="AL149" s="10"/>
      <c r="AM149" s="10"/>
      <c r="AN149" s="10">
        <v>0</v>
      </c>
      <c r="AO149" s="10">
        <v>401265.68161000003</v>
      </c>
      <c r="AP149" s="10"/>
      <c r="AQ149" s="10">
        <v>552400.52340399998</v>
      </c>
      <c r="AR149" s="10"/>
      <c r="AS149" s="10">
        <v>1432111.193926</v>
      </c>
      <c r="AT149" s="10"/>
      <c r="AU149" s="10"/>
      <c r="AV149" s="10"/>
      <c r="AW149" s="10"/>
      <c r="AX149" s="10">
        <v>38819.394690000001</v>
      </c>
      <c r="AY149" s="10"/>
      <c r="AZ149" s="10"/>
      <c r="BA149" s="10">
        <v>2881499.9940999998</v>
      </c>
      <c r="BB149" s="10"/>
      <c r="BC149" s="10"/>
      <c r="BD149" s="10">
        <v>0</v>
      </c>
      <c r="BE149" s="10"/>
      <c r="BF149" s="10"/>
      <c r="BG149" s="10">
        <v>102401.79689</v>
      </c>
      <c r="BH149" s="10"/>
      <c r="BI149" s="10"/>
      <c r="BJ149" s="10">
        <v>191499.8333</v>
      </c>
      <c r="BK149" s="10">
        <v>58777.94483</v>
      </c>
      <c r="BL149" s="10">
        <v>80622.833240000007</v>
      </c>
      <c r="BM149" s="10"/>
      <c r="BN149" s="10"/>
      <c r="BO149" s="10"/>
      <c r="BP149" s="10"/>
      <c r="BQ149" s="10">
        <v>106534.07090999999</v>
      </c>
      <c r="BR149" s="10">
        <v>56401.092129999997</v>
      </c>
      <c r="BS149" s="10">
        <v>0</v>
      </c>
      <c r="BT149" s="10"/>
      <c r="BU149" s="10"/>
      <c r="BV149" s="10"/>
      <c r="BW149" s="10"/>
      <c r="BX149" s="10">
        <v>0</v>
      </c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>
        <v>0</v>
      </c>
      <c r="DB149" s="10"/>
      <c r="DC149" s="10"/>
      <c r="DD149" s="10">
        <v>0</v>
      </c>
      <c r="DE149" s="10"/>
      <c r="DF149" s="10"/>
      <c r="DG149" s="10"/>
      <c r="DH149" s="10"/>
      <c r="DI149" s="10"/>
    </row>
    <row r="150" spans="1:113" x14ac:dyDescent="0.35">
      <c r="A150" s="8">
        <v>46040</v>
      </c>
      <c r="B150" s="9">
        <v>118597734.43599699</v>
      </c>
      <c r="C150" s="10">
        <v>168555.76757900001</v>
      </c>
      <c r="D150" s="10">
        <v>21211896.64302</v>
      </c>
      <c r="E150" s="10">
        <v>74126969.454600096</v>
      </c>
      <c r="F150" s="10"/>
      <c r="G150" s="10"/>
      <c r="H150" s="10">
        <v>6516710.3577699997</v>
      </c>
      <c r="I150" s="10">
        <v>385430.28224999999</v>
      </c>
      <c r="J150" s="10">
        <v>1092780.2541100001</v>
      </c>
      <c r="K150" s="10">
        <v>93715.080679999999</v>
      </c>
      <c r="L150" s="10">
        <v>1202380.7599899999</v>
      </c>
      <c r="M150" s="10">
        <v>217934.08197999999</v>
      </c>
      <c r="N150" s="10">
        <v>142968.56531599999</v>
      </c>
      <c r="O150" s="10">
        <v>1928520.561338</v>
      </c>
      <c r="P150" s="10"/>
      <c r="Q150" s="10">
        <v>1215843.00223</v>
      </c>
      <c r="R150" s="10">
        <v>0</v>
      </c>
      <c r="S150" s="10"/>
      <c r="T150" s="10">
        <v>229356.42426</v>
      </c>
      <c r="U150" s="10">
        <v>822666.65864000004</v>
      </c>
      <c r="V150" s="10">
        <v>0</v>
      </c>
      <c r="W150" s="10">
        <v>448422.87365000002</v>
      </c>
      <c r="X150" s="10"/>
      <c r="Y150" s="10">
        <v>411674.16386999999</v>
      </c>
      <c r="Z150" s="10">
        <v>245625.04788999999</v>
      </c>
      <c r="AA150" s="10"/>
      <c r="AB150" s="10">
        <v>74444.203559999994</v>
      </c>
      <c r="AC150" s="10">
        <v>682990.55315000005</v>
      </c>
      <c r="AD150" s="10"/>
      <c r="AE150" s="10">
        <v>1077382.07604</v>
      </c>
      <c r="AF150" s="10">
        <v>96075.534050000002</v>
      </c>
      <c r="AG150" s="10">
        <v>1059515.3903999999</v>
      </c>
      <c r="AH150" s="10">
        <v>79315.598660000003</v>
      </c>
      <c r="AI150" s="10">
        <v>166821.07568000001</v>
      </c>
      <c r="AJ150" s="10"/>
      <c r="AK150" s="10">
        <v>71770.757456000007</v>
      </c>
      <c r="AL150" s="10"/>
      <c r="AM150" s="10"/>
      <c r="AN150" s="10">
        <v>0</v>
      </c>
      <c r="AO150" s="10">
        <v>105619.4623</v>
      </c>
      <c r="AP150" s="10"/>
      <c r="AQ150" s="10">
        <v>87953.160025999998</v>
      </c>
      <c r="AR150" s="10"/>
      <c r="AS150" s="10">
        <v>172072.85417199999</v>
      </c>
      <c r="AT150" s="10"/>
      <c r="AU150" s="10"/>
      <c r="AV150" s="10"/>
      <c r="AW150" s="10"/>
      <c r="AX150" s="10">
        <v>31113.847829999999</v>
      </c>
      <c r="AY150" s="10"/>
      <c r="AZ150" s="10"/>
      <c r="BA150" s="10">
        <v>3364500.9515999998</v>
      </c>
      <c r="BB150" s="10"/>
      <c r="BC150" s="10"/>
      <c r="BD150" s="10">
        <v>0</v>
      </c>
      <c r="BE150" s="10"/>
      <c r="BF150" s="10"/>
      <c r="BG150" s="10">
        <v>591181.10150999995</v>
      </c>
      <c r="BH150" s="10"/>
      <c r="BI150" s="10"/>
      <c r="BJ150" s="10">
        <v>105465.63931</v>
      </c>
      <c r="BK150" s="10">
        <v>33622.504690000002</v>
      </c>
      <c r="BL150" s="10">
        <v>22820.64185</v>
      </c>
      <c r="BM150" s="10"/>
      <c r="BN150" s="10"/>
      <c r="BO150" s="10"/>
      <c r="BP150" s="10"/>
      <c r="BQ150" s="10">
        <v>282384.93124000001</v>
      </c>
      <c r="BR150" s="10">
        <v>31234.173299999999</v>
      </c>
      <c r="BS150" s="10">
        <v>0</v>
      </c>
      <c r="BT150" s="10"/>
      <c r="BU150" s="10"/>
      <c r="BV150" s="10"/>
      <c r="BW150" s="10"/>
      <c r="BX150" s="10">
        <v>0</v>
      </c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>
        <v>0</v>
      </c>
      <c r="DB150" s="10"/>
      <c r="DC150" s="10"/>
      <c r="DD150" s="10">
        <v>0</v>
      </c>
      <c r="DE150" s="10"/>
      <c r="DF150" s="10"/>
      <c r="DG150" s="10"/>
      <c r="DH150" s="10"/>
      <c r="DI150" s="10"/>
    </row>
    <row r="151" spans="1:113" x14ac:dyDescent="0.35">
      <c r="A151" s="8">
        <v>46039</v>
      </c>
      <c r="B151" s="9">
        <v>154590598.347642</v>
      </c>
      <c r="C151" s="10">
        <v>343393.86583999998</v>
      </c>
      <c r="D151" s="10">
        <v>9572736.4094200004</v>
      </c>
      <c r="E151" s="10">
        <v>119811175.8942</v>
      </c>
      <c r="F151" s="10"/>
      <c r="G151" s="10"/>
      <c r="H151" s="10">
        <v>2274753.9289600002</v>
      </c>
      <c r="I151" s="10">
        <v>821495.49991999997</v>
      </c>
      <c r="J151" s="10">
        <v>1030084.93244</v>
      </c>
      <c r="K151" s="10">
        <v>129681.32494999999</v>
      </c>
      <c r="L151" s="10">
        <v>1294743.0841099999</v>
      </c>
      <c r="M151" s="10">
        <v>495676.46243999997</v>
      </c>
      <c r="N151" s="10">
        <v>497720.54308199999</v>
      </c>
      <c r="O151" s="10">
        <v>1914166.2848120001</v>
      </c>
      <c r="P151" s="10"/>
      <c r="Q151" s="10">
        <v>1564455.01661</v>
      </c>
      <c r="R151" s="10">
        <v>0</v>
      </c>
      <c r="S151" s="10"/>
      <c r="T151" s="10">
        <v>235561.76808000001</v>
      </c>
      <c r="U151" s="10">
        <v>471948.14468999999</v>
      </c>
      <c r="V151" s="10">
        <v>0</v>
      </c>
      <c r="W151" s="10">
        <v>646867.17397</v>
      </c>
      <c r="X151" s="10"/>
      <c r="Y151" s="10">
        <v>194374.48417000001</v>
      </c>
      <c r="Z151" s="10">
        <v>132009.73707999999</v>
      </c>
      <c r="AA151" s="10"/>
      <c r="AB151" s="10">
        <v>1551546.3464599999</v>
      </c>
      <c r="AC151" s="10">
        <v>4600695.3732000003</v>
      </c>
      <c r="AD151" s="10"/>
      <c r="AE151" s="10">
        <v>1571055.9343999999</v>
      </c>
      <c r="AF151" s="10">
        <v>151046.23668999999</v>
      </c>
      <c r="AG151" s="10">
        <v>624499.06640000001</v>
      </c>
      <c r="AH151" s="10">
        <v>318495.95870999998</v>
      </c>
      <c r="AI151" s="10">
        <v>1191744.77828</v>
      </c>
      <c r="AJ151" s="10"/>
      <c r="AK151" s="10">
        <v>21096.901411999999</v>
      </c>
      <c r="AL151" s="10"/>
      <c r="AM151" s="10"/>
      <c r="AN151" s="10">
        <v>0</v>
      </c>
      <c r="AO151" s="10">
        <v>241595.89374</v>
      </c>
      <c r="AP151" s="10"/>
      <c r="AQ151" s="10">
        <v>31883.206674000001</v>
      </c>
      <c r="AR151" s="10"/>
      <c r="AS151" s="10">
        <v>160771.74675200001</v>
      </c>
      <c r="AT151" s="10"/>
      <c r="AU151" s="10"/>
      <c r="AV151" s="10"/>
      <c r="AW151" s="10"/>
      <c r="AX151" s="10">
        <v>36894.24656</v>
      </c>
      <c r="AY151" s="10"/>
      <c r="AZ151" s="10"/>
      <c r="BA151" s="10">
        <v>2203901.3409000002</v>
      </c>
      <c r="BB151" s="10"/>
      <c r="BC151" s="10"/>
      <c r="BD151" s="10">
        <v>0</v>
      </c>
      <c r="BE151" s="10"/>
      <c r="BF151" s="10"/>
      <c r="BG151" s="10">
        <v>69571.332269999999</v>
      </c>
      <c r="BH151" s="10"/>
      <c r="BI151" s="10"/>
      <c r="BJ151" s="10">
        <v>47243.09332</v>
      </c>
      <c r="BK151" s="10">
        <v>66966.243919999994</v>
      </c>
      <c r="BL151" s="10">
        <v>36507.151059999997</v>
      </c>
      <c r="BM151" s="10"/>
      <c r="BN151" s="10"/>
      <c r="BO151" s="10"/>
      <c r="BP151" s="10"/>
      <c r="BQ151" s="10">
        <v>215817.81443</v>
      </c>
      <c r="BR151" s="10">
        <v>18421.127690000001</v>
      </c>
      <c r="BS151" s="10">
        <v>0</v>
      </c>
      <c r="BT151" s="10"/>
      <c r="BU151" s="10"/>
      <c r="BV151" s="10"/>
      <c r="BW151" s="10"/>
      <c r="BX151" s="10">
        <v>0</v>
      </c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>
        <v>0</v>
      </c>
      <c r="DE151" s="10"/>
      <c r="DF151" s="10"/>
      <c r="DG151" s="10"/>
      <c r="DH151" s="10"/>
      <c r="DI151" s="10"/>
    </row>
    <row r="152" spans="1:113" x14ac:dyDescent="0.35">
      <c r="A152" s="8">
        <v>46038</v>
      </c>
      <c r="B152" s="9">
        <v>531714065.91697699</v>
      </c>
      <c r="C152" s="10">
        <v>827255.78308600001</v>
      </c>
      <c r="D152" s="10">
        <v>188546810.91957</v>
      </c>
      <c r="E152" s="10">
        <v>198642702.33570001</v>
      </c>
      <c r="F152" s="10"/>
      <c r="G152" s="10"/>
      <c r="H152" s="10">
        <v>26713779.231109999</v>
      </c>
      <c r="I152" s="10">
        <v>4063976.6757299998</v>
      </c>
      <c r="J152" s="10">
        <v>9866412.5369099993</v>
      </c>
      <c r="K152" s="10">
        <v>1603582.9177699999</v>
      </c>
      <c r="L152" s="10">
        <v>9213186.6312300004</v>
      </c>
      <c r="M152" s="10">
        <v>7959190.2412200002</v>
      </c>
      <c r="N152" s="10">
        <v>3648316.490466</v>
      </c>
      <c r="O152" s="10">
        <v>11601004.525079001</v>
      </c>
      <c r="P152" s="10"/>
      <c r="Q152" s="10">
        <v>7580274.1180400001</v>
      </c>
      <c r="R152" s="10">
        <v>0</v>
      </c>
      <c r="S152" s="10"/>
      <c r="T152" s="10">
        <v>6200231.6002399996</v>
      </c>
      <c r="U152" s="10">
        <v>7726128.4235699996</v>
      </c>
      <c r="V152" s="10">
        <v>0</v>
      </c>
      <c r="W152" s="10">
        <v>3685861.6268600002</v>
      </c>
      <c r="X152" s="10"/>
      <c r="Y152" s="10">
        <v>13638901.868319999</v>
      </c>
      <c r="Z152" s="10">
        <v>4045870.5405600001</v>
      </c>
      <c r="AA152" s="10"/>
      <c r="AB152" s="10">
        <v>2493350.1424400001</v>
      </c>
      <c r="AC152" s="10">
        <v>3219412.33959</v>
      </c>
      <c r="AD152" s="10"/>
      <c r="AE152" s="10">
        <v>2022297.1136700001</v>
      </c>
      <c r="AF152" s="10">
        <v>2317945.7732099998</v>
      </c>
      <c r="AG152" s="10">
        <v>1649022.5046999999</v>
      </c>
      <c r="AH152" s="10">
        <v>3567990.3660400002</v>
      </c>
      <c r="AI152" s="10">
        <v>1610007.5009399999</v>
      </c>
      <c r="AJ152" s="10"/>
      <c r="AK152" s="10">
        <v>261113.16131</v>
      </c>
      <c r="AL152" s="10"/>
      <c r="AM152" s="10"/>
      <c r="AN152" s="10">
        <v>0</v>
      </c>
      <c r="AO152" s="10">
        <v>933195.37676999997</v>
      </c>
      <c r="AP152" s="10"/>
      <c r="AQ152" s="10">
        <v>466866.285408</v>
      </c>
      <c r="AR152" s="10"/>
      <c r="AS152" s="10">
        <v>330197.68339800002</v>
      </c>
      <c r="AT152" s="10"/>
      <c r="AU152" s="10"/>
      <c r="AV152" s="10"/>
      <c r="AW152" s="10"/>
      <c r="AX152" s="10">
        <v>234106.67611999999</v>
      </c>
      <c r="AY152" s="10"/>
      <c r="AZ152" s="10"/>
      <c r="BA152" s="10">
        <v>5448798.6562000001</v>
      </c>
      <c r="BB152" s="10"/>
      <c r="BC152" s="10"/>
      <c r="BD152" s="10">
        <v>0</v>
      </c>
      <c r="BE152" s="10"/>
      <c r="BF152" s="10"/>
      <c r="BG152" s="10">
        <v>878523.44106999994</v>
      </c>
      <c r="BH152" s="10"/>
      <c r="BI152" s="10"/>
      <c r="BJ152" s="10">
        <v>87659.70796</v>
      </c>
      <c r="BK152" s="10">
        <v>104747.58882999999</v>
      </c>
      <c r="BL152" s="10">
        <v>186292.59168000001</v>
      </c>
      <c r="BM152" s="10"/>
      <c r="BN152" s="10"/>
      <c r="BO152" s="10"/>
      <c r="BP152" s="10"/>
      <c r="BQ152" s="10">
        <v>230788.35355</v>
      </c>
      <c r="BR152" s="10">
        <v>108264.18863</v>
      </c>
      <c r="BS152" s="10">
        <v>0</v>
      </c>
      <c r="BT152" s="10"/>
      <c r="BU152" s="10"/>
      <c r="BV152" s="10"/>
      <c r="BW152" s="10"/>
      <c r="BX152" s="10">
        <v>0</v>
      </c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>
        <v>0</v>
      </c>
      <c r="DE152" s="10"/>
      <c r="DF152" s="10"/>
      <c r="DG152" s="10"/>
      <c r="DH152" s="10"/>
      <c r="DI152" s="10"/>
    </row>
    <row r="153" spans="1:113" x14ac:dyDescent="0.35">
      <c r="A153" s="8">
        <v>46037</v>
      </c>
      <c r="B153" s="9">
        <v>664057233.87804496</v>
      </c>
      <c r="C153" s="10">
        <v>1832562.9859239999</v>
      </c>
      <c r="D153" s="10">
        <v>219831327.56431001</v>
      </c>
      <c r="E153" s="10">
        <v>288828162.66159999</v>
      </c>
      <c r="F153" s="10"/>
      <c r="G153" s="10"/>
      <c r="H153" s="10">
        <v>19474596.668230001</v>
      </c>
      <c r="I153" s="10">
        <v>3394095.62261</v>
      </c>
      <c r="J153" s="10">
        <v>9618089.5268900003</v>
      </c>
      <c r="K153" s="10">
        <v>2704876.5276000001</v>
      </c>
      <c r="L153" s="10">
        <v>9711243.9405000005</v>
      </c>
      <c r="M153" s="10">
        <v>8166841.0725800004</v>
      </c>
      <c r="N153" s="10">
        <v>5521400.6450650003</v>
      </c>
      <c r="O153" s="10">
        <v>3583046.584971</v>
      </c>
      <c r="P153" s="10"/>
      <c r="Q153" s="10">
        <v>7021407.18884</v>
      </c>
      <c r="R153" s="10"/>
      <c r="S153" s="10"/>
      <c r="T153" s="10">
        <v>15390468.52187</v>
      </c>
      <c r="U153" s="10">
        <v>15061129.113849999</v>
      </c>
      <c r="V153" s="10">
        <v>0</v>
      </c>
      <c r="W153" s="10">
        <v>8153123.29299</v>
      </c>
      <c r="X153" s="10"/>
      <c r="Y153" s="10">
        <v>5269821.9526899997</v>
      </c>
      <c r="Z153" s="10">
        <v>4831643.1998199997</v>
      </c>
      <c r="AA153" s="10"/>
      <c r="AB153" s="10">
        <v>1387843.5894800001</v>
      </c>
      <c r="AC153" s="10">
        <v>4512741.6892499998</v>
      </c>
      <c r="AD153" s="10"/>
      <c r="AE153" s="10">
        <v>2369429.1008199998</v>
      </c>
      <c r="AF153" s="10">
        <v>2470157.36185</v>
      </c>
      <c r="AG153" s="10">
        <v>1368098.9066000001</v>
      </c>
      <c r="AH153" s="10">
        <v>6980854.9939200003</v>
      </c>
      <c r="AI153" s="10">
        <v>1521714.4310000001</v>
      </c>
      <c r="AJ153" s="10"/>
      <c r="AK153" s="10">
        <v>425959.892299</v>
      </c>
      <c r="AL153" s="10"/>
      <c r="AM153" s="10"/>
      <c r="AN153" s="10">
        <v>0</v>
      </c>
      <c r="AO153" s="10">
        <v>363932.14824000001</v>
      </c>
      <c r="AP153" s="10"/>
      <c r="AQ153" s="10">
        <v>743042.98661300004</v>
      </c>
      <c r="AR153" s="10"/>
      <c r="AS153" s="10">
        <v>511290.899653</v>
      </c>
      <c r="AT153" s="10"/>
      <c r="AU153" s="10"/>
      <c r="AV153" s="10"/>
      <c r="AW153" s="10"/>
      <c r="AX153" s="10">
        <v>351486.61732999998</v>
      </c>
      <c r="AY153" s="10"/>
      <c r="AZ153" s="10"/>
      <c r="BA153" s="10">
        <v>11320167.6204</v>
      </c>
      <c r="BB153" s="10"/>
      <c r="BC153" s="10"/>
      <c r="BD153" s="10">
        <v>0</v>
      </c>
      <c r="BE153" s="10"/>
      <c r="BF153" s="10"/>
      <c r="BG153" s="10">
        <v>529048.99097000004</v>
      </c>
      <c r="BH153" s="10"/>
      <c r="BI153" s="10"/>
      <c r="BJ153" s="10">
        <v>172890.02541999999</v>
      </c>
      <c r="BK153" s="10">
        <v>49284.805379999998</v>
      </c>
      <c r="BL153" s="10">
        <v>39751.980629999998</v>
      </c>
      <c r="BM153" s="10"/>
      <c r="BN153" s="10"/>
      <c r="BO153" s="10"/>
      <c r="BP153" s="10"/>
      <c r="BQ153" s="10">
        <v>403400.30670000002</v>
      </c>
      <c r="BR153" s="10">
        <v>142300.46114999999</v>
      </c>
      <c r="BS153" s="10">
        <v>0</v>
      </c>
      <c r="BT153" s="10"/>
      <c r="BU153" s="10"/>
      <c r="BV153" s="10"/>
      <c r="BW153" s="10"/>
      <c r="BX153" s="10">
        <v>0</v>
      </c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>
        <v>0</v>
      </c>
      <c r="DE153" s="10"/>
      <c r="DF153" s="10"/>
      <c r="DG153" s="10"/>
      <c r="DH153" s="10"/>
      <c r="DI153" s="10"/>
    </row>
    <row r="154" spans="1:113" x14ac:dyDescent="0.35">
      <c r="A154" s="8">
        <v>46036</v>
      </c>
      <c r="B154" s="9">
        <v>618712613.98437595</v>
      </c>
      <c r="C154" s="10">
        <v>2023639.9851810001</v>
      </c>
      <c r="D154" s="10">
        <v>167134720.58094001</v>
      </c>
      <c r="E154" s="10">
        <v>286249715.01569998</v>
      </c>
      <c r="F154" s="10"/>
      <c r="G154" s="10"/>
      <c r="H154" s="10">
        <v>18460618.599509999</v>
      </c>
      <c r="I154" s="10">
        <v>3111746.8862000001</v>
      </c>
      <c r="J154" s="10">
        <v>9399055.7419300005</v>
      </c>
      <c r="K154" s="10">
        <v>765508.09817000001</v>
      </c>
      <c r="L154" s="10">
        <v>19487009.494970001</v>
      </c>
      <c r="M154" s="10">
        <v>10504862.36469</v>
      </c>
      <c r="N154" s="10">
        <v>7017997.8361989995</v>
      </c>
      <c r="O154" s="10">
        <v>1220674.491557</v>
      </c>
      <c r="P154" s="10"/>
      <c r="Q154" s="10">
        <v>8654956.1058499999</v>
      </c>
      <c r="R154" s="10"/>
      <c r="S154" s="10"/>
      <c r="T154" s="10">
        <v>6495005.5794900004</v>
      </c>
      <c r="U154" s="10">
        <v>20185364.844659999</v>
      </c>
      <c r="V154" s="10">
        <v>0</v>
      </c>
      <c r="W154" s="10">
        <v>8985138.7615499999</v>
      </c>
      <c r="X154" s="10"/>
      <c r="Y154" s="10">
        <v>7857132.8449600004</v>
      </c>
      <c r="Z154" s="10">
        <v>3597377.1063899999</v>
      </c>
      <c r="AA154" s="10"/>
      <c r="AB154" s="10">
        <v>3518480.8983399998</v>
      </c>
      <c r="AC154" s="10">
        <v>4287499.2789500002</v>
      </c>
      <c r="AD154" s="10"/>
      <c r="AE154" s="10">
        <v>885822.66601000004</v>
      </c>
      <c r="AF154" s="10">
        <v>2036986.82541</v>
      </c>
      <c r="AG154" s="10">
        <v>2047425.3263999999</v>
      </c>
      <c r="AH154" s="10">
        <v>2625152.3011099999</v>
      </c>
      <c r="AI154" s="10">
        <v>1304740.35136</v>
      </c>
      <c r="AJ154" s="10"/>
      <c r="AK154" s="10">
        <v>839830.39821200003</v>
      </c>
      <c r="AL154" s="10"/>
      <c r="AM154" s="10"/>
      <c r="AN154" s="10">
        <v>0</v>
      </c>
      <c r="AO154" s="10">
        <v>0</v>
      </c>
      <c r="AP154" s="10"/>
      <c r="AQ154" s="10">
        <v>1219957.277488</v>
      </c>
      <c r="AR154" s="10"/>
      <c r="AS154" s="10">
        <v>946569.93679900002</v>
      </c>
      <c r="AT154" s="10"/>
      <c r="AU154" s="10"/>
      <c r="AV154" s="10"/>
      <c r="AW154" s="10"/>
      <c r="AX154" s="10">
        <v>170294.45327</v>
      </c>
      <c r="AY154" s="10"/>
      <c r="AZ154" s="10"/>
      <c r="BA154" s="10">
        <v>15836213.819399999</v>
      </c>
      <c r="BB154" s="10"/>
      <c r="BC154" s="10"/>
      <c r="BD154" s="10">
        <v>0</v>
      </c>
      <c r="BE154" s="10"/>
      <c r="BF154" s="10"/>
      <c r="BG154" s="10">
        <v>706013.88905</v>
      </c>
      <c r="BH154" s="10"/>
      <c r="BI154" s="10"/>
      <c r="BJ154" s="10">
        <v>187710.02814000001</v>
      </c>
      <c r="BK154" s="10">
        <v>142583.41613999999</v>
      </c>
      <c r="BL154" s="10">
        <v>19399.10169</v>
      </c>
      <c r="BM154" s="10"/>
      <c r="BN154" s="10"/>
      <c r="BO154" s="10"/>
      <c r="BP154" s="10"/>
      <c r="BQ154" s="10">
        <v>430417.44037000003</v>
      </c>
      <c r="BR154" s="10">
        <v>356992.23829000001</v>
      </c>
      <c r="BS154" s="10">
        <v>0</v>
      </c>
      <c r="BT154" s="10"/>
      <c r="BU154" s="10"/>
      <c r="BV154" s="10"/>
      <c r="BW154" s="10"/>
      <c r="BX154" s="10">
        <v>0</v>
      </c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>
        <v>0</v>
      </c>
      <c r="DE154" s="10"/>
      <c r="DF154" s="10"/>
      <c r="DG154" s="10"/>
      <c r="DH154" s="10"/>
      <c r="DI154" s="10"/>
    </row>
    <row r="155" spans="1:113" x14ac:dyDescent="0.35">
      <c r="A155" s="8">
        <v>46035</v>
      </c>
      <c r="B155" s="9">
        <v>481793592.80950499</v>
      </c>
      <c r="C155" s="10">
        <v>1699265.6310650001</v>
      </c>
      <c r="D155" s="10">
        <v>122894646.97566</v>
      </c>
      <c r="E155" s="10">
        <v>192569087.30419999</v>
      </c>
      <c r="F155" s="10"/>
      <c r="G155" s="10"/>
      <c r="H155" s="10">
        <v>13777880.611719999</v>
      </c>
      <c r="I155" s="10">
        <v>3263562.37989</v>
      </c>
      <c r="J155" s="10">
        <v>9893512.1576099992</v>
      </c>
      <c r="K155" s="10">
        <v>3114178.1354499999</v>
      </c>
      <c r="L155" s="10">
        <v>23465365.52242</v>
      </c>
      <c r="M155" s="10">
        <v>6050372.9680399997</v>
      </c>
      <c r="N155" s="10">
        <v>8929457.7396310009</v>
      </c>
      <c r="O155" s="10">
        <v>0</v>
      </c>
      <c r="P155" s="10"/>
      <c r="Q155" s="10">
        <v>9382107.8535600007</v>
      </c>
      <c r="R155" s="10"/>
      <c r="S155" s="10"/>
      <c r="T155" s="10">
        <v>12163356.064850001</v>
      </c>
      <c r="U155" s="10">
        <v>10996371.836689999</v>
      </c>
      <c r="V155" s="10">
        <v>0</v>
      </c>
      <c r="W155" s="10">
        <v>5420519.3069700003</v>
      </c>
      <c r="X155" s="10"/>
      <c r="Y155" s="10">
        <v>9053867.1998200007</v>
      </c>
      <c r="Z155" s="10">
        <v>3694667.3602700001</v>
      </c>
      <c r="AA155" s="10"/>
      <c r="AB155" s="10">
        <v>5798507.2765600001</v>
      </c>
      <c r="AC155" s="10">
        <v>9151835.8150800001</v>
      </c>
      <c r="AD155" s="10"/>
      <c r="AE155" s="10">
        <v>1001267.26318</v>
      </c>
      <c r="AF155" s="10">
        <v>2016912.9937400001</v>
      </c>
      <c r="AG155" s="10">
        <v>3308309.5076000001</v>
      </c>
      <c r="AH155" s="10">
        <v>3296638.2281900002</v>
      </c>
      <c r="AI155" s="10">
        <v>1770492.70973</v>
      </c>
      <c r="AJ155" s="10"/>
      <c r="AK155" s="10">
        <v>754579.94084900001</v>
      </c>
      <c r="AL155" s="10"/>
      <c r="AM155" s="10"/>
      <c r="AN155" s="10">
        <v>0</v>
      </c>
      <c r="AO155" s="10">
        <v>0</v>
      </c>
      <c r="AP155" s="10"/>
      <c r="AQ155" s="10">
        <v>2192137.4099130002</v>
      </c>
      <c r="AR155" s="10"/>
      <c r="AS155" s="10">
        <v>949110.33429699996</v>
      </c>
      <c r="AT155" s="10"/>
      <c r="AU155" s="10"/>
      <c r="AV155" s="10"/>
      <c r="AW155" s="10"/>
      <c r="AX155" s="10">
        <v>0</v>
      </c>
      <c r="AY155" s="10"/>
      <c r="AZ155" s="10"/>
      <c r="BA155" s="10">
        <v>14108431.072799999</v>
      </c>
      <c r="BB155" s="10"/>
      <c r="BC155" s="10"/>
      <c r="BD155" s="10">
        <v>0</v>
      </c>
      <c r="BE155" s="10"/>
      <c r="BF155" s="10"/>
      <c r="BG155" s="10">
        <v>88503.480720000007</v>
      </c>
      <c r="BH155" s="10"/>
      <c r="BI155" s="10"/>
      <c r="BJ155" s="10">
        <v>244994.05989999999</v>
      </c>
      <c r="BK155" s="10">
        <v>59202.487220000003</v>
      </c>
      <c r="BL155" s="10">
        <v>75032.341119999997</v>
      </c>
      <c r="BM155" s="10"/>
      <c r="BN155" s="10"/>
      <c r="BO155" s="10"/>
      <c r="BP155" s="10"/>
      <c r="BQ155" s="10">
        <v>320446.59883999999</v>
      </c>
      <c r="BR155" s="10">
        <v>288972.24192</v>
      </c>
      <c r="BS155" s="10">
        <v>0</v>
      </c>
      <c r="BT155" s="10"/>
      <c r="BU155" s="10"/>
      <c r="BV155" s="10"/>
      <c r="BW155" s="10"/>
      <c r="BX155" s="10">
        <v>0</v>
      </c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</row>
    <row r="156" spans="1:113" x14ac:dyDescent="0.35">
      <c r="A156" s="8">
        <v>46034</v>
      </c>
      <c r="B156" s="9">
        <v>408436684.28797501</v>
      </c>
      <c r="C156" s="10">
        <v>1873350.6565749999</v>
      </c>
      <c r="D156" s="10">
        <v>82991944.422700003</v>
      </c>
      <c r="E156" s="10">
        <v>173455865.94909999</v>
      </c>
      <c r="F156" s="10"/>
      <c r="G156" s="10"/>
      <c r="H156" s="10">
        <v>28685475.691190001</v>
      </c>
      <c r="I156" s="10">
        <v>1528792.6021799999</v>
      </c>
      <c r="J156" s="10">
        <v>7363288.6010199999</v>
      </c>
      <c r="K156" s="10">
        <v>625902.36424999998</v>
      </c>
      <c r="L156" s="10">
        <v>15066942.69507</v>
      </c>
      <c r="M156" s="10">
        <v>11287354.683660001</v>
      </c>
      <c r="N156" s="10">
        <v>2149377.281287</v>
      </c>
      <c r="O156" s="10">
        <v>0</v>
      </c>
      <c r="P156" s="10"/>
      <c r="Q156" s="10">
        <v>9838568.6520399991</v>
      </c>
      <c r="R156" s="10"/>
      <c r="S156" s="10"/>
      <c r="T156" s="10">
        <v>5345708.2033299999</v>
      </c>
      <c r="U156" s="10">
        <v>8071368.12971</v>
      </c>
      <c r="V156" s="10">
        <v>0</v>
      </c>
      <c r="W156" s="10">
        <v>4886352.4754499998</v>
      </c>
      <c r="X156" s="10"/>
      <c r="Y156" s="10">
        <v>4553184.7033500001</v>
      </c>
      <c r="Z156" s="10">
        <v>2900277.2251200001</v>
      </c>
      <c r="AA156" s="10"/>
      <c r="AB156" s="10">
        <v>2745287.2469299999</v>
      </c>
      <c r="AC156" s="10">
        <v>7302976.1105000004</v>
      </c>
      <c r="AD156" s="10"/>
      <c r="AE156" s="10">
        <v>2712409.33977</v>
      </c>
      <c r="AF156" s="10">
        <v>898053.08651000005</v>
      </c>
      <c r="AG156" s="10">
        <v>10810902.5352</v>
      </c>
      <c r="AH156" s="10">
        <v>2025795.4053400001</v>
      </c>
      <c r="AI156" s="10">
        <v>3540976.1200700002</v>
      </c>
      <c r="AJ156" s="10"/>
      <c r="AK156" s="10">
        <v>298876.857449</v>
      </c>
      <c r="AL156" s="10"/>
      <c r="AM156" s="10"/>
      <c r="AN156" s="10">
        <v>0</v>
      </c>
      <c r="AO156" s="10">
        <v>0</v>
      </c>
      <c r="AP156" s="10"/>
      <c r="AQ156" s="10">
        <v>810306.87807500002</v>
      </c>
      <c r="AR156" s="10"/>
      <c r="AS156" s="10">
        <v>1049385.816479</v>
      </c>
      <c r="AT156" s="10"/>
      <c r="AU156" s="10"/>
      <c r="AV156" s="10"/>
      <c r="AW156" s="10"/>
      <c r="AX156" s="10">
        <v>0</v>
      </c>
      <c r="AY156" s="10"/>
      <c r="AZ156" s="10"/>
      <c r="BA156" s="10">
        <v>14275463.331</v>
      </c>
      <c r="BB156" s="10"/>
      <c r="BC156" s="10"/>
      <c r="BD156" s="10">
        <v>0</v>
      </c>
      <c r="BE156" s="10"/>
      <c r="BF156" s="10"/>
      <c r="BG156" s="10">
        <v>51242.223579999998</v>
      </c>
      <c r="BH156" s="10"/>
      <c r="BI156" s="10"/>
      <c r="BJ156" s="10">
        <v>130390.19838</v>
      </c>
      <c r="BK156" s="10">
        <v>18701.440900000001</v>
      </c>
      <c r="BL156" s="10">
        <v>89367.167400000006</v>
      </c>
      <c r="BM156" s="10"/>
      <c r="BN156" s="10"/>
      <c r="BO156" s="10"/>
      <c r="BP156" s="10"/>
      <c r="BQ156" s="10">
        <v>890832.82160000002</v>
      </c>
      <c r="BR156" s="10">
        <v>161963.37276</v>
      </c>
      <c r="BS156" s="10">
        <v>0</v>
      </c>
      <c r="BT156" s="10"/>
      <c r="BU156" s="10"/>
      <c r="BV156" s="10"/>
      <c r="BW156" s="10"/>
      <c r="BX156" s="10">
        <v>0</v>
      </c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</row>
    <row r="157" spans="1:113" x14ac:dyDescent="0.35">
      <c r="A157" s="8">
        <v>46033</v>
      </c>
      <c r="B157" s="9">
        <v>146149738.33208999</v>
      </c>
      <c r="C157" s="10">
        <v>487377.97397300001</v>
      </c>
      <c r="D157" s="10">
        <v>8291400.4093300002</v>
      </c>
      <c r="E157" s="10">
        <v>43295471.699199997</v>
      </c>
      <c r="F157" s="10"/>
      <c r="G157" s="10"/>
      <c r="H157" s="10">
        <v>4297644.2844900005</v>
      </c>
      <c r="I157" s="10">
        <v>36846.558620000003</v>
      </c>
      <c r="J157" s="10">
        <v>2355120.5583799998</v>
      </c>
      <c r="K157" s="10">
        <v>0</v>
      </c>
      <c r="L157" s="10">
        <v>747587.57585999998</v>
      </c>
      <c r="M157" s="10">
        <v>532048.38003999996</v>
      </c>
      <c r="N157" s="10">
        <v>567434.26937500003</v>
      </c>
      <c r="O157" s="10">
        <v>0</v>
      </c>
      <c r="P157" s="10"/>
      <c r="Q157" s="10">
        <v>410875.63282</v>
      </c>
      <c r="R157" s="10"/>
      <c r="S157" s="10"/>
      <c r="T157" s="10">
        <v>73905.272119999994</v>
      </c>
      <c r="U157" s="10">
        <v>901140.59655000002</v>
      </c>
      <c r="V157" s="10">
        <v>0</v>
      </c>
      <c r="W157" s="10">
        <v>6314918.0444599995</v>
      </c>
      <c r="X157" s="10"/>
      <c r="Y157" s="10">
        <v>184476.42077999999</v>
      </c>
      <c r="Z157" s="10">
        <v>60293.848859999998</v>
      </c>
      <c r="AA157" s="10"/>
      <c r="AB157" s="10">
        <v>54498.362249999998</v>
      </c>
      <c r="AC157" s="10">
        <v>1520143.8357899999</v>
      </c>
      <c r="AD157" s="10"/>
      <c r="AE157" s="10">
        <v>23685312.575460002</v>
      </c>
      <c r="AF157" s="10">
        <v>72537.625409999993</v>
      </c>
      <c r="AG157" s="10">
        <v>43716564.936700001</v>
      </c>
      <c r="AH157" s="10">
        <v>59929.047749999998</v>
      </c>
      <c r="AI157" s="10">
        <v>77603.260810000007</v>
      </c>
      <c r="AJ157" s="10"/>
      <c r="AK157" s="10">
        <v>69876.724342999994</v>
      </c>
      <c r="AL157" s="10"/>
      <c r="AM157" s="10"/>
      <c r="AN157" s="10">
        <v>0</v>
      </c>
      <c r="AO157" s="10">
        <v>0</v>
      </c>
      <c r="AP157" s="10"/>
      <c r="AQ157" s="10">
        <v>791239.51574099995</v>
      </c>
      <c r="AR157" s="10"/>
      <c r="AS157" s="10">
        <v>406264.607128</v>
      </c>
      <c r="AT157" s="10"/>
      <c r="AU157" s="10"/>
      <c r="AV157" s="10"/>
      <c r="AW157" s="10"/>
      <c r="AX157" s="10">
        <v>0</v>
      </c>
      <c r="AY157" s="10"/>
      <c r="AZ157" s="10"/>
      <c r="BA157" s="10">
        <v>6848179.4523</v>
      </c>
      <c r="BB157" s="10"/>
      <c r="BC157" s="10"/>
      <c r="BD157" s="10">
        <v>0</v>
      </c>
      <c r="BE157" s="10"/>
      <c r="BF157" s="10"/>
      <c r="BG157" s="10">
        <v>3745.2270600000002</v>
      </c>
      <c r="BH157" s="10"/>
      <c r="BI157" s="10"/>
      <c r="BJ157" s="10">
        <v>8083.6506300000001</v>
      </c>
      <c r="BK157" s="10">
        <v>35577.612999999998</v>
      </c>
      <c r="BL157" s="10">
        <v>29266.141319999999</v>
      </c>
      <c r="BM157" s="10"/>
      <c r="BN157" s="10"/>
      <c r="BO157" s="10"/>
      <c r="BP157" s="10"/>
      <c r="BQ157" s="10">
        <v>175824.14819000001</v>
      </c>
      <c r="BR157" s="10">
        <v>38550.083350000001</v>
      </c>
      <c r="BS157" s="10">
        <v>0</v>
      </c>
      <c r="BT157" s="10"/>
      <c r="BU157" s="10"/>
      <c r="BV157" s="10"/>
      <c r="BW157" s="10"/>
      <c r="BX157" s="10">
        <v>0</v>
      </c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</row>
    <row r="158" spans="1:113" x14ac:dyDescent="0.35">
      <c r="A158" s="8">
        <v>46032</v>
      </c>
      <c r="B158" s="9">
        <v>67490429.103685006</v>
      </c>
      <c r="C158" s="10">
        <v>221564.201195</v>
      </c>
      <c r="D158" s="10">
        <v>10712709.78153</v>
      </c>
      <c r="E158" s="10">
        <v>38865557.245200001</v>
      </c>
      <c r="F158" s="10"/>
      <c r="G158" s="10"/>
      <c r="H158" s="10">
        <v>4200910.4134299997</v>
      </c>
      <c r="I158" s="10">
        <v>238942.24906</v>
      </c>
      <c r="J158" s="10">
        <v>1264717.5941300001</v>
      </c>
      <c r="K158" s="10">
        <v>0</v>
      </c>
      <c r="L158" s="10">
        <v>1218889.06158</v>
      </c>
      <c r="M158" s="10">
        <v>4274787.6232700003</v>
      </c>
      <c r="N158" s="10">
        <v>39066.844379000002</v>
      </c>
      <c r="O158" s="10">
        <v>0</v>
      </c>
      <c r="P158" s="10"/>
      <c r="Q158" s="10">
        <v>1207046.2922199999</v>
      </c>
      <c r="R158" s="10"/>
      <c r="S158" s="10"/>
      <c r="T158" s="10">
        <v>465242.10048000002</v>
      </c>
      <c r="U158" s="10">
        <v>803014.63058</v>
      </c>
      <c r="V158" s="10">
        <v>0</v>
      </c>
      <c r="W158" s="10">
        <v>262927.50654999999</v>
      </c>
      <c r="X158" s="10"/>
      <c r="Y158" s="10">
        <v>175499.73462</v>
      </c>
      <c r="Z158" s="10">
        <v>116051.83662</v>
      </c>
      <c r="AA158" s="10"/>
      <c r="AB158" s="10">
        <v>807153.49837000004</v>
      </c>
      <c r="AC158" s="10">
        <v>756304.44409</v>
      </c>
      <c r="AD158" s="10"/>
      <c r="AE158" s="10">
        <v>248526.72975</v>
      </c>
      <c r="AF158" s="10">
        <v>36164.225619999997</v>
      </c>
      <c r="AG158" s="10">
        <v>175630.27369999999</v>
      </c>
      <c r="AH158" s="10">
        <v>67715.925640000001</v>
      </c>
      <c r="AI158" s="10">
        <v>79417.568299999999</v>
      </c>
      <c r="AJ158" s="10"/>
      <c r="AK158" s="10">
        <v>6231.6093979999996</v>
      </c>
      <c r="AL158" s="10"/>
      <c r="AM158" s="10"/>
      <c r="AN158" s="10">
        <v>0</v>
      </c>
      <c r="AO158" s="10">
        <v>0</v>
      </c>
      <c r="AP158" s="10"/>
      <c r="AQ158" s="10">
        <v>28871.563249999999</v>
      </c>
      <c r="AR158" s="10"/>
      <c r="AS158" s="10">
        <v>308255.74785300001</v>
      </c>
      <c r="AT158" s="10"/>
      <c r="AU158" s="10"/>
      <c r="AV158" s="10"/>
      <c r="AW158" s="10"/>
      <c r="AX158" s="10">
        <v>0</v>
      </c>
      <c r="AY158" s="10"/>
      <c r="AZ158" s="10"/>
      <c r="BA158" s="10">
        <v>782764.8236</v>
      </c>
      <c r="BB158" s="10"/>
      <c r="BC158" s="10"/>
      <c r="BD158" s="10">
        <v>0</v>
      </c>
      <c r="BE158" s="10"/>
      <c r="BF158" s="10"/>
      <c r="BG158" s="10">
        <v>11874.085590000001</v>
      </c>
      <c r="BH158" s="10"/>
      <c r="BI158" s="10"/>
      <c r="BJ158" s="10">
        <v>24403.123629999998</v>
      </c>
      <c r="BK158" s="10">
        <v>13100.7618</v>
      </c>
      <c r="BL158" s="10">
        <v>13215.56374</v>
      </c>
      <c r="BM158" s="10"/>
      <c r="BN158" s="10"/>
      <c r="BO158" s="10"/>
      <c r="BP158" s="10"/>
      <c r="BQ158" s="10">
        <v>45667.639410000003</v>
      </c>
      <c r="BR158" s="10">
        <v>18204.4051</v>
      </c>
      <c r="BS158" s="10">
        <v>0</v>
      </c>
      <c r="BT158" s="10"/>
      <c r="BU158" s="10"/>
      <c r="BV158" s="10"/>
      <c r="BW158" s="10"/>
      <c r="BX158" s="10">
        <v>0</v>
      </c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</row>
    <row r="159" spans="1:113" x14ac:dyDescent="0.35">
      <c r="A159" s="8">
        <v>46031</v>
      </c>
      <c r="B159" s="9">
        <v>295766741.42463499</v>
      </c>
      <c r="C159" s="10">
        <v>1817620.8376800001</v>
      </c>
      <c r="D159" s="10">
        <v>42493215.999779999</v>
      </c>
      <c r="E159" s="10">
        <v>180738255.29069999</v>
      </c>
      <c r="F159" s="10"/>
      <c r="G159" s="10"/>
      <c r="H159" s="10">
        <v>5463504.5844099997</v>
      </c>
      <c r="I159" s="10">
        <v>1259666.81281</v>
      </c>
      <c r="J159" s="10">
        <v>7500950.0066600004</v>
      </c>
      <c r="K159" s="10">
        <v>0</v>
      </c>
      <c r="L159" s="10">
        <v>13098739.58859</v>
      </c>
      <c r="M159" s="10">
        <v>5309686.3228900004</v>
      </c>
      <c r="N159" s="10">
        <v>1413092.084305</v>
      </c>
      <c r="O159" s="10">
        <v>0</v>
      </c>
      <c r="P159" s="10"/>
      <c r="Q159" s="10">
        <v>4827369.3507000003</v>
      </c>
      <c r="R159" s="10"/>
      <c r="S159" s="10"/>
      <c r="T159" s="10">
        <v>3114416.6643099999</v>
      </c>
      <c r="U159" s="10">
        <v>8793550.02905</v>
      </c>
      <c r="V159" s="10">
        <v>0</v>
      </c>
      <c r="W159" s="10">
        <v>2594084.36833</v>
      </c>
      <c r="X159" s="10"/>
      <c r="Y159" s="10">
        <v>2596394.5902399998</v>
      </c>
      <c r="Z159" s="10">
        <v>1160587.29174</v>
      </c>
      <c r="AA159" s="10"/>
      <c r="AB159" s="10">
        <v>1528221.73597</v>
      </c>
      <c r="AC159" s="10">
        <v>2814173.1432699999</v>
      </c>
      <c r="AD159" s="10"/>
      <c r="AE159" s="10">
        <v>1307178.5875200001</v>
      </c>
      <c r="AF159" s="10">
        <v>1254404.76202</v>
      </c>
      <c r="AG159" s="10">
        <v>1109297.4776999999</v>
      </c>
      <c r="AH159" s="10">
        <v>1424844.67404</v>
      </c>
      <c r="AI159" s="10">
        <v>1312342.1194</v>
      </c>
      <c r="AJ159" s="10"/>
      <c r="AK159" s="10">
        <v>38461.718033999998</v>
      </c>
      <c r="AL159" s="10"/>
      <c r="AM159" s="10"/>
      <c r="AN159" s="10">
        <v>0</v>
      </c>
      <c r="AO159" s="10">
        <v>0</v>
      </c>
      <c r="AP159" s="10"/>
      <c r="AQ159" s="10">
        <v>717381.24126799998</v>
      </c>
      <c r="AR159" s="10"/>
      <c r="AS159" s="10">
        <v>578301.540178</v>
      </c>
      <c r="AT159" s="10"/>
      <c r="AU159" s="10"/>
      <c r="AV159" s="10"/>
      <c r="AW159" s="10"/>
      <c r="AX159" s="10">
        <v>0</v>
      </c>
      <c r="AY159" s="10"/>
      <c r="AZ159" s="10"/>
      <c r="BA159" s="10">
        <v>692321.94</v>
      </c>
      <c r="BB159" s="10"/>
      <c r="BC159" s="10"/>
      <c r="BD159" s="10">
        <v>0</v>
      </c>
      <c r="BE159" s="10"/>
      <c r="BF159" s="10"/>
      <c r="BG159" s="10">
        <v>48542.94051</v>
      </c>
      <c r="BH159" s="10"/>
      <c r="BI159" s="10"/>
      <c r="BJ159" s="10">
        <v>79451.050050000005</v>
      </c>
      <c r="BK159" s="10">
        <v>37209.62818</v>
      </c>
      <c r="BL159" s="10">
        <v>31798.694769999998</v>
      </c>
      <c r="BM159" s="10"/>
      <c r="BN159" s="10"/>
      <c r="BO159" s="10"/>
      <c r="BP159" s="10"/>
      <c r="BQ159" s="10">
        <v>417837.27215999999</v>
      </c>
      <c r="BR159" s="10">
        <v>193839.07737000001</v>
      </c>
      <c r="BS159" s="10">
        <v>0</v>
      </c>
      <c r="BT159" s="10"/>
      <c r="BU159" s="10"/>
      <c r="BV159" s="10"/>
      <c r="BW159" s="10"/>
      <c r="BX159" s="10">
        <v>0</v>
      </c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</row>
    <row r="160" spans="1:113" x14ac:dyDescent="0.35">
      <c r="A160" s="8">
        <v>46030</v>
      </c>
      <c r="B160" s="9">
        <v>393572180.94344997</v>
      </c>
      <c r="C160" s="10">
        <v>1193284.4853729999</v>
      </c>
      <c r="D160" s="10">
        <v>40390242.837789997</v>
      </c>
      <c r="E160" s="10">
        <v>210102053.53999999</v>
      </c>
      <c r="F160" s="10"/>
      <c r="G160" s="10"/>
      <c r="H160" s="10">
        <v>6775337.6841900004</v>
      </c>
      <c r="I160" s="10">
        <v>2500152.8412700002</v>
      </c>
      <c r="J160" s="10">
        <v>17650549.446869999</v>
      </c>
      <c r="K160" s="10">
        <v>0</v>
      </c>
      <c r="L160" s="10">
        <v>17957607.189610001</v>
      </c>
      <c r="M160" s="10">
        <v>6877161.2473299997</v>
      </c>
      <c r="N160" s="10">
        <v>4201034.6082220003</v>
      </c>
      <c r="O160" s="10"/>
      <c r="P160" s="10"/>
      <c r="Q160" s="10">
        <v>12577176.530990001</v>
      </c>
      <c r="R160" s="10"/>
      <c r="S160" s="10"/>
      <c r="T160" s="10">
        <v>11330656.711239999</v>
      </c>
      <c r="U160" s="10">
        <v>12623358.921560001</v>
      </c>
      <c r="V160" s="10">
        <v>0</v>
      </c>
      <c r="W160" s="10">
        <v>12375169.474710001</v>
      </c>
      <c r="X160" s="10"/>
      <c r="Y160" s="10">
        <v>9337873.8393600006</v>
      </c>
      <c r="Z160" s="10">
        <v>5113784.3110600002</v>
      </c>
      <c r="AA160" s="10"/>
      <c r="AB160" s="10">
        <v>2729375.51205</v>
      </c>
      <c r="AC160" s="10">
        <v>6160003.6684299996</v>
      </c>
      <c r="AD160" s="10"/>
      <c r="AE160" s="10">
        <v>1179554.9804499999</v>
      </c>
      <c r="AF160" s="10">
        <v>1481581.3523200001</v>
      </c>
      <c r="AG160" s="10">
        <v>1112800.3846</v>
      </c>
      <c r="AH160" s="10">
        <v>3020548.0381900002</v>
      </c>
      <c r="AI160" s="10">
        <v>2023615.0663699999</v>
      </c>
      <c r="AJ160" s="10"/>
      <c r="AK160" s="10">
        <v>0</v>
      </c>
      <c r="AL160" s="10"/>
      <c r="AM160" s="10"/>
      <c r="AN160" s="10">
        <v>0</v>
      </c>
      <c r="AO160" s="10">
        <v>0</v>
      </c>
      <c r="AP160" s="10"/>
      <c r="AQ160" s="10">
        <v>1340489.3269229999</v>
      </c>
      <c r="AR160" s="10"/>
      <c r="AS160" s="10">
        <v>921885.98153200001</v>
      </c>
      <c r="AT160" s="10"/>
      <c r="AU160" s="10"/>
      <c r="AV160" s="10"/>
      <c r="AW160" s="10"/>
      <c r="AX160" s="10">
        <v>0</v>
      </c>
      <c r="AY160" s="10"/>
      <c r="AZ160" s="10"/>
      <c r="BA160" s="10">
        <v>1817685.024</v>
      </c>
      <c r="BB160" s="10"/>
      <c r="BC160" s="10"/>
      <c r="BD160" s="10">
        <v>0</v>
      </c>
      <c r="BE160" s="10"/>
      <c r="BF160" s="10"/>
      <c r="BG160" s="10">
        <v>108119.59652000001</v>
      </c>
      <c r="BH160" s="10"/>
      <c r="BI160" s="10"/>
      <c r="BJ160" s="10">
        <v>175074.57428999999</v>
      </c>
      <c r="BK160" s="10">
        <v>48743.734750000003</v>
      </c>
      <c r="BL160" s="10">
        <v>59630.415950000002</v>
      </c>
      <c r="BM160" s="10"/>
      <c r="BN160" s="10"/>
      <c r="BO160" s="10"/>
      <c r="BP160" s="10"/>
      <c r="BQ160" s="10">
        <v>257630.22709</v>
      </c>
      <c r="BR160" s="10">
        <v>129999.39041000001</v>
      </c>
      <c r="BS160" s="10">
        <v>0</v>
      </c>
      <c r="BT160" s="10"/>
      <c r="BU160" s="10"/>
      <c r="BV160" s="10"/>
      <c r="BW160" s="10"/>
      <c r="BX160" s="10">
        <v>0</v>
      </c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</row>
    <row r="161" spans="1:113" x14ac:dyDescent="0.35">
      <c r="A161" s="8">
        <v>46029</v>
      </c>
      <c r="B161" s="9">
        <v>319341831.87908298</v>
      </c>
      <c r="C161" s="10">
        <v>723817.00346799998</v>
      </c>
      <c r="D161" s="10">
        <v>69056486.499589995</v>
      </c>
      <c r="E161" s="10">
        <v>151456123.2198</v>
      </c>
      <c r="F161" s="10"/>
      <c r="G161" s="10"/>
      <c r="H161" s="10">
        <v>8216428.1544199996</v>
      </c>
      <c r="I161" s="10">
        <v>1828615.1211600001</v>
      </c>
      <c r="J161" s="10">
        <v>12165957.233999999</v>
      </c>
      <c r="K161" s="10">
        <v>0</v>
      </c>
      <c r="L161" s="10">
        <v>9951063.7133000102</v>
      </c>
      <c r="M161" s="10">
        <v>5121067.1961500002</v>
      </c>
      <c r="N161" s="10">
        <v>1120727.8510509999</v>
      </c>
      <c r="O161" s="10"/>
      <c r="P161" s="10"/>
      <c r="Q161" s="10">
        <v>8869296.7961800005</v>
      </c>
      <c r="R161" s="10"/>
      <c r="S161" s="10"/>
      <c r="T161" s="10">
        <v>6322628.6772100003</v>
      </c>
      <c r="U161" s="10">
        <v>14014489.42231</v>
      </c>
      <c r="V161" s="10">
        <v>0</v>
      </c>
      <c r="W161" s="10">
        <v>4816853.4283999996</v>
      </c>
      <c r="X161" s="10"/>
      <c r="Y161" s="10">
        <v>6867944.0581</v>
      </c>
      <c r="Z161" s="10">
        <v>3000900.97572</v>
      </c>
      <c r="AA161" s="10"/>
      <c r="AB161" s="10">
        <v>1088666.2296899999</v>
      </c>
      <c r="AC161" s="10">
        <v>3132655.9414900001</v>
      </c>
      <c r="AD161" s="10"/>
      <c r="AE161" s="10">
        <v>1226369.1717300001</v>
      </c>
      <c r="AF161" s="10">
        <v>1207274.5288499999</v>
      </c>
      <c r="AG161" s="10">
        <v>2370996.8075000001</v>
      </c>
      <c r="AH161" s="10">
        <v>1998395.3583800001</v>
      </c>
      <c r="AI161" s="10">
        <v>1518945.7825199999</v>
      </c>
      <c r="AJ161" s="10"/>
      <c r="AK161" s="10">
        <v>0</v>
      </c>
      <c r="AL161" s="10"/>
      <c r="AM161" s="10"/>
      <c r="AN161" s="10">
        <v>0</v>
      </c>
      <c r="AO161" s="10">
        <v>0</v>
      </c>
      <c r="AP161" s="10"/>
      <c r="AQ161" s="10">
        <v>393568.24718000001</v>
      </c>
      <c r="AR161" s="10"/>
      <c r="AS161" s="10">
        <v>957552.18283399998</v>
      </c>
      <c r="AT161" s="10"/>
      <c r="AU161" s="10"/>
      <c r="AV161" s="10"/>
      <c r="AW161" s="10"/>
      <c r="AX161" s="10">
        <v>0</v>
      </c>
      <c r="AY161" s="10"/>
      <c r="AZ161" s="10"/>
      <c r="BA161" s="10">
        <v>950842.61589999998</v>
      </c>
      <c r="BB161" s="10"/>
      <c r="BC161" s="10"/>
      <c r="BD161" s="10">
        <v>0</v>
      </c>
      <c r="BE161" s="10"/>
      <c r="BF161" s="10"/>
      <c r="BG161" s="10">
        <v>264585.35651000001</v>
      </c>
      <c r="BH161" s="10"/>
      <c r="BI161" s="10"/>
      <c r="BJ161" s="10">
        <v>450959.96481999999</v>
      </c>
      <c r="BK161" s="10">
        <v>77887.244479999994</v>
      </c>
      <c r="BL161" s="10">
        <v>46066.770839999997</v>
      </c>
      <c r="BM161" s="10"/>
      <c r="BN161" s="10"/>
      <c r="BO161" s="10"/>
      <c r="BP161" s="10"/>
      <c r="BQ161" s="10">
        <v>0</v>
      </c>
      <c r="BR161" s="10">
        <v>124666.32550000001</v>
      </c>
      <c r="BS161" s="10">
        <v>0</v>
      </c>
      <c r="BT161" s="10"/>
      <c r="BU161" s="10"/>
      <c r="BV161" s="10"/>
      <c r="BW161" s="10"/>
      <c r="BX161" s="10">
        <v>0</v>
      </c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</row>
    <row r="162" spans="1:113" x14ac:dyDescent="0.35">
      <c r="A162" s="8">
        <v>46028</v>
      </c>
      <c r="B162" s="9">
        <v>298648652.307073</v>
      </c>
      <c r="C162" s="10">
        <v>602216.87293900002</v>
      </c>
      <c r="D162" s="10">
        <v>50195626.442419998</v>
      </c>
      <c r="E162" s="10">
        <v>151208683.1552</v>
      </c>
      <c r="F162" s="10"/>
      <c r="G162" s="10"/>
      <c r="H162" s="10">
        <v>17979179.676369999</v>
      </c>
      <c r="I162" s="10">
        <v>1092681.2170200001</v>
      </c>
      <c r="J162" s="10">
        <v>9827346.8245999999</v>
      </c>
      <c r="K162" s="10">
        <v>0</v>
      </c>
      <c r="L162" s="10">
        <v>14860477.453570001</v>
      </c>
      <c r="M162" s="10">
        <v>1668247.90732</v>
      </c>
      <c r="N162" s="10">
        <v>1667440.0849979999</v>
      </c>
      <c r="O162" s="10"/>
      <c r="P162" s="10"/>
      <c r="Q162" s="10">
        <v>11594946.054649999</v>
      </c>
      <c r="R162" s="10"/>
      <c r="S162" s="10"/>
      <c r="T162" s="10">
        <v>2595297.0844399999</v>
      </c>
      <c r="U162" s="10">
        <v>9720025.0798400007</v>
      </c>
      <c r="V162" s="10">
        <v>0</v>
      </c>
      <c r="W162" s="10">
        <v>3907793.16182</v>
      </c>
      <c r="X162" s="10"/>
      <c r="Y162" s="10">
        <v>2460376.0796500002</v>
      </c>
      <c r="Z162" s="10">
        <v>2121841.6423399998</v>
      </c>
      <c r="AA162" s="10"/>
      <c r="AB162" s="10">
        <v>1117491.6992500001</v>
      </c>
      <c r="AC162" s="10">
        <v>7034377.8963799998</v>
      </c>
      <c r="AD162" s="10"/>
      <c r="AE162" s="10">
        <v>1449416.2320099999</v>
      </c>
      <c r="AF162" s="10">
        <v>1237219.66178</v>
      </c>
      <c r="AG162" s="10">
        <v>807387.6666</v>
      </c>
      <c r="AH162" s="10">
        <v>1518452.38604</v>
      </c>
      <c r="AI162" s="10">
        <v>1561892.0357299999</v>
      </c>
      <c r="AJ162" s="10"/>
      <c r="AK162" s="10">
        <v>0</v>
      </c>
      <c r="AL162" s="10"/>
      <c r="AM162" s="10"/>
      <c r="AN162" s="10">
        <v>0</v>
      </c>
      <c r="AO162" s="10">
        <v>0</v>
      </c>
      <c r="AP162" s="10"/>
      <c r="AQ162" s="10">
        <v>441483.275096</v>
      </c>
      <c r="AR162" s="10"/>
      <c r="AS162" s="10">
        <v>528601.53089000005</v>
      </c>
      <c r="AT162" s="10"/>
      <c r="AU162" s="10"/>
      <c r="AV162" s="10"/>
      <c r="AW162" s="10"/>
      <c r="AX162" s="10">
        <v>0</v>
      </c>
      <c r="AY162" s="10"/>
      <c r="AZ162" s="10"/>
      <c r="BA162" s="10">
        <v>681000.82209999999</v>
      </c>
      <c r="BB162" s="10"/>
      <c r="BC162" s="10"/>
      <c r="BD162" s="10">
        <v>0</v>
      </c>
      <c r="BE162" s="10"/>
      <c r="BF162" s="10"/>
      <c r="BG162" s="10">
        <v>324764.76945999998</v>
      </c>
      <c r="BH162" s="10"/>
      <c r="BI162" s="10"/>
      <c r="BJ162" s="10">
        <v>294567.27620999998</v>
      </c>
      <c r="BK162" s="10">
        <v>80110.019230000005</v>
      </c>
      <c r="BL162" s="10">
        <v>69708.299119999996</v>
      </c>
      <c r="BM162" s="10"/>
      <c r="BN162" s="10"/>
      <c r="BO162" s="10"/>
      <c r="BP162" s="10"/>
      <c r="BQ162" s="10">
        <v>0</v>
      </c>
      <c r="BR162" s="10">
        <v>0</v>
      </c>
      <c r="BS162" s="10">
        <v>0</v>
      </c>
      <c r="BT162" s="10"/>
      <c r="BU162" s="10"/>
      <c r="BV162" s="10"/>
      <c r="BW162" s="10"/>
      <c r="BX162" s="10">
        <v>0</v>
      </c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</row>
    <row r="163" spans="1:113" x14ac:dyDescent="0.35">
      <c r="A163" s="8">
        <v>46027</v>
      </c>
      <c r="B163" s="9">
        <v>311588095.13034499</v>
      </c>
      <c r="C163" s="10">
        <v>0</v>
      </c>
      <c r="D163" s="10">
        <v>32387319.91124</v>
      </c>
      <c r="E163" s="10">
        <v>174706139.56299999</v>
      </c>
      <c r="F163" s="10"/>
      <c r="G163" s="10"/>
      <c r="H163" s="10">
        <v>12084213.217220001</v>
      </c>
      <c r="I163" s="10">
        <v>617323.75757000002</v>
      </c>
      <c r="J163" s="10">
        <v>9318736.1222399995</v>
      </c>
      <c r="K163" s="10">
        <v>0</v>
      </c>
      <c r="L163" s="10">
        <v>13318093.70236</v>
      </c>
      <c r="M163" s="10">
        <v>1522403.3514700001</v>
      </c>
      <c r="N163" s="10">
        <v>1513308.3339269999</v>
      </c>
      <c r="O163" s="10"/>
      <c r="P163" s="10"/>
      <c r="Q163" s="10">
        <v>7537052.3846899997</v>
      </c>
      <c r="R163" s="10"/>
      <c r="S163" s="10"/>
      <c r="T163" s="10">
        <v>9291967.9285899997</v>
      </c>
      <c r="U163" s="10">
        <v>9267715.0836800002</v>
      </c>
      <c r="V163" s="10">
        <v>0</v>
      </c>
      <c r="W163" s="10">
        <v>7693248.2570500001</v>
      </c>
      <c r="X163" s="10"/>
      <c r="Y163" s="10">
        <v>9822757.0686400104</v>
      </c>
      <c r="Z163" s="10">
        <v>2658028.2237900002</v>
      </c>
      <c r="AA163" s="10"/>
      <c r="AB163" s="10">
        <v>3104814.4599100002</v>
      </c>
      <c r="AC163" s="10">
        <v>6142718.6220699996</v>
      </c>
      <c r="AD163" s="10"/>
      <c r="AE163" s="10">
        <v>1452224.0015400001</v>
      </c>
      <c r="AF163" s="10">
        <v>1338985.59635</v>
      </c>
      <c r="AG163" s="10">
        <v>228617.68830000001</v>
      </c>
      <c r="AH163" s="10">
        <v>3618567.6902700001</v>
      </c>
      <c r="AI163" s="10">
        <v>1453788.3214100001</v>
      </c>
      <c r="AJ163" s="10"/>
      <c r="AK163" s="10">
        <v>0</v>
      </c>
      <c r="AL163" s="10"/>
      <c r="AM163" s="10"/>
      <c r="AN163" s="10">
        <v>0</v>
      </c>
      <c r="AO163" s="10">
        <v>0</v>
      </c>
      <c r="AP163" s="10"/>
      <c r="AQ163" s="10">
        <v>731115.86551000003</v>
      </c>
      <c r="AR163" s="10"/>
      <c r="AS163" s="10">
        <v>821037.02465799998</v>
      </c>
      <c r="AT163" s="10"/>
      <c r="AU163" s="10"/>
      <c r="AV163" s="10"/>
      <c r="AW163" s="10"/>
      <c r="AX163" s="10">
        <v>0</v>
      </c>
      <c r="AY163" s="10"/>
      <c r="AZ163" s="10"/>
      <c r="BA163" s="10">
        <v>637921.99360000005</v>
      </c>
      <c r="BB163" s="10"/>
      <c r="BC163" s="10"/>
      <c r="BD163" s="10">
        <v>0</v>
      </c>
      <c r="BE163" s="10"/>
      <c r="BF163" s="10"/>
      <c r="BG163" s="10">
        <v>179376.03558</v>
      </c>
      <c r="BH163" s="10"/>
      <c r="BI163" s="10"/>
      <c r="BJ163" s="10">
        <v>0</v>
      </c>
      <c r="BK163" s="10">
        <v>87698.686799999996</v>
      </c>
      <c r="BL163" s="10">
        <v>52922.238879999997</v>
      </c>
      <c r="BM163" s="10"/>
      <c r="BN163" s="10"/>
      <c r="BO163" s="10"/>
      <c r="BP163" s="10"/>
      <c r="BQ163" s="10">
        <v>0</v>
      </c>
      <c r="BR163" s="10">
        <v>0</v>
      </c>
      <c r="BS163" s="10">
        <v>0</v>
      </c>
      <c r="BT163" s="10"/>
      <c r="BU163" s="10"/>
      <c r="BV163" s="10"/>
      <c r="BW163" s="10"/>
      <c r="BX163" s="10">
        <v>0</v>
      </c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</row>
    <row r="164" spans="1:113" x14ac:dyDescent="0.35">
      <c r="A164" s="8">
        <v>46026</v>
      </c>
      <c r="B164" s="9">
        <v>57833594.199965999</v>
      </c>
      <c r="C164" s="10"/>
      <c r="D164" s="10">
        <v>5770668.5535300002</v>
      </c>
      <c r="E164" s="10">
        <v>34482377.976099998</v>
      </c>
      <c r="F164" s="10"/>
      <c r="G164" s="10"/>
      <c r="H164" s="10">
        <v>2033909.3104099999</v>
      </c>
      <c r="I164" s="10">
        <v>7374.8640299999997</v>
      </c>
      <c r="J164" s="10">
        <v>1261334.6863299999</v>
      </c>
      <c r="K164" s="10">
        <v>0</v>
      </c>
      <c r="L164" s="10">
        <v>1697862.1410999999</v>
      </c>
      <c r="M164" s="10">
        <v>350999.79097999999</v>
      </c>
      <c r="N164" s="10">
        <v>181973.80807</v>
      </c>
      <c r="O164" s="10"/>
      <c r="P164" s="10"/>
      <c r="Q164" s="10">
        <v>1052831.54748</v>
      </c>
      <c r="R164" s="10"/>
      <c r="S164" s="10"/>
      <c r="T164" s="10">
        <v>257233.15395000001</v>
      </c>
      <c r="U164" s="10">
        <v>2016652.0337799999</v>
      </c>
      <c r="V164" s="10">
        <v>0</v>
      </c>
      <c r="W164" s="10">
        <v>486529.50841000001</v>
      </c>
      <c r="X164" s="10"/>
      <c r="Y164" s="10">
        <v>2930669.6196300001</v>
      </c>
      <c r="Z164" s="10">
        <v>650939.85216999997</v>
      </c>
      <c r="AA164" s="10"/>
      <c r="AB164" s="10">
        <v>472577.11059</v>
      </c>
      <c r="AC164" s="10">
        <v>818339.39700999996</v>
      </c>
      <c r="AD164" s="10"/>
      <c r="AE164" s="10">
        <v>760860.06224999996</v>
      </c>
      <c r="AF164" s="10">
        <v>109220.32769000001</v>
      </c>
      <c r="AG164" s="10">
        <v>1008583.13</v>
      </c>
      <c r="AH164" s="10">
        <v>472833.61466000002</v>
      </c>
      <c r="AI164" s="10">
        <v>88525.913719999997</v>
      </c>
      <c r="AJ164" s="10"/>
      <c r="AK164" s="10">
        <v>0</v>
      </c>
      <c r="AL164" s="10"/>
      <c r="AM164" s="10"/>
      <c r="AN164" s="10">
        <v>0</v>
      </c>
      <c r="AO164" s="10">
        <v>0</v>
      </c>
      <c r="AP164" s="10"/>
      <c r="AQ164" s="10">
        <v>96529.592522000006</v>
      </c>
      <c r="AR164" s="10"/>
      <c r="AS164" s="10">
        <v>267758.44174400001</v>
      </c>
      <c r="AT164" s="10"/>
      <c r="AU164" s="10"/>
      <c r="AV164" s="10"/>
      <c r="AW164" s="10"/>
      <c r="AX164" s="10">
        <v>0</v>
      </c>
      <c r="AY164" s="10"/>
      <c r="AZ164" s="10"/>
      <c r="BA164" s="10">
        <v>515240.77510000003</v>
      </c>
      <c r="BB164" s="10"/>
      <c r="BC164" s="10"/>
      <c r="BD164" s="10">
        <v>0</v>
      </c>
      <c r="BE164" s="10"/>
      <c r="BF164" s="10"/>
      <c r="BG164" s="10">
        <v>14390.229520000001</v>
      </c>
      <c r="BH164" s="10"/>
      <c r="BI164" s="10"/>
      <c r="BJ164" s="10">
        <v>0</v>
      </c>
      <c r="BK164" s="10">
        <v>21742.224460000001</v>
      </c>
      <c r="BL164" s="10">
        <v>5636.5347300000003</v>
      </c>
      <c r="BM164" s="10"/>
      <c r="BN164" s="10"/>
      <c r="BO164" s="10"/>
      <c r="BP164" s="10"/>
      <c r="BQ164" s="10">
        <v>0</v>
      </c>
      <c r="BR164" s="10">
        <v>0</v>
      </c>
      <c r="BS164" s="10">
        <v>0</v>
      </c>
      <c r="BT164" s="10"/>
      <c r="BU164" s="10"/>
      <c r="BV164" s="10"/>
      <c r="BW164" s="10"/>
      <c r="BX164" s="10">
        <v>0</v>
      </c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</row>
    <row r="165" spans="1:113" x14ac:dyDescent="0.35">
      <c r="A165" s="8">
        <v>46025</v>
      </c>
      <c r="B165" s="9">
        <v>68586411.525796995</v>
      </c>
      <c r="C165" s="10"/>
      <c r="D165" s="10">
        <v>6268380.2530800002</v>
      </c>
      <c r="E165" s="10">
        <v>36842796.265299998</v>
      </c>
      <c r="F165" s="10"/>
      <c r="G165" s="10"/>
      <c r="H165" s="10">
        <v>2172452.0497099999</v>
      </c>
      <c r="I165" s="10">
        <v>186817.89710999999</v>
      </c>
      <c r="J165" s="10">
        <v>1488130.62882</v>
      </c>
      <c r="K165" s="10">
        <v>0</v>
      </c>
      <c r="L165" s="10">
        <v>1542756.1095799999</v>
      </c>
      <c r="M165" s="10">
        <v>2095028.9077900001</v>
      </c>
      <c r="N165" s="10">
        <v>646317.59688900004</v>
      </c>
      <c r="O165" s="10"/>
      <c r="P165" s="10"/>
      <c r="Q165" s="10">
        <v>1223165.4784500001</v>
      </c>
      <c r="R165" s="10"/>
      <c r="S165" s="10"/>
      <c r="T165" s="10">
        <v>289219.34948999999</v>
      </c>
      <c r="U165" s="10">
        <v>208356.84422999999</v>
      </c>
      <c r="V165" s="10">
        <v>0</v>
      </c>
      <c r="W165" s="10">
        <v>263109.89669999998</v>
      </c>
      <c r="X165" s="10"/>
      <c r="Y165" s="10">
        <v>535458.94478999998</v>
      </c>
      <c r="Z165" s="10">
        <v>347118.04213999998</v>
      </c>
      <c r="AA165" s="10"/>
      <c r="AB165" s="10">
        <v>891817.54914999998</v>
      </c>
      <c r="AC165" s="10">
        <v>6592246.3585000001</v>
      </c>
      <c r="AD165" s="10"/>
      <c r="AE165" s="10">
        <v>345383.57691</v>
      </c>
      <c r="AF165" s="10">
        <v>313958.73816000001</v>
      </c>
      <c r="AG165" s="10">
        <v>907366.80689999904</v>
      </c>
      <c r="AH165" s="10">
        <v>3504704.5811999999</v>
      </c>
      <c r="AI165" s="10">
        <v>394868.45303999999</v>
      </c>
      <c r="AJ165" s="10"/>
      <c r="AK165" s="10">
        <v>0</v>
      </c>
      <c r="AL165" s="10"/>
      <c r="AM165" s="10"/>
      <c r="AN165" s="10">
        <v>0</v>
      </c>
      <c r="AO165" s="10">
        <v>0</v>
      </c>
      <c r="AP165" s="10"/>
      <c r="AQ165" s="10">
        <v>38980.454237999998</v>
      </c>
      <c r="AR165" s="10"/>
      <c r="AS165" s="10">
        <v>611272.99236000003</v>
      </c>
      <c r="AT165" s="10"/>
      <c r="AU165" s="10"/>
      <c r="AV165" s="10"/>
      <c r="AW165" s="10"/>
      <c r="AX165" s="10">
        <v>0</v>
      </c>
      <c r="AY165" s="10"/>
      <c r="AZ165" s="10"/>
      <c r="BA165" s="10">
        <v>786501.76969999995</v>
      </c>
      <c r="BB165" s="10"/>
      <c r="BC165" s="10"/>
      <c r="BD165" s="10">
        <v>0</v>
      </c>
      <c r="BE165" s="10"/>
      <c r="BF165" s="10"/>
      <c r="BG165" s="10">
        <v>12893.110909999999</v>
      </c>
      <c r="BH165" s="10"/>
      <c r="BI165" s="10"/>
      <c r="BJ165" s="10">
        <v>0</v>
      </c>
      <c r="BK165" s="10">
        <v>31370.771540000002</v>
      </c>
      <c r="BL165" s="10">
        <v>45938.099110000003</v>
      </c>
      <c r="BM165" s="10"/>
      <c r="BN165" s="10"/>
      <c r="BO165" s="10"/>
      <c r="BP165" s="10"/>
      <c r="BQ165" s="10">
        <v>0</v>
      </c>
      <c r="BR165" s="10">
        <v>0</v>
      </c>
      <c r="BS165" s="10">
        <v>0</v>
      </c>
      <c r="BT165" s="10"/>
      <c r="BU165" s="10"/>
      <c r="BV165" s="10"/>
      <c r="BW165" s="10"/>
      <c r="BX165" s="10">
        <v>0</v>
      </c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</row>
    <row r="166" spans="1:113" x14ac:dyDescent="0.35">
      <c r="A166" s="8">
        <v>46024</v>
      </c>
      <c r="B166" s="9">
        <v>312580557.52137601</v>
      </c>
      <c r="C166" s="10"/>
      <c r="D166" s="10">
        <v>34686774.83089</v>
      </c>
      <c r="E166" s="10">
        <v>192293150.64570001</v>
      </c>
      <c r="F166" s="10"/>
      <c r="G166" s="10"/>
      <c r="H166" s="10">
        <v>6988626.0408800002</v>
      </c>
      <c r="I166" s="10">
        <v>576598.03544999997</v>
      </c>
      <c r="J166" s="10">
        <v>11593768.203609999</v>
      </c>
      <c r="K166" s="10">
        <v>0</v>
      </c>
      <c r="L166" s="10">
        <v>15912529.85774</v>
      </c>
      <c r="M166" s="10">
        <v>2201627.0036999998</v>
      </c>
      <c r="N166" s="10">
        <v>1761354.9369989999</v>
      </c>
      <c r="O166" s="10"/>
      <c r="P166" s="10"/>
      <c r="Q166" s="10">
        <v>7804735.61766</v>
      </c>
      <c r="R166" s="10"/>
      <c r="S166" s="10"/>
      <c r="T166" s="10">
        <v>3801563.1476199999</v>
      </c>
      <c r="U166" s="10">
        <v>5259666.9393699998</v>
      </c>
      <c r="V166" s="10">
        <v>0</v>
      </c>
      <c r="W166" s="10">
        <v>4154055.9395099999</v>
      </c>
      <c r="X166" s="10"/>
      <c r="Y166" s="10">
        <v>7635222.0302900001</v>
      </c>
      <c r="Z166" s="10">
        <v>2228037.2911999999</v>
      </c>
      <c r="AA166" s="10"/>
      <c r="AB166" s="10">
        <v>1546818.93141</v>
      </c>
      <c r="AC166" s="10">
        <v>4718054.6866699997</v>
      </c>
      <c r="AD166" s="10"/>
      <c r="AE166" s="10">
        <v>1027138.70794</v>
      </c>
      <c r="AF166" s="10">
        <v>1364526.32445</v>
      </c>
      <c r="AG166" s="10">
        <v>559137.46129999997</v>
      </c>
      <c r="AH166" s="10">
        <v>2726499.5463700001</v>
      </c>
      <c r="AI166" s="10">
        <v>2102602.4054700001</v>
      </c>
      <c r="AJ166" s="10"/>
      <c r="AK166" s="10">
        <v>0</v>
      </c>
      <c r="AL166" s="10"/>
      <c r="AM166" s="10"/>
      <c r="AN166" s="10">
        <v>0</v>
      </c>
      <c r="AO166" s="10">
        <v>0</v>
      </c>
      <c r="AP166" s="10"/>
      <c r="AQ166" s="10">
        <v>493573.22108500003</v>
      </c>
      <c r="AR166" s="10"/>
      <c r="AS166" s="10">
        <v>681599.85444200004</v>
      </c>
      <c r="AT166" s="10"/>
      <c r="AU166" s="10"/>
      <c r="AV166" s="10"/>
      <c r="AW166" s="10"/>
      <c r="AX166" s="10">
        <v>0</v>
      </c>
      <c r="AY166" s="10"/>
      <c r="AZ166" s="10"/>
      <c r="BA166" s="10">
        <v>377780.36959999998</v>
      </c>
      <c r="BB166" s="10"/>
      <c r="BC166" s="10"/>
      <c r="BD166" s="10">
        <v>0</v>
      </c>
      <c r="BE166" s="10"/>
      <c r="BF166" s="10"/>
      <c r="BG166" s="10">
        <v>20743.975330000001</v>
      </c>
      <c r="BH166" s="10"/>
      <c r="BI166" s="10"/>
      <c r="BJ166" s="10">
        <v>0</v>
      </c>
      <c r="BK166" s="10">
        <v>30370.715540000001</v>
      </c>
      <c r="BL166" s="10">
        <v>34000.801149999999</v>
      </c>
      <c r="BM166" s="10"/>
      <c r="BN166" s="10"/>
      <c r="BO166" s="10"/>
      <c r="BP166" s="10"/>
      <c r="BQ166" s="10">
        <v>0</v>
      </c>
      <c r="BR166" s="10">
        <v>0</v>
      </c>
      <c r="BS166" s="10">
        <v>0</v>
      </c>
      <c r="BT166" s="10"/>
      <c r="BU166" s="10"/>
      <c r="BV166" s="10"/>
      <c r="BW166" s="10"/>
      <c r="BX166" s="10">
        <v>0</v>
      </c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</row>
    <row r="167" spans="1:113" x14ac:dyDescent="0.35">
      <c r="A167" s="8">
        <v>46023</v>
      </c>
      <c r="B167" s="9">
        <v>52779813.680055</v>
      </c>
      <c r="C167" s="10"/>
      <c r="D167" s="10">
        <v>6147518.1758199995</v>
      </c>
      <c r="E167" s="10">
        <v>35118225.967200004</v>
      </c>
      <c r="F167" s="10"/>
      <c r="G167" s="10"/>
      <c r="H167" s="10">
        <v>885828.20284000004</v>
      </c>
      <c r="I167" s="10">
        <v>9214.9315499999993</v>
      </c>
      <c r="J167" s="10">
        <v>1305324.87741</v>
      </c>
      <c r="K167" s="10">
        <v>0</v>
      </c>
      <c r="L167" s="10">
        <v>1628096.9892200001</v>
      </c>
      <c r="M167" s="10">
        <v>697643.79419000004</v>
      </c>
      <c r="N167" s="10">
        <v>107133.412365</v>
      </c>
      <c r="O167" s="10"/>
      <c r="P167" s="10"/>
      <c r="Q167" s="10">
        <v>361129.76629</v>
      </c>
      <c r="R167" s="10"/>
      <c r="S167" s="10"/>
      <c r="T167" s="10">
        <v>465540.98903</v>
      </c>
      <c r="U167" s="10">
        <v>93855.094540000006</v>
      </c>
      <c r="V167" s="10">
        <v>0</v>
      </c>
      <c r="W167" s="10">
        <v>745028.20252000005</v>
      </c>
      <c r="X167" s="10"/>
      <c r="Y167" s="10">
        <v>659538.73603000003</v>
      </c>
      <c r="Z167" s="10">
        <v>215093.65872000001</v>
      </c>
      <c r="AA167" s="10"/>
      <c r="AB167" s="10">
        <v>2072753.4864000001</v>
      </c>
      <c r="AC167" s="10">
        <v>422038.49153</v>
      </c>
      <c r="AD167" s="10"/>
      <c r="AE167" s="10">
        <v>220529.26921</v>
      </c>
      <c r="AF167" s="10">
        <v>158845.55132999999</v>
      </c>
      <c r="AG167" s="10">
        <v>76097.550300000003</v>
      </c>
      <c r="AH167" s="10">
        <v>243755.53333000001</v>
      </c>
      <c r="AI167" s="10">
        <v>212377.53167999999</v>
      </c>
      <c r="AJ167" s="10"/>
      <c r="AK167" s="10">
        <v>0</v>
      </c>
      <c r="AL167" s="10"/>
      <c r="AM167" s="10"/>
      <c r="AN167" s="10">
        <v>0</v>
      </c>
      <c r="AO167" s="10">
        <v>0</v>
      </c>
      <c r="AP167" s="10"/>
      <c r="AQ167" s="10">
        <v>213269.47304899999</v>
      </c>
      <c r="AR167" s="10"/>
      <c r="AS167" s="10">
        <v>76036.691351000001</v>
      </c>
      <c r="AT167" s="10"/>
      <c r="AU167" s="10"/>
      <c r="AV167" s="10"/>
      <c r="AW167" s="10"/>
      <c r="AX167" s="10">
        <v>0</v>
      </c>
      <c r="AY167" s="10"/>
      <c r="AZ167" s="10"/>
      <c r="BA167" s="10">
        <v>511457.95510000002</v>
      </c>
      <c r="BB167" s="10"/>
      <c r="BC167" s="10"/>
      <c r="BD167" s="10">
        <v>0</v>
      </c>
      <c r="BE167" s="10"/>
      <c r="BF167" s="10"/>
      <c r="BG167" s="10">
        <v>90350.881550000006</v>
      </c>
      <c r="BH167" s="10"/>
      <c r="BI167" s="10"/>
      <c r="BJ167" s="10">
        <v>0</v>
      </c>
      <c r="BK167" s="10">
        <v>17215.173309999998</v>
      </c>
      <c r="BL167" s="10">
        <v>25913.294190000001</v>
      </c>
      <c r="BM167" s="10"/>
      <c r="BN167" s="10"/>
      <c r="BO167" s="10"/>
      <c r="BP167" s="10"/>
      <c r="BQ167" s="10"/>
      <c r="BR167" s="10">
        <v>0</v>
      </c>
      <c r="BS167" s="10">
        <v>0</v>
      </c>
      <c r="BT167" s="10"/>
      <c r="BU167" s="10"/>
      <c r="BV167" s="10"/>
      <c r="BW167" s="10"/>
      <c r="BX167" s="10">
        <v>0</v>
      </c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</row>
    <row r="168" spans="1:113" x14ac:dyDescent="0.35">
      <c r="A168" s="8">
        <v>46022</v>
      </c>
      <c r="B168" s="9">
        <v>231306023.666004</v>
      </c>
      <c r="C168" s="10"/>
      <c r="D168" s="10">
        <v>53096709.57113</v>
      </c>
      <c r="E168" s="10">
        <v>107979852.52509999</v>
      </c>
      <c r="F168" s="10"/>
      <c r="G168" s="10"/>
      <c r="H168" s="10">
        <v>5290834.0744700003</v>
      </c>
      <c r="I168" s="10">
        <v>915365.95108999999</v>
      </c>
      <c r="J168" s="10">
        <v>8433360.2704399992</v>
      </c>
      <c r="K168" s="10">
        <v>0</v>
      </c>
      <c r="L168" s="10">
        <v>15399147.48463</v>
      </c>
      <c r="M168" s="10">
        <v>1535374.33302</v>
      </c>
      <c r="N168" s="10">
        <v>5096066.3984460002</v>
      </c>
      <c r="O168" s="10"/>
      <c r="P168" s="10"/>
      <c r="Q168" s="10">
        <v>5199224.2589699998</v>
      </c>
      <c r="R168" s="10"/>
      <c r="S168" s="10"/>
      <c r="T168" s="10">
        <v>2590468.0085100001</v>
      </c>
      <c r="U168" s="10">
        <v>1814910.3910999999</v>
      </c>
      <c r="V168" s="10">
        <v>0</v>
      </c>
      <c r="W168" s="10">
        <v>5576321.0712700002</v>
      </c>
      <c r="X168" s="10"/>
      <c r="Y168" s="10">
        <v>3287299.5912899999</v>
      </c>
      <c r="Z168" s="10">
        <v>2322486.4289199999</v>
      </c>
      <c r="AA168" s="10"/>
      <c r="AB168" s="10">
        <v>4061451.3349700002</v>
      </c>
      <c r="AC168" s="10">
        <v>2533401.7040300001</v>
      </c>
      <c r="AD168" s="10"/>
      <c r="AE168" s="10">
        <v>917098.15287999995</v>
      </c>
      <c r="AF168" s="10">
        <v>705330.24979000003</v>
      </c>
      <c r="AG168" s="10">
        <v>255008.55360000001</v>
      </c>
      <c r="AH168" s="10">
        <v>1040651.40275</v>
      </c>
      <c r="AI168" s="10">
        <v>1232551.4421900001</v>
      </c>
      <c r="AJ168" s="10"/>
      <c r="AK168" s="10">
        <v>0</v>
      </c>
      <c r="AL168" s="10"/>
      <c r="AM168" s="10"/>
      <c r="AN168" s="10">
        <v>0</v>
      </c>
      <c r="AO168" s="10">
        <v>0</v>
      </c>
      <c r="AP168" s="10"/>
      <c r="AQ168" s="10">
        <v>571576.28778200003</v>
      </c>
      <c r="AR168" s="10"/>
      <c r="AS168" s="10">
        <v>574996.98749600002</v>
      </c>
      <c r="AT168" s="10"/>
      <c r="AU168" s="10"/>
      <c r="AV168" s="10"/>
      <c r="AW168" s="10"/>
      <c r="AX168" s="10">
        <v>0</v>
      </c>
      <c r="AY168" s="10"/>
      <c r="AZ168" s="10"/>
      <c r="BA168" s="10">
        <v>617798.22250000003</v>
      </c>
      <c r="BB168" s="10"/>
      <c r="BC168" s="10"/>
      <c r="BD168" s="10">
        <v>0</v>
      </c>
      <c r="BE168" s="10"/>
      <c r="BF168" s="10"/>
      <c r="BG168" s="10">
        <v>144167.55841</v>
      </c>
      <c r="BH168" s="10"/>
      <c r="BI168" s="10"/>
      <c r="BJ168" s="10">
        <v>0</v>
      </c>
      <c r="BK168" s="10">
        <v>59708.19571</v>
      </c>
      <c r="BL168" s="10">
        <v>54863.215510000002</v>
      </c>
      <c r="BM168" s="10"/>
      <c r="BN168" s="10"/>
      <c r="BO168" s="10"/>
      <c r="BP168" s="10"/>
      <c r="BQ168" s="10"/>
      <c r="BR168" s="10">
        <v>0</v>
      </c>
      <c r="BS168" s="10">
        <v>0</v>
      </c>
      <c r="BT168" s="10"/>
      <c r="BU168" s="10"/>
      <c r="BV168" s="10"/>
      <c r="BW168" s="10"/>
      <c r="BX168" s="10">
        <v>0</v>
      </c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</row>
    <row r="169" spans="1:113" x14ac:dyDescent="0.35">
      <c r="A169" s="8">
        <v>46021</v>
      </c>
      <c r="B169" s="9">
        <v>299477084.62062299</v>
      </c>
      <c r="C169" s="10"/>
      <c r="D169" s="10">
        <v>50221115.159270003</v>
      </c>
      <c r="E169" s="10">
        <v>187427911.0693</v>
      </c>
      <c r="F169" s="10"/>
      <c r="G169" s="10"/>
      <c r="H169" s="10">
        <v>4492377.4330000002</v>
      </c>
      <c r="I169" s="10">
        <v>1333768.4818299999</v>
      </c>
      <c r="J169" s="10">
        <v>6623257.2122799996</v>
      </c>
      <c r="K169" s="10">
        <v>0</v>
      </c>
      <c r="L169" s="10">
        <v>11714144.6538</v>
      </c>
      <c r="M169" s="10">
        <v>2072526.86965</v>
      </c>
      <c r="N169" s="10">
        <v>928300.42363099998</v>
      </c>
      <c r="O169" s="10"/>
      <c r="P169" s="10"/>
      <c r="Q169" s="10">
        <v>5623327.61032</v>
      </c>
      <c r="R169" s="10"/>
      <c r="S169" s="10"/>
      <c r="T169" s="10">
        <v>7123082.8788900003</v>
      </c>
      <c r="U169" s="10">
        <v>2579431.8586499998</v>
      </c>
      <c r="V169" s="10">
        <v>0</v>
      </c>
      <c r="W169" s="10">
        <v>3697329.2896500002</v>
      </c>
      <c r="X169" s="10"/>
      <c r="Y169" s="10">
        <v>4122082.5689500002</v>
      </c>
      <c r="Z169" s="10">
        <v>963675.62919000001</v>
      </c>
      <c r="AA169" s="10"/>
      <c r="AB169" s="10">
        <v>2270840.6881300001</v>
      </c>
      <c r="AC169" s="10">
        <v>2243782.47419</v>
      </c>
      <c r="AD169" s="10"/>
      <c r="AE169" s="10">
        <v>657933.91595000005</v>
      </c>
      <c r="AF169" s="10">
        <v>726135.03156000003</v>
      </c>
      <c r="AG169" s="10">
        <v>445255.00329999998</v>
      </c>
      <c r="AH169" s="10">
        <v>2145473.6748199998</v>
      </c>
      <c r="AI169" s="10">
        <v>401982.72654</v>
      </c>
      <c r="AJ169" s="10"/>
      <c r="AK169" s="10">
        <v>0</v>
      </c>
      <c r="AL169" s="10"/>
      <c r="AM169" s="10"/>
      <c r="AN169" s="10">
        <v>0</v>
      </c>
      <c r="AO169" s="10">
        <v>0</v>
      </c>
      <c r="AP169" s="10"/>
      <c r="AQ169" s="10">
        <v>314272.85617799999</v>
      </c>
      <c r="AR169" s="10"/>
      <c r="AS169" s="10">
        <v>608989.96136399999</v>
      </c>
      <c r="AT169" s="10"/>
      <c r="AU169" s="10"/>
      <c r="AV169" s="10"/>
      <c r="AW169" s="10"/>
      <c r="AX169" s="10">
        <v>0</v>
      </c>
      <c r="AY169" s="10"/>
      <c r="AZ169" s="10"/>
      <c r="BA169" s="10">
        <v>698973.82239999995</v>
      </c>
      <c r="BB169" s="10"/>
      <c r="BC169" s="10"/>
      <c r="BD169" s="10">
        <v>0</v>
      </c>
      <c r="BE169" s="10"/>
      <c r="BF169" s="10"/>
      <c r="BG169" s="10">
        <v>14607.048409999999</v>
      </c>
      <c r="BH169" s="10"/>
      <c r="BI169" s="10"/>
      <c r="BJ169" s="10">
        <v>0</v>
      </c>
      <c r="BK169" s="10">
        <v>11212.351129999999</v>
      </c>
      <c r="BL169" s="10">
        <v>15293.928239999999</v>
      </c>
      <c r="BM169" s="10"/>
      <c r="BN169" s="10"/>
      <c r="BO169" s="10"/>
      <c r="BP169" s="10"/>
      <c r="BQ169" s="10"/>
      <c r="BR169" s="10">
        <v>0</v>
      </c>
      <c r="BS169" s="10">
        <v>0</v>
      </c>
      <c r="BT169" s="10"/>
      <c r="BU169" s="10"/>
      <c r="BV169" s="10"/>
      <c r="BW169" s="10"/>
      <c r="BX169" s="10">
        <v>0</v>
      </c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</row>
    <row r="170" spans="1:113" x14ac:dyDescent="0.35">
      <c r="A170" s="8">
        <v>46020</v>
      </c>
      <c r="B170" s="9">
        <v>295132559.88182098</v>
      </c>
      <c r="C170" s="10"/>
      <c r="D170" s="10">
        <v>86544719.462540001</v>
      </c>
      <c r="E170" s="10">
        <v>132236245.12180001</v>
      </c>
      <c r="F170" s="10"/>
      <c r="G170" s="10"/>
      <c r="H170" s="10">
        <v>10267634.72906</v>
      </c>
      <c r="I170" s="10">
        <v>405471.04324000003</v>
      </c>
      <c r="J170" s="10">
        <v>7713304.4687299998</v>
      </c>
      <c r="K170" s="10">
        <v>0</v>
      </c>
      <c r="L170" s="10">
        <v>17033993.039900001</v>
      </c>
      <c r="M170" s="10">
        <v>802464.26895000006</v>
      </c>
      <c r="N170" s="10">
        <v>1249889.5747730001</v>
      </c>
      <c r="O170" s="10"/>
      <c r="P170" s="10"/>
      <c r="Q170" s="10">
        <v>3011169.4455400002</v>
      </c>
      <c r="R170" s="10"/>
      <c r="S170" s="10"/>
      <c r="T170" s="10">
        <v>5956276.0251799999</v>
      </c>
      <c r="U170" s="10">
        <v>4968320.7061900003</v>
      </c>
      <c r="V170" s="10">
        <v>0</v>
      </c>
      <c r="W170" s="10">
        <v>5182786.2278300002</v>
      </c>
      <c r="X170" s="10"/>
      <c r="Y170" s="10">
        <v>6133861.9062700002</v>
      </c>
      <c r="Z170" s="10">
        <v>1556376.3321499999</v>
      </c>
      <c r="AA170" s="10"/>
      <c r="AB170" s="10">
        <v>1641097.4786100001</v>
      </c>
      <c r="AC170" s="10">
        <v>2962415.7654800001</v>
      </c>
      <c r="AD170" s="10"/>
      <c r="AE170" s="10">
        <v>1086455.34032</v>
      </c>
      <c r="AF170" s="10">
        <v>1162139.08712</v>
      </c>
      <c r="AG170" s="10">
        <v>118110.88129999999</v>
      </c>
      <c r="AH170" s="10">
        <v>1301657.14974</v>
      </c>
      <c r="AI170" s="10">
        <v>2143812.03498</v>
      </c>
      <c r="AJ170" s="10"/>
      <c r="AK170" s="10">
        <v>0</v>
      </c>
      <c r="AL170" s="10"/>
      <c r="AM170" s="10"/>
      <c r="AN170" s="10">
        <v>0</v>
      </c>
      <c r="AO170" s="10">
        <v>0</v>
      </c>
      <c r="AP170" s="10"/>
      <c r="AQ170" s="10">
        <v>292567.41122499999</v>
      </c>
      <c r="AR170" s="10"/>
      <c r="AS170" s="10">
        <v>312466.29290300002</v>
      </c>
      <c r="AT170" s="10"/>
      <c r="AU170" s="10"/>
      <c r="AV170" s="10"/>
      <c r="AW170" s="10"/>
      <c r="AX170" s="10">
        <v>0</v>
      </c>
      <c r="AY170" s="10"/>
      <c r="AZ170" s="10"/>
      <c r="BA170" s="10">
        <v>975053.51789999998</v>
      </c>
      <c r="BB170" s="10"/>
      <c r="BC170" s="10"/>
      <c r="BD170" s="10">
        <v>0</v>
      </c>
      <c r="BE170" s="10"/>
      <c r="BF170" s="10"/>
      <c r="BG170" s="10">
        <v>6366.9290499999997</v>
      </c>
      <c r="BH170" s="10"/>
      <c r="BI170" s="10"/>
      <c r="BJ170" s="10">
        <v>0</v>
      </c>
      <c r="BK170" s="10">
        <v>22353.249059999998</v>
      </c>
      <c r="BL170" s="10">
        <v>45552.39198</v>
      </c>
      <c r="BM170" s="10"/>
      <c r="BN170" s="10"/>
      <c r="BO170" s="10"/>
      <c r="BP170" s="10"/>
      <c r="BQ170" s="10"/>
      <c r="BR170" s="10">
        <v>0</v>
      </c>
      <c r="BS170" s="10">
        <v>0</v>
      </c>
      <c r="BT170" s="10"/>
      <c r="BU170" s="10"/>
      <c r="BV170" s="10"/>
      <c r="BW170" s="10"/>
      <c r="BX170" s="10">
        <v>0</v>
      </c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</row>
    <row r="171" spans="1:113" x14ac:dyDescent="0.35">
      <c r="A171" s="8">
        <v>46019</v>
      </c>
      <c r="B171" s="9">
        <v>57596373.000046998</v>
      </c>
      <c r="C171" s="10"/>
      <c r="D171" s="10">
        <v>17050350.845959999</v>
      </c>
      <c r="E171" s="10">
        <v>26264395.0491</v>
      </c>
      <c r="F171" s="10"/>
      <c r="G171" s="10"/>
      <c r="H171" s="10">
        <v>1421764.09109</v>
      </c>
      <c r="I171" s="10">
        <v>22266.7369</v>
      </c>
      <c r="J171" s="10">
        <v>785112.62441000005</v>
      </c>
      <c r="K171" s="10">
        <v>0</v>
      </c>
      <c r="L171" s="10">
        <v>3293427.90723</v>
      </c>
      <c r="M171" s="10">
        <v>358027.16681999998</v>
      </c>
      <c r="N171" s="10">
        <v>34779.667041000001</v>
      </c>
      <c r="O171" s="10"/>
      <c r="P171" s="10"/>
      <c r="Q171" s="10">
        <v>742547.28605999995</v>
      </c>
      <c r="R171" s="10"/>
      <c r="S171" s="10"/>
      <c r="T171" s="10">
        <v>459549.87566000002</v>
      </c>
      <c r="U171" s="10">
        <v>92910.815820000003</v>
      </c>
      <c r="V171" s="10">
        <v>0</v>
      </c>
      <c r="W171" s="10">
        <v>931825.97621999995</v>
      </c>
      <c r="X171" s="10"/>
      <c r="Y171" s="10">
        <v>139910.70704000001</v>
      </c>
      <c r="Z171" s="10">
        <v>45530.760929999997</v>
      </c>
      <c r="AA171" s="10"/>
      <c r="AB171" s="10">
        <v>4553189.9400399998</v>
      </c>
      <c r="AC171" s="10">
        <v>111186.54226</v>
      </c>
      <c r="AD171" s="10"/>
      <c r="AE171" s="10">
        <v>33808.430399999997</v>
      </c>
      <c r="AF171" s="10">
        <v>103475.28744</v>
      </c>
      <c r="AG171" s="10">
        <v>27984.366999999998</v>
      </c>
      <c r="AH171" s="10">
        <v>66992.137759999998</v>
      </c>
      <c r="AI171" s="10">
        <v>102343.76665000001</v>
      </c>
      <c r="AJ171" s="10"/>
      <c r="AK171" s="10">
        <v>0</v>
      </c>
      <c r="AL171" s="10"/>
      <c r="AM171" s="10"/>
      <c r="AN171" s="10">
        <v>0</v>
      </c>
      <c r="AO171" s="10"/>
      <c r="AP171" s="10"/>
      <c r="AQ171" s="10">
        <v>30166.262929</v>
      </c>
      <c r="AR171" s="10"/>
      <c r="AS171" s="10">
        <v>158765.217317</v>
      </c>
      <c r="AT171" s="10"/>
      <c r="AU171" s="10"/>
      <c r="AV171" s="10"/>
      <c r="AW171" s="10"/>
      <c r="AX171" s="10">
        <v>0</v>
      </c>
      <c r="AY171" s="10"/>
      <c r="AZ171" s="10"/>
      <c r="BA171" s="10">
        <v>689977.17500000005</v>
      </c>
      <c r="BB171" s="10"/>
      <c r="BC171" s="10"/>
      <c r="BD171" s="10">
        <v>0</v>
      </c>
      <c r="BE171" s="10"/>
      <c r="BF171" s="10"/>
      <c r="BG171" s="10">
        <v>31444.077590000001</v>
      </c>
      <c r="BH171" s="10"/>
      <c r="BI171" s="10"/>
      <c r="BJ171" s="10">
        <v>0</v>
      </c>
      <c r="BK171" s="10">
        <v>29425.235240000002</v>
      </c>
      <c r="BL171" s="10">
        <v>15215.050139999999</v>
      </c>
      <c r="BM171" s="10"/>
      <c r="BN171" s="10"/>
      <c r="BO171" s="10"/>
      <c r="BP171" s="10"/>
      <c r="BQ171" s="10"/>
      <c r="BR171" s="10">
        <v>0</v>
      </c>
      <c r="BS171" s="10">
        <v>0</v>
      </c>
      <c r="BT171" s="10"/>
      <c r="BU171" s="10"/>
      <c r="BV171" s="10"/>
      <c r="BW171" s="10"/>
      <c r="BX171" s="10">
        <v>0</v>
      </c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</row>
    <row r="172" spans="1:113" x14ac:dyDescent="0.35">
      <c r="A172" s="8">
        <v>46018</v>
      </c>
      <c r="B172" s="9">
        <v>49486678.527206004</v>
      </c>
      <c r="C172" s="10"/>
      <c r="D172" s="10">
        <v>7389632.7890900001</v>
      </c>
      <c r="E172" s="10">
        <v>31045519.353599999</v>
      </c>
      <c r="F172" s="10"/>
      <c r="G172" s="10"/>
      <c r="H172" s="10">
        <v>2575913.45762</v>
      </c>
      <c r="I172" s="10">
        <v>14426.672790000001</v>
      </c>
      <c r="J172" s="10">
        <v>1340912.37164</v>
      </c>
      <c r="K172" s="10">
        <v>0</v>
      </c>
      <c r="L172" s="10">
        <v>2041076.2159500001</v>
      </c>
      <c r="M172" s="10">
        <v>33973.918709999998</v>
      </c>
      <c r="N172" s="10">
        <v>93397.135358</v>
      </c>
      <c r="O172" s="10"/>
      <c r="P172" s="10"/>
      <c r="Q172" s="10">
        <v>1392151.8877999999</v>
      </c>
      <c r="R172" s="10"/>
      <c r="S172" s="10"/>
      <c r="T172" s="10">
        <v>153235.88342999999</v>
      </c>
      <c r="U172" s="10">
        <v>46435.31061</v>
      </c>
      <c r="V172" s="10">
        <v>0</v>
      </c>
      <c r="W172" s="10">
        <v>107925.01286</v>
      </c>
      <c r="X172" s="10"/>
      <c r="Y172" s="10">
        <v>309970.16451999999</v>
      </c>
      <c r="Z172" s="10">
        <v>34383.045259999999</v>
      </c>
      <c r="AA172" s="10"/>
      <c r="AB172" s="10">
        <v>575004.75170999998</v>
      </c>
      <c r="AC172" s="10">
        <v>253499.70908</v>
      </c>
      <c r="AD172" s="10"/>
      <c r="AE172" s="10">
        <v>57738.233849999997</v>
      </c>
      <c r="AF172" s="10">
        <v>97852.703550000006</v>
      </c>
      <c r="AG172" s="10">
        <v>21252.255000000001</v>
      </c>
      <c r="AH172" s="10">
        <v>73665.151710000006</v>
      </c>
      <c r="AI172" s="10">
        <v>179217.12049999999</v>
      </c>
      <c r="AJ172" s="10"/>
      <c r="AK172" s="10">
        <v>0</v>
      </c>
      <c r="AL172" s="10"/>
      <c r="AM172" s="10"/>
      <c r="AN172" s="10">
        <v>0</v>
      </c>
      <c r="AO172" s="10"/>
      <c r="AP172" s="10"/>
      <c r="AQ172" s="10">
        <v>60860.852482000002</v>
      </c>
      <c r="AR172" s="10"/>
      <c r="AS172" s="10">
        <v>100358.067906</v>
      </c>
      <c r="AT172" s="10"/>
      <c r="AU172" s="10"/>
      <c r="AV172" s="10"/>
      <c r="AW172" s="10"/>
      <c r="AX172" s="10"/>
      <c r="AY172" s="10"/>
      <c r="AZ172" s="10"/>
      <c r="BA172" s="10">
        <v>612994.39769999997</v>
      </c>
      <c r="BB172" s="10"/>
      <c r="BC172" s="10"/>
      <c r="BD172" s="10">
        <v>0</v>
      </c>
      <c r="BE172" s="10"/>
      <c r="BF172" s="10"/>
      <c r="BG172" s="10">
        <v>647365.75271000003</v>
      </c>
      <c r="BH172" s="10"/>
      <c r="BI172" s="10"/>
      <c r="BJ172" s="10">
        <v>0</v>
      </c>
      <c r="BK172" s="10">
        <v>219854.30022</v>
      </c>
      <c r="BL172" s="10">
        <v>8062.0115500000002</v>
      </c>
      <c r="BM172" s="10"/>
      <c r="BN172" s="10"/>
      <c r="BO172" s="10"/>
      <c r="BP172" s="10"/>
      <c r="BQ172" s="10"/>
      <c r="BR172" s="10">
        <v>0</v>
      </c>
      <c r="BS172" s="10">
        <v>0</v>
      </c>
      <c r="BT172" s="10"/>
      <c r="BU172" s="10"/>
      <c r="BV172" s="10"/>
      <c r="BW172" s="10"/>
      <c r="BX172" s="10">
        <v>0</v>
      </c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</row>
    <row r="173" spans="1:113" x14ac:dyDescent="0.35">
      <c r="A173" s="8">
        <v>46017</v>
      </c>
      <c r="B173" s="9">
        <v>219878310.31058899</v>
      </c>
      <c r="C173" s="10"/>
      <c r="D173" s="10">
        <v>20216283.488930002</v>
      </c>
      <c r="E173" s="10">
        <v>152154658.16159999</v>
      </c>
      <c r="F173" s="10"/>
      <c r="G173" s="10"/>
      <c r="H173" s="10">
        <v>4378164.9579400001</v>
      </c>
      <c r="I173" s="10">
        <v>131377.79577</v>
      </c>
      <c r="J173" s="10">
        <v>11402027.25732</v>
      </c>
      <c r="K173" s="10">
        <v>0</v>
      </c>
      <c r="L173" s="10">
        <v>7183615.8914200002</v>
      </c>
      <c r="M173" s="10">
        <v>321874.87748000002</v>
      </c>
      <c r="N173" s="10">
        <v>994426.49285599997</v>
      </c>
      <c r="O173" s="10"/>
      <c r="P173" s="10"/>
      <c r="Q173" s="10">
        <v>2646774.17765</v>
      </c>
      <c r="R173" s="10"/>
      <c r="S173" s="10"/>
      <c r="T173" s="10">
        <v>3114377.7184600001</v>
      </c>
      <c r="U173" s="10">
        <v>1477683.2797099999</v>
      </c>
      <c r="V173" s="10">
        <v>0</v>
      </c>
      <c r="W173" s="10">
        <v>2973733.1121700001</v>
      </c>
      <c r="X173" s="10"/>
      <c r="Y173" s="10">
        <v>2354273.8734300002</v>
      </c>
      <c r="Z173" s="10">
        <v>729819.53500000003</v>
      </c>
      <c r="AA173" s="10"/>
      <c r="AB173" s="10">
        <v>1769659.0793600001</v>
      </c>
      <c r="AC173" s="10">
        <v>1814492.6079200001</v>
      </c>
      <c r="AD173" s="10"/>
      <c r="AE173" s="10">
        <v>328380.76244999998</v>
      </c>
      <c r="AF173" s="10">
        <v>728493.15469999996</v>
      </c>
      <c r="AG173" s="10">
        <v>196812.413</v>
      </c>
      <c r="AH173" s="10">
        <v>1363646.0127000001</v>
      </c>
      <c r="AI173" s="10">
        <v>1425537.43722</v>
      </c>
      <c r="AJ173" s="10"/>
      <c r="AK173" s="10">
        <v>0</v>
      </c>
      <c r="AL173" s="10"/>
      <c r="AM173" s="10"/>
      <c r="AN173" s="10">
        <v>0</v>
      </c>
      <c r="AO173" s="10"/>
      <c r="AP173" s="10"/>
      <c r="AQ173" s="10">
        <v>345955.71751500003</v>
      </c>
      <c r="AR173" s="10"/>
      <c r="AS173" s="10">
        <v>591927.53854800004</v>
      </c>
      <c r="AT173" s="10"/>
      <c r="AU173" s="10"/>
      <c r="AV173" s="10"/>
      <c r="AW173" s="10"/>
      <c r="AX173" s="10"/>
      <c r="AY173" s="10"/>
      <c r="AZ173" s="10"/>
      <c r="BA173" s="10">
        <v>349783.36670000001</v>
      </c>
      <c r="BB173" s="10"/>
      <c r="BC173" s="10"/>
      <c r="BD173" s="10">
        <v>0</v>
      </c>
      <c r="BE173" s="10"/>
      <c r="BF173" s="10"/>
      <c r="BG173" s="10">
        <v>713646.45700000005</v>
      </c>
      <c r="BH173" s="10"/>
      <c r="BI173" s="10"/>
      <c r="BJ173" s="10">
        <v>0</v>
      </c>
      <c r="BK173" s="10">
        <v>138951.07644</v>
      </c>
      <c r="BL173" s="10">
        <v>31934.067299999999</v>
      </c>
      <c r="BM173" s="10"/>
      <c r="BN173" s="10"/>
      <c r="BO173" s="10"/>
      <c r="BP173" s="10"/>
      <c r="BQ173" s="10"/>
      <c r="BR173" s="10">
        <v>0</v>
      </c>
      <c r="BS173" s="10">
        <v>0</v>
      </c>
      <c r="BT173" s="10"/>
      <c r="BU173" s="10"/>
      <c r="BV173" s="10"/>
      <c r="BW173" s="10"/>
      <c r="BX173" s="10">
        <v>0</v>
      </c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</row>
    <row r="174" spans="1:113" x14ac:dyDescent="0.35">
      <c r="A174" s="8">
        <v>46016</v>
      </c>
      <c r="B174" s="9">
        <v>46234681.748829998</v>
      </c>
      <c r="C174" s="10"/>
      <c r="D174" s="10">
        <v>1698335.227</v>
      </c>
      <c r="E174" s="10">
        <v>32906396.798900001</v>
      </c>
      <c r="F174" s="10"/>
      <c r="G174" s="10"/>
      <c r="H174" s="10">
        <v>946279.92006999999</v>
      </c>
      <c r="I174" s="10">
        <v>40457.309079999999</v>
      </c>
      <c r="J174" s="10">
        <v>653869.56451000005</v>
      </c>
      <c r="K174" s="10">
        <v>0</v>
      </c>
      <c r="L174" s="10">
        <v>3575429.2349800002</v>
      </c>
      <c r="M174" s="10">
        <v>34233.178679999997</v>
      </c>
      <c r="N174" s="10">
        <v>144895.54289499999</v>
      </c>
      <c r="O174" s="10"/>
      <c r="P174" s="10"/>
      <c r="Q174" s="10">
        <v>276073.76069000002</v>
      </c>
      <c r="R174" s="10"/>
      <c r="S174" s="10"/>
      <c r="T174" s="10">
        <v>411398.21536999999</v>
      </c>
      <c r="U174" s="10">
        <v>88013.720300000001</v>
      </c>
      <c r="V174" s="10">
        <v>0</v>
      </c>
      <c r="W174" s="10">
        <v>55010.498879999999</v>
      </c>
      <c r="X174" s="10"/>
      <c r="Y174" s="10">
        <v>65486.450360000003</v>
      </c>
      <c r="Z174" s="10">
        <v>24039.91706</v>
      </c>
      <c r="AA174" s="10"/>
      <c r="AB174" s="10">
        <v>30764.806980000001</v>
      </c>
      <c r="AC174" s="10">
        <v>2241270.0185199999</v>
      </c>
      <c r="AD174" s="10"/>
      <c r="AE174" s="10">
        <v>154931.36702000001</v>
      </c>
      <c r="AF174" s="10">
        <v>225442.05016000001</v>
      </c>
      <c r="AG174" s="10">
        <v>106984.5208</v>
      </c>
      <c r="AH174" s="10">
        <v>193189.90111999999</v>
      </c>
      <c r="AI174" s="10">
        <v>108663.61133</v>
      </c>
      <c r="AJ174" s="10"/>
      <c r="AK174" s="10">
        <v>0</v>
      </c>
      <c r="AL174" s="10"/>
      <c r="AM174" s="10"/>
      <c r="AN174" s="10">
        <v>0</v>
      </c>
      <c r="AO174" s="10"/>
      <c r="AP174" s="10"/>
      <c r="AQ174" s="10">
        <v>14202.154664</v>
      </c>
      <c r="AR174" s="10"/>
      <c r="AS174" s="10">
        <v>361048.71636100003</v>
      </c>
      <c r="AT174" s="10"/>
      <c r="AU174" s="10"/>
      <c r="AV174" s="10"/>
      <c r="AW174" s="10"/>
      <c r="AX174" s="10"/>
      <c r="AY174" s="10"/>
      <c r="AZ174" s="10"/>
      <c r="BA174" s="10">
        <v>332597.45770000003</v>
      </c>
      <c r="BB174" s="10"/>
      <c r="BC174" s="10"/>
      <c r="BD174" s="10">
        <v>0</v>
      </c>
      <c r="BE174" s="10"/>
      <c r="BF174" s="10"/>
      <c r="BG174" s="10">
        <v>1058633.4772600001</v>
      </c>
      <c r="BH174" s="10"/>
      <c r="BI174" s="10"/>
      <c r="BJ174" s="10">
        <v>0</v>
      </c>
      <c r="BK174" s="10">
        <v>464380.94472999999</v>
      </c>
      <c r="BL174" s="10">
        <v>22653.383409999999</v>
      </c>
      <c r="BM174" s="10"/>
      <c r="BN174" s="10"/>
      <c r="BO174" s="10"/>
      <c r="BP174" s="10"/>
      <c r="BQ174" s="10"/>
      <c r="BR174" s="10">
        <v>0</v>
      </c>
      <c r="BS174" s="10">
        <v>0</v>
      </c>
      <c r="BT174" s="10"/>
      <c r="BU174" s="10"/>
      <c r="BV174" s="10"/>
      <c r="BW174" s="10"/>
      <c r="BX174" s="10">
        <v>0</v>
      </c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</row>
    <row r="175" spans="1:113" x14ac:dyDescent="0.35">
      <c r="A175" s="8">
        <v>46015</v>
      </c>
      <c r="B175" s="9">
        <v>144364183.97583199</v>
      </c>
      <c r="C175" s="10"/>
      <c r="D175" s="10">
        <v>5278157.25196</v>
      </c>
      <c r="E175" s="10">
        <v>78330984.454899997</v>
      </c>
      <c r="F175" s="10"/>
      <c r="G175" s="10"/>
      <c r="H175" s="10">
        <v>3222527.9082200001</v>
      </c>
      <c r="I175" s="10">
        <v>1154309.2340299999</v>
      </c>
      <c r="J175" s="10">
        <v>3976511.12408</v>
      </c>
      <c r="K175" s="10">
        <v>0</v>
      </c>
      <c r="L175" s="10">
        <v>8126365.3337099999</v>
      </c>
      <c r="M175" s="10">
        <v>1891570.4625200001</v>
      </c>
      <c r="N175" s="10">
        <v>3266529.5591259999</v>
      </c>
      <c r="O175" s="10"/>
      <c r="P175" s="10"/>
      <c r="Q175" s="10">
        <v>4189769.93328</v>
      </c>
      <c r="R175" s="10"/>
      <c r="S175" s="10"/>
      <c r="T175" s="10">
        <v>11064287.030959999</v>
      </c>
      <c r="U175" s="10">
        <v>3118520.5126800002</v>
      </c>
      <c r="V175" s="10">
        <v>0</v>
      </c>
      <c r="W175" s="10">
        <v>6118108.0775300004</v>
      </c>
      <c r="X175" s="10"/>
      <c r="Y175" s="10">
        <v>4914609.2718500001</v>
      </c>
      <c r="Z175" s="10">
        <v>875522.44296999997</v>
      </c>
      <c r="AA175" s="10"/>
      <c r="AB175" s="10">
        <v>1718273.6664799999</v>
      </c>
      <c r="AC175" s="10">
        <v>1690066.9734700001</v>
      </c>
      <c r="AD175" s="10"/>
      <c r="AE175" s="10">
        <v>401823.02217000001</v>
      </c>
      <c r="AF175" s="10">
        <v>818154.90326000005</v>
      </c>
      <c r="AG175" s="10">
        <v>584246.0416</v>
      </c>
      <c r="AH175" s="10">
        <v>1502641.6576400001</v>
      </c>
      <c r="AI175" s="10">
        <v>613651.43157000002</v>
      </c>
      <c r="AJ175" s="10"/>
      <c r="AK175" s="10">
        <v>0</v>
      </c>
      <c r="AL175" s="10"/>
      <c r="AM175" s="10"/>
      <c r="AN175" s="10">
        <v>0</v>
      </c>
      <c r="AO175" s="10"/>
      <c r="AP175" s="10"/>
      <c r="AQ175" s="10">
        <v>231029.749411</v>
      </c>
      <c r="AR175" s="10"/>
      <c r="AS175" s="10">
        <v>428258.46789500001</v>
      </c>
      <c r="AT175" s="10"/>
      <c r="AU175" s="10"/>
      <c r="AV175" s="10"/>
      <c r="AW175" s="10"/>
      <c r="AX175" s="10"/>
      <c r="AY175" s="10"/>
      <c r="AZ175" s="10"/>
      <c r="BA175" s="10">
        <v>242292.8836</v>
      </c>
      <c r="BB175" s="10"/>
      <c r="BC175" s="10"/>
      <c r="BD175" s="10">
        <v>0</v>
      </c>
      <c r="BE175" s="10"/>
      <c r="BF175" s="10"/>
      <c r="BG175" s="10">
        <v>73177.935150000005</v>
      </c>
      <c r="BH175" s="10"/>
      <c r="BI175" s="10"/>
      <c r="BJ175" s="10">
        <v>0</v>
      </c>
      <c r="BK175" s="10">
        <v>514762.80471</v>
      </c>
      <c r="BL175" s="10">
        <v>18031.841059999999</v>
      </c>
      <c r="BM175" s="10"/>
      <c r="BN175" s="10"/>
      <c r="BO175" s="10"/>
      <c r="BP175" s="10"/>
      <c r="BQ175" s="10"/>
      <c r="BR175" s="10">
        <v>0</v>
      </c>
      <c r="BS175" s="10">
        <v>0</v>
      </c>
      <c r="BT175" s="10"/>
      <c r="BU175" s="10"/>
      <c r="BV175" s="10"/>
      <c r="BW175" s="10"/>
      <c r="BX175" s="10">
        <v>0</v>
      </c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</row>
    <row r="176" spans="1:113" x14ac:dyDescent="0.35">
      <c r="A176" s="8">
        <v>46014</v>
      </c>
      <c r="B176" s="9">
        <v>259579006.72806999</v>
      </c>
      <c r="C176" s="10"/>
      <c r="D176" s="10">
        <v>3127287.10836</v>
      </c>
      <c r="E176" s="10">
        <v>186969444.3486</v>
      </c>
      <c r="F176" s="10"/>
      <c r="G176" s="10"/>
      <c r="H176" s="10">
        <v>5592534.7583299996</v>
      </c>
      <c r="I176" s="10">
        <v>240683.20269000001</v>
      </c>
      <c r="J176" s="10">
        <v>7637017.3373999996</v>
      </c>
      <c r="K176" s="10">
        <v>0</v>
      </c>
      <c r="L176" s="10">
        <v>15223592.63889</v>
      </c>
      <c r="M176" s="10">
        <v>700884.86118000001</v>
      </c>
      <c r="N176" s="10">
        <v>3882425.5520029999</v>
      </c>
      <c r="O176" s="10"/>
      <c r="P176" s="10"/>
      <c r="Q176" s="10">
        <v>3349707.6377599998</v>
      </c>
      <c r="R176" s="10"/>
      <c r="S176" s="10"/>
      <c r="T176" s="10">
        <v>8224158.7112100003</v>
      </c>
      <c r="U176" s="10">
        <v>4201313.8310399996</v>
      </c>
      <c r="V176" s="10">
        <v>0</v>
      </c>
      <c r="W176" s="10">
        <v>4225722.6408000002</v>
      </c>
      <c r="X176" s="10"/>
      <c r="Y176" s="10">
        <v>4619456.1573299998</v>
      </c>
      <c r="Z176" s="10">
        <v>1223695.2893300001</v>
      </c>
      <c r="AA176" s="10"/>
      <c r="AB176" s="10">
        <v>1553608.9502699999</v>
      </c>
      <c r="AC176" s="10">
        <v>2660060.47175</v>
      </c>
      <c r="AD176" s="10"/>
      <c r="AE176" s="10">
        <v>424572.12193000002</v>
      </c>
      <c r="AF176" s="10">
        <v>642125.68221999996</v>
      </c>
      <c r="AG176" s="10">
        <v>298093.10399999999</v>
      </c>
      <c r="AH176" s="10">
        <v>1506222.37579</v>
      </c>
      <c r="AI176" s="10">
        <v>777761.84251999995</v>
      </c>
      <c r="AJ176" s="10"/>
      <c r="AK176" s="10">
        <v>0</v>
      </c>
      <c r="AL176" s="10"/>
      <c r="AM176" s="10"/>
      <c r="AN176" s="10">
        <v>0</v>
      </c>
      <c r="AO176" s="10"/>
      <c r="AP176" s="10"/>
      <c r="AQ176" s="10">
        <v>251866.12939700001</v>
      </c>
      <c r="AR176" s="10"/>
      <c r="AS176" s="10">
        <v>755909.40966999996</v>
      </c>
      <c r="AT176" s="10"/>
      <c r="AU176" s="10"/>
      <c r="AV176" s="10"/>
      <c r="AW176" s="10"/>
      <c r="AX176" s="10"/>
      <c r="AY176" s="10"/>
      <c r="AZ176" s="10"/>
      <c r="BA176" s="10">
        <v>611836.14240000001</v>
      </c>
      <c r="BB176" s="10"/>
      <c r="BC176" s="10"/>
      <c r="BD176" s="10">
        <v>0</v>
      </c>
      <c r="BE176" s="10"/>
      <c r="BF176" s="10"/>
      <c r="BG176" s="10">
        <v>768760.98533000005</v>
      </c>
      <c r="BH176" s="10"/>
      <c r="BI176" s="10"/>
      <c r="BJ176" s="10">
        <v>0</v>
      </c>
      <c r="BK176" s="10">
        <v>99950.529169999994</v>
      </c>
      <c r="BL176" s="10">
        <v>10314.9087</v>
      </c>
      <c r="BM176" s="10"/>
      <c r="BN176" s="10"/>
      <c r="BO176" s="10"/>
      <c r="BP176" s="10"/>
      <c r="BQ176" s="10"/>
      <c r="BR176" s="10">
        <v>0</v>
      </c>
      <c r="BS176" s="10">
        <v>0</v>
      </c>
      <c r="BT176" s="10"/>
      <c r="BU176" s="10"/>
      <c r="BV176" s="10"/>
      <c r="BW176" s="10"/>
      <c r="BX176" s="10">
        <v>0</v>
      </c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</row>
    <row r="177" spans="1:113" x14ac:dyDescent="0.35">
      <c r="A177" s="8">
        <v>46013</v>
      </c>
      <c r="B177" s="9">
        <v>184279622.53512201</v>
      </c>
      <c r="C177" s="10"/>
      <c r="D177" s="10">
        <v>2011898.3273100001</v>
      </c>
      <c r="E177" s="10">
        <v>98936359.924899995</v>
      </c>
      <c r="F177" s="10"/>
      <c r="G177" s="10"/>
      <c r="H177" s="10">
        <v>4309611.2880999995</v>
      </c>
      <c r="I177" s="10">
        <v>333379.23531999998</v>
      </c>
      <c r="J177" s="10">
        <v>8428594.9230899997</v>
      </c>
      <c r="K177" s="10">
        <v>0</v>
      </c>
      <c r="L177" s="10">
        <v>30130747.12954</v>
      </c>
      <c r="M177" s="10">
        <v>683750.71432000003</v>
      </c>
      <c r="N177" s="10">
        <v>1328991.0981630001</v>
      </c>
      <c r="O177" s="10"/>
      <c r="P177" s="10"/>
      <c r="Q177" s="10">
        <v>4289670.69405</v>
      </c>
      <c r="R177" s="10"/>
      <c r="S177" s="10"/>
      <c r="T177" s="10">
        <v>2684918.5803100001</v>
      </c>
      <c r="U177" s="10">
        <v>8818335.0739700105</v>
      </c>
      <c r="V177" s="10">
        <v>0</v>
      </c>
      <c r="W177" s="10">
        <v>3683096.9617599999</v>
      </c>
      <c r="X177" s="10"/>
      <c r="Y177" s="10">
        <v>5538892.3240999999</v>
      </c>
      <c r="Z177" s="10">
        <v>878951.03848999995</v>
      </c>
      <c r="AA177" s="10"/>
      <c r="AB177" s="10">
        <v>1961745.7024000001</v>
      </c>
      <c r="AC177" s="10">
        <v>4195647.96368</v>
      </c>
      <c r="AD177" s="10"/>
      <c r="AE177" s="10">
        <v>0</v>
      </c>
      <c r="AF177" s="10">
        <v>525231.22546999995</v>
      </c>
      <c r="AG177" s="10">
        <v>0</v>
      </c>
      <c r="AH177" s="10">
        <v>2287447.6954000001</v>
      </c>
      <c r="AI177" s="10">
        <v>1350337.1817900001</v>
      </c>
      <c r="AJ177" s="10"/>
      <c r="AK177" s="10">
        <v>0</v>
      </c>
      <c r="AL177" s="10"/>
      <c r="AM177" s="10"/>
      <c r="AN177" s="10">
        <v>0</v>
      </c>
      <c r="AO177" s="10"/>
      <c r="AP177" s="10"/>
      <c r="AQ177" s="10">
        <v>659374.789246</v>
      </c>
      <c r="AR177" s="10"/>
      <c r="AS177" s="10">
        <v>482023.82715299999</v>
      </c>
      <c r="AT177" s="10"/>
      <c r="AU177" s="10"/>
      <c r="AV177" s="10"/>
      <c r="AW177" s="10"/>
      <c r="AX177" s="10"/>
      <c r="AY177" s="10"/>
      <c r="AZ177" s="10"/>
      <c r="BA177" s="10">
        <v>520553.54499999998</v>
      </c>
      <c r="BB177" s="10"/>
      <c r="BC177" s="10"/>
      <c r="BD177" s="10">
        <v>0</v>
      </c>
      <c r="BE177" s="10"/>
      <c r="BF177" s="10"/>
      <c r="BG177" s="10">
        <v>66827.127359999999</v>
      </c>
      <c r="BH177" s="10"/>
      <c r="BI177" s="10"/>
      <c r="BJ177" s="10">
        <v>0</v>
      </c>
      <c r="BK177" s="10">
        <v>156352.03390000001</v>
      </c>
      <c r="BL177" s="10">
        <v>16884.130300000001</v>
      </c>
      <c r="BM177" s="10"/>
      <c r="BN177" s="10"/>
      <c r="BO177" s="10"/>
      <c r="BP177" s="10"/>
      <c r="BQ177" s="10"/>
      <c r="BR177" s="10">
        <v>0</v>
      </c>
      <c r="BS177" s="10">
        <v>0</v>
      </c>
      <c r="BT177" s="10"/>
      <c r="BU177" s="10"/>
      <c r="BV177" s="10"/>
      <c r="BW177" s="10"/>
      <c r="BX177" s="10">
        <v>0</v>
      </c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</row>
    <row r="178" spans="1:113" x14ac:dyDescent="0.35">
      <c r="A178" s="8">
        <v>46012</v>
      </c>
      <c r="B178" s="9">
        <v>43979600.548574001</v>
      </c>
      <c r="C178" s="10"/>
      <c r="D178" s="10">
        <v>949643.52012999996</v>
      </c>
      <c r="E178" s="10">
        <v>36396225.196400002</v>
      </c>
      <c r="F178" s="10"/>
      <c r="G178" s="10"/>
      <c r="H178" s="10">
        <v>93182.884000000005</v>
      </c>
      <c r="I178" s="10">
        <v>17702.60872</v>
      </c>
      <c r="J178" s="10">
        <v>429910.55920000002</v>
      </c>
      <c r="K178" s="10">
        <v>0</v>
      </c>
      <c r="L178" s="10">
        <v>814503.82418</v>
      </c>
      <c r="M178" s="10">
        <v>86314.590280000004</v>
      </c>
      <c r="N178" s="10">
        <v>42972.369872000003</v>
      </c>
      <c r="O178" s="10"/>
      <c r="P178" s="10"/>
      <c r="Q178" s="10">
        <v>634886.86095</v>
      </c>
      <c r="R178" s="10"/>
      <c r="S178" s="10"/>
      <c r="T178" s="10">
        <v>533575.72449000005</v>
      </c>
      <c r="U178" s="10">
        <v>203695.47553</v>
      </c>
      <c r="V178" s="10">
        <v>0</v>
      </c>
      <c r="W178" s="10">
        <v>46785.555639999999</v>
      </c>
      <c r="X178" s="10"/>
      <c r="Y178" s="10">
        <v>376686.13183000003</v>
      </c>
      <c r="Z178" s="10">
        <v>80496.133719999998</v>
      </c>
      <c r="AA178" s="10"/>
      <c r="AB178" s="10">
        <v>204359.07284000001</v>
      </c>
      <c r="AC178" s="10">
        <v>148280.43767000001</v>
      </c>
      <c r="AD178" s="10"/>
      <c r="AE178" s="10">
        <v>0</v>
      </c>
      <c r="AF178" s="10">
        <v>103658.29072999999</v>
      </c>
      <c r="AG178" s="10">
        <v>0</v>
      </c>
      <c r="AH178" s="10">
        <v>302519.11736999999</v>
      </c>
      <c r="AI178" s="10">
        <v>132810.39629999999</v>
      </c>
      <c r="AJ178" s="10"/>
      <c r="AK178" s="10">
        <v>0</v>
      </c>
      <c r="AL178" s="10"/>
      <c r="AM178" s="10"/>
      <c r="AN178" s="10">
        <v>0</v>
      </c>
      <c r="AO178" s="10"/>
      <c r="AP178" s="10"/>
      <c r="AQ178" s="10">
        <v>31624.393828</v>
      </c>
      <c r="AR178" s="10"/>
      <c r="AS178" s="10">
        <v>135589.862134</v>
      </c>
      <c r="AT178" s="10"/>
      <c r="AU178" s="10"/>
      <c r="AV178" s="10"/>
      <c r="AW178" s="10"/>
      <c r="AX178" s="10"/>
      <c r="AY178" s="10"/>
      <c r="AZ178" s="10"/>
      <c r="BA178" s="10">
        <v>1150756.7507</v>
      </c>
      <c r="BB178" s="10"/>
      <c r="BC178" s="10"/>
      <c r="BD178" s="10">
        <v>0</v>
      </c>
      <c r="BE178" s="10"/>
      <c r="BF178" s="10"/>
      <c r="BG178" s="10">
        <v>13585.15209</v>
      </c>
      <c r="BH178" s="10"/>
      <c r="BI178" s="10"/>
      <c r="BJ178" s="10">
        <v>0</v>
      </c>
      <c r="BK178" s="10">
        <v>1007908.8231</v>
      </c>
      <c r="BL178" s="10">
        <v>41926.816870000002</v>
      </c>
      <c r="BM178" s="10"/>
      <c r="BN178" s="10"/>
      <c r="BO178" s="10"/>
      <c r="BP178" s="10"/>
      <c r="BQ178" s="10"/>
      <c r="BR178" s="10">
        <v>0</v>
      </c>
      <c r="BS178" s="10">
        <v>0</v>
      </c>
      <c r="BT178" s="10"/>
      <c r="BU178" s="10"/>
      <c r="BV178" s="10"/>
      <c r="BW178" s="10"/>
      <c r="BX178" s="10">
        <v>0</v>
      </c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</row>
    <row r="179" spans="1:113" x14ac:dyDescent="0.35">
      <c r="A179" s="8">
        <v>46011</v>
      </c>
      <c r="B179" s="9">
        <v>47468447.979625002</v>
      </c>
      <c r="C179" s="10"/>
      <c r="D179" s="10">
        <v>159374.06987000001</v>
      </c>
      <c r="E179" s="10">
        <v>33078732.864399999</v>
      </c>
      <c r="F179" s="10"/>
      <c r="G179" s="10"/>
      <c r="H179" s="10">
        <v>172668.10649999999</v>
      </c>
      <c r="I179" s="10">
        <v>36142.544419999998</v>
      </c>
      <c r="J179" s="10">
        <v>1096050.1692300001</v>
      </c>
      <c r="K179" s="10">
        <v>0</v>
      </c>
      <c r="L179" s="10">
        <v>2723059.0287899999</v>
      </c>
      <c r="M179" s="10">
        <v>43307.315419999999</v>
      </c>
      <c r="N179" s="10">
        <v>126484.58301</v>
      </c>
      <c r="O179" s="10"/>
      <c r="P179" s="10"/>
      <c r="Q179" s="10">
        <v>652523.01439999999</v>
      </c>
      <c r="R179" s="10"/>
      <c r="S179" s="10"/>
      <c r="T179" s="10">
        <v>300968.28551000002</v>
      </c>
      <c r="U179" s="10">
        <v>85750.214489999998</v>
      </c>
      <c r="V179" s="10">
        <v>0</v>
      </c>
      <c r="W179" s="10">
        <v>255155.51040999999</v>
      </c>
      <c r="X179" s="10"/>
      <c r="Y179" s="10">
        <v>4062259.7237900002</v>
      </c>
      <c r="Z179" s="10">
        <v>80061.477480000001</v>
      </c>
      <c r="AA179" s="10"/>
      <c r="AB179" s="10">
        <v>2029274.18624</v>
      </c>
      <c r="AC179" s="10">
        <v>105642.79837999999</v>
      </c>
      <c r="AD179" s="10"/>
      <c r="AE179" s="10">
        <v>0</v>
      </c>
      <c r="AF179" s="10">
        <v>31332.458060000001</v>
      </c>
      <c r="AG179" s="10">
        <v>0</v>
      </c>
      <c r="AH179" s="10">
        <v>82733.806710000004</v>
      </c>
      <c r="AI179" s="10">
        <v>185941.83858000001</v>
      </c>
      <c r="AJ179" s="10"/>
      <c r="AK179" s="10">
        <v>0</v>
      </c>
      <c r="AL179" s="10"/>
      <c r="AM179" s="10"/>
      <c r="AN179" s="10">
        <v>0</v>
      </c>
      <c r="AO179" s="10"/>
      <c r="AP179" s="10"/>
      <c r="AQ179" s="10">
        <v>40511.238479</v>
      </c>
      <c r="AR179" s="10"/>
      <c r="AS179" s="10">
        <v>161003.74935599999</v>
      </c>
      <c r="AT179" s="10"/>
      <c r="AU179" s="10"/>
      <c r="AV179" s="10"/>
      <c r="AW179" s="10"/>
      <c r="AX179" s="10"/>
      <c r="AY179" s="10"/>
      <c r="AZ179" s="10"/>
      <c r="BA179" s="10">
        <v>531982.64249999996</v>
      </c>
      <c r="BB179" s="10"/>
      <c r="BC179" s="10"/>
      <c r="BD179" s="10">
        <v>0</v>
      </c>
      <c r="BE179" s="10"/>
      <c r="BF179" s="10"/>
      <c r="BG179" s="10">
        <v>29235.7539</v>
      </c>
      <c r="BH179" s="10"/>
      <c r="BI179" s="10"/>
      <c r="BJ179" s="10">
        <v>0</v>
      </c>
      <c r="BK179" s="10">
        <v>1339890.2978300001</v>
      </c>
      <c r="BL179" s="10">
        <v>58362.301870000003</v>
      </c>
      <c r="BM179" s="10"/>
      <c r="BN179" s="10"/>
      <c r="BO179" s="10"/>
      <c r="BP179" s="10"/>
      <c r="BQ179" s="10"/>
      <c r="BR179" s="10">
        <v>0</v>
      </c>
      <c r="BS179" s="10">
        <v>0</v>
      </c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</row>
    <row r="180" spans="1:113" x14ac:dyDescent="0.35">
      <c r="A180" s="8">
        <v>46010</v>
      </c>
      <c r="B180" s="9">
        <v>277050664.24194598</v>
      </c>
      <c r="C180" s="10"/>
      <c r="D180" s="10">
        <v>3797117.4935099999</v>
      </c>
      <c r="E180" s="10">
        <v>176218146.9323</v>
      </c>
      <c r="F180" s="10"/>
      <c r="G180" s="10"/>
      <c r="H180" s="10">
        <v>1887279.0496</v>
      </c>
      <c r="I180" s="10">
        <v>440218.54723999999</v>
      </c>
      <c r="J180" s="10">
        <v>14935979.817050001</v>
      </c>
      <c r="K180" s="10">
        <v>0</v>
      </c>
      <c r="L180" s="10">
        <v>16326129.51733</v>
      </c>
      <c r="M180" s="10">
        <v>1578935.51633</v>
      </c>
      <c r="N180" s="10">
        <v>1638252.520604</v>
      </c>
      <c r="O180" s="10"/>
      <c r="P180" s="10"/>
      <c r="Q180" s="10">
        <v>6554352.5768600004</v>
      </c>
      <c r="R180" s="10"/>
      <c r="S180" s="10"/>
      <c r="T180" s="10">
        <v>4859809.0488600004</v>
      </c>
      <c r="U180" s="10">
        <v>6079748.5019899998</v>
      </c>
      <c r="V180" s="10">
        <v>0</v>
      </c>
      <c r="W180" s="10">
        <v>5864381.6031499999</v>
      </c>
      <c r="X180" s="10"/>
      <c r="Y180" s="10">
        <v>8781137.2330099996</v>
      </c>
      <c r="Z180" s="10">
        <v>2356139.0628999998</v>
      </c>
      <c r="AA180" s="10"/>
      <c r="AB180" s="10">
        <v>8336139.0775300004</v>
      </c>
      <c r="AC180" s="10">
        <v>3173513.8184500001</v>
      </c>
      <c r="AD180" s="10"/>
      <c r="AE180" s="10">
        <v>0</v>
      </c>
      <c r="AF180" s="10">
        <v>1583314.3979499999</v>
      </c>
      <c r="AG180" s="10">
        <v>0</v>
      </c>
      <c r="AH180" s="10">
        <v>3336713.9096499998</v>
      </c>
      <c r="AI180" s="10">
        <v>6311568.2242900003</v>
      </c>
      <c r="AJ180" s="10"/>
      <c r="AK180" s="10">
        <v>0</v>
      </c>
      <c r="AL180" s="10"/>
      <c r="AM180" s="10"/>
      <c r="AN180" s="10">
        <v>0</v>
      </c>
      <c r="AO180" s="10"/>
      <c r="AP180" s="10"/>
      <c r="AQ180" s="10">
        <v>496689.53783500002</v>
      </c>
      <c r="AR180" s="10"/>
      <c r="AS180" s="10">
        <v>1747751.3185169999</v>
      </c>
      <c r="AT180" s="10"/>
      <c r="AU180" s="10"/>
      <c r="AV180" s="10"/>
      <c r="AW180" s="10"/>
      <c r="AX180" s="10"/>
      <c r="AY180" s="10"/>
      <c r="AZ180" s="10"/>
      <c r="BA180" s="10">
        <v>472289.20809999999</v>
      </c>
      <c r="BB180" s="10"/>
      <c r="BC180" s="10"/>
      <c r="BD180" s="10">
        <v>0</v>
      </c>
      <c r="BE180" s="10"/>
      <c r="BF180" s="10"/>
      <c r="BG180" s="10">
        <v>15041.905360000001</v>
      </c>
      <c r="BH180" s="10"/>
      <c r="BI180" s="10"/>
      <c r="BJ180" s="10">
        <v>0</v>
      </c>
      <c r="BK180" s="10">
        <v>192398.63071</v>
      </c>
      <c r="BL180" s="10">
        <v>67616.792820000002</v>
      </c>
      <c r="BM180" s="10"/>
      <c r="BN180" s="10"/>
      <c r="BO180" s="10"/>
      <c r="BP180" s="10"/>
      <c r="BQ180" s="10"/>
      <c r="BR180" s="10">
        <v>0</v>
      </c>
      <c r="BS180" s="10">
        <v>0</v>
      </c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</row>
    <row r="181" spans="1:113" x14ac:dyDescent="0.35">
      <c r="A181" s="8">
        <v>46009</v>
      </c>
      <c r="B181" s="9">
        <v>361226591.89668298</v>
      </c>
      <c r="C181" s="10"/>
      <c r="D181" s="10">
        <v>2836211.30284</v>
      </c>
      <c r="E181" s="10">
        <v>233984959.70109999</v>
      </c>
      <c r="F181" s="10"/>
      <c r="G181" s="10"/>
      <c r="H181" s="10">
        <v>2753490.1071000001</v>
      </c>
      <c r="I181" s="10">
        <v>0</v>
      </c>
      <c r="J181" s="10">
        <v>14775240.649769999</v>
      </c>
      <c r="K181" s="10">
        <v>0</v>
      </c>
      <c r="L181" s="10">
        <v>35514570.780230001</v>
      </c>
      <c r="M181" s="10">
        <v>1109985.5312699999</v>
      </c>
      <c r="N181" s="10">
        <v>3396005.4776170002</v>
      </c>
      <c r="O181" s="10"/>
      <c r="P181" s="10"/>
      <c r="Q181" s="10">
        <v>8161797.2170000002</v>
      </c>
      <c r="R181" s="10"/>
      <c r="S181" s="10"/>
      <c r="T181" s="10">
        <v>7967336.9050599998</v>
      </c>
      <c r="U181" s="10">
        <v>10441015.671569999</v>
      </c>
      <c r="V181" s="10">
        <v>0</v>
      </c>
      <c r="W181" s="10">
        <v>9208980.1343399994</v>
      </c>
      <c r="X181" s="10"/>
      <c r="Y181" s="10">
        <v>11065661.90289</v>
      </c>
      <c r="Z181" s="10">
        <v>1326581.04901</v>
      </c>
      <c r="AA181" s="10"/>
      <c r="AB181" s="10">
        <v>3877639.86112</v>
      </c>
      <c r="AC181" s="10">
        <v>3636568.1528500002</v>
      </c>
      <c r="AD181" s="10"/>
      <c r="AE181" s="10"/>
      <c r="AF181" s="10">
        <v>1196500.4655200001</v>
      </c>
      <c r="AG181" s="10">
        <v>0</v>
      </c>
      <c r="AH181" s="10">
        <v>2460992.2683100002</v>
      </c>
      <c r="AI181" s="10">
        <v>4270125.6487600002</v>
      </c>
      <c r="AJ181" s="10"/>
      <c r="AK181" s="10">
        <v>0</v>
      </c>
      <c r="AL181" s="10"/>
      <c r="AM181" s="10"/>
      <c r="AN181" s="10">
        <v>0</v>
      </c>
      <c r="AO181" s="10"/>
      <c r="AP181" s="10"/>
      <c r="AQ181" s="10">
        <v>838533.271052</v>
      </c>
      <c r="AR181" s="10"/>
      <c r="AS181" s="10">
        <v>1707294.701194</v>
      </c>
      <c r="AT181" s="10"/>
      <c r="AU181" s="10"/>
      <c r="AV181" s="10"/>
      <c r="AW181" s="10"/>
      <c r="AX181" s="10"/>
      <c r="AY181" s="10"/>
      <c r="AZ181" s="10"/>
      <c r="BA181" s="10">
        <v>448056.03830000001</v>
      </c>
      <c r="BB181" s="10"/>
      <c r="BC181" s="10"/>
      <c r="BD181" s="10">
        <v>0</v>
      </c>
      <c r="BE181" s="10"/>
      <c r="BF181" s="10"/>
      <c r="BG181" s="10">
        <v>40702.17755</v>
      </c>
      <c r="BH181" s="10"/>
      <c r="BI181" s="10"/>
      <c r="BJ181" s="10">
        <v>0</v>
      </c>
      <c r="BK181" s="10">
        <v>81985.556299999997</v>
      </c>
      <c r="BL181" s="10">
        <v>126357.32593000001</v>
      </c>
      <c r="BM181" s="10"/>
      <c r="BN181" s="10"/>
      <c r="BO181" s="10"/>
      <c r="BP181" s="10"/>
      <c r="BQ181" s="10"/>
      <c r="BR181" s="10">
        <v>0</v>
      </c>
      <c r="BS181" s="10">
        <v>0</v>
      </c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</row>
    <row r="182" spans="1:113" x14ac:dyDescent="0.35">
      <c r="A182" s="8">
        <v>46008</v>
      </c>
      <c r="B182" s="9">
        <v>363428066.41293299</v>
      </c>
      <c r="C182" s="10"/>
      <c r="D182" s="10">
        <v>516243.78970000002</v>
      </c>
      <c r="E182" s="10">
        <v>215229571.77779999</v>
      </c>
      <c r="F182" s="10"/>
      <c r="G182" s="10"/>
      <c r="H182" s="10">
        <v>1275188.5478000001</v>
      </c>
      <c r="I182" s="10">
        <v>0</v>
      </c>
      <c r="J182" s="10">
        <v>21555035.052200001</v>
      </c>
      <c r="K182" s="10">
        <v>0</v>
      </c>
      <c r="L182" s="10">
        <v>45628674.551540002</v>
      </c>
      <c r="M182" s="10">
        <v>887827.66535000002</v>
      </c>
      <c r="N182" s="10">
        <v>3542416.0587610002</v>
      </c>
      <c r="O182" s="10"/>
      <c r="P182" s="10"/>
      <c r="Q182" s="10">
        <v>11081307.84378</v>
      </c>
      <c r="R182" s="10"/>
      <c r="S182" s="10"/>
      <c r="T182" s="10">
        <v>10526245.86696</v>
      </c>
      <c r="U182" s="10">
        <v>5839921.7511900002</v>
      </c>
      <c r="V182" s="10">
        <v>0</v>
      </c>
      <c r="W182" s="10">
        <v>10528418.496440001</v>
      </c>
      <c r="X182" s="10"/>
      <c r="Y182" s="10">
        <v>10906847.943229999</v>
      </c>
      <c r="Z182" s="10">
        <v>2176023.878</v>
      </c>
      <c r="AA182" s="10"/>
      <c r="AB182" s="10">
        <v>4901309.5012499997</v>
      </c>
      <c r="AC182" s="10">
        <v>5963914.6785300002</v>
      </c>
      <c r="AD182" s="10"/>
      <c r="AE182" s="10"/>
      <c r="AF182" s="10">
        <v>1861945.8964800001</v>
      </c>
      <c r="AG182" s="10">
        <v>0</v>
      </c>
      <c r="AH182" s="10">
        <v>4430022.2470399998</v>
      </c>
      <c r="AI182" s="10">
        <v>2721217.9170599999</v>
      </c>
      <c r="AJ182" s="10"/>
      <c r="AK182" s="10">
        <v>0</v>
      </c>
      <c r="AL182" s="10"/>
      <c r="AM182" s="10"/>
      <c r="AN182" s="10">
        <v>0</v>
      </c>
      <c r="AO182" s="10"/>
      <c r="AP182" s="10"/>
      <c r="AQ182" s="10">
        <v>1249507.8008030001</v>
      </c>
      <c r="AR182" s="10"/>
      <c r="AS182" s="10">
        <v>2090281.519049</v>
      </c>
      <c r="AT182" s="10"/>
      <c r="AU182" s="10"/>
      <c r="AV182" s="10"/>
      <c r="AW182" s="10"/>
      <c r="AX182" s="10"/>
      <c r="AY182" s="10"/>
      <c r="AZ182" s="10"/>
      <c r="BA182" s="10">
        <v>250291.05559999999</v>
      </c>
      <c r="BB182" s="10"/>
      <c r="BC182" s="10"/>
      <c r="BD182" s="10">
        <v>0</v>
      </c>
      <c r="BE182" s="10"/>
      <c r="BF182" s="10"/>
      <c r="BG182" s="10">
        <v>56264.894379999998</v>
      </c>
      <c r="BH182" s="10"/>
      <c r="BI182" s="10"/>
      <c r="BJ182" s="10">
        <v>0</v>
      </c>
      <c r="BK182" s="10">
        <v>157986.54128999999</v>
      </c>
      <c r="BL182" s="10">
        <v>51601.138700000003</v>
      </c>
      <c r="BM182" s="10"/>
      <c r="BN182" s="10"/>
      <c r="BO182" s="10"/>
      <c r="BP182" s="10"/>
      <c r="BQ182" s="10"/>
      <c r="BR182" s="10"/>
      <c r="BS182" s="10">
        <v>0</v>
      </c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</row>
    <row r="183" spans="1:113" x14ac:dyDescent="0.35">
      <c r="A183" s="8">
        <v>46007</v>
      </c>
      <c r="B183" s="9">
        <v>360021218.611211</v>
      </c>
      <c r="C183" s="10"/>
      <c r="D183" s="10">
        <v>0</v>
      </c>
      <c r="E183" s="10">
        <v>247215705.38769999</v>
      </c>
      <c r="F183" s="10"/>
      <c r="G183" s="10"/>
      <c r="H183" s="10">
        <v>1458054.6591</v>
      </c>
      <c r="I183" s="10">
        <v>0</v>
      </c>
      <c r="J183" s="10">
        <v>12704184.17747</v>
      </c>
      <c r="K183" s="10">
        <v>0</v>
      </c>
      <c r="L183" s="10">
        <v>46270322.57271</v>
      </c>
      <c r="M183" s="10">
        <v>980023.34222999995</v>
      </c>
      <c r="N183" s="10">
        <v>4401100.2550320001</v>
      </c>
      <c r="O183" s="10"/>
      <c r="P183" s="10"/>
      <c r="Q183" s="10">
        <v>7814384.6394199999</v>
      </c>
      <c r="R183" s="10"/>
      <c r="S183" s="10"/>
      <c r="T183" s="10">
        <v>6725638.6720700003</v>
      </c>
      <c r="U183" s="10">
        <v>4555775.7924499996</v>
      </c>
      <c r="V183" s="10">
        <v>0</v>
      </c>
      <c r="W183" s="10">
        <v>4712031.3898099996</v>
      </c>
      <c r="X183" s="10"/>
      <c r="Y183" s="10">
        <v>8433740.0641099997</v>
      </c>
      <c r="Z183" s="10">
        <v>1633290.6334599999</v>
      </c>
      <c r="AA183" s="10"/>
      <c r="AB183" s="10">
        <v>2134913.5777799999</v>
      </c>
      <c r="AC183" s="10">
        <v>4377744.1877499996</v>
      </c>
      <c r="AD183" s="10"/>
      <c r="AE183" s="10"/>
      <c r="AF183" s="10">
        <v>1191078.39329</v>
      </c>
      <c r="AG183" s="10">
        <v>0</v>
      </c>
      <c r="AH183" s="10">
        <v>1939068.29247</v>
      </c>
      <c r="AI183" s="10">
        <v>1580368.87677</v>
      </c>
      <c r="AJ183" s="10"/>
      <c r="AK183" s="10">
        <v>0</v>
      </c>
      <c r="AL183" s="10"/>
      <c r="AM183" s="10"/>
      <c r="AN183" s="10">
        <v>0</v>
      </c>
      <c r="AO183" s="10"/>
      <c r="AP183" s="10"/>
      <c r="AQ183" s="10">
        <v>664723.66129399999</v>
      </c>
      <c r="AR183" s="10"/>
      <c r="AS183" s="10">
        <v>1035641.311705</v>
      </c>
      <c r="AT183" s="10"/>
      <c r="AU183" s="10"/>
      <c r="AV183" s="10"/>
      <c r="AW183" s="10"/>
      <c r="AX183" s="10"/>
      <c r="AY183" s="10"/>
      <c r="AZ183" s="10"/>
      <c r="BA183" s="10">
        <v>57463.430200000003</v>
      </c>
      <c r="BB183" s="10"/>
      <c r="BC183" s="10"/>
      <c r="BD183" s="10">
        <v>0</v>
      </c>
      <c r="BE183" s="10"/>
      <c r="BF183" s="10"/>
      <c r="BG183" s="10">
        <v>26223.364750000001</v>
      </c>
      <c r="BH183" s="10"/>
      <c r="BI183" s="10"/>
      <c r="BJ183" s="10">
        <v>0</v>
      </c>
      <c r="BK183" s="10">
        <v>70659.942670000004</v>
      </c>
      <c r="BL183" s="10">
        <v>39081.986969999998</v>
      </c>
      <c r="BM183" s="10"/>
      <c r="BN183" s="10"/>
      <c r="BO183" s="10"/>
      <c r="BP183" s="10"/>
      <c r="BQ183" s="10"/>
      <c r="BR183" s="10"/>
      <c r="BS183" s="10">
        <v>0</v>
      </c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</row>
    <row r="184" spans="1:113" x14ac:dyDescent="0.35">
      <c r="A184" s="8">
        <v>46006</v>
      </c>
      <c r="B184" s="9">
        <v>326590007.54209799</v>
      </c>
      <c r="C184" s="10"/>
      <c r="D184" s="10">
        <v>0</v>
      </c>
      <c r="E184" s="10">
        <v>228240701.73989999</v>
      </c>
      <c r="F184" s="10"/>
      <c r="G184" s="10"/>
      <c r="H184" s="10">
        <v>898403.52769999998</v>
      </c>
      <c r="I184" s="10">
        <v>0</v>
      </c>
      <c r="J184" s="10">
        <v>16700140.24381</v>
      </c>
      <c r="K184" s="10">
        <v>0</v>
      </c>
      <c r="L184" s="10">
        <v>33424018.03136</v>
      </c>
      <c r="M184" s="10">
        <v>1833341.26712</v>
      </c>
      <c r="N184" s="10">
        <v>935760.40908899996</v>
      </c>
      <c r="O184" s="10"/>
      <c r="P184" s="10"/>
      <c r="Q184" s="10">
        <v>4018174.3203799999</v>
      </c>
      <c r="R184" s="10"/>
      <c r="S184" s="10"/>
      <c r="T184" s="10">
        <v>6293968.6279100003</v>
      </c>
      <c r="U184" s="10">
        <v>5675978.3364700004</v>
      </c>
      <c r="V184" s="10">
        <v>0</v>
      </c>
      <c r="W184" s="10">
        <v>5634414.6319599999</v>
      </c>
      <c r="X184" s="10"/>
      <c r="Y184" s="10">
        <v>7664916.2951699998</v>
      </c>
      <c r="Z184" s="10">
        <v>979828.22508</v>
      </c>
      <c r="AA184" s="10"/>
      <c r="AB184" s="10">
        <v>4178742.2678999999</v>
      </c>
      <c r="AC184" s="10">
        <v>3763583.2561400002</v>
      </c>
      <c r="AD184" s="10"/>
      <c r="AE184" s="10"/>
      <c r="AF184" s="10">
        <v>1121851.4983699999</v>
      </c>
      <c r="AG184" s="10">
        <v>0</v>
      </c>
      <c r="AH184" s="10">
        <v>1862808.5682699999</v>
      </c>
      <c r="AI184" s="10">
        <v>1629111.9274800001</v>
      </c>
      <c r="AJ184" s="10"/>
      <c r="AK184" s="10"/>
      <c r="AL184" s="10"/>
      <c r="AM184" s="10"/>
      <c r="AN184" s="10">
        <v>0</v>
      </c>
      <c r="AO184" s="10"/>
      <c r="AP184" s="10"/>
      <c r="AQ184" s="10">
        <v>717445.11474300001</v>
      </c>
      <c r="AR184" s="10"/>
      <c r="AS184" s="10">
        <v>684203.79414599994</v>
      </c>
      <c r="AT184" s="10"/>
      <c r="AU184" s="10"/>
      <c r="AV184" s="10"/>
      <c r="AW184" s="10"/>
      <c r="AX184" s="10"/>
      <c r="AY184" s="10"/>
      <c r="AZ184" s="10"/>
      <c r="BA184" s="10">
        <v>0</v>
      </c>
      <c r="BB184" s="10"/>
      <c r="BC184" s="10"/>
      <c r="BD184" s="10">
        <v>0</v>
      </c>
      <c r="BE184" s="10"/>
      <c r="BF184" s="10"/>
      <c r="BG184" s="10">
        <v>18613.64214</v>
      </c>
      <c r="BH184" s="10"/>
      <c r="BI184" s="10"/>
      <c r="BJ184" s="10">
        <v>0</v>
      </c>
      <c r="BK184" s="10">
        <v>269801.47759000002</v>
      </c>
      <c r="BL184" s="10">
        <v>44200.339370000002</v>
      </c>
      <c r="BM184" s="10"/>
      <c r="BN184" s="10"/>
      <c r="BO184" s="10"/>
      <c r="BP184" s="10"/>
      <c r="BQ184" s="10"/>
      <c r="BR184" s="10"/>
      <c r="BS184" s="10">
        <v>0</v>
      </c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</row>
    <row r="185" spans="1:113" x14ac:dyDescent="0.35">
      <c r="A185" s="8">
        <v>46005</v>
      </c>
      <c r="B185" s="9">
        <v>117877363.818434</v>
      </c>
      <c r="C185" s="10"/>
      <c r="D185" s="10">
        <v>0</v>
      </c>
      <c r="E185" s="10">
        <v>106209800.5404</v>
      </c>
      <c r="F185" s="10"/>
      <c r="G185" s="10"/>
      <c r="H185" s="10">
        <v>136705.98550000001</v>
      </c>
      <c r="I185" s="10">
        <v>0</v>
      </c>
      <c r="J185" s="10">
        <v>3769154.9245099998</v>
      </c>
      <c r="K185" s="10">
        <v>0</v>
      </c>
      <c r="L185" s="10">
        <v>2414256.49767</v>
      </c>
      <c r="M185" s="10">
        <v>78353.467170000004</v>
      </c>
      <c r="N185" s="10">
        <v>2769.9541800000002</v>
      </c>
      <c r="O185" s="10"/>
      <c r="P185" s="10"/>
      <c r="Q185" s="10">
        <v>1016137.98602</v>
      </c>
      <c r="R185" s="10"/>
      <c r="S185" s="10"/>
      <c r="T185" s="10">
        <v>605902.59134000004</v>
      </c>
      <c r="U185" s="10">
        <v>742032.44198999996</v>
      </c>
      <c r="V185" s="10">
        <v>0</v>
      </c>
      <c r="W185" s="10">
        <v>426191.0392</v>
      </c>
      <c r="X185" s="10"/>
      <c r="Y185" s="10">
        <v>299252.76483</v>
      </c>
      <c r="Z185" s="10">
        <v>53768.664929999999</v>
      </c>
      <c r="AA185" s="10"/>
      <c r="AB185" s="10">
        <v>130194.81495</v>
      </c>
      <c r="AC185" s="10">
        <v>108236.99124</v>
      </c>
      <c r="AD185" s="10"/>
      <c r="AE185" s="10"/>
      <c r="AF185" s="10">
        <v>56943.131840000002</v>
      </c>
      <c r="AG185" s="10">
        <v>0</v>
      </c>
      <c r="AH185" s="10">
        <v>328098.60279999999</v>
      </c>
      <c r="AI185" s="10">
        <v>390594.07608000003</v>
      </c>
      <c r="AJ185" s="10"/>
      <c r="AK185" s="10"/>
      <c r="AL185" s="10"/>
      <c r="AM185" s="10"/>
      <c r="AN185" s="10">
        <v>0</v>
      </c>
      <c r="AO185" s="10"/>
      <c r="AP185" s="10"/>
      <c r="AQ185" s="10">
        <v>260622.90989000001</v>
      </c>
      <c r="AR185" s="10"/>
      <c r="AS185" s="10">
        <v>178055.26524400001</v>
      </c>
      <c r="AT185" s="10"/>
      <c r="AU185" s="10"/>
      <c r="AV185" s="10"/>
      <c r="AW185" s="10"/>
      <c r="AX185" s="10"/>
      <c r="AY185" s="10"/>
      <c r="AZ185" s="10"/>
      <c r="BA185" s="10">
        <v>0</v>
      </c>
      <c r="BB185" s="10"/>
      <c r="BC185" s="10"/>
      <c r="BD185" s="10">
        <v>0</v>
      </c>
      <c r="BE185" s="10"/>
      <c r="BF185" s="10"/>
      <c r="BG185" s="10">
        <v>38832.65178</v>
      </c>
      <c r="BH185" s="10"/>
      <c r="BI185" s="10"/>
      <c r="BJ185" s="10">
        <v>0</v>
      </c>
      <c r="BK185" s="10">
        <v>76592.557769999999</v>
      </c>
      <c r="BL185" s="10">
        <v>554865.95909999998</v>
      </c>
      <c r="BM185" s="10"/>
      <c r="BN185" s="10"/>
      <c r="BO185" s="10"/>
      <c r="BP185" s="10"/>
      <c r="BQ185" s="10"/>
      <c r="BR185" s="10"/>
      <c r="BS185" s="10">
        <v>0</v>
      </c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</row>
    <row r="186" spans="1:113" x14ac:dyDescent="0.35">
      <c r="A186" s="8">
        <v>46004</v>
      </c>
      <c r="B186" s="9">
        <v>38077008.841935001</v>
      </c>
      <c r="C186" s="10"/>
      <c r="D186" s="10">
        <v>0</v>
      </c>
      <c r="E186" s="10">
        <v>31251874.820099998</v>
      </c>
      <c r="F186" s="10"/>
      <c r="G186" s="10"/>
      <c r="H186" s="10">
        <v>196812.4088</v>
      </c>
      <c r="I186" s="10">
        <v>0</v>
      </c>
      <c r="J186" s="10">
        <v>1384844.17193</v>
      </c>
      <c r="K186" s="10">
        <v>0</v>
      </c>
      <c r="L186" s="10">
        <v>1363239.4035</v>
      </c>
      <c r="M186" s="10">
        <v>227535.52648</v>
      </c>
      <c r="N186" s="10">
        <v>83787.847070000003</v>
      </c>
      <c r="O186" s="10"/>
      <c r="P186" s="10"/>
      <c r="Q186" s="10">
        <v>477026.28382000001</v>
      </c>
      <c r="R186" s="10"/>
      <c r="S186" s="10"/>
      <c r="T186" s="10">
        <v>257021.32131999999</v>
      </c>
      <c r="U186" s="10">
        <v>129307.21526</v>
      </c>
      <c r="V186" s="10">
        <v>0</v>
      </c>
      <c r="W186" s="10">
        <v>779537.39942999999</v>
      </c>
      <c r="X186" s="10"/>
      <c r="Y186" s="10">
        <v>366429.82844000001</v>
      </c>
      <c r="Z186" s="10">
        <v>206990.69795</v>
      </c>
      <c r="AA186" s="10"/>
      <c r="AB186" s="10">
        <v>117882.00662</v>
      </c>
      <c r="AC186" s="10">
        <v>99152.829769999997</v>
      </c>
      <c r="AD186" s="10"/>
      <c r="AE186" s="10"/>
      <c r="AF186" s="10">
        <v>87673.613800000006</v>
      </c>
      <c r="AG186" s="10">
        <v>0</v>
      </c>
      <c r="AH186" s="10">
        <v>383234.19202000002</v>
      </c>
      <c r="AI186" s="10">
        <v>98427.896519999995</v>
      </c>
      <c r="AJ186" s="10"/>
      <c r="AK186" s="10"/>
      <c r="AL186" s="10"/>
      <c r="AM186" s="10"/>
      <c r="AN186" s="10">
        <v>0</v>
      </c>
      <c r="AO186" s="10"/>
      <c r="AP186" s="10"/>
      <c r="AQ186" s="10">
        <v>25868.755671999999</v>
      </c>
      <c r="AR186" s="10"/>
      <c r="AS186" s="10">
        <v>358872.51172299997</v>
      </c>
      <c r="AT186" s="10"/>
      <c r="AU186" s="10"/>
      <c r="AV186" s="10"/>
      <c r="AW186" s="10"/>
      <c r="AX186" s="10"/>
      <c r="AY186" s="10"/>
      <c r="AZ186" s="10"/>
      <c r="BA186" s="10">
        <v>0</v>
      </c>
      <c r="BB186" s="10"/>
      <c r="BC186" s="10"/>
      <c r="BD186" s="10">
        <v>0</v>
      </c>
      <c r="BE186" s="10"/>
      <c r="BF186" s="10"/>
      <c r="BG186" s="10">
        <v>9976.5719100000006</v>
      </c>
      <c r="BH186" s="10"/>
      <c r="BI186" s="10"/>
      <c r="BJ186" s="10"/>
      <c r="BK186" s="10">
        <v>159468.38136</v>
      </c>
      <c r="BL186" s="10">
        <v>12045.158439999999</v>
      </c>
      <c r="BM186" s="10"/>
      <c r="BN186" s="10"/>
      <c r="BO186" s="10"/>
      <c r="BP186" s="10"/>
      <c r="BQ186" s="10"/>
      <c r="BR186" s="10"/>
      <c r="BS186" s="10">
        <v>0</v>
      </c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</row>
    <row r="187" spans="1:113" x14ac:dyDescent="0.35">
      <c r="A187" s="8">
        <v>46003</v>
      </c>
      <c r="B187" s="9">
        <v>484076215.84487998</v>
      </c>
      <c r="C187" s="10"/>
      <c r="D187" s="10">
        <v>0</v>
      </c>
      <c r="E187" s="10">
        <v>351661125.32179999</v>
      </c>
      <c r="F187" s="10"/>
      <c r="G187" s="10"/>
      <c r="H187" s="10">
        <v>487154.4901</v>
      </c>
      <c r="I187" s="10">
        <v>0</v>
      </c>
      <c r="J187" s="10">
        <v>27146004.462699998</v>
      </c>
      <c r="K187" s="10">
        <v>0</v>
      </c>
      <c r="L187" s="10">
        <v>21179564.76605</v>
      </c>
      <c r="M187" s="10">
        <v>1639204.2001100001</v>
      </c>
      <c r="N187" s="10">
        <v>1073935.0277199999</v>
      </c>
      <c r="O187" s="10"/>
      <c r="P187" s="10"/>
      <c r="Q187" s="10">
        <v>13019433.84739</v>
      </c>
      <c r="R187" s="10"/>
      <c r="S187" s="10"/>
      <c r="T187" s="10">
        <v>15894554.395850001</v>
      </c>
      <c r="U187" s="10">
        <v>4290185.3392500002</v>
      </c>
      <c r="V187" s="10">
        <v>0</v>
      </c>
      <c r="W187" s="10">
        <v>10835946.55549</v>
      </c>
      <c r="X187" s="10"/>
      <c r="Y187" s="10">
        <v>12284192.25759</v>
      </c>
      <c r="Z187" s="10">
        <v>3314641.8085099999</v>
      </c>
      <c r="AA187" s="10"/>
      <c r="AB187" s="10">
        <v>7352356.30669</v>
      </c>
      <c r="AC187" s="10">
        <v>3040999.7223700001</v>
      </c>
      <c r="AD187" s="10"/>
      <c r="AE187" s="10"/>
      <c r="AF187" s="10">
        <v>2144447.74553</v>
      </c>
      <c r="AG187" s="10"/>
      <c r="AH187" s="10">
        <v>4486024.4931899998</v>
      </c>
      <c r="AI187" s="10">
        <v>1638958.7505999999</v>
      </c>
      <c r="AJ187" s="10"/>
      <c r="AK187" s="10"/>
      <c r="AL187" s="10"/>
      <c r="AM187" s="10"/>
      <c r="AN187" s="10">
        <v>0</v>
      </c>
      <c r="AO187" s="10"/>
      <c r="AP187" s="10"/>
      <c r="AQ187" s="10">
        <v>1515609.506824</v>
      </c>
      <c r="AR187" s="10"/>
      <c r="AS187" s="10">
        <v>849951.67123600002</v>
      </c>
      <c r="AT187" s="10"/>
      <c r="AU187" s="10"/>
      <c r="AV187" s="10"/>
      <c r="AW187" s="10"/>
      <c r="AX187" s="10"/>
      <c r="AY187" s="10"/>
      <c r="AZ187" s="10"/>
      <c r="BA187" s="10">
        <v>0</v>
      </c>
      <c r="BB187" s="10"/>
      <c r="BC187" s="10"/>
      <c r="BD187" s="10">
        <v>0</v>
      </c>
      <c r="BE187" s="10"/>
      <c r="BF187" s="10"/>
      <c r="BG187" s="10">
        <v>18746.904579999999</v>
      </c>
      <c r="BH187" s="10"/>
      <c r="BI187" s="10"/>
      <c r="BJ187" s="10"/>
      <c r="BK187" s="10">
        <v>121988.10012</v>
      </c>
      <c r="BL187" s="10">
        <v>81190.171180000005</v>
      </c>
      <c r="BM187" s="10"/>
      <c r="BN187" s="10"/>
      <c r="BO187" s="10"/>
      <c r="BP187" s="10"/>
      <c r="BQ187" s="10"/>
      <c r="BR187" s="10"/>
      <c r="BS187" s="10">
        <v>0</v>
      </c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</row>
    <row r="188" spans="1:113" x14ac:dyDescent="0.35">
      <c r="A188" s="8">
        <v>46002</v>
      </c>
      <c r="B188" s="9">
        <v>447308328.344203</v>
      </c>
      <c r="C188" s="10"/>
      <c r="D188" s="10">
        <v>0</v>
      </c>
      <c r="E188" s="10">
        <v>313310884.5837</v>
      </c>
      <c r="F188" s="10"/>
      <c r="G188" s="10"/>
      <c r="H188" s="10">
        <v>0</v>
      </c>
      <c r="I188" s="10">
        <v>0</v>
      </c>
      <c r="J188" s="10">
        <v>29175921.223069999</v>
      </c>
      <c r="K188" s="10">
        <v>0</v>
      </c>
      <c r="L188" s="10">
        <v>15300934.816059999</v>
      </c>
      <c r="M188" s="10">
        <v>811042.03128</v>
      </c>
      <c r="N188" s="10">
        <v>660560.39344000001</v>
      </c>
      <c r="O188" s="10"/>
      <c r="P188" s="10"/>
      <c r="Q188" s="10">
        <v>15757751.805919999</v>
      </c>
      <c r="R188" s="10"/>
      <c r="S188" s="10"/>
      <c r="T188" s="10">
        <v>13200447.30187</v>
      </c>
      <c r="U188" s="10">
        <v>5455562.2977200001</v>
      </c>
      <c r="V188" s="10">
        <v>0</v>
      </c>
      <c r="W188" s="10">
        <v>10367056.047979999</v>
      </c>
      <c r="X188" s="10"/>
      <c r="Y188" s="10">
        <v>15130198.85626</v>
      </c>
      <c r="Z188" s="10">
        <v>1663002.53437</v>
      </c>
      <c r="AA188" s="10"/>
      <c r="AB188" s="10">
        <v>9467860.0237600002</v>
      </c>
      <c r="AC188" s="10">
        <v>5114134.0091599999</v>
      </c>
      <c r="AD188" s="10"/>
      <c r="AE188" s="10"/>
      <c r="AF188" s="10">
        <v>4054560.8373799999</v>
      </c>
      <c r="AG188" s="10"/>
      <c r="AH188" s="10">
        <v>4481953.5263799997</v>
      </c>
      <c r="AI188" s="10">
        <v>1286157.79403</v>
      </c>
      <c r="AJ188" s="10"/>
      <c r="AK188" s="10"/>
      <c r="AL188" s="10"/>
      <c r="AM188" s="10"/>
      <c r="AN188" s="10">
        <v>0</v>
      </c>
      <c r="AO188" s="10"/>
      <c r="AP188" s="10"/>
      <c r="AQ188" s="10">
        <v>817677.58960299997</v>
      </c>
      <c r="AR188" s="10"/>
      <c r="AS188" s="10">
        <v>1005243.65547</v>
      </c>
      <c r="AT188" s="10"/>
      <c r="AU188" s="10"/>
      <c r="AV188" s="10"/>
      <c r="AW188" s="10"/>
      <c r="AX188" s="10"/>
      <c r="AY188" s="10"/>
      <c r="AZ188" s="10"/>
      <c r="BA188" s="10">
        <v>0</v>
      </c>
      <c r="BB188" s="10"/>
      <c r="BC188" s="10"/>
      <c r="BD188" s="10">
        <v>0</v>
      </c>
      <c r="BE188" s="10"/>
      <c r="BF188" s="10"/>
      <c r="BG188" s="10">
        <v>24521.76987</v>
      </c>
      <c r="BH188" s="10"/>
      <c r="BI188" s="10"/>
      <c r="BJ188" s="10"/>
      <c r="BK188" s="10">
        <v>131004.61709</v>
      </c>
      <c r="BL188" s="10">
        <v>91852.629790000006</v>
      </c>
      <c r="BM188" s="10"/>
      <c r="BN188" s="10"/>
      <c r="BO188" s="10"/>
      <c r="BP188" s="10"/>
      <c r="BQ188" s="10"/>
      <c r="BR188" s="10"/>
      <c r="BS188" s="10">
        <v>0</v>
      </c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</row>
    <row r="189" spans="1:113" x14ac:dyDescent="0.35">
      <c r="A189" s="8">
        <v>46001</v>
      </c>
      <c r="B189" s="9">
        <v>375802840.01191401</v>
      </c>
      <c r="C189" s="10"/>
      <c r="D189" s="10">
        <v>0</v>
      </c>
      <c r="E189" s="10">
        <v>212896947.57969999</v>
      </c>
      <c r="F189" s="10"/>
      <c r="G189" s="10"/>
      <c r="H189" s="10">
        <v>0</v>
      </c>
      <c r="I189" s="10">
        <v>0</v>
      </c>
      <c r="J189" s="10">
        <v>22002974.641309999</v>
      </c>
      <c r="K189" s="10">
        <v>0</v>
      </c>
      <c r="L189" s="10">
        <v>23184303.967900001</v>
      </c>
      <c r="M189" s="10">
        <v>2085203.8114700001</v>
      </c>
      <c r="N189" s="10">
        <v>963712.77422999998</v>
      </c>
      <c r="O189" s="10"/>
      <c r="P189" s="10"/>
      <c r="Q189" s="10">
        <v>17743908.028969999</v>
      </c>
      <c r="R189" s="10"/>
      <c r="S189" s="10"/>
      <c r="T189" s="10">
        <v>10321813.389629999</v>
      </c>
      <c r="U189" s="10">
        <v>9296754.9158500005</v>
      </c>
      <c r="V189" s="10">
        <v>0</v>
      </c>
      <c r="W189" s="10">
        <v>10429569.55384</v>
      </c>
      <c r="X189" s="10"/>
      <c r="Y189" s="10">
        <v>29302729.25519</v>
      </c>
      <c r="Z189" s="10">
        <v>5342209.1629499998</v>
      </c>
      <c r="AA189" s="10"/>
      <c r="AB189" s="10">
        <v>6803510.1778499996</v>
      </c>
      <c r="AC189" s="10">
        <v>8710416.2726600002</v>
      </c>
      <c r="AD189" s="10"/>
      <c r="AE189" s="10"/>
      <c r="AF189" s="10">
        <v>6152069.2640300002</v>
      </c>
      <c r="AG189" s="10"/>
      <c r="AH189" s="10">
        <v>5654215.5268599996</v>
      </c>
      <c r="AI189" s="10">
        <v>2503073.75019</v>
      </c>
      <c r="AJ189" s="10"/>
      <c r="AK189" s="10"/>
      <c r="AL189" s="10"/>
      <c r="AM189" s="10"/>
      <c r="AN189" s="10">
        <v>0</v>
      </c>
      <c r="AO189" s="10"/>
      <c r="AP189" s="10"/>
      <c r="AQ189" s="10">
        <v>742338.04090699996</v>
      </c>
      <c r="AR189" s="10"/>
      <c r="AS189" s="10">
        <v>545876.62832699995</v>
      </c>
      <c r="AT189" s="10"/>
      <c r="AU189" s="10"/>
      <c r="AV189" s="10"/>
      <c r="AW189" s="10"/>
      <c r="AX189" s="10"/>
      <c r="AY189" s="10"/>
      <c r="AZ189" s="10"/>
      <c r="BA189" s="10">
        <v>0</v>
      </c>
      <c r="BB189" s="10"/>
      <c r="BC189" s="10"/>
      <c r="BD189" s="10">
        <v>0</v>
      </c>
      <c r="BE189" s="10"/>
      <c r="BF189" s="10"/>
      <c r="BG189" s="10">
        <v>143281.21402000001</v>
      </c>
      <c r="BH189" s="10"/>
      <c r="BI189" s="10"/>
      <c r="BJ189" s="10"/>
      <c r="BK189" s="10">
        <v>900029.63604999997</v>
      </c>
      <c r="BL189" s="10">
        <v>77902.419980000006</v>
      </c>
      <c r="BM189" s="10"/>
      <c r="BN189" s="10"/>
      <c r="BO189" s="10"/>
      <c r="BP189" s="10"/>
      <c r="BQ189" s="10"/>
      <c r="BR189" s="10"/>
      <c r="BS189" s="10">
        <v>0</v>
      </c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</row>
    <row r="190" spans="1:113" x14ac:dyDescent="0.35">
      <c r="A190" s="8">
        <v>46000</v>
      </c>
      <c r="B190" s="9">
        <v>276945256.19138002</v>
      </c>
      <c r="C190" s="10"/>
      <c r="D190" s="10">
        <v>0</v>
      </c>
      <c r="E190" s="10">
        <v>160661619.40970001</v>
      </c>
      <c r="F190" s="10"/>
      <c r="G190" s="10"/>
      <c r="H190" s="10">
        <v>0</v>
      </c>
      <c r="I190" s="10">
        <v>0</v>
      </c>
      <c r="J190" s="10">
        <v>29742246.721960001</v>
      </c>
      <c r="K190" s="10">
        <v>0</v>
      </c>
      <c r="L190" s="10">
        <v>16611195.962719999</v>
      </c>
      <c r="M190" s="10">
        <v>1680694.44459</v>
      </c>
      <c r="N190" s="10">
        <v>2498063.32657</v>
      </c>
      <c r="O190" s="10"/>
      <c r="P190" s="10"/>
      <c r="Q190" s="10">
        <v>11291731.237679999</v>
      </c>
      <c r="R190" s="10"/>
      <c r="S190" s="10"/>
      <c r="T190" s="10">
        <v>8941210.4500999991</v>
      </c>
      <c r="U190" s="10">
        <v>9986143.2829500008</v>
      </c>
      <c r="V190" s="10">
        <v>0</v>
      </c>
      <c r="W190" s="10">
        <v>8418168.1195999999</v>
      </c>
      <c r="X190" s="10"/>
      <c r="Y190" s="10">
        <v>7801032.64597</v>
      </c>
      <c r="Z190" s="10">
        <v>4038951.4706700002</v>
      </c>
      <c r="AA190" s="10"/>
      <c r="AB190" s="10">
        <v>1246503.5499</v>
      </c>
      <c r="AC190" s="10">
        <v>3313144.8599700001</v>
      </c>
      <c r="AD190" s="10"/>
      <c r="AE190" s="10"/>
      <c r="AF190" s="10">
        <v>2631039.14005</v>
      </c>
      <c r="AG190" s="10"/>
      <c r="AH190" s="10">
        <v>4570582.6769899996</v>
      </c>
      <c r="AI190" s="10">
        <v>2446288.8382199998</v>
      </c>
      <c r="AJ190" s="10"/>
      <c r="AK190" s="10"/>
      <c r="AL190" s="10"/>
      <c r="AM190" s="10"/>
      <c r="AN190" s="10">
        <v>0</v>
      </c>
      <c r="AO190" s="10"/>
      <c r="AP190" s="10"/>
      <c r="AQ190" s="10">
        <v>434696.60739999998</v>
      </c>
      <c r="AR190" s="10"/>
      <c r="AS190" s="10"/>
      <c r="AT190" s="10"/>
      <c r="AU190" s="10"/>
      <c r="AV190" s="10"/>
      <c r="AW190" s="10"/>
      <c r="AX190" s="10"/>
      <c r="AY190" s="10"/>
      <c r="AZ190" s="10"/>
      <c r="BA190" s="10">
        <v>0</v>
      </c>
      <c r="BB190" s="10"/>
      <c r="BC190" s="10"/>
      <c r="BD190" s="10">
        <v>0</v>
      </c>
      <c r="BE190" s="10"/>
      <c r="BF190" s="10"/>
      <c r="BG190" s="10">
        <v>46095.809249999998</v>
      </c>
      <c r="BH190" s="10"/>
      <c r="BI190" s="10"/>
      <c r="BJ190" s="10"/>
      <c r="BK190" s="10">
        <v>458206.99748999998</v>
      </c>
      <c r="BL190" s="10">
        <v>127640.63959999999</v>
      </c>
      <c r="BM190" s="10"/>
      <c r="BN190" s="10"/>
      <c r="BO190" s="10"/>
      <c r="BP190" s="10"/>
      <c r="BQ190" s="10"/>
      <c r="BR190" s="10"/>
      <c r="BS190" s="10">
        <v>0</v>
      </c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</row>
    <row r="191" spans="1:113" x14ac:dyDescent="0.35">
      <c r="A191" s="8">
        <v>45999</v>
      </c>
      <c r="B191" s="9">
        <v>299626957.64181101</v>
      </c>
      <c r="C191" s="10"/>
      <c r="D191" s="10">
        <v>0</v>
      </c>
      <c r="E191" s="10">
        <v>171452427.63139999</v>
      </c>
      <c r="F191" s="10"/>
      <c r="G191" s="10"/>
      <c r="H191" s="10">
        <v>0</v>
      </c>
      <c r="I191" s="10">
        <v>0</v>
      </c>
      <c r="J191" s="10">
        <v>34907016.861060001</v>
      </c>
      <c r="K191" s="10">
        <v>0</v>
      </c>
      <c r="L191" s="10">
        <v>18088283.604049999</v>
      </c>
      <c r="M191" s="10">
        <v>2554981.49933</v>
      </c>
      <c r="N191" s="10">
        <v>2354575.2329899999</v>
      </c>
      <c r="O191" s="10"/>
      <c r="P191" s="10"/>
      <c r="Q191" s="10">
        <v>21647456.114399999</v>
      </c>
      <c r="R191" s="10"/>
      <c r="S191" s="10"/>
      <c r="T191" s="10">
        <v>7661718.6327400003</v>
      </c>
      <c r="U191" s="10">
        <v>5854371.4576700004</v>
      </c>
      <c r="V191" s="10">
        <v>0</v>
      </c>
      <c r="W191" s="10">
        <v>8080476.0675799996</v>
      </c>
      <c r="X191" s="10"/>
      <c r="Y191" s="10">
        <v>5520932.3465900002</v>
      </c>
      <c r="Z191" s="10">
        <v>6282125.5805299999</v>
      </c>
      <c r="AA191" s="10"/>
      <c r="AB191" s="10">
        <v>2073610.03513</v>
      </c>
      <c r="AC191" s="10">
        <v>2965808.2245700001</v>
      </c>
      <c r="AD191" s="10"/>
      <c r="AE191" s="10"/>
      <c r="AF191" s="10">
        <v>4001715.6322400002</v>
      </c>
      <c r="AG191" s="10"/>
      <c r="AH191" s="10">
        <v>3171278.4991899999</v>
      </c>
      <c r="AI191" s="10">
        <v>1953969.9820399999</v>
      </c>
      <c r="AJ191" s="10"/>
      <c r="AK191" s="10"/>
      <c r="AL191" s="10"/>
      <c r="AM191" s="10"/>
      <c r="AN191" s="10"/>
      <c r="AO191" s="10"/>
      <c r="AP191" s="10"/>
      <c r="AQ191" s="10">
        <v>600680.48330099997</v>
      </c>
      <c r="AR191" s="10"/>
      <c r="AS191" s="10"/>
      <c r="AT191" s="10"/>
      <c r="AU191" s="10"/>
      <c r="AV191" s="10"/>
      <c r="AW191" s="10"/>
      <c r="AX191" s="10"/>
      <c r="AY191" s="10"/>
      <c r="AZ191" s="10"/>
      <c r="BA191" s="10">
        <v>0</v>
      </c>
      <c r="BB191" s="10"/>
      <c r="BC191" s="10"/>
      <c r="BD191" s="10">
        <v>0</v>
      </c>
      <c r="BE191" s="10"/>
      <c r="BF191" s="10"/>
      <c r="BG191" s="10">
        <v>64725.800880000003</v>
      </c>
      <c r="BH191" s="10"/>
      <c r="BI191" s="10"/>
      <c r="BJ191" s="10"/>
      <c r="BK191" s="10">
        <v>252302.90080999999</v>
      </c>
      <c r="BL191" s="10">
        <v>138501.05531</v>
      </c>
      <c r="BM191" s="10"/>
      <c r="BN191" s="10"/>
      <c r="BO191" s="10"/>
      <c r="BP191" s="10"/>
      <c r="BQ191" s="10"/>
      <c r="BR191" s="10"/>
      <c r="BS191" s="10">
        <v>0</v>
      </c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</row>
    <row r="192" spans="1:113" x14ac:dyDescent="0.35">
      <c r="A192" s="8">
        <v>45998</v>
      </c>
      <c r="B192" s="9">
        <v>97652775.109549999</v>
      </c>
      <c r="C192" s="10"/>
      <c r="D192" s="10">
        <v>0</v>
      </c>
      <c r="E192" s="10">
        <v>84804222.518600002</v>
      </c>
      <c r="F192" s="10"/>
      <c r="G192" s="10"/>
      <c r="H192" s="10">
        <v>0</v>
      </c>
      <c r="I192" s="10">
        <v>0</v>
      </c>
      <c r="J192" s="10">
        <v>1828075.2241799999</v>
      </c>
      <c r="K192" s="10">
        <v>0</v>
      </c>
      <c r="L192" s="10">
        <v>1292327.4063800001</v>
      </c>
      <c r="M192" s="10">
        <v>184691.12023999999</v>
      </c>
      <c r="N192" s="10">
        <v>130721.19997</v>
      </c>
      <c r="O192" s="10"/>
      <c r="P192" s="10"/>
      <c r="Q192" s="10">
        <v>3098158.1794699999</v>
      </c>
      <c r="R192" s="10"/>
      <c r="S192" s="10"/>
      <c r="T192" s="10">
        <v>952008.20038000005</v>
      </c>
      <c r="U192" s="10">
        <v>1257904.1590700001</v>
      </c>
      <c r="V192" s="10">
        <v>0</v>
      </c>
      <c r="W192" s="10">
        <v>1059204.45199</v>
      </c>
      <c r="X192" s="10"/>
      <c r="Y192" s="10">
        <v>696846.70065999997</v>
      </c>
      <c r="Z192" s="10">
        <v>172924.88933000001</v>
      </c>
      <c r="AA192" s="10"/>
      <c r="AB192" s="10">
        <v>204949.02859</v>
      </c>
      <c r="AC192" s="10">
        <v>395273.90922999999</v>
      </c>
      <c r="AD192" s="10"/>
      <c r="AE192" s="10"/>
      <c r="AF192" s="10">
        <v>380579.30436000001</v>
      </c>
      <c r="AG192" s="10"/>
      <c r="AH192" s="10">
        <v>241893.22356000001</v>
      </c>
      <c r="AI192" s="10">
        <v>200543.57139</v>
      </c>
      <c r="AJ192" s="10"/>
      <c r="AK192" s="10"/>
      <c r="AL192" s="10"/>
      <c r="AM192" s="10"/>
      <c r="AN192" s="10"/>
      <c r="AO192" s="10"/>
      <c r="AP192" s="10"/>
      <c r="AQ192" s="10">
        <v>0</v>
      </c>
      <c r="AR192" s="10"/>
      <c r="AS192" s="10"/>
      <c r="AT192" s="10"/>
      <c r="AU192" s="10"/>
      <c r="AV192" s="10"/>
      <c r="AW192" s="10"/>
      <c r="AX192" s="10"/>
      <c r="AY192" s="10"/>
      <c r="AZ192" s="10"/>
      <c r="BA192" s="10">
        <v>0</v>
      </c>
      <c r="BB192" s="10"/>
      <c r="BC192" s="10"/>
      <c r="BD192" s="10">
        <v>0</v>
      </c>
      <c r="BE192" s="10"/>
      <c r="BF192" s="10"/>
      <c r="BG192" s="10">
        <v>36479.844360000003</v>
      </c>
      <c r="BH192" s="10"/>
      <c r="BI192" s="10"/>
      <c r="BJ192" s="10"/>
      <c r="BK192" s="10">
        <v>557247.73873999994</v>
      </c>
      <c r="BL192" s="10">
        <v>158724.43904999999</v>
      </c>
      <c r="BM192" s="10"/>
      <c r="BN192" s="10"/>
      <c r="BO192" s="10"/>
      <c r="BP192" s="10"/>
      <c r="BQ192" s="10"/>
      <c r="BR192" s="10"/>
      <c r="BS192" s="10">
        <v>0</v>
      </c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</row>
    <row r="193" spans="1:113" x14ac:dyDescent="0.35">
      <c r="A193" s="8">
        <v>45997</v>
      </c>
      <c r="B193" s="9">
        <v>62405394.442489997</v>
      </c>
      <c r="C193" s="10"/>
      <c r="D193" s="10">
        <v>0</v>
      </c>
      <c r="E193" s="10">
        <v>47292494.618199997</v>
      </c>
      <c r="F193" s="10"/>
      <c r="G193" s="10"/>
      <c r="H193" s="10">
        <v>0</v>
      </c>
      <c r="I193" s="10">
        <v>0</v>
      </c>
      <c r="J193" s="10">
        <v>1967732.73083</v>
      </c>
      <c r="K193" s="10">
        <v>0</v>
      </c>
      <c r="L193" s="10">
        <v>2156461.5101299998</v>
      </c>
      <c r="M193" s="10">
        <v>296433.86080999998</v>
      </c>
      <c r="N193" s="10">
        <v>336300.42535999999</v>
      </c>
      <c r="O193" s="10"/>
      <c r="P193" s="10"/>
      <c r="Q193" s="10">
        <v>1755369.7008199999</v>
      </c>
      <c r="R193" s="10"/>
      <c r="S193" s="10"/>
      <c r="T193" s="10">
        <v>543497.07334999996</v>
      </c>
      <c r="U193" s="10">
        <v>1309343.62072</v>
      </c>
      <c r="V193" s="10"/>
      <c r="W193" s="10">
        <v>1425524.03113</v>
      </c>
      <c r="X193" s="10"/>
      <c r="Y193" s="10">
        <v>1099393.47291</v>
      </c>
      <c r="Z193" s="10">
        <v>73520.950419999994</v>
      </c>
      <c r="AA193" s="10"/>
      <c r="AB193" s="10">
        <v>80001.088310000006</v>
      </c>
      <c r="AC193" s="10">
        <v>570599.26074000006</v>
      </c>
      <c r="AD193" s="10"/>
      <c r="AE193" s="10"/>
      <c r="AF193" s="10">
        <v>1227018.30987</v>
      </c>
      <c r="AG193" s="10"/>
      <c r="AH193" s="10">
        <v>413785.45293000003</v>
      </c>
      <c r="AI193" s="10">
        <v>168727.66764999999</v>
      </c>
      <c r="AJ193" s="10"/>
      <c r="AK193" s="10"/>
      <c r="AL193" s="10"/>
      <c r="AM193" s="10"/>
      <c r="AN193" s="10"/>
      <c r="AO193" s="10"/>
      <c r="AP193" s="10"/>
      <c r="AQ193" s="10">
        <v>0</v>
      </c>
      <c r="AR193" s="10"/>
      <c r="AS193" s="10"/>
      <c r="AT193" s="10"/>
      <c r="AU193" s="10"/>
      <c r="AV193" s="10"/>
      <c r="AW193" s="10"/>
      <c r="AX193" s="10"/>
      <c r="AY193" s="10"/>
      <c r="AZ193" s="10"/>
      <c r="BA193" s="10">
        <v>0</v>
      </c>
      <c r="BB193" s="10"/>
      <c r="BC193" s="10"/>
      <c r="BD193" s="10">
        <v>0</v>
      </c>
      <c r="BE193" s="10"/>
      <c r="BF193" s="10"/>
      <c r="BG193" s="10">
        <v>105217.55146</v>
      </c>
      <c r="BH193" s="10"/>
      <c r="BI193" s="10"/>
      <c r="BJ193" s="10"/>
      <c r="BK193" s="10">
        <v>1307022.4887300001</v>
      </c>
      <c r="BL193" s="10">
        <v>276950.62812000001</v>
      </c>
      <c r="BM193" s="10"/>
      <c r="BN193" s="10"/>
      <c r="BO193" s="10"/>
      <c r="BP193" s="10"/>
      <c r="BQ193" s="10"/>
      <c r="BR193" s="10"/>
      <c r="BS193" s="10">
        <v>0</v>
      </c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</row>
    <row r="194" spans="1:113" x14ac:dyDescent="0.35">
      <c r="A194" s="8">
        <v>45996</v>
      </c>
      <c r="B194" s="9">
        <v>341130927.07797998</v>
      </c>
      <c r="C194" s="10"/>
      <c r="D194" s="10">
        <v>0</v>
      </c>
      <c r="E194" s="10">
        <v>187379831.76190001</v>
      </c>
      <c r="F194" s="10"/>
      <c r="G194" s="10"/>
      <c r="H194" s="10">
        <v>0</v>
      </c>
      <c r="I194" s="10">
        <v>0</v>
      </c>
      <c r="J194" s="10">
        <v>16709494.706119999</v>
      </c>
      <c r="K194" s="10">
        <v>0</v>
      </c>
      <c r="L194" s="10">
        <v>28355635.297249999</v>
      </c>
      <c r="M194" s="10">
        <v>1640173.8400099999</v>
      </c>
      <c r="N194" s="10">
        <v>6087406.9075300004</v>
      </c>
      <c r="O194" s="10"/>
      <c r="P194" s="10"/>
      <c r="Q194" s="10">
        <v>15210293.702400001</v>
      </c>
      <c r="R194" s="10"/>
      <c r="S194" s="10"/>
      <c r="T194" s="10">
        <v>10249979.28339</v>
      </c>
      <c r="U194" s="10">
        <v>14000762.66677</v>
      </c>
      <c r="V194" s="10"/>
      <c r="W194" s="10">
        <v>24549256.670910001</v>
      </c>
      <c r="X194" s="10"/>
      <c r="Y194" s="10">
        <v>9871953.0275899991</v>
      </c>
      <c r="Z194" s="10">
        <v>2122435.7481999998</v>
      </c>
      <c r="AA194" s="10"/>
      <c r="AB194" s="10">
        <v>4591799.2142899996</v>
      </c>
      <c r="AC194" s="10">
        <v>5805107.5742499996</v>
      </c>
      <c r="AD194" s="10"/>
      <c r="AE194" s="10"/>
      <c r="AF194" s="10">
        <v>3615598.1876500002</v>
      </c>
      <c r="AG194" s="10"/>
      <c r="AH194" s="10">
        <v>7987167.0033999998</v>
      </c>
      <c r="AI194" s="10">
        <v>1591624.7621200001</v>
      </c>
      <c r="AJ194" s="10"/>
      <c r="AK194" s="10"/>
      <c r="AL194" s="10"/>
      <c r="AM194" s="10"/>
      <c r="AN194" s="10"/>
      <c r="AO194" s="10"/>
      <c r="AP194" s="10"/>
      <c r="AQ194" s="10">
        <v>0</v>
      </c>
      <c r="AR194" s="10"/>
      <c r="AS194" s="10"/>
      <c r="AT194" s="10"/>
      <c r="AU194" s="10"/>
      <c r="AV194" s="10"/>
      <c r="AW194" s="10"/>
      <c r="AX194" s="10"/>
      <c r="AY194" s="10"/>
      <c r="AZ194" s="10"/>
      <c r="BA194" s="10">
        <v>0</v>
      </c>
      <c r="BB194" s="10"/>
      <c r="BC194" s="10"/>
      <c r="BD194" s="10">
        <v>0</v>
      </c>
      <c r="BE194" s="10"/>
      <c r="BF194" s="10"/>
      <c r="BG194" s="10">
        <v>92390.404880000002</v>
      </c>
      <c r="BH194" s="10"/>
      <c r="BI194" s="10"/>
      <c r="BJ194" s="10"/>
      <c r="BK194" s="10">
        <v>1085898.31317</v>
      </c>
      <c r="BL194" s="10">
        <v>184118.00615</v>
      </c>
      <c r="BM194" s="10"/>
      <c r="BN194" s="10"/>
      <c r="BO194" s="10"/>
      <c r="BP194" s="10"/>
      <c r="BQ194" s="10"/>
      <c r="BR194" s="10"/>
      <c r="BS194" s="10">
        <v>0</v>
      </c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</row>
    <row r="195" spans="1:113" x14ac:dyDescent="0.35">
      <c r="A195" s="8">
        <v>45995</v>
      </c>
      <c r="B195" s="9">
        <v>512274286.62979001</v>
      </c>
      <c r="C195" s="10"/>
      <c r="D195" s="10"/>
      <c r="E195" s="10">
        <v>342528961.35659999</v>
      </c>
      <c r="F195" s="10"/>
      <c r="G195" s="10"/>
      <c r="H195" s="10">
        <v>0</v>
      </c>
      <c r="I195" s="10">
        <v>0</v>
      </c>
      <c r="J195" s="10">
        <v>26924458.697390001</v>
      </c>
      <c r="K195" s="10">
        <v>0</v>
      </c>
      <c r="L195" s="10">
        <v>31055897.467580002</v>
      </c>
      <c r="M195" s="10">
        <v>2154135.5679899999</v>
      </c>
      <c r="N195" s="10">
        <v>3814715.78718</v>
      </c>
      <c r="O195" s="10"/>
      <c r="P195" s="10"/>
      <c r="Q195" s="10">
        <v>14320295.50955</v>
      </c>
      <c r="R195" s="10"/>
      <c r="S195" s="10"/>
      <c r="T195" s="10">
        <v>11872521.5328</v>
      </c>
      <c r="U195" s="10">
        <v>11233181.146190001</v>
      </c>
      <c r="V195" s="10"/>
      <c r="W195" s="10">
        <v>14685155.26314</v>
      </c>
      <c r="X195" s="10"/>
      <c r="Y195" s="10">
        <v>11954957.902829999</v>
      </c>
      <c r="Z195" s="10">
        <v>4031368.6160900001</v>
      </c>
      <c r="AA195" s="10"/>
      <c r="AB195" s="10">
        <v>0</v>
      </c>
      <c r="AC195" s="10">
        <v>10634900.70576</v>
      </c>
      <c r="AD195" s="10"/>
      <c r="AE195" s="10"/>
      <c r="AF195" s="10">
        <v>6616449.50825</v>
      </c>
      <c r="AG195" s="10"/>
      <c r="AH195" s="10">
        <v>14171965.88972</v>
      </c>
      <c r="AI195" s="10">
        <v>4348095.8016100004</v>
      </c>
      <c r="AJ195" s="10"/>
      <c r="AK195" s="10"/>
      <c r="AL195" s="10"/>
      <c r="AM195" s="10"/>
      <c r="AN195" s="10"/>
      <c r="AO195" s="10"/>
      <c r="AP195" s="10"/>
      <c r="AQ195" s="10">
        <v>0</v>
      </c>
      <c r="AR195" s="10"/>
      <c r="AS195" s="10"/>
      <c r="AT195" s="10"/>
      <c r="AU195" s="10"/>
      <c r="AV195" s="10"/>
      <c r="AW195" s="10"/>
      <c r="AX195" s="10"/>
      <c r="AY195" s="10"/>
      <c r="AZ195" s="10"/>
      <c r="BA195" s="10">
        <v>0</v>
      </c>
      <c r="BB195" s="10"/>
      <c r="BC195" s="10"/>
      <c r="BD195" s="10">
        <v>0</v>
      </c>
      <c r="BE195" s="10"/>
      <c r="BF195" s="10"/>
      <c r="BG195" s="10">
        <v>545611.60196999996</v>
      </c>
      <c r="BH195" s="10"/>
      <c r="BI195" s="10"/>
      <c r="BJ195" s="10"/>
      <c r="BK195" s="10">
        <v>839090.23017999995</v>
      </c>
      <c r="BL195" s="10">
        <v>542524.04495999997</v>
      </c>
      <c r="BM195" s="10"/>
      <c r="BN195" s="10"/>
      <c r="BO195" s="10"/>
      <c r="BP195" s="10"/>
      <c r="BQ195" s="10"/>
      <c r="BR195" s="10"/>
      <c r="BS195" s="10">
        <v>0</v>
      </c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</row>
    <row r="196" spans="1:113" x14ac:dyDescent="0.35">
      <c r="A196" s="8">
        <v>45994</v>
      </c>
      <c r="B196" s="9">
        <v>408263244.61189002</v>
      </c>
      <c r="C196" s="10"/>
      <c r="D196" s="10"/>
      <c r="E196" s="10">
        <v>244557363.06920001</v>
      </c>
      <c r="F196" s="10"/>
      <c r="G196" s="10"/>
      <c r="H196" s="10">
        <v>0</v>
      </c>
      <c r="I196" s="10">
        <v>0</v>
      </c>
      <c r="J196" s="10">
        <v>38291783.08348</v>
      </c>
      <c r="K196" s="10">
        <v>0</v>
      </c>
      <c r="L196" s="10">
        <v>33290892.000999998</v>
      </c>
      <c r="M196" s="10">
        <v>3319324.5516400002</v>
      </c>
      <c r="N196" s="10">
        <v>3189236.79532</v>
      </c>
      <c r="O196" s="10"/>
      <c r="P196" s="10"/>
      <c r="Q196" s="10">
        <v>18963117.714170001</v>
      </c>
      <c r="R196" s="10"/>
      <c r="S196" s="10"/>
      <c r="T196" s="10">
        <v>9094337.7862999998</v>
      </c>
      <c r="U196" s="10">
        <v>7264774.9596800003</v>
      </c>
      <c r="V196" s="10"/>
      <c r="W196" s="10">
        <v>11744066.01564</v>
      </c>
      <c r="X196" s="10"/>
      <c r="Y196" s="10">
        <v>11553385.40258</v>
      </c>
      <c r="Z196" s="10">
        <v>0</v>
      </c>
      <c r="AA196" s="10"/>
      <c r="AB196" s="10">
        <v>0</v>
      </c>
      <c r="AC196" s="10">
        <v>9727618.7303999998</v>
      </c>
      <c r="AD196" s="10"/>
      <c r="AE196" s="10"/>
      <c r="AF196" s="10">
        <v>6938295.0819300003</v>
      </c>
      <c r="AG196" s="10"/>
      <c r="AH196" s="10">
        <v>3557586.2337400001</v>
      </c>
      <c r="AI196" s="10">
        <v>3727700.0281099998</v>
      </c>
      <c r="AJ196" s="10"/>
      <c r="AK196" s="10"/>
      <c r="AL196" s="10"/>
      <c r="AM196" s="10"/>
      <c r="AN196" s="10"/>
      <c r="AO196" s="10"/>
      <c r="AP196" s="10"/>
      <c r="AQ196" s="10">
        <v>0</v>
      </c>
      <c r="AR196" s="10"/>
      <c r="AS196" s="10"/>
      <c r="AT196" s="10"/>
      <c r="AU196" s="10"/>
      <c r="AV196" s="10"/>
      <c r="AW196" s="10"/>
      <c r="AX196" s="10"/>
      <c r="AY196" s="10"/>
      <c r="AZ196" s="10"/>
      <c r="BA196" s="10">
        <v>0</v>
      </c>
      <c r="BB196" s="10"/>
      <c r="BC196" s="10"/>
      <c r="BD196" s="10">
        <v>0</v>
      </c>
      <c r="BE196" s="10"/>
      <c r="BF196" s="10"/>
      <c r="BG196" s="10">
        <v>991620.74581999995</v>
      </c>
      <c r="BH196" s="10"/>
      <c r="BI196" s="10"/>
      <c r="BJ196" s="10"/>
      <c r="BK196" s="10">
        <v>1071237.2912999999</v>
      </c>
      <c r="BL196" s="10">
        <v>980905.12158000004</v>
      </c>
      <c r="BM196" s="10"/>
      <c r="BN196" s="10"/>
      <c r="BO196" s="10"/>
      <c r="BP196" s="10"/>
      <c r="BQ196" s="10"/>
      <c r="BR196" s="10"/>
      <c r="BS196" s="10">
        <v>0</v>
      </c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</row>
    <row r="197" spans="1:113" x14ac:dyDescent="0.35">
      <c r="A197" s="8">
        <v>45993</v>
      </c>
      <c r="B197" s="9">
        <v>378467062.73337001</v>
      </c>
      <c r="C197" s="10"/>
      <c r="D197" s="10"/>
      <c r="E197" s="10">
        <v>216246087.0526</v>
      </c>
      <c r="F197" s="10"/>
      <c r="G197" s="10"/>
      <c r="H197" s="10">
        <v>0</v>
      </c>
      <c r="I197" s="10">
        <v>0</v>
      </c>
      <c r="J197" s="10">
        <v>43096264.574689999</v>
      </c>
      <c r="K197" s="10">
        <v>0</v>
      </c>
      <c r="L197" s="10">
        <v>24451889.87802</v>
      </c>
      <c r="M197" s="10">
        <v>0</v>
      </c>
      <c r="N197" s="10">
        <v>4859197.4625399997</v>
      </c>
      <c r="O197" s="10"/>
      <c r="P197" s="10"/>
      <c r="Q197" s="10">
        <v>25905568.616280001</v>
      </c>
      <c r="R197" s="10"/>
      <c r="S197" s="10"/>
      <c r="T197" s="10">
        <v>8446571.2031299993</v>
      </c>
      <c r="U197" s="10">
        <v>5220347.7498300001</v>
      </c>
      <c r="V197" s="10"/>
      <c r="W197" s="10">
        <v>10628699.94647</v>
      </c>
      <c r="X197" s="10"/>
      <c r="Y197" s="10">
        <v>12956290.5064</v>
      </c>
      <c r="Z197" s="10">
        <v>0</v>
      </c>
      <c r="AA197" s="10"/>
      <c r="AB197" s="10">
        <v>0</v>
      </c>
      <c r="AC197" s="10">
        <v>13256875.44527</v>
      </c>
      <c r="AD197" s="10"/>
      <c r="AE197" s="10"/>
      <c r="AF197" s="10">
        <v>4067127.2797599998</v>
      </c>
      <c r="AG197" s="10"/>
      <c r="AH197" s="10">
        <v>4500290.7913300004</v>
      </c>
      <c r="AI197" s="10">
        <v>3475586.0396500002</v>
      </c>
      <c r="AJ197" s="10"/>
      <c r="AK197" s="10"/>
      <c r="AL197" s="10"/>
      <c r="AM197" s="10"/>
      <c r="AN197" s="10"/>
      <c r="AO197" s="10"/>
      <c r="AP197" s="10"/>
      <c r="AQ197" s="10">
        <v>0</v>
      </c>
      <c r="AR197" s="10"/>
      <c r="AS197" s="10"/>
      <c r="AT197" s="10"/>
      <c r="AU197" s="10"/>
      <c r="AV197" s="10"/>
      <c r="AW197" s="10"/>
      <c r="AX197" s="10"/>
      <c r="AY197" s="10"/>
      <c r="AZ197" s="10"/>
      <c r="BA197" s="10">
        <v>0</v>
      </c>
      <c r="BB197" s="10"/>
      <c r="BC197" s="10"/>
      <c r="BD197" s="10">
        <v>0</v>
      </c>
      <c r="BE197" s="10"/>
      <c r="BF197" s="10"/>
      <c r="BG197" s="10">
        <v>335109.76530000003</v>
      </c>
      <c r="BH197" s="10"/>
      <c r="BI197" s="10"/>
      <c r="BJ197" s="10"/>
      <c r="BK197" s="10">
        <v>577542.23959999997</v>
      </c>
      <c r="BL197" s="10">
        <v>443614.1825</v>
      </c>
      <c r="BM197" s="10"/>
      <c r="BN197" s="10"/>
      <c r="BO197" s="10"/>
      <c r="BP197" s="10"/>
      <c r="BQ197" s="10"/>
      <c r="BR197" s="10"/>
      <c r="BS197" s="10">
        <v>0</v>
      </c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</row>
    <row r="198" spans="1:113" x14ac:dyDescent="0.35">
      <c r="A198" s="8">
        <v>45992</v>
      </c>
      <c r="B198" s="9">
        <v>401479764.92701</v>
      </c>
      <c r="C198" s="10"/>
      <c r="D198" s="10"/>
      <c r="E198" s="10">
        <v>240306170.38659999</v>
      </c>
      <c r="F198" s="10"/>
      <c r="G198" s="10"/>
      <c r="H198" s="10">
        <v>0</v>
      </c>
      <c r="I198" s="10">
        <v>0</v>
      </c>
      <c r="J198" s="10">
        <v>42386821.11028</v>
      </c>
      <c r="K198" s="10">
        <v>0</v>
      </c>
      <c r="L198" s="10">
        <v>22189882.873989999</v>
      </c>
      <c r="M198" s="10">
        <v>0</v>
      </c>
      <c r="N198" s="10">
        <v>4248389.0306799999</v>
      </c>
      <c r="O198" s="10"/>
      <c r="P198" s="10"/>
      <c r="Q198" s="10">
        <v>35102251.586900003</v>
      </c>
      <c r="R198" s="10"/>
      <c r="S198" s="10"/>
      <c r="T198" s="10">
        <v>10087574.49557</v>
      </c>
      <c r="U198" s="10">
        <v>0</v>
      </c>
      <c r="V198" s="10"/>
      <c r="W198" s="10">
        <v>12659843.36087</v>
      </c>
      <c r="X198" s="10"/>
      <c r="Y198" s="10">
        <v>11390656.991979999</v>
      </c>
      <c r="Z198" s="10">
        <v>0</v>
      </c>
      <c r="AA198" s="10"/>
      <c r="AB198" s="10">
        <v>0</v>
      </c>
      <c r="AC198" s="10">
        <v>9558191.3766600005</v>
      </c>
      <c r="AD198" s="10"/>
      <c r="AE198" s="10"/>
      <c r="AF198" s="10">
        <v>4773392.9510000004</v>
      </c>
      <c r="AG198" s="10"/>
      <c r="AH198" s="10">
        <v>4729788.0421000002</v>
      </c>
      <c r="AI198" s="10">
        <v>3519469.82669</v>
      </c>
      <c r="AJ198" s="10"/>
      <c r="AK198" s="10"/>
      <c r="AL198" s="10"/>
      <c r="AM198" s="10"/>
      <c r="AN198" s="10"/>
      <c r="AO198" s="10"/>
      <c r="AP198" s="10"/>
      <c r="AQ198" s="10">
        <v>0</v>
      </c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>
        <v>0</v>
      </c>
      <c r="BE198" s="10"/>
      <c r="BF198" s="10"/>
      <c r="BG198" s="10">
        <v>81873.838180000006</v>
      </c>
      <c r="BH198" s="10"/>
      <c r="BI198" s="10"/>
      <c r="BJ198" s="10"/>
      <c r="BK198" s="10">
        <v>223225.64056</v>
      </c>
      <c r="BL198" s="10">
        <v>222233.41495000001</v>
      </c>
      <c r="BM198" s="10"/>
      <c r="BN198" s="10"/>
      <c r="BO198" s="10"/>
      <c r="BP198" s="10"/>
      <c r="BQ198" s="10"/>
      <c r="BR198" s="10"/>
      <c r="BS198" s="10">
        <v>0</v>
      </c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</row>
    <row r="199" spans="1:113" x14ac:dyDescent="0.35">
      <c r="A199" s="8">
        <v>45991</v>
      </c>
      <c r="B199" s="9">
        <v>95297743.594620004</v>
      </c>
      <c r="C199" s="10"/>
      <c r="D199" s="10"/>
      <c r="E199" s="10">
        <v>72772885.2852</v>
      </c>
      <c r="F199" s="10"/>
      <c r="G199" s="10"/>
      <c r="H199" s="10">
        <v>0</v>
      </c>
      <c r="I199" s="10">
        <v>0</v>
      </c>
      <c r="J199" s="10">
        <v>2874842.0512799998</v>
      </c>
      <c r="K199" s="10">
        <v>0</v>
      </c>
      <c r="L199" s="10">
        <v>2948311.3725700001</v>
      </c>
      <c r="M199" s="10">
        <v>0</v>
      </c>
      <c r="N199" s="10">
        <v>263467.54414999997</v>
      </c>
      <c r="O199" s="10"/>
      <c r="P199" s="10"/>
      <c r="Q199" s="10">
        <v>6524831.0332500003</v>
      </c>
      <c r="R199" s="10"/>
      <c r="S199" s="10"/>
      <c r="T199" s="10">
        <v>572637.54671999998</v>
      </c>
      <c r="U199" s="10">
        <v>0</v>
      </c>
      <c r="V199" s="10"/>
      <c r="W199" s="10">
        <v>679858.51321</v>
      </c>
      <c r="X199" s="10"/>
      <c r="Y199" s="10">
        <v>1467102.9098</v>
      </c>
      <c r="Z199" s="10">
        <v>0</v>
      </c>
      <c r="AA199" s="10"/>
      <c r="AB199" s="10">
        <v>0</v>
      </c>
      <c r="AC199" s="10">
        <v>1795240.6603300001</v>
      </c>
      <c r="AD199" s="10"/>
      <c r="AE199" s="10"/>
      <c r="AF199" s="10">
        <v>927869.73927999998</v>
      </c>
      <c r="AG199" s="10"/>
      <c r="AH199" s="10">
        <v>1985922.99682</v>
      </c>
      <c r="AI199" s="10">
        <v>467114.60863999999</v>
      </c>
      <c r="AJ199" s="10"/>
      <c r="AK199" s="10"/>
      <c r="AL199" s="10"/>
      <c r="AM199" s="10"/>
      <c r="AN199" s="10"/>
      <c r="AO199" s="10"/>
      <c r="AP199" s="10"/>
      <c r="AQ199" s="10">
        <v>0</v>
      </c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>
        <v>184825.83853000001</v>
      </c>
      <c r="BH199" s="10"/>
      <c r="BI199" s="10"/>
      <c r="BJ199" s="10"/>
      <c r="BK199" s="10">
        <v>1190612.4745799999</v>
      </c>
      <c r="BL199" s="10">
        <v>642221.02026000002</v>
      </c>
      <c r="BM199" s="10"/>
      <c r="BN199" s="10"/>
      <c r="BO199" s="10"/>
      <c r="BP199" s="10"/>
      <c r="BQ199" s="10"/>
      <c r="BR199" s="10"/>
      <c r="BS199" s="10">
        <v>0</v>
      </c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</row>
    <row r="200" spans="1:113" x14ac:dyDescent="0.35">
      <c r="A200" s="8">
        <v>45990</v>
      </c>
      <c r="B200" s="9">
        <v>139193079.52901</v>
      </c>
      <c r="C200" s="10"/>
      <c r="D200" s="10"/>
      <c r="E200" s="10">
        <v>117184708.6354</v>
      </c>
      <c r="F200" s="10"/>
      <c r="G200" s="10"/>
      <c r="H200" s="10">
        <v>0</v>
      </c>
      <c r="I200" s="10">
        <v>0</v>
      </c>
      <c r="J200" s="10">
        <v>2717954.1531000002</v>
      </c>
      <c r="K200" s="10">
        <v>0</v>
      </c>
      <c r="L200" s="10">
        <v>2892151.9358799998</v>
      </c>
      <c r="M200" s="10">
        <v>0</v>
      </c>
      <c r="N200" s="10">
        <v>188466.49935999999</v>
      </c>
      <c r="O200" s="10"/>
      <c r="P200" s="10"/>
      <c r="Q200" s="10">
        <v>6936835.5766399996</v>
      </c>
      <c r="R200" s="10"/>
      <c r="S200" s="10"/>
      <c r="T200" s="10">
        <v>393681.51381999999</v>
      </c>
      <c r="U200" s="10">
        <v>0</v>
      </c>
      <c r="V200" s="10"/>
      <c r="W200" s="10">
        <v>818822.83229000005</v>
      </c>
      <c r="X200" s="10"/>
      <c r="Y200" s="10">
        <v>2129096.3668499999</v>
      </c>
      <c r="Z200" s="10">
        <v>0</v>
      </c>
      <c r="AA200" s="10"/>
      <c r="AB200" s="10">
        <v>0</v>
      </c>
      <c r="AC200" s="10">
        <v>1031841.51513</v>
      </c>
      <c r="AD200" s="10"/>
      <c r="AE200" s="10"/>
      <c r="AF200" s="10">
        <v>1255271.1404200001</v>
      </c>
      <c r="AG200" s="10"/>
      <c r="AH200" s="10">
        <v>990597.15881000005</v>
      </c>
      <c r="AI200" s="10">
        <v>806221.84022999997</v>
      </c>
      <c r="AJ200" s="10"/>
      <c r="AK200" s="10"/>
      <c r="AL200" s="10"/>
      <c r="AM200" s="10"/>
      <c r="AN200" s="10"/>
      <c r="AO200" s="10"/>
      <c r="AP200" s="10"/>
      <c r="AQ200" s="10">
        <v>0</v>
      </c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>
        <v>432029.86683000001</v>
      </c>
      <c r="BH200" s="10"/>
      <c r="BI200" s="10"/>
      <c r="BJ200" s="10"/>
      <c r="BK200" s="10">
        <v>537048.24823999999</v>
      </c>
      <c r="BL200" s="10">
        <v>878352.24601</v>
      </c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</row>
    <row r="201" spans="1:113" x14ac:dyDescent="0.35">
      <c r="A201" s="8">
        <v>45989</v>
      </c>
      <c r="B201" s="9">
        <v>262844247.23672</v>
      </c>
      <c r="C201" s="10"/>
      <c r="D201" s="10"/>
      <c r="E201" s="10">
        <v>160290845.78369999</v>
      </c>
      <c r="F201" s="10"/>
      <c r="G201" s="10"/>
      <c r="H201" s="10">
        <v>0</v>
      </c>
      <c r="I201" s="10">
        <v>0</v>
      </c>
      <c r="J201" s="10">
        <v>18165290.45662</v>
      </c>
      <c r="K201" s="10">
        <v>0</v>
      </c>
      <c r="L201" s="10">
        <v>16816569.325440001</v>
      </c>
      <c r="M201" s="10">
        <v>0</v>
      </c>
      <c r="N201" s="10">
        <v>4152036.7605300001</v>
      </c>
      <c r="O201" s="10"/>
      <c r="P201" s="10"/>
      <c r="Q201" s="10">
        <v>31891323.456459999</v>
      </c>
      <c r="R201" s="10"/>
      <c r="S201" s="10"/>
      <c r="T201" s="10">
        <v>3965026.98563</v>
      </c>
      <c r="U201" s="10">
        <v>0</v>
      </c>
      <c r="V201" s="10"/>
      <c r="W201" s="10">
        <v>5772977.0662799999</v>
      </c>
      <c r="X201" s="10"/>
      <c r="Y201" s="10">
        <v>7666621.0520599997</v>
      </c>
      <c r="Z201" s="10">
        <v>0</v>
      </c>
      <c r="AA201" s="10"/>
      <c r="AB201" s="10">
        <v>0</v>
      </c>
      <c r="AC201" s="10">
        <v>4797195.6946200002</v>
      </c>
      <c r="AD201" s="10"/>
      <c r="AE201" s="10"/>
      <c r="AF201" s="10">
        <v>2955059.1216699998</v>
      </c>
      <c r="AG201" s="10"/>
      <c r="AH201" s="10">
        <v>3042695.9060399998</v>
      </c>
      <c r="AI201" s="10">
        <v>1861706.93622</v>
      </c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>
        <v>574336.00771000003</v>
      </c>
      <c r="BH201" s="10"/>
      <c r="BI201" s="10"/>
      <c r="BJ201" s="10"/>
      <c r="BK201" s="10">
        <v>154509.93225000001</v>
      </c>
      <c r="BL201" s="10">
        <v>738052.75149000005</v>
      </c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</row>
    <row r="202" spans="1:113" x14ac:dyDescent="0.35">
      <c r="A202" s="8">
        <v>45988</v>
      </c>
      <c r="B202" s="9">
        <v>186873055.08941999</v>
      </c>
      <c r="C202" s="10"/>
      <c r="D202" s="10"/>
      <c r="E202" s="10">
        <v>138062924.2748</v>
      </c>
      <c r="F202" s="10"/>
      <c r="G202" s="10"/>
      <c r="H202" s="10">
        <v>0</v>
      </c>
      <c r="I202" s="10">
        <v>0</v>
      </c>
      <c r="J202" s="10">
        <v>14647669.658919999</v>
      </c>
      <c r="K202" s="10">
        <v>0</v>
      </c>
      <c r="L202" s="10">
        <v>7627342.8224600004</v>
      </c>
      <c r="M202" s="10">
        <v>0</v>
      </c>
      <c r="N202" s="10">
        <v>627054.69700000004</v>
      </c>
      <c r="O202" s="10"/>
      <c r="P202" s="10"/>
      <c r="Q202" s="10">
        <v>11434327.98174</v>
      </c>
      <c r="R202" s="10"/>
      <c r="S202" s="10"/>
      <c r="T202" s="10">
        <v>1913497.5181100001</v>
      </c>
      <c r="U202" s="10">
        <v>0</v>
      </c>
      <c r="V202" s="10"/>
      <c r="W202" s="10">
        <v>1531215.2231300001</v>
      </c>
      <c r="X202" s="10"/>
      <c r="Y202" s="10">
        <v>2453546.6635799999</v>
      </c>
      <c r="Z202" s="10">
        <v>0</v>
      </c>
      <c r="AA202" s="10"/>
      <c r="AB202" s="10">
        <v>0</v>
      </c>
      <c r="AC202" s="10">
        <v>1198784.1937500001</v>
      </c>
      <c r="AD202" s="10"/>
      <c r="AE202" s="10"/>
      <c r="AF202" s="10">
        <v>1882879.67554</v>
      </c>
      <c r="AG202" s="10"/>
      <c r="AH202" s="10">
        <v>1580739.152</v>
      </c>
      <c r="AI202" s="10">
        <v>1280994.8085</v>
      </c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>
        <v>781254.55114</v>
      </c>
      <c r="BH202" s="10"/>
      <c r="BI202" s="10"/>
      <c r="BJ202" s="10"/>
      <c r="BK202" s="10">
        <v>489176.22087000002</v>
      </c>
      <c r="BL202" s="10">
        <v>1361647.6478800001</v>
      </c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</row>
    <row r="203" spans="1:113" x14ac:dyDescent="0.35">
      <c r="A203" s="8">
        <v>45987</v>
      </c>
      <c r="B203" s="9">
        <v>0</v>
      </c>
      <c r="C203" s="10"/>
      <c r="D203" s="10"/>
      <c r="E203" s="10">
        <v>0</v>
      </c>
      <c r="F203" s="10"/>
      <c r="G203" s="10"/>
      <c r="H203" s="10"/>
      <c r="I203" s="10"/>
      <c r="J203" s="10">
        <v>0</v>
      </c>
      <c r="K203" s="10"/>
      <c r="L203" s="10">
        <v>0</v>
      </c>
      <c r="M203" s="10"/>
      <c r="N203" s="10">
        <v>0</v>
      </c>
      <c r="O203" s="10"/>
      <c r="P203" s="10"/>
      <c r="Q203" s="10">
        <v>0</v>
      </c>
      <c r="R203" s="10"/>
      <c r="S203" s="10"/>
      <c r="T203" s="10">
        <v>0</v>
      </c>
      <c r="U203" s="10"/>
      <c r="V203" s="10"/>
      <c r="W203" s="10">
        <v>0</v>
      </c>
      <c r="X203" s="10"/>
      <c r="Y203" s="10">
        <v>0</v>
      </c>
      <c r="Z203" s="10"/>
      <c r="AA203" s="10"/>
      <c r="AB203" s="10"/>
      <c r="AC203" s="10">
        <v>0</v>
      </c>
      <c r="AD203" s="10"/>
      <c r="AE203" s="10"/>
      <c r="AF203" s="10">
        <v>0</v>
      </c>
      <c r="AG203" s="10"/>
      <c r="AH203" s="10">
        <v>0</v>
      </c>
      <c r="AI203" s="10">
        <v>0</v>
      </c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>
        <v>0</v>
      </c>
      <c r="BH203" s="10"/>
      <c r="BI203" s="10"/>
      <c r="BJ203" s="10"/>
      <c r="BK203" s="10">
        <v>0</v>
      </c>
      <c r="BL203" s="10">
        <v>0</v>
      </c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</row>
    <row r="204" spans="1:113" x14ac:dyDescent="0.35">
      <c r="A204" s="8">
        <v>45986</v>
      </c>
      <c r="B204" s="9">
        <v>0</v>
      </c>
      <c r="C204" s="10"/>
      <c r="D204" s="10"/>
      <c r="E204" s="10">
        <v>0</v>
      </c>
      <c r="F204" s="10"/>
      <c r="G204" s="10"/>
      <c r="H204" s="10"/>
      <c r="I204" s="10"/>
      <c r="J204" s="10">
        <v>0</v>
      </c>
      <c r="K204" s="10"/>
      <c r="L204" s="10">
        <v>0</v>
      </c>
      <c r="M204" s="10"/>
      <c r="N204" s="10">
        <v>0</v>
      </c>
      <c r="O204" s="10"/>
      <c r="P204" s="10"/>
      <c r="Q204" s="10">
        <v>0</v>
      </c>
      <c r="R204" s="10"/>
      <c r="S204" s="10"/>
      <c r="T204" s="10"/>
      <c r="U204" s="10"/>
      <c r="V204" s="10"/>
      <c r="W204" s="10">
        <v>0</v>
      </c>
      <c r="X204" s="10"/>
      <c r="Y204" s="10">
        <v>0</v>
      </c>
      <c r="Z204" s="10"/>
      <c r="AA204" s="10"/>
      <c r="AB204" s="10"/>
      <c r="AC204" s="10">
        <v>0</v>
      </c>
      <c r="AD204" s="10"/>
      <c r="AE204" s="10"/>
      <c r="AF204" s="10">
        <v>0</v>
      </c>
      <c r="AG204" s="10"/>
      <c r="AH204" s="10">
        <v>0</v>
      </c>
      <c r="AI204" s="10">
        <v>0</v>
      </c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>
        <v>0</v>
      </c>
      <c r="BH204" s="10"/>
      <c r="BI204" s="10"/>
      <c r="BJ204" s="10"/>
      <c r="BK204" s="10">
        <v>0</v>
      </c>
      <c r="BL204" s="10">
        <v>0</v>
      </c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</row>
    <row r="205" spans="1:113" x14ac:dyDescent="0.35">
      <c r="A205" s="8">
        <v>45985</v>
      </c>
      <c r="B205" s="9">
        <v>0</v>
      </c>
      <c r="C205" s="10"/>
      <c r="D205" s="10"/>
      <c r="E205" s="10">
        <v>0</v>
      </c>
      <c r="F205" s="10"/>
      <c r="G205" s="10"/>
      <c r="H205" s="10"/>
      <c r="I205" s="10"/>
      <c r="J205" s="10">
        <v>0</v>
      </c>
      <c r="K205" s="10"/>
      <c r="L205" s="10">
        <v>0</v>
      </c>
      <c r="M205" s="10"/>
      <c r="N205" s="10">
        <v>0</v>
      </c>
      <c r="O205" s="10"/>
      <c r="P205" s="10"/>
      <c r="Q205" s="10">
        <v>0</v>
      </c>
      <c r="R205" s="10"/>
      <c r="S205" s="10"/>
      <c r="T205" s="10"/>
      <c r="U205" s="10"/>
      <c r="V205" s="10"/>
      <c r="W205" s="10"/>
      <c r="X205" s="10"/>
      <c r="Y205" s="10">
        <v>0</v>
      </c>
      <c r="Z205" s="10"/>
      <c r="AA205" s="10"/>
      <c r="AB205" s="10"/>
      <c r="AC205" s="10">
        <v>0</v>
      </c>
      <c r="AD205" s="10"/>
      <c r="AE205" s="10"/>
      <c r="AF205" s="10">
        <v>0</v>
      </c>
      <c r="AG205" s="10"/>
      <c r="AH205" s="10">
        <v>0</v>
      </c>
      <c r="AI205" s="10">
        <v>0</v>
      </c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>
        <v>0</v>
      </c>
      <c r="BL205" s="10">
        <v>0</v>
      </c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</row>
    <row r="206" spans="1:113" x14ac:dyDescent="0.35">
      <c r="A206" s="8">
        <v>45984</v>
      </c>
      <c r="B206" s="9">
        <v>0</v>
      </c>
      <c r="C206" s="10"/>
      <c r="D206" s="10"/>
      <c r="E206" s="10">
        <v>0</v>
      </c>
      <c r="F206" s="10"/>
      <c r="G206" s="10"/>
      <c r="H206" s="10"/>
      <c r="I206" s="10"/>
      <c r="J206" s="10">
        <v>0</v>
      </c>
      <c r="K206" s="10"/>
      <c r="L206" s="10">
        <v>0</v>
      </c>
      <c r="M206" s="10"/>
      <c r="N206" s="10"/>
      <c r="O206" s="10"/>
      <c r="P206" s="10"/>
      <c r="Q206" s="10">
        <v>0</v>
      </c>
      <c r="R206" s="10"/>
      <c r="S206" s="10"/>
      <c r="T206" s="10"/>
      <c r="U206" s="10"/>
      <c r="V206" s="10"/>
      <c r="W206" s="10"/>
      <c r="X206" s="10"/>
      <c r="Y206" s="10">
        <v>0</v>
      </c>
      <c r="Z206" s="10"/>
      <c r="AA206" s="10"/>
      <c r="AB206" s="10"/>
      <c r="AC206" s="10">
        <v>0</v>
      </c>
      <c r="AD206" s="10"/>
      <c r="AE206" s="10"/>
      <c r="AF206" s="10">
        <v>0</v>
      </c>
      <c r="AG206" s="10"/>
      <c r="AH206" s="10">
        <v>0</v>
      </c>
      <c r="AI206" s="10">
        <v>0</v>
      </c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>
        <v>0</v>
      </c>
      <c r="BL206" s="10">
        <v>0</v>
      </c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</row>
    <row r="207" spans="1:113" x14ac:dyDescent="0.35">
      <c r="A207" s="8">
        <v>45983</v>
      </c>
      <c r="B207" s="9">
        <v>0</v>
      </c>
      <c r="C207" s="10"/>
      <c r="D207" s="10"/>
      <c r="E207" s="10">
        <v>0</v>
      </c>
      <c r="F207" s="10"/>
      <c r="G207" s="10"/>
      <c r="H207" s="10"/>
      <c r="I207" s="10"/>
      <c r="J207" s="10">
        <v>0</v>
      </c>
      <c r="K207" s="10"/>
      <c r="L207" s="10">
        <v>0</v>
      </c>
      <c r="M207" s="10"/>
      <c r="N207" s="10"/>
      <c r="O207" s="10"/>
      <c r="P207" s="10"/>
      <c r="Q207" s="10">
        <v>0</v>
      </c>
      <c r="R207" s="10"/>
      <c r="S207" s="10"/>
      <c r="T207" s="10"/>
      <c r="U207" s="10"/>
      <c r="V207" s="10"/>
      <c r="W207" s="10"/>
      <c r="X207" s="10"/>
      <c r="Y207" s="10">
        <v>0</v>
      </c>
      <c r="Z207" s="10"/>
      <c r="AA207" s="10"/>
      <c r="AB207" s="10"/>
      <c r="AC207" s="10">
        <v>0</v>
      </c>
      <c r="AD207" s="10"/>
      <c r="AE207" s="10"/>
      <c r="AF207" s="10">
        <v>0</v>
      </c>
      <c r="AG207" s="10"/>
      <c r="AH207" s="10">
        <v>0</v>
      </c>
      <c r="AI207" s="10">
        <v>0</v>
      </c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>
        <v>0</v>
      </c>
      <c r="BL207" s="10">
        <v>0</v>
      </c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</row>
    <row r="208" spans="1:113" x14ac:dyDescent="0.35">
      <c r="A208" s="8">
        <v>45982</v>
      </c>
      <c r="B208" s="9">
        <v>0</v>
      </c>
      <c r="C208" s="10"/>
      <c r="D208" s="10"/>
      <c r="E208" s="10">
        <v>0</v>
      </c>
      <c r="F208" s="10"/>
      <c r="G208" s="10"/>
      <c r="H208" s="10"/>
      <c r="I208" s="10"/>
      <c r="J208" s="10">
        <v>0</v>
      </c>
      <c r="K208" s="10"/>
      <c r="L208" s="10">
        <v>0</v>
      </c>
      <c r="M208" s="10"/>
      <c r="N208" s="10"/>
      <c r="O208" s="10"/>
      <c r="P208" s="10"/>
      <c r="Q208" s="10">
        <v>0</v>
      </c>
      <c r="R208" s="10"/>
      <c r="S208" s="10"/>
      <c r="T208" s="10"/>
      <c r="U208" s="10"/>
      <c r="V208" s="10"/>
      <c r="W208" s="10"/>
      <c r="X208" s="10"/>
      <c r="Y208" s="10">
        <v>0</v>
      </c>
      <c r="Z208" s="10"/>
      <c r="AA208" s="10"/>
      <c r="AB208" s="10"/>
      <c r="AC208" s="10">
        <v>0</v>
      </c>
      <c r="AD208" s="10"/>
      <c r="AE208" s="10"/>
      <c r="AF208" s="10">
        <v>0</v>
      </c>
      <c r="AG208" s="10"/>
      <c r="AH208" s="10">
        <v>0</v>
      </c>
      <c r="AI208" s="10">
        <v>0</v>
      </c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>
        <v>0</v>
      </c>
      <c r="BL208" s="10">
        <v>0</v>
      </c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</row>
    <row r="209" spans="1:113" x14ac:dyDescent="0.35">
      <c r="A209" s="8">
        <v>45981</v>
      </c>
      <c r="B209" s="9">
        <v>0</v>
      </c>
      <c r="C209" s="10"/>
      <c r="D209" s="10"/>
      <c r="E209" s="10">
        <v>0</v>
      </c>
      <c r="F209" s="10"/>
      <c r="G209" s="10"/>
      <c r="H209" s="10"/>
      <c r="I209" s="10"/>
      <c r="J209" s="10">
        <v>0</v>
      </c>
      <c r="K209" s="10"/>
      <c r="L209" s="10">
        <v>0</v>
      </c>
      <c r="M209" s="10"/>
      <c r="N209" s="10"/>
      <c r="O209" s="10"/>
      <c r="P209" s="10"/>
      <c r="Q209" s="10">
        <v>0</v>
      </c>
      <c r="R209" s="10"/>
      <c r="S209" s="10"/>
      <c r="T209" s="10"/>
      <c r="U209" s="10"/>
      <c r="V209" s="10"/>
      <c r="W209" s="10"/>
      <c r="X209" s="10"/>
      <c r="Y209" s="10">
        <v>0</v>
      </c>
      <c r="Z209" s="10"/>
      <c r="AA209" s="10"/>
      <c r="AB209" s="10"/>
      <c r="AC209" s="10">
        <v>0</v>
      </c>
      <c r="AD209" s="10"/>
      <c r="AE209" s="10"/>
      <c r="AF209" s="10">
        <v>0</v>
      </c>
      <c r="AG209" s="10"/>
      <c r="AH209" s="10">
        <v>0</v>
      </c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>
        <v>0</v>
      </c>
      <c r="BL209" s="10">
        <v>0</v>
      </c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</row>
    <row r="210" spans="1:113" x14ac:dyDescent="0.35">
      <c r="A210" s="8">
        <v>45980</v>
      </c>
      <c r="B210" s="9">
        <v>0</v>
      </c>
      <c r="C210" s="10"/>
      <c r="D210" s="10"/>
      <c r="E210" s="10">
        <v>0</v>
      </c>
      <c r="F210" s="10"/>
      <c r="G210" s="10"/>
      <c r="H210" s="10"/>
      <c r="I210" s="10"/>
      <c r="J210" s="10">
        <v>0</v>
      </c>
      <c r="K210" s="10"/>
      <c r="L210" s="10">
        <v>0</v>
      </c>
      <c r="M210" s="10"/>
      <c r="N210" s="10"/>
      <c r="O210" s="10"/>
      <c r="P210" s="10"/>
      <c r="Q210" s="10">
        <v>0</v>
      </c>
      <c r="R210" s="10"/>
      <c r="S210" s="10"/>
      <c r="T210" s="10"/>
      <c r="U210" s="10"/>
      <c r="V210" s="10"/>
      <c r="W210" s="10"/>
      <c r="X210" s="10"/>
      <c r="Y210" s="10">
        <v>0</v>
      </c>
      <c r="Z210" s="10"/>
      <c r="AA210" s="10"/>
      <c r="AB210" s="10"/>
      <c r="AC210" s="10">
        <v>0</v>
      </c>
      <c r="AD210" s="10"/>
      <c r="AE210" s="10"/>
      <c r="AF210" s="10">
        <v>0</v>
      </c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>
        <v>0</v>
      </c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</row>
    <row r="211" spans="1:113" x14ac:dyDescent="0.35">
      <c r="A211" s="8">
        <v>45979</v>
      </c>
      <c r="B211" s="9">
        <v>0</v>
      </c>
      <c r="C211" s="10"/>
      <c r="D211" s="10"/>
      <c r="E211" s="10">
        <v>0</v>
      </c>
      <c r="F211" s="10"/>
      <c r="G211" s="10"/>
      <c r="H211" s="10"/>
      <c r="I211" s="10"/>
      <c r="J211" s="10">
        <v>0</v>
      </c>
      <c r="K211" s="10"/>
      <c r="L211" s="10">
        <v>0</v>
      </c>
      <c r="M211" s="10"/>
      <c r="N211" s="10"/>
      <c r="O211" s="10"/>
      <c r="P211" s="10"/>
      <c r="Q211" s="10">
        <v>0</v>
      </c>
      <c r="R211" s="10"/>
      <c r="S211" s="10"/>
      <c r="T211" s="10"/>
      <c r="U211" s="10"/>
      <c r="V211" s="10"/>
      <c r="W211" s="10"/>
      <c r="X211" s="10"/>
      <c r="Y211" s="10">
        <v>0</v>
      </c>
      <c r="Z211" s="10"/>
      <c r="AA211" s="10"/>
      <c r="AB211" s="10"/>
      <c r="AC211" s="10">
        <v>0</v>
      </c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>
        <v>0</v>
      </c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</row>
    <row r="212" spans="1:113" x14ac:dyDescent="0.35">
      <c r="A212" s="8">
        <v>45978</v>
      </c>
      <c r="B212" s="9">
        <v>0</v>
      </c>
      <c r="C212" s="10"/>
      <c r="D212" s="10"/>
      <c r="E212" s="10">
        <v>0</v>
      </c>
      <c r="F212" s="10"/>
      <c r="G212" s="10"/>
      <c r="H212" s="10"/>
      <c r="I212" s="10"/>
      <c r="J212" s="10">
        <v>0</v>
      </c>
      <c r="K212" s="10"/>
      <c r="L212" s="10">
        <v>0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>
        <v>0</v>
      </c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>
        <v>0</v>
      </c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</row>
    <row r="213" spans="1:113" x14ac:dyDescent="0.35">
      <c r="A213" s="8">
        <v>45977</v>
      </c>
      <c r="B213" s="9">
        <v>0</v>
      </c>
      <c r="C213" s="10"/>
      <c r="D213" s="10"/>
      <c r="E213" s="10">
        <v>0</v>
      </c>
      <c r="F213" s="10"/>
      <c r="G213" s="10"/>
      <c r="H213" s="10"/>
      <c r="I213" s="10"/>
      <c r="J213" s="10">
        <v>0</v>
      </c>
      <c r="K213" s="10"/>
      <c r="L213" s="10">
        <v>0</v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>
        <v>0</v>
      </c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>
        <v>0</v>
      </c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</row>
    <row r="214" spans="1:113" x14ac:dyDescent="0.35">
      <c r="A214" s="8">
        <v>45976</v>
      </c>
      <c r="B214" s="9">
        <v>0</v>
      </c>
      <c r="C214" s="10"/>
      <c r="D214" s="10"/>
      <c r="E214" s="10">
        <v>0</v>
      </c>
      <c r="F214" s="10"/>
      <c r="G214" s="10"/>
      <c r="H214" s="10"/>
      <c r="I214" s="10"/>
      <c r="J214" s="10">
        <v>0</v>
      </c>
      <c r="K214" s="10"/>
      <c r="L214" s="10">
        <v>0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>
        <v>0</v>
      </c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>
        <v>0</v>
      </c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</row>
    <row r="215" spans="1:113" x14ac:dyDescent="0.35">
      <c r="A215" s="8">
        <v>45975</v>
      </c>
      <c r="B215" s="9">
        <v>0</v>
      </c>
      <c r="C215" s="10"/>
      <c r="D215" s="10"/>
      <c r="E215" s="10">
        <v>0</v>
      </c>
      <c r="F215" s="10"/>
      <c r="G215" s="10"/>
      <c r="H215" s="10"/>
      <c r="I215" s="10"/>
      <c r="J215" s="10">
        <v>0</v>
      </c>
      <c r="K215" s="10"/>
      <c r="L215" s="10">
        <v>0</v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>
        <v>0</v>
      </c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>
        <v>0</v>
      </c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</row>
    <row r="216" spans="1:113" x14ac:dyDescent="0.35">
      <c r="A216" s="8">
        <v>45974</v>
      </c>
      <c r="B216" s="9">
        <v>0</v>
      </c>
      <c r="C216" s="10"/>
      <c r="D216" s="10"/>
      <c r="E216" s="10">
        <v>0</v>
      </c>
      <c r="F216" s="10"/>
      <c r="G216" s="10"/>
      <c r="H216" s="10"/>
      <c r="I216" s="10"/>
      <c r="J216" s="10">
        <v>0</v>
      </c>
      <c r="K216" s="10"/>
      <c r="L216" s="10">
        <v>0</v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>
        <v>0</v>
      </c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</row>
    <row r="217" spans="1:113" x14ac:dyDescent="0.35">
      <c r="A217" s="8">
        <v>45973</v>
      </c>
      <c r="B217" s="9">
        <v>0</v>
      </c>
      <c r="C217" s="10"/>
      <c r="D217" s="10"/>
      <c r="E217" s="10">
        <v>0</v>
      </c>
      <c r="F217" s="10"/>
      <c r="G217" s="10"/>
      <c r="H217" s="10"/>
      <c r="I217" s="10"/>
      <c r="J217" s="10">
        <v>0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</row>
    <row r="218" spans="1:113" x14ac:dyDescent="0.35">
      <c r="A218" s="8">
        <v>45972</v>
      </c>
      <c r="B218" s="9">
        <v>0</v>
      </c>
      <c r="C218" s="10"/>
      <c r="D218" s="10"/>
      <c r="E218" s="10">
        <v>0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</row>
    <row r="219" spans="1:113" x14ac:dyDescent="0.35">
      <c r="A219" s="8">
        <v>45971</v>
      </c>
      <c r="B219" s="9">
        <v>0</v>
      </c>
      <c r="C219" s="10"/>
      <c r="D219" s="10"/>
      <c r="E219" s="10">
        <v>0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</row>
    <row r="220" spans="1:113" x14ac:dyDescent="0.35">
      <c r="A220" s="8">
        <v>45970</v>
      </c>
      <c r="B220" s="9">
        <v>0</v>
      </c>
      <c r="C220" s="10"/>
      <c r="D220" s="10"/>
      <c r="E220" s="10">
        <v>0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</row>
    <row r="221" spans="1:113" x14ac:dyDescent="0.35">
      <c r="A221" s="8">
        <v>45969</v>
      </c>
      <c r="B221" s="9">
        <v>0</v>
      </c>
      <c r="C221" s="10"/>
      <c r="D221" s="10"/>
      <c r="E221" s="10">
        <v>0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</row>
    <row r="222" spans="1:113" x14ac:dyDescent="0.35">
      <c r="A222" s="8">
        <v>45968</v>
      </c>
      <c r="B222" s="9">
        <v>0</v>
      </c>
      <c r="C222" s="10"/>
      <c r="D222" s="10"/>
      <c r="E222" s="10">
        <v>0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</row>
    <row r="223" spans="1:113" x14ac:dyDescent="0.35">
      <c r="A223" s="8">
        <v>45967</v>
      </c>
      <c r="B223" s="9">
        <v>0</v>
      </c>
      <c r="C223" s="10"/>
      <c r="D223" s="10"/>
      <c r="E223" s="10">
        <v>0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</row>
    <row r="224" spans="1:113" x14ac:dyDescent="0.35">
      <c r="A224" s="8">
        <v>45966</v>
      </c>
      <c r="B224" s="9">
        <v>0</v>
      </c>
      <c r="C224" s="10"/>
      <c r="D224" s="10"/>
      <c r="E224" s="10">
        <v>0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</row>
    <row r="225" spans="1:113" x14ac:dyDescent="0.35">
      <c r="A225" s="8">
        <v>45965</v>
      </c>
      <c r="B225" s="9">
        <v>0</v>
      </c>
      <c r="C225" s="10"/>
      <c r="D225" s="10"/>
      <c r="E225" s="10">
        <v>0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</row>
    <row r="226" spans="1:113" x14ac:dyDescent="0.35">
      <c r="A226" s="8">
        <v>45964</v>
      </c>
      <c r="B226" s="9">
        <v>0</v>
      </c>
      <c r="C226" s="10"/>
      <c r="D226" s="10"/>
      <c r="E226" s="10">
        <v>0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</row>
    <row r="227" spans="1:113" x14ac:dyDescent="0.35">
      <c r="A227" s="8">
        <v>45963</v>
      </c>
      <c r="B227" s="9">
        <v>0</v>
      </c>
      <c r="C227" s="10"/>
      <c r="D227" s="10"/>
      <c r="E227" s="10">
        <v>0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</row>
    <row r="228" spans="1:113" x14ac:dyDescent="0.35">
      <c r="A228" s="8">
        <v>45962</v>
      </c>
      <c r="B228" s="9">
        <v>0</v>
      </c>
      <c r="C228" s="10"/>
      <c r="D228" s="10"/>
      <c r="E228" s="10">
        <v>0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</row>
    <row r="229" spans="1:113" x14ac:dyDescent="0.35">
      <c r="A229" s="8">
        <v>45961</v>
      </c>
      <c r="B229" s="9">
        <v>0</v>
      </c>
      <c r="C229" s="10"/>
      <c r="D229" s="10"/>
      <c r="E229" s="10">
        <v>0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</row>
    <row r="230" spans="1:113" x14ac:dyDescent="0.35">
      <c r="A230" s="8">
        <v>45960</v>
      </c>
      <c r="B230" s="9">
        <v>0</v>
      </c>
      <c r="C230" s="10"/>
      <c r="D230" s="10"/>
      <c r="E230" s="10">
        <v>0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</row>
    <row r="231" spans="1:113" x14ac:dyDescent="0.35">
      <c r="A231" s="8">
        <v>45959</v>
      </c>
      <c r="B231" s="9">
        <v>0</v>
      </c>
      <c r="C231" s="10"/>
      <c r="D231" s="10"/>
      <c r="E231" s="10">
        <v>0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</row>
    <row r="232" spans="1:113" x14ac:dyDescent="0.35">
      <c r="A232" s="8">
        <v>45958</v>
      </c>
      <c r="B232" s="9">
        <v>0</v>
      </c>
      <c r="C232" s="10"/>
      <c r="D232" s="10"/>
      <c r="E232" s="10">
        <v>0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</row>
    <row r="233" spans="1:113" x14ac:dyDescent="0.35">
      <c r="A233" s="8">
        <v>45957</v>
      </c>
      <c r="B233" s="9">
        <v>0</v>
      </c>
      <c r="C233" s="10"/>
      <c r="D233" s="10"/>
      <c r="E233" s="10">
        <v>0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</row>
    <row r="234" spans="1:113" x14ac:dyDescent="0.35">
      <c r="A234" s="8">
        <v>45956</v>
      </c>
      <c r="B234" s="9">
        <v>0</v>
      </c>
      <c r="C234" s="10"/>
      <c r="D234" s="10"/>
      <c r="E234" s="10">
        <v>0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</row>
    <row r="235" spans="1:113" x14ac:dyDescent="0.35">
      <c r="A235" s="8">
        <v>45955</v>
      </c>
      <c r="B235" s="9">
        <v>0</v>
      </c>
      <c r="C235" s="10"/>
      <c r="D235" s="10"/>
      <c r="E235" s="10">
        <v>0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</row>
    <row r="236" spans="1:113" x14ac:dyDescent="0.35">
      <c r="A236" s="8">
        <v>45954</v>
      </c>
      <c r="B236" s="9">
        <v>0</v>
      </c>
      <c r="C236" s="10"/>
      <c r="D236" s="10"/>
      <c r="E236" s="10">
        <v>0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</row>
    <row r="237" spans="1:113" x14ac:dyDescent="0.35">
      <c r="A237" s="8">
        <v>45953</v>
      </c>
      <c r="B237" s="9">
        <v>0</v>
      </c>
      <c r="C237" s="10"/>
      <c r="D237" s="10"/>
      <c r="E237" s="10">
        <v>0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</row>
    <row r="238" spans="1:113" x14ac:dyDescent="0.35">
      <c r="A238" s="8">
        <v>45952</v>
      </c>
      <c r="B238" s="9">
        <v>0</v>
      </c>
      <c r="C238" s="10"/>
      <c r="D238" s="10"/>
      <c r="E238" s="10">
        <v>0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</row>
    <row r="239" spans="1:113" x14ac:dyDescent="0.35">
      <c r="A239" s="8">
        <v>45951</v>
      </c>
      <c r="B239" s="9">
        <v>0</v>
      </c>
      <c r="C239" s="10"/>
      <c r="D239" s="10"/>
      <c r="E239" s="10">
        <v>0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</row>
    <row r="240" spans="1:113" x14ac:dyDescent="0.35">
      <c r="A240" s="8">
        <v>45950</v>
      </c>
      <c r="B240" s="9">
        <v>0</v>
      </c>
      <c r="C240" s="10"/>
      <c r="D240" s="10"/>
      <c r="E240" s="10">
        <v>0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</row>
    <row r="241" spans="1:113" x14ac:dyDescent="0.35">
      <c r="A241" s="8">
        <v>45949</v>
      </c>
      <c r="B241" s="9">
        <v>0</v>
      </c>
      <c r="C241" s="10"/>
      <c r="D241" s="10"/>
      <c r="E241" s="10">
        <v>0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</row>
    <row r="242" spans="1:113" x14ac:dyDescent="0.35">
      <c r="A242" s="8">
        <v>45948</v>
      </c>
      <c r="B242" s="9">
        <v>0</v>
      </c>
      <c r="C242" s="10"/>
      <c r="D242" s="10"/>
      <c r="E242" s="10">
        <v>0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</row>
    <row r="243" spans="1:113" x14ac:dyDescent="0.35">
      <c r="A243" s="8">
        <v>45947</v>
      </c>
      <c r="B243" s="9">
        <v>0</v>
      </c>
      <c r="C243" s="10"/>
      <c r="D243" s="10"/>
      <c r="E243" s="10">
        <v>0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</row>
    <row r="244" spans="1:113" x14ac:dyDescent="0.35">
      <c r="A244" s="8">
        <v>45946</v>
      </c>
      <c r="B244" s="9">
        <v>0</v>
      </c>
      <c r="C244" s="10"/>
      <c r="D244" s="10"/>
      <c r="E244" s="10">
        <v>0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</row>
    <row r="245" spans="1:113" x14ac:dyDescent="0.35">
      <c r="A245" s="8">
        <v>45945</v>
      </c>
      <c r="B245" s="9">
        <v>0</v>
      </c>
      <c r="C245" s="10"/>
      <c r="D245" s="10"/>
      <c r="E245" s="10">
        <v>0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</row>
    <row r="246" spans="1:113" x14ac:dyDescent="0.35">
      <c r="A246" s="8">
        <v>45944</v>
      </c>
      <c r="B246" s="9">
        <v>0</v>
      </c>
      <c r="C246" s="10"/>
      <c r="D246" s="10"/>
      <c r="E246" s="10">
        <v>0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</row>
    <row r="247" spans="1:113" x14ac:dyDescent="0.35">
      <c r="A247" s="8">
        <v>45943</v>
      </c>
      <c r="B247" s="9">
        <v>0</v>
      </c>
      <c r="C247" s="10"/>
      <c r="D247" s="10"/>
      <c r="E247" s="10">
        <v>0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1"/>
  <sheetViews>
    <sheetView topLeftCell="A9" zoomScale="84" zoomScaleNormal="84" workbookViewId="0">
      <selection activeCell="B28" sqref="B28:E28"/>
    </sheetView>
  </sheetViews>
  <sheetFormatPr defaultColWidth="8.6328125" defaultRowHeight="14.5" x14ac:dyDescent="0.35"/>
  <cols>
    <col min="1" max="1" width="16" customWidth="1"/>
    <col min="2" max="2" width="16.6328125" customWidth="1"/>
    <col min="3" max="12" width="16" customWidth="1"/>
    <col min="13" max="13" width="18" customWidth="1"/>
  </cols>
  <sheetData>
    <row r="1" spans="1:13" ht="15" customHeight="1" x14ac:dyDescent="0.35">
      <c r="A1" s="13" t="s">
        <v>316</v>
      </c>
    </row>
    <row r="3" spans="1:13" x14ac:dyDescent="0.35">
      <c r="A3" s="14" t="s">
        <v>0</v>
      </c>
      <c r="B3" s="14" t="s">
        <v>317</v>
      </c>
      <c r="C3" s="14" t="s">
        <v>318</v>
      </c>
      <c r="D3" s="14" t="s">
        <v>319</v>
      </c>
      <c r="E3" s="14" t="s">
        <v>320</v>
      </c>
      <c r="F3" s="14" t="s">
        <v>321</v>
      </c>
      <c r="G3" s="14" t="s">
        <v>322</v>
      </c>
      <c r="H3" s="14" t="s">
        <v>323</v>
      </c>
      <c r="I3" s="14" t="s">
        <v>324</v>
      </c>
      <c r="J3" s="14" t="s">
        <v>325</v>
      </c>
      <c r="K3" s="14" t="s">
        <v>326</v>
      </c>
      <c r="L3" s="14" t="s">
        <v>327</v>
      </c>
      <c r="M3" s="14" t="s">
        <v>7</v>
      </c>
    </row>
    <row r="4" spans="1:13" x14ac:dyDescent="0.35">
      <c r="A4" s="15" t="s">
        <v>1</v>
      </c>
      <c r="B4" s="16">
        <f>SUMPRODUCT((MONTH('CEX (wide)'!$A$3:$A$70)=4)*(YEAR('CEX (wide)'!$A$3:$A$70)=2026)*('CEX (wide)'!C$3:C$70+'CEX (wide)'!D$3:D$70+'CEX (wide)'!E$3:E$70+'CEX (wide)'!F$3:F$70+'CEX (wide)'!Q$3:Q$70+'CEX (wide)'!S$3:S$70+'CEX (wide)'!AB$3:AB$70+'CEX (wide)'!AE$3:AE$70+'CEX (wide)'!AK$3:AK$70+'CEX (wide)'!CN$3:CN$70+'CEX (wide)'!EA$3:EA$70+'CEX (wide)'!EE$3:EE$70))</f>
        <v>130709594724.73232</v>
      </c>
      <c r="C4" s="16">
        <f>SUMPRODUCT((MONTH('Extended (wide)'!$A$3:$A$70)=4)*(YEAR('Extended (wide)'!$A$3:$A$70)=2026)*('Extended (wide)'!C$3:C$70+'Extended (wide)'!D$3:D$70+'Extended (wide)'!E$3:E$70+'Extended (wide)'!F$3:F$70+'Extended (wide)'!I$3:I$70+'Extended (wide)'!O$3:O$70+'Extended (wide)'!T$3:T$70))</f>
        <v>1157320809.8673198</v>
      </c>
      <c r="D4" s="16">
        <f>SUMPRODUCT((MONTH('GRVT (wide)'!$A$3:$A$67)=4)*(YEAR('GRVT (wide)'!$A$3:$A$67)=2026)*('GRVT (wide)'!C$3:C$67+'GRVT (wide)'!F$3:F$67+'GRVT (wide)'!H$3:H$67+'GRVT (wide)'!J$3:J$67+'GRVT (wide)'!L$3:L$67+'GRVT (wide)'!S$3:S$67+'GRVT (wide)'!X$3:X$67))</f>
        <v>1315525864.47012</v>
      </c>
      <c r="E4" s="16">
        <f>SUMPRODUCT((MONTH('Pacifica (wide)'!$A$3:$A$90)=4)*(YEAR('Pacifica (wide)'!$A$3:$A$90)=2026)*('Pacifica (wide)'!C$3:C$90+'Pacifica (wide)'!D$3:D$90+'Pacifica (wide)'!E$3:E$90+'Pacifica (wide)'!L$3:L$90+'Pacifica (wide)'!O$3:O$90+'Pacifica (wide)'!R$3:R$90))</f>
        <v>193518380.97877404</v>
      </c>
      <c r="F4" s="16">
        <f>SUMPRODUCT((MONTH('Apex (wide)'!$A$3:$A$69)=4)*(YEAR('Apex (wide)'!$A$3:$A$69)=2026)*('Apex (wide)'!H$3:H$69+'Apex (wide)'!I$3:I$69+'Apex (wide)'!J$3:J$69+'Apex (wide)'!V$3:V$69+'Apex (wide)'!AC$3:AC$69+'Apex (wide)'!AG$3:AG$69))</f>
        <v>9913230.0715800002</v>
      </c>
      <c r="G4" s="16">
        <f>SUMPRODUCT((MONTH('Aster (wide)'!$A$3:$A$70)=4)*(YEAR('Aster (wide)'!$A$3:$A$70)=2026)*('Aster (wide)'!C$3:C$70+'Aster (wide)'!D$3:D$70+'Aster (wide)'!E$3:E$70+'Aster (wide)'!O$3:O$70+'Aster (wide)'!R$3:R$70+'Aster (wide)'!V$3:V$70+'Aster (wide)'!Y$3:Y$70))</f>
        <v>986003190.04282022</v>
      </c>
      <c r="H4" s="16">
        <f>SUMPRODUCT((MONTH('EdgeX (wide)'!$A$3:$A$67)=4)*(YEAR('EdgeX (wide)'!$A$3:$A$67)=2026)*('EdgeX (wide)'!C$3:C$67+'EdgeX (wide)'!D$3:D$67+'EdgeX (wide)'!E$3:E$67+'EdgeX (wide)'!F$3:F$67+'EdgeX (wide)'!G$3:G$67+'EdgeX (wide)'!P$3:P$67+'EdgeX (wide)'!T$3:T$67))</f>
        <v>6979588776.3298502</v>
      </c>
      <c r="I4" s="16">
        <f>SUMPRODUCT((MONTH('Avantis (wide)'!$A$3:$A$79)=4)*(YEAR('Avantis (wide)'!$A$3:$A$79)=2026)*('Avantis (wide)'!D$3:D$79+'Avantis (wide)'!E$3:E$79+'Avantis (wide)'!R$3:R$79))</f>
        <v>87619778.288701013</v>
      </c>
      <c r="J4" s="16">
        <f>SUMPRODUCT((MONTH('Ostium (wide)'!$A$3:$A$79)=4)*(YEAR('Ostium (wide)'!$A$3:$A$79)=2026)*('Ostium (wide)'!C$3:C$79+'Ostium (wide)'!D$3:D$79+'Ostium (wide)'!F$3:F$79+'Ostium (wide)'!L$3:L$79+'Ostium (wide)'!O$3:O$79+'Ostium (wide)'!AZ$3:AZ$79+'Ostium (wide)'!BC$3:BC$79+'Ostium (wide)'!BE$3:BE$79))</f>
        <v>1793270324.1251078</v>
      </c>
      <c r="K4" s="16">
        <f>SUMPRODUCT((MONTH('Lighter (wide)'!$A$3:$A$67)=4)*(YEAR('Lighter (wide)'!$A$3:$A$67)=2026)*('Lighter (wide)'!C$3:C$67+'Lighter (wide)'!D$3:D$67+'Lighter (wide)'!E$3:E$67+'Lighter (wide)'!F$3:F$67+'Lighter (wide)'!G$3:G$67+'Lighter (wide)'!K$3:K$67+'Lighter (wide)'!M$3:M$67+'Lighter (wide)'!T$3:T$67+'Lighter (wide)'!AX$3:AX$67))</f>
        <v>6403252772.3385429</v>
      </c>
      <c r="L4" s="16">
        <f>SUMPRODUCT((MONTH('HIP-3 (wide)'!$A$3:$A$247)=4)*(YEAR('HIP-3 (wide)'!$A$3:$A$247)=2026)*('HIP-3 (wide)'!C$3:C$247+'HIP-3 (wide)'!D$3:D$247+'HIP-3 (wide)'!F$3:F$247+'HIP-3 (wide)'!H$3:H$247+'HIP-3 (wide)'!O$3:O$247+'HIP-3 (wide)'!R$3:R$247+'HIP-3 (wide)'!AA$3:AA$247+'HIP-3 (wide)'!AK$3:AK$247+'HIP-3 (wide)'!BF$3:BF$247+'HIP-3 (wide)'!BN$3:BN$247+'HIP-3 (wide)'!BX$3:BX$247+'HIP-3 (wide)'!CH$3:CH$247+'HIP-3 (wide)'!CS$3:CS$247+'HIP-3 (wide)'!CW$3:CW$247+'HIP-3 (wide)'!CY$3:CY$247+'HIP-3 (wide)'!DB$3:DB$247+'HIP-3 (wide)'!DE$3:DE$247+'HIP-3 (wide)'!DH$3:DH$247))</f>
        <v>40842478582.440765</v>
      </c>
      <c r="M4" s="17">
        <f t="shared" ref="M4:M10" si="0">SUM(B4:L4)</f>
        <v>190478086433.68591</v>
      </c>
    </row>
    <row r="5" spans="1:13" x14ac:dyDescent="0.35">
      <c r="A5" s="18" t="s">
        <v>248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f>SUMPRODUCT((MONTH('Lighter (wide)'!$A$3:$A$67)=4)*(YEAR('Lighter (wide)'!$A$3:$A$67)=2026)*('Lighter (wide)'!BE$3:BE$67))</f>
        <v>0</v>
      </c>
      <c r="L5" s="16">
        <f>SUMPRODUCT((MONTH('HIP-3 (wide)'!$A$3:$A$247)=4)*(YEAR('HIP-3 (wide)'!$A$3:$A$247)=2026)*('HIP-3 (wide)'!AW$3:AW$247+'HIP-3 (wide)'!BA$3:BA$247+'HIP-3 (wide)'!CJ$3:CJ$247+'HIP-3 (wide)'!DD$3:DD$247))</f>
        <v>5051075.7713850001</v>
      </c>
      <c r="M5" s="17">
        <f t="shared" si="0"/>
        <v>5051075.7713850001</v>
      </c>
    </row>
    <row r="6" spans="1:13" x14ac:dyDescent="0.35">
      <c r="A6" s="19" t="s">
        <v>5</v>
      </c>
      <c r="B6" s="16">
        <f>SUMPRODUCT((MONTH('CEX (wide)'!$A$3:$A$70)=4)*(YEAR('CEX (wide)'!$A$3:$A$70)=2026)*('CEX (wide)'!ED$3:ED$70+'CEX (wide)'!EH$3:EH$70+'CEX (wide)'!ET$3:ET$70+'CEX (wide)'!EV$3:EV$70+'CEX (wide)'!GA$3:GA$70+'CEX (wide)'!GE$3:GE$70+'CEX (wide)'!GF$3:GF$70+'CEX (wide)'!GG$3:GG$70))</f>
        <v>1832552.9338300002</v>
      </c>
      <c r="C6" s="16">
        <f>SUMPRODUCT((MONTH('Extended (wide)'!$A$3:$A$70)=4)*(YEAR('Extended (wide)'!$A$3:$A$70)=2026)*('Extended (wide)'!H$3:H$70+'Extended (wide)'!P$3:P$70))</f>
        <v>143152967.065</v>
      </c>
      <c r="D6" s="16">
        <v>0</v>
      </c>
      <c r="E6" s="16">
        <f>SUMPRODUCT((MONTH('Pacifica (wide)'!$A$3:$A$90)=4)*(YEAR('Pacifica (wide)'!$A$3:$A$90)=2026)*('Pacifica (wide)'!G$3:G$90+'Pacifica (wide)'!I$3:I$90))</f>
        <v>19731965.351459999</v>
      </c>
      <c r="F6" s="16">
        <v>0</v>
      </c>
      <c r="G6" s="16">
        <v>0</v>
      </c>
      <c r="H6" s="16">
        <v>0</v>
      </c>
      <c r="I6" s="16">
        <f>SUMPRODUCT((MONTH('Avantis (wide)'!$A$3:$A$79)=4)*(YEAR('Avantis (wide)'!$A$3:$A$79)=2026)*('Avantis (wide)'!C$3:C$79+'Avantis (wide)'!F$3:F$79+'Avantis (wide)'!I$3:I$79+'Avantis (wide)'!J$3:J$79+'Avantis (wide)'!L$3:L$79+'Avantis (wide)'!Q$3:Q$79+'Avantis (wide)'!S$3:S$79+'Avantis (wide)'!T$3:T$79+'Avantis (wide)'!V$3:V$79+'Avantis (wide)'!Z$3:Z$79+'Avantis (wide)'!AA$3:AA$79+'Avantis (wide)'!AB$3:AB$79+'Avantis (wide)'!AC$3:AC$79+'Avantis (wide)'!AD$3:AD$79+'Avantis (wide)'!AE$3:AE$79))</f>
        <v>108575766.72430295</v>
      </c>
      <c r="J6" s="16">
        <f>SUMPRODUCT((MONTH('Ostium (wide)'!$A$3:$A$79)=4)*(YEAR('Ostium (wide)'!$A$3:$A$79)=2026)*('Ostium (wide)'!H$3:H$79+'Ostium (wide)'!M$3:M$79+'Ostium (wide)'!AB$3:AB$79+'Ostium (wide)'!AQ$3:AQ$79+'Ostium (wide)'!AR$3:AR$79+'Ostium (wide)'!AS$3:AS$79+'Ostium (wide)'!AX$3:AX$79+'Ostium (wide)'!AY$3:AY$79+'Ostium (wide)'!BH$3:BH$79))</f>
        <v>318342518.46993953</v>
      </c>
      <c r="K6" s="16">
        <f>SUMPRODUCT((MONTH('Lighter (wide)'!$A$3:$A$67)=4)*(YEAR('Lighter (wide)'!$A$3:$A$67)=2026)*('Lighter (wide)'!N$3:N$67+'Lighter (wide)'!Q$3:Q$67+'Lighter (wide)'!R$3:R$67+'Lighter (wide)'!AG$3:AG$67+'Lighter (wide)'!AI$3:AI$67+'Lighter (wide)'!AJ$3:AJ$67+'Lighter (wide)'!AV$3:AV$67+'Lighter (wide)'!AY$3:AY$67))</f>
        <v>52748922.251665004</v>
      </c>
      <c r="L6" s="16">
        <f>SUMPRODUCT((MONTH('HIP-3 (wide)'!$A$3:$A$247)=4)*(YEAR('HIP-3 (wide)'!$A$3:$A$247)=2026)*('HIP-3 (wide)'!AE$3:AE$247+'HIP-3 (wide)'!AG$3:AG$247+'HIP-3 (wide)'!CO$3:CO$247+'HIP-3 (wide)'!CX$3:CX$247+'HIP-3 (wide)'!DI$3:DI$247))</f>
        <v>332965304.47296005</v>
      </c>
      <c r="M6" s="17">
        <f t="shared" si="0"/>
        <v>977349997.26915765</v>
      </c>
    </row>
    <row r="7" spans="1:13" x14ac:dyDescent="0.35">
      <c r="A7" s="20" t="s">
        <v>3</v>
      </c>
      <c r="B7" s="16">
        <f>SUMPRODUCT((MONTH('CEX (wide)'!$A$3:$A$70)=4)*(YEAR('CEX (wide)'!$A$3:$A$70)=2026)*('CEX (wide)'!O$3:O$70+'CEX (wide)'!W$3:W$70+'CEX (wide)'!Y$3:Y$70+'CEX (wide)'!AC$3:AC$70+'CEX (wide)'!AO$3:AO$70+'CEX (wide)'!AU$3:AU$70+'CEX (wide)'!AV$3:AV$70+'CEX (wide)'!AX$3:AX$70+'CEX (wide)'!BC$3:BC$70+'CEX (wide)'!BN$3:BN$70+'CEX (wide)'!BV$3:BV$70+'CEX (wide)'!CC$3:CC$70+'CEX (wide)'!CE$3:CE$70+'CEX (wide)'!CO$3:CO$70+'CEX (wide)'!CT$3:CT$70+'CEX (wide)'!DA$3:DA$70+'CEX (wide)'!DC$3:DC$70+'CEX (wide)'!DD$3:DD$70+'CEX (wide)'!DF$3:DF$70+'CEX (wide)'!DG$3:DG$70+'CEX (wide)'!DN$3:DN$70+'CEX (wide)'!DY$3:DY$70+'CEX (wide)'!EB$3:EB$70+'CEX (wide)'!EC$3:EC$70+'CEX (wide)'!EI$3:EI$70+'CEX (wide)'!EN$3:EN$70+'CEX (wide)'!EO$3:EO$70))</f>
        <v>1057505510.4019225</v>
      </c>
      <c r="C7" s="16">
        <f>SUMPRODUCT((MONTH('Extended (wide)'!$A$3:$A$70)=4)*(YEAR('Extended (wide)'!$A$3:$A$70)=2026)*('Extended (wide)'!M$3:M$70+'Extended (wide)'!Q$3:Q$70+'Extended (wide)'!AE$3:AE$70))</f>
        <v>176751064.19318005</v>
      </c>
      <c r="D7" s="16">
        <f>SUMPRODUCT((MONTH('GRVT (wide)'!$A$3:$A$67)=4)*(YEAR('GRVT (wide)'!$A$3:$A$67)=2026)*('GRVT (wide)'!O$3:O$67+'GRVT (wide)'!Q$3:Q$67+'GRVT (wide)'!V$3:V$67+'GRVT (wide)'!AB$3:AB$67))</f>
        <v>88098132.170999974</v>
      </c>
      <c r="E7" s="16">
        <f>SUMPRODUCT((MONTH('Pacifica (wide)'!$A$3:$A$90)=4)*(YEAR('Pacifica (wide)'!$A$3:$A$90)=2026)*('Pacifica (wide)'!H$3:H$90+'Pacifica (wide)'!S$3:S$90))</f>
        <v>8813841.3035400007</v>
      </c>
      <c r="F7" s="16">
        <f>SUMPRODUCT((MONTH('Apex (wide)'!$A$3:$A$69)=4)*(YEAR('Apex (wide)'!$A$3:$A$69)=2026)*('Apex (wide)'!G$3:G$69+'Apex (wide)'!K$3:K$69+'Apex (wide)'!O$3:O$69+'Apex (wide)'!W$3:W$69+'Apex (wide)'!AD$3:AD$69))</f>
        <v>12544598.0525</v>
      </c>
      <c r="G7" s="16">
        <f>SUMPRODUCT((MONTH('Aster (wide)'!$A$3:$A$70)=4)*(YEAR('Aster (wide)'!$A$3:$A$70)=2026)*('Aster (wide)'!H$3:H$70+'Aster (wide)'!U$3:U$70+'Aster (wide)'!Z$3:Z$70+'Aster (wide)'!AC$3:AC$70+'Aster (wide)'!AI$3:AI$70))</f>
        <v>9079174.4034300018</v>
      </c>
      <c r="H7" s="16">
        <f>SUMPRODUCT((MONTH('EdgeX (wide)'!$A$3:$A$67)=4)*(YEAR('EdgeX (wide)'!$A$3:$A$67)=2026)*('EdgeX (wide)'!H$3:H$67+'EdgeX (wide)'!I$3:I$67+'EdgeX (wide)'!AA$3:AA$67))</f>
        <v>233127965.19838998</v>
      </c>
      <c r="I7" s="16">
        <f>SUMPRODUCT((MONTH('Avantis (wide)'!$A$3:$A$79)=4)*(YEAR('Avantis (wide)'!$A$3:$A$79)=2026)*('Avantis (wide)'!G$3:G$79+'Avantis (wide)'!H$3:H$79))</f>
        <v>32930097.10328196</v>
      </c>
      <c r="J7" s="16">
        <f>SUMPRODUCT((MONTH('Ostium (wide)'!$A$3:$A$79)=4)*(YEAR('Ostium (wide)'!$A$3:$A$79)=2026)*('Ostium (wide)'!E$3:E$79+'Ostium (wide)'!G$3:G$79+'Ostium (wide)'!K$3:K$79+'Ostium (wide)'!Y$3:Y$79+'Ostium (wide)'!AE$3:AE$79+'Ostium (wide)'!AH$3:AH$79+'Ostium (wide)'!AI$3:AI$79+'Ostium (wide)'!AO$3:AO$79+'Ostium (wide)'!BJ$3:BJ$79+'Ostium (wide)'!BK$3:BK$79+'Ostium (wide)'!BO$3:BO$79))</f>
        <v>487002586.4220376</v>
      </c>
      <c r="K7" s="16">
        <f>SUMPRODUCT((MONTH('Lighter (wide)'!$A$3:$A$67)=4)*(YEAR('Lighter (wide)'!$A$3:$A$67)=2026)*('Lighter (wide)'!P$3:P$67+'Lighter (wide)'!U$3:U$67+'Lighter (wide)'!AA$3:AA$67+'Lighter (wide)'!AP$3:AP$67+'Lighter (wide)'!AR$3:AR$67+'Lighter (wide)'!AT$3:AT$67+'Lighter (wide)'!AW$3:AW$67+'Lighter (wide)'!BA$3:BA$67))</f>
        <v>58971328.415167987</v>
      </c>
      <c r="L7" s="16">
        <f>SUMPRODUCT((MONTH('HIP-3 (wide)'!$A$3:$A$247)=4)*(YEAR('HIP-3 (wide)'!$A$3:$A$247)=2026)*('HIP-3 (wide)'!E$3:E$247+'HIP-3 (wide)'!G$3:G$247+'HIP-3 (wide)'!V$3:V$247+'HIP-3 (wide)'!X$3:X$247+'HIP-3 (wide)'!AJ$3:AJ$247+'HIP-3 (wide)'!AS$3:AS$247+'HIP-3 (wide)'!BB$3:BB$247+'HIP-3 (wide)'!BE$3:BE$247+'HIP-3 (wide)'!BJ$3:BJ$247+'HIP-3 (wide)'!BO$3:BO$247+'HIP-3 (wide)'!BP$3:BP$247+'HIP-3 (wide)'!BQ$3:BQ$247+'HIP-3 (wide)'!BR$3:BR$247+'HIP-3 (wide)'!BU$3:BU$247+'HIP-3 (wide)'!BV$3:BV$247+'HIP-3 (wide)'!BY$3:BY$247+'HIP-3 (wide)'!CA$3:CA$247+'HIP-3 (wide)'!CB$3:CB$247+'HIP-3 (wide)'!CC$3:CC$247+'HIP-3 (wide)'!CF$3:CF$247+'HIP-3 (wide)'!CK$3:CK$247+'HIP-3 (wide)'!CL$3:CL$247+'HIP-3 (wide)'!CT$3:CT$247+'HIP-3 (wide)'!CU$3:CU$247+'HIP-3 (wide)'!CV$3:CV$247+'HIP-3 (wide)'!CZ$3:CZ$247+'HIP-3 (wide)'!DG$3:DG$247))</f>
        <v>13992119525.427198</v>
      </c>
      <c r="M7" s="17">
        <f t="shared" si="0"/>
        <v>16156943823.091648</v>
      </c>
    </row>
    <row r="8" spans="1:13" x14ac:dyDescent="0.35">
      <c r="A8" s="21" t="s">
        <v>4</v>
      </c>
      <c r="B8" s="16">
        <f>SUMPRODUCT((MONTH('CEX (wide)'!$A$3:$A$70)=4)*(YEAR('CEX (wide)'!$A$3:$A$70)=2026)*('CEX (wide)'!AD$3:AD$70+'CEX (wide)'!BE$3:BE$70+'CEX (wide)'!BF$3:BF$70+'CEX (wide)'!DW$3:DW$70+'CEX (wide)'!EL$3:EL$70))</f>
        <v>1494151.4396000002</v>
      </c>
      <c r="C8" s="16">
        <v>0</v>
      </c>
      <c r="D8" s="16">
        <v>0</v>
      </c>
      <c r="E8" s="16">
        <f>SUMPRODUCT((MONTH('Pacifica (wide)'!$A$3:$A$90)=4)*(YEAR('Pacifica (wide)'!$A$3:$A$90)=2026)*('Pacifica (wide)'!Q$3:Q$90+'Pacifica (wide)'!T$3:T$90))</f>
        <v>0</v>
      </c>
      <c r="F8" s="16">
        <v>0</v>
      </c>
      <c r="G8" s="16">
        <f>SUMPRODUCT((MONTH('Aster (wide)'!$A$3:$A$70)=4)*(YEAR('Aster (wide)'!$A$3:$A$70)=2026)*('Aster (wide)'!W$3:W$70+'Aster (wide)'!AD$3:AD$70))</f>
        <v>0</v>
      </c>
      <c r="H8" s="16">
        <v>0</v>
      </c>
      <c r="I8" s="16">
        <v>0</v>
      </c>
      <c r="J8" s="16">
        <v>0</v>
      </c>
      <c r="K8" s="16">
        <f>SUMPRODUCT((MONTH('Lighter (wide)'!$A$3:$A$67)=4)*(YEAR('Lighter (wide)'!$A$3:$A$67)=2026)*('Lighter (wide)'!AN$3:AN$67+'Lighter (wide)'!AS$3:AS$67))</f>
        <v>0</v>
      </c>
      <c r="L8" s="16">
        <f>SUMPRODUCT((MONTH('HIP-3 (wide)'!$A$3:$A$247)=4)*(YEAR('HIP-3 (wide)'!$A$3:$A$247)=2026)*('HIP-3 (wide)'!P$3:P$247+'HIP-3 (wide)'!AD$3:AD$247+'HIP-3 (wide)'!BG$3:BG$247+'HIP-3 (wide)'!BK$3:BK$247+'HIP-3 (wide)'!BL$3:BL$247+'HIP-3 (wide)'!CR$3:CR$247))</f>
        <v>17890411.991249993</v>
      </c>
      <c r="M8" s="17">
        <f t="shared" si="0"/>
        <v>19384563.430849992</v>
      </c>
    </row>
    <row r="9" spans="1:13" x14ac:dyDescent="0.35">
      <c r="A9" s="22" t="s">
        <v>2</v>
      </c>
      <c r="B9" s="16">
        <f>SUMPRODUCT((MONTH('CEX (wide)'!$A$3:$A$70)=4)*(YEAR('CEX (wide)'!$A$3:$A$70)=2026)*('CEX (wide)'!G$3:G$70+'CEX (wide)'!H$3:H$70+'CEX (wide)'!I$3:I$70+'CEX (wide)'!J$3:J$70+'CEX (wide)'!K$3:K$70+'CEX (wide)'!L$3:L$70+'CEX (wide)'!M$3:M$70+'CEX (wide)'!N$3:N$70+'CEX (wide)'!P$3:P$70+'CEX (wide)'!R$3:R$70+'CEX (wide)'!T$3:T$70+'CEX (wide)'!U$3:U$70+'CEX (wide)'!V$3:V$70+'CEX (wide)'!X$3:X$70+'CEX (wide)'!Z$3:Z$70+'CEX (wide)'!AA$3:AA$70+'CEX (wide)'!AF$3:AF$70+'CEX (wide)'!AG$3:AG$70+'CEX (wide)'!AH$3:AH$70+'CEX (wide)'!AI$3:AI$70+'CEX (wide)'!AJ$3:AJ$70+'CEX (wide)'!AL$3:AL$70+'CEX (wide)'!AM$3:AM$70+'CEX (wide)'!AN$3:AN$70+'CEX (wide)'!AP$3:AP$70+'CEX (wide)'!AQ$3:AQ$70+'CEX (wide)'!AR$3:AR$70+'CEX (wide)'!AS$3:AS$70+'CEX (wide)'!AT$3:AT$70+'CEX (wide)'!AW$3:AW$70+'CEX (wide)'!AY$3:AY$70+'CEX (wide)'!AZ$3:AZ$70+'CEX (wide)'!BA$3:BA$70+'CEX (wide)'!BB$3:BB$70+'CEX (wide)'!BD$3:BD$70+'CEX (wide)'!BG$3:BG$70+'CEX (wide)'!BH$3:BH$70+'CEX (wide)'!BI$3:BI$70+'CEX (wide)'!BJ$3:BJ$70+'CEX (wide)'!BK$3:BK$70+'CEX (wide)'!BL$3:BL$70+'CEX (wide)'!BM$3:BM$70+'CEX (wide)'!BO$3:BO$70+'CEX (wide)'!BP$3:BP$70+'CEX (wide)'!BQ$3:BQ$70+'CEX (wide)'!BR$3:BR$70+'CEX (wide)'!BS$3:BS$70+'CEX (wide)'!BT$3:BT$70+'CEX (wide)'!BU$3:BU$70+'CEX (wide)'!BW$3:BW$70+'CEX (wide)'!BX$3:BX$70+'CEX (wide)'!BY$3:BY$70+'CEX (wide)'!BZ$3:BZ$70+'CEX (wide)'!CA$3:CA$70+'CEX (wide)'!CB$3:CB$70+'CEX (wide)'!CD$3:CD$70+'CEX (wide)'!CF$3:CF$70+'CEX (wide)'!CG$3:CG$70+'CEX (wide)'!CH$3:CH$70+'CEX (wide)'!CI$3:CI$70+'CEX (wide)'!CJ$3:CJ$70+'CEX (wide)'!CK$3:CK$70+'CEX (wide)'!CL$3:CL$70+'CEX (wide)'!CM$3:CM$70+'CEX (wide)'!CP$3:CP$70+'CEX (wide)'!CQ$3:CQ$70+'CEX (wide)'!CR$3:CR$70+'CEX (wide)'!CS$3:CS$70+'CEX (wide)'!CU$3:CU$70+'CEX (wide)'!CV$3:CV$70+'CEX (wide)'!CW$3:CW$70+'CEX (wide)'!CX$3:CX$70+'CEX (wide)'!CY$3:CY$70+'CEX (wide)'!CZ$3:CZ$70+'CEX (wide)'!DB$3:DB$70+'CEX (wide)'!DE$3:DE$70+'CEX (wide)'!DH$3:DH$70+'CEX (wide)'!DI$3:DI$70+'CEX (wide)'!DJ$3:DJ$70+'CEX (wide)'!DK$3:DK$70+'CEX (wide)'!DL$3:DL$70+'CEX (wide)'!DM$3:DM$70+'CEX (wide)'!DO$3:DO$70+'CEX (wide)'!DP$3:DP$70+'CEX (wide)'!DQ$3:DQ$70+'CEX (wide)'!DR$3:DR$70+'CEX (wide)'!DS$3:DS$70+'CEX (wide)'!DT$3:DT$70+'CEX (wide)'!DU$3:DU$70+'CEX (wide)'!DV$3:DV$70+'CEX (wide)'!DX$3:DX$70+'CEX (wide)'!DZ$3:DZ$70+'CEX (wide)'!EF$3:EF$70+'CEX (wide)'!EG$3:EG$70+'CEX (wide)'!EJ$3:EJ$70+'CEX (wide)'!EK$3:EK$70+'CEX (wide)'!EM$3:EM$70+'CEX (wide)'!EP$3:EP$70+'CEX (wide)'!EQ$3:EQ$70+'CEX (wide)'!ER$3:ER$70+'CEX (wide)'!ES$3:ES$70+'CEX (wide)'!EU$3:EU$70+'CEX (wide)'!EW$3:EW$70+'CEX (wide)'!EX$3:EX$70+'CEX (wide)'!EY$3:EY$70+'CEX (wide)'!EZ$3:EZ$70+'CEX (wide)'!FA$3:FA$70+'CEX (wide)'!FB$3:FB$70+'CEX (wide)'!FC$3:FC$70+'CEX (wide)'!FD$3:FD$70+'CEX (wide)'!FE$3:FE$70+'CEX (wide)'!FF$3:FF$70+'CEX (wide)'!FG$3:FG$70+'CEX (wide)'!FH$3:FH$70+'CEX (wide)'!FI$3:FI$70+'CEX (wide)'!FJ$3:FJ$70+'CEX (wide)'!FK$3:FK$70+'CEX (wide)'!FL$3:FL$70+'CEX (wide)'!FM$3:FM$70+'CEX (wide)'!FN$3:FN$70+'CEX (wide)'!FO$3:FO$70+'CEX (wide)'!FP$3:FP$70+'CEX (wide)'!FQ$3:FQ$70+'CEX (wide)'!FR$3:FR$70+'CEX (wide)'!FS$3:FS$70+'CEX (wide)'!FT$3:FT$70+'CEX (wide)'!FU$3:FU$70+'CEX (wide)'!FV$3:FV$70+'CEX (wide)'!FW$3:FW$70+'CEX (wide)'!FX$3:FX$70+'CEX (wide)'!FY$3:FY$70+'CEX (wide)'!FZ$3:FZ$70+'CEX (wide)'!GB$3:GB$70+'CEX (wide)'!GC$3:GC$70+'CEX (wide)'!GD$3:GD$70))</f>
        <v>16410711942.835617</v>
      </c>
      <c r="C9" s="16">
        <f>SUMPRODUCT((MONTH('Extended (wide)'!$A$3:$A$70)=4)*(YEAR('Extended (wide)'!$A$3:$A$70)=2026)*('Extended (wide)'!G$3:G$70+'Extended (wide)'!J$3:J$70+'Extended (wide)'!K$3:K$70+'Extended (wide)'!L$3:L$70+'Extended (wide)'!N$3:N$70+'Extended (wide)'!R$3:R$70+'Extended (wide)'!S$3:S$70+'Extended (wide)'!U$3:U$70+'Extended (wide)'!V$3:V$70+'Extended (wide)'!W$3:W$70+'Extended (wide)'!X$3:X$70+'Extended (wide)'!Y$3:Y$70+'Extended (wide)'!Z$3:Z$70+'Extended (wide)'!AA$3:AA$70+'Extended (wide)'!AB$3:AB$70+'Extended (wide)'!AC$3:AC$70+'Extended (wide)'!AD$3:AD$70+'Extended (wide)'!AF$3:AF$70))</f>
        <v>791328389.47772038</v>
      </c>
      <c r="D9" s="16">
        <f>SUMPRODUCT((MONTH('GRVT (wide)'!$A$3:$A$67)=4)*(YEAR('GRVT (wide)'!$A$3:$A$67)=2026)*('GRVT (wide)'!D$3:D$67+'GRVT (wide)'!E$3:E$67+'GRVT (wide)'!G$3:G$67+'GRVT (wide)'!I$3:I$67+'GRVT (wide)'!K$3:K$67+'GRVT (wide)'!M$3:M$67+'GRVT (wide)'!N$3:N$67+'GRVT (wide)'!P$3:P$67+'GRVT (wide)'!R$3:R$67+'GRVT (wide)'!T$3:T$67+'GRVT (wide)'!U$3:U$67+'GRVT (wide)'!W$3:W$67+'GRVT (wide)'!Y$3:Y$67+'GRVT (wide)'!Z$3:Z$67+'GRVT (wide)'!AA$3:AA$67+'GRVT (wide)'!AC$3:AC$67+'GRVT (wide)'!AD$3:AD$67+'GRVT (wide)'!AE$3:AE$67))</f>
        <v>727903121.69569981</v>
      </c>
      <c r="E9" s="16">
        <f>SUMPRODUCT((MONTH('Pacifica (wide)'!$A$3:$A$90)=4)*(YEAR('Pacifica (wide)'!$A$3:$A$90)=2026)*('Pacifica (wide)'!F$3:F$90+'Pacifica (wide)'!J$3:J$90+'Pacifica (wide)'!K$3:K$90+'Pacifica (wide)'!M$3:M$90+'Pacifica (wide)'!N$3:N$90+'Pacifica (wide)'!P$3:P$90))</f>
        <v>19986606.744100004</v>
      </c>
      <c r="F9" s="16">
        <f>SUMPRODUCT((MONTH('Apex (wide)'!$A$3:$A$69)=4)*(YEAR('Apex (wide)'!$A$3:$A$69)=2026)*('Apex (wide)'!C$3:C$69+'Apex (wide)'!D$3:D$69+'Apex (wide)'!E$3:E$69+'Apex (wide)'!F$3:F$69+'Apex (wide)'!L$3:L$69+'Apex (wide)'!M$3:M$69+'Apex (wide)'!N$3:N$69+'Apex (wide)'!P$3:P$69+'Apex (wide)'!Q$3:Q$69+'Apex (wide)'!R$3:R$69+'Apex (wide)'!S$3:S$69+'Apex (wide)'!T$3:T$69+'Apex (wide)'!U$3:U$69+'Apex (wide)'!X$3:X$69+'Apex (wide)'!Y$3:Y$69+'Apex (wide)'!Z$3:Z$69+'Apex (wide)'!AA$3:AA$69+'Apex (wide)'!AB$3:AB$69+'Apex (wide)'!AE$3:AE$69+'Apex (wide)'!AF$3:AF$69))</f>
        <v>200010839.43430001</v>
      </c>
      <c r="G9" s="16">
        <f>SUMPRODUCT((MONTH('Aster (wide)'!$A$3:$A$70)=4)*(YEAR('Aster (wide)'!$A$3:$A$70)=2026)*('Aster (wide)'!F$3:F$70+'Aster (wide)'!G$3:G$70+'Aster (wide)'!I$3:I$70+'Aster (wide)'!J$3:J$70+'Aster (wide)'!K$3:K$70+'Aster (wide)'!L$3:L$70+'Aster (wide)'!M$3:M$70+'Aster (wide)'!N$3:N$70+'Aster (wide)'!P$3:P$70+'Aster (wide)'!Q$3:Q$70+'Aster (wide)'!S$3:S$70+'Aster (wide)'!T$3:T$70+'Aster (wide)'!X$3:X$70+'Aster (wide)'!AA$3:AA$70+'Aster (wide)'!AB$3:AB$70+'Aster (wide)'!AE$3:AE$70+'Aster (wide)'!AF$3:AF$70+'Aster (wide)'!AG$3:AG$70+'Aster (wide)'!AH$3:AH$70+'Aster (wide)'!AJ$3:AJ$70+'Aster (wide)'!AK$3:AK$70+'Aster (wide)'!AL$3:AL$70+'Aster (wide)'!AM$3:AM$70+'Aster (wide)'!AN$3:AN$70+'Aster (wide)'!AO$3:AO$70+'Aster (wide)'!AP$3:AP$70))</f>
        <v>40818402.700819999</v>
      </c>
      <c r="H9" s="16">
        <f>SUMPRODUCT((MONTH('EdgeX (wide)'!$A$3:$A$67)=4)*(YEAR('EdgeX (wide)'!$A$3:$A$67)=2026)*('EdgeX (wide)'!J$3:J$67+'EdgeX (wide)'!K$3:K$67+'EdgeX (wide)'!L$3:L$67+'EdgeX (wide)'!M$3:M$67+'EdgeX (wide)'!N$3:N$67+'EdgeX (wide)'!O$3:O$67+'EdgeX (wide)'!Q$3:Q$67+'EdgeX (wide)'!R$3:R$67+'EdgeX (wide)'!S$3:S$67+'EdgeX (wide)'!U$3:U$67+'EdgeX (wide)'!V$3:V$67+'EdgeX (wide)'!W$3:W$67+'EdgeX (wide)'!X$3:X$67+'EdgeX (wide)'!Y$3:Y$67+'EdgeX (wide)'!Z$3:Z$67))</f>
        <v>946818081.85278988</v>
      </c>
      <c r="I9" s="16">
        <f>SUMPRODUCT((MONTH('Avantis (wide)'!$A$3:$A$79)=4)*(YEAR('Avantis (wide)'!$A$3:$A$79)=2026)*('Avantis (wide)'!K$3:K$79+'Avantis (wide)'!M$3:M$79+'Avantis (wide)'!N$3:N$79+'Avantis (wide)'!O$3:O$79+'Avantis (wide)'!P$3:P$79+'Avantis (wide)'!U$3:U$79+'Avantis (wide)'!W$3:W$79+'Avantis (wide)'!X$3:X$79+'Avantis (wide)'!Y$3:Y$79))</f>
        <v>3733183.2087517246</v>
      </c>
      <c r="J9" s="16">
        <f>SUMPRODUCT((MONTH('Ostium (wide)'!$A$3:$A$79)=4)*(YEAR('Ostium (wide)'!$A$3:$A$79)=2026)*('Ostium (wide)'!I$3:I$79+'Ostium (wide)'!J$3:J$79+'Ostium (wide)'!N$3:N$79+'Ostium (wide)'!P$3:P$79+'Ostium (wide)'!Q$3:Q$79+'Ostium (wide)'!R$3:R$79+'Ostium (wide)'!S$3:S$79+'Ostium (wide)'!T$3:T$79+'Ostium (wide)'!U$3:U$79+'Ostium (wide)'!V$3:V$79+'Ostium (wide)'!W$3:W$79+'Ostium (wide)'!X$3:X$79+'Ostium (wide)'!Z$3:Z$79+'Ostium (wide)'!AA$3:AA$79+'Ostium (wide)'!AC$3:AC$79+'Ostium (wide)'!AD$3:AD$79+'Ostium (wide)'!AF$3:AF$79+'Ostium (wide)'!AG$3:AG$79+'Ostium (wide)'!AJ$3:AJ$79+'Ostium (wide)'!AK$3:AK$79+'Ostium (wide)'!AM$3:AM$79+'Ostium (wide)'!AN$3:AN$79+'Ostium (wide)'!AP$3:AP$79+'Ostium (wide)'!AT$3:AT$79+'Ostium (wide)'!AU$3:AU$79+'Ostium (wide)'!AV$3:AV$79+'Ostium (wide)'!BA$3:BA$79+'Ostium (wide)'!BB$3:BB$79+'Ostium (wide)'!BD$3:BD$79+'Ostium (wide)'!BF$3:BF$79+'Ostium (wide)'!BG$3:BG$79+'Ostium (wide)'!BI$3:BI$79+'Ostium (wide)'!BL$3:BL$79+'Ostium (wide)'!BM$3:BM$79+'Ostium (wide)'!BN$3:BN$79))</f>
        <v>360283338.61798573</v>
      </c>
      <c r="K9" s="16">
        <f>SUMPRODUCT((MONTH('Lighter (wide)'!$A$3:$A$67)=4)*(YEAR('Lighter (wide)'!$A$3:$A$67)=2026)*('Lighter (wide)'!H$3:H$67+'Lighter (wide)'!I$3:I$67+'Lighter (wide)'!J$3:J$67+'Lighter (wide)'!L$3:L$67+'Lighter (wide)'!O$3:O$67+'Lighter (wide)'!S$3:S$67+'Lighter (wide)'!V$3:V$67+'Lighter (wide)'!W$3:W$67+'Lighter (wide)'!X$3:X$67+'Lighter (wide)'!Y$3:Y$67+'Lighter (wide)'!Z$3:Z$67+'Lighter (wide)'!AB$3:AB$67+'Lighter (wide)'!AC$3:AC$67+'Lighter (wide)'!AD$3:AD$67+'Lighter (wide)'!AE$3:AE$67+'Lighter (wide)'!AF$3:AF$67+'Lighter (wide)'!AH$3:AH$67+'Lighter (wide)'!AK$3:AK$67+'Lighter (wide)'!AL$3:AL$67+'Lighter (wide)'!AM$3:AM$67+'Lighter (wide)'!AO$3:AO$67+'Lighter (wide)'!AQ$3:AQ$67+'Lighter (wide)'!AU$3:AU$67+'Lighter (wide)'!AZ$3:AZ$67+'Lighter (wide)'!BB$3:BB$67+'Lighter (wide)'!BC$3:BC$67+'Lighter (wide)'!BD$3:BD$67))</f>
        <v>196582489.69802806</v>
      </c>
      <c r="L9" s="16">
        <f>SUMPRODUCT((MONTH('HIP-3 (wide)'!$A$3:$A$247)=4)*(YEAR('HIP-3 (wide)'!$A$3:$A$247)=2026)*('HIP-3 (wide)'!I$3:I$247+'HIP-3 (wide)'!J$3:J$247+'HIP-3 (wide)'!K$3:K$247+'HIP-3 (wide)'!L$3:L$247+'HIP-3 (wide)'!M$3:M$247+'HIP-3 (wide)'!N$3:N$247+'HIP-3 (wide)'!Q$3:Q$247+'HIP-3 (wide)'!S$3:S$247+'HIP-3 (wide)'!T$3:T$247+'HIP-3 (wide)'!U$3:U$247+'HIP-3 (wide)'!W$3:W$247+'HIP-3 (wide)'!Y$3:Y$247+'HIP-3 (wide)'!Z$3:Z$247+'HIP-3 (wide)'!AB$3:AB$247+'HIP-3 (wide)'!AC$3:AC$247+'HIP-3 (wide)'!AF$3:AF$247+'HIP-3 (wide)'!AH$3:AH$247+'HIP-3 (wide)'!AI$3:AI$247+'HIP-3 (wide)'!AL$3:AL$247+'HIP-3 (wide)'!AM$3:AM$247+'HIP-3 (wide)'!AN$3:AN$247+'HIP-3 (wide)'!AO$3:AO$247+'HIP-3 (wide)'!AP$3:AP$247+'HIP-3 (wide)'!AQ$3:AQ$247+'HIP-3 (wide)'!AR$3:AR$247+'HIP-3 (wide)'!AT$3:AT$247+'HIP-3 (wide)'!AU$3:AU$247+'HIP-3 (wide)'!AV$3:AV$247+'HIP-3 (wide)'!AX$3:AX$247+'HIP-3 (wide)'!AY$3:AY$247+'HIP-3 (wide)'!AZ$3:AZ$247+'HIP-3 (wide)'!BC$3:BC$247+'HIP-3 (wide)'!BD$3:BD$247+'HIP-3 (wide)'!BH$3:BH$247+'HIP-3 (wide)'!BI$3:BI$247+'HIP-3 (wide)'!BM$3:BM$247+'HIP-3 (wide)'!BS$3:BS$247+'HIP-3 (wide)'!BT$3:BT$247+'HIP-3 (wide)'!BW$3:BW$247+'HIP-3 (wide)'!BZ$3:BZ$247+'HIP-3 (wide)'!CD$3:CD$247+'HIP-3 (wide)'!CE$3:CE$247+'HIP-3 (wide)'!CG$3:CG$247+'HIP-3 (wide)'!CI$3:CI$247+'HIP-3 (wide)'!CM$3:CM$247+'HIP-3 (wide)'!CN$3:CN$247+'HIP-3 (wide)'!CP$3:CP$247+'HIP-3 (wide)'!CQ$3:CQ$247+'HIP-3 (wide)'!DA$3:DA$247+'HIP-3 (wide)'!DC$3:DC$247+'HIP-3 (wide)'!DF$3:DF$247))</f>
        <v>5776749817.8726358</v>
      </c>
      <c r="M9" s="17">
        <f t="shared" si="0"/>
        <v>25474926214.138451</v>
      </c>
    </row>
    <row r="10" spans="1:13" x14ac:dyDescent="0.35">
      <c r="A10" s="23" t="s">
        <v>226</v>
      </c>
      <c r="B10" s="16">
        <v>0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f>SUMPRODUCT((MONTH('Ostium (wide)'!$A$3:$A$79)=4)*(YEAR('Ostium (wide)'!$A$3:$A$79)=2026)*('Ostium (wide)'!AL$3:AL$79+'Ostium (wide)'!AW$3:AW$79))</f>
        <v>8581503.8742420003</v>
      </c>
      <c r="K10" s="16">
        <v>0</v>
      </c>
      <c r="L10" s="16">
        <v>0</v>
      </c>
      <c r="M10" s="17">
        <f t="shared" si="0"/>
        <v>8581503.8742420003</v>
      </c>
    </row>
    <row r="11" spans="1:13" x14ac:dyDescent="0.35">
      <c r="A11" s="24" t="s">
        <v>328</v>
      </c>
      <c r="B11" s="17">
        <f t="shared" ref="B11:M11" si="1">SUM(B4:B10)</f>
        <v>148181138882.34326</v>
      </c>
      <c r="C11" s="17">
        <f t="shared" si="1"/>
        <v>2268553230.6032205</v>
      </c>
      <c r="D11" s="17">
        <f t="shared" si="1"/>
        <v>2131527118.3368196</v>
      </c>
      <c r="E11" s="17">
        <f t="shared" si="1"/>
        <v>242050794.37787405</v>
      </c>
      <c r="F11" s="17">
        <f t="shared" si="1"/>
        <v>222468667.55838001</v>
      </c>
      <c r="G11" s="17">
        <f t="shared" si="1"/>
        <v>1035900767.1470702</v>
      </c>
      <c r="H11" s="17">
        <f t="shared" si="1"/>
        <v>8159534823.3810301</v>
      </c>
      <c r="I11" s="17">
        <f t="shared" si="1"/>
        <v>232858825.32503766</v>
      </c>
      <c r="J11" s="17">
        <f t="shared" si="1"/>
        <v>2967480271.5093126</v>
      </c>
      <c r="K11" s="17">
        <f t="shared" si="1"/>
        <v>6711555512.7034035</v>
      </c>
      <c r="L11" s="17">
        <f t="shared" si="1"/>
        <v>60967254717.976196</v>
      </c>
      <c r="M11" s="17">
        <f t="shared" si="1"/>
        <v>233120323611.26166</v>
      </c>
    </row>
    <row r="13" spans="1:13" ht="15" customHeight="1" x14ac:dyDescent="0.35">
      <c r="A13" s="13" t="s">
        <v>329</v>
      </c>
    </row>
    <row r="14" spans="1:13" x14ac:dyDescent="0.35">
      <c r="A14" s="14" t="s">
        <v>0</v>
      </c>
      <c r="B14" s="14" t="s">
        <v>317</v>
      </c>
      <c r="C14" s="14" t="s">
        <v>330</v>
      </c>
      <c r="D14" s="14" t="s">
        <v>327</v>
      </c>
      <c r="E14" s="25" t="s">
        <v>331</v>
      </c>
      <c r="G14" s="14" t="s">
        <v>0</v>
      </c>
      <c r="H14" s="25" t="s">
        <v>317</v>
      </c>
      <c r="I14" s="25" t="s">
        <v>332</v>
      </c>
      <c r="J14" s="25" t="s">
        <v>333</v>
      </c>
      <c r="K14" s="25" t="s">
        <v>7</v>
      </c>
    </row>
    <row r="15" spans="1:13" x14ac:dyDescent="0.35">
      <c r="A15" s="15" t="s">
        <v>1</v>
      </c>
      <c r="B15" s="16">
        <f t="shared" ref="B15:B21" si="2">B4</f>
        <v>130709594724.73232</v>
      </c>
      <c r="C15" s="16">
        <f t="shared" ref="C15:C21" si="3">C4+D4+E4+F4+G4+H4+I4+J4+K4</f>
        <v>18926013126.512814</v>
      </c>
      <c r="D15" s="26">
        <v>41616333512</v>
      </c>
      <c r="E15" s="27">
        <f t="shared" ref="E15:E22" si="4">SUM(C15:D15)</f>
        <v>60542346638.512817</v>
      </c>
      <c r="G15" s="15" t="s">
        <v>1</v>
      </c>
      <c r="H15" s="28">
        <f t="shared" ref="H15:H21" si="5">B15/B$22</f>
        <v>0.88209333327176365</v>
      </c>
      <c r="I15" s="28">
        <f t="shared" ref="I15:I21" si="6">E15/E$22</f>
        <v>0.67906735552649689</v>
      </c>
      <c r="J15" s="28">
        <f t="shared" ref="J15:J21" si="7">D15/D$22</f>
        <v>0.63845171357491781</v>
      </c>
      <c r="K15" s="28">
        <f t="shared" ref="K15:K21" si="8">SUM(B15,E15)/SUM($B$22,$E$22)</f>
        <v>0.80582682301740294</v>
      </c>
    </row>
    <row r="16" spans="1:13" x14ac:dyDescent="0.35">
      <c r="A16" s="18" t="s">
        <v>248</v>
      </c>
      <c r="B16" s="16">
        <f t="shared" si="2"/>
        <v>0</v>
      </c>
      <c r="C16" s="16">
        <f t="shared" si="3"/>
        <v>0</v>
      </c>
      <c r="D16" s="26">
        <v>569503013</v>
      </c>
      <c r="E16" s="27">
        <f t="shared" si="4"/>
        <v>569503013</v>
      </c>
      <c r="G16" s="18" t="s">
        <v>248</v>
      </c>
      <c r="H16" s="28">
        <f t="shared" si="5"/>
        <v>0</v>
      </c>
      <c r="I16" s="28">
        <f t="shared" si="6"/>
        <v>6.3877752758970683E-3</v>
      </c>
      <c r="J16" s="28">
        <f t="shared" si="7"/>
        <v>8.7369583971419577E-3</v>
      </c>
      <c r="K16" s="28">
        <f t="shared" si="8"/>
        <v>2.3995615437597032E-3</v>
      </c>
    </row>
    <row r="17" spans="1:11" x14ac:dyDescent="0.35">
      <c r="A17" s="19" t="s">
        <v>5</v>
      </c>
      <c r="B17" s="16">
        <f t="shared" si="2"/>
        <v>1832552.9338300002</v>
      </c>
      <c r="C17" s="16">
        <f t="shared" si="3"/>
        <v>642552139.86236751</v>
      </c>
      <c r="D17" s="26">
        <v>331772170</v>
      </c>
      <c r="E17" s="27">
        <f t="shared" si="4"/>
        <v>974324309.86236751</v>
      </c>
      <c r="G17" s="19" t="s">
        <v>5</v>
      </c>
      <c r="H17" s="28">
        <f t="shared" si="5"/>
        <v>1.2366978332411512E-5</v>
      </c>
      <c r="I17" s="28">
        <f t="shared" si="6"/>
        <v>1.0928414064851146E-2</v>
      </c>
      <c r="J17" s="28">
        <f t="shared" si="7"/>
        <v>5.0898407566800866E-3</v>
      </c>
      <c r="K17" s="28">
        <f t="shared" si="8"/>
        <v>4.1129694052081736E-3</v>
      </c>
    </row>
    <row r="18" spans="1:11" x14ac:dyDescent="0.35">
      <c r="A18" s="20" t="s">
        <v>3</v>
      </c>
      <c r="B18" s="16">
        <f t="shared" si="2"/>
        <v>1057505510.4019225</v>
      </c>
      <c r="C18" s="16">
        <f t="shared" si="3"/>
        <v>1107318787.2625275</v>
      </c>
      <c r="D18" s="26">
        <v>15269954092</v>
      </c>
      <c r="E18" s="27">
        <f t="shared" si="4"/>
        <v>16377272879.262527</v>
      </c>
      <c r="G18" s="20" t="s">
        <v>3</v>
      </c>
      <c r="H18" s="28">
        <f t="shared" si="5"/>
        <v>7.1365729699350497E-3</v>
      </c>
      <c r="I18" s="28">
        <f t="shared" si="6"/>
        <v>0.18369409186035821</v>
      </c>
      <c r="J18" s="28">
        <f t="shared" si="7"/>
        <v>0.23426206812372316</v>
      </c>
      <c r="K18" s="28">
        <f t="shared" si="8"/>
        <v>7.3460232505936793E-2</v>
      </c>
    </row>
    <row r="19" spans="1:11" x14ac:dyDescent="0.35">
      <c r="A19" s="21" t="s">
        <v>4</v>
      </c>
      <c r="B19" s="16">
        <f t="shared" si="2"/>
        <v>1494151.4396000002</v>
      </c>
      <c r="C19" s="16">
        <f t="shared" si="3"/>
        <v>0</v>
      </c>
      <c r="D19" s="26">
        <v>18152653</v>
      </c>
      <c r="E19" s="27">
        <f t="shared" si="4"/>
        <v>18152653</v>
      </c>
      <c r="G19" s="21" t="s">
        <v>4</v>
      </c>
      <c r="H19" s="28">
        <f t="shared" si="5"/>
        <v>1.0083276798043546E-5</v>
      </c>
      <c r="I19" s="28">
        <f t="shared" si="6"/>
        <v>2.0360747068661909E-4</v>
      </c>
      <c r="J19" s="28">
        <f t="shared" si="7"/>
        <v>2.7848662858391966E-4</v>
      </c>
      <c r="K19" s="28">
        <f t="shared" si="8"/>
        <v>8.2780451226570706E-5</v>
      </c>
    </row>
    <row r="20" spans="1:11" x14ac:dyDescent="0.35">
      <c r="A20" s="22" t="s">
        <v>2</v>
      </c>
      <c r="B20" s="16">
        <f t="shared" si="2"/>
        <v>16410711942.835617</v>
      </c>
      <c r="C20" s="16">
        <f t="shared" si="3"/>
        <v>3287464453.4301953</v>
      </c>
      <c r="D20" s="26">
        <v>7367532593</v>
      </c>
      <c r="E20" s="27">
        <f t="shared" si="4"/>
        <v>10654997046.430195</v>
      </c>
      <c r="G20" s="22" t="s">
        <v>2</v>
      </c>
      <c r="H20" s="28">
        <f t="shared" si="5"/>
        <v>0.11074764350317097</v>
      </c>
      <c r="I20" s="28">
        <f t="shared" si="6"/>
        <v>0.11951074031972345</v>
      </c>
      <c r="J20" s="28">
        <f t="shared" si="7"/>
        <v>0.11302806883416508</v>
      </c>
      <c r="K20" s="28">
        <f t="shared" si="8"/>
        <v>0.11403949226381625</v>
      </c>
    </row>
    <row r="21" spans="1:11" x14ac:dyDescent="0.35">
      <c r="A21" s="23" t="s">
        <v>226</v>
      </c>
      <c r="B21" s="16">
        <f t="shared" si="2"/>
        <v>0</v>
      </c>
      <c r="C21" s="16">
        <f t="shared" si="3"/>
        <v>8581503.8742420003</v>
      </c>
      <c r="D21" s="26">
        <v>9964146</v>
      </c>
      <c r="E21" s="27">
        <f t="shared" si="4"/>
        <v>18545649.874242</v>
      </c>
      <c r="G21" s="23" t="s">
        <v>226</v>
      </c>
      <c r="H21" s="28">
        <f t="shared" si="5"/>
        <v>0</v>
      </c>
      <c r="I21" s="28">
        <f t="shared" si="6"/>
        <v>2.0801548198679437E-4</v>
      </c>
      <c r="J21" s="28">
        <f t="shared" si="7"/>
        <v>1.5286368478800033E-4</v>
      </c>
      <c r="K21" s="28">
        <f t="shared" si="8"/>
        <v>7.8140812649683176E-5</v>
      </c>
    </row>
    <row r="22" spans="1:11" x14ac:dyDescent="0.35">
      <c r="A22" s="24" t="s">
        <v>328</v>
      </c>
      <c r="B22" s="17">
        <f>SUM(B15:B21)</f>
        <v>148181138882.34326</v>
      </c>
      <c r="C22" s="17">
        <f>SUM(C15:C21)</f>
        <v>23971930010.942142</v>
      </c>
      <c r="D22" s="17">
        <f>SUM(D15:D21)</f>
        <v>65183212179</v>
      </c>
      <c r="E22" s="27">
        <f t="shared" si="4"/>
        <v>89155142189.942139</v>
      </c>
      <c r="G22" s="24" t="s">
        <v>328</v>
      </c>
    </row>
    <row r="25" spans="1:11" x14ac:dyDescent="0.35">
      <c r="B25" s="28">
        <f>+B15/(E15+B15)</f>
        <v>0.68344192374222945</v>
      </c>
      <c r="C25" s="44">
        <f>1-B25</f>
        <v>0.31655807625777055</v>
      </c>
      <c r="E25" s="44">
        <f>+'May 1-20 2026 Summary'!B25</f>
        <v>0.75679447119716603</v>
      </c>
    </row>
    <row r="26" spans="1:11" x14ac:dyDescent="0.35">
      <c r="B26" s="28">
        <f t="shared" ref="B26:B31" si="9">+B16/(E16+B16)</f>
        <v>0</v>
      </c>
      <c r="C26" s="44">
        <f t="shared" ref="C26:C31" si="10">1-B26</f>
        <v>1</v>
      </c>
      <c r="E26" s="44">
        <f>+'May 1-20 2026 Summary'!B26</f>
        <v>0</v>
      </c>
    </row>
    <row r="27" spans="1:11" x14ac:dyDescent="0.35">
      <c r="B27" s="28">
        <f t="shared" si="9"/>
        <v>1.8773139888405429E-3</v>
      </c>
      <c r="C27" s="44">
        <f t="shared" si="10"/>
        <v>0.9981226860111595</v>
      </c>
      <c r="E27" s="44">
        <f>+'May 1-20 2026 Summary'!B27</f>
        <v>2.2489411377107286E-3</v>
      </c>
    </row>
    <row r="28" spans="1:11" x14ac:dyDescent="0.35">
      <c r="B28" s="28">
        <f t="shared" si="9"/>
        <v>6.0654944202148536E-2</v>
      </c>
      <c r="C28" s="44">
        <f t="shared" si="10"/>
        <v>0.93934505579785144</v>
      </c>
      <c r="E28" s="44">
        <f>+'May 1-20 2026 Summary'!B28</f>
        <v>0.15492933112422413</v>
      </c>
    </row>
    <row r="29" spans="1:11" x14ac:dyDescent="0.35">
      <c r="B29" s="28">
        <f t="shared" si="9"/>
        <v>7.6050608850587231E-2</v>
      </c>
      <c r="C29" s="44">
        <f t="shared" si="10"/>
        <v>0.92394939114941277</v>
      </c>
      <c r="E29" s="44">
        <f>+'May 1-20 2026 Summary'!B29</f>
        <v>0.78154255235322723</v>
      </c>
    </row>
    <row r="30" spans="1:11" x14ac:dyDescent="0.35">
      <c r="B30" s="28">
        <f t="shared" si="9"/>
        <v>0.60632854470370834</v>
      </c>
      <c r="C30" s="44">
        <f t="shared" si="10"/>
        <v>0.39367145529629166</v>
      </c>
      <c r="E30" s="44">
        <f>+'May 1-20 2026 Summary'!B30</f>
        <v>0.60360122516637693</v>
      </c>
    </row>
    <row r="31" spans="1:11" x14ac:dyDescent="0.35">
      <c r="B31" s="28">
        <f t="shared" si="9"/>
        <v>0</v>
      </c>
      <c r="C31" s="44">
        <f t="shared" si="10"/>
        <v>1</v>
      </c>
      <c r="E31" s="44">
        <f>+'May 1-20 2026 Summary'!B31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1"/>
  <sheetViews>
    <sheetView tabSelected="1" zoomScaleNormal="100" workbookViewId="0">
      <selection activeCell="C8" sqref="C8"/>
    </sheetView>
  </sheetViews>
  <sheetFormatPr defaultColWidth="8.6328125" defaultRowHeight="14.5" x14ac:dyDescent="0.35"/>
  <cols>
    <col min="1" max="1" width="16" customWidth="1"/>
    <col min="2" max="2" width="16.6328125" bestFit="1" customWidth="1"/>
    <col min="3" max="12" width="16" customWidth="1"/>
    <col min="13" max="13" width="18" customWidth="1"/>
  </cols>
  <sheetData>
    <row r="1" spans="1:13" ht="15.5" x14ac:dyDescent="0.35">
      <c r="A1" s="29" t="s">
        <v>334</v>
      </c>
    </row>
    <row r="3" spans="1:13" x14ac:dyDescent="0.35">
      <c r="A3" s="30" t="s">
        <v>0</v>
      </c>
      <c r="B3" s="30" t="s">
        <v>317</v>
      </c>
      <c r="C3" s="30" t="s">
        <v>318</v>
      </c>
      <c r="D3" s="30" t="s">
        <v>319</v>
      </c>
      <c r="E3" s="30" t="s">
        <v>320</v>
      </c>
      <c r="F3" s="30" t="s">
        <v>321</v>
      </c>
      <c r="G3" s="30" t="s">
        <v>322</v>
      </c>
      <c r="H3" s="30" t="s">
        <v>323</v>
      </c>
      <c r="I3" s="30" t="s">
        <v>335</v>
      </c>
      <c r="J3" s="30" t="s">
        <v>336</v>
      </c>
      <c r="K3" s="30" t="s">
        <v>326</v>
      </c>
      <c r="L3" s="30" t="s">
        <v>327</v>
      </c>
      <c r="M3" s="30" t="s">
        <v>7</v>
      </c>
    </row>
    <row r="4" spans="1:13" x14ac:dyDescent="0.35">
      <c r="A4" s="31" t="s">
        <v>1</v>
      </c>
      <c r="B4" s="32">
        <f>SUMPRODUCT((MONTH('CEX (wide)'!$A$3:$A$70)=5)*(YEAR('CEX (wide)'!$A$3:$A$70)=2026)*(DAY('CEX (wide)'!$A$3:$A$70)&lt;=20)*('CEX (wide)'!C$3:C$70+'CEX (wide)'!D$3:D$70+'CEX (wide)'!E$3:E$70+'CEX (wide)'!F$3:F$70+'CEX (wide)'!Q$3:Q$70+'CEX (wide)'!S$3:S$70+'CEX (wide)'!AB$3:AB$70+'CEX (wide)'!AE$3:AE$70+'CEX (wide)'!AK$3:AK$70+'CEX (wide)'!CN$3:CN$70+'CEX (wide)'!EA$3:EA$70+'CEX (wide)'!EE$3:EE$70))</f>
        <v>88837089464.608627</v>
      </c>
      <c r="C4" s="32">
        <f>SUMPRODUCT((MONTH('Extended (wide)'!$A$3:$A$70)=5)*(YEAR('Extended (wide)'!$A$3:$A$70)=2026)*(DAY('Extended (wide)'!$A$3:$A$70)&lt;=20)*('Extended (wide)'!C$3:C$70+'Extended (wide)'!D$3:D$70+'Extended (wide)'!E$3:E$70+'Extended (wide)'!F$3:F$70+'Extended (wide)'!I$3:I$70+'Extended (wide)'!O$3:O$70+'Extended (wide)'!T$3:T$70))</f>
        <v>539559843.66227007</v>
      </c>
      <c r="D4" s="32">
        <f>SUMPRODUCT((MONTH('GRVT (wide)'!$A$3:$A$67)=5)*(YEAR('GRVT (wide)'!$A$3:$A$67)=2026)*(DAY('GRVT (wide)'!$A$3:$A$67)&lt;=20)*('GRVT (wide)'!C$3:C$67+'GRVT (wide)'!F$3:F$67+'GRVT (wide)'!H$3:H$67+'GRVT (wide)'!J$3:J$67+'GRVT (wide)'!L$3:L$67+'GRVT (wide)'!S$3:S$67+'GRVT (wide)'!X$3:X$67))</f>
        <v>1032786221.2378799</v>
      </c>
      <c r="E4" s="32">
        <f>SUMPRODUCT((MONTH('Pacifica (wide)'!$A$3:$A$90)=5)*(YEAR('Pacifica (wide)'!$A$3:$A$90)=2026)*(DAY('Pacifica (wide)'!$A$3:$A$90)&lt;=20)*('Pacifica (wide)'!C$3:C$90+'Pacifica (wide)'!D$3:D$90+'Pacifica (wide)'!E$3:E$90+'Pacifica (wide)'!L$3:L$90+'Pacifica (wide)'!O$3:O$90+'Pacifica (wide)'!R$3:R$90))</f>
        <v>130590355.845254</v>
      </c>
      <c r="F4" s="32">
        <f>SUMPRODUCT((MONTH('Apex (wide)'!$A$3:$A$69)=5)*(YEAR('Apex (wide)'!$A$3:$A$69)=2026)*(DAY('Apex (wide)'!$A$3:$A$69)&lt;=20)*('Apex (wide)'!H$3:H$69+'Apex (wide)'!I$3:I$69+'Apex (wide)'!J$3:J$69+'Apex (wide)'!V$3:V$69+'Apex (wide)'!AC$3:AC$69+'Apex (wide)'!AG$3:AG$69))</f>
        <v>135640465.59849</v>
      </c>
      <c r="G4" s="32">
        <f>SUMPRODUCT((MONTH('Aster (wide)'!$A$3:$A$70)=5)*(YEAR('Aster (wide)'!$A$3:$A$70)=2026)*(DAY('Aster (wide)'!$A$3:$A$70)&lt;=20)*('Aster (wide)'!C$3:C$70+'Aster (wide)'!D$3:D$70+'Aster (wide)'!E$3:E$70+'Aster (wide)'!O$3:O$70+'Aster (wide)'!R$3:R$70+'Aster (wide)'!V$3:V$70+'Aster (wide)'!Y$3:Y$70))</f>
        <v>396395570.46665996</v>
      </c>
      <c r="H4" s="32">
        <f>SUMPRODUCT((MONTH('EdgeX (wide)'!$A$3:$A$67)=5)*(YEAR('EdgeX (wide)'!$A$3:$A$67)=2026)*(DAY('EdgeX (wide)'!$A$3:$A$67)&lt;=20)*('EdgeX (wide)'!C$3:C$67+'EdgeX (wide)'!D$3:D$67+'EdgeX (wide)'!E$3:E$67+'EdgeX (wide)'!F$3:F$67+'EdgeX (wide)'!G$3:G$67+'EdgeX (wide)'!P$3:P$67+'EdgeX (wide)'!T$3:T$67))</f>
        <v>3620217267.8703089</v>
      </c>
      <c r="I4" s="32">
        <f>SUMPRODUCT((MONTH('Avantis (wide)'!$A$3:$A$79)=5)*(YEAR('Avantis (wide)'!$A$3:$A$79)=2026)*(DAY('Avantis (wide)'!$A$3:$A$79)&lt;=20)*('Avantis (wide)'!D$3:D$79+'Avantis (wide)'!E$3:E$79+'Avantis (wide)'!R$3:R$79))</f>
        <v>63160302.553114288</v>
      </c>
      <c r="J4" s="32">
        <f>SUMPRODUCT((MONTH('Ostium (wide)'!$A$3:$A$79)=5)*(YEAR('Ostium (wide)'!$A$3:$A$79)=2026)*(DAY('Ostium (wide)'!$A$3:$A$79)&lt;=20)*('Ostium (wide)'!C$3:C$79+'Ostium (wide)'!D$3:D$79+'Ostium (wide)'!F$3:F$79+'Ostium (wide)'!L$3:L$79+'Ostium (wide)'!O$3:O$79+'Ostium (wide)'!AZ$3:AZ$79+'Ostium (wide)'!BC$3:BC$79+'Ostium (wide)'!BE$3:BE$79))</f>
        <v>366955415.94167411</v>
      </c>
      <c r="K4" s="32">
        <f>SUMPRODUCT((MONTH('Lighter (wide)'!$A$3:$A$67)=5)*(YEAR('Lighter (wide)'!$A$3:$A$67)=2026)*(DAY('Lighter (wide)'!$A$3:$A$67)&lt;=20)*('Lighter (wide)'!C$3:C$67+'Lighter (wide)'!D$3:D$67+'Lighter (wide)'!E$3:E$67+'Lighter (wide)'!F$3:F$67+'Lighter (wide)'!G$3:G$67+'Lighter (wide)'!K$3:K$67+'Lighter (wide)'!M$3:M$67+'Lighter (wide)'!T$3:T$67+'Lighter (wide)'!AX$3:AX$67))</f>
        <v>1427495550.4709337</v>
      </c>
      <c r="L4" s="32">
        <f>SUMPRODUCT((MONTH('HIP-3 (wide)'!$A$3:$A$247)=5)*(YEAR('HIP-3 (wide)'!$A$3:$A$247)=2026)*(DAY('HIP-3 (wide)'!$A$3:$A$247)&lt;=20)*('HIP-3 (wide)'!C$3:C$247+'HIP-3 (wide)'!D$3:D$247+'HIP-3 (wide)'!F$3:F$247+'HIP-3 (wide)'!H$3:H$247+'HIP-3 (wide)'!O$3:O$247+'HIP-3 (wide)'!R$3:R$247+'HIP-3 (wide)'!AA$3:AA$247+'HIP-3 (wide)'!AK$3:AK$247+'HIP-3 (wide)'!BF$3:BF$247+'HIP-3 (wide)'!BN$3:BN$247+'HIP-3 (wide)'!BX$3:BX$247+'HIP-3 (wide)'!CH$3:CH$247+'HIP-3 (wide)'!CS$3:CS$247+'HIP-3 (wide)'!CW$3:CW$247+'HIP-3 (wide)'!CY$3:CY$247+'HIP-3 (wide)'!DB$3:DB$247+'HIP-3 (wide)'!DE$3:DE$247+'HIP-3 (wide)'!DH$3:DH$247))</f>
        <v>20385284737.936829</v>
      </c>
      <c r="M4" s="33">
        <f t="shared" ref="M4:M10" si="0">SUM(B4:L4)</f>
        <v>116935175196.19208</v>
      </c>
    </row>
    <row r="5" spans="1:13" x14ac:dyDescent="0.35">
      <c r="A5" s="34" t="s">
        <v>248</v>
      </c>
      <c r="B5" s="32">
        <v>0</v>
      </c>
      <c r="C5" s="32">
        <v>0</v>
      </c>
      <c r="D5" s="32">
        <v>0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f>SUMPRODUCT((MONTH('Lighter (wide)'!$A$3:$A$67)=5)*(YEAR('Lighter (wide)'!$A$3:$A$67)=2026)*(DAY('Lighter (wide)'!$A$3:$A$67)&lt;=20)*('Lighter (wide)'!BE$3:BE$67))</f>
        <v>31252.329951000003</v>
      </c>
      <c r="L5" s="32">
        <f>SUMPRODUCT((MONTH('HIP-3 (wide)'!$A$3:$A$247)=5)*(YEAR('HIP-3 (wide)'!$A$3:$A$247)=2026)*(DAY('HIP-3 (wide)'!$A$3:$A$247)&lt;=20)*('HIP-3 (wide)'!AW$3:AW$247+'HIP-3 (wide)'!BA$3:BA$247+'HIP-3 (wide)'!CJ$3:CJ$247+'HIP-3 (wide)'!DD$3:DD$247))</f>
        <v>22281516.587156001</v>
      </c>
      <c r="M5" s="33">
        <f t="shared" si="0"/>
        <v>22312768.917107001</v>
      </c>
    </row>
    <row r="6" spans="1:13" x14ac:dyDescent="0.35">
      <c r="A6" s="35" t="s">
        <v>5</v>
      </c>
      <c r="B6" s="32">
        <f>SUMPRODUCT((MONTH('CEX (wide)'!$A$3:$A$70)=5)*(YEAR('CEX (wide)'!$A$3:$A$70)=2026)*(DAY('CEX (wide)'!$A$3:$A$70)&lt;=20)*('CEX (wide)'!ED$3:ED$70+'CEX (wide)'!EH$3:EH$70+'CEX (wide)'!ET$3:ET$70+'CEX (wide)'!EV$3:EV$70+'CEX (wide)'!GA$3:GA$70+'CEX (wide)'!GE$3:GE$70+'CEX (wide)'!GF$3:GF$70+'CEX (wide)'!GG$3:GG$70))</f>
        <v>1284890.3162200002</v>
      </c>
      <c r="C6" s="32">
        <f>SUMPRODUCT((MONTH('Extended (wide)'!$A$3:$A$70)=5)*(YEAR('Extended (wide)'!$A$3:$A$70)=2026)*(DAY('Extended (wide)'!$A$3:$A$70)&lt;=20)*('Extended (wide)'!H$3:H$70+'Extended (wide)'!P$3:P$70))</f>
        <v>53478168.893840007</v>
      </c>
      <c r="D6" s="32">
        <v>0</v>
      </c>
      <c r="E6" s="32">
        <f>SUMPRODUCT((MONTH('Pacifica (wide)'!$A$3:$A$90)=5)*(YEAR('Pacifica (wide)'!$A$3:$A$90)=2026)*(DAY('Pacifica (wide)'!$A$3:$A$90)&lt;=20)*('Pacifica (wide)'!G$3:G$90+'Pacifica (wide)'!I$3:I$90))</f>
        <v>3888276.5998400003</v>
      </c>
      <c r="F6" s="32">
        <v>0</v>
      </c>
      <c r="G6" s="32">
        <v>0</v>
      </c>
      <c r="H6" s="32">
        <v>0</v>
      </c>
      <c r="I6" s="32">
        <f>SUMPRODUCT((MONTH('Avantis (wide)'!$A$3:$A$79)=5)*(YEAR('Avantis (wide)'!$A$3:$A$79)=2026)*(DAY('Avantis (wide)'!$A$3:$A$79)&lt;=20)*('Avantis (wide)'!C$3:C$79+'Avantis (wide)'!F$3:F$79+'Avantis (wide)'!I$3:I$79+'Avantis (wide)'!J$3:J$79+'Avantis (wide)'!L$3:L$79+'Avantis (wide)'!Q$3:Q$79+'Avantis (wide)'!S$3:S$79+'Avantis (wide)'!T$3:T$79+'Avantis (wide)'!V$3:V$79+'Avantis (wide)'!Z$3:Z$79+'Avantis (wide)'!AA$3:AA$79+'Avantis (wide)'!AB$3:AB$79+'Avantis (wide)'!AC$3:AC$79+'Avantis (wide)'!AD$3:AD$79+'Avantis (wide)'!AE$3:AE$79))</f>
        <v>217042591.93122938</v>
      </c>
      <c r="J6" s="32">
        <f>SUMPRODUCT((MONTH('Ostium (wide)'!$A$3:$A$79)=5)*(YEAR('Ostium (wide)'!$A$3:$A$79)=2026)*(DAY('Ostium (wide)'!$A$3:$A$79)&lt;=20)*('Ostium (wide)'!H$3:H$79+'Ostium (wide)'!M$3:M$79+'Ostium (wide)'!AB$3:AB$79+'Ostium (wide)'!AQ$3:AQ$79+'Ostium (wide)'!AR$3:AR$79+'Ostium (wide)'!AS$3:AS$79+'Ostium (wide)'!AX$3:AX$79+'Ostium (wide)'!AY$3:AY$79+'Ostium (wide)'!BH$3:BH$79))</f>
        <v>80850291.592072904</v>
      </c>
      <c r="K6" s="32">
        <f>SUMPRODUCT((MONTH('Lighter (wide)'!$A$3:$A$67)=5)*(YEAR('Lighter (wide)'!$A$3:$A$67)=2026)*(DAY('Lighter (wide)'!$A$3:$A$67)&lt;=20)*('Lighter (wide)'!N$3:N$67+'Lighter (wide)'!Q$3:Q$67+'Lighter (wide)'!R$3:R$67+'Lighter (wide)'!AG$3:AG$67+'Lighter (wide)'!AI$3:AI$67+'Lighter (wide)'!AJ$3:AJ$67+'Lighter (wide)'!AV$3:AV$67+'Lighter (wide)'!AY$3:AY$67))</f>
        <v>56136882.030686997</v>
      </c>
      <c r="L6" s="32">
        <f>SUMPRODUCT((MONTH('HIP-3 (wide)'!$A$3:$A$247)=5)*(YEAR('HIP-3 (wide)'!$A$3:$A$247)=2026)*(DAY('HIP-3 (wide)'!$A$3:$A$247)&lt;=20)*('HIP-3 (wide)'!AE$3:AE$247+'HIP-3 (wide)'!AG$3:AG$247+'HIP-3 (wide)'!CO$3:CO$247+'HIP-3 (wide)'!CX$3:CX$247+'HIP-3 (wide)'!DI$3:DI$247))</f>
        <v>133725993.50472</v>
      </c>
      <c r="M6" s="33">
        <f t="shared" si="0"/>
        <v>546407094.86860931</v>
      </c>
    </row>
    <row r="7" spans="1:13" x14ac:dyDescent="0.35">
      <c r="A7" s="36" t="s">
        <v>3</v>
      </c>
      <c r="B7" s="32">
        <f>SUMPRODUCT((MONTH('CEX (wide)'!$A$3:$A$70)=5)*(YEAR('CEX (wide)'!$A$3:$A$70)=2026)*(DAY('CEX (wide)'!$A$3:$A$70)&lt;=20)*('CEX (wide)'!O$3:O$70+'CEX (wide)'!W$3:W$70+'CEX (wide)'!Y$3:Y$70+'CEX (wide)'!AC$3:AC$70+'CEX (wide)'!AO$3:AO$70+'CEX (wide)'!AU$3:AU$70+'CEX (wide)'!AV$3:AV$70+'CEX (wide)'!AX$3:AX$70+'CEX (wide)'!BC$3:BC$70+'CEX (wide)'!BN$3:BN$70+'CEX (wide)'!BV$3:BV$70+'CEX (wide)'!CC$3:CC$70+'CEX (wide)'!CE$3:CE$70+'CEX (wide)'!CO$3:CO$70+'CEX (wide)'!CT$3:CT$70+'CEX (wide)'!DA$3:DA$70+'CEX (wide)'!DC$3:DC$70+'CEX (wide)'!DD$3:DD$70+'CEX (wide)'!DF$3:DF$70+'CEX (wide)'!DG$3:DG$70+'CEX (wide)'!DN$3:DN$70+'CEX (wide)'!DY$3:DY$70+'CEX (wide)'!EB$3:EB$70+'CEX (wide)'!EC$3:EC$70+'CEX (wide)'!EI$3:EI$70+'CEX (wide)'!EN$3:EN$70+'CEX (wide)'!EO$3:EO$70))</f>
        <v>2188349679.836071</v>
      </c>
      <c r="C7" s="32">
        <f>SUMPRODUCT((MONTH('Extended (wide)'!$A$3:$A$70)=5)*(YEAR('Extended (wide)'!$A$3:$A$70)=2026)*(DAY('Extended (wide)'!$A$3:$A$70)&lt;=20)*('Extended (wide)'!M$3:M$70+'Extended (wide)'!Q$3:Q$70+'Extended (wide)'!AE$3:AE$70))</f>
        <v>60414334.640859999</v>
      </c>
      <c r="D7" s="32">
        <f>SUMPRODUCT((MONTH('GRVT (wide)'!$A$3:$A$67)=5)*(YEAR('GRVT (wide)'!$A$3:$A$67)=2026)*(DAY('GRVT (wide)'!$A$3:$A$67)&lt;=20)*('GRVT (wide)'!O$3:O$67+'GRVT (wide)'!Q$3:Q$67+'GRVT (wide)'!V$3:V$67+'GRVT (wide)'!AB$3:AB$67))</f>
        <v>60677450.629099995</v>
      </c>
      <c r="E7" s="32">
        <f>SUMPRODUCT((MONTH('Pacifica (wide)'!$A$3:$A$90)=5)*(YEAR('Pacifica (wide)'!$A$3:$A$90)=2026)*(DAY('Pacifica (wide)'!$A$3:$A$90)&lt;=20)*('Pacifica (wide)'!H$3:H$90+'Pacifica (wide)'!S$3:S$90))</f>
        <v>3074411.6453399998</v>
      </c>
      <c r="F7" s="32">
        <f>SUMPRODUCT((MONTH('Apex (wide)'!$A$3:$A$69)=5)*(YEAR('Apex (wide)'!$A$3:$A$69)=2026)*(DAY('Apex (wide)'!$A$3:$A$69)&lt;=20)*('Apex (wide)'!G$3:G$69+'Apex (wide)'!K$3:K$69+'Apex (wide)'!O$3:O$69+'Apex (wide)'!W$3:W$69+'Apex (wide)'!AD$3:AD$69))</f>
        <v>83042100.199200004</v>
      </c>
      <c r="G7" s="32">
        <f>SUMPRODUCT((MONTH('Aster (wide)'!$A$3:$A$70)=5)*(YEAR('Aster (wide)'!$A$3:$A$70)=2026)*(DAY('Aster (wide)'!$A$3:$A$70)&lt;=20)*('Aster (wide)'!H$3:H$70+'Aster (wide)'!U$3:U$70+'Aster (wide)'!Z$3:Z$70+'Aster (wide)'!AC$3:AC$70+'Aster (wide)'!AI$3:AI$70))</f>
        <v>5733757.9852300007</v>
      </c>
      <c r="H7" s="32">
        <f>SUMPRODUCT((MONTH('EdgeX (wide)'!$A$3:$A$67)=5)*(YEAR('EdgeX (wide)'!$A$3:$A$67)=2026)*(DAY('EdgeX (wide)'!$A$3:$A$67)&lt;=20)*('EdgeX (wide)'!H$3:H$67+'EdgeX (wide)'!I$3:I$67+'EdgeX (wide)'!AA$3:AA$67))</f>
        <v>167915304.99627998</v>
      </c>
      <c r="I7" s="32">
        <f>SUMPRODUCT((MONTH('Avantis (wide)'!$A$3:$A$79)=5)*(YEAR('Avantis (wide)'!$A$3:$A$79)=2026)*(DAY('Avantis (wide)'!$A$3:$A$79)&lt;=20)*('Avantis (wide)'!G$3:G$79+'Avantis (wide)'!H$3:H$79))</f>
        <v>7452556.1126839835</v>
      </c>
      <c r="J7" s="32">
        <f>SUMPRODUCT((MONTH('Ostium (wide)'!$A$3:$A$79)=5)*(YEAR('Ostium (wide)'!$A$3:$A$79)=2026)*(DAY('Ostium (wide)'!$A$3:$A$79)&lt;=20)*('Ostium (wide)'!E$3:E$79+'Ostium (wide)'!G$3:G$79+'Ostium (wide)'!K$3:K$79+'Ostium (wide)'!Y$3:Y$79+'Ostium (wide)'!AE$3:AE$79+'Ostium (wide)'!AH$3:AH$79+'Ostium (wide)'!AI$3:AI$79+'Ostium (wide)'!AO$3:AO$79+'Ostium (wide)'!BJ$3:BJ$79+'Ostium (wide)'!BK$3:BK$79+'Ostium (wide)'!BO$3:BO$79))</f>
        <v>389384731.16067743</v>
      </c>
      <c r="K7" s="32">
        <f>SUMPRODUCT((MONTH('Lighter (wide)'!$A$3:$A$67)=5)*(YEAR('Lighter (wide)'!$A$3:$A$67)=2026)*(DAY('Lighter (wide)'!$A$3:$A$67)&lt;=20)*('Lighter (wide)'!P$3:P$67+'Lighter (wide)'!U$3:U$67+'Lighter (wide)'!AA$3:AA$67+'Lighter (wide)'!AP$3:AP$67+'Lighter (wide)'!AR$3:AR$67+'Lighter (wide)'!AT$3:AT$67+'Lighter (wide)'!AW$3:AW$67+'Lighter (wide)'!BA$3:BA$67))</f>
        <v>61912396.43936602</v>
      </c>
      <c r="L7" s="32">
        <f>SUMPRODUCT((MONTH('HIP-3 (wide)'!$A$3:$A$247)=5)*(YEAR('HIP-3 (wide)'!$A$3:$A$247)=2026)*(DAY('HIP-3 (wide)'!$A$3:$A$247)&lt;=20)*('HIP-3 (wide)'!E$3:E$247+'HIP-3 (wide)'!G$3:G$247+'HIP-3 (wide)'!V$3:V$247+'HIP-3 (wide)'!X$3:X$247+'HIP-3 (wide)'!AJ$3:AJ$247+'HIP-3 (wide)'!AS$3:AS$247+'HIP-3 (wide)'!BB$3:BB$247+'HIP-3 (wide)'!BE$3:BE$247+'HIP-3 (wide)'!BJ$3:BJ$247+'HIP-3 (wide)'!BO$3:BO$247+'HIP-3 (wide)'!BP$3:BP$247+'HIP-3 (wide)'!BQ$3:BQ$247+'HIP-3 (wide)'!BR$3:BR$247+'HIP-3 (wide)'!BU$3:BU$247+'HIP-3 (wide)'!BV$3:BV$247+'HIP-3 (wide)'!BY$3:BY$247+'HIP-3 (wide)'!CA$3:CA$247+'HIP-3 (wide)'!CB$3:CB$247+'HIP-3 (wide)'!CC$3:CC$247+'HIP-3 (wide)'!CF$3:CF$247+'HIP-3 (wide)'!CK$3:CK$247+'HIP-3 (wide)'!CL$3:CL$247+'HIP-3 (wide)'!CT$3:CT$247+'HIP-3 (wide)'!CU$3:CU$247+'HIP-3 (wide)'!CV$3:CV$247+'HIP-3 (wide)'!CZ$3:CZ$247+'HIP-3 (wide)'!DG$3:DG$247))</f>
        <v>10074944245.753305</v>
      </c>
      <c r="M7" s="33">
        <f t="shared" si="0"/>
        <v>13102900969.398113</v>
      </c>
    </row>
    <row r="8" spans="1:13" x14ac:dyDescent="0.35">
      <c r="A8" s="37" t="s">
        <v>4</v>
      </c>
      <c r="B8" s="32">
        <f>SUMPRODUCT((MONTH('CEX (wide)'!$A$3:$A$70)=5)*(YEAR('CEX (wide)'!$A$3:$A$70)=2026)*(DAY('CEX (wide)'!$A$3:$A$70)&lt;=20)*('CEX (wide)'!AD$3:AD$70+'CEX (wide)'!BE$3:BE$70+'CEX (wide)'!BF$3:BF$70+'CEX (wide)'!DW$3:DW$70+'CEX (wide)'!EL$3:EL$70))</f>
        <v>423435255.58653808</v>
      </c>
      <c r="C8" s="32">
        <v>0</v>
      </c>
      <c r="D8" s="32">
        <v>0</v>
      </c>
      <c r="E8" s="32">
        <f>SUMPRODUCT((MONTH('Pacifica (wide)'!$A$3:$A$90)=5)*(YEAR('Pacifica (wide)'!$A$3:$A$90)=2026)*(DAY('Pacifica (wide)'!$A$3:$A$90)&lt;=20)*('Pacifica (wide)'!Q$3:Q$90+'Pacifica (wide)'!T$3:T$90))</f>
        <v>290147.42320000002</v>
      </c>
      <c r="F8" s="32">
        <v>0</v>
      </c>
      <c r="G8" s="32">
        <f>SUMPRODUCT((MONTH('Aster (wide)'!$A$3:$A$70)=5)*(YEAR('Aster (wide)'!$A$3:$A$70)=2026)*(DAY('Aster (wide)'!$A$3:$A$70)&lt;=20)*('Aster (wide)'!W$3:W$70+'Aster (wide)'!AD$3:AD$70))</f>
        <v>2769540.3769999999</v>
      </c>
      <c r="H8" s="32">
        <v>0</v>
      </c>
      <c r="I8" s="32">
        <v>0</v>
      </c>
      <c r="J8" s="32">
        <v>0</v>
      </c>
      <c r="K8" s="32">
        <f>SUMPRODUCT((MONTH('Lighter (wide)'!$A$3:$A$67)=5)*(YEAR('Lighter (wide)'!$A$3:$A$67)=2026)*(DAY('Lighter (wide)'!$A$3:$A$67)&lt;=20)*('Lighter (wide)'!AN$3:AN$67+'Lighter (wide)'!AS$3:AS$67))</f>
        <v>12806927.692635</v>
      </c>
      <c r="L8" s="32">
        <f>SUMPRODUCT((MONTH('HIP-3 (wide)'!$A$3:$A$247)=5)*(YEAR('HIP-3 (wide)'!$A$3:$A$247)=2026)*(DAY('HIP-3 (wide)'!$A$3:$A$247)&lt;=20)*('HIP-3 (wide)'!P$3:P$247+'HIP-3 (wide)'!AD$3:AD$247+'HIP-3 (wide)'!BG$3:BG$247+'HIP-3 (wide)'!BK$3:BK$247+'HIP-3 (wide)'!BL$3:BL$247+'HIP-3 (wide)'!CR$3:CR$247))</f>
        <v>688060152.93004012</v>
      </c>
      <c r="M8" s="33">
        <f t="shared" si="0"/>
        <v>1127362024.0094132</v>
      </c>
    </row>
    <row r="9" spans="1:13" x14ac:dyDescent="0.35">
      <c r="A9" s="38" t="s">
        <v>2</v>
      </c>
      <c r="B9" s="32">
        <f>SUMPRODUCT((MONTH('CEX (wide)'!$A$3:$A$70)=5)*(YEAR('CEX (wide)'!$A$3:$A$70)=2026)*(DAY('CEX (wide)'!$A$3:$A$70)&lt;=20)*('CEX (wide)'!G$3:G$70+'CEX (wide)'!H$3:H$70+'CEX (wide)'!I$3:I$70+'CEX (wide)'!J$3:J$70+'CEX (wide)'!K$3:K$70+'CEX (wide)'!L$3:L$70+'CEX (wide)'!M$3:M$70+'CEX (wide)'!N$3:N$70+'CEX (wide)'!P$3:P$70+'CEX (wide)'!R$3:R$70+'CEX (wide)'!T$3:T$70+'CEX (wide)'!U$3:U$70+'CEX (wide)'!V$3:V$70+'CEX (wide)'!X$3:X$70+'CEX (wide)'!Z$3:Z$70+'CEX (wide)'!AA$3:AA$70+'CEX (wide)'!AF$3:AF$70+'CEX (wide)'!AG$3:AG$70+'CEX (wide)'!AH$3:AH$70+'CEX (wide)'!AI$3:AI$70+'CEX (wide)'!AJ$3:AJ$70+'CEX (wide)'!AL$3:AL$70+'CEX (wide)'!AM$3:AM$70+'CEX (wide)'!AN$3:AN$70+'CEX (wide)'!AP$3:AP$70+'CEX (wide)'!AQ$3:AQ$70+'CEX (wide)'!AR$3:AR$70+'CEX (wide)'!AS$3:AS$70+'CEX (wide)'!AT$3:AT$70+'CEX (wide)'!AW$3:AW$70+'CEX (wide)'!AY$3:AY$70+'CEX (wide)'!AZ$3:AZ$70+'CEX (wide)'!BA$3:BA$70+'CEX (wide)'!BB$3:BB$70+'CEX (wide)'!BD$3:BD$70+'CEX (wide)'!BG$3:BG$70+'CEX (wide)'!BH$3:BH$70+'CEX (wide)'!BI$3:BI$70+'CEX (wide)'!BJ$3:BJ$70+'CEX (wide)'!BK$3:BK$70+'CEX (wide)'!BL$3:BL$70+'CEX (wide)'!BM$3:BM$70+'CEX (wide)'!BO$3:BO$70+'CEX (wide)'!BP$3:BP$70+'CEX (wide)'!BQ$3:BQ$70+'CEX (wide)'!BR$3:BR$70+'CEX (wide)'!BS$3:BS$70+'CEX (wide)'!BT$3:BT$70+'CEX (wide)'!BU$3:BU$70+'CEX (wide)'!BW$3:BW$70+'CEX (wide)'!BX$3:BX$70+'CEX (wide)'!BY$3:BY$70+'CEX (wide)'!BZ$3:BZ$70+'CEX (wide)'!CA$3:CA$70+'CEX (wide)'!CB$3:CB$70+'CEX (wide)'!CD$3:CD$70+'CEX (wide)'!CF$3:CF$70+'CEX (wide)'!CG$3:CG$70+'CEX (wide)'!CH$3:CH$70+'CEX (wide)'!CI$3:CI$70+'CEX (wide)'!CJ$3:CJ$70+'CEX (wide)'!CK$3:CK$70+'CEX (wide)'!CL$3:CL$70+'CEX (wide)'!CM$3:CM$70+'CEX (wide)'!CP$3:CP$70+'CEX (wide)'!CQ$3:CQ$70+'CEX (wide)'!CR$3:CR$70+'CEX (wide)'!CS$3:CS$70+'CEX (wide)'!CU$3:CU$70+'CEX (wide)'!CV$3:CV$70+'CEX (wide)'!CW$3:CW$70+'CEX (wide)'!CX$3:CX$70+'CEX (wide)'!CY$3:CY$70+'CEX (wide)'!CZ$3:CZ$70+'CEX (wide)'!DB$3:DB$70+'CEX (wide)'!DE$3:DE$70+'CEX (wide)'!DH$3:DH$70+'CEX (wide)'!DI$3:DI$70+'CEX (wide)'!DJ$3:DJ$70+'CEX (wide)'!DK$3:DK$70+'CEX (wide)'!DL$3:DL$70+'CEX (wide)'!DM$3:DM$70+'CEX (wide)'!DO$3:DO$70+'CEX (wide)'!DP$3:DP$70+'CEX (wide)'!DQ$3:DQ$70+'CEX (wide)'!DR$3:DR$70+'CEX (wide)'!DS$3:DS$70+'CEX (wide)'!DT$3:DT$70+'CEX (wide)'!DU$3:DU$70+'CEX (wide)'!DV$3:DV$70+'CEX (wide)'!DX$3:DX$70+'CEX (wide)'!DZ$3:DZ$70+'CEX (wide)'!EF$3:EF$70+'CEX (wide)'!EG$3:EG$70+'CEX (wide)'!EJ$3:EJ$70+'CEX (wide)'!EK$3:EK$70+'CEX (wide)'!EM$3:EM$70+'CEX (wide)'!EP$3:EP$70+'CEX (wide)'!EQ$3:EQ$70+'CEX (wide)'!ER$3:ER$70+'CEX (wide)'!ES$3:ES$70+'CEX (wide)'!EU$3:EU$70+'CEX (wide)'!EW$3:EW$70+'CEX (wide)'!EX$3:EX$70+'CEX (wide)'!EY$3:EY$70+'CEX (wide)'!EZ$3:EZ$70+'CEX (wide)'!FA$3:FA$70+'CEX (wide)'!FB$3:FB$70+'CEX (wide)'!FC$3:FC$70+'CEX (wide)'!FD$3:FD$70+'CEX (wide)'!FE$3:FE$70+'CEX (wide)'!FF$3:FF$70+'CEX (wide)'!FG$3:FG$70+'CEX (wide)'!FH$3:FH$70+'CEX (wide)'!FI$3:FI$70+'CEX (wide)'!FJ$3:FJ$70+'CEX (wide)'!FK$3:FK$70+'CEX (wide)'!FL$3:FL$70+'CEX (wide)'!FM$3:FM$70+'CEX (wide)'!FN$3:FN$70+'CEX (wide)'!FO$3:FO$70+'CEX (wide)'!FP$3:FP$70+'CEX (wide)'!FQ$3:FQ$70+'CEX (wide)'!FR$3:FR$70+'CEX (wide)'!FS$3:FS$70+'CEX (wide)'!FT$3:FT$70+'CEX (wide)'!FU$3:FU$70+'CEX (wide)'!FV$3:FV$70+'CEX (wide)'!FW$3:FW$70+'CEX (wide)'!FX$3:FX$70+'CEX (wide)'!FY$3:FY$70+'CEX (wide)'!FZ$3:FZ$70+'CEX (wide)'!GB$3:GB$70+'CEX (wide)'!GC$3:GC$70+'CEX (wide)'!GD$3:GD$70))</f>
        <v>22633826815.169868</v>
      </c>
      <c r="C9" s="32">
        <f>SUMPRODUCT((MONTH('Extended (wide)'!$A$3:$A$70)=5)*(YEAR('Extended (wide)'!$A$3:$A$70)=2026)*(DAY('Extended (wide)'!$A$3:$A$70)&lt;=20)*('Extended (wide)'!G$3:G$70+'Extended (wide)'!J$3:J$70+'Extended (wide)'!K$3:K$70+'Extended (wide)'!L$3:L$70+'Extended (wide)'!N$3:N$70+'Extended (wide)'!R$3:R$70+'Extended (wide)'!S$3:S$70+'Extended (wide)'!U$3:U$70+'Extended (wide)'!V$3:V$70+'Extended (wide)'!W$3:W$70+'Extended (wide)'!X$3:X$70+'Extended (wide)'!Y$3:Y$70+'Extended (wide)'!Z$3:Z$70+'Extended (wide)'!AA$3:AA$70+'Extended (wide)'!AB$3:AB$70+'Extended (wide)'!AC$3:AC$70+'Extended (wide)'!AD$3:AD$70+'Extended (wide)'!AF$3:AF$70))</f>
        <v>784981525.21248412</v>
      </c>
      <c r="D9" s="32">
        <f>SUMPRODUCT((MONTH('GRVT (wide)'!$A$3:$A$67)=5)*(YEAR('GRVT (wide)'!$A$3:$A$67)=2026)*(DAY('GRVT (wide)'!$A$3:$A$67)&lt;=20)*('GRVT (wide)'!D$3:D$67+'GRVT (wide)'!E$3:E$67+'GRVT (wide)'!G$3:G$67+'GRVT (wide)'!I$3:I$67+'GRVT (wide)'!K$3:K$67+'GRVT (wide)'!M$3:M$67+'GRVT (wide)'!N$3:N$67+'GRVT (wide)'!P$3:P$67+'GRVT (wide)'!R$3:R$67+'GRVT (wide)'!T$3:T$67+'GRVT (wide)'!U$3:U$67+'GRVT (wide)'!W$3:W$67+'GRVT (wide)'!Y$3:Y$67+'GRVT (wide)'!Z$3:Z$67+'GRVT (wide)'!AA$3:AA$67+'GRVT (wide)'!AC$3:AC$67+'GRVT (wide)'!AD$3:AD$67+'GRVT (wide)'!AE$3:AE$67))</f>
        <v>477521130.95510006</v>
      </c>
      <c r="E9" s="32">
        <f>SUMPRODUCT((MONTH('Pacifica (wide)'!$A$3:$A$90)=5)*(YEAR('Pacifica (wide)'!$A$3:$A$90)=2026)*(DAY('Pacifica (wide)'!$A$3:$A$90)&lt;=20)*('Pacifica (wide)'!F$3:F$90+'Pacifica (wide)'!J$3:J$90+'Pacifica (wide)'!K$3:K$90+'Pacifica (wide)'!M$3:M$90+'Pacifica (wide)'!N$3:N$90+'Pacifica (wide)'!P$3:P$90))</f>
        <v>7939744.6329600001</v>
      </c>
      <c r="F9" s="32">
        <f>SUMPRODUCT((MONTH('Apex (wide)'!$A$3:$A$69)=5)*(YEAR('Apex (wide)'!$A$3:$A$69)=2026)*(DAY('Apex (wide)'!$A$3:$A$69)&lt;=20)*('Apex (wide)'!C$3:C$69+'Apex (wide)'!D$3:D$69+'Apex (wide)'!E$3:E$69+'Apex (wide)'!F$3:F$69+'Apex (wide)'!L$3:L$69+'Apex (wide)'!M$3:M$69+'Apex (wide)'!N$3:N$69+'Apex (wide)'!P$3:P$69+'Apex (wide)'!Q$3:Q$69+'Apex (wide)'!R$3:R$69+'Apex (wide)'!S$3:S$69+'Apex (wide)'!T$3:T$69+'Apex (wide)'!U$3:U$69+'Apex (wide)'!X$3:X$69+'Apex (wide)'!Y$3:Y$69+'Apex (wide)'!Z$3:Z$69+'Apex (wide)'!AA$3:AA$69+'Apex (wide)'!AB$3:AB$69+'Apex (wide)'!AE$3:AE$69+'Apex (wide)'!AF$3:AF$69))</f>
        <v>430392236.75833005</v>
      </c>
      <c r="G9" s="32">
        <f>SUMPRODUCT((MONTH('Aster (wide)'!$A$3:$A$70)=5)*(YEAR('Aster (wide)'!$A$3:$A$70)=2026)*(DAY('Aster (wide)'!$A$3:$A$70)&lt;=20)*('Aster (wide)'!F$3:F$70+'Aster (wide)'!G$3:G$70+'Aster (wide)'!I$3:I$70+'Aster (wide)'!J$3:J$70+'Aster (wide)'!K$3:K$70+'Aster (wide)'!L$3:L$70+'Aster (wide)'!M$3:M$70+'Aster (wide)'!N$3:N$70+'Aster (wide)'!P$3:P$70+'Aster (wide)'!Q$3:Q$70+'Aster (wide)'!S$3:S$70+'Aster (wide)'!T$3:T$70+'Aster (wide)'!X$3:X$70+'Aster (wide)'!AA$3:AA$70+'Aster (wide)'!AB$3:AB$70+'Aster (wide)'!AE$3:AE$70+'Aster (wide)'!AF$3:AF$70+'Aster (wide)'!AG$3:AG$70+'Aster (wide)'!AH$3:AH$70+'Aster (wide)'!AJ$3:AJ$70+'Aster (wide)'!AK$3:AK$70+'Aster (wide)'!AL$3:AL$70+'Aster (wide)'!AM$3:AM$70+'Aster (wide)'!AN$3:AN$70+'Aster (wide)'!AO$3:AO$70+'Aster (wide)'!AP$3:AP$70))</f>
        <v>64444884.356389999</v>
      </c>
      <c r="H9" s="32">
        <f>SUMPRODUCT((MONTH('EdgeX (wide)'!$A$3:$A$67)=5)*(YEAR('EdgeX (wide)'!$A$3:$A$67)=2026)*(DAY('EdgeX (wide)'!$A$3:$A$67)&lt;=20)*('EdgeX (wide)'!J$3:J$67+'EdgeX (wide)'!K$3:K$67+'EdgeX (wide)'!L$3:L$67+'EdgeX (wide)'!M$3:M$67+'EdgeX (wide)'!N$3:N$67+'EdgeX (wide)'!O$3:O$67+'EdgeX (wide)'!Q$3:Q$67+'EdgeX (wide)'!R$3:R$67+'EdgeX (wide)'!S$3:S$67+'EdgeX (wide)'!U$3:U$67+'EdgeX (wide)'!V$3:V$67+'EdgeX (wide)'!W$3:W$67+'EdgeX (wide)'!X$3:X$67+'EdgeX (wide)'!Y$3:Y$67+'EdgeX (wide)'!Z$3:Z$67))</f>
        <v>920177450.40986991</v>
      </c>
      <c r="I9" s="32">
        <f>SUMPRODUCT((MONTH('Avantis (wide)'!$A$3:$A$79)=5)*(YEAR('Avantis (wide)'!$A$3:$A$79)=2026)*(DAY('Avantis (wide)'!$A$3:$A$79)&lt;=20)*('Avantis (wide)'!K$3:K$79+'Avantis (wide)'!M$3:M$79+'Avantis (wide)'!N$3:N$79+'Avantis (wide)'!O$3:O$79+'Avantis (wide)'!P$3:P$79+'Avantis (wide)'!U$3:U$79+'Avantis (wide)'!W$3:W$79+'Avantis (wide)'!X$3:X$79+'Avantis (wide)'!Y$3:Y$79))</f>
        <v>2655262.8475367366</v>
      </c>
      <c r="J9" s="32">
        <f>SUMPRODUCT((MONTH('Ostium (wide)'!$A$3:$A$79)=5)*(YEAR('Ostium (wide)'!$A$3:$A$79)=2026)*(DAY('Ostium (wide)'!$A$3:$A$79)&lt;=20)*('Ostium (wide)'!I$3:I$79+'Ostium (wide)'!J$3:J$79+'Ostium (wide)'!N$3:N$79+'Ostium (wide)'!P$3:P$79+'Ostium (wide)'!Q$3:Q$79+'Ostium (wide)'!R$3:R$79+'Ostium (wide)'!S$3:S$79+'Ostium (wide)'!T$3:T$79+'Ostium (wide)'!U$3:U$79+'Ostium (wide)'!V$3:V$79+'Ostium (wide)'!W$3:W$79+'Ostium (wide)'!X$3:X$79+'Ostium (wide)'!Z$3:Z$79+'Ostium (wide)'!AA$3:AA$79+'Ostium (wide)'!AC$3:AC$79+'Ostium (wide)'!AD$3:AD$79+'Ostium (wide)'!AF$3:AF$79+'Ostium (wide)'!AG$3:AG$79+'Ostium (wide)'!AJ$3:AJ$79+'Ostium (wide)'!AK$3:AK$79+'Ostium (wide)'!AM$3:AM$79+'Ostium (wide)'!AN$3:AN$79+'Ostium (wide)'!AP$3:AP$79+'Ostium (wide)'!AT$3:AT$79+'Ostium (wide)'!AU$3:AU$79+'Ostium (wide)'!AV$3:AV$79+'Ostium (wide)'!BA$3:BA$79+'Ostium (wide)'!BB$3:BB$79+'Ostium (wide)'!BD$3:BD$79+'Ostium (wide)'!BF$3:BF$79+'Ostium (wide)'!BG$3:BG$79+'Ostium (wide)'!BI$3:BI$79+'Ostium (wide)'!BL$3:BL$79+'Ostium (wide)'!BM$3:BM$79+'Ostium (wide)'!BN$3:BN$79))</f>
        <v>1150615794.1024499</v>
      </c>
      <c r="K9" s="32">
        <f>SUMPRODUCT((MONTH('Lighter (wide)'!$A$3:$A$67)=5)*(YEAR('Lighter (wide)'!$A$3:$A$67)=2026)*(DAY('Lighter (wide)'!$A$3:$A$67)&lt;=20)*('Lighter (wide)'!H$3:H$67+'Lighter (wide)'!I$3:I$67+'Lighter (wide)'!J$3:J$67+'Lighter (wide)'!L$3:L$67+'Lighter (wide)'!O$3:O$67+'Lighter (wide)'!S$3:S$67+'Lighter (wide)'!V$3:V$67+'Lighter (wide)'!W$3:W$67+'Lighter (wide)'!X$3:X$67+'Lighter (wide)'!Y$3:Y$67+'Lighter (wide)'!Z$3:Z$67+'Lighter (wide)'!AB$3:AB$67+'Lighter (wide)'!AC$3:AC$67+'Lighter (wide)'!AD$3:AD$67+'Lighter (wide)'!AE$3:AE$67+'Lighter (wide)'!AF$3:AF$67+'Lighter (wide)'!AH$3:AH$67+'Lighter (wide)'!AK$3:AK$67+'Lighter (wide)'!AL$3:AL$67+'Lighter (wide)'!AM$3:AM$67+'Lighter (wide)'!AO$3:AO$67+'Lighter (wide)'!AQ$3:AQ$67+'Lighter (wide)'!AU$3:AU$67+'Lighter (wide)'!AZ$3:AZ$67+'Lighter (wide)'!BB$3:BB$67+'Lighter (wide)'!BC$3:BC$67+'Lighter (wide)'!BD$3:BD$67))</f>
        <v>531234256.28011608</v>
      </c>
      <c r="L9" s="32">
        <f>SUMPRODUCT((MONTH('HIP-3 (wide)'!$A$3:$A$247)=5)*(YEAR('HIP-3 (wide)'!$A$3:$A$247)=2026)*(DAY('HIP-3 (wide)'!$A$3:$A$247)&lt;=20)*('HIP-3 (wide)'!I$3:I$247+'HIP-3 (wide)'!J$3:J$247+'HIP-3 (wide)'!K$3:K$247+'HIP-3 (wide)'!L$3:L$247+'HIP-3 (wide)'!M$3:M$247+'HIP-3 (wide)'!N$3:N$247+'HIP-3 (wide)'!Q$3:Q$247+'HIP-3 (wide)'!S$3:S$247+'HIP-3 (wide)'!T$3:T$247+'HIP-3 (wide)'!U$3:U$247+'HIP-3 (wide)'!W$3:W$247+'HIP-3 (wide)'!Y$3:Y$247+'HIP-3 (wide)'!Z$3:Z$247+'HIP-3 (wide)'!AB$3:AB$247+'HIP-3 (wide)'!AC$3:AC$247+'HIP-3 (wide)'!AF$3:AF$247+'HIP-3 (wide)'!AH$3:AH$247+'HIP-3 (wide)'!AI$3:AI$247+'HIP-3 (wide)'!AL$3:AL$247+'HIP-3 (wide)'!AM$3:AM$247+'HIP-3 (wide)'!AN$3:AN$247+'HIP-3 (wide)'!AO$3:AO$247+'HIP-3 (wide)'!AP$3:AP$247+'HIP-3 (wide)'!AQ$3:AQ$247+'HIP-3 (wide)'!AR$3:AR$247+'HIP-3 (wide)'!AT$3:AT$247+'HIP-3 (wide)'!AU$3:AU$247+'HIP-3 (wide)'!AV$3:AV$247+'HIP-3 (wide)'!AX$3:AX$247+'HIP-3 (wide)'!AY$3:AY$247+'HIP-3 (wide)'!AZ$3:AZ$247+'HIP-3 (wide)'!BC$3:BC$247+'HIP-3 (wide)'!BD$3:BD$247+'HIP-3 (wide)'!BH$3:BH$247+'HIP-3 (wide)'!BI$3:BI$247+'HIP-3 (wide)'!BM$3:BM$247+'HIP-3 (wide)'!BS$3:BS$247+'HIP-3 (wide)'!BT$3:BT$247+'HIP-3 (wide)'!BW$3:BW$247+'HIP-3 (wide)'!BZ$3:BZ$247+'HIP-3 (wide)'!CD$3:CD$247+'HIP-3 (wide)'!CE$3:CE$247+'HIP-3 (wide)'!CG$3:CG$247+'HIP-3 (wide)'!CI$3:CI$247+'HIP-3 (wide)'!CM$3:CM$247+'HIP-3 (wide)'!CN$3:CN$247+'HIP-3 (wide)'!CP$3:CP$247+'HIP-3 (wide)'!CQ$3:CQ$247+'HIP-3 (wide)'!DA$3:DA$247+'HIP-3 (wide)'!DC$3:DC$247+'HIP-3 (wide)'!DF$3:DF$247))</f>
        <v>8979191441.8997784</v>
      </c>
      <c r="M9" s="33">
        <f t="shared" si="0"/>
        <v>35982980542.624893</v>
      </c>
    </row>
    <row r="10" spans="1:13" x14ac:dyDescent="0.35">
      <c r="A10" s="39" t="s">
        <v>226</v>
      </c>
      <c r="B10" s="32">
        <v>0</v>
      </c>
      <c r="C10" s="32">
        <v>0</v>
      </c>
      <c r="D10" s="32">
        <v>0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f>SUMPRODUCT((MONTH('Ostium (wide)'!$A$3:$A$79)=5)*(YEAR('Ostium (wide)'!$A$3:$A$79)=2026)*(DAY('Ostium (wide)'!$A$3:$A$79)&lt;=20)*('Ostium (wide)'!AL$3:AL$79+'Ostium (wide)'!AW$3:AW$79))</f>
        <v>9618580.6699570008</v>
      </c>
      <c r="K10" s="32">
        <v>0</v>
      </c>
      <c r="L10" s="32">
        <v>0</v>
      </c>
      <c r="M10" s="33">
        <f t="shared" si="0"/>
        <v>9618580.6699570008</v>
      </c>
    </row>
    <row r="11" spans="1:13" x14ac:dyDescent="0.35">
      <c r="A11" s="40" t="s">
        <v>328</v>
      </c>
      <c r="B11" s="33">
        <f t="shared" ref="B11:M11" si="1">SUM(B4:B10)</f>
        <v>114083986105.51733</v>
      </c>
      <c r="C11" s="33">
        <f t="shared" si="1"/>
        <v>1438433872.4094541</v>
      </c>
      <c r="D11" s="33">
        <f t="shared" si="1"/>
        <v>1570984802.8220799</v>
      </c>
      <c r="E11" s="33">
        <f t="shared" si="1"/>
        <v>145782936.14659399</v>
      </c>
      <c r="F11" s="33">
        <f t="shared" si="1"/>
        <v>649074802.55602002</v>
      </c>
      <c r="G11" s="33">
        <f t="shared" si="1"/>
        <v>469343753.18527997</v>
      </c>
      <c r="H11" s="33">
        <f t="shared" si="1"/>
        <v>4708310023.2764587</v>
      </c>
      <c r="I11" s="33">
        <f t="shared" si="1"/>
        <v>290310713.4445644</v>
      </c>
      <c r="J11" s="33">
        <f t="shared" si="1"/>
        <v>1997424813.4668312</v>
      </c>
      <c r="K11" s="33">
        <f t="shared" si="1"/>
        <v>2089617265.2436891</v>
      </c>
      <c r="L11" s="33">
        <f t="shared" si="1"/>
        <v>40283488088.611824</v>
      </c>
      <c r="M11" s="33">
        <f t="shared" si="1"/>
        <v>167726757176.68018</v>
      </c>
    </row>
    <row r="13" spans="1:13" ht="15.5" x14ac:dyDescent="0.35">
      <c r="A13" s="29" t="s">
        <v>329</v>
      </c>
      <c r="G13" s="43"/>
      <c r="H13" s="43"/>
      <c r="I13" s="43"/>
      <c r="J13" s="43"/>
      <c r="K13" s="43"/>
    </row>
    <row r="14" spans="1:13" x14ac:dyDescent="0.35">
      <c r="A14" s="30" t="s">
        <v>0</v>
      </c>
      <c r="B14" s="30" t="s">
        <v>317</v>
      </c>
      <c r="C14" s="30" t="s">
        <v>338</v>
      </c>
      <c r="D14" s="41" t="s">
        <v>337</v>
      </c>
      <c r="E14" s="41" t="s">
        <v>331</v>
      </c>
      <c r="G14" s="14" t="s">
        <v>0</v>
      </c>
      <c r="H14" s="25" t="s">
        <v>317</v>
      </c>
      <c r="I14" s="25" t="s">
        <v>332</v>
      </c>
      <c r="J14" s="25" t="s">
        <v>333</v>
      </c>
      <c r="K14" s="25" t="s">
        <v>7</v>
      </c>
    </row>
    <row r="15" spans="1:13" x14ac:dyDescent="0.35">
      <c r="A15" s="31" t="s">
        <v>1</v>
      </c>
      <c r="B15" s="32">
        <f t="shared" ref="B15:B21" si="2">B4</f>
        <v>88837089464.608627</v>
      </c>
      <c r="C15" s="32">
        <f>C4+D4+E4+F4+G4+H4+I4+J4+K4</f>
        <v>7712800993.6465845</v>
      </c>
      <c r="D15" s="42">
        <v>20836127603</v>
      </c>
      <c r="E15" s="27">
        <f>SUM(C15:D15)</f>
        <v>28548928596.646584</v>
      </c>
      <c r="G15" s="15" t="s">
        <v>1</v>
      </c>
      <c r="H15" s="28">
        <f>B15/B$22</f>
        <v>0.77869903127720641</v>
      </c>
      <c r="I15" s="28">
        <f t="shared" ref="I15:I21" si="3">E15/E$22</f>
        <v>0.50695257322435228</v>
      </c>
      <c r="J15" s="28">
        <f t="shared" ref="J15:J21" si="4">D15/D$22</f>
        <v>0.48506299175208484</v>
      </c>
      <c r="K15" s="28">
        <f t="shared" ref="K15:K21" si="5">SUM(B15,E15)/SUM($B$22,$E$22)</f>
        <v>0.68889002331569593</v>
      </c>
    </row>
    <row r="16" spans="1:13" x14ac:dyDescent="0.35">
      <c r="A16" s="34" t="s">
        <v>248</v>
      </c>
      <c r="B16" s="32">
        <f t="shared" si="2"/>
        <v>0</v>
      </c>
      <c r="C16" s="32">
        <f t="shared" ref="C16:C21" si="6">C5+D5+E5+F5+G5+H5+I5+J5+K5</f>
        <v>31252.329951000003</v>
      </c>
      <c r="D16" s="42">
        <v>252920123</v>
      </c>
      <c r="E16" s="27">
        <f t="shared" ref="E16:E21" si="7">SUM(C16:D16)</f>
        <v>252951375.32995099</v>
      </c>
      <c r="G16" s="18" t="s">
        <v>248</v>
      </c>
      <c r="H16" s="28">
        <f t="shared" ref="H15:H21" si="8">B16/B$22</f>
        <v>0</v>
      </c>
      <c r="I16" s="28">
        <f t="shared" si="3"/>
        <v>4.4917395127472585E-3</v>
      </c>
      <c r="J16" s="28">
        <f t="shared" si="4"/>
        <v>5.8879554720629289E-3</v>
      </c>
      <c r="K16" s="28">
        <f t="shared" si="5"/>
        <v>1.4844670747571991E-3</v>
      </c>
    </row>
    <row r="17" spans="1:11" x14ac:dyDescent="0.35">
      <c r="A17" s="35" t="s">
        <v>5</v>
      </c>
      <c r="B17" s="32">
        <f t="shared" si="2"/>
        <v>1284890.3162200002</v>
      </c>
      <c r="C17" s="32">
        <f t="shared" si="6"/>
        <v>411396211.04766929</v>
      </c>
      <c r="D17" s="42">
        <v>158650133</v>
      </c>
      <c r="E17" s="27">
        <f t="shared" si="7"/>
        <v>570046344.04766929</v>
      </c>
      <c r="G17" s="19" t="s">
        <v>5</v>
      </c>
      <c r="H17" s="28">
        <f t="shared" si="8"/>
        <v>1.1262670249193372E-5</v>
      </c>
      <c r="I17" s="28">
        <f t="shared" si="3"/>
        <v>1.0122497591942744E-2</v>
      </c>
      <c r="J17" s="28">
        <f t="shared" si="4"/>
        <v>3.6933594198072625E-3</v>
      </c>
      <c r="K17" s="28">
        <f t="shared" si="5"/>
        <v>3.3529068781985773E-3</v>
      </c>
    </row>
    <row r="18" spans="1:11" x14ac:dyDescent="0.35">
      <c r="A18" s="36" t="s">
        <v>3</v>
      </c>
      <c r="B18" s="32">
        <f t="shared" si="2"/>
        <v>2188349679.836071</v>
      </c>
      <c r="C18" s="32">
        <f t="shared" si="6"/>
        <v>839607043.8087374</v>
      </c>
      <c r="D18" s="42">
        <v>11096868214</v>
      </c>
      <c r="E18" s="27">
        <f t="shared" si="7"/>
        <v>11936475257.808737</v>
      </c>
      <c r="G18" s="20" t="s">
        <v>3</v>
      </c>
      <c r="H18" s="28">
        <f>B18/B$22</f>
        <v>1.9181918116115318E-2</v>
      </c>
      <c r="I18" s="28">
        <f t="shared" si="3"/>
        <v>0.21195985785209967</v>
      </c>
      <c r="J18" s="28">
        <f t="shared" si="4"/>
        <v>0.25833399552546665</v>
      </c>
      <c r="K18" s="28">
        <f>SUM(B18,E18)/SUM($B$22,$E$22)</f>
        <v>8.2892759643202488E-2</v>
      </c>
    </row>
    <row r="19" spans="1:11" x14ac:dyDescent="0.35">
      <c r="A19" s="37" t="s">
        <v>4</v>
      </c>
      <c r="B19" s="32">
        <f t="shared" si="2"/>
        <v>423435255.58653808</v>
      </c>
      <c r="C19" s="32">
        <f t="shared" si="6"/>
        <v>15866615.492835</v>
      </c>
      <c r="D19" s="42">
        <v>102492372</v>
      </c>
      <c r="E19" s="27">
        <f t="shared" si="7"/>
        <v>118358987.492835</v>
      </c>
      <c r="G19" s="21" t="s">
        <v>4</v>
      </c>
      <c r="H19" s="28">
        <f t="shared" si="8"/>
        <v>3.711609929152536E-3</v>
      </c>
      <c r="I19" s="28">
        <f>E19/E$22</f>
        <v>2.1017388820948483E-3</v>
      </c>
      <c r="J19" s="28">
        <f t="shared" si="4"/>
        <v>2.3860122927510568E-3</v>
      </c>
      <c r="K19" s="28">
        <f t="shared" si="5"/>
        <v>3.1795664842510811E-3</v>
      </c>
    </row>
    <row r="20" spans="1:11" x14ac:dyDescent="0.35">
      <c r="A20" s="38" t="s">
        <v>2</v>
      </c>
      <c r="B20" s="32">
        <f t="shared" si="2"/>
        <v>22633826815.169868</v>
      </c>
      <c r="C20" s="32">
        <f t="shared" si="6"/>
        <v>4369962285.5552368</v>
      </c>
      <c r="D20" s="42">
        <v>10494191141</v>
      </c>
      <c r="E20" s="27">
        <f t="shared" si="7"/>
        <v>14864153426.555237</v>
      </c>
      <c r="G20" s="22" t="s">
        <v>2</v>
      </c>
      <c r="H20" s="28">
        <f t="shared" si="8"/>
        <v>0.19839617800727644</v>
      </c>
      <c r="I20" s="28">
        <f t="shared" si="3"/>
        <v>0.26394758748595831</v>
      </c>
      <c r="J20" s="28">
        <f>D20/D$22</f>
        <v>0.24430373281735776</v>
      </c>
      <c r="K20" s="28">
        <f t="shared" si="5"/>
        <v>0.2200601477897792</v>
      </c>
    </row>
    <row r="21" spans="1:11" x14ac:dyDescent="0.35">
      <c r="A21" s="39" t="s">
        <v>226</v>
      </c>
      <c r="B21" s="32">
        <f t="shared" si="2"/>
        <v>0</v>
      </c>
      <c r="C21" s="32">
        <f t="shared" si="6"/>
        <v>9618580.6699570008</v>
      </c>
      <c r="D21" s="42">
        <v>14259198</v>
      </c>
      <c r="E21" s="27">
        <f t="shared" si="7"/>
        <v>23877778.669957001</v>
      </c>
      <c r="G21" s="23" t="s">
        <v>226</v>
      </c>
      <c r="H21" s="28">
        <f t="shared" si="8"/>
        <v>0</v>
      </c>
      <c r="I21" s="28">
        <f t="shared" si="3"/>
        <v>4.2400545080483761E-4</v>
      </c>
      <c r="J21" s="28">
        <f t="shared" si="4"/>
        <v>3.3195272046949293E-4</v>
      </c>
      <c r="K21" s="28">
        <f>SUM(B21,E21)/SUM($B$22,$E$22)</f>
        <v>1.4012881411557964E-4</v>
      </c>
    </row>
    <row r="22" spans="1:11" x14ac:dyDescent="0.35">
      <c r="A22" s="40" t="s">
        <v>328</v>
      </c>
      <c r="B22" s="33">
        <f>SUM(B15:B21)</f>
        <v>114083986105.51733</v>
      </c>
      <c r="C22" s="33">
        <f>SUM(C15:C21)</f>
        <v>13359282982.55097</v>
      </c>
      <c r="D22" s="33">
        <f>SUM(D15:D21)</f>
        <v>42955508784</v>
      </c>
      <c r="E22" s="33">
        <f>SUM(E15:E21)</f>
        <v>56314791766.550972</v>
      </c>
      <c r="G22" s="24" t="s">
        <v>328</v>
      </c>
    </row>
    <row r="23" spans="1:11" x14ac:dyDescent="0.35">
      <c r="D23">
        <f>+E22/B22</f>
        <v>0.49362573739722682</v>
      </c>
    </row>
    <row r="25" spans="1:11" x14ac:dyDescent="0.35">
      <c r="B25" s="28">
        <f>+B15/(E15+B15)</f>
        <v>0.75679447119716603</v>
      </c>
      <c r="C25" s="44">
        <f>1-B25</f>
        <v>0.24320552880283397</v>
      </c>
      <c r="D25" s="28">
        <f>+D15/E15</f>
        <v>0.72983921384172201</v>
      </c>
    </row>
    <row r="26" spans="1:11" x14ac:dyDescent="0.35">
      <c r="B26" s="28">
        <f t="shared" ref="B26:B31" si="9">+B16/(E16+B16)</f>
        <v>0</v>
      </c>
      <c r="C26" s="44">
        <f t="shared" ref="C26:C31" si="10">1-B26</f>
        <v>1</v>
      </c>
      <c r="D26" s="28">
        <f t="shared" ref="D26:D31" si="11">+D16/E16</f>
        <v>0.99987644925863628</v>
      </c>
    </row>
    <row r="27" spans="1:11" x14ac:dyDescent="0.35">
      <c r="B27" s="28">
        <f t="shared" si="9"/>
        <v>2.2489411377107286E-3</v>
      </c>
      <c r="C27" s="44">
        <f t="shared" si="10"/>
        <v>0.99775105886228932</v>
      </c>
      <c r="D27" s="28">
        <f t="shared" si="11"/>
        <v>0.278310938499297</v>
      </c>
    </row>
    <row r="28" spans="1:11" x14ac:dyDescent="0.35">
      <c r="B28" s="28">
        <f t="shared" si="9"/>
        <v>0.15492933112422413</v>
      </c>
      <c r="C28" s="44">
        <f t="shared" si="10"/>
        <v>0.84507066887577587</v>
      </c>
      <c r="D28" s="28">
        <f t="shared" si="11"/>
        <v>0.92966038753697633</v>
      </c>
    </row>
    <row r="29" spans="1:11" x14ac:dyDescent="0.35">
      <c r="B29" s="28">
        <f t="shared" si="9"/>
        <v>0.78154255235322723</v>
      </c>
      <c r="C29" s="44">
        <f t="shared" si="10"/>
        <v>0.21845744764677277</v>
      </c>
      <c r="D29" s="28">
        <f t="shared" si="11"/>
        <v>0.86594498796472463</v>
      </c>
    </row>
    <row r="30" spans="1:11" x14ac:dyDescent="0.35">
      <c r="B30" s="28">
        <f t="shared" si="9"/>
        <v>0.60360122516637693</v>
      </c>
      <c r="C30" s="44">
        <f t="shared" si="10"/>
        <v>0.39639877483362307</v>
      </c>
      <c r="D30" s="28">
        <f t="shared" si="11"/>
        <v>0.7060066483336902</v>
      </c>
    </row>
    <row r="31" spans="1:11" x14ac:dyDescent="0.35">
      <c r="B31" s="28">
        <f t="shared" si="9"/>
        <v>0</v>
      </c>
      <c r="C31" s="44">
        <f t="shared" si="10"/>
        <v>1</v>
      </c>
      <c r="D31" s="28">
        <f t="shared" si="11"/>
        <v>0.59717439369437286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F2D4-1FB9-4634-9911-0C0770C56432}">
  <dimension ref="A1:AB70"/>
  <sheetViews>
    <sheetView workbookViewId="0">
      <selection activeCell="B3" sqref="B3:H22"/>
    </sheetView>
  </sheetViews>
  <sheetFormatPr defaultRowHeight="14.5" x14ac:dyDescent="0.35"/>
  <cols>
    <col min="1" max="1" width="12" customWidth="1"/>
    <col min="2" max="28" width="14" customWidth="1"/>
  </cols>
  <sheetData>
    <row r="1" spans="1:28" x14ac:dyDescent="0.35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4" t="s">
        <v>3</v>
      </c>
      <c r="J1" s="4" t="s">
        <v>3</v>
      </c>
      <c r="K1" s="4" t="s">
        <v>3</v>
      </c>
      <c r="L1" s="4" t="s">
        <v>3</v>
      </c>
      <c r="M1" s="4" t="s">
        <v>3</v>
      </c>
      <c r="N1" s="4" t="s">
        <v>3</v>
      </c>
      <c r="O1" s="4" t="s">
        <v>3</v>
      </c>
      <c r="P1" s="4" t="s">
        <v>3</v>
      </c>
      <c r="Q1" s="4" t="s">
        <v>3</v>
      </c>
      <c r="R1" s="4" t="s">
        <v>3</v>
      </c>
      <c r="S1" s="4" t="s">
        <v>3</v>
      </c>
      <c r="T1" s="4" t="s">
        <v>3</v>
      </c>
      <c r="U1" s="4" t="s">
        <v>3</v>
      </c>
      <c r="V1" s="4" t="s">
        <v>3</v>
      </c>
      <c r="W1" s="4" t="s">
        <v>3</v>
      </c>
      <c r="X1" s="4" t="s">
        <v>3</v>
      </c>
      <c r="Y1" s="4" t="s">
        <v>3</v>
      </c>
      <c r="Z1" s="4" t="s">
        <v>3</v>
      </c>
      <c r="AA1" s="4" t="s">
        <v>3</v>
      </c>
      <c r="AB1" s="4" t="s">
        <v>3</v>
      </c>
    </row>
    <row r="2" spans="1:28" x14ac:dyDescent="0.35">
      <c r="A2" s="7" t="s">
        <v>6</v>
      </c>
      <c r="B2" s="7" t="s">
        <v>8</v>
      </c>
      <c r="C2" s="7" t="s">
        <v>9</v>
      </c>
      <c r="D2" s="7" t="s">
        <v>10</v>
      </c>
      <c r="E2" s="7" t="s">
        <v>24</v>
      </c>
      <c r="F2" s="7" t="s">
        <v>22</v>
      </c>
      <c r="G2" s="7" t="s">
        <v>33</v>
      </c>
      <c r="H2" s="7" t="s">
        <v>36</v>
      </c>
      <c r="I2" s="7" t="s">
        <v>55</v>
      </c>
      <c r="J2" s="7" t="s">
        <v>60</v>
      </c>
      <c r="K2" s="7" t="s">
        <v>71</v>
      </c>
      <c r="L2" s="7" t="s">
        <v>79</v>
      </c>
      <c r="M2" s="7" t="s">
        <v>86</v>
      </c>
      <c r="N2" s="7" t="s">
        <v>88</v>
      </c>
      <c r="O2" s="7" t="s">
        <v>98</v>
      </c>
      <c r="P2" s="7" t="s">
        <v>103</v>
      </c>
      <c r="Q2" s="7" t="s">
        <v>110</v>
      </c>
      <c r="R2" s="7" t="s">
        <v>112</v>
      </c>
      <c r="S2" s="7" t="s">
        <v>113</v>
      </c>
      <c r="T2" s="7" t="s">
        <v>115</v>
      </c>
      <c r="U2" s="7" t="s">
        <v>116</v>
      </c>
      <c r="V2" s="7" t="s">
        <v>123</v>
      </c>
      <c r="W2" s="7" t="s">
        <v>134</v>
      </c>
      <c r="X2" s="7" t="s">
        <v>137</v>
      </c>
      <c r="Y2" s="7" t="s">
        <v>138</v>
      </c>
      <c r="Z2" s="7" t="s">
        <v>144</v>
      </c>
      <c r="AA2" s="7" t="s">
        <v>149</v>
      </c>
      <c r="AB2" s="7" t="s">
        <v>150</v>
      </c>
    </row>
    <row r="3" spans="1:28" x14ac:dyDescent="0.35">
      <c r="A3" s="8">
        <v>46162</v>
      </c>
      <c r="B3" s="10">
        <v>7103890.5731499996</v>
      </c>
      <c r="C3" s="10">
        <v>12975040.17296</v>
      </c>
      <c r="D3" s="10">
        <v>9286219.9321100004</v>
      </c>
      <c r="E3" s="10">
        <v>17457.999039999999</v>
      </c>
      <c r="F3" s="10">
        <v>195985.52600000001</v>
      </c>
      <c r="G3" s="10">
        <v>11861.944799999999</v>
      </c>
      <c r="H3" s="10">
        <v>1490.2310500000001</v>
      </c>
      <c r="I3" s="10">
        <v>1312523.4236999999</v>
      </c>
      <c r="J3" s="10">
        <v>6587671.9299999997</v>
      </c>
      <c r="K3" s="10">
        <v>2256859.4915</v>
      </c>
      <c r="L3" s="10">
        <v>1470003.3319999999</v>
      </c>
      <c r="M3" s="10">
        <v>959143.27500999998</v>
      </c>
      <c r="N3" s="10">
        <v>542302.84420000005</v>
      </c>
      <c r="O3" s="10">
        <v>81490.741670000003</v>
      </c>
      <c r="P3" s="10">
        <v>11921.964910000001</v>
      </c>
      <c r="Q3" s="10">
        <v>26899.204099999999</v>
      </c>
      <c r="R3" s="10">
        <v>106540.698645</v>
      </c>
      <c r="S3" s="10">
        <v>56715.7359</v>
      </c>
      <c r="T3" s="10">
        <v>25090.559730000001</v>
      </c>
      <c r="U3" s="10">
        <v>133285.01</v>
      </c>
      <c r="V3" s="10">
        <v>11535.0337</v>
      </c>
      <c r="W3" s="10">
        <v>8157.35347</v>
      </c>
      <c r="X3" s="10">
        <v>20979.679499999998</v>
      </c>
      <c r="Y3" s="10">
        <v>20287.808518999998</v>
      </c>
      <c r="Z3" s="10">
        <v>4861.0847899999999</v>
      </c>
      <c r="AA3" s="10">
        <v>18886.043000000001</v>
      </c>
      <c r="AB3" s="10">
        <v>47052.648000000001</v>
      </c>
    </row>
    <row r="4" spans="1:28" x14ac:dyDescent="0.35">
      <c r="A4" s="8">
        <v>46161</v>
      </c>
      <c r="B4" s="10">
        <v>8572685.1738399994</v>
      </c>
      <c r="C4" s="10">
        <v>8204645.3938999996</v>
      </c>
      <c r="D4" s="10">
        <v>3037113.2457499998</v>
      </c>
      <c r="E4" s="10">
        <v>16319.992340000001</v>
      </c>
      <c r="F4" s="10">
        <v>69801.072899999999</v>
      </c>
      <c r="G4" s="10">
        <v>6422.5409</v>
      </c>
      <c r="H4" s="10">
        <v>4136.0683600000002</v>
      </c>
      <c r="I4" s="10">
        <v>1173256.666</v>
      </c>
      <c r="J4" s="10">
        <v>1917406.584</v>
      </c>
      <c r="K4" s="10">
        <v>4719220.6256999997</v>
      </c>
      <c r="L4" s="10">
        <v>1999765.953</v>
      </c>
      <c r="M4" s="10">
        <v>32972.169580000002</v>
      </c>
      <c r="N4" s="10">
        <v>709237.45539999998</v>
      </c>
      <c r="O4" s="10">
        <v>74525.236105000004</v>
      </c>
      <c r="P4" s="10">
        <v>42269.882550000002</v>
      </c>
      <c r="Q4" s="10">
        <v>55499.293400000002</v>
      </c>
      <c r="R4" s="10">
        <v>95393.177205</v>
      </c>
      <c r="S4" s="10">
        <v>50802.970300000001</v>
      </c>
      <c r="T4" s="10">
        <v>67594.166559999998</v>
      </c>
      <c r="U4" s="10">
        <v>233628.288</v>
      </c>
      <c r="V4" s="10">
        <v>14375.41172</v>
      </c>
      <c r="W4" s="10">
        <v>14002.70732</v>
      </c>
      <c r="X4" s="10">
        <v>151189.75959999999</v>
      </c>
      <c r="Y4" s="10">
        <v>11239.492560000001</v>
      </c>
      <c r="Z4" s="10">
        <v>19297.817490000001</v>
      </c>
      <c r="AA4" s="10">
        <v>12606.328</v>
      </c>
      <c r="AB4" s="10">
        <v>5055.0877</v>
      </c>
    </row>
    <row r="5" spans="1:28" x14ac:dyDescent="0.35">
      <c r="A5" s="8">
        <v>46160</v>
      </c>
      <c r="B5" s="10">
        <v>7591778.9729500003</v>
      </c>
      <c r="C5" s="10">
        <v>10786310.805609999</v>
      </c>
      <c r="D5" s="10">
        <v>14279362.66004</v>
      </c>
      <c r="E5" s="10">
        <v>38225.818859999999</v>
      </c>
      <c r="F5" s="10">
        <v>72599.531199999998</v>
      </c>
      <c r="G5" s="10">
        <v>10378.3943</v>
      </c>
      <c r="H5" s="10">
        <v>3071.8820099999998</v>
      </c>
      <c r="I5" s="10">
        <v>1579849.7801000001</v>
      </c>
      <c r="J5" s="10">
        <v>525935.06400000001</v>
      </c>
      <c r="K5" s="10">
        <v>5287664.6984999999</v>
      </c>
      <c r="L5" s="10">
        <v>1813621.0702</v>
      </c>
      <c r="M5" s="10">
        <v>69941.20177</v>
      </c>
      <c r="N5" s="10">
        <v>582305.4007</v>
      </c>
      <c r="O5" s="10">
        <v>80942.457299000002</v>
      </c>
      <c r="P5" s="10">
        <v>14127.419809999999</v>
      </c>
      <c r="Q5" s="10">
        <v>100552.7825</v>
      </c>
      <c r="R5" s="10">
        <v>49757.842223</v>
      </c>
      <c r="S5" s="10">
        <v>30530.964199999999</v>
      </c>
      <c r="T5" s="10">
        <v>12323.19938</v>
      </c>
      <c r="U5" s="10">
        <v>546385.65700000001</v>
      </c>
      <c r="V5" s="10">
        <v>17597.101149999999</v>
      </c>
      <c r="W5" s="10">
        <v>7795.7230200000004</v>
      </c>
      <c r="X5" s="10">
        <v>81139.026599999997</v>
      </c>
      <c r="Y5" s="10">
        <v>28639.854601999999</v>
      </c>
      <c r="Z5" s="10">
        <v>12429.72724</v>
      </c>
      <c r="AA5" s="10">
        <v>11906.949000000001</v>
      </c>
      <c r="AB5" s="10">
        <v>15547.6939</v>
      </c>
    </row>
    <row r="6" spans="1:28" x14ac:dyDescent="0.35">
      <c r="A6" s="8">
        <v>46159</v>
      </c>
      <c r="B6" s="10">
        <v>1745326.0532800001</v>
      </c>
      <c r="C6" s="10">
        <v>2372071.0746800001</v>
      </c>
      <c r="D6" s="10">
        <v>1134372.48694</v>
      </c>
      <c r="E6" s="10">
        <v>4515.9644500000004</v>
      </c>
      <c r="F6" s="10">
        <v>18565.893700000001</v>
      </c>
      <c r="G6" s="10">
        <v>5043.1746999999996</v>
      </c>
      <c r="H6" s="10">
        <v>222.30936</v>
      </c>
      <c r="I6" s="10">
        <v>1452181.4934</v>
      </c>
      <c r="J6" s="10">
        <v>126884.93700000001</v>
      </c>
      <c r="K6" s="10">
        <v>240309.94829999999</v>
      </c>
      <c r="L6" s="10">
        <v>81912.071200000006</v>
      </c>
      <c r="M6" s="10">
        <v>47768.172229999996</v>
      </c>
      <c r="N6" s="10">
        <v>14560.8099</v>
      </c>
      <c r="O6" s="10">
        <v>3367.984258</v>
      </c>
      <c r="P6" s="10">
        <v>4240.8561099999997</v>
      </c>
      <c r="Q6" s="10">
        <v>9096.3345000000008</v>
      </c>
      <c r="R6" s="10">
        <v>17677.755774000001</v>
      </c>
      <c r="S6" s="10">
        <v>33265.407500000001</v>
      </c>
      <c r="T6" s="10">
        <v>6056.5763999999999</v>
      </c>
      <c r="U6" s="10">
        <v>187231.72200000001</v>
      </c>
      <c r="V6" s="10">
        <v>10875.39133</v>
      </c>
      <c r="W6" s="10">
        <v>5438.0560299999997</v>
      </c>
      <c r="X6" s="10">
        <v>58802.635000000002</v>
      </c>
      <c r="Y6" s="10">
        <v>5048.0316270000003</v>
      </c>
      <c r="Z6" s="10">
        <v>1820.9268</v>
      </c>
      <c r="AA6" s="10">
        <v>11873.713</v>
      </c>
      <c r="AB6" s="10">
        <v>4527.1221999999998</v>
      </c>
    </row>
    <row r="7" spans="1:28" x14ac:dyDescent="0.35">
      <c r="A7" s="8">
        <v>46158</v>
      </c>
      <c r="B7" s="10">
        <v>1709556.4439300001</v>
      </c>
      <c r="C7" s="10">
        <v>738661.64292000001</v>
      </c>
      <c r="D7" s="10">
        <v>546721.27878000005</v>
      </c>
      <c r="E7" s="10">
        <v>267.40947</v>
      </c>
      <c r="F7" s="10">
        <v>16283.228300000001</v>
      </c>
      <c r="G7" s="10">
        <v>3463.7422000000001</v>
      </c>
      <c r="H7" s="10">
        <v>599.96712000000002</v>
      </c>
      <c r="I7" s="10">
        <v>660870.99419999996</v>
      </c>
      <c r="J7" s="10">
        <v>131418.663</v>
      </c>
      <c r="K7" s="10">
        <v>136981.30619999999</v>
      </c>
      <c r="L7" s="10">
        <v>102470.89720000001</v>
      </c>
      <c r="M7" s="10">
        <v>53848.862330000004</v>
      </c>
      <c r="N7" s="10">
        <v>8263.4509999999991</v>
      </c>
      <c r="O7" s="10">
        <v>3515.4357239999999</v>
      </c>
      <c r="P7" s="10">
        <v>2913.7124100000001</v>
      </c>
      <c r="Q7" s="10">
        <v>12898.072700000001</v>
      </c>
      <c r="R7" s="10">
        <v>20924.473029000001</v>
      </c>
      <c r="S7" s="10">
        <v>146379.18290000001</v>
      </c>
      <c r="T7" s="10">
        <v>5949.2687500000002</v>
      </c>
      <c r="U7" s="10">
        <v>211920.065</v>
      </c>
      <c r="V7" s="10">
        <v>10753.510689999999</v>
      </c>
      <c r="W7" s="10">
        <v>5717.8019700000004</v>
      </c>
      <c r="X7" s="10">
        <v>102682.9513</v>
      </c>
      <c r="Y7" s="10">
        <v>5183.5412159999996</v>
      </c>
      <c r="Z7" s="10">
        <v>2317.1799799999999</v>
      </c>
      <c r="AA7" s="10">
        <v>12376.017</v>
      </c>
      <c r="AB7" s="10">
        <v>2772.2827000000002</v>
      </c>
    </row>
    <row r="8" spans="1:28" x14ac:dyDescent="0.35">
      <c r="A8" s="8">
        <v>46157</v>
      </c>
      <c r="B8" s="10">
        <v>8787482.0480400007</v>
      </c>
      <c r="C8" s="10">
        <v>14313285.158360001</v>
      </c>
      <c r="D8" s="10">
        <v>3129801.8833599999</v>
      </c>
      <c r="E8" s="10">
        <v>29831.650369999999</v>
      </c>
      <c r="F8" s="10">
        <v>97671.393200000006</v>
      </c>
      <c r="G8" s="10">
        <v>11710.063399999999</v>
      </c>
      <c r="H8" s="10">
        <v>7150.6556899999996</v>
      </c>
      <c r="I8" s="10">
        <v>1798339.0377</v>
      </c>
      <c r="J8" s="10">
        <v>355880.37199999997</v>
      </c>
      <c r="K8" s="10">
        <v>1819739.1333000001</v>
      </c>
      <c r="L8" s="10">
        <v>1205098.2533</v>
      </c>
      <c r="M8" s="10">
        <v>1432381.6298</v>
      </c>
      <c r="N8" s="10">
        <v>1009118.2666</v>
      </c>
      <c r="O8" s="10">
        <v>27868.453127000001</v>
      </c>
      <c r="P8" s="10">
        <v>46402.37889</v>
      </c>
      <c r="Q8" s="10">
        <v>57522.614500000003</v>
      </c>
      <c r="R8" s="10">
        <v>45848.691617999997</v>
      </c>
      <c r="S8" s="10">
        <v>61495.358699999997</v>
      </c>
      <c r="T8" s="10">
        <v>23034.508620000001</v>
      </c>
      <c r="U8" s="10">
        <v>244542.28599999999</v>
      </c>
      <c r="V8" s="10">
        <v>12509.677830000001</v>
      </c>
      <c r="W8" s="10">
        <v>10065.780049999999</v>
      </c>
      <c r="X8" s="10">
        <v>448147.0821</v>
      </c>
      <c r="Y8" s="10">
        <v>18060.956645999999</v>
      </c>
      <c r="Z8" s="10">
        <v>18634.828839999998</v>
      </c>
      <c r="AA8" s="10">
        <v>14558.941000000001</v>
      </c>
      <c r="AB8" s="10">
        <v>10142.6715</v>
      </c>
    </row>
    <row r="9" spans="1:28" x14ac:dyDescent="0.35">
      <c r="A9" s="8">
        <v>46156</v>
      </c>
      <c r="B9" s="10">
        <v>4511027.3376900004</v>
      </c>
      <c r="C9" s="10">
        <v>8473810.0816799998</v>
      </c>
      <c r="D9" s="10">
        <v>2890426.8369</v>
      </c>
      <c r="E9" s="10">
        <v>12903.7325</v>
      </c>
      <c r="F9" s="10">
        <v>152011.05480000001</v>
      </c>
      <c r="G9" s="10">
        <v>4870.6048000000001</v>
      </c>
      <c r="H9" s="10">
        <v>3403.35581</v>
      </c>
      <c r="I9" s="10">
        <v>2463877.8265999998</v>
      </c>
      <c r="J9" s="10">
        <v>227703.50399999999</v>
      </c>
      <c r="K9" s="10">
        <v>833594.55700000003</v>
      </c>
      <c r="L9" s="10">
        <v>511465.54969999997</v>
      </c>
      <c r="M9" s="10">
        <v>483531.33711000002</v>
      </c>
      <c r="N9" s="10">
        <v>207598.23560000001</v>
      </c>
      <c r="O9" s="10">
        <v>134766.98718299999</v>
      </c>
      <c r="P9" s="10">
        <v>144929.20611</v>
      </c>
      <c r="Q9" s="10">
        <v>26581.444299999999</v>
      </c>
      <c r="R9" s="10">
        <v>32804.526853000003</v>
      </c>
      <c r="S9" s="10">
        <v>23534.385300000002</v>
      </c>
      <c r="T9" s="10">
        <v>34377.527679999999</v>
      </c>
      <c r="U9" s="10">
        <v>101060.408</v>
      </c>
      <c r="V9" s="10">
        <v>12456.187749999999</v>
      </c>
      <c r="W9" s="10">
        <v>8195.31394</v>
      </c>
      <c r="X9" s="10">
        <v>784227.55839999998</v>
      </c>
      <c r="Y9" s="10">
        <v>13828.521371999999</v>
      </c>
      <c r="Z9" s="10">
        <v>60331.278079999996</v>
      </c>
      <c r="AA9" s="10">
        <v>14488.069</v>
      </c>
      <c r="AB9" s="10">
        <v>11373.886</v>
      </c>
    </row>
    <row r="10" spans="1:28" x14ac:dyDescent="0.35">
      <c r="A10" s="8">
        <v>46155</v>
      </c>
      <c r="B10" s="10">
        <v>4038841.96061</v>
      </c>
      <c r="C10" s="10">
        <v>5590199.5318099996</v>
      </c>
      <c r="D10" s="10">
        <v>7788504.8503400004</v>
      </c>
      <c r="E10" s="10">
        <v>12466.238729999999</v>
      </c>
      <c r="F10" s="10">
        <v>125207.34138</v>
      </c>
      <c r="G10" s="10">
        <v>15738.675499999999</v>
      </c>
      <c r="H10" s="10">
        <v>7546.30728</v>
      </c>
      <c r="I10" s="10">
        <v>1528712.0382999999</v>
      </c>
      <c r="J10" s="10">
        <v>342153.777</v>
      </c>
      <c r="K10" s="10">
        <v>1334096.8581000001</v>
      </c>
      <c r="L10" s="10">
        <v>733129.32830000005</v>
      </c>
      <c r="M10" s="10">
        <v>266636.89974999998</v>
      </c>
      <c r="N10" s="10">
        <v>306882.76770000003</v>
      </c>
      <c r="O10" s="10">
        <v>608828.65025499999</v>
      </c>
      <c r="P10" s="10">
        <v>334582.04817999998</v>
      </c>
      <c r="Q10" s="10">
        <v>40596.861299999997</v>
      </c>
      <c r="R10" s="10">
        <v>10925.258873000001</v>
      </c>
      <c r="S10" s="10">
        <v>70291.6973</v>
      </c>
      <c r="T10" s="10">
        <v>47305.561569999998</v>
      </c>
      <c r="U10" s="10">
        <v>180614.61600000001</v>
      </c>
      <c r="V10" s="10">
        <v>17232.545819999999</v>
      </c>
      <c r="W10" s="10">
        <v>9513.9206799999993</v>
      </c>
      <c r="X10" s="10"/>
      <c r="Y10" s="10">
        <v>15275.459038999999</v>
      </c>
      <c r="Z10" s="10">
        <v>19817.624309999999</v>
      </c>
      <c r="AA10" s="10">
        <v>20073.382000000001</v>
      </c>
      <c r="AB10" s="10">
        <v>4950.2936</v>
      </c>
    </row>
    <row r="11" spans="1:28" x14ac:dyDescent="0.35">
      <c r="A11" s="8">
        <v>46154</v>
      </c>
      <c r="B11" s="10">
        <v>5658288.1020499999</v>
      </c>
      <c r="C11" s="10">
        <v>8353397.6879899995</v>
      </c>
      <c r="D11" s="10">
        <v>9297721.9649800006</v>
      </c>
      <c r="E11" s="10">
        <v>21215.424559999999</v>
      </c>
      <c r="F11" s="10">
        <v>149665.39158</v>
      </c>
      <c r="G11" s="10">
        <v>7423.7236999999996</v>
      </c>
      <c r="H11" s="10">
        <v>6581.3174600000002</v>
      </c>
      <c r="I11" s="10">
        <v>1508465.3441000001</v>
      </c>
      <c r="J11" s="10">
        <v>381603.54700000002</v>
      </c>
      <c r="K11" s="10">
        <v>1231880.3032</v>
      </c>
      <c r="L11" s="10">
        <v>693446.99179999996</v>
      </c>
      <c r="M11" s="10">
        <v>505953.86861</v>
      </c>
      <c r="N11" s="10">
        <v>751931.63060000003</v>
      </c>
      <c r="O11" s="10">
        <v>410664.70026100002</v>
      </c>
      <c r="P11" s="10">
        <v>47706.243029999998</v>
      </c>
      <c r="Q11" s="10">
        <v>61142.773300000001</v>
      </c>
      <c r="R11" s="10">
        <v>21359.332173999999</v>
      </c>
      <c r="S11" s="10">
        <v>26954.9686</v>
      </c>
      <c r="T11" s="10">
        <v>12609.587939999999</v>
      </c>
      <c r="U11" s="10">
        <v>370976.33799999999</v>
      </c>
      <c r="V11" s="10">
        <v>11355.732749999999</v>
      </c>
      <c r="W11" s="10">
        <v>10124.613310000001</v>
      </c>
      <c r="X11" s="10"/>
      <c r="Y11" s="10">
        <v>7839.0892809999996</v>
      </c>
      <c r="Z11" s="10">
        <v>7452.0301200000004</v>
      </c>
      <c r="AA11" s="10">
        <v>19070.108</v>
      </c>
      <c r="AB11" s="10">
        <v>18768.9457</v>
      </c>
    </row>
    <row r="12" spans="1:28" x14ac:dyDescent="0.35">
      <c r="A12" s="8">
        <v>46153</v>
      </c>
      <c r="B12" s="10">
        <v>5745013.0263200002</v>
      </c>
      <c r="C12" s="10">
        <v>10602816.703199999</v>
      </c>
      <c r="D12" s="10">
        <v>7817193.91072</v>
      </c>
      <c r="E12" s="10">
        <v>28110.162660000002</v>
      </c>
      <c r="F12" s="10">
        <v>197214.05322</v>
      </c>
      <c r="G12" s="10">
        <v>15832.7186</v>
      </c>
      <c r="H12" s="10">
        <v>3678.22273</v>
      </c>
      <c r="I12" s="10">
        <v>1027749.8199</v>
      </c>
      <c r="J12" s="10">
        <v>568892.91299999994</v>
      </c>
      <c r="K12" s="10">
        <v>619785.29539999994</v>
      </c>
      <c r="L12" s="10">
        <v>295748.90960000001</v>
      </c>
      <c r="M12" s="10">
        <v>27895.880349999999</v>
      </c>
      <c r="N12" s="10">
        <v>154607.42060000001</v>
      </c>
      <c r="O12" s="10">
        <v>284373.964538</v>
      </c>
      <c r="P12" s="10">
        <v>37002.549129999999</v>
      </c>
      <c r="Q12" s="10">
        <v>46602.724099999999</v>
      </c>
      <c r="R12" s="10">
        <v>17817.936734999999</v>
      </c>
      <c r="S12" s="10">
        <v>15780.4876</v>
      </c>
      <c r="T12" s="10">
        <v>9402.1304700000001</v>
      </c>
      <c r="U12" s="10">
        <v>1422582.2690000001</v>
      </c>
      <c r="V12" s="10">
        <v>12295.36959</v>
      </c>
      <c r="W12" s="10">
        <v>6783.34033</v>
      </c>
      <c r="X12" s="10"/>
      <c r="Y12" s="10">
        <v>24973.894270000001</v>
      </c>
      <c r="Z12" s="10">
        <v>5022.72775</v>
      </c>
      <c r="AA12" s="10">
        <v>23035.309000000001</v>
      </c>
      <c r="AB12" s="10">
        <v>17497.023300000001</v>
      </c>
    </row>
    <row r="13" spans="1:28" x14ac:dyDescent="0.35">
      <c r="A13" s="8">
        <v>46152</v>
      </c>
      <c r="B13" s="10">
        <v>963499.32239999995</v>
      </c>
      <c r="C13" s="10">
        <v>3159011.4288599999</v>
      </c>
      <c r="D13" s="10">
        <v>3974268.0656400002</v>
      </c>
      <c r="E13" s="10">
        <v>3290.5277700000001</v>
      </c>
      <c r="F13" s="10">
        <v>88499.248980000004</v>
      </c>
      <c r="G13" s="10">
        <v>119821.83440000001</v>
      </c>
      <c r="H13" s="10">
        <v>1074.62384</v>
      </c>
      <c r="I13" s="10">
        <v>478959.16889999999</v>
      </c>
      <c r="J13" s="10">
        <v>250304.65900000001</v>
      </c>
      <c r="K13" s="10">
        <v>78526.604200000002</v>
      </c>
      <c r="L13" s="10">
        <v>131817.72709999999</v>
      </c>
      <c r="M13" s="10">
        <v>10230.207050000001</v>
      </c>
      <c r="N13" s="10">
        <v>37886.964099999997</v>
      </c>
      <c r="O13" s="10">
        <v>7756.3062179999997</v>
      </c>
      <c r="P13" s="10">
        <v>3636.9461799999999</v>
      </c>
      <c r="Q13" s="10">
        <v>11709.3968</v>
      </c>
      <c r="R13" s="10">
        <v>9117.5842730000004</v>
      </c>
      <c r="S13" s="10">
        <v>14835.2168</v>
      </c>
      <c r="T13" s="10">
        <v>6059.5964400000003</v>
      </c>
      <c r="U13" s="10"/>
      <c r="V13" s="10">
        <v>12050.42669</v>
      </c>
      <c r="W13" s="10">
        <v>8183.1272600000002</v>
      </c>
      <c r="X13" s="10"/>
      <c r="Y13" s="10">
        <v>5603.2166870000001</v>
      </c>
      <c r="Z13" s="10">
        <v>6275.5300699999998</v>
      </c>
      <c r="AA13" s="10">
        <v>14503.445</v>
      </c>
      <c r="AB13" s="10">
        <v>3118.6797999999999</v>
      </c>
    </row>
    <row r="14" spans="1:28" x14ac:dyDescent="0.35">
      <c r="A14" s="8">
        <v>46151</v>
      </c>
      <c r="B14" s="10">
        <v>179949.05346</v>
      </c>
      <c r="C14" s="10">
        <v>610046.00179000001</v>
      </c>
      <c r="D14" s="10">
        <v>1525806.4482799999</v>
      </c>
      <c r="E14" s="10">
        <v>15389.31494</v>
      </c>
      <c r="F14" s="10">
        <v>54477.297919999997</v>
      </c>
      <c r="G14" s="10">
        <v>21553.2251</v>
      </c>
      <c r="H14" s="10">
        <v>750.87249999999995</v>
      </c>
      <c r="I14" s="10">
        <v>467629.02010000002</v>
      </c>
      <c r="J14" s="10">
        <v>535852.82900000003</v>
      </c>
      <c r="K14" s="10">
        <v>194373.10920000001</v>
      </c>
      <c r="L14" s="10">
        <v>150665.17850000001</v>
      </c>
      <c r="M14" s="10">
        <v>14024.491</v>
      </c>
      <c r="N14" s="10">
        <v>12060.724099999999</v>
      </c>
      <c r="O14" s="10">
        <v>32531.228450999999</v>
      </c>
      <c r="P14" s="10">
        <v>6419.4284799999996</v>
      </c>
      <c r="Q14" s="10">
        <v>11685.3334</v>
      </c>
      <c r="R14" s="10">
        <v>10676.258125</v>
      </c>
      <c r="S14" s="10">
        <v>15346.8685</v>
      </c>
      <c r="T14" s="10">
        <v>8835.7966099999994</v>
      </c>
      <c r="U14" s="10"/>
      <c r="V14" s="10">
        <v>12210.448490000001</v>
      </c>
      <c r="W14" s="10">
        <v>5644.5348299999996</v>
      </c>
      <c r="X14" s="10"/>
      <c r="Y14" s="10">
        <v>5779.1985450000002</v>
      </c>
      <c r="Z14" s="10">
        <v>1897.27127</v>
      </c>
      <c r="AA14" s="10">
        <v>14210.608</v>
      </c>
      <c r="AB14" s="10">
        <v>4006.1016</v>
      </c>
    </row>
    <row r="15" spans="1:28" x14ac:dyDescent="0.35">
      <c r="A15" s="8">
        <v>46150</v>
      </c>
      <c r="B15" s="10">
        <v>11734492.559660001</v>
      </c>
      <c r="C15" s="10">
        <v>10861725.414489999</v>
      </c>
      <c r="D15" s="10">
        <v>8272021.5199800003</v>
      </c>
      <c r="E15" s="10">
        <v>18321.72898</v>
      </c>
      <c r="F15" s="10">
        <v>256088.08838</v>
      </c>
      <c r="G15" s="10">
        <v>19156.1888</v>
      </c>
      <c r="H15" s="10">
        <v>29380.802930000002</v>
      </c>
      <c r="I15" s="10">
        <v>1408823.5752999999</v>
      </c>
      <c r="J15" s="10">
        <v>418139.03</v>
      </c>
      <c r="K15" s="10">
        <v>932697.84400000004</v>
      </c>
      <c r="L15" s="10">
        <v>763521.15659999999</v>
      </c>
      <c r="M15" s="10">
        <v>113498.19559</v>
      </c>
      <c r="N15" s="10">
        <v>370397.32780000003</v>
      </c>
      <c r="O15" s="10">
        <v>492762.22076200001</v>
      </c>
      <c r="P15" s="10">
        <v>80586.319019999995</v>
      </c>
      <c r="Q15" s="10">
        <v>49065.792300000001</v>
      </c>
      <c r="R15" s="10">
        <v>30423.201540999999</v>
      </c>
      <c r="S15" s="10">
        <v>20429.294600000001</v>
      </c>
      <c r="T15" s="10">
        <v>10124.83337</v>
      </c>
      <c r="U15" s="10"/>
      <c r="V15" s="10">
        <v>12949.01467</v>
      </c>
      <c r="W15" s="10">
        <v>9897.1093199999996</v>
      </c>
      <c r="X15" s="10"/>
      <c r="Y15" s="10">
        <v>17431.741353000001</v>
      </c>
      <c r="Z15" s="10">
        <v>7798.8821900000003</v>
      </c>
      <c r="AA15" s="10">
        <v>22862.794000000002</v>
      </c>
      <c r="AB15" s="10">
        <v>4770.0721999999996</v>
      </c>
    </row>
    <row r="16" spans="1:28" x14ac:dyDescent="0.35">
      <c r="A16" s="8">
        <v>46149</v>
      </c>
      <c r="B16" s="10">
        <v>7020068.5864599999</v>
      </c>
      <c r="C16" s="10">
        <v>10341216.902079999</v>
      </c>
      <c r="D16" s="10">
        <v>15656259.35922</v>
      </c>
      <c r="E16" s="10">
        <v>35896.875200000002</v>
      </c>
      <c r="F16" s="10">
        <v>579946.71481999999</v>
      </c>
      <c r="G16" s="10">
        <v>11192.033100000001</v>
      </c>
      <c r="H16" s="10">
        <v>5114.4715500000002</v>
      </c>
      <c r="I16" s="10">
        <v>1264471.4812</v>
      </c>
      <c r="J16" s="10">
        <v>367486.44199999998</v>
      </c>
      <c r="K16" s="10">
        <v>808644.39489999996</v>
      </c>
      <c r="L16" s="10">
        <v>777202.53339999996</v>
      </c>
      <c r="M16" s="10">
        <v>135602.20506000001</v>
      </c>
      <c r="N16" s="10">
        <v>512412.56540000002</v>
      </c>
      <c r="O16" s="10">
        <v>123249.595887</v>
      </c>
      <c r="P16" s="10">
        <v>55263.511530000003</v>
      </c>
      <c r="Q16" s="10">
        <v>83126.198300000004</v>
      </c>
      <c r="R16" s="10">
        <v>35056.573165000002</v>
      </c>
      <c r="S16" s="10">
        <v>26849.884900000001</v>
      </c>
      <c r="T16" s="10">
        <v>19508.892960000001</v>
      </c>
      <c r="U16" s="10"/>
      <c r="V16" s="10">
        <v>35195.888729999999</v>
      </c>
      <c r="W16" s="10">
        <v>9975.8834599999991</v>
      </c>
      <c r="X16" s="10"/>
      <c r="Y16" s="10">
        <v>17761.196849</v>
      </c>
      <c r="Z16" s="10">
        <v>6076.8381099999997</v>
      </c>
      <c r="AA16" s="10">
        <v>31276.999</v>
      </c>
      <c r="AB16" s="10">
        <v>9141.7662999999993</v>
      </c>
    </row>
    <row r="17" spans="1:28" x14ac:dyDescent="0.35">
      <c r="A17" s="8">
        <v>46148</v>
      </c>
      <c r="B17" s="10">
        <v>3478052.6971300002</v>
      </c>
      <c r="C17" s="10">
        <v>5601207.73606</v>
      </c>
      <c r="D17" s="10">
        <v>17271242.864270002</v>
      </c>
      <c r="E17" s="10">
        <v>13575.26095</v>
      </c>
      <c r="F17" s="10">
        <v>154307.40774</v>
      </c>
      <c r="G17" s="10">
        <v>1856.1974</v>
      </c>
      <c r="H17" s="10">
        <v>7501.4104799999996</v>
      </c>
      <c r="I17" s="10">
        <v>673835.05989999999</v>
      </c>
      <c r="J17" s="10">
        <v>277604.212</v>
      </c>
      <c r="K17" s="10">
        <v>1183498.1322999999</v>
      </c>
      <c r="L17" s="10">
        <v>838757.83629999997</v>
      </c>
      <c r="M17" s="10">
        <v>103556.60057</v>
      </c>
      <c r="N17" s="10">
        <v>451220.37660000002</v>
      </c>
      <c r="O17" s="10">
        <v>144727.23063100001</v>
      </c>
      <c r="P17" s="10">
        <v>6866.68289</v>
      </c>
      <c r="Q17" s="10">
        <v>100890.1532</v>
      </c>
      <c r="R17" s="10">
        <v>128046.64507699999</v>
      </c>
      <c r="S17" s="10">
        <v>33481.289199999999</v>
      </c>
      <c r="T17" s="10">
        <v>28725.544300000001</v>
      </c>
      <c r="U17" s="10"/>
      <c r="V17" s="10">
        <v>39614.950140000001</v>
      </c>
      <c r="W17" s="10">
        <v>19630.90583</v>
      </c>
      <c r="X17" s="10"/>
      <c r="Y17" s="10">
        <v>47059.131943</v>
      </c>
      <c r="Z17" s="10">
        <v>16810.86404</v>
      </c>
      <c r="AA17" s="10">
        <v>31855.360000000001</v>
      </c>
      <c r="AB17" s="10">
        <v>8521.0622999999996</v>
      </c>
    </row>
    <row r="18" spans="1:28" x14ac:dyDescent="0.35">
      <c r="A18" s="8">
        <v>46147</v>
      </c>
      <c r="B18" s="10">
        <v>1616142.3698</v>
      </c>
      <c r="C18" s="10">
        <v>3908934.7178099998</v>
      </c>
      <c r="D18" s="10">
        <v>4887074.7280999999</v>
      </c>
      <c r="E18" s="10">
        <v>1633.77657</v>
      </c>
      <c r="F18" s="10">
        <v>84910.888260000007</v>
      </c>
      <c r="G18" s="10">
        <v>518.58690000000001</v>
      </c>
      <c r="H18" s="10">
        <v>5860.2881699999998</v>
      </c>
      <c r="I18" s="10">
        <v>450613.07030000002</v>
      </c>
      <c r="J18" s="10">
        <v>642882.38600000006</v>
      </c>
      <c r="K18" s="10">
        <v>999172.22389999998</v>
      </c>
      <c r="L18" s="10">
        <v>414486.68060000002</v>
      </c>
      <c r="M18" s="10">
        <v>107923.42350999999</v>
      </c>
      <c r="N18" s="10">
        <v>591593.21120000002</v>
      </c>
      <c r="O18" s="10">
        <v>129105.42542299999</v>
      </c>
      <c r="P18" s="10">
        <v>57413.991880000001</v>
      </c>
      <c r="Q18" s="10">
        <v>40704.962500000001</v>
      </c>
      <c r="R18" s="10">
        <v>57308.713734999998</v>
      </c>
      <c r="S18" s="10">
        <v>17586.5877</v>
      </c>
      <c r="T18" s="10">
        <v>21282.466270000001</v>
      </c>
      <c r="U18" s="10"/>
      <c r="V18" s="10">
        <v>18522.939419999999</v>
      </c>
      <c r="W18" s="10">
        <v>10170.01989</v>
      </c>
      <c r="X18" s="10"/>
      <c r="Y18" s="10">
        <v>27491.665908999999</v>
      </c>
      <c r="Z18" s="10">
        <v>3112.6466099999998</v>
      </c>
      <c r="AA18" s="10">
        <v>22269.067999999999</v>
      </c>
      <c r="AB18" s="10">
        <v>8253.7312000000002</v>
      </c>
    </row>
    <row r="19" spans="1:28" x14ac:dyDescent="0.35">
      <c r="A19" s="8">
        <v>46146</v>
      </c>
      <c r="B19" s="10">
        <v>2676104.9568699999</v>
      </c>
      <c r="C19" s="10">
        <v>34656597.72682</v>
      </c>
      <c r="D19" s="10">
        <v>13546738.24563</v>
      </c>
      <c r="E19" s="10">
        <v>74891.214789999998</v>
      </c>
      <c r="F19" s="10">
        <v>65826.495880000002</v>
      </c>
      <c r="G19" s="10">
        <v>3561.0716000000002</v>
      </c>
      <c r="H19" s="10">
        <v>17966.93363</v>
      </c>
      <c r="I19" s="10">
        <v>393983.08140000002</v>
      </c>
      <c r="J19" s="10">
        <v>495436.85</v>
      </c>
      <c r="K19" s="10">
        <v>863469.92929999996</v>
      </c>
      <c r="L19" s="10">
        <v>467325.32770000002</v>
      </c>
      <c r="M19" s="10">
        <v>222176.18956</v>
      </c>
      <c r="N19" s="10">
        <v>564901.82790000003</v>
      </c>
      <c r="O19" s="10">
        <v>33107.592396</v>
      </c>
      <c r="P19" s="10">
        <v>86425.037450000003</v>
      </c>
      <c r="Q19" s="10">
        <v>78860.012199999997</v>
      </c>
      <c r="R19" s="10">
        <v>51717.721397000001</v>
      </c>
      <c r="S19" s="10">
        <v>24424.0592</v>
      </c>
      <c r="T19" s="10">
        <v>33850.43015</v>
      </c>
      <c r="U19" s="10"/>
      <c r="V19" s="10">
        <v>19599.097590000001</v>
      </c>
      <c r="W19" s="10">
        <v>48003.105940000001</v>
      </c>
      <c r="X19" s="10"/>
      <c r="Y19" s="10">
        <v>30515.743665000002</v>
      </c>
      <c r="Z19" s="10">
        <v>5445.2057599999998</v>
      </c>
      <c r="AA19" s="10">
        <v>22652.901000000002</v>
      </c>
      <c r="AB19" s="10">
        <v>7633.0046000000002</v>
      </c>
    </row>
    <row r="20" spans="1:28" x14ac:dyDescent="0.35">
      <c r="A20" s="8">
        <v>46145</v>
      </c>
      <c r="B20" s="10">
        <v>1199171.36625</v>
      </c>
      <c r="C20" s="10">
        <v>4787872.8140399996</v>
      </c>
      <c r="D20" s="10">
        <v>10021153.16718</v>
      </c>
      <c r="E20" s="10">
        <v>29142.152829999999</v>
      </c>
      <c r="F20" s="10">
        <v>34358.278960000003</v>
      </c>
      <c r="G20" s="10">
        <v>20242.9745</v>
      </c>
      <c r="H20" s="10">
        <v>31918.268120000001</v>
      </c>
      <c r="I20" s="10">
        <v>165812.10159999999</v>
      </c>
      <c r="J20" s="10">
        <v>453822.09499999997</v>
      </c>
      <c r="K20" s="10">
        <v>34957.423900000002</v>
      </c>
      <c r="L20" s="10">
        <v>43162.279499999997</v>
      </c>
      <c r="M20" s="10">
        <v>24846.985410000001</v>
      </c>
      <c r="N20" s="10">
        <v>14139.6978</v>
      </c>
      <c r="O20" s="10">
        <v>30833.033315000001</v>
      </c>
      <c r="P20" s="10">
        <v>3315.2395000000001</v>
      </c>
      <c r="Q20" s="10">
        <v>49600.509700000002</v>
      </c>
      <c r="R20" s="10">
        <v>24308.232112000002</v>
      </c>
      <c r="S20" s="10">
        <v>7780.0066999999999</v>
      </c>
      <c r="T20" s="10">
        <v>10391.41577</v>
      </c>
      <c r="U20" s="10"/>
      <c r="V20" s="10">
        <v>18349.30241</v>
      </c>
      <c r="W20" s="10">
        <v>12405.03138</v>
      </c>
      <c r="X20" s="10"/>
      <c r="Y20" s="10">
        <v>8898.4703539999991</v>
      </c>
      <c r="Z20" s="10">
        <v>2055.9477099999999</v>
      </c>
      <c r="AA20" s="10">
        <v>64395.411999999997</v>
      </c>
      <c r="AB20" s="10">
        <v>1827.4407000000001</v>
      </c>
    </row>
    <row r="21" spans="1:28" x14ac:dyDescent="0.35">
      <c r="A21" s="8">
        <v>46144</v>
      </c>
      <c r="B21" s="10">
        <v>79720.562789999996</v>
      </c>
      <c r="C21" s="10">
        <v>107581.50781</v>
      </c>
      <c r="D21" s="10">
        <v>2462935.72217</v>
      </c>
      <c r="E21" s="10">
        <v>11683.56177</v>
      </c>
      <c r="F21" s="10">
        <v>64.433000000000007</v>
      </c>
      <c r="G21" s="10">
        <v>1046.4649999999999</v>
      </c>
      <c r="H21" s="10">
        <v>154.14188999999999</v>
      </c>
      <c r="I21" s="10">
        <v>151458.20970000001</v>
      </c>
      <c r="J21" s="10">
        <v>169405.06700000001</v>
      </c>
      <c r="K21" s="10">
        <v>30331.437300000001</v>
      </c>
      <c r="L21" s="10">
        <v>49936.934699999998</v>
      </c>
      <c r="M21" s="10">
        <v>17731.883559999998</v>
      </c>
      <c r="N21" s="10">
        <v>20086.117399999999</v>
      </c>
      <c r="O21" s="10">
        <v>18944.615646999999</v>
      </c>
      <c r="P21" s="10">
        <v>4533.3208299999997</v>
      </c>
      <c r="Q21" s="10">
        <v>11502.6523</v>
      </c>
      <c r="R21" s="10">
        <v>47953.359288</v>
      </c>
      <c r="S21" s="10">
        <v>7945.6871000000001</v>
      </c>
      <c r="T21" s="10">
        <v>10373.86241</v>
      </c>
      <c r="U21" s="10"/>
      <c r="V21" s="10">
        <v>19124.819390000001</v>
      </c>
      <c r="W21" s="10">
        <v>14221.07267</v>
      </c>
      <c r="X21" s="10"/>
      <c r="Y21" s="10">
        <v>12304.137124999999</v>
      </c>
      <c r="Z21" s="10">
        <v>2078.0774099999999</v>
      </c>
      <c r="AA21" s="10">
        <v>51689.612999999998</v>
      </c>
      <c r="AB21" s="10">
        <v>2681.7847999999999</v>
      </c>
    </row>
    <row r="22" spans="1:28" x14ac:dyDescent="0.35">
      <c r="A22" s="8">
        <v>46143</v>
      </c>
      <c r="B22" s="10">
        <v>3270516.7242399999</v>
      </c>
      <c r="C22" s="10">
        <v>3897229.23043</v>
      </c>
      <c r="D22" s="10">
        <v>8302514.9472599998</v>
      </c>
      <c r="E22" s="10">
        <v>2534.45784</v>
      </c>
      <c r="F22" s="10">
        <v>7690.6106</v>
      </c>
      <c r="G22" s="10">
        <v>819.90899999999999</v>
      </c>
      <c r="H22" s="10">
        <v>5883.3106699999998</v>
      </c>
      <c r="I22" s="10">
        <v>528939.31469999999</v>
      </c>
      <c r="J22" s="10">
        <v>208390.02499999999</v>
      </c>
      <c r="K22" s="10">
        <v>734338.42449999996</v>
      </c>
      <c r="L22" s="10">
        <v>1144231.5249999999</v>
      </c>
      <c r="M22" s="10">
        <v>45978.103430000003</v>
      </c>
      <c r="N22" s="10">
        <v>223264.0791</v>
      </c>
      <c r="O22" s="10">
        <v>104337.545271</v>
      </c>
      <c r="P22" s="10">
        <v>54360.552009999999</v>
      </c>
      <c r="Q22" s="10">
        <v>24154.5743</v>
      </c>
      <c r="R22" s="10">
        <v>48057.665408000001</v>
      </c>
      <c r="S22" s="10">
        <v>37013.504800000002</v>
      </c>
      <c r="T22" s="10">
        <v>22882.500110000001</v>
      </c>
      <c r="U22" s="10"/>
      <c r="V22" s="10">
        <v>19218.372889999999</v>
      </c>
      <c r="W22" s="10">
        <v>9470.5360000000001</v>
      </c>
      <c r="X22" s="10"/>
      <c r="Y22" s="10">
        <v>10203.853298</v>
      </c>
      <c r="Z22" s="10">
        <v>8669.4555600000003</v>
      </c>
      <c r="AA22" s="10">
        <v>81891.816999999995</v>
      </c>
      <c r="AB22" s="10">
        <v>27860.772099999998</v>
      </c>
    </row>
    <row r="23" spans="1:28" x14ac:dyDescent="0.35">
      <c r="A23" s="8">
        <v>46142</v>
      </c>
      <c r="B23" s="10">
        <v>2630147.7377800001</v>
      </c>
      <c r="C23" s="10">
        <v>3873013.7483299999</v>
      </c>
      <c r="D23" s="10">
        <v>9823533.7774199992</v>
      </c>
      <c r="E23" s="10">
        <v>11051.84312</v>
      </c>
      <c r="F23" s="10">
        <v>54865.483079999998</v>
      </c>
      <c r="G23" s="10">
        <v>23992.9591</v>
      </c>
      <c r="H23" s="10">
        <v>3509.1499899999999</v>
      </c>
      <c r="I23" s="10">
        <v>519759.63010000001</v>
      </c>
      <c r="J23" s="10">
        <v>290442.56699999998</v>
      </c>
      <c r="K23" s="10">
        <v>829137.63769999996</v>
      </c>
      <c r="L23" s="10">
        <v>854184.85419999994</v>
      </c>
      <c r="M23" s="10">
        <v>827207.83103999996</v>
      </c>
      <c r="N23" s="10">
        <v>287688.42589999997</v>
      </c>
      <c r="O23" s="10">
        <v>212217.04832</v>
      </c>
      <c r="P23" s="10">
        <v>56060.96067</v>
      </c>
      <c r="Q23" s="10">
        <v>72449.414199999999</v>
      </c>
      <c r="R23" s="10">
        <v>60626.465303999998</v>
      </c>
      <c r="S23" s="10">
        <v>22299.010900000001</v>
      </c>
      <c r="T23" s="10">
        <v>23312.86765</v>
      </c>
      <c r="U23" s="10"/>
      <c r="V23" s="10">
        <v>25132.533459999999</v>
      </c>
      <c r="W23" s="10">
        <v>15291.78998</v>
      </c>
      <c r="X23" s="10"/>
      <c r="Y23" s="10">
        <v>49237.615682000003</v>
      </c>
      <c r="Z23" s="10">
        <v>15379.22669</v>
      </c>
      <c r="AA23" s="10">
        <v>28328.13</v>
      </c>
      <c r="AB23" s="10">
        <v>2916.0770000000002</v>
      </c>
    </row>
    <row r="24" spans="1:28" x14ac:dyDescent="0.35">
      <c r="A24" s="8">
        <v>46141</v>
      </c>
      <c r="B24" s="10">
        <v>3998115.7431299998</v>
      </c>
      <c r="C24" s="10">
        <v>5675985.5302400002</v>
      </c>
      <c r="D24" s="10">
        <v>9743543.2978700008</v>
      </c>
      <c r="E24" s="10">
        <v>3136.58068</v>
      </c>
      <c r="F24" s="10">
        <v>17886.108700000001</v>
      </c>
      <c r="G24" s="10">
        <v>12074.9935</v>
      </c>
      <c r="H24" s="10">
        <v>25756.930189999999</v>
      </c>
      <c r="I24" s="10">
        <v>564511.73239999998</v>
      </c>
      <c r="J24" s="10">
        <v>1214231.7579999999</v>
      </c>
      <c r="K24" s="10">
        <v>882767.40130000003</v>
      </c>
      <c r="L24" s="10">
        <v>831003.49849999999</v>
      </c>
      <c r="M24" s="10">
        <v>135415.02557</v>
      </c>
      <c r="N24" s="10">
        <v>91300.078599999993</v>
      </c>
      <c r="O24" s="10">
        <v>185262.71490200001</v>
      </c>
      <c r="P24" s="10">
        <v>85542.660399999993</v>
      </c>
      <c r="Q24" s="10">
        <v>36635.282200000001</v>
      </c>
      <c r="R24" s="10">
        <v>64540.809008999997</v>
      </c>
      <c r="S24" s="10">
        <v>31305.123899999999</v>
      </c>
      <c r="T24" s="10">
        <v>15623.071260000001</v>
      </c>
      <c r="U24" s="10"/>
      <c r="V24" s="10">
        <v>18149.412639999999</v>
      </c>
      <c r="W24" s="10">
        <v>24755.58124</v>
      </c>
      <c r="X24" s="10"/>
      <c r="Y24" s="10">
        <v>9868.1186190000008</v>
      </c>
      <c r="Z24" s="10">
        <v>4209.6471499999998</v>
      </c>
      <c r="AA24" s="10">
        <v>36113.993000000002</v>
      </c>
      <c r="AB24" s="10">
        <v>24257.3498</v>
      </c>
    </row>
    <row r="25" spans="1:28" x14ac:dyDescent="0.35">
      <c r="A25" s="8">
        <v>46140</v>
      </c>
      <c r="B25" s="10">
        <v>4759015.3487499999</v>
      </c>
      <c r="C25" s="10">
        <v>6243159.9503499996</v>
      </c>
      <c r="D25" s="10">
        <v>7359906.7261699997</v>
      </c>
      <c r="E25" s="10">
        <v>635.11653000000001</v>
      </c>
      <c r="F25" s="10">
        <v>26044.884239999999</v>
      </c>
      <c r="G25" s="10">
        <v>25654.856</v>
      </c>
      <c r="H25" s="10">
        <v>1575.47911</v>
      </c>
      <c r="I25" s="10">
        <v>299884.67540000001</v>
      </c>
      <c r="J25" s="10">
        <v>610977.39500000002</v>
      </c>
      <c r="K25" s="10">
        <v>1569894.6742</v>
      </c>
      <c r="L25" s="10">
        <v>410489.54190000001</v>
      </c>
      <c r="M25" s="10">
        <v>111898.70159</v>
      </c>
      <c r="N25" s="10">
        <v>184523.5208</v>
      </c>
      <c r="O25" s="10">
        <v>247110.239944</v>
      </c>
      <c r="P25" s="10">
        <v>34752.497459999999</v>
      </c>
      <c r="Q25" s="10">
        <v>58859.252999999997</v>
      </c>
      <c r="R25" s="10">
        <v>31458.497993000001</v>
      </c>
      <c r="S25" s="10">
        <v>28316.064299999998</v>
      </c>
      <c r="T25" s="10">
        <v>33399.143340000002</v>
      </c>
      <c r="U25" s="10"/>
      <c r="V25" s="10">
        <v>18053.134279999998</v>
      </c>
      <c r="W25" s="10">
        <v>13439.922689999999</v>
      </c>
      <c r="X25" s="10"/>
      <c r="Y25" s="10">
        <v>13683.366586</v>
      </c>
      <c r="Z25" s="10">
        <v>3678.58592</v>
      </c>
      <c r="AA25" s="10">
        <v>72279.005999999994</v>
      </c>
      <c r="AB25" s="10">
        <v>9135.2652999999991</v>
      </c>
    </row>
    <row r="26" spans="1:28" x14ac:dyDescent="0.35">
      <c r="A26" s="8">
        <v>46139</v>
      </c>
      <c r="B26" s="10">
        <v>2595695.5366099998</v>
      </c>
      <c r="C26" s="10">
        <v>3678166.3371799998</v>
      </c>
      <c r="D26" s="10">
        <v>4083296.1036899998</v>
      </c>
      <c r="E26" s="10">
        <v>682.83849999999995</v>
      </c>
      <c r="F26" s="10">
        <v>6905.93948</v>
      </c>
      <c r="G26" s="10">
        <v>5444.7551000000003</v>
      </c>
      <c r="H26" s="10">
        <v>1092.3973599999999</v>
      </c>
      <c r="I26" s="10">
        <v>502488.96620000002</v>
      </c>
      <c r="J26" s="10">
        <v>417387.18599999999</v>
      </c>
      <c r="K26" s="10">
        <v>305235.4779</v>
      </c>
      <c r="L26" s="10">
        <v>469354.69669999997</v>
      </c>
      <c r="M26" s="10">
        <v>552242.20271999994</v>
      </c>
      <c r="N26" s="10">
        <v>121146.57580000001</v>
      </c>
      <c r="O26" s="10">
        <v>59972.610793</v>
      </c>
      <c r="P26" s="10">
        <v>9340.4126300000007</v>
      </c>
      <c r="Q26" s="10">
        <v>22832.061000000002</v>
      </c>
      <c r="R26" s="10">
        <v>39524.901360000003</v>
      </c>
      <c r="S26" s="10">
        <v>26839.569200000002</v>
      </c>
      <c r="T26" s="10">
        <v>11659.27052</v>
      </c>
      <c r="U26" s="10"/>
      <c r="V26" s="10">
        <v>18955.467659999998</v>
      </c>
      <c r="W26" s="10">
        <v>31320.059089999999</v>
      </c>
      <c r="X26" s="10"/>
      <c r="Y26" s="10">
        <v>18470.177339999998</v>
      </c>
      <c r="Z26" s="10">
        <v>7246.3904599999996</v>
      </c>
      <c r="AA26" s="10">
        <v>31641.284</v>
      </c>
      <c r="AB26" s="10">
        <v>15364.239</v>
      </c>
    </row>
    <row r="27" spans="1:28" x14ac:dyDescent="0.35">
      <c r="A27" s="8">
        <v>46138</v>
      </c>
      <c r="B27" s="10">
        <v>1229327.0286099999</v>
      </c>
      <c r="C27" s="10">
        <v>977301.65116000001</v>
      </c>
      <c r="D27" s="10">
        <v>1905829.3944300001</v>
      </c>
      <c r="E27" s="10">
        <v>8033.8470200000002</v>
      </c>
      <c r="F27" s="10">
        <v>1792.3949</v>
      </c>
      <c r="G27" s="10">
        <v>8878.1082000000006</v>
      </c>
      <c r="H27" s="10">
        <v>369.14800000000002</v>
      </c>
      <c r="I27" s="10">
        <v>123059.48420000001</v>
      </c>
      <c r="J27" s="10">
        <v>82821.142999999996</v>
      </c>
      <c r="K27" s="10">
        <v>43241.620600000002</v>
      </c>
      <c r="L27" s="10">
        <v>52622.720800000003</v>
      </c>
      <c r="M27" s="10">
        <v>1589398.33032</v>
      </c>
      <c r="N27" s="10">
        <v>3834.0965999999999</v>
      </c>
      <c r="O27" s="10">
        <v>16393.810290000001</v>
      </c>
      <c r="P27" s="10">
        <v>2290.06095</v>
      </c>
      <c r="Q27" s="10">
        <v>12393.0435</v>
      </c>
      <c r="R27" s="10">
        <v>16294.932164</v>
      </c>
      <c r="S27" s="10">
        <v>10336.1633</v>
      </c>
      <c r="T27" s="10">
        <v>11078.024590000001</v>
      </c>
      <c r="U27" s="10"/>
      <c r="V27" s="10">
        <v>18038.56136</v>
      </c>
      <c r="W27" s="10">
        <v>14098.23141</v>
      </c>
      <c r="X27" s="10"/>
      <c r="Y27" s="10">
        <v>12204.704099</v>
      </c>
      <c r="Z27" s="10">
        <v>2130.7627699999998</v>
      </c>
      <c r="AA27" s="10">
        <v>21690.683000000001</v>
      </c>
      <c r="AB27" s="10">
        <v>3400.9735000000001</v>
      </c>
    </row>
    <row r="28" spans="1:28" x14ac:dyDescent="0.35">
      <c r="A28" s="8">
        <v>46137</v>
      </c>
      <c r="B28" s="10">
        <v>884018.24112000002</v>
      </c>
      <c r="C28" s="10">
        <v>121515.38587</v>
      </c>
      <c r="D28" s="10">
        <v>1762574.7834000001</v>
      </c>
      <c r="E28" s="10">
        <v>1967.95921</v>
      </c>
      <c r="F28" s="10">
        <v>499.11169999999998</v>
      </c>
      <c r="G28" s="10">
        <v>61.0015</v>
      </c>
      <c r="H28" s="10">
        <v>1769.2954500000001</v>
      </c>
      <c r="I28" s="10">
        <v>182914.76800000001</v>
      </c>
      <c r="J28" s="10">
        <v>163131.24799999999</v>
      </c>
      <c r="K28" s="10">
        <v>58501.034500000002</v>
      </c>
      <c r="L28" s="10">
        <v>96777.180300000007</v>
      </c>
      <c r="M28" s="10">
        <v>529626.49916999997</v>
      </c>
      <c r="N28" s="10">
        <v>6703.9549999999999</v>
      </c>
      <c r="O28" s="10">
        <v>15288.602666999999</v>
      </c>
      <c r="P28" s="10">
        <v>3256.35275</v>
      </c>
      <c r="Q28" s="10">
        <v>14048.286400000001</v>
      </c>
      <c r="R28" s="10">
        <v>17675.089163000001</v>
      </c>
      <c r="S28" s="10">
        <v>6372.0992999999999</v>
      </c>
      <c r="T28" s="10">
        <v>12130.482840000001</v>
      </c>
      <c r="U28" s="10"/>
      <c r="V28" s="10">
        <v>18011.187620000001</v>
      </c>
      <c r="W28" s="10">
        <v>8597.4485499999992</v>
      </c>
      <c r="X28" s="10"/>
      <c r="Y28" s="10">
        <v>9420.1023280000009</v>
      </c>
      <c r="Z28" s="10">
        <v>2431.66104</v>
      </c>
      <c r="AA28" s="10">
        <v>24844.580999999998</v>
      </c>
      <c r="AB28" s="10">
        <v>48628.502399999998</v>
      </c>
    </row>
    <row r="29" spans="1:28" x14ac:dyDescent="0.35">
      <c r="A29" s="8">
        <v>46136</v>
      </c>
      <c r="B29" s="10">
        <v>2518203.2781600002</v>
      </c>
      <c r="C29" s="10">
        <v>6202453.5445400001</v>
      </c>
      <c r="D29" s="10">
        <v>8857427.4762399998</v>
      </c>
      <c r="E29" s="10">
        <v>2409.17697</v>
      </c>
      <c r="F29" s="10">
        <v>22767.049599999998</v>
      </c>
      <c r="G29" s="10">
        <v>4602.0397000000003</v>
      </c>
      <c r="H29" s="10">
        <v>1266.45886</v>
      </c>
      <c r="I29" s="10">
        <v>343639.37060000002</v>
      </c>
      <c r="J29" s="10">
        <v>255740.791</v>
      </c>
      <c r="K29" s="10">
        <v>1031865.9791999999</v>
      </c>
      <c r="L29" s="10">
        <v>869121.28460000001</v>
      </c>
      <c r="M29" s="10">
        <v>938608.93628000002</v>
      </c>
      <c r="N29" s="10">
        <v>428685.07329999999</v>
      </c>
      <c r="O29" s="10">
        <v>188606.15832399999</v>
      </c>
      <c r="P29" s="10">
        <v>10648.994559999999</v>
      </c>
      <c r="Q29" s="10">
        <v>17403.7022</v>
      </c>
      <c r="R29" s="10">
        <v>20856.403480000001</v>
      </c>
      <c r="S29" s="10">
        <v>8147.6152000000002</v>
      </c>
      <c r="T29" s="10">
        <v>12182.3356</v>
      </c>
      <c r="U29" s="10"/>
      <c r="V29" s="10">
        <v>18521.704239999999</v>
      </c>
      <c r="W29" s="10">
        <v>9030.7752</v>
      </c>
      <c r="X29" s="10"/>
      <c r="Y29" s="10">
        <v>53293.944791000002</v>
      </c>
      <c r="Z29" s="10">
        <v>11832.42157</v>
      </c>
      <c r="AA29" s="10">
        <v>31250.146000000001</v>
      </c>
      <c r="AB29" s="10">
        <v>5556.9908999999998</v>
      </c>
    </row>
    <row r="30" spans="1:28" x14ac:dyDescent="0.35">
      <c r="A30" s="8">
        <v>46135</v>
      </c>
      <c r="B30" s="10">
        <v>4869783.9316499997</v>
      </c>
      <c r="C30" s="10">
        <v>11865815.009500001</v>
      </c>
      <c r="D30" s="10">
        <v>14976760.859060001</v>
      </c>
      <c r="E30" s="10">
        <v>1223.0118600000001</v>
      </c>
      <c r="F30" s="10">
        <v>50294.506500000003</v>
      </c>
      <c r="G30" s="10">
        <v>43031.715900000003</v>
      </c>
      <c r="H30" s="10">
        <v>1479.06791</v>
      </c>
      <c r="I30" s="10">
        <v>424108.95649999997</v>
      </c>
      <c r="J30" s="10">
        <v>316122.60200000001</v>
      </c>
      <c r="K30" s="10">
        <v>994114.52610000002</v>
      </c>
      <c r="L30" s="10">
        <v>1171600.3123999999</v>
      </c>
      <c r="M30" s="10">
        <v>159833.03711999999</v>
      </c>
      <c r="N30" s="10">
        <v>273047.44280000002</v>
      </c>
      <c r="O30" s="10">
        <v>640279.99216999998</v>
      </c>
      <c r="P30" s="10">
        <v>95199.316690000007</v>
      </c>
      <c r="Q30" s="10">
        <v>56490.461600000002</v>
      </c>
      <c r="R30" s="10">
        <v>31577.159796</v>
      </c>
      <c r="S30" s="10">
        <v>8165.9638999999997</v>
      </c>
      <c r="T30" s="10">
        <v>14309.439679999999</v>
      </c>
      <c r="U30" s="10"/>
      <c r="V30" s="10">
        <v>35539.484349999999</v>
      </c>
      <c r="W30" s="10">
        <v>8979.5810500000007</v>
      </c>
      <c r="X30" s="10"/>
      <c r="Y30" s="10">
        <v>17547.359666</v>
      </c>
      <c r="Z30" s="10">
        <v>9510.56286</v>
      </c>
      <c r="AA30" s="10">
        <v>21313.006000000001</v>
      </c>
      <c r="AB30" s="10">
        <v>3505.6115</v>
      </c>
    </row>
    <row r="31" spans="1:28" x14ac:dyDescent="0.35">
      <c r="A31" s="8">
        <v>46134</v>
      </c>
      <c r="B31" s="10">
        <v>3004410.0274299998</v>
      </c>
      <c r="C31" s="10">
        <v>5364541.2747999998</v>
      </c>
      <c r="D31" s="10">
        <v>9141041.6154900007</v>
      </c>
      <c r="E31" s="10">
        <v>7024.6547200000005</v>
      </c>
      <c r="F31" s="10">
        <v>32944.78357</v>
      </c>
      <c r="G31" s="10">
        <v>58172.556700000001</v>
      </c>
      <c r="H31" s="10">
        <v>2199.1930000000002</v>
      </c>
      <c r="I31" s="10">
        <v>544924.2034</v>
      </c>
      <c r="J31" s="10">
        <v>443183.82500000001</v>
      </c>
      <c r="K31" s="10">
        <v>584863.26410000003</v>
      </c>
      <c r="L31" s="10">
        <v>392916.179</v>
      </c>
      <c r="M31" s="10">
        <v>155263.43591999999</v>
      </c>
      <c r="N31" s="10">
        <v>146894.4228</v>
      </c>
      <c r="O31" s="10">
        <v>104667.740554</v>
      </c>
      <c r="P31" s="10">
        <v>9238.8761799999993</v>
      </c>
      <c r="Q31" s="10">
        <v>32239.911499999998</v>
      </c>
      <c r="R31" s="10">
        <v>29563.938803000001</v>
      </c>
      <c r="S31" s="10">
        <v>9807.9693000000007</v>
      </c>
      <c r="T31" s="10">
        <v>45866.553950000001</v>
      </c>
      <c r="U31" s="10"/>
      <c r="V31" s="10">
        <v>18176.15352</v>
      </c>
      <c r="W31" s="10">
        <v>9537.9369000000006</v>
      </c>
      <c r="X31" s="10"/>
      <c r="Y31" s="10">
        <v>28475.824457999999</v>
      </c>
      <c r="Z31" s="10">
        <v>14775.80035</v>
      </c>
      <c r="AA31" s="10">
        <v>25146.733</v>
      </c>
      <c r="AB31" s="10">
        <v>25124.456600000001</v>
      </c>
    </row>
    <row r="32" spans="1:28" x14ac:dyDescent="0.35">
      <c r="A32" s="8">
        <v>46133</v>
      </c>
      <c r="B32" s="10">
        <v>5852960.9933000002</v>
      </c>
      <c r="C32" s="10">
        <v>7173768.0510400003</v>
      </c>
      <c r="D32" s="10">
        <v>15735136.819460001</v>
      </c>
      <c r="E32" s="10">
        <v>13660.82712</v>
      </c>
      <c r="F32" s="10">
        <v>22021.923760000001</v>
      </c>
      <c r="G32" s="10">
        <v>16717.357899999999</v>
      </c>
      <c r="H32" s="10">
        <v>2884.77124</v>
      </c>
      <c r="I32" s="10">
        <v>537470.42039999994</v>
      </c>
      <c r="J32" s="10">
        <v>313940.978</v>
      </c>
      <c r="K32" s="10">
        <v>562462.09069999994</v>
      </c>
      <c r="L32" s="10">
        <v>844009.17749999999</v>
      </c>
      <c r="M32" s="10">
        <v>734225.54946000001</v>
      </c>
      <c r="N32" s="10">
        <v>268756.84250000003</v>
      </c>
      <c r="O32" s="10">
        <v>200235.33228199999</v>
      </c>
      <c r="P32" s="10">
        <v>64566.715049999999</v>
      </c>
      <c r="Q32" s="10">
        <v>21514.909599999999</v>
      </c>
      <c r="R32" s="10">
        <v>87372.141017999995</v>
      </c>
      <c r="S32" s="10">
        <v>24327.483199999999</v>
      </c>
      <c r="T32" s="10">
        <v>26257.672729999998</v>
      </c>
      <c r="U32" s="10"/>
      <c r="V32" s="10">
        <v>19921.576249999998</v>
      </c>
      <c r="W32" s="10">
        <v>11591.10399</v>
      </c>
      <c r="X32" s="10"/>
      <c r="Y32" s="10">
        <v>11411.859864</v>
      </c>
      <c r="Z32" s="10">
        <v>6819.2495699999999</v>
      </c>
      <c r="AA32" s="10">
        <v>21657.931</v>
      </c>
      <c r="AB32" s="10">
        <v>7252.9952000000003</v>
      </c>
    </row>
    <row r="33" spans="1:28" x14ac:dyDescent="0.35">
      <c r="A33" s="8">
        <v>46132</v>
      </c>
      <c r="B33" s="10">
        <v>3667360.2055799998</v>
      </c>
      <c r="C33" s="10">
        <v>5197902.8760299999</v>
      </c>
      <c r="D33" s="10">
        <v>20632978.94788</v>
      </c>
      <c r="E33" s="10">
        <v>8418.5818099999997</v>
      </c>
      <c r="F33" s="10">
        <v>15446.19695</v>
      </c>
      <c r="G33" s="10">
        <v>19489.554499999998</v>
      </c>
      <c r="H33" s="10">
        <v>1375.41146</v>
      </c>
      <c r="I33" s="10">
        <v>317990.60619999998</v>
      </c>
      <c r="J33" s="10">
        <v>288484.95899999997</v>
      </c>
      <c r="K33" s="10">
        <v>244904.58720000001</v>
      </c>
      <c r="L33" s="10">
        <v>622258.16969999997</v>
      </c>
      <c r="M33" s="10">
        <v>1325986.0860900001</v>
      </c>
      <c r="N33" s="10">
        <v>86937.102499999994</v>
      </c>
      <c r="O33" s="10">
        <v>241339.603627</v>
      </c>
      <c r="P33" s="10">
        <v>11974.496349999999</v>
      </c>
      <c r="Q33" s="10">
        <v>40381.184999999998</v>
      </c>
      <c r="R33" s="10">
        <v>44437.671912999998</v>
      </c>
      <c r="S33" s="10">
        <v>37335.4666</v>
      </c>
      <c r="T33" s="10">
        <v>29711.966929999999</v>
      </c>
      <c r="U33" s="10"/>
      <c r="V33" s="10">
        <v>20143.48532</v>
      </c>
      <c r="W33" s="10">
        <v>46070.019439999996</v>
      </c>
      <c r="X33" s="10"/>
      <c r="Y33" s="10">
        <v>15551.401793000001</v>
      </c>
      <c r="Z33" s="10">
        <v>19765.448499999999</v>
      </c>
      <c r="AA33" s="10">
        <v>26698.178</v>
      </c>
      <c r="AB33" s="10">
        <v>3816.4958999999999</v>
      </c>
    </row>
    <row r="34" spans="1:28" x14ac:dyDescent="0.35">
      <c r="A34" s="8">
        <v>46131</v>
      </c>
      <c r="B34" s="10">
        <v>2730810.8011400001</v>
      </c>
      <c r="C34" s="10">
        <v>3256899.7467499999</v>
      </c>
      <c r="D34" s="10">
        <v>13434936.977940001</v>
      </c>
      <c r="E34" s="10">
        <v>31489.68693</v>
      </c>
      <c r="F34" s="10">
        <v>12768.88228</v>
      </c>
      <c r="G34" s="10">
        <v>2009.0806</v>
      </c>
      <c r="H34" s="10">
        <v>2635.2600699999998</v>
      </c>
      <c r="I34" s="10">
        <v>417189.21309999999</v>
      </c>
      <c r="J34" s="10">
        <v>480653.74</v>
      </c>
      <c r="K34" s="10">
        <v>51436.356299999999</v>
      </c>
      <c r="L34" s="10">
        <v>262227.06449999998</v>
      </c>
      <c r="M34" s="10">
        <v>478003.30846999999</v>
      </c>
      <c r="N34" s="10">
        <v>13907.559499999999</v>
      </c>
      <c r="O34" s="10">
        <v>14514.350796000001</v>
      </c>
      <c r="P34" s="10">
        <v>3150.2022299999999</v>
      </c>
      <c r="Q34" s="10">
        <v>148099.9852</v>
      </c>
      <c r="R34" s="10">
        <v>26349.466378000001</v>
      </c>
      <c r="S34" s="10">
        <v>19882.288799999998</v>
      </c>
      <c r="T34" s="10">
        <v>30391.609759999999</v>
      </c>
      <c r="U34" s="10"/>
      <c r="V34" s="10">
        <v>33558.424789999997</v>
      </c>
      <c r="W34" s="10">
        <v>39421.550669999997</v>
      </c>
      <c r="X34" s="10"/>
      <c r="Y34" s="10">
        <v>11102.871848999999</v>
      </c>
      <c r="Z34" s="10">
        <v>57014.631159999997</v>
      </c>
      <c r="AA34" s="10">
        <v>28942.59</v>
      </c>
      <c r="AB34" s="10">
        <v>3059.0713999999998</v>
      </c>
    </row>
    <row r="35" spans="1:28" x14ac:dyDescent="0.35">
      <c r="A35" s="8">
        <v>46130</v>
      </c>
      <c r="B35" s="10">
        <v>896819.57892</v>
      </c>
      <c r="C35" s="10">
        <v>1034371.06316</v>
      </c>
      <c r="D35" s="10">
        <v>8693026.9843300004</v>
      </c>
      <c r="E35" s="10">
        <v>16.85528</v>
      </c>
      <c r="F35" s="10">
        <v>284.34356000000002</v>
      </c>
      <c r="G35" s="10">
        <v>18.4635</v>
      </c>
      <c r="H35" s="10"/>
      <c r="I35" s="10">
        <v>215094.75510000001</v>
      </c>
      <c r="J35" s="10">
        <v>388620.86099999998</v>
      </c>
      <c r="K35" s="10">
        <v>88806.269799999995</v>
      </c>
      <c r="L35" s="10">
        <v>286896.89919999999</v>
      </c>
      <c r="M35" s="10">
        <v>765454.92211000004</v>
      </c>
      <c r="N35" s="10">
        <v>13506.3289</v>
      </c>
      <c r="O35" s="10">
        <v>21928.362926999998</v>
      </c>
      <c r="P35" s="10">
        <v>20818.302899999999</v>
      </c>
      <c r="Q35" s="10">
        <v>16490.476900000001</v>
      </c>
      <c r="R35" s="10">
        <v>18015.877466999998</v>
      </c>
      <c r="S35" s="10">
        <v>19250.349600000001</v>
      </c>
      <c r="T35" s="10">
        <v>9838.4795200000008</v>
      </c>
      <c r="U35" s="10"/>
      <c r="V35" s="10">
        <v>19273.42079</v>
      </c>
      <c r="W35" s="10">
        <v>8068.7144600000001</v>
      </c>
      <c r="X35" s="10"/>
      <c r="Y35" s="10">
        <v>12646.258728000001</v>
      </c>
      <c r="Z35" s="10">
        <v>4082.7364200000002</v>
      </c>
      <c r="AA35" s="10">
        <v>21976.54</v>
      </c>
      <c r="AB35" s="10">
        <v>1443.5261</v>
      </c>
    </row>
    <row r="36" spans="1:28" x14ac:dyDescent="0.35">
      <c r="A36" s="8">
        <v>46129</v>
      </c>
      <c r="B36" s="10">
        <v>4737957.7078099996</v>
      </c>
      <c r="C36" s="10">
        <v>7774304.69484</v>
      </c>
      <c r="D36" s="10">
        <v>22002407.71336</v>
      </c>
      <c r="E36" s="10">
        <v>143047.39451000001</v>
      </c>
      <c r="F36" s="10">
        <v>14425.736370000001</v>
      </c>
      <c r="G36" s="10">
        <v>6908.0033999999996</v>
      </c>
      <c r="H36" s="10">
        <v>3255.7795500000002</v>
      </c>
      <c r="I36" s="10">
        <v>573417.30279999995</v>
      </c>
      <c r="J36" s="10">
        <v>604278.97</v>
      </c>
      <c r="K36" s="10">
        <v>373104.24729999999</v>
      </c>
      <c r="L36" s="10">
        <v>705304.85140000004</v>
      </c>
      <c r="M36" s="10">
        <v>209970.76866</v>
      </c>
      <c r="N36" s="10">
        <v>199494.77540000001</v>
      </c>
      <c r="O36" s="10">
        <v>189665.52239500001</v>
      </c>
      <c r="P36" s="10">
        <v>148225.92428000001</v>
      </c>
      <c r="Q36" s="10">
        <v>63516.6685</v>
      </c>
      <c r="R36" s="10">
        <v>30953.264735000001</v>
      </c>
      <c r="S36" s="10">
        <v>27141.078699999998</v>
      </c>
      <c r="T36" s="10">
        <v>14142.821819999999</v>
      </c>
      <c r="U36" s="10"/>
      <c r="V36" s="10">
        <v>29316.2035</v>
      </c>
      <c r="W36" s="10">
        <v>10747.184509999999</v>
      </c>
      <c r="X36" s="10"/>
      <c r="Y36" s="10">
        <v>22152.437383</v>
      </c>
      <c r="Z36" s="10">
        <v>91089.358479999995</v>
      </c>
      <c r="AA36" s="10">
        <v>22136.708999999999</v>
      </c>
      <c r="AB36" s="10">
        <v>78435.123800000001</v>
      </c>
    </row>
    <row r="37" spans="1:28" x14ac:dyDescent="0.35">
      <c r="A37" s="8">
        <v>46128</v>
      </c>
      <c r="B37" s="10">
        <v>2884294.3226800002</v>
      </c>
      <c r="C37" s="10">
        <v>6836571.7145999996</v>
      </c>
      <c r="D37" s="10">
        <v>10484207.06569</v>
      </c>
      <c r="E37" s="10">
        <v>192282.85834999999</v>
      </c>
      <c r="F37" s="10">
        <v>14338.73402</v>
      </c>
      <c r="G37" s="10">
        <v>5945.8594999999996</v>
      </c>
      <c r="H37" s="10">
        <v>2171.3719900000001</v>
      </c>
      <c r="I37" s="10">
        <v>407449.49050000001</v>
      </c>
      <c r="J37" s="10">
        <v>424593.36099999998</v>
      </c>
      <c r="K37" s="10">
        <v>302505.5796</v>
      </c>
      <c r="L37" s="10">
        <v>634707.42359999998</v>
      </c>
      <c r="M37" s="10">
        <v>193887.48770999999</v>
      </c>
      <c r="N37" s="10">
        <v>90285.778999999995</v>
      </c>
      <c r="O37" s="10">
        <v>196408.70463399999</v>
      </c>
      <c r="P37" s="10">
        <v>94426.502080000006</v>
      </c>
      <c r="Q37" s="10">
        <v>39668.754200000003</v>
      </c>
      <c r="R37" s="10">
        <v>22280.808583999999</v>
      </c>
      <c r="S37" s="10">
        <v>14949.9107</v>
      </c>
      <c r="T37" s="10">
        <v>16635.4254</v>
      </c>
      <c r="U37" s="10"/>
      <c r="V37" s="10">
        <v>19825.575550000001</v>
      </c>
      <c r="W37" s="10">
        <v>8194.5879399999994</v>
      </c>
      <c r="X37" s="10"/>
      <c r="Y37" s="10">
        <v>15448.376555999999</v>
      </c>
      <c r="Z37" s="10">
        <v>23984.759330000001</v>
      </c>
      <c r="AA37" s="10">
        <v>23695.494999999999</v>
      </c>
      <c r="AB37" s="10">
        <v>125601.10030000001</v>
      </c>
    </row>
    <row r="38" spans="1:28" x14ac:dyDescent="0.35">
      <c r="A38" s="8">
        <v>46127</v>
      </c>
      <c r="B38" s="10">
        <v>3943411.3972399998</v>
      </c>
      <c r="C38" s="10">
        <v>14694334.383719999</v>
      </c>
      <c r="D38" s="10">
        <v>17245516.494729999</v>
      </c>
      <c r="E38" s="10">
        <v>2487.8310999999999</v>
      </c>
      <c r="F38" s="10">
        <v>14624.81775</v>
      </c>
      <c r="G38" s="10">
        <v>55911.023399999998</v>
      </c>
      <c r="H38" s="10">
        <v>1928.6813400000001</v>
      </c>
      <c r="I38" s="10">
        <v>523638.7709</v>
      </c>
      <c r="J38" s="10">
        <v>779814.58600000001</v>
      </c>
      <c r="K38" s="10">
        <v>143707.97469999999</v>
      </c>
      <c r="L38" s="10">
        <v>388110.77120000002</v>
      </c>
      <c r="M38" s="10">
        <v>296810.88439000002</v>
      </c>
      <c r="N38" s="10">
        <v>70660.631699999998</v>
      </c>
      <c r="O38" s="10">
        <v>243730.38181399999</v>
      </c>
      <c r="P38" s="10">
        <v>100790.69636</v>
      </c>
      <c r="Q38" s="10">
        <v>38332.763099999996</v>
      </c>
      <c r="R38" s="10">
        <v>129279.593953</v>
      </c>
      <c r="S38" s="10">
        <v>15141.1651</v>
      </c>
      <c r="T38" s="10">
        <v>15156.47732</v>
      </c>
      <c r="U38" s="10"/>
      <c r="V38" s="10">
        <v>18522.156599999998</v>
      </c>
      <c r="W38" s="10">
        <v>8644.9599099999996</v>
      </c>
      <c r="X38" s="10"/>
      <c r="Y38" s="10">
        <v>26756.977427999998</v>
      </c>
      <c r="Z38" s="10">
        <v>16468.146250000002</v>
      </c>
      <c r="AA38" s="10">
        <v>34017.167000000001</v>
      </c>
      <c r="AB38" s="10">
        <v>285415.27909999999</v>
      </c>
    </row>
    <row r="39" spans="1:28" x14ac:dyDescent="0.35">
      <c r="A39" s="8">
        <v>46126</v>
      </c>
      <c r="B39" s="10">
        <v>5706431.6040700004</v>
      </c>
      <c r="C39" s="10">
        <v>10620693.68874</v>
      </c>
      <c r="D39" s="10">
        <v>23744764.54738</v>
      </c>
      <c r="E39" s="10">
        <v>2506.58086</v>
      </c>
      <c r="F39" s="10">
        <v>39379.581400000003</v>
      </c>
      <c r="G39" s="10">
        <v>77521.915599999993</v>
      </c>
      <c r="H39" s="10">
        <v>2496.3631700000001</v>
      </c>
      <c r="I39" s="10">
        <v>710833.05839999998</v>
      </c>
      <c r="J39" s="10">
        <v>841471.68500000006</v>
      </c>
      <c r="K39" s="10">
        <v>79694.492499999993</v>
      </c>
      <c r="L39" s="10">
        <v>468641.96480000002</v>
      </c>
      <c r="M39" s="10">
        <v>222078.74939000001</v>
      </c>
      <c r="N39" s="10">
        <v>58669.290099999998</v>
      </c>
      <c r="O39" s="10">
        <v>166405.820572</v>
      </c>
      <c r="P39" s="10">
        <v>64557.027719999998</v>
      </c>
      <c r="Q39" s="10">
        <v>233199.7059</v>
      </c>
      <c r="R39" s="10">
        <v>125803.275089</v>
      </c>
      <c r="S39" s="10">
        <v>55263.014199999998</v>
      </c>
      <c r="T39" s="10">
        <v>116379.70518</v>
      </c>
      <c r="U39" s="10"/>
      <c r="V39" s="10">
        <v>18384.522499999999</v>
      </c>
      <c r="W39" s="10">
        <v>11494.424139999999</v>
      </c>
      <c r="X39" s="10"/>
      <c r="Y39" s="10">
        <v>10109.178973</v>
      </c>
      <c r="Z39" s="10">
        <v>443878.62631000002</v>
      </c>
      <c r="AA39" s="10">
        <v>16403.323</v>
      </c>
      <c r="AB39" s="10">
        <v>23906.080099999999</v>
      </c>
    </row>
    <row r="40" spans="1:28" x14ac:dyDescent="0.35">
      <c r="A40" s="8">
        <v>46125</v>
      </c>
      <c r="B40" s="10">
        <v>5102591.0325600002</v>
      </c>
      <c r="C40" s="10">
        <v>10138698.50224</v>
      </c>
      <c r="D40" s="10">
        <v>31027725.451930001</v>
      </c>
      <c r="E40" s="10">
        <v>28859.739130000002</v>
      </c>
      <c r="F40" s="10">
        <v>239113.77638</v>
      </c>
      <c r="G40" s="10">
        <v>1611.2560000000001</v>
      </c>
      <c r="H40" s="10">
        <v>11474.114219999999</v>
      </c>
      <c r="I40" s="10">
        <v>577810.47309999994</v>
      </c>
      <c r="J40" s="10">
        <v>886531.89</v>
      </c>
      <c r="K40" s="10">
        <v>197832.49129999999</v>
      </c>
      <c r="L40" s="10">
        <v>357691.5148</v>
      </c>
      <c r="M40" s="10">
        <v>156570.76658</v>
      </c>
      <c r="N40" s="10">
        <v>109901.70879999999</v>
      </c>
      <c r="O40" s="10">
        <v>27987.569062999999</v>
      </c>
      <c r="P40" s="10">
        <v>71293.944000000003</v>
      </c>
      <c r="Q40" s="10">
        <v>90619.346000000005</v>
      </c>
      <c r="R40" s="10">
        <v>29807.096591000001</v>
      </c>
      <c r="S40" s="10">
        <v>58086.644099999998</v>
      </c>
      <c r="T40" s="10">
        <v>188606.11032000001</v>
      </c>
      <c r="U40" s="10"/>
      <c r="V40" s="10">
        <v>31627.65883</v>
      </c>
      <c r="W40" s="10">
        <v>65509.917609999997</v>
      </c>
      <c r="X40" s="10"/>
      <c r="Y40" s="10">
        <v>50421.450487000002</v>
      </c>
      <c r="Z40" s="10">
        <v>20673.280419999999</v>
      </c>
      <c r="AA40" s="10"/>
      <c r="AB40" s="10">
        <v>14285.034</v>
      </c>
    </row>
    <row r="41" spans="1:28" x14ac:dyDescent="0.35">
      <c r="A41" s="8">
        <v>46124</v>
      </c>
      <c r="B41" s="10">
        <v>2842393.9189499998</v>
      </c>
      <c r="C41" s="10">
        <v>3659548.3950499999</v>
      </c>
      <c r="D41" s="10">
        <v>35759524.714639999</v>
      </c>
      <c r="E41" s="10">
        <v>9224.3552500000005</v>
      </c>
      <c r="F41" s="10">
        <v>226702.45753000001</v>
      </c>
      <c r="G41" s="10">
        <v>90715.583899999998</v>
      </c>
      <c r="H41" s="10">
        <v>25096.429690000001</v>
      </c>
      <c r="I41" s="10">
        <v>670841.08319999999</v>
      </c>
      <c r="J41" s="10">
        <v>954848.71499999997</v>
      </c>
      <c r="K41" s="10">
        <v>61576.1921</v>
      </c>
      <c r="L41" s="10">
        <v>278938.41649999999</v>
      </c>
      <c r="M41" s="10">
        <v>299952.54472000001</v>
      </c>
      <c r="N41" s="10">
        <v>25630.5939</v>
      </c>
      <c r="O41" s="10">
        <v>25623.44688</v>
      </c>
      <c r="P41" s="10">
        <v>12652.1258</v>
      </c>
      <c r="Q41" s="10">
        <v>299420.03340000001</v>
      </c>
      <c r="R41" s="10">
        <v>21371.883418000001</v>
      </c>
      <c r="S41" s="10">
        <v>43912.169399999999</v>
      </c>
      <c r="T41" s="10">
        <v>107216.76645</v>
      </c>
      <c r="U41" s="10"/>
      <c r="V41" s="10">
        <v>75012.950540000005</v>
      </c>
      <c r="W41" s="10">
        <v>48758.069389999997</v>
      </c>
      <c r="X41" s="10"/>
      <c r="Y41" s="10">
        <v>72239.361466999995</v>
      </c>
      <c r="Z41" s="10">
        <v>8546.0131099999999</v>
      </c>
      <c r="AA41" s="10"/>
      <c r="AB41" s="10">
        <v>11837.328600000001</v>
      </c>
    </row>
    <row r="42" spans="1:28" x14ac:dyDescent="0.35">
      <c r="A42" s="8">
        <v>46123</v>
      </c>
      <c r="B42" s="10">
        <v>152388.00975999999</v>
      </c>
      <c r="C42" s="10">
        <v>513688.56448</v>
      </c>
      <c r="D42" s="10">
        <v>7834662.5481200004</v>
      </c>
      <c r="E42" s="10">
        <v>207.09341000000001</v>
      </c>
      <c r="F42" s="10">
        <v>132420.51498000001</v>
      </c>
      <c r="G42" s="10">
        <v>4287.5257000000001</v>
      </c>
      <c r="H42" s="10">
        <v>2895.2576800000002</v>
      </c>
      <c r="I42" s="10">
        <v>252918.24609999999</v>
      </c>
      <c r="J42" s="10">
        <v>1128855.9909999999</v>
      </c>
      <c r="K42" s="10">
        <v>15114.9511</v>
      </c>
      <c r="L42" s="10">
        <v>99083.446100000001</v>
      </c>
      <c r="M42" s="10">
        <v>122643.93438999999</v>
      </c>
      <c r="N42" s="10">
        <v>7739.5637999999999</v>
      </c>
      <c r="O42" s="10">
        <v>34505.648798000002</v>
      </c>
      <c r="P42" s="10">
        <v>4259.9589599999999</v>
      </c>
      <c r="Q42" s="10">
        <v>23706.702300000001</v>
      </c>
      <c r="R42" s="10">
        <v>16817.593779999999</v>
      </c>
      <c r="S42" s="10">
        <v>9017.4653999999991</v>
      </c>
      <c r="T42" s="10">
        <v>10938.034180000001</v>
      </c>
      <c r="U42" s="10"/>
      <c r="V42" s="10">
        <v>19071.34967</v>
      </c>
      <c r="W42" s="10">
        <v>17704.36074</v>
      </c>
      <c r="X42" s="10"/>
      <c r="Y42" s="10">
        <v>8852.2424979999996</v>
      </c>
      <c r="Z42" s="10">
        <v>6113.8411800000003</v>
      </c>
      <c r="AA42" s="10"/>
      <c r="AB42" s="10">
        <v>12580.2394</v>
      </c>
    </row>
    <row r="43" spans="1:28" x14ac:dyDescent="0.35">
      <c r="A43" s="8">
        <v>46122</v>
      </c>
      <c r="B43" s="10">
        <v>3447873.10445</v>
      </c>
      <c r="C43" s="10">
        <v>7048832.16677</v>
      </c>
      <c r="D43" s="10">
        <v>32535402.650339998</v>
      </c>
      <c r="E43" s="10">
        <v>3355.9447399999999</v>
      </c>
      <c r="F43" s="10">
        <v>163236.23118999999</v>
      </c>
      <c r="G43" s="10">
        <v>1071.6976999999999</v>
      </c>
      <c r="H43" s="10">
        <v>15519.57105</v>
      </c>
      <c r="I43" s="10">
        <v>529243.94369999995</v>
      </c>
      <c r="J43" s="10">
        <v>1511761.83</v>
      </c>
      <c r="K43" s="10">
        <v>133446.2977</v>
      </c>
      <c r="L43" s="10">
        <v>297867.90590000001</v>
      </c>
      <c r="M43" s="10">
        <v>439073.34860999999</v>
      </c>
      <c r="N43" s="10">
        <v>51419.273999999998</v>
      </c>
      <c r="O43" s="10">
        <v>79717.361866000007</v>
      </c>
      <c r="P43" s="10">
        <v>23113.78932</v>
      </c>
      <c r="Q43" s="10">
        <v>40181.701500000003</v>
      </c>
      <c r="R43" s="10">
        <v>37922.215443000001</v>
      </c>
      <c r="S43" s="10">
        <v>36987.042800000003</v>
      </c>
      <c r="T43" s="10">
        <v>92721.04565</v>
      </c>
      <c r="U43" s="10"/>
      <c r="V43" s="10">
        <v>26683.515749999999</v>
      </c>
      <c r="W43" s="10">
        <v>9082.6130900000007</v>
      </c>
      <c r="X43" s="10"/>
      <c r="Y43" s="10">
        <v>13515.763677000001</v>
      </c>
      <c r="Z43" s="10">
        <v>22134.42525</v>
      </c>
      <c r="AA43" s="10"/>
      <c r="AB43" s="10">
        <v>28046.354599999999</v>
      </c>
    </row>
    <row r="44" spans="1:28" x14ac:dyDescent="0.35">
      <c r="A44" s="8">
        <v>46121</v>
      </c>
      <c r="B44" s="10">
        <v>4216342.5308299996</v>
      </c>
      <c r="C44" s="10">
        <v>8593333.0353299994</v>
      </c>
      <c r="D44" s="10">
        <v>59390627.808540002</v>
      </c>
      <c r="E44" s="10">
        <v>16433.38219</v>
      </c>
      <c r="F44" s="10">
        <v>120679.49889</v>
      </c>
      <c r="G44" s="10">
        <v>4998.8267999999998</v>
      </c>
      <c r="H44" s="10">
        <v>8161.9093800000001</v>
      </c>
      <c r="I44" s="10">
        <v>607452.44660000002</v>
      </c>
      <c r="J44" s="10">
        <v>552809.86800000002</v>
      </c>
      <c r="K44" s="10">
        <v>186201.52470000001</v>
      </c>
      <c r="L44" s="10">
        <v>507701.77250000002</v>
      </c>
      <c r="M44" s="10">
        <v>431113.84417</v>
      </c>
      <c r="N44" s="10">
        <v>109903.46460000001</v>
      </c>
      <c r="O44" s="10">
        <v>192743.706022</v>
      </c>
      <c r="P44" s="10">
        <v>40897.817840000003</v>
      </c>
      <c r="Q44" s="10">
        <v>81711.3609</v>
      </c>
      <c r="R44" s="10">
        <v>137892.413589</v>
      </c>
      <c r="S44" s="10">
        <v>105191.14840000001</v>
      </c>
      <c r="T44" s="10">
        <v>30598.548839999999</v>
      </c>
      <c r="U44" s="10"/>
      <c r="V44" s="10">
        <v>18535.615559999998</v>
      </c>
      <c r="W44" s="10">
        <v>25267.994449999998</v>
      </c>
      <c r="X44" s="10"/>
      <c r="Y44" s="10">
        <v>13462.327542000001</v>
      </c>
      <c r="Z44" s="10">
        <v>257857.00752000001</v>
      </c>
      <c r="AA44" s="10"/>
      <c r="AB44" s="10">
        <v>48195.0049</v>
      </c>
    </row>
    <row r="45" spans="1:28" x14ac:dyDescent="0.35">
      <c r="A45" s="8">
        <v>46120</v>
      </c>
      <c r="B45" s="10">
        <v>9431548.8518800009</v>
      </c>
      <c r="C45" s="10">
        <v>20915910.06366</v>
      </c>
      <c r="D45" s="10">
        <v>59790359.220789999</v>
      </c>
      <c r="E45" s="10">
        <v>9653.5201899999993</v>
      </c>
      <c r="F45" s="10">
        <v>151081.54342999999</v>
      </c>
      <c r="G45" s="10">
        <v>36904.548699999999</v>
      </c>
      <c r="H45" s="10">
        <v>39917.592570000001</v>
      </c>
      <c r="I45" s="10">
        <v>846123.8014</v>
      </c>
      <c r="J45" s="10">
        <v>1079458.392</v>
      </c>
      <c r="K45" s="10"/>
      <c r="L45" s="10">
        <v>683216.35049999994</v>
      </c>
      <c r="M45" s="10">
        <v>542805.90251000004</v>
      </c>
      <c r="N45" s="10">
        <v>147325.31460000001</v>
      </c>
      <c r="O45" s="10">
        <v>1094675.8462149999</v>
      </c>
      <c r="P45" s="10">
        <v>92259.62255</v>
      </c>
      <c r="Q45" s="10">
        <v>116025.4976</v>
      </c>
      <c r="R45" s="10">
        <v>72083.306079999995</v>
      </c>
      <c r="S45" s="10">
        <v>104013.0678</v>
      </c>
      <c r="T45" s="10">
        <v>142559.69266</v>
      </c>
      <c r="U45" s="10"/>
      <c r="V45" s="10">
        <v>68924.54436</v>
      </c>
      <c r="W45" s="10">
        <v>18311.454040000001</v>
      </c>
      <c r="X45" s="10"/>
      <c r="Y45" s="10">
        <v>115002.596729</v>
      </c>
      <c r="Z45" s="10"/>
      <c r="AA45" s="10"/>
      <c r="AB45" s="10"/>
    </row>
    <row r="46" spans="1:28" x14ac:dyDescent="0.35">
      <c r="A46" s="8">
        <v>46119</v>
      </c>
      <c r="B46" s="10">
        <v>14347481.42489</v>
      </c>
      <c r="C46" s="10">
        <v>19046718.415989999</v>
      </c>
      <c r="D46" s="10">
        <v>86780057.708680004</v>
      </c>
      <c r="E46" s="10">
        <v>231719.97119000001</v>
      </c>
      <c r="F46" s="10">
        <v>359916.93724</v>
      </c>
      <c r="G46" s="10">
        <v>18800.646700000001</v>
      </c>
      <c r="H46" s="10">
        <v>63921.179709999997</v>
      </c>
      <c r="I46" s="10">
        <v>1026159.6935000001</v>
      </c>
      <c r="J46" s="10">
        <v>1287353.7579999999</v>
      </c>
      <c r="K46" s="10"/>
      <c r="L46" s="10">
        <v>1357367.3215999999</v>
      </c>
      <c r="M46" s="10">
        <v>597603.76705999998</v>
      </c>
      <c r="N46" s="10">
        <v>102818.1572</v>
      </c>
      <c r="O46" s="10">
        <v>647750.32881500002</v>
      </c>
      <c r="P46" s="10">
        <v>272483.63297999999</v>
      </c>
      <c r="Q46" s="10">
        <v>110658.1297</v>
      </c>
      <c r="R46" s="10">
        <v>54517.833186999997</v>
      </c>
      <c r="S46" s="10">
        <v>103885.9158</v>
      </c>
      <c r="T46" s="10">
        <v>18226.367610000001</v>
      </c>
      <c r="U46" s="10"/>
      <c r="V46" s="10">
        <v>77033.605070000005</v>
      </c>
      <c r="W46" s="10">
        <v>34343.984940000002</v>
      </c>
      <c r="X46" s="10"/>
      <c r="Y46" s="10">
        <v>12765.682601</v>
      </c>
      <c r="Z46" s="10"/>
      <c r="AA46" s="10"/>
      <c r="AB46" s="10"/>
    </row>
    <row r="47" spans="1:28" x14ac:dyDescent="0.35">
      <c r="A47" s="8">
        <v>46118</v>
      </c>
      <c r="B47" s="10">
        <v>8201753.5173500003</v>
      </c>
      <c r="C47" s="10">
        <v>15138974.78538</v>
      </c>
      <c r="D47" s="10">
        <v>36568374.194109999</v>
      </c>
      <c r="E47" s="10">
        <v>48701.851869999999</v>
      </c>
      <c r="F47" s="10">
        <v>131317.36303000001</v>
      </c>
      <c r="G47" s="10">
        <v>8490.9526999999998</v>
      </c>
      <c r="H47" s="10">
        <v>31995.680909999999</v>
      </c>
      <c r="I47" s="10">
        <v>596891.03220000002</v>
      </c>
      <c r="J47" s="10">
        <v>1441935.0209999999</v>
      </c>
      <c r="K47" s="10"/>
      <c r="L47" s="10">
        <v>426785.22989999998</v>
      </c>
      <c r="M47" s="10">
        <v>356222.84607000003</v>
      </c>
      <c r="N47" s="10">
        <v>78866.048999999999</v>
      </c>
      <c r="O47" s="10">
        <v>14261.612859000001</v>
      </c>
      <c r="P47" s="10">
        <v>75962.217629999999</v>
      </c>
      <c r="Q47" s="10">
        <v>77121.015499999994</v>
      </c>
      <c r="R47" s="10">
        <v>47238.041448000004</v>
      </c>
      <c r="S47" s="10">
        <v>49028.330999999998</v>
      </c>
      <c r="T47" s="10">
        <v>34213.018360000002</v>
      </c>
      <c r="U47" s="10"/>
      <c r="V47" s="10">
        <v>48129.389109999996</v>
      </c>
      <c r="W47" s="10">
        <v>25083.511719999999</v>
      </c>
      <c r="X47" s="10"/>
      <c r="Y47" s="10">
        <v>14288.578914</v>
      </c>
      <c r="Z47" s="10"/>
      <c r="AA47" s="10"/>
      <c r="AB47" s="10"/>
    </row>
    <row r="48" spans="1:28" x14ac:dyDescent="0.35">
      <c r="A48" s="8">
        <v>46117</v>
      </c>
      <c r="B48" s="10">
        <v>4261447.4401700003</v>
      </c>
      <c r="C48" s="10">
        <v>5268398.8544899998</v>
      </c>
      <c r="D48" s="10">
        <v>15588080.92032</v>
      </c>
      <c r="E48" s="10">
        <v>257289.05147000001</v>
      </c>
      <c r="F48" s="10">
        <v>49546.720860000001</v>
      </c>
      <c r="G48" s="10">
        <v>1666.5319999999999</v>
      </c>
      <c r="H48" s="10">
        <v>88143.120599999995</v>
      </c>
      <c r="I48" s="10">
        <v>182156.39230000001</v>
      </c>
      <c r="J48" s="10">
        <v>541570.40899999999</v>
      </c>
      <c r="K48" s="10"/>
      <c r="L48" s="10">
        <v>150071.30369999999</v>
      </c>
      <c r="M48" s="10">
        <v>24286.400529999999</v>
      </c>
      <c r="N48" s="10">
        <v>4422.4754999999996</v>
      </c>
      <c r="O48" s="10">
        <v>9815.5766440000007</v>
      </c>
      <c r="P48" s="10">
        <v>9547.4632700000002</v>
      </c>
      <c r="Q48" s="10">
        <v>52798.8626</v>
      </c>
      <c r="R48" s="10">
        <v>16135.05437</v>
      </c>
      <c r="S48" s="10">
        <v>27954.244699999999</v>
      </c>
      <c r="T48" s="10">
        <v>13245.007680000001</v>
      </c>
      <c r="U48" s="10"/>
      <c r="V48" s="10">
        <v>19894.754140000001</v>
      </c>
      <c r="W48" s="10">
        <v>25234.422259999999</v>
      </c>
      <c r="X48" s="10"/>
      <c r="Y48" s="10">
        <v>12629.025401999999</v>
      </c>
      <c r="Z48" s="10"/>
      <c r="AA48" s="10"/>
      <c r="AB48" s="10"/>
    </row>
    <row r="49" spans="1:28" x14ac:dyDescent="0.35">
      <c r="A49" s="8">
        <v>46116</v>
      </c>
      <c r="B49" s="10">
        <v>685796.42153000005</v>
      </c>
      <c r="C49" s="10">
        <v>396578.88548</v>
      </c>
      <c r="D49" s="10">
        <v>2759289.59717</v>
      </c>
      <c r="E49" s="10">
        <v>1199.74316</v>
      </c>
      <c r="F49" s="10">
        <v>3823.7540100000001</v>
      </c>
      <c r="G49" s="10">
        <v>2611.2053999999998</v>
      </c>
      <c r="H49" s="10">
        <v>43082.373339999998</v>
      </c>
      <c r="I49" s="10">
        <v>149144.6667</v>
      </c>
      <c r="J49" s="10">
        <v>821167.30900000001</v>
      </c>
      <c r="K49" s="10"/>
      <c r="L49" s="10">
        <v>17955.717400000001</v>
      </c>
      <c r="M49" s="10">
        <v>13041.30488</v>
      </c>
      <c r="N49" s="10">
        <v>4337.5807999999997</v>
      </c>
      <c r="O49" s="10">
        <v>15404.614179</v>
      </c>
      <c r="P49" s="10">
        <v>4729.1075899999996</v>
      </c>
      <c r="Q49" s="10">
        <v>11203.914199999999</v>
      </c>
      <c r="R49" s="10">
        <v>21671.474967999999</v>
      </c>
      <c r="S49" s="10">
        <v>12915.538</v>
      </c>
      <c r="T49" s="10">
        <v>19456.153880000002</v>
      </c>
      <c r="U49" s="10"/>
      <c r="V49" s="10">
        <v>72240.580489999993</v>
      </c>
      <c r="W49" s="10">
        <v>40016.564149999998</v>
      </c>
      <c r="X49" s="10"/>
      <c r="Y49" s="10">
        <v>9458.1555310000003</v>
      </c>
      <c r="Z49" s="10"/>
      <c r="AA49" s="10"/>
      <c r="AB49" s="10"/>
    </row>
    <row r="50" spans="1:28" x14ac:dyDescent="0.35">
      <c r="A50" s="8">
        <v>46115</v>
      </c>
      <c r="B50" s="10">
        <v>1349337.18316</v>
      </c>
      <c r="C50" s="10">
        <v>928718.28521</v>
      </c>
      <c r="D50" s="10">
        <v>6865356.5183300003</v>
      </c>
      <c r="E50" s="10">
        <v>186127.22334999999</v>
      </c>
      <c r="F50" s="10">
        <v>45383.859420000001</v>
      </c>
      <c r="G50" s="10">
        <v>51447.741699999999</v>
      </c>
      <c r="H50" s="10">
        <v>18720.206429999998</v>
      </c>
      <c r="I50" s="10">
        <v>547490.4754</v>
      </c>
      <c r="J50" s="10">
        <v>830715.98699999996</v>
      </c>
      <c r="K50" s="10"/>
      <c r="L50" s="10">
        <v>37417.0772</v>
      </c>
      <c r="M50" s="10">
        <v>14247.17585</v>
      </c>
      <c r="N50" s="10">
        <v>4974.3882000000003</v>
      </c>
      <c r="O50" s="10">
        <v>90746.737737000003</v>
      </c>
      <c r="P50" s="10">
        <v>12096.307479999999</v>
      </c>
      <c r="Q50" s="10">
        <v>17144.720099999999</v>
      </c>
      <c r="R50" s="10">
        <v>14984.012137</v>
      </c>
      <c r="S50" s="10">
        <v>11141.499299999999</v>
      </c>
      <c r="T50" s="10">
        <v>29303.888599999998</v>
      </c>
      <c r="U50" s="10"/>
      <c r="V50" s="10">
        <v>25854.607189999999</v>
      </c>
      <c r="W50" s="10">
        <v>19617.19198</v>
      </c>
      <c r="X50" s="10"/>
      <c r="Y50" s="10">
        <v>11046.621288</v>
      </c>
      <c r="Z50" s="10"/>
      <c r="AA50" s="10"/>
      <c r="AB50" s="10"/>
    </row>
    <row r="51" spans="1:28" x14ac:dyDescent="0.35">
      <c r="A51" s="8">
        <v>46114</v>
      </c>
      <c r="B51" s="10">
        <v>12673127.09856</v>
      </c>
      <c r="C51" s="10">
        <v>20320352.472770002</v>
      </c>
      <c r="D51" s="10">
        <v>37867954.938019998</v>
      </c>
      <c r="E51" s="10">
        <v>100676.58530000001</v>
      </c>
      <c r="F51" s="10">
        <v>101523.40647</v>
      </c>
      <c r="G51" s="10">
        <v>66880.258300000001</v>
      </c>
      <c r="H51" s="10">
        <v>152616.38182000001</v>
      </c>
      <c r="I51" s="10">
        <v>1104785.6507000001</v>
      </c>
      <c r="J51" s="10">
        <v>1280158.442</v>
      </c>
      <c r="K51" s="10"/>
      <c r="L51" s="10">
        <v>730046.05649999995</v>
      </c>
      <c r="M51" s="10">
        <v>92758.776559999998</v>
      </c>
      <c r="N51" s="10">
        <v>1427430.1573999999</v>
      </c>
      <c r="O51" s="10">
        <v>124809.515021</v>
      </c>
      <c r="P51" s="10">
        <v>215175.30441000001</v>
      </c>
      <c r="Q51" s="10">
        <v>97767.235700000005</v>
      </c>
      <c r="R51" s="10">
        <v>53559.476119999999</v>
      </c>
      <c r="S51" s="10">
        <v>76618.666299999997</v>
      </c>
      <c r="T51" s="10">
        <v>124592.22252</v>
      </c>
      <c r="U51" s="10"/>
      <c r="V51" s="10">
        <v>58827.626900000003</v>
      </c>
      <c r="W51" s="10">
        <v>51624.379430000001</v>
      </c>
      <c r="X51" s="10"/>
      <c r="Y51" s="10">
        <v>28032.369964000001</v>
      </c>
      <c r="Z51" s="10"/>
      <c r="AA51" s="10"/>
      <c r="AB51" s="10"/>
    </row>
    <row r="52" spans="1:28" x14ac:dyDescent="0.35">
      <c r="A52" s="8">
        <v>46113</v>
      </c>
      <c r="B52" s="10">
        <v>5247028.8669800004</v>
      </c>
      <c r="C52" s="10">
        <v>8768213.6814200003</v>
      </c>
      <c r="D52" s="10">
        <v>18649648.603319999</v>
      </c>
      <c r="E52" s="10">
        <v>56036.365310000001</v>
      </c>
      <c r="F52" s="10">
        <v>69909.351720000006</v>
      </c>
      <c r="G52" s="10">
        <v>15904.030500000001</v>
      </c>
      <c r="H52" s="10">
        <v>11957.94937</v>
      </c>
      <c r="I52" s="10">
        <v>972350.36529999995</v>
      </c>
      <c r="J52" s="10">
        <v>567420.40700000001</v>
      </c>
      <c r="K52" s="10"/>
      <c r="L52" s="10">
        <v>204113.26070000001</v>
      </c>
      <c r="M52" s="10">
        <v>185706.59031999999</v>
      </c>
      <c r="N52" s="10">
        <v>466722.53090000001</v>
      </c>
      <c r="O52" s="10">
        <v>171597.411391</v>
      </c>
      <c r="P52" s="10">
        <v>201584.73434</v>
      </c>
      <c r="Q52" s="10">
        <v>105306.0757</v>
      </c>
      <c r="R52" s="10">
        <v>58510.440688000002</v>
      </c>
      <c r="S52" s="10">
        <v>99779.2592</v>
      </c>
      <c r="T52" s="10">
        <v>71373.770359999995</v>
      </c>
      <c r="U52" s="10"/>
      <c r="V52" s="10">
        <v>60608.598839999999</v>
      </c>
      <c r="W52" s="10">
        <v>31950.603620000002</v>
      </c>
      <c r="X52" s="10"/>
      <c r="Y52" s="10">
        <v>28403.611677000001</v>
      </c>
      <c r="Z52" s="10"/>
      <c r="AA52" s="10"/>
      <c r="AB52" s="10"/>
    </row>
    <row r="53" spans="1:28" x14ac:dyDescent="0.35">
      <c r="A53" s="8">
        <v>46112</v>
      </c>
      <c r="B53" s="10">
        <v>6395495.2901100004</v>
      </c>
      <c r="C53" s="10">
        <v>14241830.771849999</v>
      </c>
      <c r="D53" s="10">
        <v>11875196.43536</v>
      </c>
      <c r="E53" s="10">
        <v>70111.31942</v>
      </c>
      <c r="F53" s="10">
        <v>81375.085959999997</v>
      </c>
      <c r="G53" s="10">
        <v>38351.4427</v>
      </c>
      <c r="H53" s="10">
        <v>34911.589659999998</v>
      </c>
      <c r="I53" s="10">
        <v>1146646.1066000001</v>
      </c>
      <c r="J53" s="10">
        <v>440701.87</v>
      </c>
      <c r="K53" s="10"/>
      <c r="L53" s="10">
        <v>691191.95030000003</v>
      </c>
      <c r="M53" s="10">
        <v>484639.40116000001</v>
      </c>
      <c r="N53" s="10">
        <v>1604992.3574000001</v>
      </c>
      <c r="O53" s="10">
        <v>418721.47223999997</v>
      </c>
      <c r="P53" s="10">
        <v>84514.401759999993</v>
      </c>
      <c r="Q53" s="10">
        <v>166668.4748</v>
      </c>
      <c r="R53" s="10">
        <v>106190.55852999999</v>
      </c>
      <c r="S53" s="10">
        <v>142997.5062</v>
      </c>
      <c r="T53" s="10">
        <v>67211.252250000005</v>
      </c>
      <c r="U53" s="10"/>
      <c r="V53" s="10">
        <v>61164.81725</v>
      </c>
      <c r="W53" s="10">
        <v>134783.47203</v>
      </c>
      <c r="X53" s="10"/>
      <c r="Y53" s="10">
        <v>31077.460766</v>
      </c>
      <c r="Z53" s="10"/>
      <c r="AA53" s="10"/>
      <c r="AB53" s="10"/>
    </row>
    <row r="54" spans="1:28" x14ac:dyDescent="0.35">
      <c r="A54" s="8">
        <v>46111</v>
      </c>
      <c r="B54" s="10">
        <v>5894901.4619000005</v>
      </c>
      <c r="C54" s="10">
        <v>13644246.03194</v>
      </c>
      <c r="D54" s="10">
        <v>10989586.64256</v>
      </c>
      <c r="E54" s="10">
        <v>56361.168460000001</v>
      </c>
      <c r="F54" s="10">
        <v>98533.939339999997</v>
      </c>
      <c r="G54" s="10">
        <v>12445.258900000001</v>
      </c>
      <c r="H54" s="10">
        <v>27423.831730000002</v>
      </c>
      <c r="I54" s="10">
        <v>597763.21160000004</v>
      </c>
      <c r="J54" s="10">
        <v>239240.704</v>
      </c>
      <c r="K54" s="10"/>
      <c r="L54" s="10"/>
      <c r="M54" s="10">
        <v>307686.12414000003</v>
      </c>
      <c r="N54" s="10">
        <v>238022.01920000001</v>
      </c>
      <c r="O54" s="10">
        <v>148571.89214700001</v>
      </c>
      <c r="P54" s="10">
        <v>452382.86384000001</v>
      </c>
      <c r="Q54" s="10">
        <v>72055.383600000001</v>
      </c>
      <c r="R54" s="10">
        <v>58566.150655999998</v>
      </c>
      <c r="S54" s="10">
        <v>73059.148100000006</v>
      </c>
      <c r="T54" s="10">
        <v>97004.249249999993</v>
      </c>
      <c r="U54" s="10"/>
      <c r="V54" s="10">
        <v>63483.157270000003</v>
      </c>
      <c r="W54" s="10">
        <v>34595.292840000002</v>
      </c>
      <c r="X54" s="10"/>
      <c r="Y54" s="10">
        <v>28926.658051999999</v>
      </c>
      <c r="Z54" s="10"/>
      <c r="AA54" s="10"/>
      <c r="AB54" s="10"/>
    </row>
    <row r="55" spans="1:28" x14ac:dyDescent="0.35">
      <c r="A55" s="8">
        <v>46110</v>
      </c>
      <c r="B55" s="10">
        <v>2128130.35299</v>
      </c>
      <c r="C55" s="10">
        <v>2564412.4</v>
      </c>
      <c r="D55" s="10">
        <v>4615311.74969</v>
      </c>
      <c r="E55" s="10">
        <v>46798.64271</v>
      </c>
      <c r="F55" s="10">
        <v>174049.95366999999</v>
      </c>
      <c r="G55" s="10">
        <v>2712.3404999999998</v>
      </c>
      <c r="H55" s="10">
        <v>35828.906289999999</v>
      </c>
      <c r="I55" s="10">
        <v>1221722.9384000001</v>
      </c>
      <c r="J55" s="10">
        <v>213927.565</v>
      </c>
      <c r="K55" s="10"/>
      <c r="L55" s="10"/>
      <c r="M55" s="10">
        <v>25795.42352</v>
      </c>
      <c r="N55" s="10">
        <v>206435.94209999999</v>
      </c>
      <c r="O55" s="10">
        <v>13933.785755999999</v>
      </c>
      <c r="P55" s="10">
        <v>106969.62989</v>
      </c>
      <c r="Q55" s="10">
        <v>71224.656499999997</v>
      </c>
      <c r="R55" s="10">
        <v>44326.214771999999</v>
      </c>
      <c r="S55" s="10">
        <v>95198.656499999997</v>
      </c>
      <c r="T55" s="10">
        <v>43909.453350000003</v>
      </c>
      <c r="U55" s="10"/>
      <c r="V55" s="10">
        <v>77656.789300000004</v>
      </c>
      <c r="W55" s="10">
        <v>28840.347229999999</v>
      </c>
      <c r="X55" s="10"/>
      <c r="Y55" s="10">
        <v>29650.987301000001</v>
      </c>
      <c r="Z55" s="10"/>
      <c r="AA55" s="10"/>
      <c r="AB55" s="10"/>
    </row>
    <row r="56" spans="1:28" x14ac:dyDescent="0.35">
      <c r="A56" s="8">
        <v>46109</v>
      </c>
      <c r="B56" s="10">
        <v>358512.25949999999</v>
      </c>
      <c r="C56" s="10">
        <v>305190.53214999998</v>
      </c>
      <c r="D56" s="10">
        <v>2623091.8442799998</v>
      </c>
      <c r="E56" s="10">
        <v>9271.4872200000009</v>
      </c>
      <c r="F56" s="10">
        <v>36579.389660000001</v>
      </c>
      <c r="G56" s="10">
        <v>5401.1451999999999</v>
      </c>
      <c r="H56" s="10">
        <v>702.26918999999998</v>
      </c>
      <c r="I56" s="10">
        <v>1583643.5486999999</v>
      </c>
      <c r="J56" s="10">
        <v>250292.28200000001</v>
      </c>
      <c r="K56" s="10"/>
      <c r="L56" s="10"/>
      <c r="M56" s="10">
        <v>26141.069940000001</v>
      </c>
      <c r="N56" s="10">
        <v>803164.4632</v>
      </c>
      <c r="O56" s="10">
        <v>26354.537350999999</v>
      </c>
      <c r="P56" s="10">
        <v>1672451.9396299999</v>
      </c>
      <c r="Q56" s="10">
        <v>36016.1751</v>
      </c>
      <c r="R56" s="10">
        <v>81002.116081999993</v>
      </c>
      <c r="S56" s="10">
        <v>32386.0052</v>
      </c>
      <c r="T56" s="10">
        <v>31971.797780000001</v>
      </c>
      <c r="U56" s="10"/>
      <c r="V56" s="10">
        <v>57832.282180000002</v>
      </c>
      <c r="W56" s="10">
        <v>25839.09534</v>
      </c>
      <c r="X56" s="10"/>
      <c r="Y56" s="10">
        <v>28815.178681000001</v>
      </c>
      <c r="Z56" s="10"/>
      <c r="AA56" s="10"/>
      <c r="AB56" s="10"/>
    </row>
    <row r="57" spans="1:28" x14ac:dyDescent="0.35">
      <c r="A57" s="8">
        <v>46108</v>
      </c>
      <c r="B57" s="10">
        <v>10589406.741869999</v>
      </c>
      <c r="C57" s="10">
        <v>8780012.3992400002</v>
      </c>
      <c r="D57" s="10">
        <v>7805790.92172</v>
      </c>
      <c r="E57" s="10">
        <v>163931.48963</v>
      </c>
      <c r="F57" s="10">
        <v>115782.03204000001</v>
      </c>
      <c r="G57" s="10">
        <v>45695.188999999998</v>
      </c>
      <c r="H57" s="10">
        <v>58059.716890000003</v>
      </c>
      <c r="I57" s="10">
        <v>692432.19770000002</v>
      </c>
      <c r="J57" s="10">
        <v>1301812.6410000001</v>
      </c>
      <c r="K57" s="10"/>
      <c r="L57" s="10"/>
      <c r="M57" s="10">
        <v>40736.62874</v>
      </c>
      <c r="N57" s="10">
        <v>1303779.8137999999</v>
      </c>
      <c r="O57" s="10">
        <v>165083.48443099999</v>
      </c>
      <c r="P57" s="10">
        <v>272160.37034999998</v>
      </c>
      <c r="Q57" s="10">
        <v>63389.315999999999</v>
      </c>
      <c r="R57" s="10">
        <v>173416.86321499999</v>
      </c>
      <c r="S57" s="10">
        <v>116606.6059</v>
      </c>
      <c r="T57" s="10">
        <v>130027.65631999999</v>
      </c>
      <c r="U57" s="10"/>
      <c r="V57" s="10">
        <v>82957.309659999999</v>
      </c>
      <c r="W57" s="10">
        <v>35294.625390000001</v>
      </c>
      <c r="X57" s="10"/>
      <c r="Y57" s="10">
        <v>33265.893542999998</v>
      </c>
      <c r="Z57" s="10"/>
      <c r="AA57" s="10"/>
      <c r="AB57" s="10"/>
    </row>
    <row r="58" spans="1:28" x14ac:dyDescent="0.35">
      <c r="A58" s="8">
        <v>46107</v>
      </c>
      <c r="B58" s="10">
        <v>30811858.38098</v>
      </c>
      <c r="C58" s="10">
        <v>33130011.435369998</v>
      </c>
      <c r="D58" s="10">
        <v>7214074.1803099997</v>
      </c>
      <c r="E58" s="10">
        <v>648700.02951999998</v>
      </c>
      <c r="F58" s="10">
        <v>58888.726580000002</v>
      </c>
      <c r="G58" s="10">
        <v>46410.210099999997</v>
      </c>
      <c r="H58" s="10">
        <v>46498.622990000003</v>
      </c>
      <c r="I58" s="10">
        <v>628011.61690000002</v>
      </c>
      <c r="J58" s="10">
        <v>504517.424</v>
      </c>
      <c r="K58" s="10"/>
      <c r="L58" s="10"/>
      <c r="M58" s="10">
        <v>119341.00842</v>
      </c>
      <c r="N58" s="10">
        <v>2098254.1132</v>
      </c>
      <c r="O58" s="10">
        <v>174459.96100700001</v>
      </c>
      <c r="P58" s="10">
        <v>2104442.9873199998</v>
      </c>
      <c r="Q58" s="10">
        <v>75904.454199999993</v>
      </c>
      <c r="R58" s="10">
        <v>60978.493108000002</v>
      </c>
      <c r="S58" s="10">
        <v>88156.932499999995</v>
      </c>
      <c r="T58" s="10">
        <v>118709.12818</v>
      </c>
      <c r="U58" s="10"/>
      <c r="V58" s="10">
        <v>169864.09482999999</v>
      </c>
      <c r="W58" s="10">
        <v>30960.660639999998</v>
      </c>
      <c r="X58" s="10"/>
      <c r="Y58" s="10">
        <v>29143.697247</v>
      </c>
      <c r="Z58" s="10"/>
      <c r="AA58" s="10"/>
      <c r="AB58" s="10"/>
    </row>
    <row r="59" spans="1:28" x14ac:dyDescent="0.35">
      <c r="A59" s="8">
        <v>46106</v>
      </c>
      <c r="B59" s="10">
        <v>42579792.658770002</v>
      </c>
      <c r="C59" s="10">
        <v>30470570.96181</v>
      </c>
      <c r="D59" s="10">
        <v>9126734.1818599999</v>
      </c>
      <c r="E59" s="10">
        <v>682393.17674999998</v>
      </c>
      <c r="F59" s="10">
        <v>41878.310709999998</v>
      </c>
      <c r="G59" s="10">
        <v>42205.568399999996</v>
      </c>
      <c r="H59" s="10">
        <v>24348.637760000001</v>
      </c>
      <c r="I59" s="10">
        <v>786978.31449999998</v>
      </c>
      <c r="J59" s="10">
        <v>416353.23800000001</v>
      </c>
      <c r="K59" s="10"/>
      <c r="L59" s="10"/>
      <c r="M59" s="10">
        <v>168642.97654</v>
      </c>
      <c r="N59" s="10">
        <v>1463560.9617999999</v>
      </c>
      <c r="O59" s="10">
        <v>588333.25343699998</v>
      </c>
      <c r="P59" s="10">
        <v>1077002.9862899999</v>
      </c>
      <c r="Q59" s="10">
        <v>82326.744699999996</v>
      </c>
      <c r="R59" s="10">
        <v>57224.685128999998</v>
      </c>
      <c r="S59" s="10">
        <v>61604.827799999999</v>
      </c>
      <c r="T59" s="10">
        <v>208135.34796000001</v>
      </c>
      <c r="U59" s="10"/>
      <c r="V59" s="10">
        <v>59703.092499999999</v>
      </c>
      <c r="W59" s="10">
        <v>39518.431109999998</v>
      </c>
      <c r="X59" s="10"/>
      <c r="Y59" s="10">
        <v>32595.174763999999</v>
      </c>
      <c r="Z59" s="10"/>
      <c r="AA59" s="10"/>
      <c r="AB59" s="10"/>
    </row>
    <row r="60" spans="1:28" x14ac:dyDescent="0.35">
      <c r="A60" s="8">
        <v>46105</v>
      </c>
      <c r="B60" s="10">
        <v>167102904.68193999</v>
      </c>
      <c r="C60" s="10">
        <v>43233971.060709998</v>
      </c>
      <c r="D60" s="10">
        <v>13534247.07367</v>
      </c>
      <c r="E60" s="10">
        <v>1647191.7151200001</v>
      </c>
      <c r="F60" s="10">
        <v>212676.12815</v>
      </c>
      <c r="G60" s="10">
        <v>28027.514500000001</v>
      </c>
      <c r="H60" s="10">
        <v>155994.13720999999</v>
      </c>
      <c r="I60" s="10">
        <v>2032757.1698</v>
      </c>
      <c r="J60" s="10">
        <v>473039.55900000001</v>
      </c>
      <c r="K60" s="10"/>
      <c r="L60" s="10"/>
      <c r="M60" s="10">
        <v>113841.49038</v>
      </c>
      <c r="N60" s="10"/>
      <c r="O60" s="10">
        <v>629350.61174199998</v>
      </c>
      <c r="P60" s="10"/>
      <c r="Q60" s="10">
        <v>69031.054000000004</v>
      </c>
      <c r="R60" s="10">
        <v>70043.392731999993</v>
      </c>
      <c r="S60" s="10">
        <v>81409.600900000005</v>
      </c>
      <c r="T60" s="10">
        <v>61278.385020000002</v>
      </c>
      <c r="U60" s="10"/>
      <c r="V60" s="10">
        <v>93891.11997</v>
      </c>
      <c r="W60" s="10">
        <v>57360.35108</v>
      </c>
      <c r="X60" s="10"/>
      <c r="Y60" s="10">
        <v>35483.124233000002</v>
      </c>
      <c r="Z60" s="10"/>
      <c r="AA60" s="10"/>
      <c r="AB60" s="10"/>
    </row>
    <row r="61" spans="1:28" x14ac:dyDescent="0.35">
      <c r="A61" s="8">
        <v>46104</v>
      </c>
      <c r="B61" s="10">
        <v>215203200.34327</v>
      </c>
      <c r="C61" s="10">
        <v>79553789.373840004</v>
      </c>
      <c r="D61" s="10">
        <v>23840160.549699999</v>
      </c>
      <c r="E61" s="10">
        <v>3343981.84675</v>
      </c>
      <c r="F61" s="10">
        <v>173655.15474999999</v>
      </c>
      <c r="G61" s="10">
        <v>687026.22869999998</v>
      </c>
      <c r="H61" s="10">
        <v>319606.03866999998</v>
      </c>
      <c r="I61" s="10">
        <v>1992413.6011999999</v>
      </c>
      <c r="J61" s="10">
        <v>996901.054</v>
      </c>
      <c r="K61" s="10"/>
      <c r="L61" s="10"/>
      <c r="M61" s="10">
        <v>240389.67246999999</v>
      </c>
      <c r="N61" s="10"/>
      <c r="O61" s="10">
        <v>610732.31713500002</v>
      </c>
      <c r="P61" s="10"/>
      <c r="Q61" s="10">
        <v>155288.6403</v>
      </c>
      <c r="R61" s="10">
        <v>72846.891468000002</v>
      </c>
      <c r="S61" s="10">
        <v>211418.2469</v>
      </c>
      <c r="T61" s="10">
        <v>152541.1777</v>
      </c>
      <c r="U61" s="10"/>
      <c r="V61" s="10">
        <v>76472.806979999994</v>
      </c>
      <c r="W61" s="10">
        <v>95702.77403</v>
      </c>
      <c r="X61" s="10"/>
      <c r="Y61" s="10">
        <v>34033.967269000001</v>
      </c>
      <c r="Z61" s="10"/>
      <c r="AA61" s="10"/>
      <c r="AB61" s="10"/>
    </row>
    <row r="62" spans="1:28" x14ac:dyDescent="0.35">
      <c r="A62" s="8">
        <v>46103</v>
      </c>
      <c r="B62" s="10">
        <v>51468332.56408</v>
      </c>
      <c r="C62" s="10">
        <v>9324830.3393300008</v>
      </c>
      <c r="D62" s="10">
        <v>7472374.4607300004</v>
      </c>
      <c r="E62" s="10">
        <v>138304.20332</v>
      </c>
      <c r="F62" s="10">
        <v>202575.15620999999</v>
      </c>
      <c r="G62" s="10">
        <v>293086.26689999999</v>
      </c>
      <c r="H62" s="10">
        <v>29434.382529999999</v>
      </c>
      <c r="I62" s="10">
        <v>1206436.6317</v>
      </c>
      <c r="J62" s="10">
        <v>844252.91899999999</v>
      </c>
      <c r="K62" s="10"/>
      <c r="L62" s="10"/>
      <c r="M62" s="10">
        <v>75519.304260000004</v>
      </c>
      <c r="N62" s="10"/>
      <c r="O62" s="10">
        <v>578178.288573</v>
      </c>
      <c r="P62" s="10"/>
      <c r="Q62" s="10">
        <v>92937.992800000007</v>
      </c>
      <c r="R62" s="10">
        <v>55158.086686000002</v>
      </c>
      <c r="S62" s="10">
        <v>67107.148199999996</v>
      </c>
      <c r="T62" s="10">
        <v>32617.9094</v>
      </c>
      <c r="U62" s="10"/>
      <c r="V62" s="10">
        <v>62015.88495</v>
      </c>
      <c r="W62" s="10">
        <v>30484.91691</v>
      </c>
      <c r="X62" s="10"/>
      <c r="Y62" s="10">
        <v>30196.386015</v>
      </c>
      <c r="Z62" s="10"/>
      <c r="AA62" s="10"/>
      <c r="AB62" s="10"/>
    </row>
    <row r="63" spans="1:28" x14ac:dyDescent="0.35">
      <c r="A63" s="8">
        <v>46102</v>
      </c>
      <c r="B63" s="10">
        <v>12442498.35421</v>
      </c>
      <c r="C63" s="10">
        <v>658959.59669999999</v>
      </c>
      <c r="D63" s="10">
        <v>3888913.3777999999</v>
      </c>
      <c r="E63" s="10">
        <v>28248.49754</v>
      </c>
      <c r="F63" s="10">
        <v>57479.367539999999</v>
      </c>
      <c r="G63" s="10">
        <v>35699.074200000003</v>
      </c>
      <c r="H63" s="10">
        <v>15817.271549999999</v>
      </c>
      <c r="I63" s="10">
        <v>627970.09089999995</v>
      </c>
      <c r="J63" s="10">
        <v>754699.87199999997</v>
      </c>
      <c r="K63" s="10"/>
      <c r="L63" s="10"/>
      <c r="M63" s="10">
        <v>39827.251579999996</v>
      </c>
      <c r="N63" s="10"/>
      <c r="O63" s="10">
        <v>109321.34309900001</v>
      </c>
      <c r="P63" s="10"/>
      <c r="Q63" s="10">
        <v>73859.319199999998</v>
      </c>
      <c r="R63" s="10">
        <v>51613.625689</v>
      </c>
      <c r="S63" s="10">
        <v>44016.570200000002</v>
      </c>
      <c r="T63" s="10">
        <v>54555.084730000002</v>
      </c>
      <c r="U63" s="10"/>
      <c r="V63" s="10">
        <v>60623.887280000003</v>
      </c>
      <c r="W63" s="10">
        <v>27204.888849999999</v>
      </c>
      <c r="X63" s="10"/>
      <c r="Y63" s="10">
        <v>31353.674634999999</v>
      </c>
      <c r="Z63" s="10"/>
      <c r="AA63" s="10"/>
      <c r="AB63" s="10"/>
    </row>
    <row r="64" spans="1:28" x14ac:dyDescent="0.35">
      <c r="A64" s="8">
        <v>46101</v>
      </c>
      <c r="B64" s="10">
        <v>58549773.75457</v>
      </c>
      <c r="C64" s="10">
        <v>81198415.001890004</v>
      </c>
      <c r="D64" s="10">
        <v>9182926.7850700002</v>
      </c>
      <c r="E64" s="10">
        <v>664902.14087</v>
      </c>
      <c r="F64" s="10">
        <v>1869732.8008000001</v>
      </c>
      <c r="G64" s="10">
        <v>9071.7186999999994</v>
      </c>
      <c r="H64" s="10">
        <v>112388.80875</v>
      </c>
      <c r="I64" s="10">
        <v>2796656.0671000001</v>
      </c>
      <c r="J64" s="10">
        <v>509662.92</v>
      </c>
      <c r="K64" s="10"/>
      <c r="L64" s="10"/>
      <c r="M64" s="10">
        <v>138182.54308999999</v>
      </c>
      <c r="N64" s="10"/>
      <c r="O64" s="10">
        <v>109751.597718</v>
      </c>
      <c r="P64" s="10"/>
      <c r="Q64" s="10">
        <v>78516.590200000006</v>
      </c>
      <c r="R64" s="10">
        <v>105297.687762</v>
      </c>
      <c r="S64" s="10">
        <v>211706.28039999999</v>
      </c>
      <c r="T64" s="10">
        <v>116698.00664000001</v>
      </c>
      <c r="U64" s="10"/>
      <c r="V64" s="10">
        <v>117708.1532</v>
      </c>
      <c r="W64" s="10">
        <v>47461.850550000003</v>
      </c>
      <c r="X64" s="10"/>
      <c r="Y64" s="10">
        <v>28920.942758000001</v>
      </c>
      <c r="Z64" s="10"/>
      <c r="AA64" s="10"/>
      <c r="AB64" s="10"/>
    </row>
    <row r="65" spans="1:28" x14ac:dyDescent="0.35">
      <c r="A65" s="8">
        <v>46100</v>
      </c>
      <c r="B65" s="10">
        <v>89880322.906079993</v>
      </c>
      <c r="C65" s="10">
        <v>137770951.23054999</v>
      </c>
      <c r="D65" s="10">
        <v>14240434.787599999</v>
      </c>
      <c r="E65" s="10">
        <v>966906.37202000001</v>
      </c>
      <c r="F65" s="10">
        <v>167052.25943999999</v>
      </c>
      <c r="G65" s="10">
        <v>25666.184000000001</v>
      </c>
      <c r="H65" s="10">
        <v>83438.170419999995</v>
      </c>
      <c r="I65" s="10">
        <v>4737300.4088000003</v>
      </c>
      <c r="J65" s="10">
        <v>592902.47100000002</v>
      </c>
      <c r="K65" s="10"/>
      <c r="L65" s="10"/>
      <c r="M65" s="10">
        <v>96309.050329999998</v>
      </c>
      <c r="N65" s="10"/>
      <c r="O65" s="10">
        <v>299195.553931</v>
      </c>
      <c r="P65" s="10"/>
      <c r="Q65" s="10">
        <v>97941.398300000001</v>
      </c>
      <c r="R65" s="10">
        <v>108261.63016</v>
      </c>
      <c r="S65" s="10">
        <v>190889.16260000001</v>
      </c>
      <c r="T65" s="10">
        <v>123588.37487</v>
      </c>
      <c r="U65" s="10"/>
      <c r="V65" s="10">
        <v>117428.62174</v>
      </c>
      <c r="W65" s="10">
        <v>63732.101049999997</v>
      </c>
      <c r="X65" s="10"/>
      <c r="Y65" s="10">
        <v>34138.020869</v>
      </c>
      <c r="Z65" s="10"/>
      <c r="AA65" s="10"/>
      <c r="AB65" s="10"/>
    </row>
    <row r="66" spans="1:28" x14ac:dyDescent="0.35">
      <c r="A66" s="8">
        <v>46099</v>
      </c>
      <c r="B66" s="10">
        <v>94062437.083729997</v>
      </c>
      <c r="C66" s="10">
        <v>151457182.62963</v>
      </c>
      <c r="D66" s="10">
        <v>12205440.237159999</v>
      </c>
      <c r="E66" s="10">
        <v>329727.68307999999</v>
      </c>
      <c r="F66" s="10">
        <v>153166.91649</v>
      </c>
      <c r="G66" s="10">
        <v>33625.969899999996</v>
      </c>
      <c r="H66" s="10">
        <v>37730.779719999999</v>
      </c>
      <c r="I66" s="10">
        <v>406744.47369999997</v>
      </c>
      <c r="J66" s="10">
        <v>833002.65</v>
      </c>
      <c r="K66" s="10"/>
      <c r="L66" s="10"/>
      <c r="M66" s="10">
        <v>91403.320330000002</v>
      </c>
      <c r="N66" s="10"/>
      <c r="O66" s="10">
        <v>38330.892082999999</v>
      </c>
      <c r="P66" s="10"/>
      <c r="Q66" s="10">
        <v>79782.578699999998</v>
      </c>
      <c r="R66" s="10">
        <v>88337.436073000004</v>
      </c>
      <c r="S66" s="10">
        <v>131596.8389</v>
      </c>
      <c r="T66" s="10">
        <v>63454.713539999997</v>
      </c>
      <c r="U66" s="10"/>
      <c r="V66" s="10">
        <v>67689.603860000003</v>
      </c>
      <c r="W66" s="10">
        <v>141472.89321000001</v>
      </c>
      <c r="X66" s="10"/>
      <c r="Y66" s="10">
        <v>42301.561136999997</v>
      </c>
      <c r="Z66" s="10"/>
      <c r="AA66" s="10"/>
      <c r="AB66" s="10"/>
    </row>
    <row r="67" spans="1:28" x14ac:dyDescent="0.35">
      <c r="A67" s="8">
        <v>46098</v>
      </c>
      <c r="B67" s="10">
        <v>88220442.761150002</v>
      </c>
      <c r="C67" s="10">
        <v>89510157.689659998</v>
      </c>
      <c r="D67" s="10">
        <v>6863468.0472900001</v>
      </c>
      <c r="E67" s="10">
        <v>462340.39052000002</v>
      </c>
      <c r="F67" s="10">
        <v>14879.60932</v>
      </c>
      <c r="G67" s="10">
        <v>20916.303800000002</v>
      </c>
      <c r="H67" s="10">
        <v>18092.06898</v>
      </c>
      <c r="I67" s="10">
        <v>1580686.2542999999</v>
      </c>
      <c r="J67" s="10">
        <v>1387446.7450000001</v>
      </c>
      <c r="K67" s="10"/>
      <c r="L67" s="10"/>
      <c r="M67" s="10">
        <v>198661.87989000001</v>
      </c>
      <c r="N67" s="10"/>
      <c r="O67" s="10">
        <v>22669.412323</v>
      </c>
      <c r="P67" s="10"/>
      <c r="Q67" s="10">
        <v>48342.534500000002</v>
      </c>
      <c r="R67" s="10">
        <v>67672.692498999997</v>
      </c>
      <c r="S67" s="10">
        <v>71871.528099999996</v>
      </c>
      <c r="T67" s="10">
        <v>496355.69282</v>
      </c>
      <c r="U67" s="10"/>
      <c r="V67" s="10">
        <v>60213.658089999997</v>
      </c>
      <c r="W67" s="10">
        <v>42301.699780000003</v>
      </c>
      <c r="X67" s="10"/>
      <c r="Y67" s="10">
        <v>37945.127883000001</v>
      </c>
      <c r="Z67" s="10"/>
      <c r="AA67" s="10"/>
      <c r="AB67" s="10"/>
    </row>
    <row r="68" spans="1:28" x14ac:dyDescent="0.35">
      <c r="A68" s="8">
        <v>46097</v>
      </c>
      <c r="B68" s="10">
        <v>103928471.42066</v>
      </c>
      <c r="C68" s="10">
        <v>72496225.857160002</v>
      </c>
      <c r="D68" s="10">
        <v>8670835.5048900004</v>
      </c>
      <c r="E68" s="10">
        <v>338236.27341999998</v>
      </c>
      <c r="F68" s="10">
        <v>50631.578439999997</v>
      </c>
      <c r="G68" s="10">
        <v>46223.961000000003</v>
      </c>
      <c r="H68" s="10">
        <v>68688.166490000003</v>
      </c>
      <c r="I68" s="10"/>
      <c r="J68" s="10">
        <v>844311.60600000003</v>
      </c>
      <c r="K68" s="10"/>
      <c r="L68" s="10"/>
      <c r="M68" s="10">
        <v>1150693.00988</v>
      </c>
      <c r="N68" s="10"/>
      <c r="O68" s="10">
        <v>124257.51401699999</v>
      </c>
      <c r="P68" s="10"/>
      <c r="Q68" s="10">
        <v>78331.235499999995</v>
      </c>
      <c r="R68" s="10">
        <v>51199.671890999998</v>
      </c>
      <c r="S68" s="10">
        <v>106572.8769</v>
      </c>
      <c r="T68" s="10">
        <v>137045.84491000001</v>
      </c>
      <c r="U68" s="10"/>
      <c r="V68" s="10">
        <v>65199.296860000002</v>
      </c>
      <c r="W68" s="10">
        <v>74838.703890000004</v>
      </c>
      <c r="X68" s="10"/>
      <c r="Y68" s="10">
        <v>31088.459736000001</v>
      </c>
      <c r="Z68" s="10"/>
      <c r="AA68" s="10"/>
      <c r="AB68" s="10"/>
    </row>
    <row r="69" spans="1:28" x14ac:dyDescent="0.35">
      <c r="A69" s="8">
        <v>46096</v>
      </c>
      <c r="B69" s="10">
        <v>21760176.15151</v>
      </c>
      <c r="C69" s="10">
        <v>5365478.4977900004</v>
      </c>
      <c r="D69" s="10">
        <v>10971992.353189999</v>
      </c>
      <c r="E69" s="10">
        <v>80697.194560000004</v>
      </c>
      <c r="F69" s="10">
        <v>109860.81945</v>
      </c>
      <c r="G69" s="10">
        <v>26114.8249</v>
      </c>
      <c r="H69" s="10">
        <v>60511.563470000001</v>
      </c>
      <c r="I69" s="10"/>
      <c r="J69" s="10">
        <v>191495.25</v>
      </c>
      <c r="K69" s="10"/>
      <c r="L69" s="10"/>
      <c r="M69" s="10">
        <v>344250.71214999998</v>
      </c>
      <c r="N69" s="10"/>
      <c r="O69" s="10">
        <v>14267.961416</v>
      </c>
      <c r="P69" s="10"/>
      <c r="Q69" s="10">
        <v>46553.819100000001</v>
      </c>
      <c r="R69" s="10">
        <v>260487.520425</v>
      </c>
      <c r="S69" s="10">
        <v>55554.998800000001</v>
      </c>
      <c r="T69" s="10">
        <v>36903.082340000001</v>
      </c>
      <c r="U69" s="10"/>
      <c r="V69" s="10">
        <v>60588.354240000001</v>
      </c>
      <c r="W69" s="10">
        <v>25674.770710000001</v>
      </c>
      <c r="X69" s="10"/>
      <c r="Y69" s="10">
        <v>31759.862851000002</v>
      </c>
      <c r="Z69" s="10"/>
      <c r="AA69" s="10"/>
      <c r="AB69" s="10"/>
    </row>
    <row r="70" spans="1:28" x14ac:dyDescent="0.35">
      <c r="A70" s="8">
        <v>46095</v>
      </c>
      <c r="B70" s="10">
        <v>13597547.34058</v>
      </c>
      <c r="C70" s="10">
        <v>542984.25794000004</v>
      </c>
      <c r="D70" s="10">
        <v>8334496.9252699995</v>
      </c>
      <c r="E70" s="10">
        <v>63015.955520000003</v>
      </c>
      <c r="F70" s="10">
        <v>607807.84291000001</v>
      </c>
      <c r="G70" s="10">
        <v>77634.460699999996</v>
      </c>
      <c r="H70" s="10">
        <v>7273.1511399999999</v>
      </c>
      <c r="I70" s="10"/>
      <c r="J70" s="10">
        <v>663114.48</v>
      </c>
      <c r="K70" s="10"/>
      <c r="L70" s="10"/>
      <c r="M70" s="10">
        <v>33756.630539999998</v>
      </c>
      <c r="N70" s="10"/>
      <c r="O70" s="10">
        <v>42290.113465000002</v>
      </c>
      <c r="P70" s="10"/>
      <c r="Q70" s="10">
        <v>42124.365899999997</v>
      </c>
      <c r="R70" s="10">
        <v>88566.047244999994</v>
      </c>
      <c r="S70" s="10">
        <v>147228.6477</v>
      </c>
      <c r="T70" s="10">
        <v>34388.698839999997</v>
      </c>
      <c r="U70" s="10"/>
      <c r="V70" s="10">
        <v>61472.152549999999</v>
      </c>
      <c r="W70" s="10">
        <v>27393.350569999999</v>
      </c>
      <c r="X70" s="10"/>
      <c r="Y70" s="10">
        <v>27928.861631</v>
      </c>
      <c r="Z70" s="10"/>
      <c r="AA70" s="10"/>
      <c r="AB7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CEX (wide)</vt:lpstr>
      <vt:lpstr>Extended (wide)</vt:lpstr>
      <vt:lpstr>GRVT (wide)</vt:lpstr>
      <vt:lpstr>Pacifica (wide)</vt:lpstr>
      <vt:lpstr>CEX Indices</vt:lpstr>
      <vt:lpstr>Apex (wide)</vt:lpstr>
      <vt:lpstr>Aster (wide)</vt:lpstr>
      <vt:lpstr>EdgeX (wide)</vt:lpstr>
      <vt:lpstr>Avantis (wide)</vt:lpstr>
      <vt:lpstr>Ostium (wide)</vt:lpstr>
      <vt:lpstr>Lighter (wide)</vt:lpstr>
      <vt:lpstr>HIP-3 (wide)</vt:lpstr>
      <vt:lpstr>April 2026 Summary</vt:lpstr>
      <vt:lpstr>May 1-20 2026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Sanskar Chindalia</cp:lastModifiedBy>
  <cp:revision>0</cp:revision>
  <dcterms:created xsi:type="dcterms:W3CDTF">2026-06-15T09:59:23Z</dcterms:created>
  <dcterms:modified xsi:type="dcterms:W3CDTF">2026-06-16T09:51:46Z</dcterms:modified>
  <dc:language>en-US</dc:language>
</cp:coreProperties>
</file>