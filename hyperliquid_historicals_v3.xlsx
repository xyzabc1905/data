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ources &amp; Color Key" sheetId="1" state="visible" r:id="rId3"/>
    <sheet name="2. Column Sources" sheetId="2" state="visible" r:id="rId4"/>
    <sheet name="3. Daily Data" sheetId="3" state="visible" r:id="rId5"/>
    <sheet name="4. Monthly Summary" sheetId="4" state="visible" r:id="rId6"/>
    <sheet name="5. Buyback Reconciliation" sheetId="5" state="visible" r:id="rId7"/>
    <sheet name="6. HIP-3 by Asset Clas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<sst xmlns="http://schemas.openxmlformats.org/spreadsheetml/2006/main" count="853" uniqueCount="725">
  <si>
    <t xml:space="preserve">DATA SOURCES &amp; COLOR CODING</t>
  </si>
  <si>
    <t xml:space="preserve">Captured 2026-05-20 from public APIs. Color of each column header indicates source.</t>
  </si>
  <si>
    <t xml:space="preserve">Color</t>
  </si>
  <si>
    <t xml:space="preserve">Source</t>
  </si>
  <si>
    <t xml:space="preserve">What &amp; URL</t>
  </si>
  <si>
    <t xml:space="preserve"> BLUE </t>
  </si>
  <si>
    <t xml:space="preserve">DefiLlama</t>
  </si>
  <si>
    <t xml:space="preserve">https://api.llama.fi/summary/fees/hyperliquid + /summary/dexs/hyperliquid + /protocol perp page</t>
  </si>
  <si>
    <t xml:space="preserve"> GREEN </t>
  </si>
  <si>
    <t xml:space="preserve">Loris Tools</t>
  </si>
  <si>
    <t xml:space="preserve">https://loris.tools/hip3 — internal API /api/hip3-analytics/dex-detail</t>
  </si>
  <si>
    <t xml:space="preserve"> ORANGE </t>
  </si>
  <si>
    <t xml:space="preserve">On-Chain (HL info API)</t>
  </si>
  <si>
    <t xml:space="preserve">https://api.hyperliquid.xyz/info — portfolio of AF address 0xfefefefefefefefefefefefefefefefefefefefe</t>
  </si>
  <si>
    <t xml:space="preserve"> YELLOW </t>
  </si>
  <si>
    <t xml:space="preserve">Calculated</t>
  </si>
  <si>
    <t xml:space="preserve">Derived from other columns — formula shown in column header note</t>
  </si>
  <si>
    <t xml:space="preserve">ANSWERS TO YOUR FOLLOW-UP QUESTIONS</t>
  </si>
  <si>
    <t xml:space="preserve">Q1: What is 'unit protocol fees'?</t>
  </si>
  <si>
    <t xml:space="preserve">If you mean per-unit (per-trade) fees: Hyperliquid's standard schedule is 0-4.5 bps taker / -1 to +1.5 bps maker for core perps. HIP-3 markets charge 2x normal (or 10% of normal in 'growth mode'). Spot is ~3-4 bps. If you mean Hyper Unit (the BTC/ETH/SOL bridge protocol): Unit charges 0.05% on deposits/withdrawals. Unit fees go to 'Unit guardians' (bridge operators), NOT to Hyperliquid's AF — so they don't affect HYPE buybacks.</t>
  </si>
  <si>
    <t xml:space="preserve">Q2: Why is our revenue not matching DefiLlama?</t>
  </si>
  <si>
    <t xml:space="preserve">DefiLlama exposes THREE different revenue concepts: (1) 'dailyFees' = total gross fees with breakdown (Perp+Spot+HLP) = $1,272M for 2025-2026; (2) 'dailyRevenue' = perp+spot revenue (HLP excluded) = $1,161.6M all-time; (3) 'dailyHoldersRevenue' = same as #2 = $1,161.6M. We were using calc revenue = Total Fees − HLP − Deployer fees = $1,247.6M. The gap between $1,247.6M (calc) and $1,161.6M (DefiLlama Revenue) is $85.9M. WHY: DefiLlama's adapter excludes additional things our calc doesn't account for: liquidation fees rebated to insurance fund, some maker rebates, fee discounts for stakers, and possibly some HIP-3 deployer fees we double-count.</t>
  </si>
  <si>
    <t xml:space="preserve">Q3: Add perp_revenue and spot_revenue columns</t>
  </si>
  <si>
    <t xml:space="preserve">DONE — see 'Daily Data' tab. perp_revenue_API and spot_revenue_API columns added from DefiLlama dailyRevenue endpoint. Compared to our calculated versions to detect drift.</t>
  </si>
  <si>
    <t xml:space="preserve">Q4: Formula vs API value side-by-side</t>
  </si>
  <si>
    <t xml:space="preserve">DONE — for each metric where DefiLlama provides both, we show calc version (yellow) and API version (blue). Variance column shows the gap.</t>
  </si>
  <si>
    <t xml:space="preserve">Q5: Color code the Excel</t>
  </si>
  <si>
    <t xml:space="preserve">DONE — header rows colored by source (blue/green/orange/yellow).</t>
  </si>
  <si>
    <t xml:space="preserve">Q6: ASXN AF buyback numbers</t>
  </si>
  <si>
    <t xml:space="preserve">ASXN.xyz requires browser permission (not yet granted) — but I found a BETTER source: queried the Assistance Fund's on-chain portfolio directly via Hyperliquid info API. AF address = 0xfefefefefefefefefefefefefefefefefefefefe. As of 2026-05-20: AF holds 44,381,387.56 HYPE tokens purchased for $1,105,721,104. This is the ACTUAL on-chain buyback total. DefiLlama estimate of $1,161.6M = 5% overstated vs the on-chain $1,105.7M. Both data sources are in the model — see 'Buyback Reconciliation' tab.</t>
  </si>
  <si>
    <t xml:space="preserve">CRITICAL FINDING: HYPE is NOT being burned by the AF!</t>
  </si>
  <si>
    <t xml:space="preserve">Only ~779,190 HYPE has been actually burned all-time (from HyperEVM gas + HIP-1 auctions + spot non-USDC fees). The 44.4M HYPE the AF has 'bought back' is HELD in the AF wallet, not destroyed. Token tracker sites that show 'X HYPE burned' are conflating buyback-and-hold with burn. The community proposal to actually burn the AF holdings was discussed but not yet executed. Current chain state: max supply 1,000,000,000, total supply 999,220,810 (so 779K burned), circulating 298,699,234.</t>
  </si>
  <si>
    <t xml:space="preserve">COLUMN-BY-COLUMN SOURCE TABLE</t>
  </si>
  <si>
    <t xml:space="preserve">Column Name</t>
  </si>
  <si>
    <t xml:space="preserve">Description / Formula</t>
  </si>
  <si>
    <t xml:space="preserve">date</t>
  </si>
  <si>
    <t xml:space="preserve">—</t>
  </si>
  <si>
    <t xml:space="preserve">Daily timestamp (YYYY-MM-DD)</t>
  </si>
  <si>
    <t xml:space="preserve">perp_volume_usd</t>
  </si>
  <si>
    <t xml:space="preserve">Perp notional volume. INCLUDES HIP-3.</t>
  </si>
  <si>
    <t xml:space="preserve">hip3_volume_usd</t>
  </si>
  <si>
    <t xml:space="preserve">Loris</t>
  </si>
  <si>
    <t xml:space="preserve">Sum of HIP-3 volume across all 7 active DEXs</t>
  </si>
  <si>
    <t xml:space="preserve">core_perp_volume_calc</t>
  </si>
  <si>
    <t xml:space="preserve">Calc</t>
  </si>
  <si>
    <t xml:space="preserve">Calc: perp_volume − hip3_volume</t>
  </si>
  <si>
    <t xml:space="preserve">spot_volume_usd</t>
  </si>
  <si>
    <t xml:space="preserve">DefiLlama spot/CLOB volume</t>
  </si>
  <si>
    <t xml:space="preserve">hip3_vol_equities_usd</t>
  </si>
  <si>
    <t xml:space="preserve">Trade[XYZ] DEX (TSLA, AAPL, etc.)</t>
  </si>
  <si>
    <t xml:space="preserve">hip3_vol_prelaunch_usd</t>
  </si>
  <si>
    <t xml:space="preserve">Ventuals DEX (pre-launch markets)</t>
  </si>
  <si>
    <t xml:space="preserve">hip3_vol_defi_usd</t>
  </si>
  <si>
    <t xml:space="preserve">Felix DEX (DeFi tokens)</t>
  </si>
  <si>
    <t xml:space="preserve">hip3_vol_longtail_usd</t>
  </si>
  <si>
    <t xml:space="preserve">HyENA DEX (long-tail crypto)</t>
  </si>
  <si>
    <t xml:space="preserve">hip3_vol_lstlrt_usd</t>
  </si>
  <si>
    <t xml:space="preserve">Kinetiq DEX (LST/LRT tokens)</t>
  </si>
  <si>
    <t xml:space="preserve">hip3_vol_crypto_usd</t>
  </si>
  <si>
    <t xml:space="preserve">Dreamcash + Paragon DEXs (crypto perps)</t>
  </si>
  <si>
    <t xml:space="preserve">Calc: = fees ===</t>
  </si>
  <si>
    <t xml:space="preserve">perp_fees_usd</t>
  </si>
  <si>
    <t xml:space="preserve">Perp gross fees, INCLUDES HIP-3</t>
  </si>
  <si>
    <t xml:space="preserve">core_perp_fees_calc</t>
  </si>
  <si>
    <t xml:space="preserve">Calc: perp_fees − hip3_gross_fees</t>
  </si>
  <si>
    <t xml:space="preserve">hip3_gross_fees_usd</t>
  </si>
  <si>
    <t xml:space="preserve">HIP-3 gross fees (before deployer split)</t>
  </si>
  <si>
    <t xml:space="preserve">hip3_deployer_fees_usd</t>
  </si>
  <si>
    <t xml:space="preserve">Deployer's portion of HIP-3 fees</t>
  </si>
  <si>
    <t xml:space="preserve">hip3_protocol_fees_calc</t>
  </si>
  <si>
    <t xml:space="preserve">Calc: hip3_gross − hip3_deployer</t>
  </si>
  <si>
    <t xml:space="preserve">spot_fees_usd</t>
  </si>
  <si>
    <t xml:space="preserve">Spot trading fees</t>
  </si>
  <si>
    <t xml:space="preserve">hlp_fees_usd</t>
  </si>
  <si>
    <t xml:space="preserve">HLP vault fees (3% of trading fees, paid to USDC depositors)</t>
  </si>
  <si>
    <t xml:space="preserve">total_gross_fees_usd</t>
  </si>
  <si>
    <t xml:space="preserve">Total: perp + spot + hlp</t>
  </si>
  <si>
    <t xml:space="preserve">Calc: = revenue (to hype holders) ===</t>
  </si>
  <si>
    <t xml:space="preserve">perp_revenue_usd_API</t>
  </si>
  <si>
    <t xml:space="preserve">From dailyRevenue endpoint — what DefiLlama considers perp revenue accruing to HYPE</t>
  </si>
  <si>
    <t xml:space="preserve">spot_revenue_usd_API</t>
  </si>
  <si>
    <t xml:space="preserve">From dailyRevenue endpoint — spot revenue to HYPE</t>
  </si>
  <si>
    <t xml:space="preserve">total_revenue_API</t>
  </si>
  <si>
    <t xml:space="preserve">Calc: perp_revenue + spot_revenue (hlp excluded)</t>
  </si>
  <si>
    <t xml:space="preserve">revenue_to_holders_calc</t>
  </si>
  <si>
    <t xml:space="preserve">Calc: total_fees − HLP − HIP-3 deployer (our internal calc)</t>
  </si>
  <si>
    <t xml:space="preserve">revenue_variance_pct</t>
  </si>
  <si>
    <t xml:space="preserve">Calc: (revenue_calc − total_revenue_API) / total_revenue_API)</t>
  </si>
  <si>
    <t xml:space="preserve">Calc: = buybacks ===</t>
  </si>
  <si>
    <t xml:space="preserve">af_buyback_DefiLlama</t>
  </si>
  <si>
    <t xml:space="preserve">From dailyHoldersRevenue — DefiLlama's estimate of $ to AF</t>
  </si>
  <si>
    <t xml:space="preserve">af_account_value_onchain</t>
  </si>
  <si>
    <t xml:space="preserve">On-Chain</t>
  </si>
  <si>
    <t xml:space="preserve">AF wallet account value in $ (forward-filled from weekly snapshots)</t>
  </si>
  <si>
    <t xml:space="preserve">af_cumulative_pnl_onchain</t>
  </si>
  <si>
    <t xml:space="preserve">AF cumulative profit (HYPE appreciation on top of buybacks)</t>
  </si>
  <si>
    <t xml:space="preserve">Calc: = take rates (bps) ===</t>
  </si>
  <si>
    <t xml:space="preserve">perp_take_rate_bps</t>
  </si>
  <si>
    <t xml:space="preserve">Calc: perp_fees / perp_volume × 10,000</t>
  </si>
  <si>
    <t xml:space="preserve">core_perp_take_rate_bps</t>
  </si>
  <si>
    <t xml:space="preserve">Calc: core_perp_fees / core_perp_volume × 10,000</t>
  </si>
  <si>
    <t xml:space="preserve">hip3_take_rate_bps</t>
  </si>
  <si>
    <t xml:space="preserve">Calc: hip3_gross_fees / hip3_volume × 10,000</t>
  </si>
  <si>
    <t xml:space="preserve">spot_take_rate_bps</t>
  </si>
  <si>
    <t xml:space="preserve">Calc: spot_fees / spot_volume × 10,000</t>
  </si>
  <si>
    <t xml:space="preserve">DAILY DATA — Hyperliquid Historicals 2025-01-01 → 2026-05-20</t>
  </si>
  <si>
    <t xml:space="preserve">Date</t>
  </si>
  <si>
    <t xml:space="preserve">Perp Vol</t>
  </si>
  <si>
    <t xml:space="preserve">HIP-3 Vol</t>
  </si>
  <si>
    <t xml:space="preserve">Core Perp Vol (calc)</t>
  </si>
  <si>
    <t xml:space="preserve">Spot Vol</t>
  </si>
  <si>
    <t xml:space="preserve">HIP-3 Equities</t>
  </si>
  <si>
    <t xml:space="preserve">HIP-3 Pre-launch</t>
  </si>
  <si>
    <t xml:space="preserve">HIP-3 DeFi</t>
  </si>
  <si>
    <t xml:space="preserve">HIP-3 Long-tail</t>
  </si>
  <si>
    <t xml:space="preserve">HIP-3 LST/LRT</t>
  </si>
  <si>
    <t xml:space="preserve">HIP-3 Crypto</t>
  </si>
  <si>
    <t xml:space="preserve">Perp Fees (API)</t>
  </si>
  <si>
    <t xml:space="preserve">Core Perp Fees (calc)</t>
  </si>
  <si>
    <t xml:space="preserve">HIP-3 Gross Fees</t>
  </si>
  <si>
    <t xml:space="preserve">HIP-3 Deployer Fees</t>
  </si>
  <si>
    <t xml:space="preserve">HIP-3 Protocol Fees (calc)</t>
  </si>
  <si>
    <t xml:space="preserve">Spot Fees (API)</t>
  </si>
  <si>
    <t xml:space="preserve">HLP Fees (API)</t>
  </si>
  <si>
    <t xml:space="preserve">Total Gross Fees</t>
  </si>
  <si>
    <t xml:space="preserve">Perp Revenue (API)</t>
  </si>
  <si>
    <t xml:space="preserve">Spot Revenue (API)</t>
  </si>
  <si>
    <t xml:space="preserve">Total Revenue (API)</t>
  </si>
  <si>
    <t xml:space="preserve">Revenue to Holders (calc)</t>
  </si>
  <si>
    <t xml:space="preserve">Revenue Variance %</t>
  </si>
  <si>
    <t xml:space="preserve">AF Buyback (DefiLlama)</t>
  </si>
  <si>
    <t xml:space="preserve">AF Account Value (On-Chain)</t>
  </si>
  <si>
    <t xml:space="preserve">AF Cumulative PnL (On-Chain)</t>
  </si>
  <si>
    <t xml:space="preserve">Perp Take Rate (bps)</t>
  </si>
  <si>
    <t xml:space="preserve">Core Perp Take Rate (bps)</t>
  </si>
  <si>
    <t xml:space="preserve">HIP-3 Take Rate (bps)</t>
  </si>
  <si>
    <t xml:space="preserve">Spot Take Rate (bps)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</si>
  <si>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</si>
  <si>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</si>
  <si>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</si>
  <si>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</si>
  <si>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</si>
  <si>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</si>
  <si>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</si>
  <si>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</si>
  <si>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</si>
  <si>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</si>
  <si>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</si>
  <si>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</si>
  <si>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</si>
  <si>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</si>
  <si>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</si>
  <si>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</si>
  <si>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</si>
  <si>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</si>
  <si>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</si>
  <si>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</si>
  <si>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</si>
  <si>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</si>
  <si>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</si>
  <si>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</si>
  <si>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</si>
  <si>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</si>
  <si>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</si>
  <si>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</si>
  <si>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</si>
  <si>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</si>
  <si>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</si>
  <si>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</si>
  <si>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</si>
  <si>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</si>
  <si>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</si>
  <si>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</si>
  <si>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</si>
  <si>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</si>
  <si>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</si>
  <si>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</si>
  <si>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</si>
  <si>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</si>
  <si>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</si>
  <si>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</si>
  <si>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</si>
  <si>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</si>
  <si>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</si>
  <si>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</si>
  <si>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</si>
  <si>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</si>
  <si>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</si>
  <si>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</si>
  <si>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</si>
  <si>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</si>
  <si>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</si>
  <si>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</si>
  <si>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</si>
  <si>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</si>
  <si>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</si>
  <si>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</si>
  <si>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</si>
  <si>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</si>
  <si>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</si>
  <si>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</si>
  <si>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</si>
  <si>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</si>
  <si>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</si>
  <si>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</si>
  <si>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</si>
  <si>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</si>
  <si>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</si>
  <si>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</si>
  <si>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</si>
  <si>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</si>
  <si>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</si>
  <si>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</si>
  <si>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</si>
  <si>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</si>
  <si>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</si>
  <si>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</si>
  <si>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</si>
  <si>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</si>
  <si>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</si>
  <si>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</si>
  <si>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</si>
  <si>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</si>
  <si>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</si>
  <si>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</si>
  <si>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</si>
  <si>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</si>
  <si>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</si>
  <si>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</si>
  <si>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</si>
  <si>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</si>
  <si>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</si>
  <si>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</si>
  <si>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</si>
  <si>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</si>
  <si>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</si>
  <si>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</si>
  <si>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</si>
  <si>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</si>
  <si>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</si>
  <si>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</si>
  <si>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</si>
  <si>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</si>
  <si>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</si>
  <si>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</si>
  <si>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</si>
  <si>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</si>
  <si>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</si>
  <si>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</si>
  <si>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</si>
  <si>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</si>
  <si>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</si>
  <si>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</si>
  <si>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</si>
  <si>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</si>
  <si>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</si>
  <si>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</si>
  <si>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</si>
  <si>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</si>
  <si>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</si>
  <si>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</si>
  <si>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</si>
  <si>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</si>
  <si>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</si>
  <si>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</si>
  <si>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</si>
  <si>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</si>
  <si>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</si>
  <si>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</si>
  <si>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</si>
  <si>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</si>
  <si>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</si>
  <si>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</si>
  <si>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</si>
  <si>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</si>
  <si>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</si>
  <si>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</si>
  <si>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</si>
  <si>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</si>
  <si>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</si>
  <si>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</si>
  <si>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</si>
  <si>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</si>
  <si>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</si>
  <si>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</si>
  <si>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</si>
  <si>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</si>
  <si>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</si>
  <si>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</si>
  <si>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</si>
  <si>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</si>
  <si>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</si>
  <si>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</si>
  <si>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</si>
  <si>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</si>
  <si>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</si>
  <si>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</si>
  <si>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</si>
  <si>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</si>
  <si>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</si>
  <si>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</si>
  <si>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</si>
  <si>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</si>
  <si>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</si>
  <si>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</si>
  <si>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</si>
  <si>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</si>
  <si>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</si>
  <si>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</si>
  <si>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</si>
  <si>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</si>
  <si>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</si>
  <si>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</si>
  <si>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</si>
  <si>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</si>
  <si>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</si>
  <si>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</si>
  <si>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</si>
  <si>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</si>
  <si>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</si>
  <si>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</si>
  <si>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</si>
  <si>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</si>
  <si>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</si>
  <si>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</si>
  <si>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</si>
  <si>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</si>
  <si>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</si>
  <si>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</si>
  <si>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</si>
  <si>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</si>
  <si>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</si>
  <si>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</si>
  <si>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</si>
  <si>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</si>
  <si>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</si>
  <si>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</si>
  <si>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</si>
  <si>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</si>
  <si>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</si>
  <si>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</si>
  <si>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</si>
  <si>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</si>
  <si>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</si>
  <si>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</si>
  <si>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</si>
  <si>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</si>
  <si>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</si>
  <si>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</si>
  <si>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</si>
  <si>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</si>
  <si>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</si>
  <si>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</si>
  <si>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</si>
  <si>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</si>
  <si>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</si>
  <si>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</si>
  <si>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</si>
  <si>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</si>
  <si>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</si>
  <si>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</si>
  <si>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</si>
  <si>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</si>
  <si>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</si>
  <si>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</si>
  <si>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</si>
  <si>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</si>
  <si>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</si>
  <si>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</si>
  <si>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</si>
  <si>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</si>
  <si>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</si>
  <si>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</si>
  <si>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</si>
  <si>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</si>
  <si>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</si>
  <si>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</si>
  <si>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</si>
  <si>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</si>
  <si>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</si>
  <si>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</si>
  <si>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</si>
  <si>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</si>
  <si>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</si>
  <si>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</si>
  <si>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</si>
  <si>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</si>
  <si>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</si>
  <si>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</si>
  <si>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</si>
  <si>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</si>
  <si>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</si>
  <si>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</si>
  <si>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</si>
  <si>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</si>
  <si>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</si>
  <si>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</si>
  <si>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</si>
  <si>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</si>
  <si>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</si>
  <si>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</si>
  <si>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</si>
  <si>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</si>
  <si>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</si>
  <si>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</si>
  <si>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</si>
  <si>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</si>
  <si>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</si>
  <si>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</si>
  <si>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</si>
  <si>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</si>
  <si>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</si>
  <si>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</si>
  <si>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</si>
  <si>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</si>
  <si>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</si>
  <si>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</si>
  <si>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</si>
  <si>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</si>
  <si>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</si>
  <si>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</si>
  <si>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</si>
  <si>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</si>
  <si>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</si>
  <si>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</si>
  <si>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</si>
  <si>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</si>
  <si>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</si>
  <si>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</si>
  <si>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</si>
  <si>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</si>
  <si>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</si>
  <si>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</si>
  <si>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</si>
  <si>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</si>
  <si>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</si>
  <si>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</si>
  <si>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</si>
  <si>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</si>
  <si>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</si>
  <si>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</si>
  <si>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</si>
  <si>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</si>
  <si>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</si>
  <si>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</si>
  <si>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</si>
  <si>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</si>
  <si>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</si>
  <si>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</si>
  <si>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</si>
  <si>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</si>
  <si>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</si>
  <si>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</si>
  <si>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</si>
  <si>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</si>
  <si>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</si>
  <si>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</si>
  <si>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</si>
  <si>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</si>
  <si>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</si>
  <si>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</si>
  <si>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</si>
  <si>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</si>
  <si>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</si>
  <si>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</si>
  <si>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</si>
  <si>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</si>
  <si>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</si>
  <si>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</si>
  <si>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</si>
  <si>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</si>
  <si>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</si>
  <si>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</si>
  <si>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</si>
  <si>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</si>
  <si>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</si>
  <si>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</si>
  <si>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</si>
  <si>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</si>
  <si>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</si>
  <si>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</si>
  <si>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</si>
  <si>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</si>
  <si>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</si>
  <si>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</si>
  <si>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</si>
  <si>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</si>
  <si>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</si>
  <si>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</si>
  <si>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</si>
  <si>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</si>
  <si>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</si>
  <si>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</si>
  <si>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</si>
  <si>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</si>
  <si>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</si>
  <si>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</si>
  <si>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</si>
  <si>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</si>
  <si>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</si>
  <si>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</si>
  <si>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</si>
  <si>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</si>
  <si>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</si>
  <si>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</si>
  <si>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</si>
  <si>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</si>
  <si>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</si>
  <si>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</si>
  <si>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</si>
  <si>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</si>
  <si>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</si>
  <si>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</si>
  <si>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</si>
  <si>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</si>
  <si>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</si>
  <si>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</si>
  <si>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</si>
  <si>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</si>
  <si>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</si>
  <si>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</si>
  <si>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</si>
  <si>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</si>
  <si>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</si>
  <si>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</si>
  <si>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</si>
  <si>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</si>
  <si>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</si>
  <si>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</si>
  <si>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</si>
  <si>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</si>
  <si>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</si>
  <si>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</si>
  <si>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</si>
  <si>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</si>
  <si>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</si>
  <si>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</si>
  <si>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</si>
  <si>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</si>
  <si>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</si>
  <si>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</si>
  <si>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</si>
  <si>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</si>
  <si>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</si>
  <si>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</si>
  <si>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</si>
  <si>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</si>
  <si>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</si>
  <si>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</si>
  <si>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</si>
  <si>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</si>
  <si>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</si>
  <si>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</si>
  <si>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</si>
  <si>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</si>
  <si>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</si>
  <si>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</si>
  <si>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</si>
  <si>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</si>
  <si>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</si>
  <si>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</si>
  <si>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</si>
  <si>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</si>
  <si>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</si>
  <si>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</si>
  <si>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</si>
  <si>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</si>
  <si>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</si>
  <si>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</si>
  <si>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</si>
  <si>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</si>
  <si>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</si>
  <si>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</si>
  <si>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</si>
  <si>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</si>
  <si>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</si>
  <si>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</si>
  <si>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</si>
  <si>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</si>
  <si>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</si>
  <si>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</si>
  <si>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</si>
  <si>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</si>
  <si>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</si>
  <si>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</si>
  <si>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</si>
  <si>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</si>
  <si>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</si>
  <si>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</si>
  <si>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</si>
  <si>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</si>
  <si>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</si>
  <si>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</si>
  <si>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</si>
  <si>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</si>
  <si>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</si>
  <si>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</si>
  <si>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</si>
  <si>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</si>
  <si>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</si>
  <si>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</si>
  <si>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</si>
  <si>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</si>
  <si>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</si>
  <si>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</si>
  <si>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</si>
  <si>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</si>
  <si>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</si>
  <si>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</si>
  <si>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</si>
  <si>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</si>
  <si>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</si>
  <si>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</si>
  <si>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</si>
  <si>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</si>
  <si>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</si>
  <si>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</si>
  <si>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</si>
  <si>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</si>
  <si>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</si>
  <si>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</si>
  <si>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</si>
  <si>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</si>
  <si>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</si>
  <si>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</si>
  <si>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</si>
  <si>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</si>
  <si>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</si>
  <si>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</si>
  <si>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</si>
  <si>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</si>
  <si>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</si>
  <si>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</si>
  <si>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</si>
  <si>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</si>
  <si>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</si>
  <si>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</si>
  <si>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</si>
  <si>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</si>
  <si>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</si>
  <si>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</si>
  <si>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</si>
  <si>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MONTHLY AGGREGATES — All values in $M</t>
  </si>
  <si>
    <t xml:space="preserve">Month</t>
  </si>
  <si>
    <t xml:space="preserve">Days</t>
  </si>
  <si>
    <t xml:space="preserve">Perp Vol $M</t>
  </si>
  <si>
    <t xml:space="preserve">HIP-3 Vol $M</t>
  </si>
  <si>
    <t xml:space="preserve">Core Perp Vol $M</t>
  </si>
  <si>
    <t xml:space="preserve">Spot Vol $M</t>
  </si>
  <si>
    <t xml:space="preserve">Perp Fees $M</t>
  </si>
  <si>
    <t xml:space="preserve">HIP-3 Gross $M</t>
  </si>
  <si>
    <t xml:space="preserve">HIP-3 Deployer $M</t>
  </si>
  <si>
    <t xml:space="preserve">Core Perp Fees $M</t>
  </si>
  <si>
    <t xml:space="preserve">Spot Fees $M</t>
  </si>
  <si>
    <t xml:space="preserve">HLP Fees $M</t>
  </si>
  <si>
    <t xml:space="preserve">Total Fees $M</t>
  </si>
  <si>
    <t xml:space="preserve">Perp Rev API $M</t>
  </si>
  <si>
    <t xml:space="preserve">Spot Rev API $M</t>
  </si>
  <si>
    <t xml:space="preserve">Total Rev API $M</t>
  </si>
  <si>
    <t xml:space="preserve">Rev Calc $M</t>
  </si>
  <si>
    <t xml:space="preserve">AF Buyback DefiLlama $M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</si>
  <si>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</si>
  <si>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</si>
  <si>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</si>
  <si>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</si>
  <si>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</si>
  <si>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</si>
  <si>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</si>
  <si>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</si>
  <si>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</si>
  <si>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</si>
  <si>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</si>
  <si>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</si>
  <si>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</si>
  <si>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</si>
  <si>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</si>
  <si>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</si>
  <si>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</si>
  <si>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TOTAL</t>
  </si>
  <si>
    <t xml:space="preserve">BUYBACK RECONCILIATION: 3-Way Comparison</t>
  </si>
  <si>
    <t xml:space="preserve">Compare: Theoretical (97% of revenue) | DefiLlama Estimate | Actual On-Chain AF Spending</t>
  </si>
  <si>
    <t xml:space="preserve">HLP $M</t>
  </si>
  <si>
    <t xml:space="preserve">Net Fees to Holders $M</t>
  </si>
  <si>
    <t xml:space="preserve">Expected AF @97% $M</t>
  </si>
  <si>
    <t xml:space="preserve">DefiLlama AF $M</t>
  </si>
  <si>
    <t xml:space="preserve">On-Chain AF Δ $M (calc)</t>
  </si>
  <si>
    <t xml:space="preserve">DefiLlama vs Expected %</t>
  </si>
  <si>
    <t xml:space="preserve">On-Chain vs Expected %</t>
  </si>
  <si>
    <t xml:space="preserve">DefiLlama vs On-Chain %</t>
  </si>
  <si>
    <t xml:space="preserve">ALL-TIME ON-CHAIN ANCHORS</t>
  </si>
  <si>
    <t xml:space="preserve">AF Total HYPE Bought</t>
  </si>
  <si>
    <t xml:space="preserve">44,381,388 HYPE</t>
  </si>
  <si>
    <t xml:space="preserve">On-chain AF wallet balance</t>
  </si>
  <si>
    <t xml:space="preserve">AF Total Spent (entryNtl)</t>
  </si>
  <si>
    <t xml:space="preserve">$1,105,721,104</t>
  </si>
  <si>
    <t xml:space="preserve">Cost basis of AF's HYPE position</t>
  </si>
  <si>
    <t xml:space="preserve">AF Current Account Value</t>
  </si>
  <si>
    <t xml:space="preserve">$2,158,705,547</t>
  </si>
  <si>
    <t xml:space="preserve">Includes HYPE appreciation</t>
  </si>
  <si>
    <t xml:space="preserve">AF Unrealized PnL</t>
  </si>
  <si>
    <t xml:space="preserve">$1,052,984,443</t>
  </si>
  <si>
    <t xml:space="preserve">(account value − Cost Basis)</t>
  </si>
  <si>
    <t xml:space="preserve">DefiLlama AF Estimate</t>
  </si>
  <si>
    <t xml:space="preserve">$1,151,131,000</t>
  </si>
  <si>
    <t xml:space="preserve">5% overstated vs on-chain</t>
  </si>
  <si>
    <t xml:space="preserve">HYPE Burned (NOT in AF)</t>
  </si>
  <si>
    <t xml:space="preserve">779,190 HYPE</t>
  </si>
  <si>
    <t xml:space="preserve">Actual destruction from gas + auctions + spot non-USDC</t>
  </si>
  <si>
    <t xml:space="preserve">KEY INSIGHT</t>
  </si>
  <si>
    <t xml:space="preserve">The AF spends ~$1.1B buying HYPE but those tokens are NOT burned — they sit in the AF wallet.</t>
  </si>
  <si>
    <t xml:space="preserve">Only 779,190 HYPE has ever been truly burned (from EVM gas + HIP-1 auctions + spot non-USDC fees).</t>
  </si>
  <si>
    <t xml:space="preserve">The 'buyback' effect on price is real (44.4M HYPE removed from circulation), but supply DOES NOT shrink as much as media implies.</t>
  </si>
  <si>
    <t xml:space="preserve">If/when the proposed AF burn passes governance: max supply drops by 44.4M → 956M.</t>
  </si>
  <si>
    <t xml:space="preserve">On the variance:</t>
  </si>
  <si>
    <t xml:space="preserve">- DefiLlama estimates AF buybacks at $1.16B, on-chain says $1.10B → DefiLlama is ~5% high.</t>
  </si>
  <si>
    <t xml:space="preserve">- DefiLlama uses an indirect estimate via the fees adapter, not direct wallet tracking.</t>
  </si>
  <si>
    <t xml:space="preserve">- The on-chain entryNtl ($1.1B) is the truth — it's the exact dollar amount paid for the HYPE held.</t>
  </si>
  <si>
    <t xml:space="preserve">HIP-3 MONTHLY VOLUME BY ASSET CLASS</t>
  </si>
  <si>
    <t xml:space="preserve">US Equities $M</t>
  </si>
  <si>
    <t xml:space="preserve">Pre-launch $M</t>
  </si>
  <si>
    <t xml:space="preserve">DeFi Tokens $M</t>
  </si>
  <si>
    <t xml:space="preserve">Long-tail $M</t>
  </si>
  <si>
    <t xml:space="preserve">LST/LRT $M</t>
  </si>
  <si>
    <t xml:space="preserve">Crypto Perps $M</t>
  </si>
  <si>
    <t xml:space="preserve">TOTAL $M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</si>
</sst>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0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C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5"/>
    <col collapsed="false" customWidth="true" hidden="false" outlineLevel="0" max="3" min="3" style="1" width="7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s">
        <v>6</v>
      </c>
      <c r="C5" s="7" t="s">
        <v>7</v>
      </c>
    </row>
    <row r="6" customFormat="false" ht="15" hidden="false" customHeight="true" outlineLevel="0" collapsed="false">
      <c r="A6" s="8" t="s">
        <v>8</v>
      </c>
      <c r="B6" s="6" t="s">
        <v>9</v>
      </c>
      <c r="C6" s="7" t="s">
        <v>10</v>
      </c>
    </row>
    <row r="7" customFormat="false" ht="15" hidden="false" customHeight="true" outlineLevel="0" collapsed="false">
      <c r="A7" s="9" t="s">
        <v>11</v>
      </c>
      <c r="B7" s="6" t="s">
        <v>12</v>
      </c>
      <c r="C7" s="7" t="s">
        <v>13</v>
      </c>
    </row>
    <row r="8" customFormat="false" ht="15" hidden="false" customHeight="true" outlineLevel="0" collapsed="false">
      <c r="A8" s="10" t="s">
        <v>14</v>
      </c>
      <c r="B8" s="6" t="s">
        <v>15</v>
      </c>
      <c r="C8" s="7" t="s">
        <v>16</v>
      </c>
    </row>
    <row r="11" customFormat="false" ht="15" hidden="false" customHeight="true" outlineLevel="0" collapsed="false">
      <c r="A11" s="11" t="s">
        <v>17</v>
      </c>
    </row>
    <row r="12" customFormat="false" ht="60" hidden="false" customHeight="true" outlineLevel="0" collapsed="false">
      <c r="A12" s="12" t="s">
        <v>18</v>
      </c>
      <c r="B12" s="13" t="s">
        <v>19</v>
      </c>
      <c r="C12" s="13"/>
    </row>
    <row r="14" customFormat="false" ht="81" hidden="false" customHeight="true" outlineLevel="0" collapsed="false">
      <c r="A14" s="12" t="s">
        <v>20</v>
      </c>
      <c r="B14" s="13" t="s">
        <v>21</v>
      </c>
      <c r="C14" s="13"/>
    </row>
    <row r="16" customFormat="false" ht="60" hidden="false" customHeight="true" outlineLevel="0" collapsed="false">
      <c r="A16" s="12" t="s">
        <v>22</v>
      </c>
      <c r="B16" s="13" t="s">
        <v>23</v>
      </c>
      <c r="C16" s="13"/>
    </row>
    <row r="18" customFormat="false" ht="60" hidden="false" customHeight="true" outlineLevel="0" collapsed="false">
      <c r="A18" s="12" t="s">
        <v>24</v>
      </c>
      <c r="B18" s="13" t="s">
        <v>25</v>
      </c>
      <c r="C18" s="13"/>
    </row>
    <row r="20" customFormat="false" ht="60" hidden="false" customHeight="true" outlineLevel="0" collapsed="false">
      <c r="A20" s="12" t="s">
        <v>26</v>
      </c>
      <c r="B20" s="13" t="s">
        <v>27</v>
      </c>
      <c r="C20" s="13"/>
    </row>
    <row r="22" customFormat="false" ht="61.5" hidden="false" customHeight="true" outlineLevel="0" collapsed="false">
      <c r="A22" s="12" t="s">
        <v>28</v>
      </c>
      <c r="B22" s="13" t="s">
        <v>29</v>
      </c>
      <c r="C22" s="13"/>
    </row>
    <row r="24" customFormat="false" ht="60.75" hidden="false" customHeight="true" outlineLevel="0" collapsed="false">
      <c r="A24" s="12" t="s">
        <v>30</v>
      </c>
      <c r="B24" s="13" t="s">
        <v>31</v>
      </c>
      <c r="C24" s="13"/>
    </row>
  </sheetData>
  <mergeCells count="7">
    <mergeCell ref="B12:C12"/>
    <mergeCell ref="B14:C14"/>
    <mergeCell ref="B16:C16"/>
    <mergeCell ref="B18:C18"/>
    <mergeCell ref="B20:C20"/>
    <mergeCell ref="B22:C22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5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14" t="s">
        <v>33</v>
      </c>
      <c r="B3" s="14" t="s">
        <v>3</v>
      </c>
      <c r="C3" s="14" t="s">
        <v>34</v>
      </c>
    </row>
    <row r="4" customFormat="false" ht="15" hidden="false" customHeight="true" outlineLevel="0" collapsed="false">
      <c r="A4" s="7" t="s">
        <v>35</v>
      </c>
      <c r="B4" s="7" t="s">
        <v>36</v>
      </c>
      <c r="C4" s="3" t="s">
        <v>37</v>
      </c>
    </row>
    <row r="5" customFormat="false" ht="15" hidden="false" customHeight="true" outlineLevel="0" collapsed="false">
      <c r="A5" s="15" t="s">
        <v>38</v>
      </c>
      <c r="B5" s="15" t="s">
        <v>6</v>
      </c>
      <c r="C5" s="3" t="s">
        <v>39</v>
      </c>
    </row>
    <row r="6" customFormat="false" ht="15" hidden="false" customHeight="true" outlineLevel="0" collapsed="false">
      <c r="A6" s="16" t="s">
        <v>40</v>
      </c>
      <c r="B6" s="16" t="s">
        <v>41</v>
      </c>
      <c r="C6" s="3" t="s">
        <v>42</v>
      </c>
    </row>
    <row r="7" customFormat="false" ht="15" hidden="false" customHeight="true" outlineLevel="0" collapsed="false">
      <c r="A7" s="17" t="s">
        <v>43</v>
      </c>
      <c r="B7" s="17" t="s">
        <v>44</v>
      </c>
      <c r="C7" s="3" t="s">
        <v>45</v>
      </c>
    </row>
    <row r="8" customFormat="false" ht="15" hidden="false" customHeight="true" outlineLevel="0" collapsed="false">
      <c r="A8" s="15" t="s">
        <v>46</v>
      </c>
      <c r="B8" s="15" t="s">
        <v>6</v>
      </c>
      <c r="C8" s="3" t="s">
        <v>47</v>
      </c>
    </row>
    <row r="9" customFormat="false" ht="15" hidden="false" customHeight="true" outlineLevel="0" collapsed="false">
      <c r="A9" s="16" t="s">
        <v>48</v>
      </c>
      <c r="B9" s="16" t="s">
        <v>41</v>
      </c>
      <c r="C9" s="3" t="s">
        <v>49</v>
      </c>
    </row>
    <row r="10" customFormat="false" ht="15" hidden="false" customHeight="true" outlineLevel="0" collapsed="false">
      <c r="A10" s="16" t="s">
        <v>50</v>
      </c>
      <c r="B10" s="16" t="s">
        <v>41</v>
      </c>
      <c r="C10" s="3" t="s">
        <v>51</v>
      </c>
    </row>
    <row r="11" customFormat="false" ht="15" hidden="false" customHeight="true" outlineLevel="0" collapsed="false">
      <c r="A11" s="16" t="s">
        <v>52</v>
      </c>
      <c r="B11" s="16" t="s">
        <v>41</v>
      </c>
      <c r="C11" s="3" t="s">
        <v>53</v>
      </c>
    </row>
    <row r="12" customFormat="false" ht="15" hidden="false" customHeight="true" outlineLevel="0" collapsed="false">
      <c r="A12" s="16" t="s">
        <v>54</v>
      </c>
      <c r="B12" s="16" t="s">
        <v>41</v>
      </c>
      <c r="C12" s="3" t="s">
        <v>55</v>
      </c>
    </row>
    <row r="13" customFormat="false" ht="15" hidden="false" customHeight="true" outlineLevel="0" collapsed="false">
      <c r="A13" s="16" t="s">
        <v>56</v>
      </c>
      <c r="B13" s="16" t="s">
        <v>41</v>
      </c>
      <c r="C13" s="3" t="s">
        <v>57</v>
      </c>
    </row>
    <row r="14" customFormat="false" ht="15" hidden="false" customHeight="true" outlineLevel="0" collapsed="false">
      <c r="A14" s="16" t="s">
        <v>58</v>
      </c>
      <c r="B14" s="16" t="s">
        <v>41</v>
      </c>
      <c r="C14" s="3" t="s">
        <v>59</v>
      </c>
    </row>
    <row r="15" customFormat="false" ht="15" hidden="false" customHeight="true" outlineLevel="0" collapsed="false">
      <c r="A15" s="7"/>
      <c r="C15" s="3"/>
    </row>
    <row r="16" customFormat="false" ht="15" hidden="false" customHeight="true" outlineLevel="0" collapsed="false">
      <c r="A16" s="18" t="s">
        <v>60</v>
      </c>
      <c r="C16" s="3"/>
    </row>
    <row r="17" customFormat="false" ht="15" hidden="false" customHeight="true" outlineLevel="0" collapsed="false">
      <c r="A17" s="15" t="s">
        <v>61</v>
      </c>
      <c r="B17" s="15" t="s">
        <v>6</v>
      </c>
      <c r="C17" s="3" t="s">
        <v>62</v>
      </c>
    </row>
    <row r="18" customFormat="false" ht="15" hidden="false" customHeight="true" outlineLevel="0" collapsed="false">
      <c r="A18" s="17" t="s">
        <v>63</v>
      </c>
      <c r="B18" s="17" t="s">
        <v>44</v>
      </c>
      <c r="C18" s="3" t="s">
        <v>64</v>
      </c>
    </row>
    <row r="19" customFormat="false" ht="15" hidden="false" customHeight="true" outlineLevel="0" collapsed="false">
      <c r="A19" s="16" t="s">
        <v>65</v>
      </c>
      <c r="B19" s="16" t="s">
        <v>41</v>
      </c>
      <c r="C19" s="3" t="s">
        <v>66</v>
      </c>
    </row>
    <row r="20" customFormat="false" ht="15" hidden="false" customHeight="true" outlineLevel="0" collapsed="false">
      <c r="A20" s="16" t="s">
        <v>67</v>
      </c>
      <c r="B20" s="16" t="s">
        <v>41</v>
      </c>
      <c r="C20" s="3" t="s">
        <v>68</v>
      </c>
    </row>
    <row r="21" customFormat="false" ht="15" hidden="false" customHeight="true" outlineLevel="0" collapsed="false">
      <c r="A21" s="17" t="s">
        <v>69</v>
      </c>
      <c r="B21" s="17" t="s">
        <v>44</v>
      </c>
      <c r="C21" s="3" t="s">
        <v>70</v>
      </c>
    </row>
    <row r="22" customFormat="false" ht="15" hidden="false" customHeight="true" outlineLevel="0" collapsed="false">
      <c r="A22" s="15" t="s">
        <v>71</v>
      </c>
      <c r="B22" s="15" t="s">
        <v>6</v>
      </c>
      <c r="C22" s="3" t="s">
        <v>72</v>
      </c>
    </row>
    <row r="23" customFormat="false" ht="15" hidden="false" customHeight="true" outlineLevel="0" collapsed="false">
      <c r="A23" s="15" t="s">
        <v>73</v>
      </c>
      <c r="B23" s="15" t="s">
        <v>6</v>
      </c>
      <c r="C23" s="3" t="s">
        <v>74</v>
      </c>
    </row>
    <row r="24" customFormat="false" ht="15" hidden="false" customHeight="true" outlineLevel="0" collapsed="false">
      <c r="A24" s="15" t="s">
        <v>75</v>
      </c>
      <c r="B24" s="15" t="s">
        <v>6</v>
      </c>
      <c r="C24" s="3" t="s">
        <v>76</v>
      </c>
    </row>
    <row r="25" customFormat="false" ht="15" hidden="false" customHeight="true" outlineLevel="0" collapsed="false">
      <c r="A25" s="7"/>
      <c r="C25" s="3"/>
    </row>
    <row r="26" customFormat="false" ht="15" hidden="false" customHeight="true" outlineLevel="0" collapsed="false">
      <c r="A26" s="18" t="s">
        <v>77</v>
      </c>
      <c r="C26" s="3"/>
    </row>
    <row r="27" customFormat="false" ht="15" hidden="false" customHeight="true" outlineLevel="0" collapsed="false">
      <c r="A27" s="15" t="s">
        <v>78</v>
      </c>
      <c r="B27" s="15" t="s">
        <v>6</v>
      </c>
      <c r="C27" s="3" t="s">
        <v>79</v>
      </c>
    </row>
    <row r="28" customFormat="false" ht="15" hidden="false" customHeight="true" outlineLevel="0" collapsed="false">
      <c r="A28" s="15" t="s">
        <v>80</v>
      </c>
      <c r="B28" s="15" t="s">
        <v>6</v>
      </c>
      <c r="C28" s="3" t="s">
        <v>81</v>
      </c>
    </row>
    <row r="29" customFormat="false" ht="15" hidden="false" customHeight="true" outlineLevel="0" collapsed="false">
      <c r="A29" s="17" t="s">
        <v>82</v>
      </c>
      <c r="B29" s="17" t="s">
        <v>44</v>
      </c>
      <c r="C29" s="3" t="s">
        <v>83</v>
      </c>
    </row>
    <row r="30" customFormat="false" ht="15" hidden="false" customHeight="true" outlineLevel="0" collapsed="false">
      <c r="A30" s="17" t="s">
        <v>84</v>
      </c>
      <c r="B30" s="17" t="s">
        <v>44</v>
      </c>
      <c r="C30" s="3" t="s">
        <v>85</v>
      </c>
    </row>
    <row r="31" customFormat="false" ht="15" hidden="false" customHeight="true" outlineLevel="0" collapsed="false">
      <c r="A31" s="17" t="s">
        <v>86</v>
      </c>
      <c r="B31" s="17" t="s">
        <v>44</v>
      </c>
      <c r="C31" s="3" t="s">
        <v>87</v>
      </c>
    </row>
    <row r="32" customFormat="false" ht="15" hidden="false" customHeight="true" outlineLevel="0" collapsed="false">
      <c r="A32" s="7"/>
      <c r="C32" s="3"/>
    </row>
    <row r="33" customFormat="false" ht="15" hidden="false" customHeight="true" outlineLevel="0" collapsed="false">
      <c r="A33" s="18" t="s">
        <v>88</v>
      </c>
      <c r="C33" s="3"/>
    </row>
    <row r="34" customFormat="false" ht="15" hidden="false" customHeight="true" outlineLevel="0" collapsed="false">
      <c r="A34" s="15" t="s">
        <v>89</v>
      </c>
      <c r="B34" s="15" t="s">
        <v>6</v>
      </c>
      <c r="C34" s="3" t="s">
        <v>90</v>
      </c>
    </row>
    <row r="35" customFormat="false" ht="15" hidden="false" customHeight="true" outlineLevel="0" collapsed="false">
      <c r="A35" s="19" t="s">
        <v>91</v>
      </c>
      <c r="B35" s="19" t="s">
        <v>92</v>
      </c>
      <c r="C35" s="3" t="s">
        <v>93</v>
      </c>
    </row>
    <row r="36" customFormat="false" ht="15" hidden="false" customHeight="true" outlineLevel="0" collapsed="false">
      <c r="A36" s="19" t="s">
        <v>94</v>
      </c>
      <c r="B36" s="19" t="s">
        <v>92</v>
      </c>
      <c r="C36" s="3" t="s">
        <v>95</v>
      </c>
    </row>
    <row r="37" customFormat="false" ht="15" hidden="false" customHeight="true" outlineLevel="0" collapsed="false">
      <c r="A37" s="7"/>
      <c r="C37" s="3"/>
    </row>
    <row r="38" customFormat="false" ht="15" hidden="false" customHeight="true" outlineLevel="0" collapsed="false">
      <c r="A38" s="18" t="s">
        <v>96</v>
      </c>
      <c r="C38" s="3"/>
    </row>
    <row r="39" customFormat="false" ht="15" hidden="false" customHeight="true" outlineLevel="0" collapsed="false">
      <c r="A39" s="17" t="s">
        <v>97</v>
      </c>
      <c r="B39" s="17" t="s">
        <v>44</v>
      </c>
      <c r="C39" s="3" t="s">
        <v>98</v>
      </c>
    </row>
    <row r="40" customFormat="false" ht="15" hidden="false" customHeight="true" outlineLevel="0" collapsed="false">
      <c r="A40" s="17" t="s">
        <v>99</v>
      </c>
      <c r="B40" s="17" t="s">
        <v>44</v>
      </c>
      <c r="C40" s="3" t="s">
        <v>100</v>
      </c>
    </row>
    <row r="41" customFormat="false" ht="15" hidden="false" customHeight="true" outlineLevel="0" collapsed="false">
      <c r="A41" s="17" t="s">
        <v>101</v>
      </c>
      <c r="B41" s="17" t="s">
        <v>44</v>
      </c>
      <c r="C41" s="3" t="s">
        <v>102</v>
      </c>
    </row>
    <row r="42" customFormat="false" ht="15" hidden="false" customHeight="true" outlineLevel="0" collapsed="false">
      <c r="A42" s="17" t="s">
        <v>103</v>
      </c>
      <c r="B42" s="17" t="s">
        <v>44</v>
      </c>
      <c r="C42" s="3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1" min="2" style="1" width="16"/>
  </cols>
  <sheetData>
    <row r="1" customFormat="false" ht="17.25" hidden="false" customHeight="true" outlineLevel="0" collapsed="false">
      <c r="A1" s="2" t="s">
        <v>105</v>
      </c>
    </row>
    <row r="2" customFormat="false" ht="13.5" hidden="false" customHeight="true" outlineLevel="0" collapsed="false">
      <c r="A2" s="20" t="s">
        <v>36</v>
      </c>
      <c r="B2" s="20" t="s">
        <v>6</v>
      </c>
      <c r="C2" s="20" t="s">
        <v>41</v>
      </c>
      <c r="D2" s="20" t="s">
        <v>44</v>
      </c>
      <c r="E2" s="20" t="s">
        <v>6</v>
      </c>
      <c r="F2" s="20" t="s">
        <v>41</v>
      </c>
      <c r="G2" s="20" t="s">
        <v>41</v>
      </c>
      <c r="H2" s="20" t="s">
        <v>41</v>
      </c>
      <c r="I2" s="20" t="s">
        <v>41</v>
      </c>
      <c r="J2" s="20" t="s">
        <v>41</v>
      </c>
      <c r="K2" s="20" t="s">
        <v>41</v>
      </c>
      <c r="L2" s="20" t="s">
        <v>6</v>
      </c>
      <c r="M2" s="20" t="s">
        <v>44</v>
      </c>
      <c r="N2" s="20" t="s">
        <v>41</v>
      </c>
      <c r="O2" s="20" t="s">
        <v>41</v>
      </c>
      <c r="P2" s="20" t="s">
        <v>44</v>
      </c>
      <c r="Q2" s="20" t="s">
        <v>6</v>
      </c>
      <c r="R2" s="20" t="s">
        <v>6</v>
      </c>
      <c r="S2" s="20" t="s">
        <v>6</v>
      </c>
      <c r="T2" s="20" t="s">
        <v>6</v>
      </c>
      <c r="U2" s="20" t="s">
        <v>6</v>
      </c>
      <c r="V2" s="20" t="s">
        <v>44</v>
      </c>
      <c r="W2" s="20" t="s">
        <v>44</v>
      </c>
      <c r="X2" s="20" t="s">
        <v>44</v>
      </c>
      <c r="Y2" s="20" t="s">
        <v>6</v>
      </c>
      <c r="Z2" s="20" t="s">
        <v>92</v>
      </c>
      <c r="AA2" s="20" t="s">
        <v>92</v>
      </c>
      <c r="AB2" s="20" t="s">
        <v>44</v>
      </c>
      <c r="AC2" s="20" t="s">
        <v>44</v>
      </c>
      <c r="AD2" s="20" t="s">
        <v>44</v>
      </c>
      <c r="AE2" s="20" t="s">
        <v>44</v>
      </c>
    </row>
    <row r="3" customFormat="false" ht="36" hidden="false" customHeight="true" outlineLevel="0" collapsed="false">
      <c r="A3" s="21" t="s">
        <v>106</v>
      </c>
      <c r="B3" s="22" t="s">
        <v>107</v>
      </c>
      <c r="C3" s="23" t="s">
        <v>108</v>
      </c>
      <c r="D3" s="24" t="s">
        <v>109</v>
      </c>
      <c r="E3" s="22" t="s">
        <v>110</v>
      </c>
      <c r="F3" s="23" t="s">
        <v>111</v>
      </c>
      <c r="G3" s="23" t="s">
        <v>112</v>
      </c>
      <c r="H3" s="23" t="s">
        <v>113</v>
      </c>
      <c r="I3" s="23" t="s">
        <v>114</v>
      </c>
      <c r="J3" s="23" t="s">
        <v>115</v>
      </c>
      <c r="K3" s="23" t="s">
        <v>116</v>
      </c>
      <c r="L3" s="22" t="s">
        <v>117</v>
      </c>
      <c r="M3" s="24" t="s">
        <v>118</v>
      </c>
      <c r="N3" s="23" t="s">
        <v>119</v>
      </c>
      <c r="O3" s="23" t="s">
        <v>120</v>
      </c>
      <c r="P3" s="24" t="s">
        <v>121</v>
      </c>
      <c r="Q3" s="22" t="s">
        <v>122</v>
      </c>
      <c r="R3" s="22" t="s">
        <v>123</v>
      </c>
      <c r="S3" s="22" t="s">
        <v>124</v>
      </c>
      <c r="T3" s="22" t="s">
        <v>125</v>
      </c>
      <c r="U3" s="22" t="s">
        <v>126</v>
      </c>
      <c r="V3" s="24" t="s">
        <v>127</v>
      </c>
      <c r="W3" s="24" t="s">
        <v>128</v>
      </c>
      <c r="X3" s="24" t="s">
        <v>129</v>
      </c>
      <c r="Y3" s="22" t="s">
        <v>130</v>
      </c>
      <c r="Z3" s="25" t="s">
        <v>131</v>
      </c>
      <c r="AA3" s="25" t="s">
        <v>132</v>
      </c>
      <c r="AB3" s="24" t="s">
        <v>133</v>
      </c>
      <c r="AC3" s="24" t="s">
        <v>134</v>
      </c>
      <c r="AD3" s="24" t="s">
        <v>135</v>
      </c>
      <c r="AE3" s="24" t="s">
        <v>136</v>
      </c>
    </row>
    <row r="4" customFormat="false" ht="15" hidden="false" customHeight="true" outlineLevel="0" collapsed="false">
      <c r="A4" s="7" t="s">
        <v>137</v>
      </c>
      <c r="B4" s="26" t="n">
        <v>3514669177</v>
      </c>
      <c r="C4" s="26" t="n">
        <v>0</v>
      </c>
      <c r="D4" s="26" t="n">
        <v>3514669177</v>
      </c>
      <c r="E4" s="26" t="n">
        <v>256438336</v>
      </c>
      <c r="F4" s="26" t="n">
        <v>0</v>
      </c>
      <c r="G4" s="26" t="n">
        <v>0</v>
      </c>
      <c r="H4" s="26" t="n">
        <v>0</v>
      </c>
      <c r="I4" s="26" t="n">
        <v>0</v>
      </c>
      <c r="J4" s="26" t="n">
        <v>0</v>
      </c>
      <c r="K4" s="26" t="n">
        <v>0</v>
      </c>
      <c r="L4" s="26" t="n">
        <v>483299</v>
      </c>
      <c r="M4" s="26" t="n">
        <v>483299</v>
      </c>
      <c r="N4" s="26" t="n">
        <v>0</v>
      </c>
      <c r="O4" s="26" t="n">
        <v>0</v>
      </c>
      <c r="P4" s="26" t="n">
        <v>0</v>
      </c>
      <c r="Q4" s="26" t="n">
        <v>30141</v>
      </c>
      <c r="R4" s="26" t="n">
        <v>15396</v>
      </c>
      <c r="S4" s="26" t="n">
        <v>528836</v>
      </c>
      <c r="T4" s="26" t="n">
        <v>468800</v>
      </c>
      <c r="U4" s="26" t="n">
        <v>29237</v>
      </c>
      <c r="V4" s="26" t="n">
        <v>498037</v>
      </c>
      <c r="W4" s="26" t="n">
        <v>513440</v>
      </c>
      <c r="X4" s="27" t="n">
        <f aca="false">IF(V4=0,0,(W4-V4)/V4)</f>
        <v>0.0309274210550622</v>
      </c>
      <c r="Y4" s="26" t="n">
        <v>498037</v>
      </c>
      <c r="Z4" s="26" t="n">
        <v>0</v>
      </c>
      <c r="AA4" s="26" t="n">
        <v>0</v>
      </c>
      <c r="AB4" s="28" t="n">
        <f aca="false">IF(B4=0,0,L4/B4*10000)</f>
        <v>1.37509101329567</v>
      </c>
      <c r="AC4" s="28" t="n">
        <f aca="false">IF(D4=0,0,M4/D4*10000)</f>
        <v>1.37509101329567</v>
      </c>
      <c r="AD4" s="28" t="n">
        <f aca="false">IF(C4=0,0,N4/C4*10000)</f>
        <v>0</v>
      </c>
      <c r="AE4" s="28" t="n">
        <f aca="false">IF(E4=0,0,Q4/E4*10000)</f>
        <v>1.17537028472997</v>
      </c>
    </row>
    <row r="5" customFormat="false" ht="15" hidden="false" customHeight="true" outlineLevel="0" collapsed="false">
      <c r="A5" s="7" t="s">
        <v>138</v>
      </c>
      <c r="B5" s="26" t="n">
        <v>3637626058</v>
      </c>
      <c r="C5" s="26" t="n">
        <v>0</v>
      </c>
      <c r="D5" s="26" t="n">
        <v>3637626058</v>
      </c>
      <c r="E5" s="26" t="n">
        <v>267239456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6" t="n">
        <v>1267839</v>
      </c>
      <c r="M5" s="26" t="n">
        <v>1267839</v>
      </c>
      <c r="N5" s="26" t="n">
        <v>0</v>
      </c>
      <c r="O5" s="26" t="n">
        <v>0</v>
      </c>
      <c r="P5" s="26" t="n">
        <v>0</v>
      </c>
      <c r="Q5" s="26" t="n">
        <v>41666</v>
      </c>
      <c r="R5" s="26" t="n">
        <v>39456</v>
      </c>
      <c r="S5" s="26" t="n">
        <v>1348961</v>
      </c>
      <c r="T5" s="26" t="n">
        <v>1229804</v>
      </c>
      <c r="U5" s="26" t="n">
        <v>40416</v>
      </c>
      <c r="V5" s="26" t="n">
        <v>1270220</v>
      </c>
      <c r="W5" s="26" t="n">
        <v>1309505</v>
      </c>
      <c r="X5" s="27" t="n">
        <f aca="false">IF(V5=0,0,(W5-V5)/V5)</f>
        <v>0.0309277133095054</v>
      </c>
      <c r="Y5" s="26" t="n">
        <v>1270220</v>
      </c>
      <c r="Z5" s="26" t="n">
        <v>0</v>
      </c>
      <c r="AA5" s="26" t="n">
        <v>0</v>
      </c>
      <c r="AB5" s="28" t="n">
        <f aca="false">IF(B5=0,0,L5/B5*10000)</f>
        <v>3.48534725610875</v>
      </c>
      <c r="AC5" s="28" t="n">
        <f aca="false">IF(D5=0,0,M5/D5*10000)</f>
        <v>3.48534725610875</v>
      </c>
      <c r="AD5" s="28" t="n">
        <f aca="false">IF(C5=0,0,N5/C5*10000)</f>
        <v>0</v>
      </c>
      <c r="AE5" s="28" t="n">
        <f aca="false">IF(E5=0,0,Q5/E5*10000)</f>
        <v>1.55912605958905</v>
      </c>
    </row>
    <row r="6" customFormat="false" ht="15" hidden="false" customHeight="true" outlineLevel="0" collapsed="false">
      <c r="A6" s="7" t="s">
        <v>139</v>
      </c>
      <c r="B6" s="26" t="n">
        <v>2487155117</v>
      </c>
      <c r="C6" s="26" t="n">
        <v>0</v>
      </c>
      <c r="D6" s="26" t="n">
        <v>2487155117</v>
      </c>
      <c r="E6" s="26" t="n">
        <v>176550030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</v>
      </c>
      <c r="L6" s="26" t="n">
        <v>1374850</v>
      </c>
      <c r="M6" s="26" t="n">
        <v>1374850</v>
      </c>
      <c r="N6" s="26" t="n">
        <v>0</v>
      </c>
      <c r="O6" s="26" t="n">
        <v>0</v>
      </c>
      <c r="P6" s="26" t="n">
        <v>0</v>
      </c>
      <c r="Q6" s="26" t="n">
        <v>37005</v>
      </c>
      <c r="R6" s="26" t="n">
        <v>42237</v>
      </c>
      <c r="S6" s="26" t="n">
        <v>1454092</v>
      </c>
      <c r="T6" s="26" t="n">
        <v>1333605</v>
      </c>
      <c r="U6" s="26" t="n">
        <v>35895</v>
      </c>
      <c r="V6" s="26" t="n">
        <v>1369500</v>
      </c>
      <c r="W6" s="26" t="n">
        <v>1411855</v>
      </c>
      <c r="X6" s="27" t="n">
        <f aca="false">IF(V6=0,0,(W6-V6)/V6)</f>
        <v>0.0309273457466229</v>
      </c>
      <c r="Y6" s="26" t="n">
        <v>1369500</v>
      </c>
      <c r="Z6" s="26" t="n">
        <v>0</v>
      </c>
      <c r="AA6" s="26" t="n">
        <v>0</v>
      </c>
      <c r="AB6" s="28" t="n">
        <f aca="false">IF(B6=0,0,L6/B6*10000)</f>
        <v>5.52780158584697</v>
      </c>
      <c r="AC6" s="28" t="n">
        <f aca="false">IF(D6=0,0,M6/D6*10000)</f>
        <v>5.52780158584697</v>
      </c>
      <c r="AD6" s="28" t="n">
        <f aca="false">IF(C6=0,0,N6/C6*10000)</f>
        <v>0</v>
      </c>
      <c r="AE6" s="28" t="n">
        <f aca="false">IF(E6=0,0,Q6/E6*10000)</f>
        <v>2.09600644078055</v>
      </c>
    </row>
    <row r="7" customFormat="false" ht="15" hidden="false" customHeight="true" outlineLevel="0" collapsed="false">
      <c r="A7" s="7" t="s">
        <v>140</v>
      </c>
      <c r="B7" s="26" t="n">
        <v>2214115002</v>
      </c>
      <c r="C7" s="26" t="n">
        <v>0</v>
      </c>
      <c r="D7" s="26" t="n">
        <v>2214115002</v>
      </c>
      <c r="E7" s="26" t="n">
        <v>119410641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1049852</v>
      </c>
      <c r="M7" s="26" t="n">
        <v>1049852</v>
      </c>
      <c r="N7" s="26" t="n">
        <v>0</v>
      </c>
      <c r="O7" s="26" t="n">
        <v>0</v>
      </c>
      <c r="P7" s="26" t="n">
        <v>0</v>
      </c>
      <c r="Q7" s="26" t="n">
        <v>25377</v>
      </c>
      <c r="R7" s="26" t="n">
        <v>32375</v>
      </c>
      <c r="S7" s="26" t="n">
        <v>1107604</v>
      </c>
      <c r="T7" s="26" t="n">
        <v>1018356</v>
      </c>
      <c r="U7" s="26" t="n">
        <v>24616</v>
      </c>
      <c r="V7" s="26" t="n">
        <v>1042972</v>
      </c>
      <c r="W7" s="26" t="n">
        <v>1075229</v>
      </c>
      <c r="X7" s="27" t="n">
        <f aca="false">IF(V7=0,0,(W7-V7)/V7)</f>
        <v>0.0309279635503158</v>
      </c>
      <c r="Y7" s="26" t="n">
        <v>1042972</v>
      </c>
      <c r="Z7" s="26" t="n">
        <v>0</v>
      </c>
      <c r="AA7" s="26" t="n">
        <v>0</v>
      </c>
      <c r="AB7" s="28" t="n">
        <f aca="false">IF(B7=0,0,L7/B7*10000)</f>
        <v>4.7416326570737</v>
      </c>
      <c r="AC7" s="28" t="n">
        <f aca="false">IF(D7=0,0,M7/D7*10000)</f>
        <v>4.7416326570737</v>
      </c>
      <c r="AD7" s="28" t="n">
        <f aca="false">IF(C7=0,0,N7/C7*10000)</f>
        <v>0</v>
      </c>
      <c r="AE7" s="28" t="n">
        <f aca="false">IF(E7=0,0,Q7/E7*10000)</f>
        <v>2.1251874864318</v>
      </c>
    </row>
    <row r="8" customFormat="false" ht="15" hidden="false" customHeight="true" outlineLevel="0" collapsed="false">
      <c r="A8" s="7" t="s">
        <v>141</v>
      </c>
      <c r="B8" s="26" t="n">
        <v>4497131739</v>
      </c>
      <c r="C8" s="26" t="n">
        <v>0</v>
      </c>
      <c r="D8" s="26" t="n">
        <v>4497131739</v>
      </c>
      <c r="E8" s="26" t="n">
        <v>174388254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996395</v>
      </c>
      <c r="M8" s="26" t="n">
        <v>996395</v>
      </c>
      <c r="N8" s="26" t="n">
        <v>0</v>
      </c>
      <c r="O8" s="26" t="n">
        <v>0</v>
      </c>
      <c r="P8" s="26" t="n">
        <v>0</v>
      </c>
      <c r="Q8" s="26" t="n">
        <v>19262</v>
      </c>
      <c r="R8" s="26" t="n">
        <v>30390</v>
      </c>
      <c r="S8" s="26" t="n">
        <v>1046047</v>
      </c>
      <c r="T8" s="26" t="n">
        <v>966503</v>
      </c>
      <c r="U8" s="26" t="n">
        <v>18684</v>
      </c>
      <c r="V8" s="26" t="n">
        <v>985187</v>
      </c>
      <c r="W8" s="26" t="n">
        <v>1015657</v>
      </c>
      <c r="X8" s="27" t="n">
        <f aca="false">IF(V8=0,0,(W8-V8)/V8)</f>
        <v>0.0309281385158351</v>
      </c>
      <c r="Y8" s="26" t="n">
        <v>985187</v>
      </c>
      <c r="Z8" s="26" t="n">
        <v>0</v>
      </c>
      <c r="AA8" s="26" t="n">
        <v>0</v>
      </c>
      <c r="AB8" s="28" t="n">
        <f aca="false">IF(B8=0,0,L8/B8*10000)</f>
        <v>2.21562333021972</v>
      </c>
      <c r="AC8" s="28" t="n">
        <f aca="false">IF(D8=0,0,M8/D8*10000)</f>
        <v>2.21562333021972</v>
      </c>
      <c r="AD8" s="28" t="n">
        <f aca="false">IF(C8=0,0,N8/C8*10000)</f>
        <v>0</v>
      </c>
      <c r="AE8" s="28" t="n">
        <f aca="false">IF(E8=0,0,Q8/E8*10000)</f>
        <v>1.10454686930921</v>
      </c>
    </row>
    <row r="9" customFormat="false" ht="15" hidden="false" customHeight="true" outlineLevel="0" collapsed="false">
      <c r="A9" s="7" t="s">
        <v>142</v>
      </c>
      <c r="B9" s="26" t="n">
        <v>6975461852</v>
      </c>
      <c r="C9" s="26" t="n">
        <v>0</v>
      </c>
      <c r="D9" s="26" t="n">
        <v>6975461852</v>
      </c>
      <c r="E9" s="26" t="n">
        <v>194364069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1045371</v>
      </c>
      <c r="M9" s="26" t="n">
        <v>1045371</v>
      </c>
      <c r="N9" s="26" t="n">
        <v>0</v>
      </c>
      <c r="O9" s="26" t="n">
        <v>0</v>
      </c>
      <c r="P9" s="26" t="n">
        <v>0</v>
      </c>
      <c r="Q9" s="26" t="n">
        <v>23453</v>
      </c>
      <c r="R9" s="26" t="n">
        <v>32144</v>
      </c>
      <c r="S9" s="26" t="n">
        <v>1100968</v>
      </c>
      <c r="T9" s="26" t="n">
        <v>1014010</v>
      </c>
      <c r="U9" s="26" t="n">
        <v>22750</v>
      </c>
      <c r="V9" s="26" t="n">
        <v>1036760</v>
      </c>
      <c r="W9" s="26" t="n">
        <v>1068824</v>
      </c>
      <c r="X9" s="27" t="n">
        <f aca="false">IF(V9=0,0,(W9-V9)/V9)</f>
        <v>0.0309271191018172</v>
      </c>
      <c r="Y9" s="26" t="n">
        <v>1036760</v>
      </c>
      <c r="Z9" s="26" t="n">
        <v>0</v>
      </c>
      <c r="AA9" s="26" t="n">
        <v>0</v>
      </c>
      <c r="AB9" s="28" t="n">
        <f aca="false">IF(B9=0,0,L9/B9*10000)</f>
        <v>1.4986405519518</v>
      </c>
      <c r="AC9" s="28" t="n">
        <f aca="false">IF(D9=0,0,M9/D9*10000)</f>
        <v>1.4986405519518</v>
      </c>
      <c r="AD9" s="28" t="n">
        <f aca="false">IF(C9=0,0,N9/C9*10000)</f>
        <v>0</v>
      </c>
      <c r="AE9" s="28" t="n">
        <f aca="false">IF(E9=0,0,Q9/E9*10000)</f>
        <v>1.2066530671366</v>
      </c>
    </row>
    <row r="10" customFormat="false" ht="15" hidden="false" customHeight="true" outlineLevel="0" collapsed="false">
      <c r="A10" s="7" t="s">
        <v>143</v>
      </c>
      <c r="B10" s="26" t="n">
        <v>5885619071</v>
      </c>
      <c r="C10" s="26" t="n">
        <v>0</v>
      </c>
      <c r="D10" s="26" t="n">
        <v>5885619071</v>
      </c>
      <c r="E10" s="26" t="n">
        <v>298520602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2149311</v>
      </c>
      <c r="M10" s="26" t="n">
        <v>2149311</v>
      </c>
      <c r="N10" s="26" t="n">
        <v>0</v>
      </c>
      <c r="O10" s="26" t="n">
        <v>0</v>
      </c>
      <c r="P10" s="26" t="n">
        <v>0</v>
      </c>
      <c r="Q10" s="26" t="n">
        <v>30214</v>
      </c>
      <c r="R10" s="26" t="n">
        <v>65386</v>
      </c>
      <c r="S10" s="26" t="n">
        <v>2244911</v>
      </c>
      <c r="T10" s="26" t="n">
        <v>2084832</v>
      </c>
      <c r="U10" s="26" t="n">
        <v>29308</v>
      </c>
      <c r="V10" s="26" t="n">
        <v>2114140</v>
      </c>
      <c r="W10" s="26" t="n">
        <v>2179525</v>
      </c>
      <c r="X10" s="27" t="n">
        <f aca="false">IF(V10=0,0,(W10-V10)/V10)</f>
        <v>0.0309274693255887</v>
      </c>
      <c r="Y10" s="26" t="n">
        <v>2114140</v>
      </c>
      <c r="Z10" s="26" t="n">
        <v>0</v>
      </c>
      <c r="AA10" s="26" t="n">
        <v>0</v>
      </c>
      <c r="AB10" s="28" t="n">
        <f aca="false">IF(B10=0,0,L10/B10*10000)</f>
        <v>3.65180106641665</v>
      </c>
      <c r="AC10" s="28" t="n">
        <f aca="false">IF(D10=0,0,M10/D10*10000)</f>
        <v>3.65180106641665</v>
      </c>
      <c r="AD10" s="28" t="n">
        <f aca="false">IF(C10=0,0,N10/C10*10000)</f>
        <v>0</v>
      </c>
      <c r="AE10" s="28" t="n">
        <f aca="false">IF(E10=0,0,Q10/E10*10000)</f>
        <v>1.01212444962174</v>
      </c>
    </row>
    <row r="11" customFormat="false" ht="15" hidden="false" customHeight="true" outlineLevel="0" collapsed="false">
      <c r="A11" s="7" t="s">
        <v>144</v>
      </c>
      <c r="B11" s="26" t="n">
        <v>7196528213</v>
      </c>
      <c r="C11" s="26" t="n">
        <v>0</v>
      </c>
      <c r="D11" s="26" t="n">
        <v>7196528213</v>
      </c>
      <c r="E11" s="26" t="n">
        <v>325463853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1767943</v>
      </c>
      <c r="M11" s="26" t="n">
        <v>1767943</v>
      </c>
      <c r="N11" s="26" t="n">
        <v>0</v>
      </c>
      <c r="O11" s="26" t="n">
        <v>0</v>
      </c>
      <c r="P11" s="26" t="n">
        <v>0</v>
      </c>
      <c r="Q11" s="26" t="n">
        <v>45273</v>
      </c>
      <c r="R11" s="26" t="n">
        <v>54396</v>
      </c>
      <c r="S11" s="26" t="n">
        <v>1867612</v>
      </c>
      <c r="T11" s="26" t="n">
        <v>1714904</v>
      </c>
      <c r="U11" s="26" t="n">
        <v>43915</v>
      </c>
      <c r="V11" s="26" t="n">
        <v>1758819</v>
      </c>
      <c r="W11" s="26" t="n">
        <v>1813216</v>
      </c>
      <c r="X11" s="27" t="n">
        <f aca="false">IF(V11=0,0,(W11-V11)/V11)</f>
        <v>0.0309281398483869</v>
      </c>
      <c r="Y11" s="26" t="n">
        <v>1758819</v>
      </c>
      <c r="Z11" s="26" t="n">
        <v>0</v>
      </c>
      <c r="AA11" s="26" t="n">
        <v>0</v>
      </c>
      <c r="AB11" s="28" t="n">
        <f aca="false">IF(B11=0,0,L11/B11*10000)</f>
        <v>2.45666097272618</v>
      </c>
      <c r="AC11" s="28" t="n">
        <f aca="false">IF(D11=0,0,M11/D11*10000)</f>
        <v>2.45666097272618</v>
      </c>
      <c r="AD11" s="28" t="n">
        <f aca="false">IF(C11=0,0,N11/C11*10000)</f>
        <v>0</v>
      </c>
      <c r="AE11" s="28" t="n">
        <f aca="false">IF(E11=0,0,Q11/E11*10000)</f>
        <v>1.39103005088556</v>
      </c>
    </row>
    <row r="12" customFormat="false" ht="15" hidden="false" customHeight="true" outlineLevel="0" collapsed="false">
      <c r="A12" s="7" t="s">
        <v>145</v>
      </c>
      <c r="B12" s="26" t="n">
        <v>5106266430</v>
      </c>
      <c r="C12" s="26" t="n">
        <v>0</v>
      </c>
      <c r="D12" s="26" t="n">
        <v>5106266430</v>
      </c>
      <c r="E12" s="26" t="n">
        <v>194078337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1933268</v>
      </c>
      <c r="M12" s="26" t="n">
        <v>1933268</v>
      </c>
      <c r="N12" s="26" t="n">
        <v>0</v>
      </c>
      <c r="O12" s="26" t="n">
        <v>0</v>
      </c>
      <c r="P12" s="26" t="n">
        <v>0</v>
      </c>
      <c r="Q12" s="26" t="n">
        <v>47391</v>
      </c>
      <c r="R12" s="26" t="n">
        <v>59189</v>
      </c>
      <c r="S12" s="26" t="n">
        <v>2039848</v>
      </c>
      <c r="T12" s="26" t="n">
        <v>1875270</v>
      </c>
      <c r="U12" s="26" t="n">
        <v>45969</v>
      </c>
      <c r="V12" s="26" t="n">
        <v>1921239</v>
      </c>
      <c r="W12" s="26" t="n">
        <v>1980659</v>
      </c>
      <c r="X12" s="27" t="n">
        <f aca="false">IF(V12=0,0,(W12-V12)/V12)</f>
        <v>0.0309279584684675</v>
      </c>
      <c r="Y12" s="26" t="n">
        <v>1921239</v>
      </c>
      <c r="Z12" s="26" t="n">
        <v>0</v>
      </c>
      <c r="AA12" s="26" t="n">
        <v>0</v>
      </c>
      <c r="AB12" s="28" t="n">
        <f aca="false">IF(B12=0,0,L12/B12*10000)</f>
        <v>3.78606958039203</v>
      </c>
      <c r="AC12" s="28" t="n">
        <f aca="false">IF(D12=0,0,M12/D12*10000)</f>
        <v>3.78606958039203</v>
      </c>
      <c r="AD12" s="28" t="n">
        <f aca="false">IF(C12=0,0,N12/C12*10000)</f>
        <v>0</v>
      </c>
      <c r="AE12" s="28" t="n">
        <f aca="false">IF(E12=0,0,Q12/E12*10000)</f>
        <v>2.44184903542326</v>
      </c>
    </row>
    <row r="13" customFormat="false" ht="15" hidden="false" customHeight="true" outlineLevel="0" collapsed="false">
      <c r="A13" s="7" t="s">
        <v>146</v>
      </c>
      <c r="B13" s="26" t="n">
        <v>1912859745</v>
      </c>
      <c r="C13" s="26" t="n">
        <v>0</v>
      </c>
      <c r="D13" s="26" t="n">
        <v>1912859745</v>
      </c>
      <c r="E13" s="26" t="n">
        <v>104484914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1492881</v>
      </c>
      <c r="M13" s="26" t="n">
        <v>1492881</v>
      </c>
      <c r="N13" s="26" t="n">
        <v>0</v>
      </c>
      <c r="O13" s="26" t="n">
        <v>0</v>
      </c>
      <c r="P13" s="26" t="n">
        <v>0</v>
      </c>
      <c r="Q13" s="26" t="n">
        <v>27771</v>
      </c>
      <c r="R13" s="26" t="n">
        <v>45851</v>
      </c>
      <c r="S13" s="26" t="n">
        <v>1566503</v>
      </c>
      <c r="T13" s="26" t="n">
        <v>1448094</v>
      </c>
      <c r="U13" s="26" t="n">
        <v>26938</v>
      </c>
      <c r="V13" s="26" t="n">
        <v>1475032</v>
      </c>
      <c r="W13" s="26" t="n">
        <v>1520652</v>
      </c>
      <c r="X13" s="27" t="n">
        <f aca="false">IF(V13=0,0,(W13-V13)/V13)</f>
        <v>0.0309281425758899</v>
      </c>
      <c r="Y13" s="26" t="n">
        <v>1475032</v>
      </c>
      <c r="Z13" s="26" t="n">
        <v>0</v>
      </c>
      <c r="AA13" s="26" t="n">
        <v>0</v>
      </c>
      <c r="AB13" s="28" t="n">
        <f aca="false">IF(B13=0,0,L13/B13*10000)</f>
        <v>7.80444569395233</v>
      </c>
      <c r="AC13" s="28" t="n">
        <f aca="false">IF(D13=0,0,M13/D13*10000)</f>
        <v>7.80444569395233</v>
      </c>
      <c r="AD13" s="28" t="n">
        <f aca="false">IF(C13=0,0,N13/C13*10000)</f>
        <v>0</v>
      </c>
      <c r="AE13" s="28" t="n">
        <f aca="false">IF(E13=0,0,Q13/E13*10000)</f>
        <v>2.65789566520579</v>
      </c>
    </row>
    <row r="14" customFormat="false" ht="15" hidden="false" customHeight="true" outlineLevel="0" collapsed="false">
      <c r="A14" s="7" t="s">
        <v>147</v>
      </c>
      <c r="B14" s="26" t="n">
        <v>2103676696</v>
      </c>
      <c r="C14" s="26" t="n">
        <v>0</v>
      </c>
      <c r="D14" s="26" t="n">
        <v>2103676696</v>
      </c>
      <c r="E14" s="26" t="n">
        <v>104729289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457618</v>
      </c>
      <c r="M14" s="26" t="n">
        <v>457618</v>
      </c>
      <c r="N14" s="26" t="n">
        <v>0</v>
      </c>
      <c r="O14" s="26" t="n">
        <v>0</v>
      </c>
      <c r="P14" s="26" t="n">
        <v>0</v>
      </c>
      <c r="Q14" s="26" t="n">
        <v>14961</v>
      </c>
      <c r="R14" s="26" t="n">
        <v>14177</v>
      </c>
      <c r="S14" s="26" t="n">
        <v>486756</v>
      </c>
      <c r="T14" s="26" t="n">
        <v>443890</v>
      </c>
      <c r="U14" s="26" t="n">
        <v>14512</v>
      </c>
      <c r="V14" s="26" t="n">
        <v>458402</v>
      </c>
      <c r="W14" s="26" t="n">
        <v>472579</v>
      </c>
      <c r="X14" s="27" t="n">
        <f aca="false">IF(V14=0,0,(W14-V14)/V14)</f>
        <v>0.0309270029362874</v>
      </c>
      <c r="Y14" s="26" t="n">
        <v>458402</v>
      </c>
      <c r="Z14" s="26" t="n">
        <v>0</v>
      </c>
      <c r="AA14" s="26" t="n">
        <v>0</v>
      </c>
      <c r="AB14" s="28" t="n">
        <f aca="false">IF(B14=0,0,L14/B14*10000)</f>
        <v>2.17532475817282</v>
      </c>
      <c r="AC14" s="28" t="n">
        <f aca="false">IF(D14=0,0,M14/D14*10000)</f>
        <v>2.17532475817282</v>
      </c>
      <c r="AD14" s="28" t="n">
        <f aca="false">IF(C14=0,0,N14/C14*10000)</f>
        <v>0</v>
      </c>
      <c r="AE14" s="28" t="n">
        <f aca="false">IF(E14=0,0,Q14/E14*10000)</f>
        <v>1.42854020521423</v>
      </c>
    </row>
    <row r="15" customFormat="false" ht="15" hidden="false" customHeight="true" outlineLevel="0" collapsed="false">
      <c r="A15" s="7" t="s">
        <v>148</v>
      </c>
      <c r="B15" s="26" t="n">
        <v>7437657806</v>
      </c>
      <c r="C15" s="26" t="n">
        <v>0</v>
      </c>
      <c r="D15" s="26" t="n">
        <v>7437657806</v>
      </c>
      <c r="E15" s="26" t="n">
        <v>230154418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7" t="n">
        <f aca="false">IF(V15=0,0,(W15-V15)/V15)</f>
        <v>0</v>
      </c>
      <c r="Y15" s="26" t="n">
        <v>0</v>
      </c>
      <c r="Z15" s="26" t="n">
        <v>0</v>
      </c>
      <c r="AA15" s="26" t="n">
        <v>0</v>
      </c>
      <c r="AB15" s="28" t="n">
        <f aca="false">IF(B15=0,0,L15/B15*10000)</f>
        <v>0</v>
      </c>
      <c r="AC15" s="28" t="n">
        <f aca="false">IF(D15=0,0,M15/D15*10000)</f>
        <v>0</v>
      </c>
      <c r="AD15" s="28" t="n">
        <f aca="false">IF(C15=0,0,N15/C15*10000)</f>
        <v>0</v>
      </c>
      <c r="AE15" s="28" t="n">
        <f aca="false">IF(E15=0,0,Q15/E15*10000)</f>
        <v>0</v>
      </c>
    </row>
    <row r="16" customFormat="false" ht="15" hidden="false" customHeight="true" outlineLevel="0" collapsed="false">
      <c r="A16" s="7" t="s">
        <v>149</v>
      </c>
      <c r="B16" s="26" t="n">
        <v>4184785041</v>
      </c>
      <c r="C16" s="26" t="n">
        <v>0</v>
      </c>
      <c r="D16" s="26" t="n">
        <v>4184785041</v>
      </c>
      <c r="E16" s="26" t="n">
        <v>195123318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7" t="n">
        <f aca="false">IF(V16=0,0,(W16-V16)/V16)</f>
        <v>0</v>
      </c>
      <c r="Y16" s="26" t="n">
        <v>0</v>
      </c>
      <c r="Z16" s="26" t="n">
        <v>0</v>
      </c>
      <c r="AA16" s="26" t="n">
        <v>0</v>
      </c>
      <c r="AB16" s="28" t="n">
        <f aca="false">IF(B16=0,0,L16/B16*10000)</f>
        <v>0</v>
      </c>
      <c r="AC16" s="28" t="n">
        <f aca="false">IF(D16=0,0,M16/D16*10000)</f>
        <v>0</v>
      </c>
      <c r="AD16" s="28" t="n">
        <f aca="false">IF(C16=0,0,N16/C16*10000)</f>
        <v>0</v>
      </c>
      <c r="AE16" s="28" t="n">
        <f aca="false">IF(E16=0,0,Q16/E16*10000)</f>
        <v>0</v>
      </c>
    </row>
    <row r="17" customFormat="false" ht="15" hidden="false" customHeight="true" outlineLevel="0" collapsed="false">
      <c r="A17" s="7" t="s">
        <v>150</v>
      </c>
      <c r="B17" s="26" t="n">
        <v>5481286977</v>
      </c>
      <c r="C17" s="26" t="n">
        <v>0</v>
      </c>
      <c r="D17" s="26" t="n">
        <v>5481286977</v>
      </c>
      <c r="E17" s="26" t="n">
        <v>186174573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1243879</v>
      </c>
      <c r="M17" s="26" t="n">
        <v>1243879</v>
      </c>
      <c r="N17" s="26" t="n">
        <v>0</v>
      </c>
      <c r="O17" s="26" t="n">
        <v>0</v>
      </c>
      <c r="P17" s="26" t="n">
        <v>0</v>
      </c>
      <c r="Q17" s="26" t="n">
        <v>24324</v>
      </c>
      <c r="R17" s="26" t="n">
        <v>38194</v>
      </c>
      <c r="S17" s="26" t="n">
        <v>1306397</v>
      </c>
      <c r="T17" s="26" t="n">
        <v>1206563</v>
      </c>
      <c r="U17" s="26" t="n">
        <v>23594</v>
      </c>
      <c r="V17" s="26" t="n">
        <v>1230157</v>
      </c>
      <c r="W17" s="26" t="n">
        <v>1268203</v>
      </c>
      <c r="X17" s="27" t="n">
        <f aca="false">IF(V17=0,0,(W17-V17)/V17)</f>
        <v>0.0309277596274297</v>
      </c>
      <c r="Y17" s="26" t="n">
        <v>1230157</v>
      </c>
      <c r="Z17" s="26" t="n">
        <v>0</v>
      </c>
      <c r="AA17" s="26" t="n">
        <v>0</v>
      </c>
      <c r="AB17" s="28" t="n">
        <f aca="false">IF(B17=0,0,L17/B17*10000)</f>
        <v>2.26931924057148</v>
      </c>
      <c r="AC17" s="28" t="n">
        <f aca="false">IF(D17=0,0,M17/D17*10000)</f>
        <v>2.26931924057148</v>
      </c>
      <c r="AD17" s="28" t="n">
        <f aca="false">IF(C17=0,0,N17/C17*10000)</f>
        <v>0</v>
      </c>
      <c r="AE17" s="28" t="n">
        <f aca="false">IF(E17=0,0,Q17/E17*10000)</f>
        <v>1.30651568622102</v>
      </c>
    </row>
    <row r="18" customFormat="false" ht="15" hidden="false" customHeight="true" outlineLevel="0" collapsed="false">
      <c r="A18" s="7" t="s">
        <v>151</v>
      </c>
      <c r="B18" s="26" t="n">
        <v>5472421041</v>
      </c>
      <c r="C18" s="26" t="n">
        <v>0</v>
      </c>
      <c r="D18" s="26" t="n">
        <v>5472421041</v>
      </c>
      <c r="E18" s="26" t="n">
        <v>125668891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1245669</v>
      </c>
      <c r="M18" s="26" t="n">
        <v>1245669</v>
      </c>
      <c r="N18" s="26" t="n">
        <v>0</v>
      </c>
      <c r="O18" s="26" t="n">
        <v>0</v>
      </c>
      <c r="P18" s="26" t="n">
        <v>0</v>
      </c>
      <c r="Q18" s="26" t="n">
        <v>23915</v>
      </c>
      <c r="R18" s="26" t="n">
        <v>37801</v>
      </c>
      <c r="S18" s="26" t="n">
        <v>1307385</v>
      </c>
      <c r="T18" s="26" t="n">
        <v>1208299</v>
      </c>
      <c r="U18" s="26" t="n">
        <v>23198</v>
      </c>
      <c r="V18" s="26" t="n">
        <v>1231497</v>
      </c>
      <c r="W18" s="26" t="n">
        <v>1269584</v>
      </c>
      <c r="X18" s="27" t="n">
        <f aca="false">IF(V18=0,0,(W18-V18)/V18)</f>
        <v>0.0309273997419401</v>
      </c>
      <c r="Y18" s="26" t="n">
        <v>1231497</v>
      </c>
      <c r="Z18" s="26" t="n">
        <v>299565078.39</v>
      </c>
      <c r="AA18" s="26" t="n">
        <v>241265075.39</v>
      </c>
      <c r="AB18" s="28" t="n">
        <f aca="false">IF(B18=0,0,L18/B18*10000)</f>
        <v>2.27626673946925</v>
      </c>
      <c r="AC18" s="28" t="n">
        <f aca="false">IF(D18=0,0,M18/D18*10000)</f>
        <v>2.27626673946925</v>
      </c>
      <c r="AD18" s="28" t="n">
        <f aca="false">IF(C18=0,0,N18/C18*10000)</f>
        <v>0</v>
      </c>
      <c r="AE18" s="28" t="n">
        <f aca="false">IF(E18=0,0,Q18/E18*10000)</f>
        <v>1.90301671397737</v>
      </c>
    </row>
    <row r="19" customFormat="false" ht="15" hidden="false" customHeight="true" outlineLevel="0" collapsed="false">
      <c r="A19" s="7" t="s">
        <v>152</v>
      </c>
      <c r="B19" s="26" t="n">
        <v>5537708430</v>
      </c>
      <c r="C19" s="26" t="n">
        <v>0</v>
      </c>
      <c r="D19" s="26" t="n">
        <v>5537708430</v>
      </c>
      <c r="E19" s="26" t="n">
        <v>148144621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1677266</v>
      </c>
      <c r="M19" s="26" t="n">
        <v>1677266</v>
      </c>
      <c r="N19" s="26" t="n">
        <v>0</v>
      </c>
      <c r="O19" s="26" t="n">
        <v>0</v>
      </c>
      <c r="P19" s="26" t="n">
        <v>0</v>
      </c>
      <c r="Q19" s="26" t="n">
        <v>18602</v>
      </c>
      <c r="R19" s="26" t="n">
        <v>51162</v>
      </c>
      <c r="S19" s="26" t="n">
        <v>1747030</v>
      </c>
      <c r="T19" s="26" t="n">
        <v>1626948</v>
      </c>
      <c r="U19" s="26" t="n">
        <v>18044</v>
      </c>
      <c r="V19" s="26" t="n">
        <v>1644992</v>
      </c>
      <c r="W19" s="26" t="n">
        <v>1695868</v>
      </c>
      <c r="X19" s="27" t="n">
        <f aca="false">IF(V19=0,0,(W19-V19)/V19)</f>
        <v>0.0309278099832704</v>
      </c>
      <c r="Y19" s="26" t="n">
        <v>1644992</v>
      </c>
      <c r="Z19" s="26" t="n">
        <v>299565078.39</v>
      </c>
      <c r="AA19" s="26" t="n">
        <v>241265075.39</v>
      </c>
      <c r="AB19" s="28" t="n">
        <f aca="false">IF(B19=0,0,L19/B19*10000)</f>
        <v>3.02880879555445</v>
      </c>
      <c r="AC19" s="28" t="n">
        <f aca="false">IF(D19=0,0,M19/D19*10000)</f>
        <v>3.02880879555445</v>
      </c>
      <c r="AD19" s="28" t="n">
        <f aca="false">IF(C19=0,0,N19/C19*10000)</f>
        <v>0</v>
      </c>
      <c r="AE19" s="28" t="n">
        <f aca="false">IF(E19=0,0,Q19/E19*10000)</f>
        <v>1.25566489518374</v>
      </c>
    </row>
    <row r="20" customFormat="false" ht="15" hidden="false" customHeight="true" outlineLevel="0" collapsed="false">
      <c r="A20" s="7" t="s">
        <v>153</v>
      </c>
      <c r="B20" s="26" t="n">
        <v>9755484459</v>
      </c>
      <c r="C20" s="26" t="n">
        <v>0</v>
      </c>
      <c r="D20" s="26" t="n">
        <v>9755484459</v>
      </c>
      <c r="E20" s="26" t="n">
        <v>342126938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0</v>
      </c>
      <c r="L20" s="26" t="n">
        <v>1677802</v>
      </c>
      <c r="M20" s="26" t="n">
        <v>1677802</v>
      </c>
      <c r="N20" s="26" t="n">
        <v>0</v>
      </c>
      <c r="O20" s="26" t="n">
        <v>0</v>
      </c>
      <c r="P20" s="26" t="n">
        <v>0</v>
      </c>
      <c r="Q20" s="26" t="n">
        <v>20485</v>
      </c>
      <c r="R20" s="26" t="n">
        <v>50949</v>
      </c>
      <c r="S20" s="26" t="n">
        <v>1749236</v>
      </c>
      <c r="T20" s="26" t="n">
        <v>1627468</v>
      </c>
      <c r="U20" s="26" t="n">
        <v>19870</v>
      </c>
      <c r="V20" s="26" t="n">
        <v>1647338</v>
      </c>
      <c r="W20" s="26" t="n">
        <v>1698287</v>
      </c>
      <c r="X20" s="27" t="n">
        <f aca="false">IF(V20=0,0,(W20-V20)/V20)</f>
        <v>0.0309280791191607</v>
      </c>
      <c r="Y20" s="26" t="n">
        <v>1647338</v>
      </c>
      <c r="Z20" s="26" t="n">
        <v>299565078.39</v>
      </c>
      <c r="AA20" s="26" t="n">
        <v>241265075.39</v>
      </c>
      <c r="AB20" s="28" t="n">
        <f aca="false">IF(B20=0,0,L20/B20*10000)</f>
        <v>1.71985513077429</v>
      </c>
      <c r="AC20" s="28" t="n">
        <f aca="false">IF(D20=0,0,M20/D20*10000)</f>
        <v>1.71985513077429</v>
      </c>
      <c r="AD20" s="28" t="n">
        <f aca="false">IF(C20=0,0,N20/C20*10000)</f>
        <v>0</v>
      </c>
      <c r="AE20" s="28" t="n">
        <f aca="false">IF(E20=0,0,Q20/E20*10000)</f>
        <v>0.59875437227337</v>
      </c>
    </row>
    <row r="21" customFormat="false" ht="15" hidden="false" customHeight="true" outlineLevel="0" collapsed="false">
      <c r="A21" s="7" t="s">
        <v>154</v>
      </c>
      <c r="B21" s="26" t="n">
        <v>18903609907</v>
      </c>
      <c r="C21" s="26" t="n">
        <v>0</v>
      </c>
      <c r="D21" s="26" t="n">
        <v>18903609907</v>
      </c>
      <c r="E21" s="26" t="n">
        <v>452915269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2787442</v>
      </c>
      <c r="M21" s="26" t="n">
        <v>2787442</v>
      </c>
      <c r="N21" s="26" t="n">
        <v>0</v>
      </c>
      <c r="O21" s="26" t="n">
        <v>0</v>
      </c>
      <c r="P21" s="26" t="n">
        <v>0</v>
      </c>
      <c r="Q21" s="26" t="n">
        <v>52413</v>
      </c>
      <c r="R21" s="26" t="n">
        <v>84875</v>
      </c>
      <c r="S21" s="26" t="n">
        <v>2924730</v>
      </c>
      <c r="T21" s="26" t="n">
        <v>2703819</v>
      </c>
      <c r="U21" s="26" t="n">
        <v>50841</v>
      </c>
      <c r="V21" s="26" t="n">
        <v>2754660</v>
      </c>
      <c r="W21" s="26" t="n">
        <v>2839855</v>
      </c>
      <c r="X21" s="27" t="n">
        <f aca="false">IF(V21=0,0,(W21-V21)/V21)</f>
        <v>0.0309275917899124</v>
      </c>
      <c r="Y21" s="26" t="n">
        <v>2754660</v>
      </c>
      <c r="Z21" s="26" t="n">
        <v>299565078.39</v>
      </c>
      <c r="AA21" s="26" t="n">
        <v>241265075.39</v>
      </c>
      <c r="AB21" s="28" t="n">
        <f aca="false">IF(B21=0,0,L21/B21*10000)</f>
        <v>1.47455539641019</v>
      </c>
      <c r="AC21" s="28" t="n">
        <f aca="false">IF(D21=0,0,M21/D21*10000)</f>
        <v>1.47455539641019</v>
      </c>
      <c r="AD21" s="28" t="n">
        <f aca="false">IF(C21=0,0,N21/C21*10000)</f>
        <v>0</v>
      </c>
      <c r="AE21" s="28" t="n">
        <f aca="false">IF(E21=0,0,Q21/E21*10000)</f>
        <v>1.15723632183396</v>
      </c>
    </row>
    <row r="22" customFormat="false" ht="15" hidden="false" customHeight="true" outlineLevel="0" collapsed="false">
      <c r="A22" s="7" t="s">
        <v>155</v>
      </c>
      <c r="B22" s="26" t="n">
        <v>15580451143</v>
      </c>
      <c r="C22" s="26" t="n">
        <v>0</v>
      </c>
      <c r="D22" s="26" t="n">
        <v>15580451143</v>
      </c>
      <c r="E22" s="26" t="n">
        <v>234451715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0</v>
      </c>
      <c r="L22" s="26" t="n">
        <v>4250373</v>
      </c>
      <c r="M22" s="26" t="n">
        <v>4250373</v>
      </c>
      <c r="N22" s="26" t="n">
        <v>0</v>
      </c>
      <c r="O22" s="26" t="n">
        <v>0</v>
      </c>
      <c r="P22" s="26" t="n">
        <v>0</v>
      </c>
      <c r="Q22" s="26" t="n">
        <v>61521</v>
      </c>
      <c r="R22" s="26" t="n">
        <v>128368</v>
      </c>
      <c r="S22" s="26" t="n">
        <v>4440262</v>
      </c>
      <c r="T22" s="26" t="n">
        <v>4122862</v>
      </c>
      <c r="U22" s="26" t="n">
        <v>59675</v>
      </c>
      <c r="V22" s="26" t="n">
        <v>4182537</v>
      </c>
      <c r="W22" s="26" t="n">
        <v>4311894</v>
      </c>
      <c r="X22" s="27" t="n">
        <f aca="false">IF(V22=0,0,(W22-V22)/V22)</f>
        <v>0.0309278794186399</v>
      </c>
      <c r="Y22" s="26" t="n">
        <v>4182537</v>
      </c>
      <c r="Z22" s="26" t="n">
        <v>299565078.39</v>
      </c>
      <c r="AA22" s="26" t="n">
        <v>241265075.39</v>
      </c>
      <c r="AB22" s="28" t="n">
        <f aca="false">IF(B22=0,0,L22/B22*10000)</f>
        <v>2.72801664148834</v>
      </c>
      <c r="AC22" s="28" t="n">
        <f aca="false">IF(D22=0,0,M22/D22*10000)</f>
        <v>2.72801664148834</v>
      </c>
      <c r="AD22" s="28" t="n">
        <f aca="false">IF(C22=0,0,N22/C22*10000)</f>
        <v>0</v>
      </c>
      <c r="AE22" s="28" t="n">
        <f aca="false">IF(E22=0,0,Q22/E22*10000)</f>
        <v>2.62403710717151</v>
      </c>
    </row>
    <row r="23" customFormat="false" ht="15" hidden="false" customHeight="true" outlineLevel="0" collapsed="false">
      <c r="A23" s="7" t="s">
        <v>156</v>
      </c>
      <c r="B23" s="26" t="n">
        <v>7517588880</v>
      </c>
      <c r="C23" s="26" t="n">
        <v>0</v>
      </c>
      <c r="D23" s="26" t="n">
        <v>7517588880</v>
      </c>
      <c r="E23" s="26" t="n">
        <v>255573062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0</v>
      </c>
      <c r="L23" s="26" t="n">
        <v>4044525</v>
      </c>
      <c r="M23" s="26" t="n">
        <v>4044525</v>
      </c>
      <c r="N23" s="26" t="n">
        <v>0</v>
      </c>
      <c r="O23" s="26" t="n">
        <v>0</v>
      </c>
      <c r="P23" s="26" t="n">
        <v>0</v>
      </c>
      <c r="Q23" s="26" t="n">
        <v>34279</v>
      </c>
      <c r="R23" s="26" t="n">
        <v>122933</v>
      </c>
      <c r="S23" s="26" t="n">
        <v>4201737</v>
      </c>
      <c r="T23" s="26" t="n">
        <v>3923189</v>
      </c>
      <c r="U23" s="26" t="n">
        <v>33251</v>
      </c>
      <c r="V23" s="26" t="n">
        <v>3956440</v>
      </c>
      <c r="W23" s="26" t="n">
        <v>4078804</v>
      </c>
      <c r="X23" s="27" t="n">
        <f aca="false">IF(V23=0,0,(W23-V23)/V23)</f>
        <v>0.030927803783199</v>
      </c>
      <c r="Y23" s="26" t="n">
        <v>3956440</v>
      </c>
      <c r="Z23" s="26" t="n">
        <v>299565078.39</v>
      </c>
      <c r="AA23" s="26" t="n">
        <v>241265075.39</v>
      </c>
      <c r="AB23" s="28" t="n">
        <f aca="false">IF(B23=0,0,L23/B23*10000)</f>
        <v>5.38008271609554</v>
      </c>
      <c r="AC23" s="28" t="n">
        <f aca="false">IF(D23=0,0,M23/D23*10000)</f>
        <v>5.38008271609554</v>
      </c>
      <c r="AD23" s="28" t="n">
        <f aca="false">IF(C23=0,0,N23/C23*10000)</f>
        <v>0</v>
      </c>
      <c r="AE23" s="28" t="n">
        <f aca="false">IF(E23=0,0,Q23/E23*10000)</f>
        <v>1.34126029291773</v>
      </c>
    </row>
    <row r="24" customFormat="false" ht="15" hidden="false" customHeight="true" outlineLevel="0" collapsed="false">
      <c r="A24" s="7" t="s">
        <v>157</v>
      </c>
      <c r="B24" s="26" t="n">
        <v>5347912570</v>
      </c>
      <c r="C24" s="26" t="n">
        <v>0</v>
      </c>
      <c r="D24" s="26" t="n">
        <v>5347912570</v>
      </c>
      <c r="E24" s="26" t="n">
        <v>217426990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0</v>
      </c>
      <c r="L24" s="26" t="n">
        <v>2031876</v>
      </c>
      <c r="M24" s="26" t="n">
        <v>2031876</v>
      </c>
      <c r="N24" s="26" t="n">
        <v>0</v>
      </c>
      <c r="O24" s="26" t="n">
        <v>0</v>
      </c>
      <c r="P24" s="26" t="n">
        <v>0</v>
      </c>
      <c r="Q24" s="26" t="n">
        <v>34069</v>
      </c>
      <c r="R24" s="26" t="n">
        <v>62718</v>
      </c>
      <c r="S24" s="26" t="n">
        <v>2128663</v>
      </c>
      <c r="T24" s="26" t="n">
        <v>1970920</v>
      </c>
      <c r="U24" s="26" t="n">
        <v>33047</v>
      </c>
      <c r="V24" s="26" t="n">
        <v>2003967</v>
      </c>
      <c r="W24" s="26" t="n">
        <v>2065945</v>
      </c>
      <c r="X24" s="27" t="n">
        <f aca="false">IF(V24=0,0,(W24-V24)/V24)</f>
        <v>0.0309276549963148</v>
      </c>
      <c r="Y24" s="26" t="n">
        <v>2003967</v>
      </c>
      <c r="Z24" s="26" t="n">
        <v>299565078.39</v>
      </c>
      <c r="AA24" s="26" t="n">
        <v>241265075.39</v>
      </c>
      <c r="AB24" s="28" t="n">
        <f aca="false">IF(B24=0,0,L24/B24*10000)</f>
        <v>3.79938148465281</v>
      </c>
      <c r="AC24" s="28" t="n">
        <f aca="false">IF(D24=0,0,M24/D24*10000)</f>
        <v>3.79938148465281</v>
      </c>
      <c r="AD24" s="28" t="n">
        <f aca="false">IF(C24=0,0,N24/C24*10000)</f>
        <v>0</v>
      </c>
      <c r="AE24" s="28" t="n">
        <f aca="false">IF(E24=0,0,Q24/E24*10000)</f>
        <v>1.56691678434218</v>
      </c>
    </row>
    <row r="25" customFormat="false" ht="15" hidden="false" customHeight="true" outlineLevel="0" collapsed="false">
      <c r="A25" s="7" t="s">
        <v>158</v>
      </c>
      <c r="B25" s="26" t="n">
        <v>11320300296</v>
      </c>
      <c r="C25" s="26" t="n">
        <v>0</v>
      </c>
      <c r="D25" s="26" t="n">
        <v>11320300296</v>
      </c>
      <c r="E25" s="26" t="n">
        <v>268190024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0</v>
      </c>
      <c r="L25" s="26" t="n">
        <v>1405006</v>
      </c>
      <c r="M25" s="26" t="n">
        <v>1405006</v>
      </c>
      <c r="N25" s="26" t="n">
        <v>0</v>
      </c>
      <c r="O25" s="26" t="n">
        <v>0</v>
      </c>
      <c r="P25" s="26" t="n">
        <v>0</v>
      </c>
      <c r="Q25" s="26" t="n">
        <v>30418</v>
      </c>
      <c r="R25" s="26" t="n">
        <v>43063</v>
      </c>
      <c r="S25" s="26" t="n">
        <v>1478487</v>
      </c>
      <c r="T25" s="26" t="n">
        <v>1362855</v>
      </c>
      <c r="U25" s="26" t="n">
        <v>29505</v>
      </c>
      <c r="V25" s="26" t="n">
        <v>1392360</v>
      </c>
      <c r="W25" s="26" t="n">
        <v>1435424</v>
      </c>
      <c r="X25" s="27" t="n">
        <f aca="false">IF(V25=0,0,(W25-V25)/V25)</f>
        <v>0.0309287827860611</v>
      </c>
      <c r="Y25" s="26" t="n">
        <v>1392360</v>
      </c>
      <c r="Z25" s="26" t="n">
        <v>335250127.14</v>
      </c>
      <c r="AA25" s="26" t="n">
        <v>276950124.14</v>
      </c>
      <c r="AB25" s="28" t="n">
        <f aca="false">IF(B25=0,0,L25/B25*10000)</f>
        <v>1.24113845327624</v>
      </c>
      <c r="AC25" s="28" t="n">
        <f aca="false">IF(D25=0,0,M25/D25*10000)</f>
        <v>1.24113845327624</v>
      </c>
      <c r="AD25" s="28" t="n">
        <f aca="false">IF(C25=0,0,N25/C25*10000)</f>
        <v>0</v>
      </c>
      <c r="AE25" s="28" t="n">
        <f aca="false">IF(E25=0,0,Q25/E25*10000)</f>
        <v>1.1341958043898</v>
      </c>
    </row>
    <row r="26" customFormat="false" ht="15" hidden="false" customHeight="true" outlineLevel="0" collapsed="false">
      <c r="A26" s="7" t="s">
        <v>159</v>
      </c>
      <c r="B26" s="26" t="n">
        <v>5715012134</v>
      </c>
      <c r="C26" s="26" t="n">
        <v>0</v>
      </c>
      <c r="D26" s="26" t="n">
        <v>5715012134</v>
      </c>
      <c r="E26" s="26" t="n">
        <v>178140305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  <c r="L26" s="26" t="n">
        <v>2783278</v>
      </c>
      <c r="M26" s="26" t="n">
        <v>2783278</v>
      </c>
      <c r="N26" s="26" t="n">
        <v>0</v>
      </c>
      <c r="O26" s="26" t="n">
        <v>0</v>
      </c>
      <c r="P26" s="26" t="n">
        <v>0</v>
      </c>
      <c r="Q26" s="26" t="n">
        <v>38159</v>
      </c>
      <c r="R26" s="26" t="n">
        <v>84643</v>
      </c>
      <c r="S26" s="26" t="n">
        <v>2906080</v>
      </c>
      <c r="T26" s="26" t="n">
        <v>2699780</v>
      </c>
      <c r="U26" s="26" t="n">
        <v>37014</v>
      </c>
      <c r="V26" s="26" t="n">
        <v>2736794</v>
      </c>
      <c r="W26" s="26" t="n">
        <v>2821437</v>
      </c>
      <c r="X26" s="27" t="n">
        <f aca="false">IF(V26=0,0,(W26-V26)/V26)</f>
        <v>0.0309277936154493</v>
      </c>
      <c r="Y26" s="26" t="n">
        <v>2736794</v>
      </c>
      <c r="Z26" s="26" t="n">
        <v>335250127.14</v>
      </c>
      <c r="AA26" s="26" t="n">
        <v>276950124.14</v>
      </c>
      <c r="AB26" s="28" t="n">
        <f aca="false">IF(B26=0,0,L26/B26*10000)</f>
        <v>4.87011739387499</v>
      </c>
      <c r="AC26" s="28" t="n">
        <f aca="false">IF(D26=0,0,M26/D26*10000)</f>
        <v>4.87011739387499</v>
      </c>
      <c r="AD26" s="28" t="n">
        <f aca="false">IF(C26=0,0,N26/C26*10000)</f>
        <v>0</v>
      </c>
      <c r="AE26" s="28" t="n">
        <f aca="false">IF(E26=0,0,Q26/E26*10000)</f>
        <v>2.14207559597476</v>
      </c>
    </row>
    <row r="27" customFormat="false" ht="15" hidden="false" customHeight="true" outlineLevel="0" collapsed="false">
      <c r="A27" s="7" t="s">
        <v>160</v>
      </c>
      <c r="B27" s="26" t="n">
        <v>3285522510</v>
      </c>
      <c r="C27" s="26" t="n">
        <v>0</v>
      </c>
      <c r="D27" s="26" t="n">
        <v>3285522510</v>
      </c>
      <c r="E27" s="26" t="n">
        <v>93192677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  <c r="L27" s="26" t="n">
        <v>1284164</v>
      </c>
      <c r="M27" s="26" t="n">
        <v>1284164</v>
      </c>
      <c r="N27" s="26" t="n">
        <v>0</v>
      </c>
      <c r="O27" s="26" t="n">
        <v>0</v>
      </c>
      <c r="P27" s="26" t="n">
        <v>0</v>
      </c>
      <c r="Q27" s="26" t="n">
        <v>23999</v>
      </c>
      <c r="R27" s="26" t="n">
        <v>38987</v>
      </c>
      <c r="S27" s="26" t="n">
        <v>1347150</v>
      </c>
      <c r="T27" s="26" t="n">
        <v>1245639</v>
      </c>
      <c r="U27" s="26" t="n">
        <v>23279</v>
      </c>
      <c r="V27" s="26" t="n">
        <v>1268918</v>
      </c>
      <c r="W27" s="26" t="n">
        <v>1308163</v>
      </c>
      <c r="X27" s="27" t="n">
        <f aca="false">IF(V27=0,0,(W27-V27)/V27)</f>
        <v>0.0309279244206481</v>
      </c>
      <c r="Y27" s="26" t="n">
        <v>1268918</v>
      </c>
      <c r="Z27" s="26" t="n">
        <v>335250127.14</v>
      </c>
      <c r="AA27" s="26" t="n">
        <v>276950124.14</v>
      </c>
      <c r="AB27" s="28" t="n">
        <f aca="false">IF(B27=0,0,L27/B27*10000)</f>
        <v>3.90855334605515</v>
      </c>
      <c r="AC27" s="28" t="n">
        <f aca="false">IF(D27=0,0,M27/D27*10000)</f>
        <v>3.90855334605515</v>
      </c>
      <c r="AD27" s="28" t="n">
        <f aca="false">IF(C27=0,0,N27/C27*10000)</f>
        <v>0</v>
      </c>
      <c r="AE27" s="28" t="n">
        <f aca="false">IF(E27=0,0,Q27/E27*10000)</f>
        <v>2.57520234127409</v>
      </c>
    </row>
    <row r="28" customFormat="false" ht="15" hidden="false" customHeight="true" outlineLevel="0" collapsed="false">
      <c r="A28" s="7" t="s">
        <v>161</v>
      </c>
      <c r="B28" s="26" t="n">
        <v>4502210880</v>
      </c>
      <c r="C28" s="26" t="n">
        <v>0</v>
      </c>
      <c r="D28" s="26" t="n">
        <v>4502210880</v>
      </c>
      <c r="E28" s="26" t="n">
        <v>138875526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0</v>
      </c>
      <c r="L28" s="26" t="n">
        <v>1061042</v>
      </c>
      <c r="M28" s="26" t="n">
        <v>1061042</v>
      </c>
      <c r="N28" s="26" t="n">
        <v>0</v>
      </c>
      <c r="O28" s="26" t="n">
        <v>0</v>
      </c>
      <c r="P28" s="26" t="n">
        <v>0</v>
      </c>
      <c r="Q28" s="26" t="n">
        <v>14317</v>
      </c>
      <c r="R28" s="26" t="n">
        <v>32324</v>
      </c>
      <c r="S28" s="26" t="n">
        <v>1107683</v>
      </c>
      <c r="T28" s="26" t="n">
        <v>1029211</v>
      </c>
      <c r="U28" s="26" t="n">
        <v>13888</v>
      </c>
      <c r="V28" s="26" t="n">
        <v>1043099</v>
      </c>
      <c r="W28" s="26" t="n">
        <v>1075359</v>
      </c>
      <c r="X28" s="27" t="n">
        <f aca="false">IF(V28=0,0,(W28-V28)/V28)</f>
        <v>0.0309270740361174</v>
      </c>
      <c r="Y28" s="26" t="n">
        <v>1043099</v>
      </c>
      <c r="Z28" s="26" t="n">
        <v>335250127.14</v>
      </c>
      <c r="AA28" s="26" t="n">
        <v>276950124.14</v>
      </c>
      <c r="AB28" s="28" t="n">
        <f aca="false">IF(B28=0,0,L28/B28*10000)</f>
        <v>2.3567132421838</v>
      </c>
      <c r="AC28" s="28" t="n">
        <f aca="false">IF(D28=0,0,M28/D28*10000)</f>
        <v>2.3567132421838</v>
      </c>
      <c r="AD28" s="28" t="n">
        <f aca="false">IF(C28=0,0,N28/C28*10000)</f>
        <v>0</v>
      </c>
      <c r="AE28" s="28" t="n">
        <f aca="false">IF(E28=0,0,Q28/E28*10000)</f>
        <v>1.0309231880065</v>
      </c>
    </row>
    <row r="29" customFormat="false" ht="15" hidden="false" customHeight="true" outlineLevel="0" collapsed="false">
      <c r="A29" s="7" t="s">
        <v>162</v>
      </c>
      <c r="B29" s="26" t="n">
        <v>10371167289</v>
      </c>
      <c r="C29" s="26" t="n">
        <v>0</v>
      </c>
      <c r="D29" s="26" t="n">
        <v>10371167289</v>
      </c>
      <c r="E29" s="26" t="n">
        <v>229716868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0</v>
      </c>
      <c r="L29" s="26" t="n">
        <v>1066098</v>
      </c>
      <c r="M29" s="26" t="n">
        <v>1066098</v>
      </c>
      <c r="N29" s="26" t="n">
        <v>0</v>
      </c>
      <c r="O29" s="26" t="n">
        <v>0</v>
      </c>
      <c r="P29" s="26" t="n">
        <v>0</v>
      </c>
      <c r="Q29" s="26" t="n">
        <v>16865</v>
      </c>
      <c r="R29" s="26" t="n">
        <v>31448</v>
      </c>
      <c r="S29" s="26" t="n">
        <v>1114411</v>
      </c>
      <c r="T29" s="26" t="n">
        <v>1034115</v>
      </c>
      <c r="U29" s="26" t="n">
        <v>16359</v>
      </c>
      <c r="V29" s="26" t="n">
        <v>1050474</v>
      </c>
      <c r="W29" s="26" t="n">
        <v>1082963</v>
      </c>
      <c r="X29" s="27" t="n">
        <f aca="false">IF(V29=0,0,(W29-V29)/V29)</f>
        <v>0.0309279430047769</v>
      </c>
      <c r="Y29" s="26" t="n">
        <v>1050474</v>
      </c>
      <c r="Z29" s="26" t="n">
        <v>335250127.14</v>
      </c>
      <c r="AA29" s="26" t="n">
        <v>276950124.14</v>
      </c>
      <c r="AB29" s="28" t="n">
        <f aca="false">IF(B29=0,0,L29/B29*10000)</f>
        <v>1.02794407832061</v>
      </c>
      <c r="AC29" s="28" t="n">
        <f aca="false">IF(D29=0,0,M29/D29*10000)</f>
        <v>1.02794407832061</v>
      </c>
      <c r="AD29" s="28" t="n">
        <f aca="false">IF(C29=0,0,N29/C29*10000)</f>
        <v>0</v>
      </c>
      <c r="AE29" s="28" t="n">
        <f aca="false">IF(E29=0,0,Q29/E29*10000)</f>
        <v>0.734164632612003</v>
      </c>
    </row>
    <row r="30" customFormat="false" ht="15" hidden="false" customHeight="true" outlineLevel="0" collapsed="false">
      <c r="A30" s="7" t="s">
        <v>163</v>
      </c>
      <c r="B30" s="26" t="n">
        <v>6637740341</v>
      </c>
      <c r="C30" s="26" t="n">
        <v>0</v>
      </c>
      <c r="D30" s="26" t="n">
        <v>6637740341</v>
      </c>
      <c r="E30" s="26" t="n">
        <v>185620600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0</v>
      </c>
      <c r="L30" s="26" t="n">
        <v>2661614</v>
      </c>
      <c r="M30" s="26" t="n">
        <v>2661614</v>
      </c>
      <c r="N30" s="26" t="n">
        <v>0</v>
      </c>
      <c r="O30" s="26" t="n">
        <v>0</v>
      </c>
      <c r="P30" s="26" t="n">
        <v>0</v>
      </c>
      <c r="Q30" s="26" t="n">
        <v>37573</v>
      </c>
      <c r="R30" s="26" t="n">
        <v>81800</v>
      </c>
      <c r="S30" s="26" t="n">
        <v>2780987</v>
      </c>
      <c r="T30" s="26" t="n">
        <v>2581765</v>
      </c>
      <c r="U30" s="26" t="n">
        <v>36446</v>
      </c>
      <c r="V30" s="26" t="n">
        <v>2618211</v>
      </c>
      <c r="W30" s="26" t="n">
        <v>2699187</v>
      </c>
      <c r="X30" s="27" t="n">
        <f aca="false">IF(V30=0,0,(W30-V30)/V30)</f>
        <v>0.0309279886151269</v>
      </c>
      <c r="Y30" s="26" t="n">
        <v>2618211</v>
      </c>
      <c r="Z30" s="26" t="n">
        <v>335250127.14</v>
      </c>
      <c r="AA30" s="26" t="n">
        <v>276950124.14</v>
      </c>
      <c r="AB30" s="28" t="n">
        <f aca="false">IF(B30=0,0,L30/B30*10000)</f>
        <v>4.00981940127989</v>
      </c>
      <c r="AC30" s="28" t="n">
        <f aca="false">IF(D30=0,0,M30/D30*10000)</f>
        <v>4.00981940127989</v>
      </c>
      <c r="AD30" s="28" t="n">
        <f aca="false">IF(C30=0,0,N30/C30*10000)</f>
        <v>0</v>
      </c>
      <c r="AE30" s="28" t="n">
        <f aca="false">IF(E30=0,0,Q30/E30*10000)</f>
        <v>2.02418266076071</v>
      </c>
    </row>
    <row r="31" customFormat="false" ht="15" hidden="false" customHeight="true" outlineLevel="0" collapsed="false">
      <c r="A31" s="7" t="s">
        <v>164</v>
      </c>
      <c r="B31" s="26" t="n">
        <v>7558968063</v>
      </c>
      <c r="C31" s="26" t="n">
        <v>0</v>
      </c>
      <c r="D31" s="26" t="n">
        <v>7558968063</v>
      </c>
      <c r="E31" s="26" t="n">
        <v>170638730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0</v>
      </c>
      <c r="L31" s="26" t="n">
        <v>1502080</v>
      </c>
      <c r="M31" s="26" t="n">
        <v>1502080</v>
      </c>
      <c r="N31" s="26" t="n">
        <v>0</v>
      </c>
      <c r="O31" s="26" t="n">
        <v>0</v>
      </c>
      <c r="P31" s="26" t="n">
        <v>0</v>
      </c>
      <c r="Q31" s="26" t="n">
        <v>26779</v>
      </c>
      <c r="R31" s="26" t="n">
        <v>45813</v>
      </c>
      <c r="S31" s="26" t="n">
        <v>1574672</v>
      </c>
      <c r="T31" s="26" t="n">
        <v>1457018</v>
      </c>
      <c r="U31" s="26" t="n">
        <v>25976</v>
      </c>
      <c r="V31" s="26" t="n">
        <v>1482994</v>
      </c>
      <c r="W31" s="26" t="n">
        <v>1528859</v>
      </c>
      <c r="X31" s="27" t="n">
        <f aca="false">IF(V31=0,0,(W31-V31)/V31)</f>
        <v>0.0309272997732965</v>
      </c>
      <c r="Y31" s="26" t="n">
        <v>1482994</v>
      </c>
      <c r="Z31" s="26" t="n">
        <v>335250127.14</v>
      </c>
      <c r="AA31" s="26" t="n">
        <v>276950124.14</v>
      </c>
      <c r="AB31" s="28" t="n">
        <f aca="false">IF(B31=0,0,L31/B31*10000)</f>
        <v>1.9871495520036</v>
      </c>
      <c r="AC31" s="28" t="n">
        <f aca="false">IF(D31=0,0,M31/D31*10000)</f>
        <v>1.9871495520036</v>
      </c>
      <c r="AD31" s="28" t="n">
        <f aca="false">IF(C31=0,0,N31/C31*10000)</f>
        <v>0</v>
      </c>
      <c r="AE31" s="28" t="n">
        <f aca="false">IF(E31=0,0,Q31/E31*10000)</f>
        <v>1.56933891854446</v>
      </c>
    </row>
    <row r="32" customFormat="false" ht="15" hidden="false" customHeight="true" outlineLevel="0" collapsed="false">
      <c r="A32" s="7" t="s">
        <v>165</v>
      </c>
      <c r="B32" s="26" t="n">
        <v>5328952399</v>
      </c>
      <c r="C32" s="26" t="n">
        <v>0</v>
      </c>
      <c r="D32" s="26" t="n">
        <v>5328952399</v>
      </c>
      <c r="E32" s="26" t="n">
        <v>283645800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1858964</v>
      </c>
      <c r="M32" s="26" t="n">
        <v>1858964</v>
      </c>
      <c r="N32" s="26" t="n">
        <v>0</v>
      </c>
      <c r="O32" s="26" t="n">
        <v>0</v>
      </c>
      <c r="P32" s="26" t="n">
        <v>0</v>
      </c>
      <c r="Q32" s="26" t="n">
        <v>20016</v>
      </c>
      <c r="R32" s="26" t="n">
        <v>56558</v>
      </c>
      <c r="S32" s="26" t="n">
        <v>1935538</v>
      </c>
      <c r="T32" s="26" t="n">
        <v>1803195</v>
      </c>
      <c r="U32" s="26" t="n">
        <v>19416</v>
      </c>
      <c r="V32" s="26" t="n">
        <v>1822611</v>
      </c>
      <c r="W32" s="26" t="n">
        <v>1878980</v>
      </c>
      <c r="X32" s="27" t="n">
        <f aca="false">IF(V32=0,0,(W32-V32)/V32)</f>
        <v>0.0309276087985862</v>
      </c>
      <c r="Y32" s="26" t="n">
        <v>1822611</v>
      </c>
      <c r="Z32" s="26" t="n">
        <v>331948375.56</v>
      </c>
      <c r="AA32" s="26" t="n">
        <v>273648372.56</v>
      </c>
      <c r="AB32" s="28" t="n">
        <f aca="false">IF(B32=0,0,L32/B32*10000)</f>
        <v>3.48842297849919</v>
      </c>
      <c r="AC32" s="28" t="n">
        <f aca="false">IF(D32=0,0,M32/D32*10000)</f>
        <v>3.48842297849919</v>
      </c>
      <c r="AD32" s="28" t="n">
        <f aca="false">IF(C32=0,0,N32/C32*10000)</f>
        <v>0</v>
      </c>
      <c r="AE32" s="28" t="n">
        <f aca="false">IF(E32=0,0,Q32/E32*10000)</f>
        <v>0.705668830633135</v>
      </c>
    </row>
    <row r="33" customFormat="false" ht="15" hidden="false" customHeight="true" outlineLevel="0" collapsed="false">
      <c r="A33" s="7" t="s">
        <v>166</v>
      </c>
      <c r="B33" s="26" t="n">
        <v>6895512847</v>
      </c>
      <c r="C33" s="26" t="n">
        <v>0</v>
      </c>
      <c r="D33" s="26" t="n">
        <v>6895512847</v>
      </c>
      <c r="E33" s="26" t="n">
        <v>212136745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1410913</v>
      </c>
      <c r="M33" s="26" t="n">
        <v>1410913</v>
      </c>
      <c r="N33" s="26" t="n">
        <v>0</v>
      </c>
      <c r="O33" s="26" t="n">
        <v>0</v>
      </c>
      <c r="P33" s="26" t="n">
        <v>0</v>
      </c>
      <c r="Q33" s="26" t="n">
        <v>38508</v>
      </c>
      <c r="R33" s="26" t="n">
        <v>43758</v>
      </c>
      <c r="S33" s="26" t="n">
        <v>1493179</v>
      </c>
      <c r="T33" s="26" t="n">
        <v>1368586</v>
      </c>
      <c r="U33" s="26" t="n">
        <v>37353</v>
      </c>
      <c r="V33" s="26" t="n">
        <v>1405939</v>
      </c>
      <c r="W33" s="26" t="n">
        <v>1449421</v>
      </c>
      <c r="X33" s="27" t="n">
        <f aca="false">IF(V33=0,0,(W33-V33)/V33)</f>
        <v>0.0309273730937117</v>
      </c>
      <c r="Y33" s="26" t="n">
        <v>1405939</v>
      </c>
      <c r="Z33" s="26" t="n">
        <v>331948375.56</v>
      </c>
      <c r="AA33" s="26" t="n">
        <v>273648372.56</v>
      </c>
      <c r="AB33" s="28" t="n">
        <f aca="false">IF(B33=0,0,L33/B33*10000)</f>
        <v>2.0461320735757</v>
      </c>
      <c r="AC33" s="28" t="n">
        <f aca="false">IF(D33=0,0,M33/D33*10000)</f>
        <v>2.0461320735757</v>
      </c>
      <c r="AD33" s="28" t="n">
        <f aca="false">IF(C33=0,0,N33/C33*10000)</f>
        <v>0</v>
      </c>
      <c r="AE33" s="28" t="n">
        <f aca="false">IF(E33=0,0,Q33/E33*10000)</f>
        <v>1.815244219006</v>
      </c>
    </row>
    <row r="34" customFormat="false" ht="15" hidden="false" customHeight="true" outlineLevel="0" collapsed="false">
      <c r="A34" s="7" t="s">
        <v>167</v>
      </c>
      <c r="B34" s="26" t="n">
        <v>5516193633</v>
      </c>
      <c r="C34" s="26" t="n">
        <v>0</v>
      </c>
      <c r="D34" s="26" t="n">
        <v>5516193633</v>
      </c>
      <c r="E34" s="26" t="n">
        <v>263781612</v>
      </c>
      <c r="F34" s="26" t="n">
        <v>0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1745764</v>
      </c>
      <c r="M34" s="26" t="n">
        <v>1745764</v>
      </c>
      <c r="N34" s="26" t="n">
        <v>0</v>
      </c>
      <c r="O34" s="26" t="n">
        <v>0</v>
      </c>
      <c r="P34" s="26" t="n">
        <v>0</v>
      </c>
      <c r="Q34" s="26" t="n">
        <v>30778</v>
      </c>
      <c r="R34" s="26" t="n">
        <v>53296</v>
      </c>
      <c r="S34" s="26" t="n">
        <v>1829838</v>
      </c>
      <c r="T34" s="26" t="n">
        <v>1693391</v>
      </c>
      <c r="U34" s="26" t="n">
        <v>29855</v>
      </c>
      <c r="V34" s="26" t="n">
        <v>1723246</v>
      </c>
      <c r="W34" s="26" t="n">
        <v>1776542</v>
      </c>
      <c r="X34" s="27" t="n">
        <f aca="false">IF(V34=0,0,(W34-V34)/V34)</f>
        <v>0.0309276795071626</v>
      </c>
      <c r="Y34" s="26" t="n">
        <v>1723246</v>
      </c>
      <c r="Z34" s="26" t="n">
        <v>331948375.56</v>
      </c>
      <c r="AA34" s="26" t="n">
        <v>273648372.56</v>
      </c>
      <c r="AB34" s="28" t="n">
        <f aca="false">IF(B34=0,0,L34/B34*10000)</f>
        <v>3.16479825790771</v>
      </c>
      <c r="AC34" s="28" t="n">
        <f aca="false">IF(D34=0,0,M34/D34*10000)</f>
        <v>3.16479825790771</v>
      </c>
      <c r="AD34" s="28" t="n">
        <f aca="false">IF(C34=0,0,N34/C34*10000)</f>
        <v>0</v>
      </c>
      <c r="AE34" s="28" t="n">
        <f aca="false">IF(E34=0,0,Q34/E34*10000)</f>
        <v>1.16679854090815</v>
      </c>
    </row>
    <row r="35" customFormat="false" ht="15" hidden="false" customHeight="true" outlineLevel="0" collapsed="false">
      <c r="A35" s="7" t="s">
        <v>168</v>
      </c>
      <c r="B35" s="26" t="n">
        <v>10494617906</v>
      </c>
      <c r="C35" s="26" t="n">
        <v>0</v>
      </c>
      <c r="D35" s="26" t="n">
        <v>10494617906</v>
      </c>
      <c r="E35" s="26" t="n">
        <v>305083845</v>
      </c>
      <c r="F35" s="26" t="n">
        <v>0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  <c r="L35" s="26" t="n">
        <v>1393440</v>
      </c>
      <c r="M35" s="26" t="n">
        <v>1393440</v>
      </c>
      <c r="N35" s="26" t="n">
        <v>0</v>
      </c>
      <c r="O35" s="26" t="n">
        <v>0</v>
      </c>
      <c r="P35" s="26" t="n">
        <v>0</v>
      </c>
      <c r="Q35" s="26" t="n">
        <v>40422</v>
      </c>
      <c r="R35" s="26" t="n">
        <v>42608</v>
      </c>
      <c r="S35" s="26" t="n">
        <v>1476470</v>
      </c>
      <c r="T35" s="26" t="n">
        <v>1351636</v>
      </c>
      <c r="U35" s="26" t="n">
        <v>39209</v>
      </c>
      <c r="V35" s="26" t="n">
        <v>1390845</v>
      </c>
      <c r="W35" s="26" t="n">
        <v>1433862</v>
      </c>
      <c r="X35" s="27" t="n">
        <f aca="false">IF(V35=0,0,(W35-V35)/V35)</f>
        <v>0.0309286800470218</v>
      </c>
      <c r="Y35" s="26" t="n">
        <v>1390845</v>
      </c>
      <c r="Z35" s="26" t="n">
        <v>331948375.56</v>
      </c>
      <c r="AA35" s="26" t="n">
        <v>273648372.56</v>
      </c>
      <c r="AB35" s="28" t="n">
        <f aca="false">IF(B35=0,0,L35/B35*10000)</f>
        <v>1.32776630124222</v>
      </c>
      <c r="AC35" s="28" t="n">
        <f aca="false">IF(D35=0,0,M35/D35*10000)</f>
        <v>1.32776630124222</v>
      </c>
      <c r="AD35" s="28" t="n">
        <f aca="false">IF(C35=0,0,N35/C35*10000)</f>
        <v>0</v>
      </c>
      <c r="AE35" s="28" t="n">
        <f aca="false">IF(E35=0,0,Q35/E35*10000)</f>
        <v>1.32494724524008</v>
      </c>
    </row>
    <row r="36" customFormat="false" ht="15" hidden="false" customHeight="true" outlineLevel="0" collapsed="false">
      <c r="A36" s="7" t="s">
        <v>169</v>
      </c>
      <c r="B36" s="26" t="n">
        <v>16486176860</v>
      </c>
      <c r="C36" s="26" t="n">
        <v>0</v>
      </c>
      <c r="D36" s="26" t="n">
        <v>16486176860</v>
      </c>
      <c r="E36" s="26" t="n">
        <v>443687078</v>
      </c>
      <c r="F36" s="26" t="n">
        <v>0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  <c r="L36" s="26" t="n">
        <v>2019665</v>
      </c>
      <c r="M36" s="26" t="n">
        <v>2019665</v>
      </c>
      <c r="N36" s="26" t="n">
        <v>0</v>
      </c>
      <c r="O36" s="26" t="n">
        <v>0</v>
      </c>
      <c r="P36" s="26" t="n">
        <v>0</v>
      </c>
      <c r="Q36" s="26" t="n">
        <v>44496</v>
      </c>
      <c r="R36" s="26" t="n">
        <v>61607</v>
      </c>
      <c r="S36" s="26" t="n">
        <v>2125768</v>
      </c>
      <c r="T36" s="26" t="n">
        <v>1959076</v>
      </c>
      <c r="U36" s="26" t="n">
        <v>43161</v>
      </c>
      <c r="V36" s="26" t="n">
        <v>2002237</v>
      </c>
      <c r="W36" s="26" t="n">
        <v>2064161</v>
      </c>
      <c r="X36" s="27" t="n">
        <f aca="false">IF(V36=0,0,(W36-V36)/V36)</f>
        <v>0.0309274076944937</v>
      </c>
      <c r="Y36" s="26" t="n">
        <v>2002237</v>
      </c>
      <c r="Z36" s="26" t="n">
        <v>331948375.56</v>
      </c>
      <c r="AA36" s="26" t="n">
        <v>273648372.56</v>
      </c>
      <c r="AB36" s="28" t="n">
        <f aca="false">IF(B36=0,0,L36/B36*10000)</f>
        <v>1.22506571241527</v>
      </c>
      <c r="AC36" s="28" t="n">
        <f aca="false">IF(D36=0,0,M36/D36*10000)</f>
        <v>1.22506571241527</v>
      </c>
      <c r="AD36" s="28" t="n">
        <f aca="false">IF(C36=0,0,N36/C36*10000)</f>
        <v>0</v>
      </c>
      <c r="AE36" s="28" t="n">
        <f aca="false">IF(E36=0,0,Q36/E36*10000)</f>
        <v>1.00286896342742</v>
      </c>
    </row>
    <row r="37" customFormat="false" ht="15" hidden="false" customHeight="true" outlineLevel="0" collapsed="false">
      <c r="A37" s="7" t="s">
        <v>170</v>
      </c>
      <c r="B37" s="26" t="n">
        <v>10201209531</v>
      </c>
      <c r="C37" s="26" t="n">
        <v>0</v>
      </c>
      <c r="D37" s="26" t="n">
        <v>10201209531</v>
      </c>
      <c r="E37" s="26" t="n">
        <v>263016289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  <c r="L37" s="26" t="n">
        <v>4197988</v>
      </c>
      <c r="M37" s="26" t="n">
        <v>4197988</v>
      </c>
      <c r="N37" s="26" t="n">
        <v>0</v>
      </c>
      <c r="O37" s="26" t="n">
        <v>0</v>
      </c>
      <c r="P37" s="26" t="n">
        <v>0</v>
      </c>
      <c r="Q37" s="26" t="n">
        <v>63480</v>
      </c>
      <c r="R37" s="26" t="n">
        <v>128049</v>
      </c>
      <c r="S37" s="26" t="n">
        <v>4389517</v>
      </c>
      <c r="T37" s="26" t="n">
        <v>4072048</v>
      </c>
      <c r="U37" s="26" t="n">
        <v>61575</v>
      </c>
      <c r="V37" s="26" t="n">
        <v>4133623</v>
      </c>
      <c r="W37" s="26" t="n">
        <v>4261468</v>
      </c>
      <c r="X37" s="27" t="n">
        <f aca="false">IF(V37=0,0,(W37-V37)/V37)</f>
        <v>0.030928074476071</v>
      </c>
      <c r="Y37" s="26" t="n">
        <v>4133623</v>
      </c>
      <c r="Z37" s="26" t="n">
        <v>331948375.56</v>
      </c>
      <c r="AA37" s="26" t="n">
        <v>273648372.56</v>
      </c>
      <c r="AB37" s="28" t="n">
        <f aca="false">IF(B37=0,0,L37/B37*10000)</f>
        <v>4.11518652493405</v>
      </c>
      <c r="AC37" s="28" t="n">
        <f aca="false">IF(D37=0,0,M37/D37*10000)</f>
        <v>4.11518652493405</v>
      </c>
      <c r="AD37" s="28" t="n">
        <f aca="false">IF(C37=0,0,N37/C37*10000)</f>
        <v>0</v>
      </c>
      <c r="AE37" s="28" t="n">
        <f aca="false">IF(E37=0,0,Q37/E37*10000)</f>
        <v>2.41353872953473</v>
      </c>
    </row>
    <row r="38" customFormat="false" ht="15" hidden="false" customHeight="true" outlineLevel="0" collapsed="false">
      <c r="A38" s="7" t="s">
        <v>171</v>
      </c>
      <c r="B38" s="26" t="n">
        <v>5578662639</v>
      </c>
      <c r="C38" s="26" t="n">
        <v>0</v>
      </c>
      <c r="D38" s="26" t="n">
        <v>5578662639</v>
      </c>
      <c r="E38" s="26" t="n">
        <v>208560749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2474308</v>
      </c>
      <c r="M38" s="26" t="n">
        <v>2474308</v>
      </c>
      <c r="N38" s="26" t="n">
        <v>0</v>
      </c>
      <c r="O38" s="26" t="n">
        <v>0</v>
      </c>
      <c r="P38" s="26" t="n">
        <v>0</v>
      </c>
      <c r="Q38" s="26" t="n">
        <v>37612</v>
      </c>
      <c r="R38" s="26" t="n">
        <v>75878</v>
      </c>
      <c r="S38" s="26" t="n">
        <v>2587798</v>
      </c>
      <c r="T38" s="26" t="n">
        <v>2400078</v>
      </c>
      <c r="U38" s="26" t="n">
        <v>36483</v>
      </c>
      <c r="V38" s="26" t="n">
        <v>2436561</v>
      </c>
      <c r="W38" s="26" t="n">
        <v>2511920</v>
      </c>
      <c r="X38" s="27" t="n">
        <f aca="false">IF(V38=0,0,(W38-V38)/V38)</f>
        <v>0.0309284274023921</v>
      </c>
      <c r="Y38" s="26" t="n">
        <v>2436561</v>
      </c>
      <c r="Z38" s="26" t="n">
        <v>331948375.56</v>
      </c>
      <c r="AA38" s="26" t="n">
        <v>273648372.56</v>
      </c>
      <c r="AB38" s="28" t="n">
        <f aca="false">IF(B38=0,0,L38/B38*10000)</f>
        <v>4.43530673947247</v>
      </c>
      <c r="AC38" s="28" t="n">
        <f aca="false">IF(D38=0,0,M38/D38*10000)</f>
        <v>4.43530673947247</v>
      </c>
      <c r="AD38" s="28" t="n">
        <f aca="false">IF(C38=0,0,N38/C38*10000)</f>
        <v>0</v>
      </c>
      <c r="AE38" s="28" t="n">
        <f aca="false">IF(E38=0,0,Q38/E38*10000)</f>
        <v>1.80340740912855</v>
      </c>
    </row>
    <row r="39" customFormat="false" ht="15" hidden="false" customHeight="true" outlineLevel="0" collapsed="false">
      <c r="A39" s="7" t="s">
        <v>172</v>
      </c>
      <c r="B39" s="26" t="n">
        <v>5772095636</v>
      </c>
      <c r="C39" s="26" t="n">
        <v>0</v>
      </c>
      <c r="D39" s="26" t="n">
        <v>5772095636</v>
      </c>
      <c r="E39" s="26" t="n">
        <v>168626713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  <c r="L39" s="26" t="n">
        <v>1415160</v>
      </c>
      <c r="M39" s="26" t="n">
        <v>1415160</v>
      </c>
      <c r="N39" s="26" t="n">
        <v>0</v>
      </c>
      <c r="O39" s="26" t="n">
        <v>0</v>
      </c>
      <c r="P39" s="26" t="n">
        <v>0</v>
      </c>
      <c r="Q39" s="26" t="n">
        <v>28216</v>
      </c>
      <c r="R39" s="26" t="n">
        <v>43013</v>
      </c>
      <c r="S39" s="26" t="n">
        <v>1486389</v>
      </c>
      <c r="T39" s="26" t="n">
        <v>1372705</v>
      </c>
      <c r="U39" s="26" t="n">
        <v>27369</v>
      </c>
      <c r="V39" s="26" t="n">
        <v>1400074</v>
      </c>
      <c r="W39" s="26" t="n">
        <v>1443376</v>
      </c>
      <c r="X39" s="27" t="n">
        <f aca="false">IF(V39=0,0,(W39-V39)/V39)</f>
        <v>0.0309283652149815</v>
      </c>
      <c r="Y39" s="26" t="n">
        <v>1400074</v>
      </c>
      <c r="Z39" s="26" t="n">
        <v>354377467.33</v>
      </c>
      <c r="AA39" s="26" t="n">
        <v>296077463.33</v>
      </c>
      <c r="AB39" s="28" t="n">
        <f aca="false">IF(B39=0,0,L39/B39*10000)</f>
        <v>2.45172652922413</v>
      </c>
      <c r="AC39" s="28" t="n">
        <f aca="false">IF(D39=0,0,M39/D39*10000)</f>
        <v>2.45172652922413</v>
      </c>
      <c r="AD39" s="28" t="n">
        <f aca="false">IF(C39=0,0,N39/C39*10000)</f>
        <v>0</v>
      </c>
      <c r="AE39" s="28" t="n">
        <f aca="false">IF(E39=0,0,Q39/E39*10000)</f>
        <v>1.67328174154708</v>
      </c>
    </row>
    <row r="40" customFormat="false" ht="15" hidden="false" customHeight="true" outlineLevel="0" collapsed="false">
      <c r="A40" s="7" t="s">
        <v>173</v>
      </c>
      <c r="B40" s="26" t="n">
        <v>6265399547</v>
      </c>
      <c r="C40" s="26" t="n">
        <v>0</v>
      </c>
      <c r="D40" s="26" t="n">
        <v>6265399547</v>
      </c>
      <c r="E40" s="26" t="n">
        <v>178176120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1316367</v>
      </c>
      <c r="M40" s="26" t="n">
        <v>1316367</v>
      </c>
      <c r="N40" s="26" t="n">
        <v>0</v>
      </c>
      <c r="O40" s="26" t="n">
        <v>0</v>
      </c>
      <c r="P40" s="26" t="n">
        <v>0</v>
      </c>
      <c r="Q40" s="26" t="n">
        <v>24592</v>
      </c>
      <c r="R40" s="26" t="n">
        <v>40517</v>
      </c>
      <c r="S40" s="26" t="n">
        <v>1381476</v>
      </c>
      <c r="T40" s="26" t="n">
        <v>1276876</v>
      </c>
      <c r="U40" s="26" t="n">
        <v>23855</v>
      </c>
      <c r="V40" s="26" t="n">
        <v>1300731</v>
      </c>
      <c r="W40" s="26" t="n">
        <v>1340959</v>
      </c>
      <c r="X40" s="27" t="n">
        <f aca="false">IF(V40=0,0,(W40-V40)/V40)</f>
        <v>0.0309272247682265</v>
      </c>
      <c r="Y40" s="26" t="n">
        <v>1300731</v>
      </c>
      <c r="Z40" s="26" t="n">
        <v>354377467.33</v>
      </c>
      <c r="AA40" s="26" t="n">
        <v>296077463.33</v>
      </c>
      <c r="AB40" s="28" t="n">
        <f aca="false">IF(B40=0,0,L40/B40*10000)</f>
        <v>2.10101046250163</v>
      </c>
      <c r="AC40" s="28" t="n">
        <f aca="false">IF(D40=0,0,M40/D40*10000)</f>
        <v>2.10101046250163</v>
      </c>
      <c r="AD40" s="28" t="n">
        <f aca="false">IF(C40=0,0,N40/C40*10000)</f>
        <v>0</v>
      </c>
      <c r="AE40" s="28" t="n">
        <f aca="false">IF(E40=0,0,Q40/E40*10000)</f>
        <v>1.38020740377555</v>
      </c>
    </row>
    <row r="41" customFormat="false" ht="15" hidden="false" customHeight="true" outlineLevel="0" collapsed="false">
      <c r="A41" s="7" t="s">
        <v>174</v>
      </c>
      <c r="B41" s="26" t="n">
        <v>2780382233</v>
      </c>
      <c r="C41" s="26" t="n">
        <v>0</v>
      </c>
      <c r="D41" s="26" t="n">
        <v>2780382233</v>
      </c>
      <c r="E41" s="26" t="n">
        <v>86858735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1531085</v>
      </c>
      <c r="M41" s="26" t="n">
        <v>1531085</v>
      </c>
      <c r="N41" s="26" t="n">
        <v>0</v>
      </c>
      <c r="O41" s="26" t="n">
        <v>0</v>
      </c>
      <c r="P41" s="26" t="n">
        <v>0</v>
      </c>
      <c r="Q41" s="26" t="n">
        <v>26352</v>
      </c>
      <c r="R41" s="26" t="n">
        <v>46307</v>
      </c>
      <c r="S41" s="26" t="n">
        <v>1603744</v>
      </c>
      <c r="T41" s="26" t="n">
        <v>1485152</v>
      </c>
      <c r="U41" s="26" t="n">
        <v>25562</v>
      </c>
      <c r="V41" s="26" t="n">
        <v>1510714</v>
      </c>
      <c r="W41" s="26" t="n">
        <v>1557437</v>
      </c>
      <c r="X41" s="27" t="n">
        <f aca="false">IF(V41=0,0,(W41-V41)/V41)</f>
        <v>0.0309277599863376</v>
      </c>
      <c r="Y41" s="26" t="n">
        <v>1510714</v>
      </c>
      <c r="Z41" s="26" t="n">
        <v>354377467.33</v>
      </c>
      <c r="AA41" s="26" t="n">
        <v>296077463.33</v>
      </c>
      <c r="AB41" s="28" t="n">
        <f aca="false">IF(B41=0,0,L41/B41*10000)</f>
        <v>5.50674285653155</v>
      </c>
      <c r="AC41" s="28" t="n">
        <f aca="false">IF(D41=0,0,M41/D41*10000)</f>
        <v>5.50674285653155</v>
      </c>
      <c r="AD41" s="28" t="n">
        <f aca="false">IF(C41=0,0,N41/C41*10000)</f>
        <v>0</v>
      </c>
      <c r="AE41" s="28" t="n">
        <f aca="false">IF(E41=0,0,Q41/E41*10000)</f>
        <v>3.03389175538879</v>
      </c>
    </row>
    <row r="42" customFormat="false" ht="15" hidden="false" customHeight="true" outlineLevel="0" collapsed="false">
      <c r="A42" s="7" t="s">
        <v>175</v>
      </c>
      <c r="B42" s="26" t="n">
        <v>4148515069</v>
      </c>
      <c r="C42" s="26" t="n">
        <v>0</v>
      </c>
      <c r="D42" s="26" t="n">
        <v>4148515069</v>
      </c>
      <c r="E42" s="26" t="n">
        <v>75118825</v>
      </c>
      <c r="F42" s="26" t="n">
        <v>0</v>
      </c>
      <c r="G42" s="26" t="n">
        <v>0</v>
      </c>
      <c r="H42" s="26" t="n">
        <v>0</v>
      </c>
      <c r="I42" s="26" t="n">
        <v>0</v>
      </c>
      <c r="J42" s="26" t="n">
        <v>0</v>
      </c>
      <c r="K42" s="26" t="n">
        <v>0</v>
      </c>
      <c r="L42" s="26" t="n">
        <v>782416</v>
      </c>
      <c r="M42" s="26" t="n">
        <v>782416</v>
      </c>
      <c r="N42" s="26" t="n">
        <v>0</v>
      </c>
      <c r="O42" s="26" t="n">
        <v>0</v>
      </c>
      <c r="P42" s="26" t="n">
        <v>0</v>
      </c>
      <c r="Q42" s="26" t="n">
        <v>12064</v>
      </c>
      <c r="R42" s="26" t="n">
        <v>23942</v>
      </c>
      <c r="S42" s="26" t="n">
        <v>818422</v>
      </c>
      <c r="T42" s="26" t="n">
        <v>758944</v>
      </c>
      <c r="U42" s="26" t="n">
        <v>11702</v>
      </c>
      <c r="V42" s="26" t="n">
        <v>770646</v>
      </c>
      <c r="W42" s="26" t="n">
        <v>794480</v>
      </c>
      <c r="X42" s="27" t="n">
        <f aca="false">IF(V42=0,0,(W42-V42)/V42)</f>
        <v>0.0309272999535455</v>
      </c>
      <c r="Y42" s="26" t="n">
        <v>770646</v>
      </c>
      <c r="Z42" s="26" t="n">
        <v>354377467.33</v>
      </c>
      <c r="AA42" s="26" t="n">
        <v>296077463.33</v>
      </c>
      <c r="AB42" s="28" t="n">
        <f aca="false">IF(B42=0,0,L42/B42*10000)</f>
        <v>1.88601460278316</v>
      </c>
      <c r="AC42" s="28" t="n">
        <f aca="false">IF(D42=0,0,M42/D42*10000)</f>
        <v>1.88601460278316</v>
      </c>
      <c r="AD42" s="28" t="n">
        <f aca="false">IF(C42=0,0,N42/C42*10000)</f>
        <v>0</v>
      </c>
      <c r="AE42" s="28" t="n">
        <f aca="false">IF(E42=0,0,Q42/E42*10000)</f>
        <v>1.60598891156777</v>
      </c>
    </row>
    <row r="43" customFormat="false" ht="15" hidden="false" customHeight="true" outlineLevel="0" collapsed="false">
      <c r="A43" s="7" t="s">
        <v>176</v>
      </c>
      <c r="B43" s="26" t="n">
        <v>4946448737</v>
      </c>
      <c r="C43" s="26" t="n">
        <v>0</v>
      </c>
      <c r="D43" s="26" t="n">
        <v>4946448737</v>
      </c>
      <c r="E43" s="26" t="n">
        <v>91079022</v>
      </c>
      <c r="F43" s="26" t="n">
        <v>0</v>
      </c>
      <c r="G43" s="26" t="n">
        <v>0</v>
      </c>
      <c r="H43" s="26" t="n">
        <v>0</v>
      </c>
      <c r="I43" s="26" t="n">
        <v>0</v>
      </c>
      <c r="J43" s="26" t="n">
        <v>0</v>
      </c>
      <c r="K43" s="26" t="n">
        <v>0</v>
      </c>
      <c r="L43" s="26" t="n">
        <v>983799</v>
      </c>
      <c r="M43" s="26" t="n">
        <v>983799</v>
      </c>
      <c r="N43" s="26" t="n">
        <v>0</v>
      </c>
      <c r="O43" s="26" t="n">
        <v>0</v>
      </c>
      <c r="P43" s="26" t="n">
        <v>0</v>
      </c>
      <c r="Q43" s="26" t="n">
        <v>10683</v>
      </c>
      <c r="R43" s="26" t="n">
        <v>30143</v>
      </c>
      <c r="S43" s="26" t="n">
        <v>1024625</v>
      </c>
      <c r="T43" s="26" t="n">
        <v>954285</v>
      </c>
      <c r="U43" s="26" t="n">
        <v>10362</v>
      </c>
      <c r="V43" s="26" t="n">
        <v>964647</v>
      </c>
      <c r="W43" s="26" t="n">
        <v>994482</v>
      </c>
      <c r="X43" s="27" t="n">
        <f aca="false">IF(V43=0,0,(W43-V43)/V43)</f>
        <v>0.0309284121549126</v>
      </c>
      <c r="Y43" s="26" t="n">
        <v>964647</v>
      </c>
      <c r="Z43" s="26" t="n">
        <v>354377467.33</v>
      </c>
      <c r="AA43" s="26" t="n">
        <v>296077463.33</v>
      </c>
      <c r="AB43" s="28" t="n">
        <f aca="false">IF(B43=0,0,L43/B43*10000)</f>
        <v>1.9888996172973</v>
      </c>
      <c r="AC43" s="28" t="n">
        <f aca="false">IF(D43=0,0,M43/D43*10000)</f>
        <v>1.9888996172973</v>
      </c>
      <c r="AD43" s="28" t="n">
        <f aca="false">IF(C43=0,0,N43/C43*10000)</f>
        <v>0</v>
      </c>
      <c r="AE43" s="28" t="n">
        <f aca="false">IF(E43=0,0,Q43/E43*10000)</f>
        <v>1.17293749596916</v>
      </c>
    </row>
    <row r="44" customFormat="false" ht="15" hidden="false" customHeight="true" outlineLevel="0" collapsed="false">
      <c r="A44" s="7" t="s">
        <v>177</v>
      </c>
      <c r="B44" s="26" t="n">
        <v>6460757135</v>
      </c>
      <c r="C44" s="26" t="n">
        <v>0</v>
      </c>
      <c r="D44" s="26" t="n">
        <v>6460757135</v>
      </c>
      <c r="E44" s="26" t="n">
        <v>107918816</v>
      </c>
      <c r="F44" s="26" t="n">
        <v>0</v>
      </c>
      <c r="G44" s="26" t="n">
        <v>0</v>
      </c>
      <c r="H44" s="26" t="n">
        <v>0</v>
      </c>
      <c r="I44" s="26" t="n">
        <v>0</v>
      </c>
      <c r="J44" s="26" t="n">
        <v>0</v>
      </c>
      <c r="K44" s="26" t="n">
        <v>0</v>
      </c>
      <c r="L44" s="26" t="n">
        <v>1123138</v>
      </c>
      <c r="M44" s="26" t="n">
        <v>1123138</v>
      </c>
      <c r="N44" s="26" t="n">
        <v>0</v>
      </c>
      <c r="O44" s="26" t="n">
        <v>0</v>
      </c>
      <c r="P44" s="26" t="n">
        <v>0</v>
      </c>
      <c r="Q44" s="26" t="n">
        <v>11999</v>
      </c>
      <c r="R44" s="26" t="n">
        <v>34054</v>
      </c>
      <c r="S44" s="26" t="n">
        <v>1169191</v>
      </c>
      <c r="T44" s="26" t="n">
        <v>1089443</v>
      </c>
      <c r="U44" s="26" t="n">
        <v>11639</v>
      </c>
      <c r="V44" s="26" t="n">
        <v>1101082</v>
      </c>
      <c r="W44" s="26" t="n">
        <v>1135137</v>
      </c>
      <c r="X44" s="27" t="n">
        <f aca="false">IF(V44=0,0,(W44-V44)/V44)</f>
        <v>0.0309286683462267</v>
      </c>
      <c r="Y44" s="26" t="n">
        <v>1101082</v>
      </c>
      <c r="Z44" s="26" t="n">
        <v>354377467.33</v>
      </c>
      <c r="AA44" s="26" t="n">
        <v>296077463.33</v>
      </c>
      <c r="AB44" s="28" t="n">
        <f aca="false">IF(B44=0,0,L44/B44*10000)</f>
        <v>1.73839996850462</v>
      </c>
      <c r="AC44" s="28" t="n">
        <f aca="false">IF(D44=0,0,M44/D44*10000)</f>
        <v>1.73839996850462</v>
      </c>
      <c r="AD44" s="28" t="n">
        <f aca="false">IF(C44=0,0,N44/C44*10000)</f>
        <v>0</v>
      </c>
      <c r="AE44" s="28" t="n">
        <f aca="false">IF(E44=0,0,Q44/E44*10000)</f>
        <v>1.11185430351645</v>
      </c>
    </row>
    <row r="45" customFormat="false" ht="15" hidden="false" customHeight="true" outlineLevel="0" collapsed="false">
      <c r="A45" s="7" t="s">
        <v>178</v>
      </c>
      <c r="B45" s="26" t="n">
        <v>0</v>
      </c>
      <c r="C45" s="26" t="n">
        <v>0</v>
      </c>
      <c r="D45" s="26" t="n">
        <v>0</v>
      </c>
      <c r="E45" s="26" t="n">
        <v>142810624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0</v>
      </c>
      <c r="L45" s="26" t="n">
        <v>1538904</v>
      </c>
      <c r="M45" s="26" t="n">
        <v>1538904</v>
      </c>
      <c r="N45" s="26" t="n">
        <v>0</v>
      </c>
      <c r="O45" s="26" t="n">
        <v>0</v>
      </c>
      <c r="P45" s="26" t="n">
        <v>0</v>
      </c>
      <c r="Q45" s="26" t="n">
        <v>15656</v>
      </c>
      <c r="R45" s="26" t="n">
        <v>46439</v>
      </c>
      <c r="S45" s="26" t="n">
        <v>1600999</v>
      </c>
      <c r="T45" s="26" t="n">
        <v>1492737</v>
      </c>
      <c r="U45" s="26" t="n">
        <v>15186</v>
      </c>
      <c r="V45" s="26" t="n">
        <v>1507923</v>
      </c>
      <c r="W45" s="26" t="n">
        <v>1554560</v>
      </c>
      <c r="X45" s="27" t="n">
        <f aca="false">IF(V45=0,0,(W45-V45)/V45)</f>
        <v>0.0309279717863578</v>
      </c>
      <c r="Y45" s="26" t="n">
        <v>1507923</v>
      </c>
      <c r="Z45" s="26" t="n">
        <v>354377467.33</v>
      </c>
      <c r="AA45" s="26" t="n">
        <v>296077463.33</v>
      </c>
      <c r="AB45" s="28" t="n">
        <f aca="false">IF(B45=0,0,L45/B45*10000)</f>
        <v>0</v>
      </c>
      <c r="AC45" s="28" t="n">
        <f aca="false">IF(D45=0,0,M45/D45*10000)</f>
        <v>0</v>
      </c>
      <c r="AD45" s="28" t="n">
        <f aca="false">IF(C45=0,0,N45/C45*10000)</f>
        <v>0</v>
      </c>
      <c r="AE45" s="28" t="n">
        <f aca="false">IF(E45=0,0,Q45/E45*10000)</f>
        <v>1.09627698286648</v>
      </c>
    </row>
    <row r="46" customFormat="false" ht="15" hidden="false" customHeight="true" outlineLevel="0" collapsed="false">
      <c r="A46" s="7" t="s">
        <v>179</v>
      </c>
      <c r="B46" s="26" t="n">
        <v>4999841981</v>
      </c>
      <c r="C46" s="26" t="n">
        <v>0</v>
      </c>
      <c r="D46" s="26" t="n">
        <v>4999841981</v>
      </c>
      <c r="E46" s="26" t="n">
        <v>122695803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0</v>
      </c>
      <c r="L46" s="26" t="n">
        <v>1791221</v>
      </c>
      <c r="M46" s="26" t="n">
        <v>1791221</v>
      </c>
      <c r="N46" s="26" t="n">
        <v>0</v>
      </c>
      <c r="O46" s="26" t="n">
        <v>0</v>
      </c>
      <c r="P46" s="26" t="n">
        <v>0</v>
      </c>
      <c r="Q46" s="26" t="n">
        <v>18209</v>
      </c>
      <c r="R46" s="26" t="n">
        <v>54104</v>
      </c>
      <c r="S46" s="26" t="n">
        <v>1863534</v>
      </c>
      <c r="T46" s="26" t="n">
        <v>1737484</v>
      </c>
      <c r="U46" s="26" t="n">
        <v>17662</v>
      </c>
      <c r="V46" s="26" t="n">
        <v>1755146</v>
      </c>
      <c r="W46" s="26" t="n">
        <v>1809430</v>
      </c>
      <c r="X46" s="27" t="n">
        <f aca="false">IF(V46=0,0,(W46-V46)/V46)</f>
        <v>0.0309284811633904</v>
      </c>
      <c r="Y46" s="26" t="n">
        <v>1755146</v>
      </c>
      <c r="Z46" s="26" t="n">
        <v>375748818.97</v>
      </c>
      <c r="AA46" s="26" t="n">
        <v>317448814.97</v>
      </c>
      <c r="AB46" s="28" t="n">
        <f aca="false">IF(B46=0,0,L46/B46*10000)</f>
        <v>3.58255522235874</v>
      </c>
      <c r="AC46" s="28" t="n">
        <f aca="false">IF(D46=0,0,M46/D46*10000)</f>
        <v>3.58255522235874</v>
      </c>
      <c r="AD46" s="28" t="n">
        <f aca="false">IF(C46=0,0,N46/C46*10000)</f>
        <v>0</v>
      </c>
      <c r="AE46" s="28" t="n">
        <f aca="false">IF(E46=0,0,Q46/E46*10000)</f>
        <v>1.48407684328045</v>
      </c>
    </row>
    <row r="47" customFormat="false" ht="15" hidden="false" customHeight="true" outlineLevel="0" collapsed="false">
      <c r="A47" s="7" t="s">
        <v>180</v>
      </c>
      <c r="B47" s="26" t="n">
        <v>5026148708</v>
      </c>
      <c r="C47" s="26" t="n">
        <v>0</v>
      </c>
      <c r="D47" s="26" t="n">
        <v>5026148708</v>
      </c>
      <c r="E47" s="26" t="n">
        <v>199613305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  <c r="L47" s="26" t="n">
        <v>1388068</v>
      </c>
      <c r="M47" s="26" t="n">
        <v>1388068</v>
      </c>
      <c r="N47" s="26" t="n">
        <v>0</v>
      </c>
      <c r="O47" s="26" t="n">
        <v>0</v>
      </c>
      <c r="P47" s="26" t="n">
        <v>0</v>
      </c>
      <c r="Q47" s="26" t="n">
        <v>18585</v>
      </c>
      <c r="R47" s="26" t="n">
        <v>0</v>
      </c>
      <c r="S47" s="26" t="n">
        <v>1406653</v>
      </c>
      <c r="T47" s="26" t="n">
        <v>1346426</v>
      </c>
      <c r="U47" s="26" t="n">
        <v>18028</v>
      </c>
      <c r="V47" s="26" t="n">
        <v>1364454</v>
      </c>
      <c r="W47" s="26" t="n">
        <v>1406653</v>
      </c>
      <c r="X47" s="27" t="n">
        <f aca="false">IF(V47=0,0,(W47-V47)/V47)</f>
        <v>0.0309273892707266</v>
      </c>
      <c r="Y47" s="26" t="n">
        <v>1364454</v>
      </c>
      <c r="Z47" s="26" t="n">
        <v>375748818.97</v>
      </c>
      <c r="AA47" s="26" t="n">
        <v>317448814.97</v>
      </c>
      <c r="AB47" s="28" t="n">
        <f aca="false">IF(B47=0,0,L47/B47*10000)</f>
        <v>2.76169305892332</v>
      </c>
      <c r="AC47" s="28" t="n">
        <f aca="false">IF(D47=0,0,M47/D47*10000)</f>
        <v>2.76169305892332</v>
      </c>
      <c r="AD47" s="28" t="n">
        <f aca="false">IF(C47=0,0,N47/C47*10000)</f>
        <v>0</v>
      </c>
      <c r="AE47" s="28" t="n">
        <f aca="false">IF(E47=0,0,Q47/E47*10000)</f>
        <v>0.931050162212384</v>
      </c>
    </row>
    <row r="48" customFormat="false" ht="15" hidden="false" customHeight="true" outlineLevel="0" collapsed="false">
      <c r="A48" s="7" t="s">
        <v>181</v>
      </c>
      <c r="B48" s="26" t="n">
        <v>2454616880</v>
      </c>
      <c r="C48" s="26" t="n">
        <v>0</v>
      </c>
      <c r="D48" s="26" t="n">
        <v>2454616880</v>
      </c>
      <c r="E48" s="26" t="n">
        <v>103410352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0</v>
      </c>
      <c r="L48" s="26" t="n">
        <v>1000308</v>
      </c>
      <c r="M48" s="26" t="n">
        <v>1000308</v>
      </c>
      <c r="N48" s="26" t="n">
        <v>0</v>
      </c>
      <c r="O48" s="26" t="n">
        <v>0</v>
      </c>
      <c r="P48" s="26" t="n">
        <v>0</v>
      </c>
      <c r="Q48" s="26" t="n">
        <v>25753</v>
      </c>
      <c r="R48" s="26" t="n">
        <v>0</v>
      </c>
      <c r="S48" s="26" t="n">
        <v>1026061</v>
      </c>
      <c r="T48" s="26" t="n">
        <v>970299</v>
      </c>
      <c r="U48" s="26" t="n">
        <v>24980</v>
      </c>
      <c r="V48" s="26" t="n">
        <v>995279</v>
      </c>
      <c r="W48" s="26" t="n">
        <v>1026061</v>
      </c>
      <c r="X48" s="27" t="n">
        <f aca="false">IF(V48=0,0,(W48-V48)/V48)</f>
        <v>0.0309280111405948</v>
      </c>
      <c r="Y48" s="26" t="n">
        <v>995279</v>
      </c>
      <c r="Z48" s="26" t="n">
        <v>375748818.97</v>
      </c>
      <c r="AA48" s="26" t="n">
        <v>317448814.97</v>
      </c>
      <c r="AB48" s="28" t="n">
        <f aca="false">IF(B48=0,0,L48/B48*10000)</f>
        <v>4.07521030328774</v>
      </c>
      <c r="AC48" s="28" t="n">
        <f aca="false">IF(D48=0,0,M48/D48*10000)</f>
        <v>4.07521030328774</v>
      </c>
      <c r="AD48" s="28" t="n">
        <f aca="false">IF(C48=0,0,N48/C48*10000)</f>
        <v>0</v>
      </c>
      <c r="AE48" s="28" t="n">
        <f aca="false">IF(E48=0,0,Q48/E48*10000)</f>
        <v>2.49036962953187</v>
      </c>
    </row>
    <row r="49" customFormat="false" ht="15" hidden="false" customHeight="true" outlineLevel="0" collapsed="false">
      <c r="A49" s="7" t="s">
        <v>182</v>
      </c>
      <c r="B49" s="26" t="n">
        <v>2679833422</v>
      </c>
      <c r="C49" s="26" t="n">
        <v>0</v>
      </c>
      <c r="D49" s="26" t="n">
        <v>2679833422</v>
      </c>
      <c r="E49" s="26" t="n">
        <v>78021652</v>
      </c>
      <c r="F49" s="26" t="n">
        <v>0</v>
      </c>
      <c r="G49" s="26" t="n">
        <v>0</v>
      </c>
      <c r="H49" s="26" t="n">
        <v>0</v>
      </c>
      <c r="I49" s="26" t="n">
        <v>0</v>
      </c>
      <c r="J49" s="26" t="n">
        <v>0</v>
      </c>
      <c r="K49" s="26" t="n">
        <v>0</v>
      </c>
      <c r="L49" s="26" t="n">
        <v>724327</v>
      </c>
      <c r="M49" s="26" t="n">
        <v>724327</v>
      </c>
      <c r="N49" s="26" t="n">
        <v>0</v>
      </c>
      <c r="O49" s="26" t="n">
        <v>0</v>
      </c>
      <c r="P49" s="26" t="n">
        <v>0</v>
      </c>
      <c r="Q49" s="26" t="n">
        <v>17622</v>
      </c>
      <c r="R49" s="26" t="n">
        <v>0</v>
      </c>
      <c r="S49" s="26" t="n">
        <v>741949</v>
      </c>
      <c r="T49" s="26" t="n">
        <v>702597</v>
      </c>
      <c r="U49" s="26" t="n">
        <v>17093</v>
      </c>
      <c r="V49" s="26" t="n">
        <v>719690</v>
      </c>
      <c r="W49" s="26" t="n">
        <v>741949</v>
      </c>
      <c r="X49" s="27" t="n">
        <f aca="false">IF(V49=0,0,(W49-V49)/V49)</f>
        <v>0.0309285942558602</v>
      </c>
      <c r="Y49" s="26" t="n">
        <v>719690</v>
      </c>
      <c r="Z49" s="26" t="n">
        <v>375748818.97</v>
      </c>
      <c r="AA49" s="26" t="n">
        <v>317448814.97</v>
      </c>
      <c r="AB49" s="28" t="n">
        <f aca="false">IF(B49=0,0,L49/B49*10000)</f>
        <v>2.70288068673845</v>
      </c>
      <c r="AC49" s="28" t="n">
        <f aca="false">IF(D49=0,0,M49/D49*10000)</f>
        <v>2.70288068673845</v>
      </c>
      <c r="AD49" s="28" t="n">
        <f aca="false">IF(C49=0,0,N49/C49*10000)</f>
        <v>0</v>
      </c>
      <c r="AE49" s="28" t="n">
        <f aca="false">IF(E49=0,0,Q49/E49*10000)</f>
        <v>2.25860380397995</v>
      </c>
    </row>
    <row r="50" customFormat="false" ht="15" hidden="false" customHeight="true" outlineLevel="0" collapsed="false">
      <c r="A50" s="7" t="s">
        <v>183</v>
      </c>
      <c r="B50" s="26" t="n">
        <v>5138596443</v>
      </c>
      <c r="C50" s="26" t="n">
        <v>0</v>
      </c>
      <c r="D50" s="26" t="n">
        <v>5138596443</v>
      </c>
      <c r="E50" s="26" t="n">
        <v>120737014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599409</v>
      </c>
      <c r="M50" s="26" t="n">
        <v>599409</v>
      </c>
      <c r="N50" s="26" t="n">
        <v>0</v>
      </c>
      <c r="O50" s="26" t="n">
        <v>0</v>
      </c>
      <c r="P50" s="26" t="n">
        <v>0</v>
      </c>
      <c r="Q50" s="26" t="n">
        <v>8856</v>
      </c>
      <c r="R50" s="26" t="n">
        <v>18248</v>
      </c>
      <c r="S50" s="26" t="n">
        <v>626513</v>
      </c>
      <c r="T50" s="26" t="n">
        <v>581427</v>
      </c>
      <c r="U50" s="26" t="n">
        <v>8590</v>
      </c>
      <c r="V50" s="26" t="n">
        <v>590017</v>
      </c>
      <c r="W50" s="26" t="n">
        <v>608265</v>
      </c>
      <c r="X50" s="27" t="n">
        <f aca="false">IF(V50=0,0,(W50-V50)/V50)</f>
        <v>0.0309279224157948</v>
      </c>
      <c r="Y50" s="26" t="n">
        <v>590017</v>
      </c>
      <c r="Z50" s="26" t="n">
        <v>375748818.97</v>
      </c>
      <c r="AA50" s="26" t="n">
        <v>317448814.97</v>
      </c>
      <c r="AB50" s="28" t="n">
        <f aca="false">IF(B50=0,0,L50/B50*10000)</f>
        <v>1.16648389623306</v>
      </c>
      <c r="AC50" s="28" t="n">
        <f aca="false">IF(D50=0,0,M50/D50*10000)</f>
        <v>1.16648389623306</v>
      </c>
      <c r="AD50" s="28" t="n">
        <f aca="false">IF(C50=0,0,N50/C50*10000)</f>
        <v>0</v>
      </c>
      <c r="AE50" s="28" t="n">
        <f aca="false">IF(E50=0,0,Q50/E50*10000)</f>
        <v>0.73349503243471</v>
      </c>
    </row>
    <row r="51" customFormat="false" ht="15" hidden="false" customHeight="true" outlineLevel="0" collapsed="false">
      <c r="A51" s="7" t="s">
        <v>184</v>
      </c>
      <c r="B51" s="26" t="n">
        <v>6656416137</v>
      </c>
      <c r="C51" s="26" t="n">
        <v>0</v>
      </c>
      <c r="D51" s="26" t="n">
        <v>6656416137</v>
      </c>
      <c r="E51" s="26" t="n">
        <v>360271474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1305683</v>
      </c>
      <c r="M51" s="26" t="n">
        <v>1305683</v>
      </c>
      <c r="N51" s="26" t="n">
        <v>0</v>
      </c>
      <c r="O51" s="26" t="n">
        <v>0</v>
      </c>
      <c r="P51" s="26" t="n">
        <v>0</v>
      </c>
      <c r="Q51" s="26" t="n">
        <v>18954</v>
      </c>
      <c r="R51" s="26" t="n">
        <v>39606</v>
      </c>
      <c r="S51" s="26" t="n">
        <v>1364243</v>
      </c>
      <c r="T51" s="26" t="n">
        <v>1266513</v>
      </c>
      <c r="U51" s="26" t="n">
        <v>18385</v>
      </c>
      <c r="V51" s="26" t="n">
        <v>1284898</v>
      </c>
      <c r="W51" s="26" t="n">
        <v>1324637</v>
      </c>
      <c r="X51" s="27" t="n">
        <f aca="false">IF(V51=0,0,(W51-V51)/V51)</f>
        <v>0.0309277467939089</v>
      </c>
      <c r="Y51" s="26" t="n">
        <v>1284898</v>
      </c>
      <c r="Z51" s="26" t="n">
        <v>375748818.97</v>
      </c>
      <c r="AA51" s="26" t="n">
        <v>317448814.97</v>
      </c>
      <c r="AB51" s="28" t="n">
        <f aca="false">IF(B51=0,0,L51/B51*10000)</f>
        <v>1.96154052440066</v>
      </c>
      <c r="AC51" s="28" t="n">
        <f aca="false">IF(D51=0,0,M51/D51*10000)</f>
        <v>1.96154052440066</v>
      </c>
      <c r="AD51" s="28" t="n">
        <f aca="false">IF(C51=0,0,N51/C51*10000)</f>
        <v>0</v>
      </c>
      <c r="AE51" s="28" t="n">
        <f aca="false">IF(E51=0,0,Q51/E51*10000)</f>
        <v>0.526103268448059</v>
      </c>
    </row>
    <row r="52" customFormat="false" ht="15" hidden="false" customHeight="true" outlineLevel="0" collapsed="false">
      <c r="A52" s="7" t="s">
        <v>185</v>
      </c>
      <c r="B52" s="26" t="n">
        <v>4008888714</v>
      </c>
      <c r="C52" s="26" t="n">
        <v>0</v>
      </c>
      <c r="D52" s="26" t="n">
        <v>4008888714</v>
      </c>
      <c r="E52" s="26" t="n">
        <v>146705782</v>
      </c>
      <c r="F52" s="26" t="n">
        <v>0</v>
      </c>
      <c r="G52" s="26" t="n">
        <v>0</v>
      </c>
      <c r="H52" s="26" t="n">
        <v>0</v>
      </c>
      <c r="I52" s="26" t="n">
        <v>0</v>
      </c>
      <c r="J52" s="26" t="n">
        <v>0</v>
      </c>
      <c r="K52" s="26" t="n">
        <v>0</v>
      </c>
      <c r="L52" s="26" t="n">
        <v>1594393</v>
      </c>
      <c r="M52" s="26" t="n">
        <v>1594393</v>
      </c>
      <c r="N52" s="26" t="n">
        <v>0</v>
      </c>
      <c r="O52" s="26" t="n">
        <v>0</v>
      </c>
      <c r="P52" s="26" t="n">
        <v>0</v>
      </c>
      <c r="Q52" s="26" t="n">
        <v>55805</v>
      </c>
      <c r="R52" s="26" t="n">
        <v>49639</v>
      </c>
      <c r="S52" s="26" t="n">
        <v>1699837</v>
      </c>
      <c r="T52" s="26" t="n">
        <v>1546561</v>
      </c>
      <c r="U52" s="26" t="n">
        <v>54131</v>
      </c>
      <c r="V52" s="26" t="n">
        <v>1600692</v>
      </c>
      <c r="W52" s="26" t="n">
        <v>1650198</v>
      </c>
      <c r="X52" s="27" t="n">
        <f aca="false">IF(V52=0,0,(W52-V52)/V52)</f>
        <v>0.0309278736946271</v>
      </c>
      <c r="Y52" s="26" t="n">
        <v>1600692</v>
      </c>
      <c r="Z52" s="26" t="n">
        <v>375748818.97</v>
      </c>
      <c r="AA52" s="26" t="n">
        <v>317448814.97</v>
      </c>
      <c r="AB52" s="28" t="n">
        <f aca="false">IF(B52=0,0,L52/B52*10000)</f>
        <v>3.97714457483441</v>
      </c>
      <c r="AC52" s="28" t="n">
        <f aca="false">IF(D52=0,0,M52/D52*10000)</f>
        <v>3.97714457483441</v>
      </c>
      <c r="AD52" s="28" t="n">
        <f aca="false">IF(C52=0,0,N52/C52*10000)</f>
        <v>0</v>
      </c>
      <c r="AE52" s="28" t="n">
        <f aca="false">IF(E52=0,0,Q52/E52*10000)</f>
        <v>3.80387188829408</v>
      </c>
    </row>
    <row r="53" customFormat="false" ht="15" hidden="false" customHeight="true" outlineLevel="0" collapsed="false">
      <c r="A53" s="7" t="s">
        <v>186</v>
      </c>
      <c r="B53" s="26" t="n">
        <v>4910739116</v>
      </c>
      <c r="C53" s="26" t="n">
        <v>0</v>
      </c>
      <c r="D53" s="26" t="n">
        <v>4910739116</v>
      </c>
      <c r="E53" s="26" t="n">
        <v>136622361</v>
      </c>
      <c r="F53" s="26" t="n">
        <v>0</v>
      </c>
      <c r="G53" s="26" t="n">
        <v>0</v>
      </c>
      <c r="H53" s="26" t="n">
        <v>0</v>
      </c>
      <c r="I53" s="26" t="n">
        <v>0</v>
      </c>
      <c r="J53" s="26" t="n">
        <v>0</v>
      </c>
      <c r="K53" s="26" t="n">
        <v>0</v>
      </c>
      <c r="L53" s="26" t="n">
        <v>987639</v>
      </c>
      <c r="M53" s="26" t="n">
        <v>987639</v>
      </c>
      <c r="N53" s="26" t="n">
        <v>0</v>
      </c>
      <c r="O53" s="26" t="n">
        <v>0</v>
      </c>
      <c r="P53" s="26" t="n">
        <v>0</v>
      </c>
      <c r="Q53" s="26" t="n">
        <v>22056</v>
      </c>
      <c r="R53" s="26" t="n">
        <v>30291</v>
      </c>
      <c r="S53" s="26" t="n">
        <v>1039986</v>
      </c>
      <c r="T53" s="26" t="n">
        <v>958010</v>
      </c>
      <c r="U53" s="26" t="n">
        <v>21395</v>
      </c>
      <c r="V53" s="26" t="n">
        <v>979405</v>
      </c>
      <c r="W53" s="26" t="n">
        <v>1009695</v>
      </c>
      <c r="X53" s="27" t="n">
        <f aca="false">IF(V53=0,0,(W53-V53)/V53)</f>
        <v>0.0309269403362245</v>
      </c>
      <c r="Y53" s="26" t="n">
        <v>979405</v>
      </c>
      <c r="Z53" s="26" t="n">
        <v>371115167.06</v>
      </c>
      <c r="AA53" s="26" t="n">
        <v>312815163.06</v>
      </c>
      <c r="AB53" s="28" t="n">
        <f aca="false">IF(B53=0,0,L53/B53*10000)</f>
        <v>2.01118197621639</v>
      </c>
      <c r="AC53" s="28" t="n">
        <f aca="false">IF(D53=0,0,M53/D53*10000)</f>
        <v>2.01118197621639</v>
      </c>
      <c r="AD53" s="28" t="n">
        <f aca="false">IF(C53=0,0,N53/C53*10000)</f>
        <v>0</v>
      </c>
      <c r="AE53" s="28" t="n">
        <f aca="false">IF(E53=0,0,Q53/E53*10000)</f>
        <v>1.61437701987891</v>
      </c>
    </row>
    <row r="54" customFormat="false" ht="15" hidden="false" customHeight="true" outlineLevel="0" collapsed="false">
      <c r="A54" s="7" t="s">
        <v>187</v>
      </c>
      <c r="B54" s="26" t="n">
        <v>10480700249</v>
      </c>
      <c r="C54" s="26" t="n">
        <v>0</v>
      </c>
      <c r="D54" s="26" t="n">
        <v>10480700249</v>
      </c>
      <c r="E54" s="26" t="n">
        <v>206747279</v>
      </c>
      <c r="F54" s="26" t="n">
        <v>0</v>
      </c>
      <c r="G54" s="26" t="n">
        <v>0</v>
      </c>
      <c r="H54" s="26" t="n">
        <v>0</v>
      </c>
      <c r="I54" s="26" t="n">
        <v>0</v>
      </c>
      <c r="J54" s="26" t="n">
        <v>0</v>
      </c>
      <c r="K54" s="26" t="n">
        <v>0</v>
      </c>
      <c r="L54" s="26" t="n">
        <v>1174903</v>
      </c>
      <c r="M54" s="26" t="n">
        <v>1174903</v>
      </c>
      <c r="N54" s="26" t="n">
        <v>0</v>
      </c>
      <c r="O54" s="26" t="n">
        <v>0</v>
      </c>
      <c r="P54" s="26" t="n">
        <v>0</v>
      </c>
      <c r="Q54" s="26" t="n">
        <v>20113</v>
      </c>
      <c r="R54" s="26" t="n">
        <v>35850</v>
      </c>
      <c r="S54" s="26" t="n">
        <v>1230866</v>
      </c>
      <c r="T54" s="26" t="n">
        <v>1139656</v>
      </c>
      <c r="U54" s="26" t="n">
        <v>19510</v>
      </c>
      <c r="V54" s="26" t="n">
        <v>1159166</v>
      </c>
      <c r="W54" s="26" t="n">
        <v>1195016</v>
      </c>
      <c r="X54" s="27" t="n">
        <f aca="false">IF(V54=0,0,(W54-V54)/V54)</f>
        <v>0.0309274081537933</v>
      </c>
      <c r="Y54" s="26" t="n">
        <v>1159166</v>
      </c>
      <c r="Z54" s="26" t="n">
        <v>371115167.06</v>
      </c>
      <c r="AA54" s="26" t="n">
        <v>312815163.06</v>
      </c>
      <c r="AB54" s="28" t="n">
        <f aca="false">IF(B54=0,0,L54/B54*10000)</f>
        <v>1.12101574521426</v>
      </c>
      <c r="AC54" s="28" t="n">
        <f aca="false">IF(D54=0,0,M54/D54*10000)</f>
        <v>1.12101574521426</v>
      </c>
      <c r="AD54" s="28" t="n">
        <f aca="false">IF(C54=0,0,N54/C54*10000)</f>
        <v>0</v>
      </c>
      <c r="AE54" s="28" t="n">
        <f aca="false">IF(E54=0,0,Q54/E54*10000)</f>
        <v>0.972830215579282</v>
      </c>
    </row>
    <row r="55" customFormat="false" ht="15" hidden="false" customHeight="true" outlineLevel="0" collapsed="false">
      <c r="A55" s="7" t="s">
        <v>188</v>
      </c>
      <c r="B55" s="26" t="n">
        <v>2796204386</v>
      </c>
      <c r="C55" s="26" t="n">
        <v>0</v>
      </c>
      <c r="D55" s="26" t="n">
        <v>2796204386</v>
      </c>
      <c r="E55" s="26" t="n">
        <v>71766053</v>
      </c>
      <c r="F55" s="26" t="n">
        <v>0</v>
      </c>
      <c r="G55" s="26" t="n">
        <v>0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2360338</v>
      </c>
      <c r="M55" s="26" t="n">
        <v>2360338</v>
      </c>
      <c r="N55" s="26" t="n">
        <v>0</v>
      </c>
      <c r="O55" s="26" t="n">
        <v>0</v>
      </c>
      <c r="P55" s="26" t="n">
        <v>0</v>
      </c>
      <c r="Q55" s="26" t="n">
        <v>27835</v>
      </c>
      <c r="R55" s="26" t="n">
        <v>0</v>
      </c>
      <c r="S55" s="26" t="n">
        <v>2388173</v>
      </c>
      <c r="T55" s="26" t="n">
        <v>2289528</v>
      </c>
      <c r="U55" s="26" t="n">
        <v>27000</v>
      </c>
      <c r="V55" s="26" t="n">
        <v>2316528</v>
      </c>
      <c r="W55" s="26" t="n">
        <v>2388173</v>
      </c>
      <c r="X55" s="27" t="n">
        <f aca="false">IF(V55=0,0,(W55-V55)/V55)</f>
        <v>0.0309277504955692</v>
      </c>
      <c r="Y55" s="26" t="n">
        <v>2316528</v>
      </c>
      <c r="Z55" s="26" t="n">
        <v>371115167.06</v>
      </c>
      <c r="AA55" s="26" t="n">
        <v>312815163.06</v>
      </c>
      <c r="AB55" s="28" t="n">
        <f aca="false">IF(B55=0,0,L55/B55*10000)</f>
        <v>8.44122129204042</v>
      </c>
      <c r="AC55" s="28" t="n">
        <f aca="false">IF(D55=0,0,M55/D55*10000)</f>
        <v>8.44122129204042</v>
      </c>
      <c r="AD55" s="28" t="n">
        <f aca="false">IF(C55=0,0,N55/C55*10000)</f>
        <v>0</v>
      </c>
      <c r="AE55" s="28" t="n">
        <f aca="false">IF(E55=0,0,Q55/E55*10000)</f>
        <v>3.87857473504917</v>
      </c>
    </row>
    <row r="56" customFormat="false" ht="15" hidden="false" customHeight="true" outlineLevel="0" collapsed="false">
      <c r="A56" s="7" t="s">
        <v>189</v>
      </c>
      <c r="B56" s="26" t="n">
        <v>3663074017</v>
      </c>
      <c r="C56" s="26" t="n">
        <v>0</v>
      </c>
      <c r="D56" s="26" t="n">
        <v>3663074017</v>
      </c>
      <c r="E56" s="26" t="n">
        <v>87664629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886199</v>
      </c>
      <c r="M56" s="26" t="n">
        <v>886199</v>
      </c>
      <c r="N56" s="26" t="n">
        <v>0</v>
      </c>
      <c r="O56" s="26" t="n">
        <v>0</v>
      </c>
      <c r="P56" s="26" t="n">
        <v>0</v>
      </c>
      <c r="Q56" s="26" t="n">
        <v>12423</v>
      </c>
      <c r="R56" s="26" t="n">
        <v>0</v>
      </c>
      <c r="S56" s="26" t="n">
        <v>898622</v>
      </c>
      <c r="T56" s="26" t="n">
        <v>859613</v>
      </c>
      <c r="U56" s="26" t="n">
        <v>12051</v>
      </c>
      <c r="V56" s="26" t="n">
        <v>871664</v>
      </c>
      <c r="W56" s="26" t="n">
        <v>898622</v>
      </c>
      <c r="X56" s="27" t="n">
        <f aca="false">IF(V56=0,0,(W56-V56)/V56)</f>
        <v>0.0309270544613521</v>
      </c>
      <c r="Y56" s="26" t="n">
        <v>871664</v>
      </c>
      <c r="Z56" s="26" t="n">
        <v>371115167.06</v>
      </c>
      <c r="AA56" s="26" t="n">
        <v>312815163.06</v>
      </c>
      <c r="AB56" s="28" t="n">
        <f aca="false">IF(B56=0,0,L56/B56*10000)</f>
        <v>2.41927680381895</v>
      </c>
      <c r="AC56" s="28" t="n">
        <f aca="false">IF(D56=0,0,M56/D56*10000)</f>
        <v>2.41927680381895</v>
      </c>
      <c r="AD56" s="28" t="n">
        <f aca="false">IF(C56=0,0,N56/C56*10000)</f>
        <v>0</v>
      </c>
      <c r="AE56" s="28" t="n">
        <f aca="false">IF(E56=0,0,Q56/E56*10000)</f>
        <v>1.41710518161207</v>
      </c>
    </row>
    <row r="57" customFormat="false" ht="15" hidden="false" customHeight="true" outlineLevel="0" collapsed="false">
      <c r="A57" s="7" t="s">
        <v>190</v>
      </c>
      <c r="B57" s="26" t="n">
        <v>10403216609</v>
      </c>
      <c r="C57" s="26" t="n">
        <v>0</v>
      </c>
      <c r="D57" s="26" t="n">
        <v>10403216609</v>
      </c>
      <c r="E57" s="26" t="n">
        <v>313527932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739684</v>
      </c>
      <c r="M57" s="26" t="n">
        <v>739684</v>
      </c>
      <c r="N57" s="26" t="n">
        <v>0</v>
      </c>
      <c r="O57" s="26" t="n">
        <v>0</v>
      </c>
      <c r="P57" s="26" t="n">
        <v>0</v>
      </c>
      <c r="Q57" s="26" t="n">
        <v>13884</v>
      </c>
      <c r="R57" s="26" t="n">
        <v>22607</v>
      </c>
      <c r="S57" s="26" t="n">
        <v>776175</v>
      </c>
      <c r="T57" s="26" t="n">
        <v>717494</v>
      </c>
      <c r="U57" s="26" t="n">
        <v>13468</v>
      </c>
      <c r="V57" s="26" t="n">
        <v>730962</v>
      </c>
      <c r="W57" s="26" t="n">
        <v>753568</v>
      </c>
      <c r="X57" s="27" t="n">
        <f aca="false">IF(V57=0,0,(W57-V57)/V57)</f>
        <v>0.0309263682653818</v>
      </c>
      <c r="Y57" s="26" t="n">
        <v>730962</v>
      </c>
      <c r="Z57" s="26" t="n">
        <v>371115167.06</v>
      </c>
      <c r="AA57" s="26" t="n">
        <v>312815163.06</v>
      </c>
      <c r="AB57" s="28" t="n">
        <f aca="false">IF(B57=0,0,L57/B57*10000)</f>
        <v>0.711014706124726</v>
      </c>
      <c r="AC57" s="28" t="n">
        <f aca="false">IF(D57=0,0,M57/D57*10000)</f>
        <v>0.711014706124726</v>
      </c>
      <c r="AD57" s="28" t="n">
        <f aca="false">IF(C57=0,0,N57/C57*10000)</f>
        <v>0</v>
      </c>
      <c r="AE57" s="28" t="n">
        <f aca="false">IF(E57=0,0,Q57/E57*10000)</f>
        <v>0.442831358323762</v>
      </c>
    </row>
    <row r="58" customFormat="false" ht="15" hidden="false" customHeight="true" outlineLevel="0" collapsed="false">
      <c r="A58" s="7" t="s">
        <v>191</v>
      </c>
      <c r="B58" s="26" t="n">
        <v>12143036964</v>
      </c>
      <c r="C58" s="26" t="n">
        <v>0</v>
      </c>
      <c r="D58" s="26" t="n">
        <v>12143036964</v>
      </c>
      <c r="E58" s="26" t="n">
        <v>403523120</v>
      </c>
      <c r="F58" s="26" t="n">
        <v>0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1495241</v>
      </c>
      <c r="M58" s="26" t="n">
        <v>1495241</v>
      </c>
      <c r="N58" s="26" t="n">
        <v>0</v>
      </c>
      <c r="O58" s="26" t="n">
        <v>0</v>
      </c>
      <c r="P58" s="26" t="n">
        <v>0</v>
      </c>
      <c r="Q58" s="26" t="n">
        <v>36499</v>
      </c>
      <c r="R58" s="26" t="n">
        <v>0</v>
      </c>
      <c r="S58" s="26" t="n">
        <v>1531740</v>
      </c>
      <c r="T58" s="26" t="n">
        <v>1450384</v>
      </c>
      <c r="U58" s="26" t="n">
        <v>35404</v>
      </c>
      <c r="V58" s="26" t="n">
        <v>1485788</v>
      </c>
      <c r="W58" s="26" t="n">
        <v>1531740</v>
      </c>
      <c r="X58" s="27" t="n">
        <f aca="false">IF(V58=0,0,(W58-V58)/V58)</f>
        <v>0.0309276962796846</v>
      </c>
      <c r="Y58" s="26" t="n">
        <v>1485788</v>
      </c>
      <c r="Z58" s="26" t="n">
        <v>371115167.06</v>
      </c>
      <c r="AA58" s="26" t="n">
        <v>312815163.06</v>
      </c>
      <c r="AB58" s="28" t="n">
        <f aca="false">IF(B58=0,0,L58/B58*10000)</f>
        <v>1.23135670626128</v>
      </c>
      <c r="AC58" s="28" t="n">
        <f aca="false">IF(D58=0,0,M58/D58*10000)</f>
        <v>1.23135670626128</v>
      </c>
      <c r="AD58" s="28" t="n">
        <f aca="false">IF(C58=0,0,N58/C58*10000)</f>
        <v>0</v>
      </c>
      <c r="AE58" s="28" t="n">
        <f aca="false">IF(E58=0,0,Q58/E58*10000)</f>
        <v>0.904508272041513</v>
      </c>
    </row>
    <row r="59" customFormat="false" ht="15" hidden="false" customHeight="true" outlineLevel="0" collapsed="false">
      <c r="A59" s="7" t="s">
        <v>192</v>
      </c>
      <c r="B59" s="26" t="n">
        <v>9582213925</v>
      </c>
      <c r="C59" s="26" t="n">
        <v>0</v>
      </c>
      <c r="D59" s="26" t="n">
        <v>9582213925</v>
      </c>
      <c r="E59" s="26" t="n">
        <v>252882738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3778850</v>
      </c>
      <c r="M59" s="26" t="n">
        <v>3778850</v>
      </c>
      <c r="N59" s="26" t="n">
        <v>0</v>
      </c>
      <c r="O59" s="26" t="n">
        <v>0</v>
      </c>
      <c r="P59" s="26" t="n">
        <v>0</v>
      </c>
      <c r="Q59" s="26" t="n">
        <v>76421</v>
      </c>
      <c r="R59" s="26" t="n">
        <v>0</v>
      </c>
      <c r="S59" s="26" t="n">
        <v>3855271</v>
      </c>
      <c r="T59" s="26" t="n">
        <v>3665484</v>
      </c>
      <c r="U59" s="26" t="n">
        <v>74128</v>
      </c>
      <c r="V59" s="26" t="n">
        <v>3739612</v>
      </c>
      <c r="W59" s="26" t="n">
        <v>3855271</v>
      </c>
      <c r="X59" s="27" t="n">
        <f aca="false">IF(V59=0,0,(W59-V59)/V59)</f>
        <v>0.0309280748911919</v>
      </c>
      <c r="Y59" s="26" t="n">
        <v>3739612</v>
      </c>
      <c r="Z59" s="26" t="n">
        <v>371115167.06</v>
      </c>
      <c r="AA59" s="26" t="n">
        <v>312815163.06</v>
      </c>
      <c r="AB59" s="28" t="n">
        <f aca="false">IF(B59=0,0,L59/B59*10000)</f>
        <v>3.94360847041932</v>
      </c>
      <c r="AC59" s="28" t="n">
        <f aca="false">IF(D59=0,0,M59/D59*10000)</f>
        <v>3.94360847041932</v>
      </c>
      <c r="AD59" s="28" t="n">
        <f aca="false">IF(C59=0,0,N59/C59*10000)</f>
        <v>0</v>
      </c>
      <c r="AE59" s="28" t="n">
        <f aca="false">IF(E59=0,0,Q59/E59*10000)</f>
        <v>3.02199353757392</v>
      </c>
    </row>
    <row r="60" customFormat="false" ht="15" hidden="false" customHeight="true" outlineLevel="0" collapsed="false">
      <c r="A60" s="7" t="s">
        <v>193</v>
      </c>
      <c r="B60" s="26" t="n">
        <v>6997932174</v>
      </c>
      <c r="C60" s="26" t="n">
        <v>0</v>
      </c>
      <c r="D60" s="26" t="n">
        <v>6997932174</v>
      </c>
      <c r="E60" s="26" t="n">
        <v>163029559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2179082</v>
      </c>
      <c r="M60" s="26" t="n">
        <v>2179082</v>
      </c>
      <c r="N60" s="26" t="n">
        <v>0</v>
      </c>
      <c r="O60" s="26" t="n">
        <v>0</v>
      </c>
      <c r="P60" s="26" t="n">
        <v>0</v>
      </c>
      <c r="Q60" s="26" t="n">
        <v>36925</v>
      </c>
      <c r="R60" s="26" t="n">
        <v>66507</v>
      </c>
      <c r="S60" s="26" t="n">
        <v>2282514</v>
      </c>
      <c r="T60" s="26" t="n">
        <v>2113710</v>
      </c>
      <c r="U60" s="26" t="n">
        <v>35817</v>
      </c>
      <c r="V60" s="26" t="n">
        <v>2149527</v>
      </c>
      <c r="W60" s="26" t="n">
        <v>2216007</v>
      </c>
      <c r="X60" s="27" t="n">
        <f aca="false">IF(V60=0,0,(W60-V60)/V60)</f>
        <v>0.0309277343341116</v>
      </c>
      <c r="Y60" s="26" t="n">
        <v>2149527</v>
      </c>
      <c r="Z60" s="26" t="n">
        <v>307854645.02</v>
      </c>
      <c r="AA60" s="26" t="n">
        <v>249554641.02</v>
      </c>
      <c r="AB60" s="28" t="n">
        <f aca="false">IF(B60=0,0,L60/B60*10000)</f>
        <v>3.11389414160961</v>
      </c>
      <c r="AC60" s="28" t="n">
        <f aca="false">IF(D60=0,0,M60/D60*10000)</f>
        <v>3.11389414160961</v>
      </c>
      <c r="AD60" s="28" t="n">
        <f aca="false">IF(C60=0,0,N60/C60*10000)</f>
        <v>0</v>
      </c>
      <c r="AE60" s="28" t="n">
        <f aca="false">IF(E60=0,0,Q60/E60*10000)</f>
        <v>2.26492669344705</v>
      </c>
    </row>
    <row r="61" customFormat="false" ht="15" hidden="false" customHeight="true" outlineLevel="0" collapsed="false">
      <c r="A61" s="7" t="s">
        <v>194</v>
      </c>
      <c r="B61" s="26" t="n">
        <v>10432793497</v>
      </c>
      <c r="C61" s="26" t="n">
        <v>0</v>
      </c>
      <c r="D61" s="26" t="n">
        <v>10432793497</v>
      </c>
      <c r="E61" s="26" t="n">
        <v>214669060</v>
      </c>
      <c r="F61" s="26" t="n">
        <v>0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1537557</v>
      </c>
      <c r="M61" s="26" t="n">
        <v>1537557</v>
      </c>
      <c r="N61" s="26" t="n">
        <v>0</v>
      </c>
      <c r="O61" s="26" t="n">
        <v>0</v>
      </c>
      <c r="P61" s="26" t="n">
        <v>0</v>
      </c>
      <c r="Q61" s="26" t="n">
        <v>21492</v>
      </c>
      <c r="R61" s="26" t="n">
        <v>46852</v>
      </c>
      <c r="S61" s="26" t="n">
        <v>1605901</v>
      </c>
      <c r="T61" s="26" t="n">
        <v>1491430</v>
      </c>
      <c r="U61" s="26" t="n">
        <v>20848</v>
      </c>
      <c r="V61" s="26" t="n">
        <v>1512278</v>
      </c>
      <c r="W61" s="26" t="n">
        <v>1559049</v>
      </c>
      <c r="X61" s="27" t="n">
        <f aca="false">IF(V61=0,0,(W61-V61)/V61)</f>
        <v>0.0309275146500842</v>
      </c>
      <c r="Y61" s="26" t="n">
        <v>1512278</v>
      </c>
      <c r="Z61" s="26" t="n">
        <v>307854645.02</v>
      </c>
      <c r="AA61" s="26" t="n">
        <v>249554641.02</v>
      </c>
      <c r="AB61" s="28" t="n">
        <f aca="false">IF(B61=0,0,L61/B61*10000)</f>
        <v>1.47377306034298</v>
      </c>
      <c r="AC61" s="28" t="n">
        <f aca="false">IF(D61=0,0,M61/D61*10000)</f>
        <v>1.47377306034298</v>
      </c>
      <c r="AD61" s="28" t="n">
        <f aca="false">IF(C61=0,0,N61/C61*10000)</f>
        <v>0</v>
      </c>
      <c r="AE61" s="28" t="n">
        <f aca="false">IF(E61=0,0,Q61/E61*10000)</f>
        <v>1.00116896212244</v>
      </c>
    </row>
    <row r="62" customFormat="false" ht="15" hidden="false" customHeight="true" outlineLevel="0" collapsed="false">
      <c r="A62" s="7" t="s">
        <v>195</v>
      </c>
      <c r="B62" s="26" t="n">
        <v>4284712660</v>
      </c>
      <c r="C62" s="26" t="n">
        <v>0</v>
      </c>
      <c r="D62" s="26" t="n">
        <v>4284712660</v>
      </c>
      <c r="E62" s="26" t="n">
        <v>87391052</v>
      </c>
      <c r="F62" s="26" t="n">
        <v>0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2474574</v>
      </c>
      <c r="M62" s="26" t="n">
        <v>2474574</v>
      </c>
      <c r="N62" s="26" t="n">
        <v>0</v>
      </c>
      <c r="O62" s="26" t="n">
        <v>0</v>
      </c>
      <c r="P62" s="26" t="n">
        <v>0</v>
      </c>
      <c r="Q62" s="26" t="n">
        <v>33048</v>
      </c>
      <c r="R62" s="26" t="n">
        <v>74950</v>
      </c>
      <c r="S62" s="26" t="n">
        <v>2582572</v>
      </c>
      <c r="T62" s="26" t="n">
        <v>2400337</v>
      </c>
      <c r="U62" s="26" t="n">
        <v>32056</v>
      </c>
      <c r="V62" s="26" t="n">
        <v>2432393</v>
      </c>
      <c r="W62" s="26" t="n">
        <v>2507622</v>
      </c>
      <c r="X62" s="27" t="n">
        <f aca="false">IF(V62=0,0,(W62-V62)/V62)</f>
        <v>0.0309279791546843</v>
      </c>
      <c r="Y62" s="26" t="n">
        <v>2432393</v>
      </c>
      <c r="Z62" s="26" t="n">
        <v>307854645.02</v>
      </c>
      <c r="AA62" s="26" t="n">
        <v>249554641.02</v>
      </c>
      <c r="AB62" s="28" t="n">
        <f aca="false">IF(B62=0,0,L62/B62*10000)</f>
        <v>5.77535577379884</v>
      </c>
      <c r="AC62" s="28" t="n">
        <f aca="false">IF(D62=0,0,M62/D62*10000)</f>
        <v>5.77535577379884</v>
      </c>
      <c r="AD62" s="28" t="n">
        <f aca="false">IF(C62=0,0,N62/C62*10000)</f>
        <v>0</v>
      </c>
      <c r="AE62" s="28" t="n">
        <f aca="false">IF(E62=0,0,Q62/E62*10000)</f>
        <v>3.78162285996969</v>
      </c>
    </row>
    <row r="63" customFormat="false" ht="15" hidden="false" customHeight="true" outlineLevel="0" collapsed="false">
      <c r="A63" s="7" t="s">
        <v>196</v>
      </c>
      <c r="B63" s="26" t="n">
        <v>11343211438</v>
      </c>
      <c r="C63" s="26" t="n">
        <v>0</v>
      </c>
      <c r="D63" s="26" t="n">
        <v>11343211438</v>
      </c>
      <c r="E63" s="26" t="n">
        <v>230865213</v>
      </c>
      <c r="F63" s="26" t="n">
        <v>0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  <c r="L63" s="26" t="n">
        <v>1004215</v>
      </c>
      <c r="M63" s="26" t="n">
        <v>1004215</v>
      </c>
      <c r="N63" s="26" t="n">
        <v>0</v>
      </c>
      <c r="O63" s="26" t="n">
        <v>0</v>
      </c>
      <c r="P63" s="26" t="n">
        <v>0</v>
      </c>
      <c r="Q63" s="26" t="n">
        <v>12337</v>
      </c>
      <c r="R63" s="26" t="n">
        <v>30706</v>
      </c>
      <c r="S63" s="26" t="n">
        <v>1047258</v>
      </c>
      <c r="T63" s="26" t="n">
        <v>974089</v>
      </c>
      <c r="U63" s="26" t="n">
        <v>11966</v>
      </c>
      <c r="V63" s="26" t="n">
        <v>986055</v>
      </c>
      <c r="W63" s="26" t="n">
        <v>1016552</v>
      </c>
      <c r="X63" s="27" t="n">
        <f aca="false">IF(V63=0,0,(W63-V63)/V63)</f>
        <v>0.0309282950748183</v>
      </c>
      <c r="Y63" s="26" t="n">
        <v>986055</v>
      </c>
      <c r="Z63" s="26" t="n">
        <v>307854645.02</v>
      </c>
      <c r="AA63" s="26" t="n">
        <v>249554641.02</v>
      </c>
      <c r="AB63" s="28" t="n">
        <f aca="false">IF(B63=0,0,L63/B63*10000)</f>
        <v>0.885300433205237</v>
      </c>
      <c r="AC63" s="28" t="n">
        <f aca="false">IF(D63=0,0,M63/D63*10000)</f>
        <v>0.885300433205237</v>
      </c>
      <c r="AD63" s="28" t="n">
        <f aca="false">IF(C63=0,0,N63/C63*10000)</f>
        <v>0</v>
      </c>
      <c r="AE63" s="28" t="n">
        <f aca="false">IF(E63=0,0,Q63/E63*10000)</f>
        <v>0.534381071954743</v>
      </c>
    </row>
    <row r="64" customFormat="false" ht="15" hidden="false" customHeight="true" outlineLevel="0" collapsed="false">
      <c r="A64" s="7" t="s">
        <v>197</v>
      </c>
      <c r="B64" s="26" t="n">
        <v>11727404333</v>
      </c>
      <c r="C64" s="26" t="n">
        <v>0</v>
      </c>
      <c r="D64" s="26" t="n">
        <v>11727404333</v>
      </c>
      <c r="E64" s="26" t="n">
        <v>260215664</v>
      </c>
      <c r="F64" s="26" t="n">
        <v>0</v>
      </c>
      <c r="G64" s="26" t="n">
        <v>0</v>
      </c>
      <c r="H64" s="26" t="n">
        <v>0</v>
      </c>
      <c r="I64" s="26" t="n">
        <v>0</v>
      </c>
      <c r="J64" s="26" t="n">
        <v>0</v>
      </c>
      <c r="K64" s="26" t="n">
        <v>0</v>
      </c>
      <c r="L64" s="26" t="n">
        <v>2590972</v>
      </c>
      <c r="M64" s="26" t="n">
        <v>2590972</v>
      </c>
      <c r="N64" s="26" t="n">
        <v>0</v>
      </c>
      <c r="O64" s="26" t="n">
        <v>0</v>
      </c>
      <c r="P64" s="26" t="n">
        <v>0</v>
      </c>
      <c r="Q64" s="26" t="n">
        <v>31229</v>
      </c>
      <c r="R64" s="26" t="n">
        <v>78435</v>
      </c>
      <c r="S64" s="26" t="n">
        <v>2700636</v>
      </c>
      <c r="T64" s="26" t="n">
        <v>2513243</v>
      </c>
      <c r="U64" s="26" t="n">
        <v>30292</v>
      </c>
      <c r="V64" s="26" t="n">
        <v>2543535</v>
      </c>
      <c r="W64" s="26" t="n">
        <v>2622201</v>
      </c>
      <c r="X64" s="27" t="n">
        <f aca="false">IF(V64=0,0,(W64-V64)/V64)</f>
        <v>0.030927822892156</v>
      </c>
      <c r="Y64" s="26" t="n">
        <v>2543535</v>
      </c>
      <c r="Z64" s="26" t="n">
        <v>307854645.02</v>
      </c>
      <c r="AA64" s="26" t="n">
        <v>249554641.02</v>
      </c>
      <c r="AB64" s="28" t="n">
        <f aca="false">IF(B64=0,0,L64/B64*10000)</f>
        <v>2.20933117544963</v>
      </c>
      <c r="AC64" s="28" t="n">
        <f aca="false">IF(D64=0,0,M64/D64*10000)</f>
        <v>2.20933117544963</v>
      </c>
      <c r="AD64" s="28" t="n">
        <f aca="false">IF(C64=0,0,N64/C64*10000)</f>
        <v>0</v>
      </c>
      <c r="AE64" s="28" t="n">
        <f aca="false">IF(E64=0,0,Q64/E64*10000)</f>
        <v>1.20011991284276</v>
      </c>
    </row>
    <row r="65" customFormat="false" ht="15" hidden="false" customHeight="true" outlineLevel="0" collapsed="false">
      <c r="A65" s="7" t="s">
        <v>198</v>
      </c>
      <c r="B65" s="26" t="n">
        <v>10274866680</v>
      </c>
      <c r="C65" s="26" t="n">
        <v>0</v>
      </c>
      <c r="D65" s="26" t="n">
        <v>10274866680</v>
      </c>
      <c r="E65" s="26" t="n">
        <v>277747349</v>
      </c>
      <c r="F65" s="26" t="n">
        <v>0</v>
      </c>
      <c r="G65" s="26" t="n">
        <v>0</v>
      </c>
      <c r="H65" s="26" t="n">
        <v>0</v>
      </c>
      <c r="I65" s="26" t="n">
        <v>0</v>
      </c>
      <c r="J65" s="26" t="n">
        <v>0</v>
      </c>
      <c r="K65" s="26" t="n">
        <v>0</v>
      </c>
      <c r="L65" s="26" t="n">
        <v>2348731</v>
      </c>
      <c r="M65" s="26" t="n">
        <v>2348731</v>
      </c>
      <c r="N65" s="26" t="n">
        <v>0</v>
      </c>
      <c r="O65" s="26" t="n">
        <v>0</v>
      </c>
      <c r="P65" s="26" t="n">
        <v>0</v>
      </c>
      <c r="Q65" s="26" t="n">
        <v>31999</v>
      </c>
      <c r="R65" s="26" t="n">
        <v>0</v>
      </c>
      <c r="S65" s="26" t="n">
        <v>2380730</v>
      </c>
      <c r="T65" s="26" t="n">
        <v>2278269</v>
      </c>
      <c r="U65" s="26" t="n">
        <v>31039</v>
      </c>
      <c r="V65" s="26" t="n">
        <v>2309308</v>
      </c>
      <c r="W65" s="26" t="n">
        <v>2380730</v>
      </c>
      <c r="X65" s="27" t="n">
        <f aca="false">IF(V65=0,0,(W65-V65)/V65)</f>
        <v>0.0309278796938304</v>
      </c>
      <c r="Y65" s="26" t="n">
        <v>2309308</v>
      </c>
      <c r="Z65" s="26" t="n">
        <v>307854645.02</v>
      </c>
      <c r="AA65" s="26" t="n">
        <v>249554641.02</v>
      </c>
      <c r="AB65" s="28" t="n">
        <f aca="false">IF(B65=0,0,L65/B65*10000)</f>
        <v>2.28589924633455</v>
      </c>
      <c r="AC65" s="28" t="n">
        <f aca="false">IF(D65=0,0,M65/D65*10000)</f>
        <v>2.28589924633455</v>
      </c>
      <c r="AD65" s="28" t="n">
        <f aca="false">IF(C65=0,0,N65/C65*10000)</f>
        <v>0</v>
      </c>
      <c r="AE65" s="28" t="n">
        <f aca="false">IF(E65=0,0,Q65/E65*10000)</f>
        <v>1.15209020410848</v>
      </c>
    </row>
    <row r="66" customFormat="false" ht="15" hidden="false" customHeight="true" outlineLevel="0" collapsed="false">
      <c r="A66" s="7" t="s">
        <v>199</v>
      </c>
      <c r="B66" s="26" t="n">
        <v>6239159452</v>
      </c>
      <c r="C66" s="26" t="n">
        <v>0</v>
      </c>
      <c r="D66" s="26" t="n">
        <v>6239159452</v>
      </c>
      <c r="E66" s="26" t="n">
        <v>143679985</v>
      </c>
      <c r="F66" s="26" t="n">
        <v>0</v>
      </c>
      <c r="G66" s="26" t="n">
        <v>0</v>
      </c>
      <c r="H66" s="26" t="n">
        <v>0</v>
      </c>
      <c r="I66" s="26" t="n">
        <v>0</v>
      </c>
      <c r="J66" s="26" t="n">
        <v>0</v>
      </c>
      <c r="K66" s="26" t="n">
        <v>0</v>
      </c>
      <c r="L66" s="26" t="n">
        <v>2789913</v>
      </c>
      <c r="M66" s="26" t="n">
        <v>2789913</v>
      </c>
      <c r="N66" s="26" t="n">
        <v>0</v>
      </c>
      <c r="O66" s="26" t="n">
        <v>0</v>
      </c>
      <c r="P66" s="26" t="n">
        <v>0</v>
      </c>
      <c r="Q66" s="26" t="n">
        <v>47916</v>
      </c>
      <c r="R66" s="26" t="n">
        <v>0</v>
      </c>
      <c r="S66" s="26" t="n">
        <v>2837829</v>
      </c>
      <c r="T66" s="26" t="n">
        <v>2706216</v>
      </c>
      <c r="U66" s="26" t="n">
        <v>46479</v>
      </c>
      <c r="V66" s="26" t="n">
        <v>2752695</v>
      </c>
      <c r="W66" s="26" t="n">
        <v>2837829</v>
      </c>
      <c r="X66" s="27" t="n">
        <f aca="false">IF(V66=0,0,(W66-V66)/V66)</f>
        <v>0.0309275092227799</v>
      </c>
      <c r="Y66" s="26" t="n">
        <v>2752695</v>
      </c>
      <c r="Z66" s="26" t="n">
        <v>307854645.02</v>
      </c>
      <c r="AA66" s="26" t="n">
        <v>249554641.02</v>
      </c>
      <c r="AB66" s="28" t="n">
        <f aca="false">IF(B66=0,0,L66/B66*10000)</f>
        <v>4.47161676418716</v>
      </c>
      <c r="AC66" s="28" t="n">
        <f aca="false">IF(D66=0,0,M66/D66*10000)</f>
        <v>4.47161676418716</v>
      </c>
      <c r="AD66" s="28" t="n">
        <f aca="false">IF(C66=0,0,N66/C66*10000)</f>
        <v>0</v>
      </c>
      <c r="AE66" s="28" t="n">
        <f aca="false">IF(E66=0,0,Q66/E66*10000)</f>
        <v>3.33491126130059</v>
      </c>
    </row>
    <row r="67" customFormat="false" ht="15" hidden="false" customHeight="true" outlineLevel="0" collapsed="false">
      <c r="A67" s="7" t="s">
        <v>200</v>
      </c>
      <c r="B67" s="26" t="n">
        <v>7999218747</v>
      </c>
      <c r="C67" s="26" t="n">
        <v>0</v>
      </c>
      <c r="D67" s="26" t="n">
        <v>7999218747</v>
      </c>
      <c r="E67" s="26" t="n">
        <v>171189803</v>
      </c>
      <c r="F67" s="26" t="n">
        <v>0</v>
      </c>
      <c r="G67" s="26" t="n">
        <v>0</v>
      </c>
      <c r="H67" s="26" t="n">
        <v>0</v>
      </c>
      <c r="I67" s="26" t="n">
        <v>0</v>
      </c>
      <c r="J67" s="26" t="n">
        <v>0</v>
      </c>
      <c r="K67" s="26" t="n">
        <v>0</v>
      </c>
      <c r="L67" s="26" t="n">
        <v>1450674</v>
      </c>
      <c r="M67" s="26" t="n">
        <v>1450674</v>
      </c>
      <c r="N67" s="26" t="n">
        <v>0</v>
      </c>
      <c r="O67" s="26" t="n">
        <v>0</v>
      </c>
      <c r="P67" s="26" t="n">
        <v>0</v>
      </c>
      <c r="Q67" s="26" t="n">
        <v>20047</v>
      </c>
      <c r="R67" s="26" t="n">
        <v>44122</v>
      </c>
      <c r="S67" s="26" t="n">
        <v>1514843</v>
      </c>
      <c r="T67" s="26" t="n">
        <v>1407154</v>
      </c>
      <c r="U67" s="26" t="n">
        <v>19446</v>
      </c>
      <c r="V67" s="26" t="n">
        <v>1426600</v>
      </c>
      <c r="W67" s="26" t="n">
        <v>1470721</v>
      </c>
      <c r="X67" s="27" t="n">
        <f aca="false">IF(V67=0,0,(W67-V67)/V67)</f>
        <v>0.0309273797841021</v>
      </c>
      <c r="Y67" s="26" t="n">
        <v>1426600</v>
      </c>
      <c r="Z67" s="26" t="n">
        <v>280945229.29</v>
      </c>
      <c r="AA67" s="26" t="n">
        <v>222645225.29</v>
      </c>
      <c r="AB67" s="28" t="n">
        <f aca="false">IF(B67=0,0,L67/B67*10000)</f>
        <v>1.81351960220372</v>
      </c>
      <c r="AC67" s="28" t="n">
        <f aca="false">IF(D67=0,0,M67/D67*10000)</f>
        <v>1.81351960220372</v>
      </c>
      <c r="AD67" s="28" t="n">
        <f aca="false">IF(C67=0,0,N67/C67*10000)</f>
        <v>0</v>
      </c>
      <c r="AE67" s="28" t="n">
        <f aca="false">IF(E67=0,0,Q67/E67*10000)</f>
        <v>1.17103937551701</v>
      </c>
    </row>
    <row r="68" customFormat="false" ht="15" hidden="false" customHeight="true" outlineLevel="0" collapsed="false">
      <c r="A68" s="7" t="s">
        <v>201</v>
      </c>
      <c r="B68" s="26" t="n">
        <v>9532124116</v>
      </c>
      <c r="C68" s="26" t="n">
        <v>0</v>
      </c>
      <c r="D68" s="26" t="n">
        <v>9532124116</v>
      </c>
      <c r="E68" s="26" t="n">
        <v>199378699</v>
      </c>
      <c r="F68" s="26" t="n">
        <v>0</v>
      </c>
      <c r="G68" s="26" t="n">
        <v>0</v>
      </c>
      <c r="H68" s="26" t="n">
        <v>0</v>
      </c>
      <c r="I68" s="26" t="n">
        <v>0</v>
      </c>
      <c r="J68" s="26" t="n">
        <v>0</v>
      </c>
      <c r="K68" s="26" t="n">
        <v>0</v>
      </c>
      <c r="L68" s="26" t="n">
        <v>1566336</v>
      </c>
      <c r="M68" s="26" t="n">
        <v>1566336</v>
      </c>
      <c r="N68" s="26" t="n">
        <v>0</v>
      </c>
      <c r="O68" s="26" t="n">
        <v>0</v>
      </c>
      <c r="P68" s="26" t="n">
        <v>0</v>
      </c>
      <c r="Q68" s="26" t="n">
        <v>24157</v>
      </c>
      <c r="R68" s="26" t="n">
        <v>47715</v>
      </c>
      <c r="S68" s="26" t="n">
        <v>1638208</v>
      </c>
      <c r="T68" s="26" t="n">
        <v>1519346</v>
      </c>
      <c r="U68" s="26" t="n">
        <v>23432</v>
      </c>
      <c r="V68" s="26" t="n">
        <v>1542778</v>
      </c>
      <c r="W68" s="26" t="n">
        <v>1590493</v>
      </c>
      <c r="X68" s="27" t="n">
        <f aca="false">IF(V68=0,0,(W68-V68)/V68)</f>
        <v>0.0309279753794778</v>
      </c>
      <c r="Y68" s="26" t="n">
        <v>1542778</v>
      </c>
      <c r="Z68" s="26" t="n">
        <v>280945229.29</v>
      </c>
      <c r="AA68" s="26" t="n">
        <v>222645225.29</v>
      </c>
      <c r="AB68" s="28" t="n">
        <f aca="false">IF(B68=0,0,L68/B68*10000)</f>
        <v>1.64321821761726</v>
      </c>
      <c r="AC68" s="28" t="n">
        <f aca="false">IF(D68=0,0,M68/D68*10000)</f>
        <v>1.64321821761726</v>
      </c>
      <c r="AD68" s="28" t="n">
        <f aca="false">IF(C68=0,0,N68/C68*10000)</f>
        <v>0</v>
      </c>
      <c r="AE68" s="28" t="n">
        <f aca="false">IF(E68=0,0,Q68/E68*10000)</f>
        <v>1.21161388459055</v>
      </c>
    </row>
    <row r="69" customFormat="false" ht="15" hidden="false" customHeight="true" outlineLevel="0" collapsed="false">
      <c r="A69" s="7" t="s">
        <v>202</v>
      </c>
      <c r="B69" s="26" t="n">
        <v>9256420312</v>
      </c>
      <c r="C69" s="26" t="n">
        <v>0</v>
      </c>
      <c r="D69" s="26" t="n">
        <v>9256420312</v>
      </c>
      <c r="E69" s="26" t="n">
        <v>149081874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0</v>
      </c>
      <c r="L69" s="26" t="n">
        <v>2332222</v>
      </c>
      <c r="M69" s="26" t="n">
        <v>2332222</v>
      </c>
      <c r="N69" s="26" t="n">
        <v>0</v>
      </c>
      <c r="O69" s="26" t="n">
        <v>0</v>
      </c>
      <c r="P69" s="26" t="n">
        <v>0</v>
      </c>
      <c r="Q69" s="26" t="n">
        <v>23676</v>
      </c>
      <c r="R69" s="26" t="n">
        <v>70677</v>
      </c>
      <c r="S69" s="26" t="n">
        <v>2426575</v>
      </c>
      <c r="T69" s="26" t="n">
        <v>2262255</v>
      </c>
      <c r="U69" s="26" t="n">
        <v>22966</v>
      </c>
      <c r="V69" s="26" t="n">
        <v>2285221</v>
      </c>
      <c r="W69" s="26" t="n">
        <v>2355898</v>
      </c>
      <c r="X69" s="27" t="n">
        <f aca="false">IF(V69=0,0,(W69-V69)/V69)</f>
        <v>0.0309278621192436</v>
      </c>
      <c r="Y69" s="26" t="n">
        <v>2285221</v>
      </c>
      <c r="Z69" s="26" t="n">
        <v>280945229.29</v>
      </c>
      <c r="AA69" s="26" t="n">
        <v>222645225.29</v>
      </c>
      <c r="AB69" s="28" t="n">
        <f aca="false">IF(B69=0,0,L69/B69*10000)</f>
        <v>2.51957227674343</v>
      </c>
      <c r="AC69" s="28" t="n">
        <f aca="false">IF(D69=0,0,M69/D69*10000)</f>
        <v>2.51957227674343</v>
      </c>
      <c r="AD69" s="28" t="n">
        <f aca="false">IF(C69=0,0,N69/C69*10000)</f>
        <v>0</v>
      </c>
      <c r="AE69" s="28" t="n">
        <f aca="false">IF(E69=0,0,Q69/E69*10000)</f>
        <v>1.58812063229095</v>
      </c>
    </row>
    <row r="70" customFormat="false" ht="15" hidden="false" customHeight="true" outlineLevel="0" collapsed="false">
      <c r="A70" s="7" t="s">
        <v>203</v>
      </c>
      <c r="B70" s="26" t="n">
        <v>2647739434</v>
      </c>
      <c r="C70" s="26" t="n">
        <v>0</v>
      </c>
      <c r="D70" s="26" t="n">
        <v>2647739434</v>
      </c>
      <c r="E70" s="26" t="n">
        <v>67592094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0</v>
      </c>
      <c r="L70" s="26" t="n">
        <v>634401</v>
      </c>
      <c r="M70" s="26" t="n">
        <v>634401</v>
      </c>
      <c r="N70" s="26" t="n">
        <v>0</v>
      </c>
      <c r="O70" s="26" t="n">
        <v>0</v>
      </c>
      <c r="P70" s="26" t="n">
        <v>0</v>
      </c>
      <c r="Q70" s="26" t="n">
        <v>10892</v>
      </c>
      <c r="R70" s="26" t="n">
        <v>18033</v>
      </c>
      <c r="S70" s="26" t="n">
        <v>663326</v>
      </c>
      <c r="T70" s="26" t="n">
        <v>615369</v>
      </c>
      <c r="U70" s="26" t="n">
        <v>10565</v>
      </c>
      <c r="V70" s="26" t="n">
        <v>625934</v>
      </c>
      <c r="W70" s="26" t="n">
        <v>645293</v>
      </c>
      <c r="X70" s="27" t="n">
        <f aca="false">IF(V70=0,0,(W70-V70)/V70)</f>
        <v>0.0309281809264236</v>
      </c>
      <c r="Y70" s="26" t="n">
        <v>625934</v>
      </c>
      <c r="Z70" s="26" t="n">
        <v>280945229.29</v>
      </c>
      <c r="AA70" s="26" t="n">
        <v>222645225.29</v>
      </c>
      <c r="AB70" s="28" t="n">
        <f aca="false">IF(B70=0,0,L70/B70*10000)</f>
        <v>2.39600993909584</v>
      </c>
      <c r="AC70" s="28" t="n">
        <f aca="false">IF(D70=0,0,M70/D70*10000)</f>
        <v>2.39600993909584</v>
      </c>
      <c r="AD70" s="28" t="n">
        <f aca="false">IF(C70=0,0,N70/C70*10000)</f>
        <v>0</v>
      </c>
      <c r="AE70" s="28" t="n">
        <f aca="false">IF(E70=0,0,Q70/E70*10000)</f>
        <v>1.61143106470411</v>
      </c>
    </row>
    <row r="71" customFormat="false" ht="15" hidden="false" customHeight="true" outlineLevel="0" collapsed="false">
      <c r="A71" s="7" t="s">
        <v>204</v>
      </c>
      <c r="B71" s="26" t="n">
        <v>6002900152</v>
      </c>
      <c r="C71" s="26" t="n">
        <v>0</v>
      </c>
      <c r="D71" s="26" t="n">
        <v>6002900152</v>
      </c>
      <c r="E71" s="26" t="n">
        <v>118439528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0</v>
      </c>
      <c r="L71" s="26" t="n">
        <v>1210965</v>
      </c>
      <c r="M71" s="26" t="n">
        <v>1210965</v>
      </c>
      <c r="N71" s="26" t="n">
        <v>0</v>
      </c>
      <c r="O71" s="26" t="n">
        <v>0</v>
      </c>
      <c r="P71" s="26" t="n">
        <v>0</v>
      </c>
      <c r="Q71" s="26" t="n">
        <v>17991</v>
      </c>
      <c r="R71" s="26" t="n">
        <v>37861</v>
      </c>
      <c r="S71" s="26" t="n">
        <v>1266817</v>
      </c>
      <c r="T71" s="26" t="n">
        <v>1174636</v>
      </c>
      <c r="U71" s="26" t="n">
        <v>17452</v>
      </c>
      <c r="V71" s="26" t="n">
        <v>1192088</v>
      </c>
      <c r="W71" s="26" t="n">
        <v>1228956</v>
      </c>
      <c r="X71" s="27" t="n">
        <f aca="false">IF(V71=0,0,(W71-V71)/V71)</f>
        <v>0.0309272469817664</v>
      </c>
      <c r="Y71" s="26" t="n">
        <v>1192088</v>
      </c>
      <c r="Z71" s="26" t="n">
        <v>280945229.29</v>
      </c>
      <c r="AA71" s="26" t="n">
        <v>222645225.29</v>
      </c>
      <c r="AB71" s="28" t="n">
        <f aca="false">IF(B71=0,0,L71/B71*10000)</f>
        <v>2.01729992060011</v>
      </c>
      <c r="AC71" s="28" t="n">
        <f aca="false">IF(D71=0,0,M71/D71*10000)</f>
        <v>2.01729992060011</v>
      </c>
      <c r="AD71" s="28" t="n">
        <f aca="false">IF(C71=0,0,N71/C71*10000)</f>
        <v>0</v>
      </c>
      <c r="AE71" s="28" t="n">
        <f aca="false">IF(E71=0,0,Q71/E71*10000)</f>
        <v>1.51900301392623</v>
      </c>
    </row>
    <row r="72" customFormat="false" ht="15" hidden="false" customHeight="true" outlineLevel="0" collapsed="false">
      <c r="A72" s="7" t="s">
        <v>205</v>
      </c>
      <c r="B72" s="26" t="n">
        <v>10015810879</v>
      </c>
      <c r="C72" s="26" t="n">
        <v>0</v>
      </c>
      <c r="D72" s="26" t="n">
        <v>10015810879</v>
      </c>
      <c r="E72" s="26" t="n">
        <v>169103609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0</v>
      </c>
      <c r="L72" s="26" t="n">
        <v>2172589</v>
      </c>
      <c r="M72" s="26" t="n">
        <v>2172589</v>
      </c>
      <c r="N72" s="26" t="n">
        <v>0</v>
      </c>
      <c r="O72" s="26" t="n">
        <v>0</v>
      </c>
      <c r="P72" s="26" t="n">
        <v>0</v>
      </c>
      <c r="Q72" s="26" t="n">
        <v>24937</v>
      </c>
      <c r="R72" s="26" t="n">
        <v>65505</v>
      </c>
      <c r="S72" s="26" t="n">
        <v>2263031</v>
      </c>
      <c r="T72" s="26" t="n">
        <v>2107411</v>
      </c>
      <c r="U72" s="26" t="n">
        <v>24189</v>
      </c>
      <c r="V72" s="26" t="n">
        <v>2131600</v>
      </c>
      <c r="W72" s="26" t="n">
        <v>2197526</v>
      </c>
      <c r="X72" s="27" t="n">
        <f aca="false">IF(V72=0,0,(W72-V72)/V72)</f>
        <v>0.0309279414524301</v>
      </c>
      <c r="Y72" s="26" t="n">
        <v>2131600</v>
      </c>
      <c r="Z72" s="26" t="n">
        <v>280945229.29</v>
      </c>
      <c r="AA72" s="26" t="n">
        <v>222645225.29</v>
      </c>
      <c r="AB72" s="28" t="n">
        <f aca="false">IF(B72=0,0,L72/B72*10000)</f>
        <v>2.1691593683695</v>
      </c>
      <c r="AC72" s="28" t="n">
        <f aca="false">IF(D72=0,0,M72/D72*10000)</f>
        <v>2.1691593683695</v>
      </c>
      <c r="AD72" s="28" t="n">
        <f aca="false">IF(C72=0,0,N72/C72*10000)</f>
        <v>0</v>
      </c>
      <c r="AE72" s="28" t="n">
        <f aca="false">IF(E72=0,0,Q72/E72*10000)</f>
        <v>1.47465806007724</v>
      </c>
    </row>
    <row r="73" customFormat="false" ht="15" hidden="false" customHeight="true" outlineLevel="0" collapsed="false">
      <c r="A73" s="7" t="s">
        <v>206</v>
      </c>
      <c r="B73" s="26" t="n">
        <v>8249582534</v>
      </c>
      <c r="C73" s="26" t="n">
        <v>0</v>
      </c>
      <c r="D73" s="26" t="n">
        <v>8249582534</v>
      </c>
      <c r="E73" s="26" t="n">
        <v>165879349</v>
      </c>
      <c r="F73" s="26" t="n">
        <v>0</v>
      </c>
      <c r="G73" s="26" t="n">
        <v>0</v>
      </c>
      <c r="H73" s="26" t="n">
        <v>0</v>
      </c>
      <c r="I73" s="26" t="n">
        <v>0</v>
      </c>
      <c r="J73" s="26" t="n">
        <v>0</v>
      </c>
      <c r="K73" s="26" t="n">
        <v>0</v>
      </c>
      <c r="L73" s="26" t="n">
        <v>1863002</v>
      </c>
      <c r="M73" s="26" t="n">
        <v>1863002</v>
      </c>
      <c r="N73" s="26" t="n">
        <v>0</v>
      </c>
      <c r="O73" s="26" t="n">
        <v>0</v>
      </c>
      <c r="P73" s="26" t="n">
        <v>0</v>
      </c>
      <c r="Q73" s="26" t="n">
        <v>24588</v>
      </c>
      <c r="R73" s="26" t="n">
        <v>57174</v>
      </c>
      <c r="S73" s="26" t="n">
        <v>1944764</v>
      </c>
      <c r="T73" s="26" t="n">
        <v>1807112</v>
      </c>
      <c r="U73" s="26" t="n">
        <v>23851</v>
      </c>
      <c r="V73" s="26" t="n">
        <v>1830963</v>
      </c>
      <c r="W73" s="26" t="n">
        <v>1887590</v>
      </c>
      <c r="X73" s="27" t="n">
        <f aca="false">IF(V73=0,0,(W73-V73)/V73)</f>
        <v>0.0309274409149721</v>
      </c>
      <c r="Y73" s="26" t="n">
        <v>1830963</v>
      </c>
      <c r="Z73" s="26" t="n">
        <v>280945229.29</v>
      </c>
      <c r="AA73" s="26" t="n">
        <v>222645225.29</v>
      </c>
      <c r="AB73" s="28" t="n">
        <f aca="false">IF(B73=0,0,L73/B73*10000)</f>
        <v>2.25829851670892</v>
      </c>
      <c r="AC73" s="28" t="n">
        <f aca="false">IF(D73=0,0,M73/D73*10000)</f>
        <v>2.25829851670892</v>
      </c>
      <c r="AD73" s="28" t="n">
        <f aca="false">IF(C73=0,0,N73/C73*10000)</f>
        <v>0</v>
      </c>
      <c r="AE73" s="28" t="n">
        <f aca="false">IF(E73=0,0,Q73/E73*10000)</f>
        <v>1.48228216159686</v>
      </c>
    </row>
    <row r="74" customFormat="false" ht="15" hidden="false" customHeight="true" outlineLevel="0" collapsed="false">
      <c r="A74" s="7" t="s">
        <v>207</v>
      </c>
      <c r="B74" s="26" t="n">
        <v>7394647408</v>
      </c>
      <c r="C74" s="26" t="n">
        <v>0</v>
      </c>
      <c r="D74" s="26" t="n">
        <v>7394647408</v>
      </c>
      <c r="E74" s="26" t="n">
        <v>179610161</v>
      </c>
      <c r="F74" s="26" t="n">
        <v>0</v>
      </c>
      <c r="G74" s="26" t="n">
        <v>0</v>
      </c>
      <c r="H74" s="26" t="n">
        <v>0</v>
      </c>
      <c r="I74" s="26" t="n">
        <v>0</v>
      </c>
      <c r="J74" s="26" t="n">
        <v>0</v>
      </c>
      <c r="K74" s="26" t="n">
        <v>0</v>
      </c>
      <c r="L74" s="26" t="n">
        <v>1540013</v>
      </c>
      <c r="M74" s="26" t="n">
        <v>1540013</v>
      </c>
      <c r="N74" s="26" t="n">
        <v>0</v>
      </c>
      <c r="O74" s="26" t="n">
        <v>0</v>
      </c>
      <c r="P74" s="26" t="n">
        <v>0</v>
      </c>
      <c r="Q74" s="26" t="n">
        <v>26516</v>
      </c>
      <c r="R74" s="26" t="n">
        <v>46996</v>
      </c>
      <c r="S74" s="26" t="n">
        <v>1613525</v>
      </c>
      <c r="T74" s="26" t="n">
        <v>1493812</v>
      </c>
      <c r="U74" s="26" t="n">
        <v>25720</v>
      </c>
      <c r="V74" s="26" t="n">
        <v>1519532</v>
      </c>
      <c r="W74" s="26" t="n">
        <v>1566529</v>
      </c>
      <c r="X74" s="27" t="n">
        <f aca="false">IF(V74=0,0,(W74-V74)/V74)</f>
        <v>0.0309286017010501</v>
      </c>
      <c r="Y74" s="26" t="n">
        <v>1519532</v>
      </c>
      <c r="Z74" s="26" t="n">
        <v>222937436.17</v>
      </c>
      <c r="AA74" s="26" t="n">
        <v>164637432.17</v>
      </c>
      <c r="AB74" s="28" t="n">
        <f aca="false">IF(B74=0,0,L74/B74*10000)</f>
        <v>2.0826050452844</v>
      </c>
      <c r="AC74" s="28" t="n">
        <f aca="false">IF(D74=0,0,M74/D74*10000)</f>
        <v>2.0826050452844</v>
      </c>
      <c r="AD74" s="28" t="n">
        <f aca="false">IF(C74=0,0,N74/C74*10000)</f>
        <v>0</v>
      </c>
      <c r="AE74" s="28" t="n">
        <f aca="false">IF(E74=0,0,Q74/E74*10000)</f>
        <v>1.47630845896296</v>
      </c>
    </row>
    <row r="75" customFormat="false" ht="15" hidden="false" customHeight="true" outlineLevel="0" collapsed="false">
      <c r="A75" s="7" t="s">
        <v>208</v>
      </c>
      <c r="B75" s="26" t="n">
        <v>4808984645</v>
      </c>
      <c r="C75" s="26" t="n">
        <v>0</v>
      </c>
      <c r="D75" s="26" t="n">
        <v>4808984645</v>
      </c>
      <c r="E75" s="26" t="n">
        <v>144019081</v>
      </c>
      <c r="F75" s="26" t="n">
        <v>0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0</v>
      </c>
      <c r="L75" s="26" t="n">
        <v>1114147</v>
      </c>
      <c r="M75" s="26" t="n">
        <v>1114147</v>
      </c>
      <c r="N75" s="26" t="n">
        <v>0</v>
      </c>
      <c r="O75" s="26" t="n">
        <v>0</v>
      </c>
      <c r="P75" s="26" t="n">
        <v>0</v>
      </c>
      <c r="Q75" s="26" t="n">
        <v>21681</v>
      </c>
      <c r="R75" s="26" t="n">
        <v>33865</v>
      </c>
      <c r="S75" s="26" t="n">
        <v>1169693</v>
      </c>
      <c r="T75" s="26" t="n">
        <v>1080722</v>
      </c>
      <c r="U75" s="26" t="n">
        <v>21030</v>
      </c>
      <c r="V75" s="26" t="n">
        <v>1101752</v>
      </c>
      <c r="W75" s="26" t="n">
        <v>1135828</v>
      </c>
      <c r="X75" s="27" t="n">
        <f aca="false">IF(V75=0,0,(W75-V75)/V75)</f>
        <v>0.0309289204830125</v>
      </c>
      <c r="Y75" s="26" t="n">
        <v>1101752</v>
      </c>
      <c r="Z75" s="26" t="n">
        <v>222937436.17</v>
      </c>
      <c r="AA75" s="26" t="n">
        <v>164637432.17</v>
      </c>
      <c r="AB75" s="28" t="n">
        <f aca="false">IF(B75=0,0,L75/B75*10000)</f>
        <v>2.31680298908503</v>
      </c>
      <c r="AC75" s="28" t="n">
        <f aca="false">IF(D75=0,0,M75/D75*10000)</f>
        <v>2.31680298908503</v>
      </c>
      <c r="AD75" s="28" t="n">
        <f aca="false">IF(C75=0,0,N75/C75*10000)</f>
        <v>0</v>
      </c>
      <c r="AE75" s="28" t="n">
        <f aca="false">IF(E75=0,0,Q75/E75*10000)</f>
        <v>1.50542552066417</v>
      </c>
    </row>
    <row r="76" customFormat="false" ht="15" hidden="false" customHeight="true" outlineLevel="0" collapsed="false">
      <c r="A76" s="7" t="s">
        <v>209</v>
      </c>
      <c r="B76" s="26" t="n">
        <v>4138290068</v>
      </c>
      <c r="C76" s="26" t="n">
        <v>0</v>
      </c>
      <c r="D76" s="26" t="n">
        <v>4138290068</v>
      </c>
      <c r="E76" s="26" t="n">
        <v>129815493</v>
      </c>
      <c r="F76" s="26" t="n">
        <v>0</v>
      </c>
      <c r="G76" s="26" t="n">
        <v>0</v>
      </c>
      <c r="H76" s="26" t="n">
        <v>0</v>
      </c>
      <c r="I76" s="26" t="n">
        <v>0</v>
      </c>
      <c r="J76" s="26" t="n">
        <v>0</v>
      </c>
      <c r="K76" s="26" t="n">
        <v>0</v>
      </c>
      <c r="L76" s="26" t="n">
        <v>944786</v>
      </c>
      <c r="M76" s="26" t="n">
        <v>944786</v>
      </c>
      <c r="N76" s="26" t="n">
        <v>0</v>
      </c>
      <c r="O76" s="26" t="n">
        <v>0</v>
      </c>
      <c r="P76" s="26" t="n">
        <v>0</v>
      </c>
      <c r="Q76" s="26" t="n">
        <v>16728</v>
      </c>
      <c r="R76" s="26" t="n">
        <v>28909</v>
      </c>
      <c r="S76" s="26" t="n">
        <v>990423</v>
      </c>
      <c r="T76" s="26" t="n">
        <v>916442</v>
      </c>
      <c r="U76" s="26" t="n">
        <v>16226</v>
      </c>
      <c r="V76" s="26" t="n">
        <v>932668</v>
      </c>
      <c r="W76" s="26" t="n">
        <v>961514</v>
      </c>
      <c r="X76" s="27" t="n">
        <f aca="false">IF(V76=0,0,(W76-V76)/V76)</f>
        <v>0.0309284761565745</v>
      </c>
      <c r="Y76" s="26" t="n">
        <v>932668</v>
      </c>
      <c r="Z76" s="26" t="n">
        <v>222937436.17</v>
      </c>
      <c r="AA76" s="26" t="n">
        <v>164637432.17</v>
      </c>
      <c r="AB76" s="28" t="n">
        <f aca="false">IF(B76=0,0,L76/B76*10000)</f>
        <v>2.28303474255155</v>
      </c>
      <c r="AC76" s="28" t="n">
        <f aca="false">IF(D76=0,0,M76/D76*10000)</f>
        <v>2.28303474255155</v>
      </c>
      <c r="AD76" s="28" t="n">
        <f aca="false">IF(C76=0,0,N76/C76*10000)</f>
        <v>0</v>
      </c>
      <c r="AE76" s="28" t="n">
        <f aca="false">IF(E76=0,0,Q76/E76*10000)</f>
        <v>1.28859811825388</v>
      </c>
    </row>
    <row r="77" customFormat="false" ht="15" hidden="false" customHeight="true" outlineLevel="0" collapsed="false">
      <c r="A77" s="7" t="s">
        <v>210</v>
      </c>
      <c r="B77" s="26" t="n">
        <v>2114924441</v>
      </c>
      <c r="C77" s="26" t="n">
        <v>0</v>
      </c>
      <c r="D77" s="26" t="n">
        <v>2114924441</v>
      </c>
      <c r="E77" s="26" t="n">
        <v>57862220</v>
      </c>
      <c r="F77" s="26" t="n">
        <v>0</v>
      </c>
      <c r="G77" s="26" t="n">
        <v>0</v>
      </c>
      <c r="H77" s="26" t="n">
        <v>0</v>
      </c>
      <c r="I77" s="26" t="n">
        <v>0</v>
      </c>
      <c r="J77" s="26" t="n">
        <v>0</v>
      </c>
      <c r="K77" s="26" t="n">
        <v>0</v>
      </c>
      <c r="L77" s="26" t="n">
        <v>614685</v>
      </c>
      <c r="M77" s="26" t="n">
        <v>614685</v>
      </c>
      <c r="N77" s="26" t="n">
        <v>0</v>
      </c>
      <c r="O77" s="26" t="n">
        <v>0</v>
      </c>
      <c r="P77" s="26" t="n">
        <v>0</v>
      </c>
      <c r="Q77" s="26" t="n">
        <v>7895</v>
      </c>
      <c r="R77" s="26" t="n">
        <v>18776</v>
      </c>
      <c r="S77" s="26" t="n">
        <v>641356</v>
      </c>
      <c r="T77" s="26" t="n">
        <v>596245</v>
      </c>
      <c r="U77" s="26" t="n">
        <v>7658</v>
      </c>
      <c r="V77" s="26" t="n">
        <v>603903</v>
      </c>
      <c r="W77" s="26" t="n">
        <v>622580</v>
      </c>
      <c r="X77" s="27" t="n">
        <f aca="false">IF(V77=0,0,(W77-V77)/V77)</f>
        <v>0.0309271522082189</v>
      </c>
      <c r="Y77" s="26" t="n">
        <v>603903</v>
      </c>
      <c r="Z77" s="26" t="n">
        <v>222937436.17</v>
      </c>
      <c r="AA77" s="26" t="n">
        <v>164637432.17</v>
      </c>
      <c r="AB77" s="28" t="n">
        <f aca="false">IF(B77=0,0,L77/B77*10000)</f>
        <v>2.9064158893041</v>
      </c>
      <c r="AC77" s="28" t="n">
        <f aca="false">IF(D77=0,0,M77/D77*10000)</f>
        <v>2.9064158893041</v>
      </c>
      <c r="AD77" s="28" t="n">
        <f aca="false">IF(C77=0,0,N77/C77*10000)</f>
        <v>0</v>
      </c>
      <c r="AE77" s="28" t="n">
        <f aca="false">IF(E77=0,0,Q77/E77*10000)</f>
        <v>1.36444816669668</v>
      </c>
    </row>
    <row r="78" customFormat="false" ht="15" hidden="false" customHeight="true" outlineLevel="0" collapsed="false">
      <c r="A78" s="7" t="s">
        <v>211</v>
      </c>
      <c r="B78" s="26" t="n">
        <v>3777141022</v>
      </c>
      <c r="C78" s="26" t="n">
        <v>0</v>
      </c>
      <c r="D78" s="26" t="n">
        <v>3777141022</v>
      </c>
      <c r="E78" s="26" t="n">
        <v>61473426</v>
      </c>
      <c r="F78" s="26" t="n">
        <v>0</v>
      </c>
      <c r="G78" s="26" t="n">
        <v>0</v>
      </c>
      <c r="H78" s="26" t="n">
        <v>0</v>
      </c>
      <c r="I78" s="26" t="n">
        <v>0</v>
      </c>
      <c r="J78" s="26" t="n">
        <v>0</v>
      </c>
      <c r="K78" s="26" t="n">
        <v>0</v>
      </c>
      <c r="L78" s="26" t="n">
        <v>832729</v>
      </c>
      <c r="M78" s="26" t="n">
        <v>832729</v>
      </c>
      <c r="N78" s="26" t="n">
        <v>0</v>
      </c>
      <c r="O78" s="26" t="n">
        <v>0</v>
      </c>
      <c r="P78" s="26" t="n">
        <v>0</v>
      </c>
      <c r="Q78" s="26" t="n">
        <v>10659</v>
      </c>
      <c r="R78" s="26" t="n">
        <v>25302</v>
      </c>
      <c r="S78" s="26" t="n">
        <v>868690</v>
      </c>
      <c r="T78" s="26" t="n">
        <v>807747</v>
      </c>
      <c r="U78" s="26" t="n">
        <v>10339</v>
      </c>
      <c r="V78" s="26" t="n">
        <v>818086</v>
      </c>
      <c r="W78" s="26" t="n">
        <v>843388</v>
      </c>
      <c r="X78" s="27" t="n">
        <f aca="false">IF(V78=0,0,(W78-V78)/V78)</f>
        <v>0.0309282887129226</v>
      </c>
      <c r="Y78" s="26" t="n">
        <v>818086</v>
      </c>
      <c r="Z78" s="26" t="n">
        <v>222937436.17</v>
      </c>
      <c r="AA78" s="26" t="n">
        <v>164637432.17</v>
      </c>
      <c r="AB78" s="28" t="n">
        <f aca="false">IF(B78=0,0,L78/B78*10000)</f>
        <v>2.20465424814631</v>
      </c>
      <c r="AC78" s="28" t="n">
        <f aca="false">IF(D78=0,0,M78/D78*10000)</f>
        <v>2.20465424814631</v>
      </c>
      <c r="AD78" s="28" t="n">
        <f aca="false">IF(C78=0,0,N78/C78*10000)</f>
        <v>0</v>
      </c>
      <c r="AE78" s="28" t="n">
        <f aca="false">IF(E78=0,0,Q78/E78*10000)</f>
        <v>1.73391995429049</v>
      </c>
    </row>
    <row r="79" customFormat="false" ht="15" hidden="false" customHeight="true" outlineLevel="0" collapsed="false">
      <c r="A79" s="7" t="s">
        <v>212</v>
      </c>
      <c r="B79" s="26" t="n">
        <v>3675385692</v>
      </c>
      <c r="C79" s="26" t="n">
        <v>0</v>
      </c>
      <c r="D79" s="26" t="n">
        <v>3675385692</v>
      </c>
      <c r="E79" s="26" t="n">
        <v>62237612</v>
      </c>
      <c r="F79" s="26" t="n">
        <v>0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0</v>
      </c>
      <c r="L79" s="26" t="n">
        <v>801532</v>
      </c>
      <c r="M79" s="26" t="n">
        <v>801532</v>
      </c>
      <c r="N79" s="26" t="n">
        <v>0</v>
      </c>
      <c r="O79" s="26" t="n">
        <v>0</v>
      </c>
      <c r="P79" s="26" t="n">
        <v>0</v>
      </c>
      <c r="Q79" s="26" t="n">
        <v>8208</v>
      </c>
      <c r="R79" s="26" t="n">
        <v>24292</v>
      </c>
      <c r="S79" s="26" t="n">
        <v>834032</v>
      </c>
      <c r="T79" s="26" t="n">
        <v>777486</v>
      </c>
      <c r="U79" s="26" t="n">
        <v>7961</v>
      </c>
      <c r="V79" s="26" t="n">
        <v>785447</v>
      </c>
      <c r="W79" s="26" t="n">
        <v>809740</v>
      </c>
      <c r="X79" s="27" t="n">
        <f aca="false">IF(V79=0,0,(W79-V79)/V79)</f>
        <v>0.0309288850807247</v>
      </c>
      <c r="Y79" s="26" t="n">
        <v>785447</v>
      </c>
      <c r="Z79" s="26" t="n">
        <v>222937436.17</v>
      </c>
      <c r="AA79" s="26" t="n">
        <v>164637432.17</v>
      </c>
      <c r="AB79" s="28" t="n">
        <f aca="false">IF(B79=0,0,L79/B79*10000)</f>
        <v>2.18081057926696</v>
      </c>
      <c r="AC79" s="28" t="n">
        <f aca="false">IF(D79=0,0,M79/D79*10000)</f>
        <v>2.18081057926696</v>
      </c>
      <c r="AD79" s="28" t="n">
        <f aca="false">IF(C79=0,0,N79/C79*10000)</f>
        <v>0</v>
      </c>
      <c r="AE79" s="28" t="n">
        <f aca="false">IF(E79=0,0,Q79/E79*10000)</f>
        <v>1.31881666668059</v>
      </c>
    </row>
    <row r="80" customFormat="false" ht="15" hidden="false" customHeight="true" outlineLevel="0" collapsed="false">
      <c r="A80" s="7" t="s">
        <v>213</v>
      </c>
      <c r="B80" s="26" t="n">
        <v>5036523757</v>
      </c>
      <c r="C80" s="26" t="n">
        <v>0</v>
      </c>
      <c r="D80" s="26" t="n">
        <v>5036523757</v>
      </c>
      <c r="E80" s="26" t="n">
        <v>57535112</v>
      </c>
      <c r="F80" s="26" t="n">
        <v>0</v>
      </c>
      <c r="G80" s="26" t="n">
        <v>0</v>
      </c>
      <c r="H80" s="26" t="n">
        <v>0</v>
      </c>
      <c r="I80" s="26" t="n">
        <v>0</v>
      </c>
      <c r="J80" s="26" t="n">
        <v>0</v>
      </c>
      <c r="K80" s="26" t="n">
        <v>0</v>
      </c>
      <c r="L80" s="26" t="n">
        <v>1117474</v>
      </c>
      <c r="M80" s="26" t="n">
        <v>1117474</v>
      </c>
      <c r="N80" s="26" t="n">
        <v>0</v>
      </c>
      <c r="O80" s="26" t="n">
        <v>0</v>
      </c>
      <c r="P80" s="26" t="n">
        <v>0</v>
      </c>
      <c r="Q80" s="26" t="n">
        <v>8169</v>
      </c>
      <c r="R80" s="26" t="n">
        <v>33579</v>
      </c>
      <c r="S80" s="26" t="n">
        <v>1159222</v>
      </c>
      <c r="T80" s="26" t="n">
        <v>1083950</v>
      </c>
      <c r="U80" s="26" t="n">
        <v>7924</v>
      </c>
      <c r="V80" s="26" t="n">
        <v>1091874</v>
      </c>
      <c r="W80" s="26" t="n">
        <v>1125643</v>
      </c>
      <c r="X80" s="27" t="n">
        <f aca="false">IF(V80=0,0,(W80-V80)/V80)</f>
        <v>0.030927561238751</v>
      </c>
      <c r="Y80" s="26" t="n">
        <v>1091874</v>
      </c>
      <c r="Z80" s="26" t="n">
        <v>222937436.17</v>
      </c>
      <c r="AA80" s="26" t="n">
        <v>164637432.17</v>
      </c>
      <c r="AB80" s="28" t="n">
        <f aca="false">IF(B80=0,0,L80/B80*10000)</f>
        <v>2.21874065112248</v>
      </c>
      <c r="AC80" s="28" t="n">
        <f aca="false">IF(D80=0,0,M80/D80*10000)</f>
        <v>2.21874065112248</v>
      </c>
      <c r="AD80" s="28" t="n">
        <f aca="false">IF(C80=0,0,N80/C80*10000)</f>
        <v>0</v>
      </c>
      <c r="AE80" s="28" t="n">
        <f aca="false">IF(E80=0,0,Q80/E80*10000)</f>
        <v>1.41982864307277</v>
      </c>
    </row>
    <row r="81" customFormat="false" ht="15" hidden="false" customHeight="true" outlineLevel="0" collapsed="false">
      <c r="A81" s="7" t="s">
        <v>214</v>
      </c>
      <c r="B81" s="26" t="n">
        <v>5961689397</v>
      </c>
      <c r="C81" s="26" t="n">
        <v>0</v>
      </c>
      <c r="D81" s="26" t="n">
        <v>5961689397</v>
      </c>
      <c r="E81" s="26" t="n">
        <v>135305314</v>
      </c>
      <c r="F81" s="26" t="n">
        <v>0</v>
      </c>
      <c r="G81" s="26" t="n">
        <v>0</v>
      </c>
      <c r="H81" s="26" t="n">
        <v>0</v>
      </c>
      <c r="I81" s="26" t="n">
        <v>0</v>
      </c>
      <c r="J81" s="26" t="n">
        <v>0</v>
      </c>
      <c r="K81" s="26" t="n">
        <v>0</v>
      </c>
      <c r="L81" s="26" t="n">
        <v>1391797</v>
      </c>
      <c r="M81" s="26" t="n">
        <v>1391797</v>
      </c>
      <c r="N81" s="26" t="n">
        <v>0</v>
      </c>
      <c r="O81" s="26" t="n">
        <v>0</v>
      </c>
      <c r="P81" s="26" t="n">
        <v>0</v>
      </c>
      <c r="Q81" s="26" t="n">
        <v>18478</v>
      </c>
      <c r="R81" s="26" t="n">
        <v>42499</v>
      </c>
      <c r="S81" s="26" t="n">
        <v>1452774</v>
      </c>
      <c r="T81" s="26" t="n">
        <v>1350043</v>
      </c>
      <c r="U81" s="26" t="n">
        <v>17924</v>
      </c>
      <c r="V81" s="26" t="n">
        <v>1367967</v>
      </c>
      <c r="W81" s="26" t="n">
        <v>1410275</v>
      </c>
      <c r="X81" s="27" t="n">
        <f aca="false">IF(V81=0,0,(W81-V81)/V81)</f>
        <v>0.0309276466464469</v>
      </c>
      <c r="Y81" s="26" t="n">
        <v>1367967</v>
      </c>
      <c r="Z81" s="26" t="n">
        <v>276062026.88</v>
      </c>
      <c r="AA81" s="26" t="n">
        <v>217762022.88</v>
      </c>
      <c r="AB81" s="28" t="n">
        <f aca="false">IF(B81=0,0,L81/B81*10000)</f>
        <v>2.33456811872885</v>
      </c>
      <c r="AC81" s="28" t="n">
        <f aca="false">IF(D81=0,0,M81/D81*10000)</f>
        <v>2.33456811872885</v>
      </c>
      <c r="AD81" s="28" t="n">
        <f aca="false">IF(C81=0,0,N81/C81*10000)</f>
        <v>0</v>
      </c>
      <c r="AE81" s="28" t="n">
        <f aca="false">IF(E81=0,0,Q81/E81*10000)</f>
        <v>1.36565220195269</v>
      </c>
    </row>
    <row r="82" customFormat="false" ht="15" hidden="false" customHeight="true" outlineLevel="0" collapsed="false">
      <c r="A82" s="7" t="s">
        <v>215</v>
      </c>
      <c r="B82" s="26" t="n">
        <v>4540248583</v>
      </c>
      <c r="C82" s="26" t="n">
        <v>0</v>
      </c>
      <c r="D82" s="26" t="n">
        <v>4540248583</v>
      </c>
      <c r="E82" s="26" t="n">
        <v>84104047</v>
      </c>
      <c r="F82" s="26" t="n">
        <v>0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  <c r="L82" s="26" t="n">
        <v>1147968</v>
      </c>
      <c r="M82" s="26" t="n">
        <v>1147968</v>
      </c>
      <c r="N82" s="26" t="n">
        <v>0</v>
      </c>
      <c r="O82" s="26" t="n">
        <v>0</v>
      </c>
      <c r="P82" s="26" t="n">
        <v>0</v>
      </c>
      <c r="Q82" s="26" t="n">
        <v>14033</v>
      </c>
      <c r="R82" s="26" t="n">
        <v>34860</v>
      </c>
      <c r="S82" s="26" t="n">
        <v>1196861</v>
      </c>
      <c r="T82" s="26" t="n">
        <v>1113529</v>
      </c>
      <c r="U82" s="26" t="n">
        <v>13612</v>
      </c>
      <c r="V82" s="26" t="n">
        <v>1127141</v>
      </c>
      <c r="W82" s="26" t="n">
        <v>1162001</v>
      </c>
      <c r="X82" s="27" t="n">
        <f aca="false">IF(V82=0,0,(W82-V82)/V82)</f>
        <v>0.0309278076123573</v>
      </c>
      <c r="Y82" s="26" t="n">
        <v>1127141</v>
      </c>
      <c r="Z82" s="26" t="n">
        <v>276062026.88</v>
      </c>
      <c r="AA82" s="26" t="n">
        <v>217762022.88</v>
      </c>
      <c r="AB82" s="28" t="n">
        <f aca="false">IF(B82=0,0,L82/B82*10000)</f>
        <v>2.5284254353348</v>
      </c>
      <c r="AC82" s="28" t="n">
        <f aca="false">IF(D82=0,0,M82/D82*10000)</f>
        <v>2.5284254353348</v>
      </c>
      <c r="AD82" s="28" t="n">
        <f aca="false">IF(C82=0,0,N82/C82*10000)</f>
        <v>0</v>
      </c>
      <c r="AE82" s="28" t="n">
        <f aca="false">IF(E82=0,0,Q82/E82*10000)</f>
        <v>1.66852850731428</v>
      </c>
    </row>
    <row r="83" customFormat="false" ht="15" hidden="false" customHeight="true" outlineLevel="0" collapsed="false">
      <c r="A83" s="7" t="s">
        <v>216</v>
      </c>
      <c r="B83" s="26" t="n">
        <v>3544118949</v>
      </c>
      <c r="C83" s="26" t="n">
        <v>0</v>
      </c>
      <c r="D83" s="26" t="n">
        <v>3544118949</v>
      </c>
      <c r="E83" s="26" t="n">
        <v>96389184</v>
      </c>
      <c r="F83" s="26" t="n">
        <v>0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  <c r="L83" s="26" t="n">
        <v>846172</v>
      </c>
      <c r="M83" s="26" t="n">
        <v>846172</v>
      </c>
      <c r="N83" s="26" t="n">
        <v>0</v>
      </c>
      <c r="O83" s="26" t="n">
        <v>0</v>
      </c>
      <c r="P83" s="26" t="n">
        <v>0</v>
      </c>
      <c r="Q83" s="26" t="n">
        <v>12366</v>
      </c>
      <c r="R83" s="26" t="n">
        <v>25756</v>
      </c>
      <c r="S83" s="26" t="n">
        <v>884294</v>
      </c>
      <c r="T83" s="26" t="n">
        <v>820786</v>
      </c>
      <c r="U83" s="26" t="n">
        <v>11995</v>
      </c>
      <c r="V83" s="26" t="n">
        <v>832781</v>
      </c>
      <c r="W83" s="26" t="n">
        <v>858538</v>
      </c>
      <c r="X83" s="27" t="n">
        <f aca="false">IF(V83=0,0,(W83-V83)/V83)</f>
        <v>0.0309288996747044</v>
      </c>
      <c r="Y83" s="26" t="n">
        <v>832781</v>
      </c>
      <c r="Z83" s="26" t="n">
        <v>276062026.88</v>
      </c>
      <c r="AA83" s="26" t="n">
        <v>217762022.88</v>
      </c>
      <c r="AB83" s="28" t="n">
        <f aca="false">IF(B83=0,0,L83/B83*10000)</f>
        <v>2.38753837604337</v>
      </c>
      <c r="AC83" s="28" t="n">
        <f aca="false">IF(D83=0,0,M83/D83*10000)</f>
        <v>2.38753837604337</v>
      </c>
      <c r="AD83" s="28" t="n">
        <f aca="false">IF(C83=0,0,N83/C83*10000)</f>
        <v>0</v>
      </c>
      <c r="AE83" s="28" t="n">
        <f aca="false">IF(E83=0,0,Q83/E83*10000)</f>
        <v>1.2829240259986</v>
      </c>
    </row>
    <row r="84" customFormat="false" ht="15" hidden="false" customHeight="true" outlineLevel="0" collapsed="false">
      <c r="A84" s="7" t="s">
        <v>217</v>
      </c>
      <c r="B84" s="26" t="n">
        <v>1997651968</v>
      </c>
      <c r="C84" s="26" t="n">
        <v>0</v>
      </c>
      <c r="D84" s="26" t="n">
        <v>1997651968</v>
      </c>
      <c r="E84" s="26" t="n">
        <v>50878685</v>
      </c>
      <c r="F84" s="26" t="n">
        <v>0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  <c r="L84" s="26" t="n">
        <v>520879</v>
      </c>
      <c r="M84" s="26" t="n">
        <v>520879</v>
      </c>
      <c r="N84" s="26" t="n">
        <v>0</v>
      </c>
      <c r="O84" s="26" t="n">
        <v>0</v>
      </c>
      <c r="P84" s="26" t="n">
        <v>0</v>
      </c>
      <c r="Q84" s="26" t="n">
        <v>8437</v>
      </c>
      <c r="R84" s="26" t="n">
        <v>15880</v>
      </c>
      <c r="S84" s="26" t="n">
        <v>545196</v>
      </c>
      <c r="T84" s="26" t="n">
        <v>505253</v>
      </c>
      <c r="U84" s="26" t="n">
        <v>8184</v>
      </c>
      <c r="V84" s="26" t="n">
        <v>513437</v>
      </c>
      <c r="W84" s="26" t="n">
        <v>529316</v>
      </c>
      <c r="X84" s="27" t="n">
        <f aca="false">IF(V84=0,0,(W84-V84)/V84)</f>
        <v>0.0309268712617127</v>
      </c>
      <c r="Y84" s="26" t="n">
        <v>513437</v>
      </c>
      <c r="Z84" s="26" t="n">
        <v>276062026.88</v>
      </c>
      <c r="AA84" s="26" t="n">
        <v>217762022.88</v>
      </c>
      <c r="AB84" s="28" t="n">
        <f aca="false">IF(B84=0,0,L84/B84*10000)</f>
        <v>2.60745619529257</v>
      </c>
      <c r="AC84" s="28" t="n">
        <f aca="false">IF(D84=0,0,M84/D84*10000)</f>
        <v>2.60745619529257</v>
      </c>
      <c r="AD84" s="28" t="n">
        <f aca="false">IF(C84=0,0,N84/C84*10000)</f>
        <v>0</v>
      </c>
      <c r="AE84" s="28" t="n">
        <f aca="false">IF(E84=0,0,Q84/E84*10000)</f>
        <v>1.65825826669852</v>
      </c>
    </row>
    <row r="85" customFormat="false" ht="15" hidden="false" customHeight="true" outlineLevel="0" collapsed="false">
      <c r="A85" s="7" t="s">
        <v>218</v>
      </c>
      <c r="B85" s="26" t="n">
        <v>2488758769</v>
      </c>
      <c r="C85" s="26" t="n">
        <v>0</v>
      </c>
      <c r="D85" s="26" t="n">
        <v>2488758769</v>
      </c>
      <c r="E85" s="26" t="n">
        <v>48432865</v>
      </c>
      <c r="F85" s="26" t="n">
        <v>0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  <c r="L85" s="26" t="n">
        <v>565355</v>
      </c>
      <c r="M85" s="26" t="n">
        <v>565355</v>
      </c>
      <c r="N85" s="26" t="n">
        <v>0</v>
      </c>
      <c r="O85" s="26" t="n">
        <v>0</v>
      </c>
      <c r="P85" s="26" t="n">
        <v>0</v>
      </c>
      <c r="Q85" s="26" t="n">
        <v>6558</v>
      </c>
      <c r="R85" s="26" t="n">
        <v>16775</v>
      </c>
      <c r="S85" s="26" t="n">
        <v>588688</v>
      </c>
      <c r="T85" s="26" t="n">
        <v>548395</v>
      </c>
      <c r="U85" s="26" t="n">
        <v>6361</v>
      </c>
      <c r="V85" s="26" t="n">
        <v>554756</v>
      </c>
      <c r="W85" s="26" t="n">
        <v>571913</v>
      </c>
      <c r="X85" s="27" t="n">
        <f aca="false">IF(V85=0,0,(W85-V85)/V85)</f>
        <v>0.0309271102971396</v>
      </c>
      <c r="Y85" s="26" t="n">
        <v>554756</v>
      </c>
      <c r="Z85" s="26" t="n">
        <v>276062026.88</v>
      </c>
      <c r="AA85" s="26" t="n">
        <v>217762022.88</v>
      </c>
      <c r="AB85" s="28" t="n">
        <f aca="false">IF(B85=0,0,L85/B85*10000)</f>
        <v>2.27163438675563</v>
      </c>
      <c r="AC85" s="28" t="n">
        <f aca="false">IF(D85=0,0,M85/D85*10000)</f>
        <v>2.27163438675563</v>
      </c>
      <c r="AD85" s="28" t="n">
        <f aca="false">IF(C85=0,0,N85/C85*10000)</f>
        <v>0</v>
      </c>
      <c r="AE85" s="28" t="n">
        <f aca="false">IF(E85=0,0,Q85/E85*10000)</f>
        <v>1.35403924587158</v>
      </c>
    </row>
    <row r="86" customFormat="false" ht="15" hidden="false" customHeight="true" outlineLevel="0" collapsed="false">
      <c r="A86" s="7" t="s">
        <v>219</v>
      </c>
      <c r="B86" s="26" t="n">
        <v>4926613495</v>
      </c>
      <c r="C86" s="26" t="n">
        <v>0</v>
      </c>
      <c r="D86" s="26" t="n">
        <v>4926613495</v>
      </c>
      <c r="E86" s="26" t="n">
        <v>130689060</v>
      </c>
      <c r="F86" s="26" t="n">
        <v>0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  <c r="L86" s="26" t="n">
        <v>1219711</v>
      </c>
      <c r="M86" s="26" t="n">
        <v>1219711</v>
      </c>
      <c r="N86" s="26" t="n">
        <v>0</v>
      </c>
      <c r="O86" s="26" t="n">
        <v>0</v>
      </c>
      <c r="P86" s="26" t="n">
        <v>0</v>
      </c>
      <c r="Q86" s="26" t="n">
        <v>19185</v>
      </c>
      <c r="R86" s="26" t="n">
        <v>37549</v>
      </c>
      <c r="S86" s="26" t="n">
        <v>1276445</v>
      </c>
      <c r="T86" s="26" t="n">
        <v>1183120</v>
      </c>
      <c r="U86" s="26" t="n">
        <v>18609</v>
      </c>
      <c r="V86" s="26" t="n">
        <v>1201729</v>
      </c>
      <c r="W86" s="26" t="n">
        <v>1238896</v>
      </c>
      <c r="X86" s="27" t="n">
        <f aca="false">IF(V86=0,0,(W86-V86)/V86)</f>
        <v>0.0309279379960041</v>
      </c>
      <c r="Y86" s="26" t="n">
        <v>1201729</v>
      </c>
      <c r="Z86" s="26" t="n">
        <v>276062026.88</v>
      </c>
      <c r="AA86" s="26" t="n">
        <v>217762022.88</v>
      </c>
      <c r="AB86" s="28" t="n">
        <f aca="false">IF(B86=0,0,L86/B86*10000)</f>
        <v>2.47575946689928</v>
      </c>
      <c r="AC86" s="28" t="n">
        <f aca="false">IF(D86=0,0,M86/D86*10000)</f>
        <v>2.47575946689928</v>
      </c>
      <c r="AD86" s="28" t="n">
        <f aca="false">IF(C86=0,0,N86/C86*10000)</f>
        <v>0</v>
      </c>
      <c r="AE86" s="28" t="n">
        <f aca="false">IF(E86=0,0,Q86/E86*10000)</f>
        <v>1.46798821569304</v>
      </c>
    </row>
    <row r="87" customFormat="false" ht="15" hidden="false" customHeight="true" outlineLevel="0" collapsed="false">
      <c r="A87" s="7" t="s">
        <v>220</v>
      </c>
      <c r="B87" s="26" t="n">
        <v>3864176664</v>
      </c>
      <c r="C87" s="26" t="n">
        <v>0</v>
      </c>
      <c r="D87" s="26" t="n">
        <v>3864176664</v>
      </c>
      <c r="E87" s="26" t="n">
        <v>76294797</v>
      </c>
      <c r="F87" s="26" t="n">
        <v>0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0</v>
      </c>
      <c r="L87" s="26" t="n">
        <v>971143</v>
      </c>
      <c r="M87" s="26" t="n">
        <v>971143</v>
      </c>
      <c r="N87" s="26" t="n">
        <v>0</v>
      </c>
      <c r="O87" s="26" t="n">
        <v>0</v>
      </c>
      <c r="P87" s="26" t="n">
        <v>0</v>
      </c>
      <c r="Q87" s="26" t="n">
        <v>11525</v>
      </c>
      <c r="R87" s="26" t="n">
        <v>29480</v>
      </c>
      <c r="S87" s="26" t="n">
        <v>1012148</v>
      </c>
      <c r="T87" s="26" t="n">
        <v>942009</v>
      </c>
      <c r="U87" s="26" t="n">
        <v>11179</v>
      </c>
      <c r="V87" s="26" t="n">
        <v>953188</v>
      </c>
      <c r="W87" s="26" t="n">
        <v>982668</v>
      </c>
      <c r="X87" s="27" t="n">
        <f aca="false">IF(V87=0,0,(W87-V87)/V87)</f>
        <v>0.0309277917892378</v>
      </c>
      <c r="Y87" s="26" t="n">
        <v>953188</v>
      </c>
      <c r="Z87" s="26" t="n">
        <v>276062026.88</v>
      </c>
      <c r="AA87" s="26" t="n">
        <v>217762022.88</v>
      </c>
      <c r="AB87" s="28" t="n">
        <f aca="false">IF(B87=0,0,L87/B87*10000)</f>
        <v>2.51319513687742</v>
      </c>
      <c r="AC87" s="28" t="n">
        <f aca="false">IF(D87=0,0,M87/D87*10000)</f>
        <v>2.51319513687742</v>
      </c>
      <c r="AD87" s="28" t="n">
        <f aca="false">IF(C87=0,0,N87/C87*10000)</f>
        <v>0</v>
      </c>
      <c r="AE87" s="28" t="n">
        <f aca="false">IF(E87=0,0,Q87/E87*10000)</f>
        <v>1.51058793694674</v>
      </c>
    </row>
    <row r="88" customFormat="false" ht="15" hidden="false" customHeight="true" outlineLevel="0" collapsed="false">
      <c r="A88" s="7" t="s">
        <v>221</v>
      </c>
      <c r="B88" s="26" t="n">
        <v>4515482041</v>
      </c>
      <c r="C88" s="26" t="n">
        <v>0</v>
      </c>
      <c r="D88" s="26" t="n">
        <v>4515482041</v>
      </c>
      <c r="E88" s="26" t="n">
        <v>388622924</v>
      </c>
      <c r="F88" s="26" t="n">
        <v>0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  <c r="L88" s="26" t="n">
        <v>1069362</v>
      </c>
      <c r="M88" s="26" t="n">
        <v>1069362</v>
      </c>
      <c r="N88" s="26" t="n">
        <v>0</v>
      </c>
      <c r="O88" s="26" t="n">
        <v>0</v>
      </c>
      <c r="P88" s="26" t="n">
        <v>0</v>
      </c>
      <c r="Q88" s="26" t="n">
        <v>62061</v>
      </c>
      <c r="R88" s="26" t="n">
        <v>33780</v>
      </c>
      <c r="S88" s="26" t="n">
        <v>1165203</v>
      </c>
      <c r="T88" s="26" t="n">
        <v>1037281</v>
      </c>
      <c r="U88" s="26" t="n">
        <v>60200</v>
      </c>
      <c r="V88" s="26" t="n">
        <v>1097481</v>
      </c>
      <c r="W88" s="26" t="n">
        <v>1131423</v>
      </c>
      <c r="X88" s="27" t="n">
        <f aca="false">IF(V88=0,0,(W88-V88)/V88)</f>
        <v>0.0309271868943517</v>
      </c>
      <c r="Y88" s="26" t="n">
        <v>1097481</v>
      </c>
      <c r="Z88" s="26" t="n">
        <v>252423406.33</v>
      </c>
      <c r="AA88" s="26" t="n">
        <v>194123402.33</v>
      </c>
      <c r="AB88" s="28" t="n">
        <f aca="false">IF(B88=0,0,L88/B88*10000)</f>
        <v>2.36821227565591</v>
      </c>
      <c r="AC88" s="28" t="n">
        <f aca="false">IF(D88=0,0,M88/D88*10000)</f>
        <v>2.36821227565591</v>
      </c>
      <c r="AD88" s="28" t="n">
        <f aca="false">IF(C88=0,0,N88/C88*10000)</f>
        <v>0</v>
      </c>
      <c r="AE88" s="28" t="n">
        <f aca="false">IF(E88=0,0,Q88/E88*10000)</f>
        <v>1.59694645290662</v>
      </c>
    </row>
    <row r="89" customFormat="false" ht="15" hidden="false" customHeight="true" outlineLevel="0" collapsed="false">
      <c r="A89" s="7" t="s">
        <v>222</v>
      </c>
      <c r="B89" s="26" t="n">
        <v>2965303526</v>
      </c>
      <c r="C89" s="26" t="n">
        <v>0</v>
      </c>
      <c r="D89" s="26" t="n">
        <v>2965303526</v>
      </c>
      <c r="E89" s="26" t="n">
        <v>87102845</v>
      </c>
      <c r="F89" s="26" t="n">
        <v>0</v>
      </c>
      <c r="G89" s="26" t="n">
        <v>0</v>
      </c>
      <c r="H89" s="26" t="n">
        <v>0</v>
      </c>
      <c r="I89" s="26" t="n">
        <v>0</v>
      </c>
      <c r="J89" s="26" t="n">
        <v>0</v>
      </c>
      <c r="K89" s="26" t="n">
        <v>0</v>
      </c>
      <c r="L89" s="26" t="n">
        <v>814575</v>
      </c>
      <c r="M89" s="26" t="n">
        <v>814575</v>
      </c>
      <c r="N89" s="26" t="n">
        <v>0</v>
      </c>
      <c r="O89" s="26" t="n">
        <v>0</v>
      </c>
      <c r="P89" s="26" t="n">
        <v>0</v>
      </c>
      <c r="Q89" s="26" t="n">
        <v>12229</v>
      </c>
      <c r="R89" s="26" t="n">
        <v>24870</v>
      </c>
      <c r="S89" s="26" t="n">
        <v>851674</v>
      </c>
      <c r="T89" s="26" t="n">
        <v>790138</v>
      </c>
      <c r="U89" s="26" t="n">
        <v>11862</v>
      </c>
      <c r="V89" s="26" t="n">
        <v>802000</v>
      </c>
      <c r="W89" s="26" t="n">
        <v>826804</v>
      </c>
      <c r="X89" s="27" t="n">
        <f aca="false">IF(V89=0,0,(W89-V89)/V89)</f>
        <v>0.030927680798005</v>
      </c>
      <c r="Y89" s="26" t="n">
        <v>802000</v>
      </c>
      <c r="Z89" s="26" t="n">
        <v>252423406.33</v>
      </c>
      <c r="AA89" s="26" t="n">
        <v>194123402.33</v>
      </c>
      <c r="AB89" s="28" t="n">
        <f aca="false">IF(B89=0,0,L89/B89*10000)</f>
        <v>2.74702064344424</v>
      </c>
      <c r="AC89" s="28" t="n">
        <f aca="false">IF(D89=0,0,M89/D89*10000)</f>
        <v>2.74702064344424</v>
      </c>
      <c r="AD89" s="28" t="n">
        <f aca="false">IF(C89=0,0,N89/C89*10000)</f>
        <v>0</v>
      </c>
      <c r="AE89" s="28" t="n">
        <f aca="false">IF(E89=0,0,Q89/E89*10000)</f>
        <v>1.40397251088641</v>
      </c>
    </row>
    <row r="90" customFormat="false" ht="15" hidden="false" customHeight="true" outlineLevel="0" collapsed="false">
      <c r="A90" s="7" t="s">
        <v>223</v>
      </c>
      <c r="B90" s="26" t="n">
        <v>4678610007</v>
      </c>
      <c r="C90" s="26" t="n">
        <v>0</v>
      </c>
      <c r="D90" s="26" t="n">
        <v>4678610007</v>
      </c>
      <c r="E90" s="26" t="n">
        <v>108552416</v>
      </c>
      <c r="F90" s="26" t="n">
        <v>0</v>
      </c>
      <c r="G90" s="26" t="n">
        <v>0</v>
      </c>
      <c r="H90" s="26" t="n">
        <v>0</v>
      </c>
      <c r="I90" s="26" t="n">
        <v>0</v>
      </c>
      <c r="J90" s="26" t="n">
        <v>0</v>
      </c>
      <c r="K90" s="26" t="n">
        <v>0</v>
      </c>
      <c r="L90" s="26" t="n">
        <v>1082851</v>
      </c>
      <c r="M90" s="26" t="n">
        <v>1082851</v>
      </c>
      <c r="N90" s="26" t="n">
        <v>0</v>
      </c>
      <c r="O90" s="26" t="n">
        <v>0</v>
      </c>
      <c r="P90" s="26" t="n">
        <v>0</v>
      </c>
      <c r="Q90" s="26" t="n">
        <v>18181</v>
      </c>
      <c r="R90" s="26" t="n">
        <v>33128</v>
      </c>
      <c r="S90" s="26" t="n">
        <v>1134160</v>
      </c>
      <c r="T90" s="26" t="n">
        <v>1050365</v>
      </c>
      <c r="U90" s="26" t="n">
        <v>17635</v>
      </c>
      <c r="V90" s="26" t="n">
        <v>1068000</v>
      </c>
      <c r="W90" s="26" t="n">
        <v>1101032</v>
      </c>
      <c r="X90" s="27" t="n">
        <f aca="false">IF(V90=0,0,(W90-V90)/V90)</f>
        <v>0.0309288389513109</v>
      </c>
      <c r="Y90" s="26" t="n">
        <v>1068000</v>
      </c>
      <c r="Z90" s="26" t="n">
        <v>252423406.33</v>
      </c>
      <c r="AA90" s="26" t="n">
        <v>194123402.33</v>
      </c>
      <c r="AB90" s="28" t="n">
        <f aca="false">IF(B90=0,0,L90/B90*10000)</f>
        <v>2.3144716024201</v>
      </c>
      <c r="AC90" s="28" t="n">
        <f aca="false">IF(D90=0,0,M90/D90*10000)</f>
        <v>2.3144716024201</v>
      </c>
      <c r="AD90" s="28" t="n">
        <f aca="false">IF(C90=0,0,N90/C90*10000)</f>
        <v>0</v>
      </c>
      <c r="AE90" s="28" t="n">
        <f aca="false">IF(E90=0,0,Q90/E90*10000)</f>
        <v>1.67485908374439</v>
      </c>
    </row>
    <row r="91" customFormat="false" ht="15" hidden="false" customHeight="true" outlineLevel="0" collapsed="false">
      <c r="A91" s="7" t="s">
        <v>224</v>
      </c>
      <c r="B91" s="26" t="n">
        <v>3299894098</v>
      </c>
      <c r="C91" s="26" t="n">
        <v>0</v>
      </c>
      <c r="D91" s="26" t="n">
        <v>3299894098</v>
      </c>
      <c r="E91" s="26" t="n">
        <v>87727670</v>
      </c>
      <c r="F91" s="26" t="n">
        <v>0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0</v>
      </c>
      <c r="L91" s="26" t="n">
        <v>781379</v>
      </c>
      <c r="M91" s="26" t="n">
        <v>781379</v>
      </c>
      <c r="N91" s="26" t="n">
        <v>0</v>
      </c>
      <c r="O91" s="26" t="n">
        <v>0</v>
      </c>
      <c r="P91" s="26" t="n">
        <v>0</v>
      </c>
      <c r="Q91" s="26" t="n">
        <v>12604</v>
      </c>
      <c r="R91" s="26" t="n">
        <v>23671</v>
      </c>
      <c r="S91" s="26" t="n">
        <v>817654</v>
      </c>
      <c r="T91" s="26" t="n">
        <v>757937</v>
      </c>
      <c r="U91" s="26" t="n">
        <v>12226</v>
      </c>
      <c r="V91" s="26" t="n">
        <v>770163</v>
      </c>
      <c r="W91" s="26" t="n">
        <v>793983</v>
      </c>
      <c r="X91" s="27" t="n">
        <f aca="false">IF(V91=0,0,(W91-V91)/V91)</f>
        <v>0.0309285177293638</v>
      </c>
      <c r="Y91" s="26" t="n">
        <v>770163</v>
      </c>
      <c r="Z91" s="26" t="n">
        <v>252423406.33</v>
      </c>
      <c r="AA91" s="26" t="n">
        <v>194123402.33</v>
      </c>
      <c r="AB91" s="28" t="n">
        <f aca="false">IF(B91=0,0,L91/B91*10000)</f>
        <v>2.36789114072957</v>
      </c>
      <c r="AC91" s="28" t="n">
        <f aca="false">IF(D91=0,0,M91/D91*10000)</f>
        <v>2.36789114072957</v>
      </c>
      <c r="AD91" s="28" t="n">
        <f aca="false">IF(C91=0,0,N91/C91*10000)</f>
        <v>0</v>
      </c>
      <c r="AE91" s="28" t="n">
        <f aca="false">IF(E91=0,0,Q91/E91*10000)</f>
        <v>1.4367188824233</v>
      </c>
    </row>
    <row r="92" customFormat="false" ht="15" hidden="false" customHeight="true" outlineLevel="0" collapsed="false">
      <c r="A92" s="7" t="s">
        <v>225</v>
      </c>
      <c r="B92" s="26" t="n">
        <v>2902347780</v>
      </c>
      <c r="C92" s="26" t="n">
        <v>0</v>
      </c>
      <c r="D92" s="26" t="n">
        <v>2902347780</v>
      </c>
      <c r="E92" s="26" t="n">
        <v>50858942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0</v>
      </c>
      <c r="L92" s="26" t="n">
        <v>666965</v>
      </c>
      <c r="M92" s="26" t="n">
        <v>666965</v>
      </c>
      <c r="N92" s="26" t="n">
        <v>0</v>
      </c>
      <c r="O92" s="26" t="n">
        <v>0</v>
      </c>
      <c r="P92" s="26" t="n">
        <v>0</v>
      </c>
      <c r="Q92" s="26" t="n">
        <v>7425</v>
      </c>
      <c r="R92" s="26" t="n">
        <v>20380</v>
      </c>
      <c r="S92" s="26" t="n">
        <v>694770</v>
      </c>
      <c r="T92" s="26" t="n">
        <v>646956</v>
      </c>
      <c r="U92" s="26" t="n">
        <v>7203</v>
      </c>
      <c r="V92" s="26" t="n">
        <v>654159</v>
      </c>
      <c r="W92" s="26" t="n">
        <v>674390</v>
      </c>
      <c r="X92" s="27" t="n">
        <f aca="false">IF(V92=0,0,(W92-V92)/V92)</f>
        <v>0.0309267318801698</v>
      </c>
      <c r="Y92" s="26" t="n">
        <v>654159</v>
      </c>
      <c r="Z92" s="26" t="n">
        <v>252423406.33</v>
      </c>
      <c r="AA92" s="26" t="n">
        <v>194123402.33</v>
      </c>
      <c r="AB92" s="28" t="n">
        <f aca="false">IF(B92=0,0,L92/B92*10000)</f>
        <v>2.29801888180334</v>
      </c>
      <c r="AC92" s="28" t="n">
        <f aca="false">IF(D92=0,0,M92/D92*10000)</f>
        <v>2.29801888180334</v>
      </c>
      <c r="AD92" s="28" t="n">
        <f aca="false">IF(C92=0,0,N92/C92*10000)</f>
        <v>0</v>
      </c>
      <c r="AE92" s="28" t="n">
        <f aca="false">IF(E92=0,0,Q92/E92*10000)</f>
        <v>1.45992026338259</v>
      </c>
    </row>
    <row r="93" customFormat="false" ht="15" hidden="false" customHeight="true" outlineLevel="0" collapsed="false">
      <c r="A93" s="7" t="s">
        <v>226</v>
      </c>
      <c r="B93" s="26" t="n">
        <v>5653680921</v>
      </c>
      <c r="C93" s="26" t="n">
        <v>0</v>
      </c>
      <c r="D93" s="26" t="n">
        <v>5653680921</v>
      </c>
      <c r="E93" s="26" t="n">
        <v>90964477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0</v>
      </c>
      <c r="L93" s="26" t="n">
        <v>1290890</v>
      </c>
      <c r="M93" s="26" t="n">
        <v>1290890</v>
      </c>
      <c r="N93" s="26" t="n">
        <v>0</v>
      </c>
      <c r="O93" s="26" t="n">
        <v>0</v>
      </c>
      <c r="P93" s="26" t="n">
        <v>0</v>
      </c>
      <c r="Q93" s="26" t="n">
        <v>12648</v>
      </c>
      <c r="R93" s="26" t="n">
        <v>39106</v>
      </c>
      <c r="S93" s="26" t="n">
        <v>1342644</v>
      </c>
      <c r="T93" s="26" t="n">
        <v>1252164</v>
      </c>
      <c r="U93" s="26" t="n">
        <v>12269</v>
      </c>
      <c r="V93" s="26" t="n">
        <v>1264433</v>
      </c>
      <c r="W93" s="26" t="n">
        <v>1303538</v>
      </c>
      <c r="X93" s="27" t="n">
        <f aca="false">IF(V93=0,0,(W93-V93)/V93)</f>
        <v>0.0309269055774406</v>
      </c>
      <c r="Y93" s="26" t="n">
        <v>1264433</v>
      </c>
      <c r="Z93" s="26" t="n">
        <v>252423406.33</v>
      </c>
      <c r="AA93" s="26" t="n">
        <v>194123402.33</v>
      </c>
      <c r="AB93" s="28" t="n">
        <f aca="false">IF(B93=0,0,L93/B93*10000)</f>
        <v>2.28327353106385</v>
      </c>
      <c r="AC93" s="28" t="n">
        <f aca="false">IF(D93=0,0,M93/D93*10000)</f>
        <v>2.28327353106385</v>
      </c>
      <c r="AD93" s="28" t="n">
        <f aca="false">IF(C93=0,0,N93/C93*10000)</f>
        <v>0</v>
      </c>
      <c r="AE93" s="28" t="n">
        <f aca="false">IF(E93=0,0,Q93/E93*10000)</f>
        <v>1.39043288293737</v>
      </c>
    </row>
    <row r="94" customFormat="false" ht="15" hidden="false" customHeight="true" outlineLevel="0" collapsed="false">
      <c r="A94" s="7" t="s">
        <v>227</v>
      </c>
      <c r="B94" s="26" t="n">
        <v>5066927304</v>
      </c>
      <c r="C94" s="26" t="n">
        <v>0</v>
      </c>
      <c r="D94" s="26" t="n">
        <v>5066927304</v>
      </c>
      <c r="E94" s="26" t="n">
        <v>67302035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0</v>
      </c>
      <c r="L94" s="26" t="n">
        <v>1172507</v>
      </c>
      <c r="M94" s="26" t="n">
        <v>1172507</v>
      </c>
      <c r="N94" s="26" t="n">
        <v>0</v>
      </c>
      <c r="O94" s="26" t="n">
        <v>0</v>
      </c>
      <c r="P94" s="26" t="n">
        <v>0</v>
      </c>
      <c r="Q94" s="26" t="n">
        <v>9206</v>
      </c>
      <c r="R94" s="26" t="n">
        <v>35451</v>
      </c>
      <c r="S94" s="26" t="n">
        <v>1217164</v>
      </c>
      <c r="T94" s="26" t="n">
        <v>1137331</v>
      </c>
      <c r="U94" s="26" t="n">
        <v>8930</v>
      </c>
      <c r="V94" s="26" t="n">
        <v>1146261</v>
      </c>
      <c r="W94" s="26" t="n">
        <v>1181713</v>
      </c>
      <c r="X94" s="27" t="n">
        <f aca="false">IF(V94=0,0,(W94-V94)/V94)</f>
        <v>0.0309283836752712</v>
      </c>
      <c r="Y94" s="26" t="n">
        <v>1146261</v>
      </c>
      <c r="Z94" s="26" t="n">
        <v>252423406.33</v>
      </c>
      <c r="AA94" s="26" t="n">
        <v>194123402.33</v>
      </c>
      <c r="AB94" s="28" t="n">
        <f aca="false">IF(B94=0,0,L94/B94*10000)</f>
        <v>2.31403951478519</v>
      </c>
      <c r="AC94" s="28" t="n">
        <f aca="false">IF(D94=0,0,M94/D94*10000)</f>
        <v>2.31403951478519</v>
      </c>
      <c r="AD94" s="28" t="n">
        <f aca="false">IF(C94=0,0,N94/C94*10000)</f>
        <v>0</v>
      </c>
      <c r="AE94" s="28" t="n">
        <f aca="false">IF(E94=0,0,Q94/E94*10000)</f>
        <v>1.36786354231339</v>
      </c>
    </row>
    <row r="95" customFormat="false" ht="15" hidden="false" customHeight="true" outlineLevel="0" collapsed="false">
      <c r="A95" s="7" t="s">
        <v>228</v>
      </c>
      <c r="B95" s="26" t="n">
        <v>8421264458</v>
      </c>
      <c r="C95" s="26" t="n">
        <v>0</v>
      </c>
      <c r="D95" s="26" t="n">
        <v>8421264458</v>
      </c>
      <c r="E95" s="26" t="n">
        <v>148833454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0</v>
      </c>
      <c r="L95" s="26" t="n">
        <v>1872963</v>
      </c>
      <c r="M95" s="26" t="n">
        <v>1872963</v>
      </c>
      <c r="N95" s="26" t="n">
        <v>0</v>
      </c>
      <c r="O95" s="26" t="n">
        <v>0</v>
      </c>
      <c r="P95" s="26" t="n">
        <v>0</v>
      </c>
      <c r="Q95" s="26" t="n">
        <v>22319</v>
      </c>
      <c r="R95" s="26" t="n">
        <v>56858</v>
      </c>
      <c r="S95" s="26" t="n">
        <v>1952140</v>
      </c>
      <c r="T95" s="26" t="n">
        <v>1816774</v>
      </c>
      <c r="U95" s="26" t="n">
        <v>21650</v>
      </c>
      <c r="V95" s="26" t="n">
        <v>1838424</v>
      </c>
      <c r="W95" s="26" t="n">
        <v>1895282</v>
      </c>
      <c r="X95" s="27" t="n">
        <f aca="false">IF(V95=0,0,(W95-V95)/V95)</f>
        <v>0.0309275770986454</v>
      </c>
      <c r="Y95" s="26" t="n">
        <v>1838424</v>
      </c>
      <c r="Z95" s="26" t="n">
        <v>223226401.14</v>
      </c>
      <c r="AA95" s="26" t="n">
        <v>164926397.14</v>
      </c>
      <c r="AB95" s="28" t="n">
        <f aca="false">IF(B95=0,0,L95/B95*10000)</f>
        <v>2.22408761693825</v>
      </c>
      <c r="AC95" s="28" t="n">
        <f aca="false">IF(D95=0,0,M95/D95*10000)</f>
        <v>2.22408761693825</v>
      </c>
      <c r="AD95" s="28" t="n">
        <f aca="false">IF(C95=0,0,N95/C95*10000)</f>
        <v>0</v>
      </c>
      <c r="AE95" s="28" t="n">
        <f aca="false">IF(E95=0,0,Q95/E95*10000)</f>
        <v>1.49959564870409</v>
      </c>
    </row>
    <row r="96" customFormat="false" ht="15" hidden="false" customHeight="true" outlineLevel="0" collapsed="false">
      <c r="A96" s="7" t="s">
        <v>229</v>
      </c>
      <c r="B96" s="26" t="n">
        <v>5750999786</v>
      </c>
      <c r="C96" s="26" t="n">
        <v>0</v>
      </c>
      <c r="D96" s="26" t="n">
        <v>5750999786</v>
      </c>
      <c r="E96" s="26" t="n">
        <v>119560562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0</v>
      </c>
      <c r="L96" s="26" t="n">
        <v>1365034</v>
      </c>
      <c r="M96" s="26" t="n">
        <v>1365034</v>
      </c>
      <c r="N96" s="26" t="n">
        <v>0</v>
      </c>
      <c r="O96" s="26" t="n">
        <v>0</v>
      </c>
      <c r="P96" s="26" t="n">
        <v>0</v>
      </c>
      <c r="Q96" s="26" t="n">
        <v>18496</v>
      </c>
      <c r="R96" s="26" t="n">
        <v>41506</v>
      </c>
      <c r="S96" s="26" t="n">
        <v>1425036</v>
      </c>
      <c r="T96" s="26" t="n">
        <v>1324083</v>
      </c>
      <c r="U96" s="26" t="n">
        <v>17941</v>
      </c>
      <c r="V96" s="26" t="n">
        <v>1342024</v>
      </c>
      <c r="W96" s="26" t="n">
        <v>1383530</v>
      </c>
      <c r="X96" s="27" t="n">
        <f aca="false">IF(V96=0,0,(W96-V96)/V96)</f>
        <v>0.0309279118704285</v>
      </c>
      <c r="Y96" s="26" t="n">
        <v>1342024</v>
      </c>
      <c r="Z96" s="26" t="n">
        <v>223226401.14</v>
      </c>
      <c r="AA96" s="26" t="n">
        <v>164926397.14</v>
      </c>
      <c r="AB96" s="28" t="n">
        <f aca="false">IF(B96=0,0,L96/B96*10000)</f>
        <v>2.37355946929955</v>
      </c>
      <c r="AC96" s="28" t="n">
        <f aca="false">IF(D96=0,0,M96/D96*10000)</f>
        <v>2.37355946929955</v>
      </c>
      <c r="AD96" s="28" t="n">
        <f aca="false">IF(C96=0,0,N96/C96*10000)</f>
        <v>0</v>
      </c>
      <c r="AE96" s="28" t="n">
        <f aca="false">IF(E96=0,0,Q96/E96*10000)</f>
        <v>1.5469984157485</v>
      </c>
    </row>
    <row r="97" customFormat="false" ht="15" hidden="false" customHeight="true" outlineLevel="0" collapsed="false">
      <c r="A97" s="7" t="s">
        <v>230</v>
      </c>
      <c r="B97" s="26" t="n">
        <v>7816575757</v>
      </c>
      <c r="C97" s="26" t="n">
        <v>0</v>
      </c>
      <c r="D97" s="26" t="n">
        <v>7816575757</v>
      </c>
      <c r="E97" s="26" t="n">
        <v>129690210</v>
      </c>
      <c r="F97" s="26" t="n">
        <v>0</v>
      </c>
      <c r="G97" s="26" t="n">
        <v>0</v>
      </c>
      <c r="H97" s="26" t="n">
        <v>0</v>
      </c>
      <c r="I97" s="26" t="n">
        <v>0</v>
      </c>
      <c r="J97" s="26" t="n">
        <v>0</v>
      </c>
      <c r="K97" s="26" t="n">
        <v>0</v>
      </c>
      <c r="L97" s="26" t="n">
        <v>1793407</v>
      </c>
      <c r="M97" s="26" t="n">
        <v>1793407</v>
      </c>
      <c r="N97" s="26" t="n">
        <v>0</v>
      </c>
      <c r="O97" s="26" t="n">
        <v>0</v>
      </c>
      <c r="P97" s="26" t="n">
        <v>0</v>
      </c>
      <c r="Q97" s="26" t="n">
        <v>17493</v>
      </c>
      <c r="R97" s="26" t="n">
        <v>54241</v>
      </c>
      <c r="S97" s="26" t="n">
        <v>1865141</v>
      </c>
      <c r="T97" s="26" t="n">
        <v>1739605</v>
      </c>
      <c r="U97" s="26" t="n">
        <v>16969</v>
      </c>
      <c r="V97" s="26" t="n">
        <v>1756574</v>
      </c>
      <c r="W97" s="26" t="n">
        <v>1810900</v>
      </c>
      <c r="X97" s="27" t="n">
        <f aca="false">IF(V97=0,0,(W97-V97)/V97)</f>
        <v>0.0309272481546465</v>
      </c>
      <c r="Y97" s="26" t="n">
        <v>1756574</v>
      </c>
      <c r="Z97" s="26" t="n">
        <v>223226401.14</v>
      </c>
      <c r="AA97" s="26" t="n">
        <v>164926397.14</v>
      </c>
      <c r="AB97" s="28" t="n">
        <f aca="false">IF(B97=0,0,L97/B97*10000)</f>
        <v>2.29436399742425</v>
      </c>
      <c r="AC97" s="28" t="n">
        <f aca="false">IF(D97=0,0,M97/D97*10000)</f>
        <v>2.29436399742425</v>
      </c>
      <c r="AD97" s="28" t="n">
        <f aca="false">IF(C97=0,0,N97/C97*10000)</f>
        <v>0</v>
      </c>
      <c r="AE97" s="28" t="n">
        <f aca="false">IF(E97=0,0,Q97/E97*10000)</f>
        <v>1.34882964566099</v>
      </c>
    </row>
    <row r="98" customFormat="false" ht="15" hidden="false" customHeight="true" outlineLevel="0" collapsed="false">
      <c r="A98" s="7" t="s">
        <v>231</v>
      </c>
      <c r="B98" s="26" t="n">
        <v>2394653960</v>
      </c>
      <c r="C98" s="26" t="n">
        <v>0</v>
      </c>
      <c r="D98" s="26" t="n">
        <v>2394653960</v>
      </c>
      <c r="E98" s="26" t="n">
        <v>42672433</v>
      </c>
      <c r="F98" s="26" t="n">
        <v>0</v>
      </c>
      <c r="G98" s="26" t="n">
        <v>0</v>
      </c>
      <c r="H98" s="26" t="n">
        <v>0</v>
      </c>
      <c r="I98" s="26" t="n">
        <v>0</v>
      </c>
      <c r="J98" s="26" t="n">
        <v>0</v>
      </c>
      <c r="K98" s="26" t="n">
        <v>0</v>
      </c>
      <c r="L98" s="26" t="n">
        <v>539008</v>
      </c>
      <c r="M98" s="26" t="n">
        <v>539008</v>
      </c>
      <c r="N98" s="26" t="n">
        <v>0</v>
      </c>
      <c r="O98" s="26" t="n">
        <v>0</v>
      </c>
      <c r="P98" s="26" t="n">
        <v>0</v>
      </c>
      <c r="Q98" s="26" t="n">
        <v>6171</v>
      </c>
      <c r="R98" s="26" t="n">
        <v>16441</v>
      </c>
      <c r="S98" s="26" t="n">
        <v>561620</v>
      </c>
      <c r="T98" s="26" t="n">
        <v>522837</v>
      </c>
      <c r="U98" s="26" t="n">
        <v>5986</v>
      </c>
      <c r="V98" s="26" t="n">
        <v>528823</v>
      </c>
      <c r="W98" s="26" t="n">
        <v>545179</v>
      </c>
      <c r="X98" s="27" t="n">
        <f aca="false">IF(V98=0,0,(W98-V98)/V98)</f>
        <v>0.0309290632215316</v>
      </c>
      <c r="Y98" s="26" t="n">
        <v>528823</v>
      </c>
      <c r="Z98" s="26" t="n">
        <v>223226401.14</v>
      </c>
      <c r="AA98" s="26" t="n">
        <v>164926397.14</v>
      </c>
      <c r="AB98" s="28" t="n">
        <f aca="false">IF(B98=0,0,L98/B98*10000)</f>
        <v>2.2508805405855</v>
      </c>
      <c r="AC98" s="28" t="n">
        <f aca="false">IF(D98=0,0,M98/D98*10000)</f>
        <v>2.2508805405855</v>
      </c>
      <c r="AD98" s="28" t="n">
        <f aca="false">IF(C98=0,0,N98/C98*10000)</f>
        <v>0</v>
      </c>
      <c r="AE98" s="28" t="n">
        <f aca="false">IF(E98=0,0,Q98/E98*10000)</f>
        <v>1.44613268242755</v>
      </c>
    </row>
    <row r="99" customFormat="false" ht="15" hidden="false" customHeight="true" outlineLevel="0" collapsed="false">
      <c r="A99" s="7" t="s">
        <v>232</v>
      </c>
      <c r="B99" s="26" t="n">
        <v>7864347441</v>
      </c>
      <c r="C99" s="26" t="n">
        <v>0</v>
      </c>
      <c r="D99" s="26" t="n">
        <v>7864347441</v>
      </c>
      <c r="E99" s="26" t="n">
        <v>148050393</v>
      </c>
      <c r="F99" s="26" t="n">
        <v>0</v>
      </c>
      <c r="G99" s="26" t="n">
        <v>0</v>
      </c>
      <c r="H99" s="26" t="n">
        <v>0</v>
      </c>
      <c r="I99" s="26" t="n">
        <v>0</v>
      </c>
      <c r="J99" s="26" t="n">
        <v>0</v>
      </c>
      <c r="K99" s="26" t="n">
        <v>0</v>
      </c>
      <c r="L99" s="26" t="n">
        <v>1754691</v>
      </c>
      <c r="M99" s="26" t="n">
        <v>1754691</v>
      </c>
      <c r="N99" s="26" t="n">
        <v>0</v>
      </c>
      <c r="O99" s="26" t="n">
        <v>0</v>
      </c>
      <c r="P99" s="26" t="n">
        <v>0</v>
      </c>
      <c r="Q99" s="26" t="n">
        <v>18329</v>
      </c>
      <c r="R99" s="26" t="n">
        <v>52224</v>
      </c>
      <c r="S99" s="26" t="n">
        <v>1825244</v>
      </c>
      <c r="T99" s="26" t="n">
        <v>1702051</v>
      </c>
      <c r="U99" s="26" t="n">
        <v>17780</v>
      </c>
      <c r="V99" s="26" t="n">
        <v>1719831</v>
      </c>
      <c r="W99" s="26" t="n">
        <v>1773020</v>
      </c>
      <c r="X99" s="27" t="n">
        <f aca="false">IF(V99=0,0,(W99-V99)/V99)</f>
        <v>0.0309268759546723</v>
      </c>
      <c r="Y99" s="26" t="n">
        <v>1719831</v>
      </c>
      <c r="Z99" s="26" t="n">
        <v>223226401.14</v>
      </c>
      <c r="AA99" s="26" t="n">
        <v>164926397.14</v>
      </c>
      <c r="AB99" s="28" t="n">
        <f aca="false">IF(B99=0,0,L99/B99*10000)</f>
        <v>2.23119720124786</v>
      </c>
      <c r="AC99" s="28" t="n">
        <f aca="false">IF(D99=0,0,M99/D99*10000)</f>
        <v>2.23119720124786</v>
      </c>
      <c r="AD99" s="28" t="n">
        <f aca="false">IF(C99=0,0,N99/C99*10000)</f>
        <v>0</v>
      </c>
      <c r="AE99" s="28" t="n">
        <f aca="false">IF(E99=0,0,Q99/E99*10000)</f>
        <v>1.23802440700039</v>
      </c>
    </row>
    <row r="100" customFormat="false" ht="15" hidden="false" customHeight="true" outlineLevel="0" collapsed="false">
      <c r="A100" s="7" t="s">
        <v>233</v>
      </c>
      <c r="B100" s="26" t="n">
        <v>13050396812</v>
      </c>
      <c r="C100" s="26" t="n">
        <v>0</v>
      </c>
      <c r="D100" s="26" t="n">
        <v>13050396812</v>
      </c>
      <c r="E100" s="26" t="n">
        <v>254918742</v>
      </c>
      <c r="F100" s="26" t="n">
        <v>0</v>
      </c>
      <c r="G100" s="26" t="n">
        <v>0</v>
      </c>
      <c r="H100" s="26" t="n">
        <v>0</v>
      </c>
      <c r="I100" s="26" t="n">
        <v>0</v>
      </c>
      <c r="J100" s="26" t="n">
        <v>0</v>
      </c>
      <c r="K100" s="26" t="n">
        <v>0</v>
      </c>
      <c r="L100" s="26" t="n">
        <v>3081123</v>
      </c>
      <c r="M100" s="26" t="n">
        <v>3081123</v>
      </c>
      <c r="N100" s="26" t="n">
        <v>0</v>
      </c>
      <c r="O100" s="26" t="n">
        <v>0</v>
      </c>
      <c r="P100" s="26" t="n">
        <v>0</v>
      </c>
      <c r="Q100" s="26" t="n">
        <v>36051</v>
      </c>
      <c r="R100" s="26" t="n">
        <v>94251</v>
      </c>
      <c r="S100" s="26" t="n">
        <v>3211425</v>
      </c>
      <c r="T100" s="26" t="n">
        <v>2988690</v>
      </c>
      <c r="U100" s="26" t="n">
        <v>34970</v>
      </c>
      <c r="V100" s="26" t="n">
        <v>3023660</v>
      </c>
      <c r="W100" s="26" t="n">
        <v>3117174</v>
      </c>
      <c r="X100" s="27" t="n">
        <f aca="false">IF(V100=0,0,(W100-V100)/V100)</f>
        <v>0.030927419088125</v>
      </c>
      <c r="Y100" s="26" t="n">
        <v>3023660</v>
      </c>
      <c r="Z100" s="26" t="n">
        <v>223226401.14</v>
      </c>
      <c r="AA100" s="26" t="n">
        <v>164926397.14</v>
      </c>
      <c r="AB100" s="28" t="n">
        <f aca="false">IF(B100=0,0,L100/B100*10000)</f>
        <v>2.36094200382234</v>
      </c>
      <c r="AC100" s="28" t="n">
        <f aca="false">IF(D100=0,0,M100/D100*10000)</f>
        <v>2.36094200382234</v>
      </c>
      <c r="AD100" s="28" t="n">
        <f aca="false">IF(C100=0,0,N100/C100*10000)</f>
        <v>0</v>
      </c>
      <c r="AE100" s="28" t="n">
        <f aca="false">IF(E100=0,0,Q100/E100*10000)</f>
        <v>1.41421535808458</v>
      </c>
    </row>
    <row r="101" customFormat="false" ht="15" hidden="false" customHeight="true" outlineLevel="0" collapsed="false">
      <c r="A101" s="7" t="s">
        <v>234</v>
      </c>
      <c r="B101" s="26" t="n">
        <v>7894688071</v>
      </c>
      <c r="C101" s="26" t="n">
        <v>0</v>
      </c>
      <c r="D101" s="26" t="n">
        <v>7894688071</v>
      </c>
      <c r="E101" s="26" t="n">
        <v>163870707</v>
      </c>
      <c r="F101" s="26" t="n">
        <v>0</v>
      </c>
      <c r="G101" s="26" t="n">
        <v>0</v>
      </c>
      <c r="H101" s="26" t="n">
        <v>0</v>
      </c>
      <c r="I101" s="26" t="n">
        <v>0</v>
      </c>
      <c r="J101" s="26" t="n">
        <v>0</v>
      </c>
      <c r="K101" s="26" t="n">
        <v>0</v>
      </c>
      <c r="L101" s="26" t="n">
        <v>1725681</v>
      </c>
      <c r="M101" s="26" t="n">
        <v>1725681</v>
      </c>
      <c r="N101" s="26" t="n">
        <v>0</v>
      </c>
      <c r="O101" s="26" t="n">
        <v>0</v>
      </c>
      <c r="P101" s="26" t="n">
        <v>0</v>
      </c>
      <c r="Q101" s="26" t="n">
        <v>20897</v>
      </c>
      <c r="R101" s="26" t="n">
        <v>52629</v>
      </c>
      <c r="S101" s="26" t="n">
        <v>1799207</v>
      </c>
      <c r="T101" s="26" t="n">
        <v>1673910</v>
      </c>
      <c r="U101" s="26" t="n">
        <v>20270</v>
      </c>
      <c r="V101" s="26" t="n">
        <v>1694180</v>
      </c>
      <c r="W101" s="26" t="n">
        <v>1746578</v>
      </c>
      <c r="X101" s="27" t="n">
        <f aca="false">IF(V101=0,0,(W101-V101)/V101)</f>
        <v>0.030928236669067</v>
      </c>
      <c r="Y101" s="26" t="n">
        <v>1694180</v>
      </c>
      <c r="Z101" s="26" t="n">
        <v>223226401.14</v>
      </c>
      <c r="AA101" s="26" t="n">
        <v>164926397.14</v>
      </c>
      <c r="AB101" s="28" t="n">
        <f aca="false">IF(B101=0,0,L101/B101*10000)</f>
        <v>2.18587610362852</v>
      </c>
      <c r="AC101" s="28" t="n">
        <f aca="false">IF(D101=0,0,M101/D101*10000)</f>
        <v>2.18587610362852</v>
      </c>
      <c r="AD101" s="28" t="n">
        <f aca="false">IF(C101=0,0,N101/C101*10000)</f>
        <v>0</v>
      </c>
      <c r="AE101" s="28" t="n">
        <f aca="false">IF(E101=0,0,Q101/E101*10000)</f>
        <v>1.27521265896534</v>
      </c>
    </row>
    <row r="102" customFormat="false" ht="15" hidden="false" customHeight="true" outlineLevel="0" collapsed="false">
      <c r="A102" s="7" t="s">
        <v>235</v>
      </c>
      <c r="B102" s="26" t="n">
        <v>12316871104</v>
      </c>
      <c r="C102" s="26" t="n">
        <v>0</v>
      </c>
      <c r="D102" s="26" t="n">
        <v>12316871104</v>
      </c>
      <c r="E102" s="26" t="n">
        <v>256513559</v>
      </c>
      <c r="F102" s="26" t="n">
        <v>0</v>
      </c>
      <c r="G102" s="26" t="n">
        <v>0</v>
      </c>
      <c r="H102" s="26" t="n">
        <v>0</v>
      </c>
      <c r="I102" s="26" t="n">
        <v>0</v>
      </c>
      <c r="J102" s="26" t="n">
        <v>0</v>
      </c>
      <c r="K102" s="26" t="n">
        <v>0</v>
      </c>
      <c r="L102" s="26" t="n">
        <v>2807531</v>
      </c>
      <c r="M102" s="26" t="n">
        <v>2807531</v>
      </c>
      <c r="N102" s="26" t="n">
        <v>0</v>
      </c>
      <c r="O102" s="26" t="n">
        <v>0</v>
      </c>
      <c r="P102" s="26" t="n">
        <v>0</v>
      </c>
      <c r="Q102" s="26" t="n">
        <v>36874</v>
      </c>
      <c r="R102" s="26" t="n">
        <v>84970</v>
      </c>
      <c r="S102" s="26" t="n">
        <v>2929375</v>
      </c>
      <c r="T102" s="26" t="n">
        <v>2723305</v>
      </c>
      <c r="U102" s="26" t="n">
        <v>35768</v>
      </c>
      <c r="V102" s="26" t="n">
        <v>2759073</v>
      </c>
      <c r="W102" s="26" t="n">
        <v>2844405</v>
      </c>
      <c r="X102" s="27" t="n">
        <f aca="false">IF(V102=0,0,(W102-V102)/V102)</f>
        <v>0.0309277790040351</v>
      </c>
      <c r="Y102" s="26" t="n">
        <v>2759073</v>
      </c>
      <c r="Z102" s="26" t="n">
        <v>269908046.76</v>
      </c>
      <c r="AA102" s="26" t="n">
        <v>211608042.76</v>
      </c>
      <c r="AB102" s="28" t="n">
        <f aca="false">IF(B102=0,0,L102/B102*10000)</f>
        <v>2.27941899878146</v>
      </c>
      <c r="AC102" s="28" t="n">
        <f aca="false">IF(D102=0,0,M102/D102*10000)</f>
        <v>2.27941899878146</v>
      </c>
      <c r="AD102" s="28" t="n">
        <f aca="false">IF(C102=0,0,N102/C102*10000)</f>
        <v>0</v>
      </c>
      <c r="AE102" s="28" t="n">
        <f aca="false">IF(E102=0,0,Q102/E102*10000)</f>
        <v>1.43750685709366</v>
      </c>
    </row>
    <row r="103" customFormat="false" ht="15" hidden="false" customHeight="true" outlineLevel="0" collapsed="false">
      <c r="A103" s="7" t="s">
        <v>236</v>
      </c>
      <c r="B103" s="26" t="n">
        <v>7151454777</v>
      </c>
      <c r="C103" s="26" t="n">
        <v>0</v>
      </c>
      <c r="D103" s="26" t="n">
        <v>7151454777</v>
      </c>
      <c r="E103" s="26" t="n">
        <v>165359677</v>
      </c>
      <c r="F103" s="26" t="n">
        <v>0</v>
      </c>
      <c r="G103" s="26" t="n">
        <v>0</v>
      </c>
      <c r="H103" s="26" t="n">
        <v>0</v>
      </c>
      <c r="I103" s="26" t="n">
        <v>0</v>
      </c>
      <c r="J103" s="26" t="n">
        <v>0</v>
      </c>
      <c r="K103" s="26" t="n">
        <v>0</v>
      </c>
      <c r="L103" s="26" t="n">
        <v>1649920</v>
      </c>
      <c r="M103" s="26" t="n">
        <v>1649920</v>
      </c>
      <c r="N103" s="26" t="n">
        <v>0</v>
      </c>
      <c r="O103" s="26" t="n">
        <v>0</v>
      </c>
      <c r="P103" s="26" t="n">
        <v>0</v>
      </c>
      <c r="Q103" s="26" t="n">
        <v>22705</v>
      </c>
      <c r="R103" s="26" t="n">
        <v>50541</v>
      </c>
      <c r="S103" s="26" t="n">
        <v>1723166</v>
      </c>
      <c r="T103" s="26" t="n">
        <v>1600423</v>
      </c>
      <c r="U103" s="26" t="n">
        <v>22023</v>
      </c>
      <c r="V103" s="26" t="n">
        <v>1622446</v>
      </c>
      <c r="W103" s="26" t="n">
        <v>1672625</v>
      </c>
      <c r="X103" s="27" t="n">
        <f aca="false">IF(V103=0,0,(W103-V103)/V103)</f>
        <v>0.0309279939054982</v>
      </c>
      <c r="Y103" s="26" t="n">
        <v>1622446</v>
      </c>
      <c r="Z103" s="26" t="n">
        <v>269908046.76</v>
      </c>
      <c r="AA103" s="26" t="n">
        <v>211608042.76</v>
      </c>
      <c r="AB103" s="28" t="n">
        <f aca="false">IF(B103=0,0,L103/B103*10000)</f>
        <v>2.30711100251428</v>
      </c>
      <c r="AC103" s="28" t="n">
        <f aca="false">IF(D103=0,0,M103/D103*10000)</f>
        <v>2.30711100251428</v>
      </c>
      <c r="AD103" s="28" t="n">
        <f aca="false">IF(C103=0,0,N103/C103*10000)</f>
        <v>0</v>
      </c>
      <c r="AE103" s="28" t="n">
        <f aca="false">IF(E103=0,0,Q103/E103*10000)</f>
        <v>1.37306751028547</v>
      </c>
    </row>
    <row r="104" customFormat="false" ht="15" hidden="false" customHeight="true" outlineLevel="0" collapsed="false">
      <c r="A104" s="7" t="s">
        <v>237</v>
      </c>
      <c r="B104" s="26" t="n">
        <v>5570657730</v>
      </c>
      <c r="C104" s="26" t="n">
        <v>0</v>
      </c>
      <c r="D104" s="26" t="n">
        <v>5570657730</v>
      </c>
      <c r="E104" s="26" t="n">
        <v>187070232</v>
      </c>
      <c r="F104" s="26" t="n">
        <v>0</v>
      </c>
      <c r="G104" s="26" t="n">
        <v>0</v>
      </c>
      <c r="H104" s="26" t="n">
        <v>0</v>
      </c>
      <c r="I104" s="26" t="n">
        <v>0</v>
      </c>
      <c r="J104" s="26" t="n">
        <v>0</v>
      </c>
      <c r="K104" s="26" t="n">
        <v>0</v>
      </c>
      <c r="L104" s="26" t="n">
        <v>1303083</v>
      </c>
      <c r="M104" s="26" t="n">
        <v>1303083</v>
      </c>
      <c r="N104" s="26" t="n">
        <v>0</v>
      </c>
      <c r="O104" s="26" t="n">
        <v>0</v>
      </c>
      <c r="P104" s="26" t="n">
        <v>0</v>
      </c>
      <c r="Q104" s="26" t="n">
        <v>24450</v>
      </c>
      <c r="R104" s="26" t="n">
        <v>39826</v>
      </c>
      <c r="S104" s="26" t="n">
        <v>1367359</v>
      </c>
      <c r="T104" s="26" t="n">
        <v>1263991</v>
      </c>
      <c r="U104" s="26" t="n">
        <v>23717</v>
      </c>
      <c r="V104" s="26" t="n">
        <v>1287708</v>
      </c>
      <c r="W104" s="26" t="n">
        <v>1327533</v>
      </c>
      <c r="X104" s="27" t="n">
        <f aca="false">IF(V104=0,0,(W104-V104)/V104)</f>
        <v>0.0309270424661492</v>
      </c>
      <c r="Y104" s="26" t="n">
        <v>1287708</v>
      </c>
      <c r="Z104" s="26" t="n">
        <v>269908046.76</v>
      </c>
      <c r="AA104" s="26" t="n">
        <v>211608042.76</v>
      </c>
      <c r="AB104" s="28" t="n">
        <f aca="false">IF(B104=0,0,L104/B104*10000)</f>
        <v>2.33919056448654</v>
      </c>
      <c r="AC104" s="28" t="n">
        <f aca="false">IF(D104=0,0,M104/D104*10000)</f>
        <v>2.33919056448654</v>
      </c>
      <c r="AD104" s="28" t="n">
        <f aca="false">IF(C104=0,0,N104/C104*10000)</f>
        <v>0</v>
      </c>
      <c r="AE104" s="28" t="n">
        <f aca="false">IF(E104=0,0,Q104/E104*10000)</f>
        <v>1.30699575975295</v>
      </c>
    </row>
    <row r="105" customFormat="false" ht="15" hidden="false" customHeight="true" outlineLevel="0" collapsed="false">
      <c r="A105" s="7" t="s">
        <v>238</v>
      </c>
      <c r="B105" s="26" t="n">
        <v>4921987246</v>
      </c>
      <c r="C105" s="26" t="n">
        <v>0</v>
      </c>
      <c r="D105" s="26" t="n">
        <v>4921987246</v>
      </c>
      <c r="E105" s="26" t="n">
        <v>121367900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0</v>
      </c>
      <c r="L105" s="26" t="n">
        <v>1132359</v>
      </c>
      <c r="M105" s="26" t="n">
        <v>1132359</v>
      </c>
      <c r="N105" s="26" t="n">
        <v>0</v>
      </c>
      <c r="O105" s="26" t="n">
        <v>0</v>
      </c>
      <c r="P105" s="26" t="n">
        <v>0</v>
      </c>
      <c r="Q105" s="26" t="n">
        <v>15701</v>
      </c>
      <c r="R105" s="26" t="n">
        <v>34244</v>
      </c>
      <c r="S105" s="26" t="n">
        <v>1182304</v>
      </c>
      <c r="T105" s="26" t="n">
        <v>1098388</v>
      </c>
      <c r="U105" s="26" t="n">
        <v>15230</v>
      </c>
      <c r="V105" s="26" t="n">
        <v>1113618</v>
      </c>
      <c r="W105" s="26" t="n">
        <v>1148060</v>
      </c>
      <c r="X105" s="27" t="n">
        <f aca="false">IF(V105=0,0,(W105-V105)/V105)</f>
        <v>0.0309280202008229</v>
      </c>
      <c r="Y105" s="26" t="n">
        <v>1113618</v>
      </c>
      <c r="Z105" s="26" t="n">
        <v>269908046.76</v>
      </c>
      <c r="AA105" s="26" t="n">
        <v>211608042.76</v>
      </c>
      <c r="AB105" s="28" t="n">
        <f aca="false">IF(B105=0,0,L105/B105*10000)</f>
        <v>2.30061343803815</v>
      </c>
      <c r="AC105" s="28" t="n">
        <f aca="false">IF(D105=0,0,M105/D105*10000)</f>
        <v>2.30061343803815</v>
      </c>
      <c r="AD105" s="28" t="n">
        <f aca="false">IF(C105=0,0,N105/C105*10000)</f>
        <v>0</v>
      </c>
      <c r="AE105" s="28" t="n">
        <f aca="false">IF(E105=0,0,Q105/E105*10000)</f>
        <v>1.29366990777627</v>
      </c>
    </row>
    <row r="106" customFormat="false" ht="15" hidden="false" customHeight="true" outlineLevel="0" collapsed="false">
      <c r="A106" s="7" t="s">
        <v>239</v>
      </c>
      <c r="B106" s="26" t="n">
        <v>6273525915</v>
      </c>
      <c r="C106" s="26" t="n">
        <v>0</v>
      </c>
      <c r="D106" s="26" t="n">
        <v>6273525915</v>
      </c>
      <c r="E106" s="26" t="n">
        <v>134246965</v>
      </c>
      <c r="F106" s="26" t="n">
        <v>0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  <c r="L106" s="26" t="n">
        <v>1346423</v>
      </c>
      <c r="M106" s="26" t="n">
        <v>1346423</v>
      </c>
      <c r="N106" s="26" t="n">
        <v>0</v>
      </c>
      <c r="O106" s="26" t="n">
        <v>0</v>
      </c>
      <c r="P106" s="26" t="n">
        <v>0</v>
      </c>
      <c r="Q106" s="26" t="n">
        <v>18682</v>
      </c>
      <c r="R106" s="26" t="n">
        <v>41151</v>
      </c>
      <c r="S106" s="26" t="n">
        <v>1406256</v>
      </c>
      <c r="T106" s="26" t="n">
        <v>1306031</v>
      </c>
      <c r="U106" s="26" t="n">
        <v>18121</v>
      </c>
      <c r="V106" s="26" t="n">
        <v>1324152</v>
      </c>
      <c r="W106" s="26" t="n">
        <v>1365105</v>
      </c>
      <c r="X106" s="27" t="n">
        <f aca="false">IF(V106=0,0,(W106-V106)/V106)</f>
        <v>0.0309277182679934</v>
      </c>
      <c r="Y106" s="26" t="n">
        <v>1324152</v>
      </c>
      <c r="Z106" s="26" t="n">
        <v>269908046.76</v>
      </c>
      <c r="AA106" s="26" t="n">
        <v>211608042.76</v>
      </c>
      <c r="AB106" s="28" t="n">
        <f aca="false">IF(B106=0,0,L106/B106*10000)</f>
        <v>2.14619819578764</v>
      </c>
      <c r="AC106" s="28" t="n">
        <f aca="false">IF(D106=0,0,M106/D106*10000)</f>
        <v>2.14619819578764</v>
      </c>
      <c r="AD106" s="28" t="n">
        <f aca="false">IF(C106=0,0,N106/C106*10000)</f>
        <v>0</v>
      </c>
      <c r="AE106" s="28" t="n">
        <f aca="false">IF(E106=0,0,Q106/E106*10000)</f>
        <v>1.39161432811535</v>
      </c>
    </row>
    <row r="107" customFormat="false" ht="15" hidden="false" customHeight="true" outlineLevel="0" collapsed="false">
      <c r="A107" s="7" t="s">
        <v>240</v>
      </c>
      <c r="B107" s="26" t="n">
        <v>6036561409</v>
      </c>
      <c r="C107" s="26" t="n">
        <v>0</v>
      </c>
      <c r="D107" s="26" t="n">
        <v>6036561409</v>
      </c>
      <c r="E107" s="26" t="n">
        <v>126974634</v>
      </c>
      <c r="F107" s="26" t="n">
        <v>0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  <c r="L107" s="26" t="n">
        <v>1345964</v>
      </c>
      <c r="M107" s="26" t="n">
        <v>1345964</v>
      </c>
      <c r="N107" s="26" t="n">
        <v>0</v>
      </c>
      <c r="O107" s="26" t="n">
        <v>0</v>
      </c>
      <c r="P107" s="26" t="n">
        <v>0</v>
      </c>
      <c r="Q107" s="26" t="n">
        <v>17486</v>
      </c>
      <c r="R107" s="26" t="n">
        <v>40691</v>
      </c>
      <c r="S107" s="26" t="n">
        <v>1404141</v>
      </c>
      <c r="T107" s="26" t="n">
        <v>1305585</v>
      </c>
      <c r="U107" s="26" t="n">
        <v>16961</v>
      </c>
      <c r="V107" s="26" t="n">
        <v>1322546</v>
      </c>
      <c r="W107" s="26" t="n">
        <v>1363450</v>
      </c>
      <c r="X107" s="27" t="n">
        <f aca="false">IF(V107=0,0,(W107-V107)/V107)</f>
        <v>0.0309282248027668</v>
      </c>
      <c r="Y107" s="26" t="n">
        <v>1322546</v>
      </c>
      <c r="Z107" s="26" t="n">
        <v>269908046.76</v>
      </c>
      <c r="AA107" s="26" t="n">
        <v>211608042.76</v>
      </c>
      <c r="AB107" s="28" t="n">
        <f aca="false">IF(B107=0,0,L107/B107*10000)</f>
        <v>2.22968658613045</v>
      </c>
      <c r="AC107" s="28" t="n">
        <f aca="false">IF(D107=0,0,M107/D107*10000)</f>
        <v>2.22968658613045</v>
      </c>
      <c r="AD107" s="28" t="n">
        <f aca="false">IF(C107=0,0,N107/C107*10000)</f>
        <v>0</v>
      </c>
      <c r="AE107" s="28" t="n">
        <f aca="false">IF(E107=0,0,Q107/E107*10000)</f>
        <v>1.37712545011156</v>
      </c>
    </row>
    <row r="108" customFormat="false" ht="15" hidden="false" customHeight="true" outlineLevel="0" collapsed="false">
      <c r="A108" s="7" t="s">
        <v>241</v>
      </c>
      <c r="B108" s="26" t="n">
        <v>5834578963</v>
      </c>
      <c r="C108" s="26" t="n">
        <v>0</v>
      </c>
      <c r="D108" s="26" t="n">
        <v>5834578963</v>
      </c>
      <c r="E108" s="26" t="n">
        <v>120978471</v>
      </c>
      <c r="F108" s="26" t="n">
        <v>0</v>
      </c>
      <c r="G108" s="26" t="n">
        <v>0</v>
      </c>
      <c r="H108" s="26" t="n">
        <v>0</v>
      </c>
      <c r="I108" s="26" t="n">
        <v>0</v>
      </c>
      <c r="J108" s="26" t="n">
        <v>0</v>
      </c>
      <c r="K108" s="26" t="n">
        <v>0</v>
      </c>
      <c r="L108" s="26" t="n">
        <v>1220166</v>
      </c>
      <c r="M108" s="26" t="n">
        <v>1220166</v>
      </c>
      <c r="N108" s="26" t="n">
        <v>0</v>
      </c>
      <c r="O108" s="26" t="n">
        <v>0</v>
      </c>
      <c r="P108" s="26" t="n">
        <v>0</v>
      </c>
      <c r="Q108" s="26" t="n">
        <v>16028</v>
      </c>
      <c r="R108" s="26" t="n">
        <v>37298</v>
      </c>
      <c r="S108" s="26" t="n">
        <v>1273492</v>
      </c>
      <c r="T108" s="26" t="n">
        <v>1183561</v>
      </c>
      <c r="U108" s="26" t="n">
        <v>15547</v>
      </c>
      <c r="V108" s="26" t="n">
        <v>1199108</v>
      </c>
      <c r="W108" s="26" t="n">
        <v>1236194</v>
      </c>
      <c r="X108" s="27" t="n">
        <f aca="false">IF(V108=0,0,(W108-V108)/V108)</f>
        <v>0.0309279898057556</v>
      </c>
      <c r="Y108" s="26" t="n">
        <v>1199108</v>
      </c>
      <c r="Z108" s="26" t="n">
        <v>269908046.76</v>
      </c>
      <c r="AA108" s="26" t="n">
        <v>211608042.76</v>
      </c>
      <c r="AB108" s="28" t="n">
        <f aca="false">IF(B108=0,0,L108/B108*10000)</f>
        <v>2.09126658108098</v>
      </c>
      <c r="AC108" s="28" t="n">
        <f aca="false">IF(D108=0,0,M108/D108*10000)</f>
        <v>2.09126658108098</v>
      </c>
      <c r="AD108" s="28" t="n">
        <f aca="false">IF(C108=0,0,N108/C108*10000)</f>
        <v>0</v>
      </c>
      <c r="AE108" s="28" t="n">
        <f aca="false">IF(E108=0,0,Q108/E108*10000)</f>
        <v>1.32486382639106</v>
      </c>
    </row>
    <row r="109" customFormat="false" ht="15" hidden="false" customHeight="true" outlineLevel="0" collapsed="false">
      <c r="A109" s="7" t="s">
        <v>242</v>
      </c>
      <c r="B109" s="26" t="n">
        <v>6768721233</v>
      </c>
      <c r="C109" s="26" t="n">
        <v>0</v>
      </c>
      <c r="D109" s="26" t="n">
        <v>6768721233</v>
      </c>
      <c r="E109" s="26" t="n">
        <v>155624952</v>
      </c>
      <c r="F109" s="26" t="n">
        <v>0</v>
      </c>
      <c r="G109" s="26" t="n">
        <v>0</v>
      </c>
      <c r="H109" s="26" t="n">
        <v>0</v>
      </c>
      <c r="I109" s="26" t="n">
        <v>0</v>
      </c>
      <c r="J109" s="26" t="n">
        <v>0</v>
      </c>
      <c r="K109" s="26" t="n">
        <v>0</v>
      </c>
      <c r="L109" s="26" t="n">
        <v>1484523</v>
      </c>
      <c r="M109" s="26" t="n">
        <v>1484523</v>
      </c>
      <c r="N109" s="26" t="n">
        <v>0</v>
      </c>
      <c r="O109" s="26" t="n">
        <v>0</v>
      </c>
      <c r="P109" s="26" t="n">
        <v>0</v>
      </c>
      <c r="Q109" s="26" t="n">
        <v>21088</v>
      </c>
      <c r="R109" s="26" t="n">
        <v>44757</v>
      </c>
      <c r="S109" s="26" t="n">
        <v>1550368</v>
      </c>
      <c r="T109" s="26" t="n">
        <v>1439988</v>
      </c>
      <c r="U109" s="26" t="n">
        <v>20456</v>
      </c>
      <c r="V109" s="26" t="n">
        <v>1460444</v>
      </c>
      <c r="W109" s="26" t="n">
        <v>1505611</v>
      </c>
      <c r="X109" s="27" t="n">
        <f aca="false">IF(V109=0,0,(W109-V109)/V109)</f>
        <v>0.030926896204168</v>
      </c>
      <c r="Y109" s="26" t="n">
        <v>1460444</v>
      </c>
      <c r="Z109" s="26" t="n">
        <v>330890999.52</v>
      </c>
      <c r="AA109" s="26" t="n">
        <v>272590995.52</v>
      </c>
      <c r="AB109" s="28" t="n">
        <f aca="false">IF(B109=0,0,L109/B109*10000)</f>
        <v>2.19321042911681</v>
      </c>
      <c r="AC109" s="28" t="n">
        <f aca="false">IF(D109=0,0,M109/D109*10000)</f>
        <v>2.19321042911681</v>
      </c>
      <c r="AD109" s="28" t="n">
        <f aca="false">IF(C109=0,0,N109/C109*10000)</f>
        <v>0</v>
      </c>
      <c r="AE109" s="28" t="n">
        <f aca="false">IF(E109=0,0,Q109/E109*10000)</f>
        <v>1.35505262677928</v>
      </c>
    </row>
    <row r="110" customFormat="false" ht="15" hidden="false" customHeight="true" outlineLevel="0" collapsed="false">
      <c r="A110" s="7" t="s">
        <v>243</v>
      </c>
      <c r="B110" s="26" t="n">
        <v>4765029043</v>
      </c>
      <c r="C110" s="26" t="n">
        <v>0</v>
      </c>
      <c r="D110" s="26" t="n">
        <v>4765029043</v>
      </c>
      <c r="E110" s="26" t="n">
        <v>171271416</v>
      </c>
      <c r="F110" s="26" t="n">
        <v>0</v>
      </c>
      <c r="G110" s="26" t="n">
        <v>0</v>
      </c>
      <c r="H110" s="26" t="n">
        <v>0</v>
      </c>
      <c r="I110" s="26" t="n">
        <v>0</v>
      </c>
      <c r="J110" s="26" t="n">
        <v>0</v>
      </c>
      <c r="K110" s="26" t="n">
        <v>0</v>
      </c>
      <c r="L110" s="26" t="n">
        <v>1049568</v>
      </c>
      <c r="M110" s="26" t="n">
        <v>1049568</v>
      </c>
      <c r="N110" s="26" t="n">
        <v>0</v>
      </c>
      <c r="O110" s="26" t="n">
        <v>0</v>
      </c>
      <c r="P110" s="26" t="n">
        <v>0</v>
      </c>
      <c r="Q110" s="26" t="n">
        <v>20603</v>
      </c>
      <c r="R110" s="26" t="n">
        <v>32413</v>
      </c>
      <c r="S110" s="26" t="n">
        <v>1102584</v>
      </c>
      <c r="T110" s="26" t="n">
        <v>1018081</v>
      </c>
      <c r="U110" s="26" t="n">
        <v>19985</v>
      </c>
      <c r="V110" s="26" t="n">
        <v>1038066</v>
      </c>
      <c r="W110" s="26" t="n">
        <v>1070171</v>
      </c>
      <c r="X110" s="27" t="n">
        <f aca="false">IF(V110=0,0,(W110-V110)/V110)</f>
        <v>0.0309277059454794</v>
      </c>
      <c r="Y110" s="26" t="n">
        <v>1038066</v>
      </c>
      <c r="Z110" s="26" t="n">
        <v>330890999.52</v>
      </c>
      <c r="AA110" s="26" t="n">
        <v>272590995.52</v>
      </c>
      <c r="AB110" s="28" t="n">
        <f aca="false">IF(B110=0,0,L110/B110*10000)</f>
        <v>2.20264764501667</v>
      </c>
      <c r="AC110" s="28" t="n">
        <f aca="false">IF(D110=0,0,M110/D110*10000)</f>
        <v>2.20264764501667</v>
      </c>
      <c r="AD110" s="28" t="n">
        <f aca="false">IF(C110=0,0,N110/C110*10000)</f>
        <v>0</v>
      </c>
      <c r="AE110" s="28" t="n">
        <f aca="false">IF(E110=0,0,Q110/E110*10000)</f>
        <v>1.20294445396539</v>
      </c>
    </row>
    <row r="111" customFormat="false" ht="15" hidden="false" customHeight="true" outlineLevel="0" collapsed="false">
      <c r="A111" s="7" t="s">
        <v>244</v>
      </c>
      <c r="B111" s="26" t="n">
        <v>2195737597</v>
      </c>
      <c r="C111" s="26" t="n">
        <v>0</v>
      </c>
      <c r="D111" s="26" t="n">
        <v>2195737597</v>
      </c>
      <c r="E111" s="26" t="n">
        <v>94799665</v>
      </c>
      <c r="F111" s="26" t="n">
        <v>0</v>
      </c>
      <c r="G111" s="26" t="n">
        <v>0</v>
      </c>
      <c r="H111" s="26" t="n">
        <v>0</v>
      </c>
      <c r="I111" s="26" t="n">
        <v>0</v>
      </c>
      <c r="J111" s="26" t="n">
        <v>0</v>
      </c>
      <c r="K111" s="26" t="n">
        <v>0</v>
      </c>
      <c r="L111" s="26" t="n">
        <v>499725</v>
      </c>
      <c r="M111" s="26" t="n">
        <v>499725</v>
      </c>
      <c r="N111" s="26" t="n">
        <v>0</v>
      </c>
      <c r="O111" s="26" t="n">
        <v>0</v>
      </c>
      <c r="P111" s="26" t="n">
        <v>0</v>
      </c>
      <c r="Q111" s="26" t="n">
        <v>12428</v>
      </c>
      <c r="R111" s="26" t="n">
        <v>15468</v>
      </c>
      <c r="S111" s="26" t="n">
        <v>527621</v>
      </c>
      <c r="T111" s="26" t="n">
        <v>484733</v>
      </c>
      <c r="U111" s="26" t="n">
        <v>12055</v>
      </c>
      <c r="V111" s="26" t="n">
        <v>496788</v>
      </c>
      <c r="W111" s="26" t="n">
        <v>512153</v>
      </c>
      <c r="X111" s="27" t="n">
        <f aca="false">IF(V111=0,0,(W111-V111)/V111)</f>
        <v>0.0309286858780808</v>
      </c>
      <c r="Y111" s="26" t="n">
        <v>496788</v>
      </c>
      <c r="Z111" s="26" t="n">
        <v>330890999.52</v>
      </c>
      <c r="AA111" s="26" t="n">
        <v>272590995.52</v>
      </c>
      <c r="AB111" s="28" t="n">
        <f aca="false">IF(B111=0,0,L111/B111*10000)</f>
        <v>2.27588670286817</v>
      </c>
      <c r="AC111" s="28" t="n">
        <f aca="false">IF(D111=0,0,M111/D111*10000)</f>
        <v>2.27588670286817</v>
      </c>
      <c r="AD111" s="28" t="n">
        <f aca="false">IF(C111=0,0,N111/C111*10000)</f>
        <v>0</v>
      </c>
      <c r="AE111" s="28" t="n">
        <f aca="false">IF(E111=0,0,Q111/E111*10000)</f>
        <v>1.31097509680018</v>
      </c>
    </row>
    <row r="112" customFormat="false" ht="15" hidden="false" customHeight="true" outlineLevel="0" collapsed="false">
      <c r="A112" s="7" t="s">
        <v>245</v>
      </c>
      <c r="B112" s="26" t="n">
        <v>2496966864</v>
      </c>
      <c r="C112" s="26" t="n">
        <v>0</v>
      </c>
      <c r="D112" s="26" t="n">
        <v>2496966864</v>
      </c>
      <c r="E112" s="26" t="n">
        <v>93687537</v>
      </c>
      <c r="F112" s="26" t="n">
        <v>0</v>
      </c>
      <c r="G112" s="26" t="n">
        <v>0</v>
      </c>
      <c r="H112" s="26" t="n">
        <v>0</v>
      </c>
      <c r="I112" s="26" t="n">
        <v>0</v>
      </c>
      <c r="J112" s="26" t="n">
        <v>0</v>
      </c>
      <c r="K112" s="26" t="n">
        <v>0</v>
      </c>
      <c r="L112" s="26" t="n">
        <v>566871</v>
      </c>
      <c r="M112" s="26" t="n">
        <v>566871</v>
      </c>
      <c r="N112" s="26" t="n">
        <v>0</v>
      </c>
      <c r="O112" s="26" t="n">
        <v>0</v>
      </c>
      <c r="P112" s="26" t="n">
        <v>0</v>
      </c>
      <c r="Q112" s="26" t="n">
        <v>12659</v>
      </c>
      <c r="R112" s="26" t="n">
        <v>17386</v>
      </c>
      <c r="S112" s="26" t="n">
        <v>596916</v>
      </c>
      <c r="T112" s="26" t="n">
        <v>549865</v>
      </c>
      <c r="U112" s="26" t="n">
        <v>12279</v>
      </c>
      <c r="V112" s="26" t="n">
        <v>562144</v>
      </c>
      <c r="W112" s="26" t="n">
        <v>579530</v>
      </c>
      <c r="X112" s="27" t="n">
        <f aca="false">IF(V112=0,0,(W112-V112)/V112)</f>
        <v>0.0309280184436728</v>
      </c>
      <c r="Y112" s="26" t="n">
        <v>562144</v>
      </c>
      <c r="Z112" s="26" t="n">
        <v>330890999.52</v>
      </c>
      <c r="AA112" s="26" t="n">
        <v>272590995.52</v>
      </c>
      <c r="AB112" s="28" t="n">
        <f aca="false">IF(B112=0,0,L112/B112*10000)</f>
        <v>2.27023837669958</v>
      </c>
      <c r="AC112" s="28" t="n">
        <f aca="false">IF(D112=0,0,M112/D112*10000)</f>
        <v>2.27023837669958</v>
      </c>
      <c r="AD112" s="28" t="n">
        <f aca="false">IF(C112=0,0,N112/C112*10000)</f>
        <v>0</v>
      </c>
      <c r="AE112" s="28" t="n">
        <f aca="false">IF(E112=0,0,Q112/E112*10000)</f>
        <v>1.35119359579279</v>
      </c>
    </row>
    <row r="113" customFormat="false" ht="15" hidden="false" customHeight="true" outlineLevel="0" collapsed="false">
      <c r="A113" s="7" t="s">
        <v>246</v>
      </c>
      <c r="B113" s="26" t="n">
        <v>3338483838</v>
      </c>
      <c r="C113" s="26" t="n">
        <v>0</v>
      </c>
      <c r="D113" s="26" t="n">
        <v>3338483838</v>
      </c>
      <c r="E113" s="26" t="n">
        <v>92510970</v>
      </c>
      <c r="F113" s="26" t="n">
        <v>0</v>
      </c>
      <c r="G113" s="26" t="n">
        <v>0</v>
      </c>
      <c r="H113" s="26" t="n">
        <v>0</v>
      </c>
      <c r="I113" s="26" t="n">
        <v>0</v>
      </c>
      <c r="J113" s="26" t="n">
        <v>0</v>
      </c>
      <c r="K113" s="26" t="n">
        <v>0</v>
      </c>
      <c r="L113" s="26" t="n">
        <v>651793</v>
      </c>
      <c r="M113" s="26" t="n">
        <v>651793</v>
      </c>
      <c r="N113" s="26" t="n">
        <v>0</v>
      </c>
      <c r="O113" s="26" t="n">
        <v>0</v>
      </c>
      <c r="P113" s="26" t="n">
        <v>0</v>
      </c>
      <c r="Q113" s="26" t="n">
        <v>10920</v>
      </c>
      <c r="R113" s="26" t="n">
        <v>19736</v>
      </c>
      <c r="S113" s="26" t="n">
        <v>682449</v>
      </c>
      <c r="T113" s="26" t="n">
        <v>632239</v>
      </c>
      <c r="U113" s="26" t="n">
        <v>10592</v>
      </c>
      <c r="V113" s="26" t="n">
        <v>642831</v>
      </c>
      <c r="W113" s="26" t="n">
        <v>662713</v>
      </c>
      <c r="X113" s="27" t="n">
        <f aca="false">IF(V113=0,0,(W113-V113)/V113)</f>
        <v>0.0309288133272975</v>
      </c>
      <c r="Y113" s="26" t="n">
        <v>642831</v>
      </c>
      <c r="Z113" s="26" t="n">
        <v>330890999.52</v>
      </c>
      <c r="AA113" s="26" t="n">
        <v>272590995.52</v>
      </c>
      <c r="AB113" s="28" t="n">
        <f aca="false">IF(B113=0,0,L113/B113*10000)</f>
        <v>1.95236230465166</v>
      </c>
      <c r="AC113" s="28" t="n">
        <f aca="false">IF(D113=0,0,M113/D113*10000)</f>
        <v>1.95236230465166</v>
      </c>
      <c r="AD113" s="28" t="n">
        <f aca="false">IF(C113=0,0,N113/C113*10000)</f>
        <v>0</v>
      </c>
      <c r="AE113" s="28" t="n">
        <f aca="false">IF(E113=0,0,Q113/E113*10000)</f>
        <v>1.18040055141569</v>
      </c>
    </row>
    <row r="114" customFormat="false" ht="15" hidden="false" customHeight="true" outlineLevel="0" collapsed="false">
      <c r="A114" s="7" t="s">
        <v>247</v>
      </c>
      <c r="B114" s="26" t="n">
        <v>6124360205</v>
      </c>
      <c r="C114" s="26" t="n">
        <v>0</v>
      </c>
      <c r="D114" s="26" t="n">
        <v>6124360205</v>
      </c>
      <c r="E114" s="26" t="n">
        <v>153905343</v>
      </c>
      <c r="F114" s="26" t="n">
        <v>0</v>
      </c>
      <c r="G114" s="26" t="n">
        <v>0</v>
      </c>
      <c r="H114" s="26" t="n">
        <v>0</v>
      </c>
      <c r="I114" s="26" t="n">
        <v>0</v>
      </c>
      <c r="J114" s="26" t="n">
        <v>0</v>
      </c>
      <c r="K114" s="26" t="n">
        <v>0</v>
      </c>
      <c r="L114" s="26" t="n">
        <v>1447172</v>
      </c>
      <c r="M114" s="26" t="n">
        <v>1447172</v>
      </c>
      <c r="N114" s="26" t="n">
        <v>0</v>
      </c>
      <c r="O114" s="26" t="n">
        <v>0</v>
      </c>
      <c r="P114" s="26" t="n">
        <v>0</v>
      </c>
      <c r="Q114" s="26" t="n">
        <v>20816</v>
      </c>
      <c r="R114" s="26" t="n">
        <v>44185</v>
      </c>
      <c r="S114" s="26" t="n">
        <v>1512173</v>
      </c>
      <c r="T114" s="26" t="n">
        <v>1403757</v>
      </c>
      <c r="U114" s="26" t="n">
        <v>20191</v>
      </c>
      <c r="V114" s="26" t="n">
        <v>1423948</v>
      </c>
      <c r="W114" s="26" t="n">
        <v>1467988</v>
      </c>
      <c r="X114" s="27" t="n">
        <f aca="false">IF(V114=0,0,(W114-V114)/V114)</f>
        <v>0.0309280956888875</v>
      </c>
      <c r="Y114" s="26" t="n">
        <v>1423948</v>
      </c>
      <c r="Z114" s="26" t="n">
        <v>330890999.52</v>
      </c>
      <c r="AA114" s="26" t="n">
        <v>272590995.52</v>
      </c>
      <c r="AB114" s="28" t="n">
        <f aca="false">IF(B114=0,0,L114/B114*10000)</f>
        <v>2.36297662377616</v>
      </c>
      <c r="AC114" s="28" t="n">
        <f aca="false">IF(D114=0,0,M114/D114*10000)</f>
        <v>2.36297662377616</v>
      </c>
      <c r="AD114" s="28" t="n">
        <f aca="false">IF(C114=0,0,N114/C114*10000)</f>
        <v>0</v>
      </c>
      <c r="AE114" s="28" t="n">
        <f aca="false">IF(E114=0,0,Q114/E114*10000)</f>
        <v>1.35251964579293</v>
      </c>
    </row>
    <row r="115" customFormat="false" ht="15" hidden="false" customHeight="true" outlineLevel="0" collapsed="false">
      <c r="A115" s="7" t="s">
        <v>248</v>
      </c>
      <c r="B115" s="26" t="n">
        <v>9787326184</v>
      </c>
      <c r="C115" s="26" t="n">
        <v>0</v>
      </c>
      <c r="D115" s="26" t="n">
        <v>9787326184</v>
      </c>
      <c r="E115" s="26" t="n">
        <v>167698100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0</v>
      </c>
      <c r="L115" s="26" t="n">
        <v>2191340</v>
      </c>
      <c r="M115" s="26" t="n">
        <v>2191340</v>
      </c>
      <c r="N115" s="26" t="n">
        <v>0</v>
      </c>
      <c r="O115" s="26" t="n">
        <v>0</v>
      </c>
      <c r="P115" s="26" t="n">
        <v>0</v>
      </c>
      <c r="Q115" s="26" t="n">
        <v>20644</v>
      </c>
      <c r="R115" s="26" t="n">
        <v>65897</v>
      </c>
      <c r="S115" s="26" t="n">
        <v>2277881</v>
      </c>
      <c r="T115" s="26" t="n">
        <v>2125599</v>
      </c>
      <c r="U115" s="26" t="n">
        <v>20024</v>
      </c>
      <c r="V115" s="26" t="n">
        <v>2145623</v>
      </c>
      <c r="W115" s="26" t="n">
        <v>2211984</v>
      </c>
      <c r="X115" s="27" t="n">
        <f aca="false">IF(V115=0,0,(W115-V115)/V115)</f>
        <v>0.0309285461611849</v>
      </c>
      <c r="Y115" s="26" t="n">
        <v>2145623</v>
      </c>
      <c r="Z115" s="26" t="n">
        <v>330890999.52</v>
      </c>
      <c r="AA115" s="26" t="n">
        <v>272590995.52</v>
      </c>
      <c r="AB115" s="28" t="n">
        <f aca="false">IF(B115=0,0,L115/B115*10000)</f>
        <v>2.23895674753574</v>
      </c>
      <c r="AC115" s="28" t="n">
        <f aca="false">IF(D115=0,0,M115/D115*10000)</f>
        <v>2.23895674753574</v>
      </c>
      <c r="AD115" s="28" t="n">
        <f aca="false">IF(C115=0,0,N115/C115*10000)</f>
        <v>0</v>
      </c>
      <c r="AE115" s="28" t="n">
        <f aca="false">IF(E115=0,0,Q115/E115*10000)</f>
        <v>1.23102169911287</v>
      </c>
    </row>
    <row r="116" customFormat="false" ht="15" hidden="false" customHeight="true" outlineLevel="0" collapsed="false">
      <c r="A116" s="7" t="s">
        <v>249</v>
      </c>
      <c r="B116" s="26" t="n">
        <v>8197395327</v>
      </c>
      <c r="C116" s="26" t="n">
        <v>0</v>
      </c>
      <c r="D116" s="26" t="n">
        <v>8197395327</v>
      </c>
      <c r="E116" s="26" t="n">
        <v>169388947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1944575</v>
      </c>
      <c r="M116" s="26" t="n">
        <v>1944575</v>
      </c>
      <c r="N116" s="26" t="n">
        <v>0</v>
      </c>
      <c r="O116" s="26" t="n">
        <v>0</v>
      </c>
      <c r="P116" s="26" t="n">
        <v>0</v>
      </c>
      <c r="Q116" s="26" t="n">
        <v>24465</v>
      </c>
      <c r="R116" s="26" t="n">
        <v>59534</v>
      </c>
      <c r="S116" s="26" t="n">
        <v>2028574</v>
      </c>
      <c r="T116" s="26" t="n">
        <v>1886238</v>
      </c>
      <c r="U116" s="26" t="n">
        <v>23731</v>
      </c>
      <c r="V116" s="26" t="n">
        <v>1909969</v>
      </c>
      <c r="W116" s="26" t="n">
        <v>1969040</v>
      </c>
      <c r="X116" s="27" t="n">
        <f aca="false">IF(V116=0,0,(W116-V116)/V116)</f>
        <v>0.0309277270992356</v>
      </c>
      <c r="Y116" s="26" t="n">
        <v>1909969</v>
      </c>
      <c r="Z116" s="26" t="n">
        <v>386981378.99</v>
      </c>
      <c r="AA116" s="26" t="n">
        <v>328681374.99</v>
      </c>
      <c r="AB116" s="28" t="n">
        <f aca="false">IF(B116=0,0,L116/B116*10000)</f>
        <v>2.37218643536087</v>
      </c>
      <c r="AC116" s="28" t="n">
        <f aca="false">IF(D116=0,0,M116/D116*10000)</f>
        <v>2.37218643536087</v>
      </c>
      <c r="AD116" s="28" t="n">
        <f aca="false">IF(C116=0,0,N116/C116*10000)</f>
        <v>0</v>
      </c>
      <c r="AE116" s="28" t="n">
        <f aca="false">IF(E116=0,0,Q116/E116*10000)</f>
        <v>1.44430911421865</v>
      </c>
    </row>
    <row r="117" customFormat="false" ht="15" hidden="false" customHeight="true" outlineLevel="0" collapsed="false">
      <c r="A117" s="7" t="s">
        <v>250</v>
      </c>
      <c r="B117" s="26" t="n">
        <v>5724980030</v>
      </c>
      <c r="C117" s="26" t="n">
        <v>0</v>
      </c>
      <c r="D117" s="26" t="n">
        <v>5724980030</v>
      </c>
      <c r="E117" s="26" t="n">
        <v>117675576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0</v>
      </c>
      <c r="L117" s="26" t="n">
        <v>1313444</v>
      </c>
      <c r="M117" s="26" t="n">
        <v>1313444</v>
      </c>
      <c r="N117" s="26" t="n">
        <v>0</v>
      </c>
      <c r="O117" s="26" t="n">
        <v>0</v>
      </c>
      <c r="P117" s="26" t="n">
        <v>0</v>
      </c>
      <c r="Q117" s="26" t="n">
        <v>15562</v>
      </c>
      <c r="R117" s="26" t="n">
        <v>39870</v>
      </c>
      <c r="S117" s="26" t="n">
        <v>1368876</v>
      </c>
      <c r="T117" s="26" t="n">
        <v>1274041</v>
      </c>
      <c r="U117" s="26" t="n">
        <v>15095</v>
      </c>
      <c r="V117" s="26" t="n">
        <v>1289136</v>
      </c>
      <c r="W117" s="26" t="n">
        <v>1329006</v>
      </c>
      <c r="X117" s="27" t="n">
        <f aca="false">IF(V117=0,0,(W117-V117)/V117)</f>
        <v>0.0309276911047399</v>
      </c>
      <c r="Y117" s="26" t="n">
        <v>1289136</v>
      </c>
      <c r="Z117" s="26" t="n">
        <v>386981378.99</v>
      </c>
      <c r="AA117" s="26" t="n">
        <v>328681374.99</v>
      </c>
      <c r="AB117" s="28" t="n">
        <f aca="false">IF(B117=0,0,L117/B117*10000)</f>
        <v>2.29423333027766</v>
      </c>
      <c r="AC117" s="28" t="n">
        <f aca="false">IF(D117=0,0,M117/D117*10000)</f>
        <v>2.29423333027766</v>
      </c>
      <c r="AD117" s="28" t="n">
        <f aca="false">IF(C117=0,0,N117/C117*10000)</f>
        <v>0</v>
      </c>
      <c r="AE117" s="28" t="n">
        <f aca="false">IF(E117=0,0,Q117/E117*10000)</f>
        <v>1.32244944354468</v>
      </c>
    </row>
    <row r="118" customFormat="false" ht="15" hidden="false" customHeight="true" outlineLevel="0" collapsed="false">
      <c r="A118" s="7" t="s">
        <v>251</v>
      </c>
      <c r="B118" s="26" t="n">
        <v>6994509889</v>
      </c>
      <c r="C118" s="26" t="n">
        <v>0</v>
      </c>
      <c r="D118" s="26" t="n">
        <v>6994509889</v>
      </c>
      <c r="E118" s="26" t="n">
        <v>114067436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0</v>
      </c>
      <c r="L118" s="26" t="n">
        <v>1604602</v>
      </c>
      <c r="M118" s="26" t="n">
        <v>1604602</v>
      </c>
      <c r="N118" s="26" t="n">
        <v>0</v>
      </c>
      <c r="O118" s="26" t="n">
        <v>0</v>
      </c>
      <c r="P118" s="26" t="n">
        <v>0</v>
      </c>
      <c r="Q118" s="26" t="n">
        <v>16124</v>
      </c>
      <c r="R118" s="26" t="n">
        <v>48622</v>
      </c>
      <c r="S118" s="26" t="n">
        <v>1669348</v>
      </c>
      <c r="T118" s="26" t="n">
        <v>1556464</v>
      </c>
      <c r="U118" s="26" t="n">
        <v>15640</v>
      </c>
      <c r="V118" s="26" t="n">
        <v>1572104</v>
      </c>
      <c r="W118" s="26" t="n">
        <v>1620726</v>
      </c>
      <c r="X118" s="27" t="n">
        <f aca="false">IF(V118=0,0,(W118-V118)/V118)</f>
        <v>0.0309279793194343</v>
      </c>
      <c r="Y118" s="26" t="n">
        <v>1572104</v>
      </c>
      <c r="Z118" s="26" t="n">
        <v>386981378.99</v>
      </c>
      <c r="AA118" s="26" t="n">
        <v>328681374.99</v>
      </c>
      <c r="AB118" s="28" t="n">
        <f aca="false">IF(B118=0,0,L118/B118*10000)</f>
        <v>2.29408782811716</v>
      </c>
      <c r="AC118" s="28" t="n">
        <f aca="false">IF(D118=0,0,M118/D118*10000)</f>
        <v>2.29408782811716</v>
      </c>
      <c r="AD118" s="28" t="n">
        <f aca="false">IF(C118=0,0,N118/C118*10000)</f>
        <v>0</v>
      </c>
      <c r="AE118" s="28" t="n">
        <f aca="false">IF(E118=0,0,Q118/E118*10000)</f>
        <v>1.41354978821475</v>
      </c>
    </row>
    <row r="119" customFormat="false" ht="15" hidden="false" customHeight="true" outlineLevel="0" collapsed="false">
      <c r="A119" s="7" t="s">
        <v>252</v>
      </c>
      <c r="B119" s="26" t="n">
        <v>3958870218</v>
      </c>
      <c r="C119" s="26" t="n">
        <v>0</v>
      </c>
      <c r="D119" s="26" t="n">
        <v>3958870218</v>
      </c>
      <c r="E119" s="26" t="n">
        <v>89325385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0</v>
      </c>
      <c r="L119" s="26" t="n">
        <v>836905</v>
      </c>
      <c r="M119" s="26" t="n">
        <v>836905</v>
      </c>
      <c r="N119" s="26" t="n">
        <v>0</v>
      </c>
      <c r="O119" s="26" t="n">
        <v>0</v>
      </c>
      <c r="P119" s="26" t="n">
        <v>0</v>
      </c>
      <c r="Q119" s="26" t="n">
        <v>11829</v>
      </c>
      <c r="R119" s="26" t="n">
        <v>25331</v>
      </c>
      <c r="S119" s="26" t="n">
        <v>874065</v>
      </c>
      <c r="T119" s="26" t="n">
        <v>811798</v>
      </c>
      <c r="U119" s="26" t="n">
        <v>11474</v>
      </c>
      <c r="V119" s="26" t="n">
        <v>823272</v>
      </c>
      <c r="W119" s="26" t="n">
        <v>848734</v>
      </c>
      <c r="X119" s="27" t="n">
        <f aca="false">IF(V119=0,0,(W119-V119)/V119)</f>
        <v>0.0309278100068993</v>
      </c>
      <c r="Y119" s="26" t="n">
        <v>823272</v>
      </c>
      <c r="Z119" s="26" t="n">
        <v>386981378.99</v>
      </c>
      <c r="AA119" s="26" t="n">
        <v>328681374.99</v>
      </c>
      <c r="AB119" s="28" t="n">
        <f aca="false">IF(B119=0,0,L119/B119*10000)</f>
        <v>2.11399958552519</v>
      </c>
      <c r="AC119" s="28" t="n">
        <f aca="false">IF(D119=0,0,M119/D119*10000)</f>
        <v>2.11399958552519</v>
      </c>
      <c r="AD119" s="28" t="n">
        <f aca="false">IF(C119=0,0,N119/C119*10000)</f>
        <v>0</v>
      </c>
      <c r="AE119" s="28" t="n">
        <f aca="false">IF(E119=0,0,Q119/E119*10000)</f>
        <v>1.32425961556169</v>
      </c>
    </row>
    <row r="120" customFormat="false" ht="15" hidden="false" customHeight="true" outlineLevel="0" collapsed="false">
      <c r="A120" s="7" t="s">
        <v>253</v>
      </c>
      <c r="B120" s="26" t="n">
        <v>3416739406</v>
      </c>
      <c r="C120" s="26" t="n">
        <v>0</v>
      </c>
      <c r="D120" s="26" t="n">
        <v>3416739406</v>
      </c>
      <c r="E120" s="26" t="n">
        <v>65942651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0</v>
      </c>
      <c r="L120" s="26" t="n">
        <v>773066</v>
      </c>
      <c r="M120" s="26" t="n">
        <v>773066</v>
      </c>
      <c r="N120" s="26" t="n">
        <v>0</v>
      </c>
      <c r="O120" s="26" t="n">
        <v>0</v>
      </c>
      <c r="P120" s="26" t="n">
        <v>0</v>
      </c>
      <c r="Q120" s="26" t="n">
        <v>10180</v>
      </c>
      <c r="R120" s="26" t="n">
        <v>23467</v>
      </c>
      <c r="S120" s="26" t="n">
        <v>806713</v>
      </c>
      <c r="T120" s="26" t="n">
        <v>749874</v>
      </c>
      <c r="U120" s="26" t="n">
        <v>9875</v>
      </c>
      <c r="V120" s="26" t="n">
        <v>759749</v>
      </c>
      <c r="W120" s="26" t="n">
        <v>783246</v>
      </c>
      <c r="X120" s="27" t="n">
        <f aca="false">IF(V120=0,0,(W120-V120)/V120)</f>
        <v>0.0309273194173339</v>
      </c>
      <c r="Y120" s="26" t="n">
        <v>759749</v>
      </c>
      <c r="Z120" s="26" t="n">
        <v>386981378.99</v>
      </c>
      <c r="AA120" s="26" t="n">
        <v>328681374.99</v>
      </c>
      <c r="AB120" s="28" t="n">
        <f aca="false">IF(B120=0,0,L120/B120*10000)</f>
        <v>2.26258402570137</v>
      </c>
      <c r="AC120" s="28" t="n">
        <f aca="false">IF(D120=0,0,M120/D120*10000)</f>
        <v>2.26258402570137</v>
      </c>
      <c r="AD120" s="28" t="n">
        <f aca="false">IF(C120=0,0,N120/C120*10000)</f>
        <v>0</v>
      </c>
      <c r="AE120" s="28" t="n">
        <f aca="false">IF(E120=0,0,Q120/E120*10000)</f>
        <v>1.54376565782895</v>
      </c>
    </row>
    <row r="121" customFormat="false" ht="15" hidden="false" customHeight="true" outlineLevel="0" collapsed="false">
      <c r="A121" s="7" t="s">
        <v>254</v>
      </c>
      <c r="B121" s="26" t="n">
        <v>6600736799</v>
      </c>
      <c r="C121" s="26" t="n">
        <v>0</v>
      </c>
      <c r="D121" s="26" t="n">
        <v>6600736799</v>
      </c>
      <c r="E121" s="26" t="n">
        <v>156064089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0</v>
      </c>
      <c r="L121" s="26" t="n">
        <v>1495368</v>
      </c>
      <c r="M121" s="26" t="n">
        <v>1495368</v>
      </c>
      <c r="N121" s="26" t="n">
        <v>0</v>
      </c>
      <c r="O121" s="26" t="n">
        <v>0</v>
      </c>
      <c r="P121" s="26" t="n">
        <v>0</v>
      </c>
      <c r="Q121" s="26" t="n">
        <v>19745</v>
      </c>
      <c r="R121" s="26" t="n">
        <v>45615</v>
      </c>
      <c r="S121" s="26" t="n">
        <v>1560728</v>
      </c>
      <c r="T121" s="26" t="n">
        <v>1450507</v>
      </c>
      <c r="U121" s="26" t="n">
        <v>19152</v>
      </c>
      <c r="V121" s="26" t="n">
        <v>1469659</v>
      </c>
      <c r="W121" s="26" t="n">
        <v>1515113</v>
      </c>
      <c r="X121" s="27" t="n">
        <f aca="false">IF(V121=0,0,(W121-V121)/V121)</f>
        <v>0.0309282629507934</v>
      </c>
      <c r="Y121" s="26" t="n">
        <v>1469659</v>
      </c>
      <c r="Z121" s="26" t="n">
        <v>386981378.99</v>
      </c>
      <c r="AA121" s="26" t="n">
        <v>328681374.99</v>
      </c>
      <c r="AB121" s="28" t="n">
        <f aca="false">IF(B121=0,0,L121/B121*10000)</f>
        <v>2.26545618396199</v>
      </c>
      <c r="AC121" s="28" t="n">
        <f aca="false">IF(D121=0,0,M121/D121*10000)</f>
        <v>2.26545618396199</v>
      </c>
      <c r="AD121" s="28" t="n">
        <f aca="false">IF(C121=0,0,N121/C121*10000)</f>
        <v>0</v>
      </c>
      <c r="AE121" s="28" t="n">
        <f aca="false">IF(E121=0,0,Q121/E121*10000)</f>
        <v>1.2651853559982</v>
      </c>
    </row>
    <row r="122" customFormat="false" ht="15" hidden="false" customHeight="true" outlineLevel="0" collapsed="false">
      <c r="A122" s="7" t="s">
        <v>255</v>
      </c>
      <c r="B122" s="26" t="n">
        <v>5005053206</v>
      </c>
      <c r="C122" s="26" t="n">
        <v>0</v>
      </c>
      <c r="D122" s="26" t="n">
        <v>5005053206</v>
      </c>
      <c r="E122" s="26" t="n">
        <v>133602416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0</v>
      </c>
      <c r="L122" s="26" t="n">
        <v>1115354</v>
      </c>
      <c r="M122" s="26" t="n">
        <v>1115354</v>
      </c>
      <c r="N122" s="26" t="n">
        <v>0</v>
      </c>
      <c r="O122" s="26" t="n">
        <v>0</v>
      </c>
      <c r="P122" s="26" t="n">
        <v>0</v>
      </c>
      <c r="Q122" s="26" t="n">
        <v>17990</v>
      </c>
      <c r="R122" s="26" t="n">
        <v>33807</v>
      </c>
      <c r="S122" s="26" t="n">
        <v>1167151</v>
      </c>
      <c r="T122" s="26" t="n">
        <v>1081893</v>
      </c>
      <c r="U122" s="26" t="n">
        <v>17450</v>
      </c>
      <c r="V122" s="26" t="n">
        <v>1099343</v>
      </c>
      <c r="W122" s="26" t="n">
        <v>1133344</v>
      </c>
      <c r="X122" s="27" t="n">
        <f aca="false">IF(V122=0,0,(W122-V122)/V122)</f>
        <v>0.0309284727332598</v>
      </c>
      <c r="Y122" s="26" t="n">
        <v>1099343</v>
      </c>
      <c r="Z122" s="26" t="n">
        <v>386981378.99</v>
      </c>
      <c r="AA122" s="26" t="n">
        <v>328681374.99</v>
      </c>
      <c r="AB122" s="28" t="n">
        <f aca="false">IF(B122=0,0,L122/B122*10000)</f>
        <v>2.22845583072509</v>
      </c>
      <c r="AC122" s="28" t="n">
        <f aca="false">IF(D122=0,0,M122/D122*10000)</f>
        <v>2.22845583072509</v>
      </c>
      <c r="AD122" s="28" t="n">
        <f aca="false">IF(C122=0,0,N122/C122*10000)</f>
        <v>0</v>
      </c>
      <c r="AE122" s="28" t="n">
        <f aca="false">IF(E122=0,0,Q122/E122*10000)</f>
        <v>1.34653253575893</v>
      </c>
    </row>
    <row r="123" customFormat="false" ht="15" hidden="false" customHeight="true" outlineLevel="0" collapsed="false">
      <c r="A123" s="7" t="s">
        <v>256</v>
      </c>
      <c r="B123" s="26" t="n">
        <v>5848703745</v>
      </c>
      <c r="C123" s="26" t="n">
        <v>0</v>
      </c>
      <c r="D123" s="26" t="n">
        <v>5848703745</v>
      </c>
      <c r="E123" s="26" t="n">
        <v>171764916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0</v>
      </c>
      <c r="L123" s="26" t="n">
        <v>1309702</v>
      </c>
      <c r="M123" s="26" t="n">
        <v>1309702</v>
      </c>
      <c r="N123" s="26" t="n">
        <v>0</v>
      </c>
      <c r="O123" s="26" t="n">
        <v>0</v>
      </c>
      <c r="P123" s="26" t="n">
        <v>0</v>
      </c>
      <c r="Q123" s="26" t="n">
        <v>18830</v>
      </c>
      <c r="R123" s="26" t="n">
        <v>40049</v>
      </c>
      <c r="S123" s="26" t="n">
        <v>1368581</v>
      </c>
      <c r="T123" s="26" t="n">
        <v>1270411</v>
      </c>
      <c r="U123" s="26" t="n">
        <v>18265</v>
      </c>
      <c r="V123" s="26" t="n">
        <v>1288676</v>
      </c>
      <c r="W123" s="26" t="n">
        <v>1328532</v>
      </c>
      <c r="X123" s="27" t="n">
        <f aca="false">IF(V123=0,0,(W123-V123)/V123)</f>
        <v>0.030927867051144</v>
      </c>
      <c r="Y123" s="26" t="n">
        <v>1288676</v>
      </c>
      <c r="Z123" s="26" t="n">
        <v>419183437.71</v>
      </c>
      <c r="AA123" s="26" t="n">
        <v>360883433.71</v>
      </c>
      <c r="AB123" s="28" t="n">
        <f aca="false">IF(B123=0,0,L123/B123*10000)</f>
        <v>2.23930302696499</v>
      </c>
      <c r="AC123" s="28" t="n">
        <f aca="false">IF(D123=0,0,M123/D123*10000)</f>
        <v>2.23930302696499</v>
      </c>
      <c r="AD123" s="28" t="n">
        <f aca="false">IF(C123=0,0,N123/C123*10000)</f>
        <v>0</v>
      </c>
      <c r="AE123" s="28" t="n">
        <f aca="false">IF(E123=0,0,Q123/E123*10000)</f>
        <v>1.09626578223926</v>
      </c>
    </row>
    <row r="124" customFormat="false" ht="15" hidden="false" customHeight="true" outlineLevel="0" collapsed="false">
      <c r="A124" s="7" t="s">
        <v>257</v>
      </c>
      <c r="B124" s="26" t="n">
        <v>5887842000</v>
      </c>
      <c r="C124" s="26" t="n">
        <v>0</v>
      </c>
      <c r="D124" s="26" t="n">
        <v>5887842000</v>
      </c>
      <c r="E124" s="26" t="n">
        <v>176430408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0</v>
      </c>
      <c r="L124" s="26" t="n">
        <v>1352114</v>
      </c>
      <c r="M124" s="26" t="n">
        <v>1352114</v>
      </c>
      <c r="N124" s="26" t="n">
        <v>0</v>
      </c>
      <c r="O124" s="26" t="n">
        <v>0</v>
      </c>
      <c r="P124" s="26" t="n">
        <v>0</v>
      </c>
      <c r="Q124" s="26" t="n">
        <v>27300</v>
      </c>
      <c r="R124" s="26" t="n">
        <v>41191</v>
      </c>
      <c r="S124" s="26" t="n">
        <v>1420605</v>
      </c>
      <c r="T124" s="26" t="n">
        <v>1311550</v>
      </c>
      <c r="U124" s="26" t="n">
        <v>26481</v>
      </c>
      <c r="V124" s="26" t="n">
        <v>1338031</v>
      </c>
      <c r="W124" s="26" t="n">
        <v>1379414</v>
      </c>
      <c r="X124" s="27" t="n">
        <f aca="false">IF(V124=0,0,(W124-V124)/V124)</f>
        <v>0.0309282819306877</v>
      </c>
      <c r="Y124" s="26" t="n">
        <v>1338031</v>
      </c>
      <c r="Z124" s="26" t="n">
        <v>419183437.71</v>
      </c>
      <c r="AA124" s="26" t="n">
        <v>360883433.71</v>
      </c>
      <c r="AB124" s="28" t="n">
        <f aca="false">IF(B124=0,0,L124/B124*10000)</f>
        <v>2.29645088981668</v>
      </c>
      <c r="AC124" s="28" t="n">
        <f aca="false">IF(D124=0,0,M124/D124*10000)</f>
        <v>2.29645088981668</v>
      </c>
      <c r="AD124" s="28" t="n">
        <f aca="false">IF(C124=0,0,N124/C124*10000)</f>
        <v>0</v>
      </c>
      <c r="AE124" s="28" t="n">
        <f aca="false">IF(E124=0,0,Q124/E124*10000)</f>
        <v>1.54735231355357</v>
      </c>
    </row>
    <row r="125" customFormat="false" ht="15" hidden="false" customHeight="true" outlineLevel="0" collapsed="false">
      <c r="A125" s="7" t="s">
        <v>258</v>
      </c>
      <c r="B125" s="26" t="n">
        <v>3972686843</v>
      </c>
      <c r="C125" s="26" t="n">
        <v>0</v>
      </c>
      <c r="D125" s="26" t="n">
        <v>3972686843</v>
      </c>
      <c r="E125" s="26" t="n">
        <v>128977405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0</v>
      </c>
      <c r="L125" s="26" t="n">
        <v>952374</v>
      </c>
      <c r="M125" s="26" t="n">
        <v>952374</v>
      </c>
      <c r="N125" s="26" t="n">
        <v>0</v>
      </c>
      <c r="O125" s="26" t="n">
        <v>0</v>
      </c>
      <c r="P125" s="26" t="n">
        <v>0</v>
      </c>
      <c r="Q125" s="26" t="n">
        <v>16323</v>
      </c>
      <c r="R125" s="26" t="n">
        <v>29253</v>
      </c>
      <c r="S125" s="26" t="n">
        <v>997950</v>
      </c>
      <c r="T125" s="26" t="n">
        <v>923803</v>
      </c>
      <c r="U125" s="26" t="n">
        <v>15833</v>
      </c>
      <c r="V125" s="26" t="n">
        <v>939636</v>
      </c>
      <c r="W125" s="26" t="n">
        <v>968697</v>
      </c>
      <c r="X125" s="27" t="n">
        <f aca="false">IF(V125=0,0,(W125-V125)/V125)</f>
        <v>0.03092793379564</v>
      </c>
      <c r="Y125" s="26" t="n">
        <v>939636</v>
      </c>
      <c r="Z125" s="26" t="n">
        <v>419183437.71</v>
      </c>
      <c r="AA125" s="26" t="n">
        <v>360883433.71</v>
      </c>
      <c r="AB125" s="28" t="n">
        <f aca="false">IF(B125=0,0,L125/B125*10000)</f>
        <v>2.39730448846758</v>
      </c>
      <c r="AC125" s="28" t="n">
        <f aca="false">IF(D125=0,0,M125/D125*10000)</f>
        <v>2.39730448846758</v>
      </c>
      <c r="AD125" s="28" t="n">
        <f aca="false">IF(C125=0,0,N125/C125*10000)</f>
        <v>0</v>
      </c>
      <c r="AE125" s="28" t="n">
        <f aca="false">IF(E125=0,0,Q125/E125*10000)</f>
        <v>1.26557050826073</v>
      </c>
    </row>
    <row r="126" customFormat="false" ht="15" hidden="false" customHeight="true" outlineLevel="0" collapsed="false">
      <c r="A126" s="7" t="s">
        <v>259</v>
      </c>
      <c r="B126" s="26" t="n">
        <v>2582508633</v>
      </c>
      <c r="C126" s="26" t="n">
        <v>0</v>
      </c>
      <c r="D126" s="26" t="n">
        <v>2582508633</v>
      </c>
      <c r="E126" s="26" t="n">
        <v>102347437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0</v>
      </c>
      <c r="L126" s="26" t="n">
        <v>599536</v>
      </c>
      <c r="M126" s="26" t="n">
        <v>599536</v>
      </c>
      <c r="N126" s="26" t="n">
        <v>0</v>
      </c>
      <c r="O126" s="26" t="n">
        <v>0</v>
      </c>
      <c r="P126" s="26" t="n">
        <v>0</v>
      </c>
      <c r="Q126" s="26" t="n">
        <v>11691</v>
      </c>
      <c r="R126" s="26" t="n">
        <v>18229</v>
      </c>
      <c r="S126" s="26" t="n">
        <v>629456</v>
      </c>
      <c r="T126" s="26" t="n">
        <v>581550</v>
      </c>
      <c r="U126" s="26" t="n">
        <v>11340</v>
      </c>
      <c r="V126" s="26" t="n">
        <v>592890</v>
      </c>
      <c r="W126" s="26" t="n">
        <v>611227</v>
      </c>
      <c r="X126" s="27" t="n">
        <f aca="false">IF(V126=0,0,(W126-V126)/V126)</f>
        <v>0.0309281654269763</v>
      </c>
      <c r="Y126" s="26" t="n">
        <v>592890</v>
      </c>
      <c r="Z126" s="26" t="n">
        <v>419183437.71</v>
      </c>
      <c r="AA126" s="26" t="n">
        <v>360883433.71</v>
      </c>
      <c r="AB126" s="28" t="n">
        <f aca="false">IF(B126=0,0,L126/B126*10000)</f>
        <v>2.32152563727751</v>
      </c>
      <c r="AC126" s="28" t="n">
        <f aca="false">IF(D126=0,0,M126/D126*10000)</f>
        <v>2.32152563727751</v>
      </c>
      <c r="AD126" s="28" t="n">
        <f aca="false">IF(C126=0,0,N126/C126*10000)</f>
        <v>0</v>
      </c>
      <c r="AE126" s="28" t="n">
        <f aca="false">IF(E126=0,0,Q126/E126*10000)</f>
        <v>1.14228556597856</v>
      </c>
    </row>
    <row r="127" customFormat="false" ht="15" hidden="false" customHeight="true" outlineLevel="0" collapsed="false">
      <c r="A127" s="7" t="s">
        <v>260</v>
      </c>
      <c r="B127" s="26" t="n">
        <v>3538788479</v>
      </c>
      <c r="C127" s="26" t="n">
        <v>0</v>
      </c>
      <c r="D127" s="26" t="n">
        <v>3538788479</v>
      </c>
      <c r="E127" s="26" t="n">
        <v>87201050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0</v>
      </c>
      <c r="L127" s="26" t="n">
        <v>805192</v>
      </c>
      <c r="M127" s="26" t="n">
        <v>805192</v>
      </c>
      <c r="N127" s="26" t="n">
        <v>0</v>
      </c>
      <c r="O127" s="26" t="n">
        <v>0</v>
      </c>
      <c r="P127" s="26" t="n">
        <v>0</v>
      </c>
      <c r="Q127" s="26" t="n">
        <v>12341</v>
      </c>
      <c r="R127" s="26" t="n">
        <v>24633</v>
      </c>
      <c r="S127" s="26" t="n">
        <v>842166</v>
      </c>
      <c r="T127" s="26" t="n">
        <v>781036</v>
      </c>
      <c r="U127" s="26" t="n">
        <v>11971</v>
      </c>
      <c r="V127" s="26" t="n">
        <v>793007</v>
      </c>
      <c r="W127" s="26" t="n">
        <v>817533</v>
      </c>
      <c r="X127" s="27" t="n">
        <f aca="false">IF(V127=0,0,(W127-V127)/V127)</f>
        <v>0.0309278480517826</v>
      </c>
      <c r="Y127" s="26" t="n">
        <v>793007</v>
      </c>
      <c r="Z127" s="26" t="n">
        <v>419183437.71</v>
      </c>
      <c r="AA127" s="26" t="n">
        <v>360883433.71</v>
      </c>
      <c r="AB127" s="28" t="n">
        <f aca="false">IF(B127=0,0,L127/B127*10000)</f>
        <v>2.27533237654129</v>
      </c>
      <c r="AC127" s="28" t="n">
        <f aca="false">IF(D127=0,0,M127/D127*10000)</f>
        <v>2.27533237654129</v>
      </c>
      <c r="AD127" s="28" t="n">
        <f aca="false">IF(C127=0,0,N127/C127*10000)</f>
        <v>0</v>
      </c>
      <c r="AE127" s="28" t="n">
        <f aca="false">IF(E127=0,0,Q127/E127*10000)</f>
        <v>1.41523525232781</v>
      </c>
    </row>
    <row r="128" customFormat="false" ht="15" hidden="false" customHeight="true" outlineLevel="0" collapsed="false">
      <c r="A128" s="7" t="s">
        <v>261</v>
      </c>
      <c r="B128" s="26" t="n">
        <v>4473687183</v>
      </c>
      <c r="C128" s="26" t="n">
        <v>0</v>
      </c>
      <c r="D128" s="26" t="n">
        <v>4473687183</v>
      </c>
      <c r="E128" s="26" t="n">
        <v>103321597</v>
      </c>
      <c r="F128" s="26" t="n">
        <v>0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  <c r="L128" s="26" t="n">
        <v>1294225</v>
      </c>
      <c r="M128" s="26" t="n">
        <v>1294225</v>
      </c>
      <c r="N128" s="26" t="n">
        <v>0</v>
      </c>
      <c r="O128" s="26" t="n">
        <v>0</v>
      </c>
      <c r="P128" s="26" t="n">
        <v>0</v>
      </c>
      <c r="Q128" s="26" t="n">
        <v>27123</v>
      </c>
      <c r="R128" s="26" t="n">
        <v>39369</v>
      </c>
      <c r="S128" s="26" t="n">
        <v>1360717</v>
      </c>
      <c r="T128" s="26" t="n">
        <v>1255398</v>
      </c>
      <c r="U128" s="26" t="n">
        <v>26309</v>
      </c>
      <c r="V128" s="26" t="n">
        <v>1281707</v>
      </c>
      <c r="W128" s="26" t="n">
        <v>1321348</v>
      </c>
      <c r="X128" s="27" t="n">
        <f aca="false">IF(V128=0,0,(W128-V128)/V128)</f>
        <v>0.0309282854817833</v>
      </c>
      <c r="Y128" s="26" t="n">
        <v>1281707</v>
      </c>
      <c r="Z128" s="26" t="n">
        <v>419183437.71</v>
      </c>
      <c r="AA128" s="26" t="n">
        <v>360883433.71</v>
      </c>
      <c r="AB128" s="28" t="n">
        <f aca="false">IF(B128=0,0,L128/B128*10000)</f>
        <v>2.89297160721932</v>
      </c>
      <c r="AC128" s="28" t="n">
        <f aca="false">IF(D128=0,0,M128/D128*10000)</f>
        <v>2.89297160721932</v>
      </c>
      <c r="AD128" s="28" t="n">
        <f aca="false">IF(C128=0,0,N128/C128*10000)</f>
        <v>0</v>
      </c>
      <c r="AE128" s="28" t="n">
        <f aca="false">IF(E128=0,0,Q128/E128*10000)</f>
        <v>2.62510460421939</v>
      </c>
    </row>
    <row r="129" customFormat="false" ht="15" hidden="false" customHeight="true" outlineLevel="0" collapsed="false">
      <c r="A129" s="7" t="s">
        <v>262</v>
      </c>
      <c r="B129" s="26" t="n">
        <v>5271723516</v>
      </c>
      <c r="C129" s="26" t="n">
        <v>0</v>
      </c>
      <c r="D129" s="26" t="n">
        <v>5271723516</v>
      </c>
      <c r="E129" s="26" t="n">
        <v>148487227</v>
      </c>
      <c r="F129" s="26" t="n">
        <v>0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  <c r="L129" s="26" t="n">
        <v>1459620</v>
      </c>
      <c r="M129" s="26" t="n">
        <v>1459620</v>
      </c>
      <c r="N129" s="26" t="n">
        <v>0</v>
      </c>
      <c r="O129" s="26" t="n">
        <v>0</v>
      </c>
      <c r="P129" s="26" t="n">
        <v>0</v>
      </c>
      <c r="Q129" s="26" t="n">
        <v>32941</v>
      </c>
      <c r="R129" s="26" t="n">
        <v>45048</v>
      </c>
      <c r="S129" s="26" t="n">
        <v>1537609</v>
      </c>
      <c r="T129" s="26" t="n">
        <v>1415832</v>
      </c>
      <c r="U129" s="26" t="n">
        <v>31953</v>
      </c>
      <c r="V129" s="26" t="n">
        <v>1447785</v>
      </c>
      <c r="W129" s="26" t="n">
        <v>1492561</v>
      </c>
      <c r="X129" s="27" t="n">
        <f aca="false">IF(V129=0,0,(W129-V129)/V129)</f>
        <v>0.0309272440313997</v>
      </c>
      <c r="Y129" s="26" t="n">
        <v>1447785</v>
      </c>
      <c r="Z129" s="26" t="n">
        <v>419183437.71</v>
      </c>
      <c r="AA129" s="26" t="n">
        <v>360883433.71</v>
      </c>
      <c r="AB129" s="28" t="n">
        <f aca="false">IF(B129=0,0,L129/B129*10000)</f>
        <v>2.76877191220284</v>
      </c>
      <c r="AC129" s="28" t="n">
        <f aca="false">IF(D129=0,0,M129/D129*10000)</f>
        <v>2.76877191220284</v>
      </c>
      <c r="AD129" s="28" t="n">
        <f aca="false">IF(C129=0,0,N129/C129*10000)</f>
        <v>0</v>
      </c>
      <c r="AE129" s="28" t="n">
        <f aca="false">IF(E129=0,0,Q129/E129*10000)</f>
        <v>2.2184399739649</v>
      </c>
    </row>
    <row r="130" customFormat="false" ht="15" hidden="false" customHeight="true" outlineLevel="0" collapsed="false">
      <c r="A130" s="7" t="s">
        <v>263</v>
      </c>
      <c r="B130" s="26" t="n">
        <v>5046940514</v>
      </c>
      <c r="C130" s="26" t="n">
        <v>0</v>
      </c>
      <c r="D130" s="26" t="n">
        <v>5046940514</v>
      </c>
      <c r="E130" s="26" t="n">
        <v>123317603</v>
      </c>
      <c r="F130" s="26" t="n">
        <v>0</v>
      </c>
      <c r="G130" s="26" t="n">
        <v>0</v>
      </c>
      <c r="H130" s="26" t="n">
        <v>0</v>
      </c>
      <c r="I130" s="26" t="n">
        <v>0</v>
      </c>
      <c r="J130" s="26" t="n">
        <v>0</v>
      </c>
      <c r="K130" s="26" t="n">
        <v>0</v>
      </c>
      <c r="L130" s="26" t="n">
        <v>1570917</v>
      </c>
      <c r="M130" s="26" t="n">
        <v>1570917</v>
      </c>
      <c r="N130" s="26" t="n">
        <v>0</v>
      </c>
      <c r="O130" s="26" t="n">
        <v>0</v>
      </c>
      <c r="P130" s="26" t="n">
        <v>0</v>
      </c>
      <c r="Q130" s="26" t="n">
        <v>29262</v>
      </c>
      <c r="R130" s="26" t="n">
        <v>48005</v>
      </c>
      <c r="S130" s="26" t="n">
        <v>1648184</v>
      </c>
      <c r="T130" s="26" t="n">
        <v>1523790</v>
      </c>
      <c r="U130" s="26" t="n">
        <v>28385</v>
      </c>
      <c r="V130" s="26" t="n">
        <v>1552175</v>
      </c>
      <c r="W130" s="26" t="n">
        <v>1600179</v>
      </c>
      <c r="X130" s="27" t="n">
        <f aca="false">IF(V130=0,0,(W130-V130)/V130)</f>
        <v>0.0309269251212009</v>
      </c>
      <c r="Y130" s="26" t="n">
        <v>1552175</v>
      </c>
      <c r="Z130" s="26" t="n">
        <v>456657171.59</v>
      </c>
      <c r="AA130" s="26" t="n">
        <v>398357167.59</v>
      </c>
      <c r="AB130" s="28" t="n">
        <f aca="false">IF(B130=0,0,L130/B130*10000)</f>
        <v>3.11261247411643</v>
      </c>
      <c r="AC130" s="28" t="n">
        <f aca="false">IF(D130=0,0,M130/D130*10000)</f>
        <v>3.11261247411643</v>
      </c>
      <c r="AD130" s="28" t="n">
        <f aca="false">IF(C130=0,0,N130/C130*10000)</f>
        <v>0</v>
      </c>
      <c r="AE130" s="28" t="n">
        <f aca="false">IF(E130=0,0,Q130/E130*10000)</f>
        <v>2.37289724160467</v>
      </c>
    </row>
    <row r="131" customFormat="false" ht="15" hidden="false" customHeight="true" outlineLevel="0" collapsed="false">
      <c r="A131" s="7" t="s">
        <v>264</v>
      </c>
      <c r="B131" s="26" t="n">
        <v>10768068499</v>
      </c>
      <c r="C131" s="26" t="n">
        <v>0</v>
      </c>
      <c r="D131" s="26" t="n">
        <v>10768068499</v>
      </c>
      <c r="E131" s="26" t="n">
        <v>238514707</v>
      </c>
      <c r="F131" s="26" t="n">
        <v>0</v>
      </c>
      <c r="G131" s="26" t="n">
        <v>0</v>
      </c>
      <c r="H131" s="26" t="n">
        <v>0</v>
      </c>
      <c r="I131" s="26" t="n">
        <v>0</v>
      </c>
      <c r="J131" s="26" t="n">
        <v>0</v>
      </c>
      <c r="K131" s="26" t="n">
        <v>0</v>
      </c>
      <c r="L131" s="26" t="n">
        <v>3225869</v>
      </c>
      <c r="M131" s="26" t="n">
        <v>3225869</v>
      </c>
      <c r="N131" s="26" t="n">
        <v>0</v>
      </c>
      <c r="O131" s="26" t="n">
        <v>0</v>
      </c>
      <c r="P131" s="26" t="n">
        <v>0</v>
      </c>
      <c r="Q131" s="26" t="n">
        <v>53413</v>
      </c>
      <c r="R131" s="26" t="n">
        <v>98378</v>
      </c>
      <c r="S131" s="26" t="n">
        <v>3377660</v>
      </c>
      <c r="T131" s="26" t="n">
        <v>3129093</v>
      </c>
      <c r="U131" s="26" t="n">
        <v>51811</v>
      </c>
      <c r="V131" s="26" t="n">
        <v>3180904</v>
      </c>
      <c r="W131" s="26" t="n">
        <v>3279282</v>
      </c>
      <c r="X131" s="27" t="n">
        <f aca="false">IF(V131=0,0,(W131-V131)/V131)</f>
        <v>0.0309276859660021</v>
      </c>
      <c r="Y131" s="26" t="n">
        <v>3180904</v>
      </c>
      <c r="Z131" s="26" t="n">
        <v>456657171.59</v>
      </c>
      <c r="AA131" s="26" t="n">
        <v>398357167.59</v>
      </c>
      <c r="AB131" s="28" t="n">
        <f aca="false">IF(B131=0,0,L131/B131*10000)</f>
        <v>2.9957731048048</v>
      </c>
      <c r="AC131" s="28" t="n">
        <f aca="false">IF(D131=0,0,M131/D131*10000)</f>
        <v>2.9957731048048</v>
      </c>
      <c r="AD131" s="28" t="n">
        <f aca="false">IF(C131=0,0,N131/C131*10000)</f>
        <v>0</v>
      </c>
      <c r="AE131" s="28" t="n">
        <f aca="false">IF(E131=0,0,Q131/E131*10000)</f>
        <v>2.23940069238582</v>
      </c>
    </row>
    <row r="132" customFormat="false" ht="15" hidden="false" customHeight="true" outlineLevel="0" collapsed="false">
      <c r="A132" s="7" t="s">
        <v>265</v>
      </c>
      <c r="B132" s="26" t="n">
        <v>9259003423</v>
      </c>
      <c r="C132" s="26" t="n">
        <v>0</v>
      </c>
      <c r="D132" s="26" t="n">
        <v>9259003423</v>
      </c>
      <c r="E132" s="26" t="n">
        <v>187434250</v>
      </c>
      <c r="F132" s="26" t="n">
        <v>0</v>
      </c>
      <c r="G132" s="26" t="n">
        <v>0</v>
      </c>
      <c r="H132" s="26" t="n">
        <v>0</v>
      </c>
      <c r="I132" s="26" t="n">
        <v>0</v>
      </c>
      <c r="J132" s="26" t="n">
        <v>0</v>
      </c>
      <c r="K132" s="26" t="n">
        <v>0</v>
      </c>
      <c r="L132" s="26" t="n">
        <v>2787302</v>
      </c>
      <c r="M132" s="26" t="n">
        <v>2787302</v>
      </c>
      <c r="N132" s="26" t="n">
        <v>0</v>
      </c>
      <c r="O132" s="26" t="n">
        <v>0</v>
      </c>
      <c r="P132" s="26" t="n">
        <v>0</v>
      </c>
      <c r="Q132" s="26" t="n">
        <v>63153</v>
      </c>
      <c r="R132" s="26" t="n">
        <v>85514</v>
      </c>
      <c r="S132" s="26" t="n">
        <v>2935969</v>
      </c>
      <c r="T132" s="26" t="n">
        <v>2703683</v>
      </c>
      <c r="U132" s="26" t="n">
        <v>61259</v>
      </c>
      <c r="V132" s="26" t="n">
        <v>2764942</v>
      </c>
      <c r="W132" s="26" t="n">
        <v>2850455</v>
      </c>
      <c r="X132" s="27" t="n">
        <f aca="false">IF(V132=0,0,(W132-V132)/V132)</f>
        <v>0.0309275926945303</v>
      </c>
      <c r="Y132" s="26" t="n">
        <v>2764942</v>
      </c>
      <c r="Z132" s="26" t="n">
        <v>456657171.59</v>
      </c>
      <c r="AA132" s="26" t="n">
        <v>398357167.59</v>
      </c>
      <c r="AB132" s="28" t="n">
        <f aca="false">IF(B132=0,0,L132/B132*10000)</f>
        <v>3.01036933745607</v>
      </c>
      <c r="AC132" s="28" t="n">
        <f aca="false">IF(D132=0,0,M132/D132*10000)</f>
        <v>3.01036933745607</v>
      </c>
      <c r="AD132" s="28" t="n">
        <f aca="false">IF(C132=0,0,N132/C132*10000)</f>
        <v>0</v>
      </c>
      <c r="AE132" s="28" t="n">
        <f aca="false">IF(E132=0,0,Q132/E132*10000)</f>
        <v>3.36934151575819</v>
      </c>
    </row>
    <row r="133" customFormat="false" ht="15" hidden="false" customHeight="true" outlineLevel="0" collapsed="false">
      <c r="A133" s="7" t="s">
        <v>266</v>
      </c>
      <c r="B133" s="26" t="n">
        <v>6187499397</v>
      </c>
      <c r="C133" s="26" t="n">
        <v>0</v>
      </c>
      <c r="D133" s="26" t="n">
        <v>6187499397</v>
      </c>
      <c r="E133" s="26" t="n">
        <v>183465847</v>
      </c>
      <c r="F133" s="26" t="n">
        <v>0</v>
      </c>
      <c r="G133" s="26" t="n">
        <v>0</v>
      </c>
      <c r="H133" s="26" t="n">
        <v>0</v>
      </c>
      <c r="I133" s="26" t="n">
        <v>0</v>
      </c>
      <c r="J133" s="26" t="n">
        <v>0</v>
      </c>
      <c r="K133" s="26" t="n">
        <v>0</v>
      </c>
      <c r="L133" s="26" t="n">
        <v>1677142</v>
      </c>
      <c r="M133" s="26" t="n">
        <v>1677142</v>
      </c>
      <c r="N133" s="26" t="n">
        <v>0</v>
      </c>
      <c r="O133" s="26" t="n">
        <v>0</v>
      </c>
      <c r="P133" s="26" t="n">
        <v>0</v>
      </c>
      <c r="Q133" s="26" t="n">
        <v>37161</v>
      </c>
      <c r="R133" s="26" t="n">
        <v>50509</v>
      </c>
      <c r="S133" s="26" t="n">
        <v>1764812</v>
      </c>
      <c r="T133" s="26" t="n">
        <v>1626828</v>
      </c>
      <c r="U133" s="26" t="n">
        <v>36046</v>
      </c>
      <c r="V133" s="26" t="n">
        <v>1662874</v>
      </c>
      <c r="W133" s="26" t="n">
        <v>1714303</v>
      </c>
      <c r="X133" s="27" t="n">
        <f aca="false">IF(V133=0,0,(W133-V133)/V133)</f>
        <v>0.0309277792544715</v>
      </c>
      <c r="Y133" s="26" t="n">
        <v>1662874</v>
      </c>
      <c r="Z133" s="26" t="n">
        <v>456657171.59</v>
      </c>
      <c r="AA133" s="26" t="n">
        <v>398357167.59</v>
      </c>
      <c r="AB133" s="28" t="n">
        <f aca="false">IF(B133=0,0,L133/B133*10000)</f>
        <v>2.71053278940627</v>
      </c>
      <c r="AC133" s="28" t="n">
        <f aca="false">IF(D133=0,0,M133/D133*10000)</f>
        <v>2.71053278940627</v>
      </c>
      <c r="AD133" s="28" t="n">
        <f aca="false">IF(C133=0,0,N133/C133*10000)</f>
        <v>0</v>
      </c>
      <c r="AE133" s="28" t="n">
        <f aca="false">IF(E133=0,0,Q133/E133*10000)</f>
        <v>2.0254996015689</v>
      </c>
    </row>
    <row r="134" customFormat="false" ht="15" hidden="false" customHeight="true" outlineLevel="0" collapsed="false">
      <c r="A134" s="7" t="s">
        <v>267</v>
      </c>
      <c r="B134" s="26" t="n">
        <v>6494073457</v>
      </c>
      <c r="C134" s="26" t="n">
        <v>0</v>
      </c>
      <c r="D134" s="26" t="n">
        <v>6494073457</v>
      </c>
      <c r="E134" s="26" t="n">
        <v>203456685</v>
      </c>
      <c r="F134" s="26" t="n">
        <v>0</v>
      </c>
      <c r="G134" s="26" t="n">
        <v>0</v>
      </c>
      <c r="H134" s="26" t="n">
        <v>0</v>
      </c>
      <c r="I134" s="26" t="n">
        <v>0</v>
      </c>
      <c r="J134" s="26" t="n">
        <v>0</v>
      </c>
      <c r="K134" s="26" t="n">
        <v>0</v>
      </c>
      <c r="L134" s="26" t="n">
        <v>2012374</v>
      </c>
      <c r="M134" s="26" t="n">
        <v>2012374</v>
      </c>
      <c r="N134" s="26" t="n">
        <v>0</v>
      </c>
      <c r="O134" s="26" t="n">
        <v>0</v>
      </c>
      <c r="P134" s="26" t="n">
        <v>0</v>
      </c>
      <c r="Q134" s="26" t="n">
        <v>46917</v>
      </c>
      <c r="R134" s="26" t="n">
        <v>62699</v>
      </c>
      <c r="S134" s="26" t="n">
        <v>2121990</v>
      </c>
      <c r="T134" s="26" t="n">
        <v>1952003</v>
      </c>
      <c r="U134" s="26" t="n">
        <v>45509</v>
      </c>
      <c r="V134" s="26" t="n">
        <v>1997512</v>
      </c>
      <c r="W134" s="26" t="n">
        <v>2059291</v>
      </c>
      <c r="X134" s="27" t="n">
        <f aca="false">IF(V134=0,0,(W134-V134)/V134)</f>
        <v>0.0309279744001538</v>
      </c>
      <c r="Y134" s="26" t="n">
        <v>1997512</v>
      </c>
      <c r="Z134" s="26" t="n">
        <v>456657171.59</v>
      </c>
      <c r="AA134" s="26" t="n">
        <v>398357167.59</v>
      </c>
      <c r="AB134" s="28" t="n">
        <f aca="false">IF(B134=0,0,L134/B134*10000)</f>
        <v>3.09878539767802</v>
      </c>
      <c r="AC134" s="28" t="n">
        <f aca="false">IF(D134=0,0,M134/D134*10000)</f>
        <v>3.09878539767802</v>
      </c>
      <c r="AD134" s="28" t="n">
        <f aca="false">IF(C134=0,0,N134/C134*10000)</f>
        <v>0</v>
      </c>
      <c r="AE134" s="28" t="n">
        <f aca="false">IF(E134=0,0,Q134/E134*10000)</f>
        <v>2.30599451671986</v>
      </c>
    </row>
    <row r="135" customFormat="false" ht="15" hidden="false" customHeight="true" outlineLevel="0" collapsed="false">
      <c r="A135" s="7" t="s">
        <v>268</v>
      </c>
      <c r="B135" s="26" t="n">
        <v>11384520557</v>
      </c>
      <c r="C135" s="26" t="n">
        <v>0</v>
      </c>
      <c r="D135" s="26" t="n">
        <v>11384520557</v>
      </c>
      <c r="E135" s="26" t="n">
        <v>218167542</v>
      </c>
      <c r="F135" s="26" t="n">
        <v>0</v>
      </c>
      <c r="G135" s="26" t="n">
        <v>0</v>
      </c>
      <c r="H135" s="26" t="n">
        <v>0</v>
      </c>
      <c r="I135" s="26" t="n">
        <v>0</v>
      </c>
      <c r="J135" s="26" t="n">
        <v>0</v>
      </c>
      <c r="K135" s="26" t="n">
        <v>0</v>
      </c>
      <c r="L135" s="26" t="n">
        <v>3322653</v>
      </c>
      <c r="M135" s="26" t="n">
        <v>3322653</v>
      </c>
      <c r="N135" s="26" t="n">
        <v>0</v>
      </c>
      <c r="O135" s="26" t="n">
        <v>0</v>
      </c>
      <c r="P135" s="26" t="n">
        <v>0</v>
      </c>
      <c r="Q135" s="26" t="n">
        <v>47049</v>
      </c>
      <c r="R135" s="26" t="n">
        <v>100768</v>
      </c>
      <c r="S135" s="26" t="n">
        <v>3470470</v>
      </c>
      <c r="T135" s="26" t="n">
        <v>3222974</v>
      </c>
      <c r="U135" s="26" t="n">
        <v>45638</v>
      </c>
      <c r="V135" s="26" t="n">
        <v>3268612</v>
      </c>
      <c r="W135" s="26" t="n">
        <v>3369702</v>
      </c>
      <c r="X135" s="27" t="n">
        <f aca="false">IF(V135=0,0,(W135-V135)/V135)</f>
        <v>0.0309275007250784</v>
      </c>
      <c r="Y135" s="26" t="n">
        <v>3268612</v>
      </c>
      <c r="Z135" s="26" t="n">
        <v>456657171.59</v>
      </c>
      <c r="AA135" s="26" t="n">
        <v>398357167.59</v>
      </c>
      <c r="AB135" s="28" t="n">
        <f aca="false">IF(B135=0,0,L135/B135*10000)</f>
        <v>2.91857086415203</v>
      </c>
      <c r="AC135" s="28" t="n">
        <f aca="false">IF(D135=0,0,M135/D135*10000)</f>
        <v>2.91857086415203</v>
      </c>
      <c r="AD135" s="28" t="n">
        <f aca="false">IF(C135=0,0,N135/C135*10000)</f>
        <v>0</v>
      </c>
      <c r="AE135" s="28" t="n">
        <f aca="false">IF(E135=0,0,Q135/E135*10000)</f>
        <v>2.156553608694</v>
      </c>
    </row>
    <row r="136" customFormat="false" ht="15" hidden="false" customHeight="true" outlineLevel="0" collapsed="false">
      <c r="A136" s="7" t="s">
        <v>269</v>
      </c>
      <c r="B136" s="26" t="n">
        <v>8517304843</v>
      </c>
      <c r="C136" s="26" t="n">
        <v>0</v>
      </c>
      <c r="D136" s="26" t="n">
        <v>8517304843</v>
      </c>
      <c r="E136" s="26" t="n">
        <v>187661133</v>
      </c>
      <c r="F136" s="26" t="n">
        <v>0</v>
      </c>
      <c r="G136" s="26" t="n">
        <v>0</v>
      </c>
      <c r="H136" s="26" t="n">
        <v>0</v>
      </c>
      <c r="I136" s="26" t="n">
        <v>0</v>
      </c>
      <c r="J136" s="26" t="n">
        <v>0</v>
      </c>
      <c r="K136" s="26" t="n">
        <v>0</v>
      </c>
      <c r="L136" s="26" t="n">
        <v>2435583</v>
      </c>
      <c r="M136" s="26" t="n">
        <v>2435583</v>
      </c>
      <c r="N136" s="26" t="n">
        <v>0</v>
      </c>
      <c r="O136" s="26" t="n">
        <v>0</v>
      </c>
      <c r="P136" s="26" t="n">
        <v>0</v>
      </c>
      <c r="Q136" s="26" t="n">
        <v>42000</v>
      </c>
      <c r="R136" s="26" t="n">
        <v>74651</v>
      </c>
      <c r="S136" s="26" t="n">
        <v>2552234</v>
      </c>
      <c r="T136" s="26" t="n">
        <v>2362515</v>
      </c>
      <c r="U136" s="26" t="n">
        <v>40740</v>
      </c>
      <c r="V136" s="26" t="n">
        <v>2403255</v>
      </c>
      <c r="W136" s="26" t="n">
        <v>2477583</v>
      </c>
      <c r="X136" s="27" t="n">
        <f aca="false">IF(V136=0,0,(W136-V136)/V136)</f>
        <v>0.0309280538269971</v>
      </c>
      <c r="Y136" s="26" t="n">
        <v>2403255</v>
      </c>
      <c r="Z136" s="26" t="n">
        <v>456657171.59</v>
      </c>
      <c r="AA136" s="26" t="n">
        <v>398357167.59</v>
      </c>
      <c r="AB136" s="28" t="n">
        <f aca="false">IF(B136=0,0,L136/B136*10000)</f>
        <v>2.85957006928277</v>
      </c>
      <c r="AC136" s="28" t="n">
        <f aca="false">IF(D136=0,0,M136/D136*10000)</f>
        <v>2.85957006928277</v>
      </c>
      <c r="AD136" s="28" t="n">
        <f aca="false">IF(C136=0,0,N136/C136*10000)</f>
        <v>0</v>
      </c>
      <c r="AE136" s="28" t="n">
        <f aca="false">IF(E136=0,0,Q136/E136*10000)</f>
        <v>2.23807665064028</v>
      </c>
    </row>
    <row r="137" customFormat="false" ht="15" hidden="false" customHeight="true" outlineLevel="0" collapsed="false">
      <c r="A137" s="7" t="s">
        <v>270</v>
      </c>
      <c r="B137" s="26" t="n">
        <v>6906899662</v>
      </c>
      <c r="C137" s="26" t="n">
        <v>0</v>
      </c>
      <c r="D137" s="26" t="n">
        <v>6906899662</v>
      </c>
      <c r="E137" s="26" t="n">
        <v>164936595</v>
      </c>
      <c r="F137" s="26" t="n">
        <v>0</v>
      </c>
      <c r="G137" s="26" t="n">
        <v>0</v>
      </c>
      <c r="H137" s="26" t="n">
        <v>0</v>
      </c>
      <c r="I137" s="26" t="n">
        <v>0</v>
      </c>
      <c r="J137" s="26" t="n">
        <v>0</v>
      </c>
      <c r="K137" s="26" t="n">
        <v>0</v>
      </c>
      <c r="L137" s="26" t="n">
        <v>1980037</v>
      </c>
      <c r="M137" s="26" t="n">
        <v>1980037</v>
      </c>
      <c r="N137" s="26" t="n">
        <v>0</v>
      </c>
      <c r="O137" s="26" t="n">
        <v>0</v>
      </c>
      <c r="P137" s="26" t="n">
        <v>0</v>
      </c>
      <c r="Q137" s="26" t="n">
        <v>35587</v>
      </c>
      <c r="R137" s="26" t="n">
        <v>60065</v>
      </c>
      <c r="S137" s="26" t="n">
        <v>2075689</v>
      </c>
      <c r="T137" s="26" t="n">
        <v>1920636</v>
      </c>
      <c r="U137" s="26" t="n">
        <v>34519</v>
      </c>
      <c r="V137" s="26" t="n">
        <v>1955155</v>
      </c>
      <c r="W137" s="26" t="n">
        <v>2015624</v>
      </c>
      <c r="X137" s="27" t="n">
        <f aca="false">IF(V137=0,0,(W137-V137)/V137)</f>
        <v>0.0309279826919093</v>
      </c>
      <c r="Y137" s="26" t="n">
        <v>1955155</v>
      </c>
      <c r="Z137" s="26" t="n">
        <v>565643663.24</v>
      </c>
      <c r="AA137" s="26" t="n">
        <v>507343659.24</v>
      </c>
      <c r="AB137" s="28" t="n">
        <f aca="false">IF(B137=0,0,L137/B137*10000)</f>
        <v>2.86675222878024</v>
      </c>
      <c r="AC137" s="28" t="n">
        <f aca="false">IF(D137=0,0,M137/D137*10000)</f>
        <v>2.86675222878024</v>
      </c>
      <c r="AD137" s="28" t="n">
        <f aca="false">IF(C137=0,0,N137/C137*10000)</f>
        <v>0</v>
      </c>
      <c r="AE137" s="28" t="n">
        <f aca="false">IF(E137=0,0,Q137/E137*10000)</f>
        <v>2.15761699215386</v>
      </c>
    </row>
    <row r="138" customFormat="false" ht="15" hidden="false" customHeight="true" outlineLevel="0" collapsed="false">
      <c r="A138" s="7" t="s">
        <v>271</v>
      </c>
      <c r="B138" s="26" t="n">
        <v>7646456191</v>
      </c>
      <c r="C138" s="26" t="n">
        <v>0</v>
      </c>
      <c r="D138" s="26" t="n">
        <v>7646456191</v>
      </c>
      <c r="E138" s="26" t="n">
        <v>176738006</v>
      </c>
      <c r="F138" s="26" t="n">
        <v>0</v>
      </c>
      <c r="G138" s="26" t="n">
        <v>0</v>
      </c>
      <c r="H138" s="26" t="n">
        <v>0</v>
      </c>
      <c r="I138" s="26" t="n">
        <v>0</v>
      </c>
      <c r="J138" s="26" t="n">
        <v>0</v>
      </c>
      <c r="K138" s="26" t="n">
        <v>0</v>
      </c>
      <c r="L138" s="26" t="n">
        <v>2154451</v>
      </c>
      <c r="M138" s="26" t="n">
        <v>2154451</v>
      </c>
      <c r="N138" s="26" t="n">
        <v>0</v>
      </c>
      <c r="O138" s="26" t="n">
        <v>0</v>
      </c>
      <c r="P138" s="26" t="n">
        <v>0</v>
      </c>
      <c r="Q138" s="26" t="n">
        <v>36989</v>
      </c>
      <c r="R138" s="26" t="n">
        <v>66147</v>
      </c>
      <c r="S138" s="26" t="n">
        <v>2257587</v>
      </c>
      <c r="T138" s="26" t="n">
        <v>2089817</v>
      </c>
      <c r="U138" s="26" t="n">
        <v>35880</v>
      </c>
      <c r="V138" s="26" t="n">
        <v>2125697</v>
      </c>
      <c r="W138" s="26" t="n">
        <v>2191440</v>
      </c>
      <c r="X138" s="27" t="n">
        <f aca="false">IF(V138=0,0,(W138-V138)/V138)</f>
        <v>0.0309277380548592</v>
      </c>
      <c r="Y138" s="26" t="n">
        <v>2125697</v>
      </c>
      <c r="Z138" s="26" t="n">
        <v>565643663.24</v>
      </c>
      <c r="AA138" s="26" t="n">
        <v>507343659.24</v>
      </c>
      <c r="AB138" s="28" t="n">
        <f aca="false">IF(B138=0,0,L138/B138*10000)</f>
        <v>2.81758104170638</v>
      </c>
      <c r="AC138" s="28" t="n">
        <f aca="false">IF(D138=0,0,M138/D138*10000)</f>
        <v>2.81758104170638</v>
      </c>
      <c r="AD138" s="28" t="n">
        <f aca="false">IF(C138=0,0,N138/C138*10000)</f>
        <v>0</v>
      </c>
      <c r="AE138" s="28" t="n">
        <f aca="false">IF(E138=0,0,Q138/E138*10000)</f>
        <v>2.09287186367826</v>
      </c>
    </row>
    <row r="139" customFormat="false" ht="15" hidden="false" customHeight="true" outlineLevel="0" collapsed="false">
      <c r="A139" s="7" t="s">
        <v>272</v>
      </c>
      <c r="B139" s="26" t="n">
        <v>6361695035</v>
      </c>
      <c r="C139" s="26" t="n">
        <v>0</v>
      </c>
      <c r="D139" s="26" t="n">
        <v>6361695035</v>
      </c>
      <c r="E139" s="26" t="n">
        <v>226665977</v>
      </c>
      <c r="F139" s="26" t="n">
        <v>0</v>
      </c>
      <c r="G139" s="26" t="n">
        <v>0</v>
      </c>
      <c r="H139" s="26" t="n">
        <v>0</v>
      </c>
      <c r="I139" s="26" t="n">
        <v>0</v>
      </c>
      <c r="J139" s="26" t="n">
        <v>0</v>
      </c>
      <c r="K139" s="26" t="n">
        <v>0</v>
      </c>
      <c r="L139" s="26" t="n">
        <v>1713351</v>
      </c>
      <c r="M139" s="26" t="n">
        <v>1713351</v>
      </c>
      <c r="N139" s="26" t="n">
        <v>0</v>
      </c>
      <c r="O139" s="26" t="n">
        <v>0</v>
      </c>
      <c r="P139" s="26" t="n">
        <v>0</v>
      </c>
      <c r="Q139" s="26" t="n">
        <v>52053</v>
      </c>
      <c r="R139" s="26" t="n">
        <v>52040</v>
      </c>
      <c r="S139" s="26" t="n">
        <v>1817444</v>
      </c>
      <c r="T139" s="26" t="n">
        <v>1661950</v>
      </c>
      <c r="U139" s="26" t="n">
        <v>50491</v>
      </c>
      <c r="V139" s="26" t="n">
        <v>1712441</v>
      </c>
      <c r="W139" s="26" t="n">
        <v>1765404</v>
      </c>
      <c r="X139" s="27" t="n">
        <f aca="false">IF(V139=0,0,(W139-V139)/V139)</f>
        <v>0.0309283648312555</v>
      </c>
      <c r="Y139" s="26" t="n">
        <v>1712441</v>
      </c>
      <c r="Z139" s="26" t="n">
        <v>565643663.24</v>
      </c>
      <c r="AA139" s="26" t="n">
        <v>507343659.24</v>
      </c>
      <c r="AB139" s="28" t="n">
        <f aca="false">IF(B139=0,0,L139/B139*10000)</f>
        <v>2.69323032709631</v>
      </c>
      <c r="AC139" s="28" t="n">
        <f aca="false">IF(D139=0,0,M139/D139*10000)</f>
        <v>2.69323032709631</v>
      </c>
      <c r="AD139" s="28" t="n">
        <f aca="false">IF(C139=0,0,N139/C139*10000)</f>
        <v>0</v>
      </c>
      <c r="AE139" s="28" t="n">
        <f aca="false">IF(E139=0,0,Q139/E139*10000)</f>
        <v>2.29646286967894</v>
      </c>
    </row>
    <row r="140" customFormat="false" ht="15" hidden="false" customHeight="true" outlineLevel="0" collapsed="false">
      <c r="A140" s="7" t="s">
        <v>273</v>
      </c>
      <c r="B140" s="26" t="n">
        <v>4078844315</v>
      </c>
      <c r="C140" s="26" t="n">
        <v>0</v>
      </c>
      <c r="D140" s="26" t="n">
        <v>4078844315</v>
      </c>
      <c r="E140" s="26" t="n">
        <v>181177333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0</v>
      </c>
      <c r="L140" s="26" t="n">
        <v>1169696</v>
      </c>
      <c r="M140" s="26" t="n">
        <v>1169696</v>
      </c>
      <c r="N140" s="26" t="n">
        <v>0</v>
      </c>
      <c r="O140" s="26" t="n">
        <v>0</v>
      </c>
      <c r="P140" s="26" t="n">
        <v>0</v>
      </c>
      <c r="Q140" s="26" t="n">
        <v>44633</v>
      </c>
      <c r="R140" s="26" t="n">
        <v>37246</v>
      </c>
      <c r="S140" s="26" t="n">
        <v>1251575</v>
      </c>
      <c r="T140" s="26" t="n">
        <v>1134606</v>
      </c>
      <c r="U140" s="26" t="n">
        <v>43294</v>
      </c>
      <c r="V140" s="26" t="n">
        <v>1177900</v>
      </c>
      <c r="W140" s="26" t="n">
        <v>1214329</v>
      </c>
      <c r="X140" s="27" t="n">
        <f aca="false">IF(V140=0,0,(W140-V140)/V140)</f>
        <v>0.0309270736055692</v>
      </c>
      <c r="Y140" s="26" t="n">
        <v>1177900</v>
      </c>
      <c r="Z140" s="26" t="n">
        <v>565643663.24</v>
      </c>
      <c r="AA140" s="26" t="n">
        <v>507343659.24</v>
      </c>
      <c r="AB140" s="28" t="n">
        <f aca="false">IF(B140=0,0,L140/B140*10000)</f>
        <v>2.86771425841979</v>
      </c>
      <c r="AC140" s="28" t="n">
        <f aca="false">IF(D140=0,0,M140/D140*10000)</f>
        <v>2.86771425841979</v>
      </c>
      <c r="AD140" s="28" t="n">
        <f aca="false">IF(C140=0,0,N140/C140*10000)</f>
        <v>0</v>
      </c>
      <c r="AE140" s="28" t="n">
        <f aca="false">IF(E140=0,0,Q140/E140*10000)</f>
        <v>2.46349801384923</v>
      </c>
    </row>
    <row r="141" customFormat="false" ht="15" hidden="false" customHeight="true" outlineLevel="0" collapsed="false">
      <c r="A141" s="7" t="s">
        <v>274</v>
      </c>
      <c r="B141" s="26" t="n">
        <v>7921552239</v>
      </c>
      <c r="C141" s="26" t="n">
        <v>0</v>
      </c>
      <c r="D141" s="26" t="n">
        <v>7921552239</v>
      </c>
      <c r="E141" s="26" t="n">
        <v>194262020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0</v>
      </c>
      <c r="L141" s="26" t="n">
        <v>2095160</v>
      </c>
      <c r="M141" s="26" t="n">
        <v>2095160</v>
      </c>
      <c r="N141" s="26" t="n">
        <v>0</v>
      </c>
      <c r="O141" s="26" t="n">
        <v>0</v>
      </c>
      <c r="P141" s="26" t="n">
        <v>0</v>
      </c>
      <c r="Q141" s="26" t="n">
        <v>40738</v>
      </c>
      <c r="R141" s="26" t="n">
        <v>61380</v>
      </c>
      <c r="S141" s="26" t="n">
        <v>2197278</v>
      </c>
      <c r="T141" s="26" t="n">
        <v>2032305</v>
      </c>
      <c r="U141" s="26" t="n">
        <v>39516</v>
      </c>
      <c r="V141" s="26" t="n">
        <v>2071821</v>
      </c>
      <c r="W141" s="26" t="n">
        <v>2135898</v>
      </c>
      <c r="X141" s="27" t="n">
        <f aca="false">IF(V141=0,0,(W141-V141)/V141)</f>
        <v>0.0309278649072483</v>
      </c>
      <c r="Y141" s="26" t="n">
        <v>2071821</v>
      </c>
      <c r="Z141" s="26" t="n">
        <v>565643663.24</v>
      </c>
      <c r="AA141" s="26" t="n">
        <v>507343659.24</v>
      </c>
      <c r="AB141" s="28" t="n">
        <f aca="false">IF(B141=0,0,L141/B141*10000)</f>
        <v>2.64488566986271</v>
      </c>
      <c r="AC141" s="28" t="n">
        <f aca="false">IF(D141=0,0,M141/D141*10000)</f>
        <v>2.64488566986271</v>
      </c>
      <c r="AD141" s="28" t="n">
        <f aca="false">IF(C141=0,0,N141/C141*10000)</f>
        <v>0</v>
      </c>
      <c r="AE141" s="28" t="n">
        <f aca="false">IF(E141=0,0,Q141/E141*10000)</f>
        <v>2.09706457288975</v>
      </c>
    </row>
    <row r="142" customFormat="false" ht="15" hidden="false" customHeight="true" outlineLevel="0" collapsed="false">
      <c r="A142" s="7" t="s">
        <v>275</v>
      </c>
      <c r="B142" s="26" t="n">
        <v>9170288951</v>
      </c>
      <c r="C142" s="26" t="n">
        <v>0</v>
      </c>
      <c r="D142" s="26" t="n">
        <v>9170288951</v>
      </c>
      <c r="E142" s="26" t="n">
        <v>233389144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0</v>
      </c>
      <c r="L142" s="26" t="n">
        <v>2617038</v>
      </c>
      <c r="M142" s="26" t="n">
        <v>2617038</v>
      </c>
      <c r="N142" s="26" t="n">
        <v>0</v>
      </c>
      <c r="O142" s="26" t="n">
        <v>0</v>
      </c>
      <c r="P142" s="26" t="n">
        <v>0</v>
      </c>
      <c r="Q142" s="26" t="n">
        <v>51328</v>
      </c>
      <c r="R142" s="26" t="n">
        <v>82640</v>
      </c>
      <c r="S142" s="26" t="n">
        <v>2751006</v>
      </c>
      <c r="T142" s="26" t="n">
        <v>2538527</v>
      </c>
      <c r="U142" s="26" t="n">
        <v>49789</v>
      </c>
      <c r="V142" s="26" t="n">
        <v>2588316</v>
      </c>
      <c r="W142" s="26" t="n">
        <v>2668366</v>
      </c>
      <c r="X142" s="27" t="n">
        <f aca="false">IF(V142=0,0,(W142-V142)/V142)</f>
        <v>0.0309274447169511</v>
      </c>
      <c r="Y142" s="26" t="n">
        <v>2588316</v>
      </c>
      <c r="Z142" s="26" t="n">
        <v>565643663.24</v>
      </c>
      <c r="AA142" s="26" t="n">
        <v>507343659.24</v>
      </c>
      <c r="AB142" s="28" t="n">
        <f aca="false">IF(B142=0,0,L142/B142*10000)</f>
        <v>2.85382283370102</v>
      </c>
      <c r="AC142" s="28" t="n">
        <f aca="false">IF(D142=0,0,M142/D142*10000)</f>
        <v>2.85382283370102</v>
      </c>
      <c r="AD142" s="28" t="n">
        <f aca="false">IF(C142=0,0,N142/C142*10000)</f>
        <v>0</v>
      </c>
      <c r="AE142" s="28" t="n">
        <f aca="false">IF(E142=0,0,Q142/E142*10000)</f>
        <v>2.19924539420737</v>
      </c>
    </row>
    <row r="143" customFormat="false" ht="15" hidden="false" customHeight="true" outlineLevel="0" collapsed="false">
      <c r="A143" s="7" t="s">
        <v>276</v>
      </c>
      <c r="B143" s="26" t="n">
        <v>10853806990</v>
      </c>
      <c r="C143" s="26" t="n">
        <v>0</v>
      </c>
      <c r="D143" s="26" t="n">
        <v>10853806990</v>
      </c>
      <c r="E143" s="26" t="n">
        <v>186962465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0</v>
      </c>
      <c r="L143" s="26" t="n">
        <v>3107938</v>
      </c>
      <c r="M143" s="26" t="n">
        <v>3107938</v>
      </c>
      <c r="N143" s="26" t="n">
        <v>0</v>
      </c>
      <c r="O143" s="26" t="n">
        <v>0</v>
      </c>
      <c r="P143" s="26" t="n">
        <v>0</v>
      </c>
      <c r="Q143" s="26" t="n">
        <v>43659</v>
      </c>
      <c r="R143" s="26" t="n">
        <v>94762</v>
      </c>
      <c r="S143" s="26" t="n">
        <v>3246359</v>
      </c>
      <c r="T143" s="26" t="n">
        <v>3014700</v>
      </c>
      <c r="U143" s="26" t="n">
        <v>42349</v>
      </c>
      <c r="V143" s="26" t="n">
        <v>3057049</v>
      </c>
      <c r="W143" s="26" t="n">
        <v>3151597</v>
      </c>
      <c r="X143" s="27" t="n">
        <f aca="false">IF(V143=0,0,(W143-V143)/V143)</f>
        <v>0.0309278654022229</v>
      </c>
      <c r="Y143" s="26" t="n">
        <v>3057049</v>
      </c>
      <c r="Z143" s="26" t="n">
        <v>565643663.24</v>
      </c>
      <c r="AA143" s="26" t="n">
        <v>507343659.24</v>
      </c>
      <c r="AB143" s="28" t="n">
        <f aca="false">IF(B143=0,0,L143/B143*10000)</f>
        <v>2.86345427264687</v>
      </c>
      <c r="AC143" s="28" t="n">
        <f aca="false">IF(D143=0,0,M143/D143*10000)</f>
        <v>2.86345427264687</v>
      </c>
      <c r="AD143" s="28" t="n">
        <f aca="false">IF(C143=0,0,N143/C143*10000)</f>
        <v>0</v>
      </c>
      <c r="AE143" s="28" t="n">
        <f aca="false">IF(E143=0,0,Q143/E143*10000)</f>
        <v>2.3351746030948</v>
      </c>
    </row>
    <row r="144" customFormat="false" ht="15" hidden="false" customHeight="true" outlineLevel="0" collapsed="false">
      <c r="A144" s="7" t="s">
        <v>277</v>
      </c>
      <c r="B144" s="26" t="n">
        <v>17730719571</v>
      </c>
      <c r="C144" s="26" t="n">
        <v>0</v>
      </c>
      <c r="D144" s="26" t="n">
        <v>17730719571</v>
      </c>
      <c r="E144" s="26" t="n">
        <v>311374949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0</v>
      </c>
      <c r="L144" s="26" t="n">
        <v>4852801</v>
      </c>
      <c r="M144" s="26" t="n">
        <v>4852801</v>
      </c>
      <c r="N144" s="26" t="n">
        <v>0</v>
      </c>
      <c r="O144" s="26" t="n">
        <v>0</v>
      </c>
      <c r="P144" s="26" t="n">
        <v>0</v>
      </c>
      <c r="Q144" s="26" t="n">
        <v>70408</v>
      </c>
      <c r="R144" s="26" t="n">
        <v>147696</v>
      </c>
      <c r="S144" s="26" t="n">
        <v>5070905</v>
      </c>
      <c r="T144" s="26" t="n">
        <v>4707217</v>
      </c>
      <c r="U144" s="26" t="n">
        <v>68295</v>
      </c>
      <c r="V144" s="26" t="n">
        <v>4775512</v>
      </c>
      <c r="W144" s="26" t="n">
        <v>4923209</v>
      </c>
      <c r="X144" s="27" t="n">
        <f aca="false">IF(V144=0,0,(W144-V144)/V144)</f>
        <v>0.0309279926424643</v>
      </c>
      <c r="Y144" s="26" t="n">
        <v>4775512</v>
      </c>
      <c r="Z144" s="26" t="n">
        <v>650893586.18</v>
      </c>
      <c r="AA144" s="26" t="n">
        <v>592593582.18</v>
      </c>
      <c r="AB144" s="28" t="n">
        <f aca="false">IF(B144=0,0,L144/B144*10000)</f>
        <v>2.7369453228154</v>
      </c>
      <c r="AC144" s="28" t="n">
        <f aca="false">IF(D144=0,0,M144/D144*10000)</f>
        <v>2.7369453228154</v>
      </c>
      <c r="AD144" s="28" t="n">
        <f aca="false">IF(C144=0,0,N144/C144*10000)</f>
        <v>0</v>
      </c>
      <c r="AE144" s="28" t="n">
        <f aca="false">IF(E144=0,0,Q144/E144*10000)</f>
        <v>2.26119667706473</v>
      </c>
    </row>
    <row r="145" customFormat="false" ht="15" hidden="false" customHeight="true" outlineLevel="0" collapsed="false">
      <c r="A145" s="7" t="s">
        <v>278</v>
      </c>
      <c r="B145" s="26" t="n">
        <v>11555436491</v>
      </c>
      <c r="C145" s="26" t="n">
        <v>0</v>
      </c>
      <c r="D145" s="26" t="n">
        <v>11555436491</v>
      </c>
      <c r="E145" s="26" t="n">
        <v>502129527</v>
      </c>
      <c r="F145" s="26" t="n">
        <v>0</v>
      </c>
      <c r="G145" s="26" t="n">
        <v>0</v>
      </c>
      <c r="H145" s="26" t="n">
        <v>0</v>
      </c>
      <c r="I145" s="26" t="n">
        <v>0</v>
      </c>
      <c r="J145" s="26" t="n">
        <v>0</v>
      </c>
      <c r="K145" s="26" t="n">
        <v>0</v>
      </c>
      <c r="L145" s="26" t="n">
        <v>3268952</v>
      </c>
      <c r="M145" s="26" t="n">
        <v>3268952</v>
      </c>
      <c r="N145" s="26" t="n">
        <v>0</v>
      </c>
      <c r="O145" s="26" t="n">
        <v>0</v>
      </c>
      <c r="P145" s="26" t="n">
        <v>0</v>
      </c>
      <c r="Q145" s="26" t="n">
        <v>113648</v>
      </c>
      <c r="R145" s="26" t="n">
        <v>101478</v>
      </c>
      <c r="S145" s="26" t="n">
        <v>3484078</v>
      </c>
      <c r="T145" s="26" t="n">
        <v>3170883</v>
      </c>
      <c r="U145" s="26" t="n">
        <v>110239</v>
      </c>
      <c r="V145" s="26" t="n">
        <v>3281122</v>
      </c>
      <c r="W145" s="26" t="n">
        <v>3382600</v>
      </c>
      <c r="X145" s="27" t="n">
        <f aca="false">IF(V145=0,0,(W145-V145)/V145)</f>
        <v>0.0309278350515464</v>
      </c>
      <c r="Y145" s="26" t="n">
        <v>3281122</v>
      </c>
      <c r="Z145" s="26" t="n">
        <v>650893586.18</v>
      </c>
      <c r="AA145" s="26" t="n">
        <v>592593582.18</v>
      </c>
      <c r="AB145" s="28" t="n">
        <f aca="false">IF(B145=0,0,L145/B145*10000)</f>
        <v>2.8289299175726</v>
      </c>
      <c r="AC145" s="28" t="n">
        <f aca="false">IF(D145=0,0,M145/D145*10000)</f>
        <v>2.8289299175726</v>
      </c>
      <c r="AD145" s="28" t="n">
        <f aca="false">IF(C145=0,0,N145/C145*10000)</f>
        <v>0</v>
      </c>
      <c r="AE145" s="28" t="n">
        <f aca="false">IF(E145=0,0,Q145/E145*10000)</f>
        <v>2.26332039621323</v>
      </c>
    </row>
    <row r="146" customFormat="false" ht="15" hidden="false" customHeight="true" outlineLevel="0" collapsed="false">
      <c r="A146" s="7" t="s">
        <v>279</v>
      </c>
      <c r="B146" s="26" t="n">
        <v>13065804489</v>
      </c>
      <c r="C146" s="26" t="n">
        <v>0</v>
      </c>
      <c r="D146" s="26" t="n">
        <v>13065804489</v>
      </c>
      <c r="E146" s="26" t="n">
        <v>590232173</v>
      </c>
      <c r="F146" s="26" t="n">
        <v>0</v>
      </c>
      <c r="G146" s="26" t="n">
        <v>0</v>
      </c>
      <c r="H146" s="26" t="n">
        <v>0</v>
      </c>
      <c r="I146" s="26" t="n">
        <v>0</v>
      </c>
      <c r="J146" s="26" t="n">
        <v>0</v>
      </c>
      <c r="K146" s="26" t="n">
        <v>0</v>
      </c>
      <c r="L146" s="26" t="n">
        <v>3732017</v>
      </c>
      <c r="M146" s="26" t="n">
        <v>3732017</v>
      </c>
      <c r="N146" s="26" t="n">
        <v>0</v>
      </c>
      <c r="O146" s="26" t="n">
        <v>0</v>
      </c>
      <c r="P146" s="26" t="n">
        <v>0</v>
      </c>
      <c r="Q146" s="26" t="n">
        <v>140903</v>
      </c>
      <c r="R146" s="26" t="n">
        <v>114494</v>
      </c>
      <c r="S146" s="26" t="n">
        <v>3987414</v>
      </c>
      <c r="T146" s="26" t="n">
        <v>3620057</v>
      </c>
      <c r="U146" s="26" t="n">
        <v>136676</v>
      </c>
      <c r="V146" s="26" t="n">
        <v>3756733</v>
      </c>
      <c r="W146" s="26" t="n">
        <v>3872920</v>
      </c>
      <c r="X146" s="27" t="n">
        <f aca="false">IF(V146=0,0,(W146-V146)/V146)</f>
        <v>0.0309276703987214</v>
      </c>
      <c r="Y146" s="26" t="n">
        <v>3756733</v>
      </c>
      <c r="Z146" s="26" t="n">
        <v>650893586.18</v>
      </c>
      <c r="AA146" s="26" t="n">
        <v>592593582.18</v>
      </c>
      <c r="AB146" s="28" t="n">
        <f aca="false">IF(B146=0,0,L146/B146*10000)</f>
        <v>2.85632392796169</v>
      </c>
      <c r="AC146" s="28" t="n">
        <f aca="false">IF(D146=0,0,M146/D146*10000)</f>
        <v>2.85632392796169</v>
      </c>
      <c r="AD146" s="28" t="n">
        <f aca="false">IF(C146=0,0,N146/C146*10000)</f>
        <v>0</v>
      </c>
      <c r="AE146" s="28" t="n">
        <f aca="false">IF(E146=0,0,Q146/E146*10000)</f>
        <v>2.38724702660355</v>
      </c>
    </row>
    <row r="147" customFormat="false" ht="15" hidden="false" customHeight="true" outlineLevel="0" collapsed="false">
      <c r="A147" s="7" t="s">
        <v>280</v>
      </c>
      <c r="B147" s="26" t="n">
        <v>7316003022</v>
      </c>
      <c r="C147" s="26" t="n">
        <v>0</v>
      </c>
      <c r="D147" s="26" t="n">
        <v>7316003022</v>
      </c>
      <c r="E147" s="26" t="n">
        <v>306849568</v>
      </c>
      <c r="F147" s="26" t="n">
        <v>0</v>
      </c>
      <c r="G147" s="26" t="n">
        <v>0</v>
      </c>
      <c r="H147" s="26" t="n">
        <v>0</v>
      </c>
      <c r="I147" s="26" t="n">
        <v>0</v>
      </c>
      <c r="J147" s="26" t="n">
        <v>0</v>
      </c>
      <c r="K147" s="26" t="n">
        <v>0</v>
      </c>
      <c r="L147" s="26" t="n">
        <v>1878354</v>
      </c>
      <c r="M147" s="26" t="n">
        <v>1878354</v>
      </c>
      <c r="N147" s="26" t="n">
        <v>0</v>
      </c>
      <c r="O147" s="26" t="n">
        <v>0</v>
      </c>
      <c r="P147" s="26" t="n">
        <v>0</v>
      </c>
      <c r="Q147" s="26" t="n">
        <v>63652</v>
      </c>
      <c r="R147" s="26" t="n">
        <v>59954</v>
      </c>
      <c r="S147" s="26" t="n">
        <v>2001960</v>
      </c>
      <c r="T147" s="26" t="n">
        <v>1822003</v>
      </c>
      <c r="U147" s="26" t="n">
        <v>61742</v>
      </c>
      <c r="V147" s="26" t="n">
        <v>1883745</v>
      </c>
      <c r="W147" s="26" t="n">
        <v>1942006</v>
      </c>
      <c r="X147" s="27" t="n">
        <f aca="false">IF(V147=0,0,(W147-V147)/V147)</f>
        <v>0.030928283817608</v>
      </c>
      <c r="Y147" s="26" t="n">
        <v>1883745</v>
      </c>
      <c r="Z147" s="26" t="n">
        <v>650893586.18</v>
      </c>
      <c r="AA147" s="26" t="n">
        <v>592593582.18</v>
      </c>
      <c r="AB147" s="28" t="n">
        <f aca="false">IF(B147=0,0,L147/B147*10000)</f>
        <v>2.56745930031957</v>
      </c>
      <c r="AC147" s="28" t="n">
        <f aca="false">IF(D147=0,0,M147/D147*10000)</f>
        <v>2.56745930031957</v>
      </c>
      <c r="AD147" s="28" t="n">
        <f aca="false">IF(C147=0,0,N147/C147*10000)</f>
        <v>0</v>
      </c>
      <c r="AE147" s="28" t="n">
        <f aca="false">IF(E147=0,0,Q147/E147*10000)</f>
        <v>2.07437150441092</v>
      </c>
    </row>
    <row r="148" customFormat="false" ht="15" hidden="false" customHeight="true" outlineLevel="0" collapsed="false">
      <c r="A148" s="7" t="s">
        <v>281</v>
      </c>
      <c r="B148" s="26" t="n">
        <v>8979956918</v>
      </c>
      <c r="C148" s="26" t="n">
        <v>0</v>
      </c>
      <c r="D148" s="26" t="n">
        <v>8979956918</v>
      </c>
      <c r="E148" s="26" t="n">
        <v>424503231</v>
      </c>
      <c r="F148" s="26" t="n">
        <v>0</v>
      </c>
      <c r="G148" s="26" t="n">
        <v>0</v>
      </c>
      <c r="H148" s="26" t="n">
        <v>0</v>
      </c>
      <c r="I148" s="26" t="n">
        <v>0</v>
      </c>
      <c r="J148" s="26" t="n">
        <v>0</v>
      </c>
      <c r="K148" s="26" t="n">
        <v>0</v>
      </c>
      <c r="L148" s="26" t="n">
        <v>2416707</v>
      </c>
      <c r="M148" s="26" t="n">
        <v>2416707</v>
      </c>
      <c r="N148" s="26" t="n">
        <v>0</v>
      </c>
      <c r="O148" s="26" t="n">
        <v>0</v>
      </c>
      <c r="P148" s="26" t="n">
        <v>0</v>
      </c>
      <c r="Q148" s="26" t="n">
        <v>93250</v>
      </c>
      <c r="R148" s="26" t="n">
        <v>75299</v>
      </c>
      <c r="S148" s="26" t="n">
        <v>2585256</v>
      </c>
      <c r="T148" s="26" t="n">
        <v>2344206</v>
      </c>
      <c r="U148" s="26" t="n">
        <v>90452</v>
      </c>
      <c r="V148" s="26" t="n">
        <v>2434658</v>
      </c>
      <c r="W148" s="26" t="n">
        <v>2509957</v>
      </c>
      <c r="X148" s="27" t="n">
        <f aca="false">IF(V148=0,0,(W148-V148)/V148)</f>
        <v>0.0309279578486999</v>
      </c>
      <c r="Y148" s="26" t="n">
        <v>2434658</v>
      </c>
      <c r="Z148" s="26" t="n">
        <v>650893586.18</v>
      </c>
      <c r="AA148" s="26" t="n">
        <v>592593582.18</v>
      </c>
      <c r="AB148" s="28" t="n">
        <f aca="false">IF(B148=0,0,L148/B148*10000)</f>
        <v>2.69122337898504</v>
      </c>
      <c r="AC148" s="28" t="n">
        <f aca="false">IF(D148=0,0,M148/D148*10000)</f>
        <v>2.69122337898504</v>
      </c>
      <c r="AD148" s="28" t="n">
        <f aca="false">IF(C148=0,0,N148/C148*10000)</f>
        <v>0</v>
      </c>
      <c r="AE148" s="28" t="n">
        <f aca="false">IF(E148=0,0,Q148/E148*10000)</f>
        <v>2.19668528270872</v>
      </c>
    </row>
    <row r="149" customFormat="false" ht="15" hidden="false" customHeight="true" outlineLevel="0" collapsed="false">
      <c r="A149" s="7" t="s">
        <v>282</v>
      </c>
      <c r="B149" s="26" t="n">
        <v>6930678718</v>
      </c>
      <c r="C149" s="26" t="n">
        <v>0</v>
      </c>
      <c r="D149" s="26" t="n">
        <v>6930678718</v>
      </c>
      <c r="E149" s="26" t="n">
        <v>409113491</v>
      </c>
      <c r="F149" s="26" t="n">
        <v>0</v>
      </c>
      <c r="G149" s="26" t="n">
        <v>0</v>
      </c>
      <c r="H149" s="26" t="n">
        <v>0</v>
      </c>
      <c r="I149" s="26" t="n">
        <v>0</v>
      </c>
      <c r="J149" s="26" t="n">
        <v>0</v>
      </c>
      <c r="K149" s="26" t="n">
        <v>0</v>
      </c>
      <c r="L149" s="26" t="n">
        <v>1908799</v>
      </c>
      <c r="M149" s="26" t="n">
        <v>1908799</v>
      </c>
      <c r="N149" s="26" t="n">
        <v>0</v>
      </c>
      <c r="O149" s="26" t="n">
        <v>0</v>
      </c>
      <c r="P149" s="26" t="n">
        <v>0</v>
      </c>
      <c r="Q149" s="26" t="n">
        <v>100179</v>
      </c>
      <c r="R149" s="26" t="n">
        <v>60269</v>
      </c>
      <c r="S149" s="26" t="n">
        <v>2069247</v>
      </c>
      <c r="T149" s="26" t="n">
        <v>1851535</v>
      </c>
      <c r="U149" s="26" t="n">
        <v>97173</v>
      </c>
      <c r="V149" s="26" t="n">
        <v>1948708</v>
      </c>
      <c r="W149" s="26" t="n">
        <v>2008978</v>
      </c>
      <c r="X149" s="27" t="n">
        <f aca="false">IF(V149=0,0,(W149-V149)/V149)</f>
        <v>0.0309281842123089</v>
      </c>
      <c r="Y149" s="26" t="n">
        <v>1948708</v>
      </c>
      <c r="Z149" s="26" t="n">
        <v>650893586.18</v>
      </c>
      <c r="AA149" s="26" t="n">
        <v>592593582.18</v>
      </c>
      <c r="AB149" s="28" t="n">
        <f aca="false">IF(B149=0,0,L149/B149*10000)</f>
        <v>2.75412997437403</v>
      </c>
      <c r="AC149" s="28" t="n">
        <f aca="false">IF(D149=0,0,M149/D149*10000)</f>
        <v>2.75412997437403</v>
      </c>
      <c r="AD149" s="28" t="n">
        <f aca="false">IF(C149=0,0,N149/C149*10000)</f>
        <v>0</v>
      </c>
      <c r="AE149" s="28" t="n">
        <f aca="false">IF(E149=0,0,Q149/E149*10000)</f>
        <v>2.44868483205312</v>
      </c>
    </row>
    <row r="150" customFormat="false" ht="15" hidden="false" customHeight="true" outlineLevel="0" collapsed="false">
      <c r="A150" s="7" t="s">
        <v>283</v>
      </c>
      <c r="B150" s="26" t="n">
        <v>11245619840</v>
      </c>
      <c r="C150" s="26" t="n">
        <v>0</v>
      </c>
      <c r="D150" s="26" t="n">
        <v>11245619840</v>
      </c>
      <c r="E150" s="26" t="n">
        <v>403985493</v>
      </c>
      <c r="F150" s="26" t="n">
        <v>0</v>
      </c>
      <c r="G150" s="26" t="n">
        <v>0</v>
      </c>
      <c r="H150" s="26" t="n">
        <v>0</v>
      </c>
      <c r="I150" s="26" t="n">
        <v>0</v>
      </c>
      <c r="J150" s="26" t="n">
        <v>0</v>
      </c>
      <c r="K150" s="26" t="n">
        <v>0</v>
      </c>
      <c r="L150" s="26" t="n">
        <v>3020950</v>
      </c>
      <c r="M150" s="26" t="n">
        <v>3020950</v>
      </c>
      <c r="N150" s="26" t="n">
        <v>0</v>
      </c>
      <c r="O150" s="26" t="n">
        <v>0</v>
      </c>
      <c r="P150" s="26" t="n">
        <v>0</v>
      </c>
      <c r="Q150" s="26" t="n">
        <v>87270</v>
      </c>
      <c r="R150" s="26" t="n">
        <v>93247</v>
      </c>
      <c r="S150" s="26" t="n">
        <v>3201467</v>
      </c>
      <c r="T150" s="26" t="n">
        <v>2930322</v>
      </c>
      <c r="U150" s="26" t="n">
        <v>84652</v>
      </c>
      <c r="V150" s="26" t="n">
        <v>3014974</v>
      </c>
      <c r="W150" s="26" t="n">
        <v>3108220</v>
      </c>
      <c r="X150" s="27" t="n">
        <f aca="false">IF(V150=0,0,(W150-V150)/V150)</f>
        <v>0.030927629890009</v>
      </c>
      <c r="Y150" s="26" t="n">
        <v>3014974</v>
      </c>
      <c r="Z150" s="26" t="n">
        <v>650893586.18</v>
      </c>
      <c r="AA150" s="26" t="n">
        <v>592593582.18</v>
      </c>
      <c r="AB150" s="28" t="n">
        <f aca="false">IF(B150=0,0,L150/B150*10000)</f>
        <v>2.68633480677931</v>
      </c>
      <c r="AC150" s="28" t="n">
        <f aca="false">IF(D150=0,0,M150/D150*10000)</f>
        <v>2.68633480677931</v>
      </c>
      <c r="AD150" s="28" t="n">
        <f aca="false">IF(C150=0,0,N150/C150*10000)</f>
        <v>0</v>
      </c>
      <c r="AE150" s="28" t="n">
        <f aca="false">IF(E150=0,0,Q150/E150*10000)</f>
        <v>2.16022608514806</v>
      </c>
    </row>
    <row r="151" customFormat="false" ht="15" hidden="false" customHeight="true" outlineLevel="0" collapsed="false">
      <c r="A151" s="7" t="s">
        <v>284</v>
      </c>
      <c r="B151" s="26" t="n">
        <v>9210037729</v>
      </c>
      <c r="C151" s="26" t="n">
        <v>0</v>
      </c>
      <c r="D151" s="26" t="n">
        <v>9210037729</v>
      </c>
      <c r="E151" s="26" t="n">
        <v>334144664</v>
      </c>
      <c r="F151" s="26" t="n">
        <v>0</v>
      </c>
      <c r="G151" s="26" t="n">
        <v>0</v>
      </c>
      <c r="H151" s="26" t="n">
        <v>0</v>
      </c>
      <c r="I151" s="26" t="n">
        <v>0</v>
      </c>
      <c r="J151" s="26" t="n">
        <v>0</v>
      </c>
      <c r="K151" s="26" t="n">
        <v>0</v>
      </c>
      <c r="L151" s="26" t="n">
        <v>2445785</v>
      </c>
      <c r="M151" s="26" t="n">
        <v>2445785</v>
      </c>
      <c r="N151" s="26" t="n">
        <v>0</v>
      </c>
      <c r="O151" s="26" t="n">
        <v>0</v>
      </c>
      <c r="P151" s="26" t="n">
        <v>0</v>
      </c>
      <c r="Q151" s="26" t="n">
        <v>82889</v>
      </c>
      <c r="R151" s="26" t="n">
        <v>75860</v>
      </c>
      <c r="S151" s="26" t="n">
        <v>2604534</v>
      </c>
      <c r="T151" s="26" t="n">
        <v>2372412</v>
      </c>
      <c r="U151" s="26" t="n">
        <v>80403</v>
      </c>
      <c r="V151" s="26" t="n">
        <v>2452815</v>
      </c>
      <c r="W151" s="26" t="n">
        <v>2528674</v>
      </c>
      <c r="X151" s="27" t="n">
        <f aca="false">IF(V151=0,0,(W151-V151)/V151)</f>
        <v>0.0309273222807264</v>
      </c>
      <c r="Y151" s="26" t="n">
        <v>2452815</v>
      </c>
      <c r="Z151" s="26" t="n">
        <v>785244624.98</v>
      </c>
      <c r="AA151" s="26" t="n">
        <v>726944620.98</v>
      </c>
      <c r="AB151" s="28" t="n">
        <f aca="false">IF(B151=0,0,L151/B151*10000)</f>
        <v>2.65556458286687</v>
      </c>
      <c r="AC151" s="28" t="n">
        <f aca="false">IF(D151=0,0,M151/D151*10000)</f>
        <v>2.65556458286687</v>
      </c>
      <c r="AD151" s="28" t="n">
        <f aca="false">IF(C151=0,0,N151/C151*10000)</f>
        <v>0</v>
      </c>
      <c r="AE151" s="28" t="n">
        <f aca="false">IF(E151=0,0,Q151/E151*10000)</f>
        <v>2.48063216116478</v>
      </c>
    </row>
    <row r="152" customFormat="false" ht="15" hidden="false" customHeight="true" outlineLevel="0" collapsed="false">
      <c r="A152" s="7" t="s">
        <v>285</v>
      </c>
      <c r="B152" s="26" t="n">
        <v>10792440150</v>
      </c>
      <c r="C152" s="26" t="n">
        <v>0</v>
      </c>
      <c r="D152" s="26" t="n">
        <v>10792440150</v>
      </c>
      <c r="E152" s="26" t="n">
        <v>382861974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0</v>
      </c>
      <c r="L152" s="26" t="n">
        <v>3046557</v>
      </c>
      <c r="M152" s="26" t="n">
        <v>3046557</v>
      </c>
      <c r="N152" s="26" t="n">
        <v>0</v>
      </c>
      <c r="O152" s="26" t="n">
        <v>0</v>
      </c>
      <c r="P152" s="26" t="n">
        <v>0</v>
      </c>
      <c r="Q152" s="26" t="n">
        <v>88105</v>
      </c>
      <c r="R152" s="26" t="n">
        <v>92724</v>
      </c>
      <c r="S152" s="26" t="n">
        <v>3227386</v>
      </c>
      <c r="T152" s="26" t="n">
        <v>2955160</v>
      </c>
      <c r="U152" s="26" t="n">
        <v>85461</v>
      </c>
      <c r="V152" s="26" t="n">
        <v>3040621</v>
      </c>
      <c r="W152" s="26" t="n">
        <v>3134662</v>
      </c>
      <c r="X152" s="27" t="n">
        <f aca="false">IF(V152=0,0,(W152-V152)/V152)</f>
        <v>0.0309282215705279</v>
      </c>
      <c r="Y152" s="26" t="n">
        <v>3040621</v>
      </c>
      <c r="Z152" s="26" t="n">
        <v>785244624.98</v>
      </c>
      <c r="AA152" s="26" t="n">
        <v>726944620.98</v>
      </c>
      <c r="AB152" s="28" t="n">
        <f aca="false">IF(B152=0,0,L152/B152*10000)</f>
        <v>2.82286207535744</v>
      </c>
      <c r="AC152" s="28" t="n">
        <f aca="false">IF(D152=0,0,M152/D152*10000)</f>
        <v>2.82286207535744</v>
      </c>
      <c r="AD152" s="28" t="n">
        <f aca="false">IF(C152=0,0,N152/C152*10000)</f>
        <v>0</v>
      </c>
      <c r="AE152" s="28" t="n">
        <f aca="false">IF(E152=0,0,Q152/E152*10000)</f>
        <v>2.30122096168266</v>
      </c>
    </row>
    <row r="153" customFormat="false" ht="15" hidden="false" customHeight="true" outlineLevel="0" collapsed="false">
      <c r="A153" s="7" t="s">
        <v>286</v>
      </c>
      <c r="B153" s="26" t="n">
        <v>11086221730</v>
      </c>
      <c r="C153" s="26" t="n">
        <v>0</v>
      </c>
      <c r="D153" s="26" t="n">
        <v>11086221730</v>
      </c>
      <c r="E153" s="26" t="n">
        <v>413767053</v>
      </c>
      <c r="F153" s="26" t="n">
        <v>0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  <c r="L153" s="26" t="n">
        <v>3003244</v>
      </c>
      <c r="M153" s="26" t="n">
        <v>3003244</v>
      </c>
      <c r="N153" s="26" t="n">
        <v>0</v>
      </c>
      <c r="O153" s="26" t="n">
        <v>0</v>
      </c>
      <c r="P153" s="26" t="n">
        <v>0</v>
      </c>
      <c r="Q153" s="26" t="n">
        <v>87626</v>
      </c>
      <c r="R153" s="26" t="n">
        <v>93361</v>
      </c>
      <c r="S153" s="26" t="n">
        <v>3184231</v>
      </c>
      <c r="T153" s="26" t="n">
        <v>2913146</v>
      </c>
      <c r="U153" s="26" t="n">
        <v>84997</v>
      </c>
      <c r="V153" s="26" t="n">
        <v>2998143</v>
      </c>
      <c r="W153" s="26" t="n">
        <v>3090870</v>
      </c>
      <c r="X153" s="27" t="n">
        <f aca="false">IF(V153=0,0,(W153-V153)/V153)</f>
        <v>0.0309281445214588</v>
      </c>
      <c r="Y153" s="26" t="n">
        <v>2998143</v>
      </c>
      <c r="Z153" s="26" t="n">
        <v>785244624.98</v>
      </c>
      <c r="AA153" s="26" t="n">
        <v>726944620.98</v>
      </c>
      <c r="AB153" s="28" t="n">
        <f aca="false">IF(B153=0,0,L153/B153*10000)</f>
        <v>2.70898785279843</v>
      </c>
      <c r="AC153" s="28" t="n">
        <f aca="false">IF(D153=0,0,M153/D153*10000)</f>
        <v>2.70898785279843</v>
      </c>
      <c r="AD153" s="28" t="n">
        <f aca="false">IF(C153=0,0,N153/C153*10000)</f>
        <v>0</v>
      </c>
      <c r="AE153" s="28" t="n">
        <f aca="false">IF(E153=0,0,Q153/E153*10000)</f>
        <v>2.11776165754793</v>
      </c>
    </row>
    <row r="154" customFormat="false" ht="15" hidden="false" customHeight="true" outlineLevel="0" collapsed="false">
      <c r="A154" s="7" t="s">
        <v>287</v>
      </c>
      <c r="B154" s="26" t="n">
        <v>4057816221</v>
      </c>
      <c r="C154" s="26" t="n">
        <v>0</v>
      </c>
      <c r="D154" s="26" t="n">
        <v>4057816221</v>
      </c>
      <c r="E154" s="26" t="n">
        <v>233353407</v>
      </c>
      <c r="F154" s="26" t="n">
        <v>0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  <c r="L154" s="26" t="n">
        <v>1217614</v>
      </c>
      <c r="M154" s="26" t="n">
        <v>1217614</v>
      </c>
      <c r="N154" s="26" t="n">
        <v>0</v>
      </c>
      <c r="O154" s="26" t="n">
        <v>0</v>
      </c>
      <c r="P154" s="26" t="n">
        <v>0</v>
      </c>
      <c r="Q154" s="26" t="n">
        <v>48799</v>
      </c>
      <c r="R154" s="26" t="n">
        <v>38674</v>
      </c>
      <c r="S154" s="26" t="n">
        <v>1305087</v>
      </c>
      <c r="T154" s="26" t="n">
        <v>1181085</v>
      </c>
      <c r="U154" s="26" t="n">
        <v>47335</v>
      </c>
      <c r="V154" s="26" t="n">
        <v>1228420</v>
      </c>
      <c r="W154" s="26" t="n">
        <v>1266413</v>
      </c>
      <c r="X154" s="27" t="n">
        <f aca="false">IF(V154=0,0,(W154-V154)/V154)</f>
        <v>0.0309283469823025</v>
      </c>
      <c r="Y154" s="26" t="n">
        <v>1228420</v>
      </c>
      <c r="Z154" s="26" t="n">
        <v>785244624.98</v>
      </c>
      <c r="AA154" s="26" t="n">
        <v>726944620.98</v>
      </c>
      <c r="AB154" s="28" t="n">
        <f aca="false">IF(B154=0,0,L154/B154*10000)</f>
        <v>3.00066324763208</v>
      </c>
      <c r="AC154" s="28" t="n">
        <f aca="false">IF(D154=0,0,M154/D154*10000)</f>
        <v>3.00066324763208</v>
      </c>
      <c r="AD154" s="28" t="n">
        <f aca="false">IF(C154=0,0,N154/C154*10000)</f>
        <v>0</v>
      </c>
      <c r="AE154" s="28" t="n">
        <f aca="false">IF(E154=0,0,Q154/E154*10000)</f>
        <v>2.09120580785007</v>
      </c>
    </row>
    <row r="155" customFormat="false" ht="15" hidden="false" customHeight="true" outlineLevel="0" collapsed="false">
      <c r="A155" s="7" t="s">
        <v>288</v>
      </c>
      <c r="B155" s="26" t="n">
        <v>3762919446</v>
      </c>
      <c r="C155" s="26" t="n">
        <v>0</v>
      </c>
      <c r="D155" s="26" t="n">
        <v>3762919446</v>
      </c>
      <c r="E155" s="26" t="n">
        <v>194154451</v>
      </c>
      <c r="F155" s="26" t="n">
        <v>0</v>
      </c>
      <c r="G155" s="26" t="n">
        <v>0</v>
      </c>
      <c r="H155" s="26" t="n">
        <v>0</v>
      </c>
      <c r="I155" s="26" t="n">
        <v>0</v>
      </c>
      <c r="J155" s="26" t="n">
        <v>0</v>
      </c>
      <c r="K155" s="26" t="n">
        <v>0</v>
      </c>
      <c r="L155" s="26" t="n">
        <v>1062700</v>
      </c>
      <c r="M155" s="26" t="n">
        <v>1062700</v>
      </c>
      <c r="N155" s="26" t="n">
        <v>0</v>
      </c>
      <c r="O155" s="26" t="n">
        <v>0</v>
      </c>
      <c r="P155" s="26" t="n">
        <v>0</v>
      </c>
      <c r="Q155" s="26" t="n">
        <v>39195</v>
      </c>
      <c r="R155" s="26" t="n">
        <v>32918</v>
      </c>
      <c r="S155" s="26" t="n">
        <v>1134813</v>
      </c>
      <c r="T155" s="26" t="n">
        <v>1030819</v>
      </c>
      <c r="U155" s="26" t="n">
        <v>38019</v>
      </c>
      <c r="V155" s="26" t="n">
        <v>1068838</v>
      </c>
      <c r="W155" s="26" t="n">
        <v>1101895</v>
      </c>
      <c r="X155" s="27" t="n">
        <f aca="false">IF(V155=0,0,(W155-V155)/V155)</f>
        <v>0.0309279797312596</v>
      </c>
      <c r="Y155" s="26" t="n">
        <v>1068838</v>
      </c>
      <c r="Z155" s="26" t="n">
        <v>785244624.98</v>
      </c>
      <c r="AA155" s="26" t="n">
        <v>726944620.98</v>
      </c>
      <c r="AB155" s="28" t="n">
        <f aca="false">IF(B155=0,0,L155/B155*10000)</f>
        <v>2.82413699057431</v>
      </c>
      <c r="AC155" s="28" t="n">
        <f aca="false">IF(D155=0,0,M155/D155*10000)</f>
        <v>2.82413699057431</v>
      </c>
      <c r="AD155" s="28" t="n">
        <f aca="false">IF(C155=0,0,N155/C155*10000)</f>
        <v>0</v>
      </c>
      <c r="AE155" s="28" t="n">
        <f aca="false">IF(E155=0,0,Q155/E155*10000)</f>
        <v>2.01875361590345</v>
      </c>
    </row>
    <row r="156" customFormat="false" ht="15" hidden="false" customHeight="true" outlineLevel="0" collapsed="false">
      <c r="A156" s="7" t="s">
        <v>289</v>
      </c>
      <c r="B156" s="26" t="n">
        <v>6494534853</v>
      </c>
      <c r="C156" s="26" t="n">
        <v>0</v>
      </c>
      <c r="D156" s="26" t="n">
        <v>6494534853</v>
      </c>
      <c r="E156" s="26" t="n">
        <v>324429799</v>
      </c>
      <c r="F156" s="26" t="n">
        <v>0</v>
      </c>
      <c r="G156" s="26" t="n">
        <v>0</v>
      </c>
      <c r="H156" s="26" t="n">
        <v>0</v>
      </c>
      <c r="I156" s="26" t="n">
        <v>0</v>
      </c>
      <c r="J156" s="26" t="n">
        <v>0</v>
      </c>
      <c r="K156" s="26" t="n">
        <v>0</v>
      </c>
      <c r="L156" s="26" t="n">
        <v>1768525</v>
      </c>
      <c r="M156" s="26" t="n">
        <v>1768525</v>
      </c>
      <c r="N156" s="26" t="n">
        <v>0</v>
      </c>
      <c r="O156" s="26" t="n">
        <v>0</v>
      </c>
      <c r="P156" s="26" t="n">
        <v>0</v>
      </c>
      <c r="Q156" s="26" t="n">
        <v>63756</v>
      </c>
      <c r="R156" s="26" t="n">
        <v>55107</v>
      </c>
      <c r="S156" s="26" t="n">
        <v>1887388</v>
      </c>
      <c r="T156" s="26" t="n">
        <v>1715469</v>
      </c>
      <c r="U156" s="26" t="n">
        <v>61843</v>
      </c>
      <c r="V156" s="26" t="n">
        <v>1777312</v>
      </c>
      <c r="W156" s="26" t="n">
        <v>1832281</v>
      </c>
      <c r="X156" s="27" t="n">
        <f aca="false">IF(V156=0,0,(W156-V156)/V156)</f>
        <v>0.030928165679408</v>
      </c>
      <c r="Y156" s="26" t="n">
        <v>1777312</v>
      </c>
      <c r="Z156" s="26" t="n">
        <v>785244624.98</v>
      </c>
      <c r="AA156" s="26" t="n">
        <v>726944620.98</v>
      </c>
      <c r="AB156" s="28" t="n">
        <f aca="false">IF(B156=0,0,L156/B156*10000)</f>
        <v>2.72309725027201</v>
      </c>
      <c r="AC156" s="28" t="n">
        <f aca="false">IF(D156=0,0,M156/D156*10000)</f>
        <v>2.72309725027201</v>
      </c>
      <c r="AD156" s="28" t="n">
        <f aca="false">IF(C156=0,0,N156/C156*10000)</f>
        <v>0</v>
      </c>
      <c r="AE156" s="28" t="n">
        <f aca="false">IF(E156=0,0,Q156/E156*10000)</f>
        <v>1.96517089972984</v>
      </c>
    </row>
    <row r="157" customFormat="false" ht="15" hidden="false" customHeight="true" outlineLevel="0" collapsed="false">
      <c r="A157" s="7" t="s">
        <v>290</v>
      </c>
      <c r="B157" s="26" t="n">
        <v>7071360100</v>
      </c>
      <c r="C157" s="26" t="n">
        <v>0</v>
      </c>
      <c r="D157" s="26" t="n">
        <v>7071360100</v>
      </c>
      <c r="E157" s="26" t="n">
        <v>337110241</v>
      </c>
      <c r="F157" s="26" t="n">
        <v>0</v>
      </c>
      <c r="G157" s="26" t="n">
        <v>0</v>
      </c>
      <c r="H157" s="26" t="n">
        <v>0</v>
      </c>
      <c r="I157" s="26" t="n">
        <v>0</v>
      </c>
      <c r="J157" s="26" t="n">
        <v>0</v>
      </c>
      <c r="K157" s="26" t="n">
        <v>0</v>
      </c>
      <c r="L157" s="26" t="n">
        <v>2091008</v>
      </c>
      <c r="M157" s="26" t="n">
        <v>2091008</v>
      </c>
      <c r="N157" s="26" t="n">
        <v>0</v>
      </c>
      <c r="O157" s="26" t="n">
        <v>0</v>
      </c>
      <c r="P157" s="26" t="n">
        <v>0</v>
      </c>
      <c r="Q157" s="26" t="n">
        <v>75516</v>
      </c>
      <c r="R157" s="26" t="n">
        <v>64496</v>
      </c>
      <c r="S157" s="26" t="n">
        <v>2231020</v>
      </c>
      <c r="T157" s="26" t="n">
        <v>2028278</v>
      </c>
      <c r="U157" s="26" t="n">
        <v>73250</v>
      </c>
      <c r="V157" s="26" t="n">
        <v>2101528</v>
      </c>
      <c r="W157" s="26" t="n">
        <v>2166524</v>
      </c>
      <c r="X157" s="27" t="n">
        <f aca="false">IF(V157=0,0,(W157-V157)/V157)</f>
        <v>0.0309279724086474</v>
      </c>
      <c r="Y157" s="26" t="n">
        <v>2101528</v>
      </c>
      <c r="Z157" s="26" t="n">
        <v>785244624.98</v>
      </c>
      <c r="AA157" s="26" t="n">
        <v>726944620.98</v>
      </c>
      <c r="AB157" s="28" t="n">
        <f aca="false">IF(B157=0,0,L157/B157*10000)</f>
        <v>2.95700964231761</v>
      </c>
      <c r="AC157" s="28" t="n">
        <f aca="false">IF(D157=0,0,M157/D157*10000)</f>
        <v>2.95700964231761</v>
      </c>
      <c r="AD157" s="28" t="n">
        <f aca="false">IF(C157=0,0,N157/C157*10000)</f>
        <v>0</v>
      </c>
      <c r="AE157" s="28" t="n">
        <f aca="false">IF(E157=0,0,Q157/E157*10000)</f>
        <v>2.24009806928411</v>
      </c>
    </row>
    <row r="158" customFormat="false" ht="15" hidden="false" customHeight="true" outlineLevel="0" collapsed="false">
      <c r="A158" s="7" t="s">
        <v>291</v>
      </c>
      <c r="B158" s="26" t="n">
        <v>5723199841</v>
      </c>
      <c r="C158" s="26" t="n">
        <v>0</v>
      </c>
      <c r="D158" s="26" t="n">
        <v>5723199841</v>
      </c>
      <c r="E158" s="26" t="n">
        <v>301159683</v>
      </c>
      <c r="F158" s="26" t="n">
        <v>0</v>
      </c>
      <c r="G158" s="26" t="n">
        <v>0</v>
      </c>
      <c r="H158" s="26" t="n">
        <v>0</v>
      </c>
      <c r="I158" s="26" t="n">
        <v>0</v>
      </c>
      <c r="J158" s="26" t="n">
        <v>0</v>
      </c>
      <c r="K158" s="26" t="n">
        <v>0</v>
      </c>
      <c r="L158" s="26" t="n">
        <v>1629084</v>
      </c>
      <c r="M158" s="26" t="n">
        <v>1629084</v>
      </c>
      <c r="N158" s="26" t="n">
        <v>0</v>
      </c>
      <c r="O158" s="26" t="n">
        <v>0</v>
      </c>
      <c r="P158" s="26" t="n">
        <v>0</v>
      </c>
      <c r="Q158" s="26" t="n">
        <v>65504</v>
      </c>
      <c r="R158" s="26" t="n">
        <v>51337</v>
      </c>
      <c r="S158" s="26" t="n">
        <v>1745925</v>
      </c>
      <c r="T158" s="26" t="n">
        <v>1580211</v>
      </c>
      <c r="U158" s="26" t="n">
        <v>63539</v>
      </c>
      <c r="V158" s="26" t="n">
        <v>1643750</v>
      </c>
      <c r="W158" s="26" t="n">
        <v>1694588</v>
      </c>
      <c r="X158" s="27" t="n">
        <f aca="false">IF(V158=0,0,(W158-V158)/V158)</f>
        <v>0.0309280608365019</v>
      </c>
      <c r="Y158" s="26" t="n">
        <v>1643750</v>
      </c>
      <c r="Z158" s="26" t="n">
        <v>853740868.97</v>
      </c>
      <c r="AA158" s="26" t="n">
        <v>795440864.97</v>
      </c>
      <c r="AB158" s="28" t="n">
        <f aca="false">IF(B158=0,0,L158/B158*10000)</f>
        <v>2.8464566068959</v>
      </c>
      <c r="AC158" s="28" t="n">
        <f aca="false">IF(D158=0,0,M158/D158*10000)</f>
        <v>2.8464566068959</v>
      </c>
      <c r="AD158" s="28" t="n">
        <f aca="false">IF(C158=0,0,N158/C158*10000)</f>
        <v>0</v>
      </c>
      <c r="AE158" s="28" t="n">
        <f aca="false">IF(E158=0,0,Q158/E158*10000)</f>
        <v>2.17505873785901</v>
      </c>
    </row>
    <row r="159" customFormat="false" ht="15" hidden="false" customHeight="true" outlineLevel="0" collapsed="false">
      <c r="A159" s="7" t="s">
        <v>292</v>
      </c>
      <c r="B159" s="26" t="n">
        <v>10606854161</v>
      </c>
      <c r="C159" s="26" t="n">
        <v>0</v>
      </c>
      <c r="D159" s="26" t="n">
        <v>10606854161</v>
      </c>
      <c r="E159" s="26" t="n">
        <v>426427482</v>
      </c>
      <c r="F159" s="26" t="n">
        <v>0</v>
      </c>
      <c r="G159" s="26" t="n">
        <v>0</v>
      </c>
      <c r="H159" s="26" t="n">
        <v>0</v>
      </c>
      <c r="I159" s="26" t="n">
        <v>0</v>
      </c>
      <c r="J159" s="26" t="n">
        <v>0</v>
      </c>
      <c r="K159" s="26" t="n">
        <v>0</v>
      </c>
      <c r="L159" s="26" t="n">
        <v>3006762</v>
      </c>
      <c r="M159" s="26" t="n">
        <v>3006762</v>
      </c>
      <c r="N159" s="26" t="n">
        <v>0</v>
      </c>
      <c r="O159" s="26" t="n">
        <v>0</v>
      </c>
      <c r="P159" s="26" t="n">
        <v>0</v>
      </c>
      <c r="Q159" s="26" t="n">
        <v>93892</v>
      </c>
      <c r="R159" s="26" t="n">
        <v>93020</v>
      </c>
      <c r="S159" s="26" t="n">
        <v>3193674</v>
      </c>
      <c r="T159" s="26" t="n">
        <v>2916559</v>
      </c>
      <c r="U159" s="26" t="n">
        <v>91075</v>
      </c>
      <c r="V159" s="26" t="n">
        <v>3007634</v>
      </c>
      <c r="W159" s="26" t="n">
        <v>3100654</v>
      </c>
      <c r="X159" s="27" t="n">
        <f aca="false">IF(V159=0,0,(W159-V159)/V159)</f>
        <v>0.030927965304289</v>
      </c>
      <c r="Y159" s="26" t="n">
        <v>3007634</v>
      </c>
      <c r="Z159" s="26" t="n">
        <v>853740868.97</v>
      </c>
      <c r="AA159" s="26" t="n">
        <v>795440864.97</v>
      </c>
      <c r="AB159" s="28" t="n">
        <f aca="false">IF(B159=0,0,L159/B159*10000)</f>
        <v>2.83473493116882</v>
      </c>
      <c r="AC159" s="28" t="n">
        <f aca="false">IF(D159=0,0,M159/D159*10000)</f>
        <v>2.83473493116882</v>
      </c>
      <c r="AD159" s="28" t="n">
        <f aca="false">IF(C159=0,0,N159/C159*10000)</f>
        <v>0</v>
      </c>
      <c r="AE159" s="28" t="n">
        <f aca="false">IF(E159=0,0,Q159/E159*10000)</f>
        <v>2.20182807073396</v>
      </c>
    </row>
    <row r="160" customFormat="false" ht="15" hidden="false" customHeight="true" outlineLevel="0" collapsed="false">
      <c r="A160" s="7" t="s">
        <v>293</v>
      </c>
      <c r="B160" s="26" t="n">
        <v>6025947563</v>
      </c>
      <c r="C160" s="26" t="n">
        <v>0</v>
      </c>
      <c r="D160" s="26" t="n">
        <v>6025947563</v>
      </c>
      <c r="E160" s="26" t="n">
        <v>263764756</v>
      </c>
      <c r="F160" s="26" t="n">
        <v>0</v>
      </c>
      <c r="G160" s="26" t="n">
        <v>0</v>
      </c>
      <c r="H160" s="26" t="n">
        <v>0</v>
      </c>
      <c r="I160" s="26" t="n">
        <v>0</v>
      </c>
      <c r="J160" s="26" t="n">
        <v>0</v>
      </c>
      <c r="K160" s="26" t="n">
        <v>0</v>
      </c>
      <c r="L160" s="26" t="n">
        <v>1810563</v>
      </c>
      <c r="M160" s="26" t="n">
        <v>1810563</v>
      </c>
      <c r="N160" s="26" t="n">
        <v>0</v>
      </c>
      <c r="O160" s="26" t="n">
        <v>0</v>
      </c>
      <c r="P160" s="26" t="n">
        <v>0</v>
      </c>
      <c r="Q160" s="26" t="n">
        <v>59380</v>
      </c>
      <c r="R160" s="26" t="n">
        <v>56098</v>
      </c>
      <c r="S160" s="26" t="n">
        <v>1926041</v>
      </c>
      <c r="T160" s="26" t="n">
        <v>1756246</v>
      </c>
      <c r="U160" s="26" t="n">
        <v>57599</v>
      </c>
      <c r="V160" s="26" t="n">
        <v>1813845</v>
      </c>
      <c r="W160" s="26" t="n">
        <v>1869943</v>
      </c>
      <c r="X160" s="27" t="n">
        <f aca="false">IF(V160=0,0,(W160-V160)/V160)</f>
        <v>0.0309276702254051</v>
      </c>
      <c r="Y160" s="26" t="n">
        <v>1813845</v>
      </c>
      <c r="Z160" s="26" t="n">
        <v>853740868.97</v>
      </c>
      <c r="AA160" s="26" t="n">
        <v>795440864.97</v>
      </c>
      <c r="AB160" s="28" t="n">
        <f aca="false">IF(B160=0,0,L160/B160*10000)</f>
        <v>3.00461127660165</v>
      </c>
      <c r="AC160" s="28" t="n">
        <f aca="false">IF(D160=0,0,M160/D160*10000)</f>
        <v>3.00461127660165</v>
      </c>
      <c r="AD160" s="28" t="n">
        <f aca="false">IF(C160=0,0,N160/C160*10000)</f>
        <v>0</v>
      </c>
      <c r="AE160" s="28" t="n">
        <f aca="false">IF(E160=0,0,Q160/E160*10000)</f>
        <v>2.25124845716689</v>
      </c>
    </row>
    <row r="161" customFormat="false" ht="15" hidden="false" customHeight="true" outlineLevel="0" collapsed="false">
      <c r="A161" s="7" t="s">
        <v>294</v>
      </c>
      <c r="B161" s="26" t="n">
        <v>2999468683</v>
      </c>
      <c r="C161" s="26" t="n">
        <v>0</v>
      </c>
      <c r="D161" s="26" t="n">
        <v>2999468683</v>
      </c>
      <c r="E161" s="26" t="n">
        <v>137044111</v>
      </c>
      <c r="F161" s="26" t="n">
        <v>0</v>
      </c>
      <c r="G161" s="26" t="n">
        <v>0</v>
      </c>
      <c r="H161" s="26" t="n">
        <v>0</v>
      </c>
      <c r="I161" s="26" t="n">
        <v>0</v>
      </c>
      <c r="J161" s="26" t="n">
        <v>0</v>
      </c>
      <c r="K161" s="26" t="n">
        <v>0</v>
      </c>
      <c r="L161" s="26" t="n">
        <v>888062</v>
      </c>
      <c r="M161" s="26" t="n">
        <v>888062</v>
      </c>
      <c r="N161" s="26" t="n">
        <v>0</v>
      </c>
      <c r="O161" s="26" t="n">
        <v>0</v>
      </c>
      <c r="P161" s="26" t="n">
        <v>0</v>
      </c>
      <c r="Q161" s="26" t="n">
        <v>30975</v>
      </c>
      <c r="R161" s="26" t="n">
        <v>27571</v>
      </c>
      <c r="S161" s="26" t="n">
        <v>946608</v>
      </c>
      <c r="T161" s="26" t="n">
        <v>861420</v>
      </c>
      <c r="U161" s="26" t="n">
        <v>30046</v>
      </c>
      <c r="V161" s="26" t="n">
        <v>891466</v>
      </c>
      <c r="W161" s="26" t="n">
        <v>919037</v>
      </c>
      <c r="X161" s="27" t="n">
        <f aca="false">IF(V161=0,0,(W161-V161)/V161)</f>
        <v>0.0309277078430361</v>
      </c>
      <c r="Y161" s="26" t="n">
        <v>891466</v>
      </c>
      <c r="Z161" s="26" t="n">
        <v>853740868.97</v>
      </c>
      <c r="AA161" s="26" t="n">
        <v>795440864.97</v>
      </c>
      <c r="AB161" s="28" t="n">
        <f aca="false">IF(B161=0,0,L161/B161*10000)</f>
        <v>2.96073102890936</v>
      </c>
      <c r="AC161" s="28" t="n">
        <f aca="false">IF(D161=0,0,M161/D161*10000)</f>
        <v>2.96073102890936</v>
      </c>
      <c r="AD161" s="28" t="n">
        <f aca="false">IF(C161=0,0,N161/C161*10000)</f>
        <v>0</v>
      </c>
      <c r="AE161" s="28" t="n">
        <f aca="false">IF(E161=0,0,Q161/E161*10000)</f>
        <v>2.26022116338877</v>
      </c>
    </row>
    <row r="162" customFormat="false" ht="15" hidden="false" customHeight="true" outlineLevel="0" collapsed="false">
      <c r="A162" s="7" t="s">
        <v>295</v>
      </c>
      <c r="B162" s="26" t="n">
        <v>3118092443</v>
      </c>
      <c r="C162" s="26" t="n">
        <v>0</v>
      </c>
      <c r="D162" s="26" t="n">
        <v>3118092443</v>
      </c>
      <c r="E162" s="26" t="n">
        <v>151362843</v>
      </c>
      <c r="F162" s="26" t="n">
        <v>0</v>
      </c>
      <c r="G162" s="26" t="n">
        <v>0</v>
      </c>
      <c r="H162" s="26" t="n">
        <v>0</v>
      </c>
      <c r="I162" s="26" t="n">
        <v>0</v>
      </c>
      <c r="J162" s="26" t="n">
        <v>0</v>
      </c>
      <c r="K162" s="26" t="n">
        <v>0</v>
      </c>
      <c r="L162" s="26" t="n">
        <v>0</v>
      </c>
      <c r="M162" s="26" t="n">
        <v>0</v>
      </c>
      <c r="N162" s="26" t="n">
        <v>0</v>
      </c>
      <c r="O162" s="26" t="n">
        <v>0</v>
      </c>
      <c r="P162" s="26" t="n">
        <v>0</v>
      </c>
      <c r="Q162" s="26" t="n">
        <v>0</v>
      </c>
      <c r="R162" s="26" t="n">
        <v>0</v>
      </c>
      <c r="S162" s="26" t="n">
        <v>0</v>
      </c>
      <c r="T162" s="26" t="n">
        <v>0</v>
      </c>
      <c r="U162" s="26" t="n">
        <v>0</v>
      </c>
      <c r="V162" s="26" t="n">
        <v>0</v>
      </c>
      <c r="W162" s="26" t="n">
        <v>0</v>
      </c>
      <c r="X162" s="27" t="n">
        <f aca="false">IF(V162=0,0,(W162-V162)/V162)</f>
        <v>0</v>
      </c>
      <c r="Y162" s="26" t="n">
        <v>0</v>
      </c>
      <c r="Z162" s="26" t="n">
        <v>853740868.97</v>
      </c>
      <c r="AA162" s="26" t="n">
        <v>795440864.97</v>
      </c>
      <c r="AB162" s="28" t="n">
        <f aca="false">IF(B162=0,0,L162/B162*10000)</f>
        <v>0</v>
      </c>
      <c r="AC162" s="28" t="n">
        <f aca="false">IF(D162=0,0,M162/D162*10000)</f>
        <v>0</v>
      </c>
      <c r="AD162" s="28" t="n">
        <f aca="false">IF(C162=0,0,N162/C162*10000)</f>
        <v>0</v>
      </c>
      <c r="AE162" s="28" t="n">
        <f aca="false">IF(E162=0,0,Q162/E162*10000)</f>
        <v>0</v>
      </c>
    </row>
    <row r="163" customFormat="false" ht="15" hidden="false" customHeight="true" outlineLevel="0" collapsed="false">
      <c r="A163" s="7" t="s">
        <v>296</v>
      </c>
      <c r="B163" s="26" t="n">
        <v>8080200314</v>
      </c>
      <c r="C163" s="26" t="n">
        <v>0</v>
      </c>
      <c r="D163" s="26" t="n">
        <v>8080200314</v>
      </c>
      <c r="E163" s="26" t="n">
        <v>359240055</v>
      </c>
      <c r="F163" s="26" t="n">
        <v>0</v>
      </c>
      <c r="G163" s="26" t="n">
        <v>0</v>
      </c>
      <c r="H163" s="26" t="n">
        <v>0</v>
      </c>
      <c r="I163" s="26" t="n">
        <v>0</v>
      </c>
      <c r="J163" s="26" t="n">
        <v>0</v>
      </c>
      <c r="K163" s="26" t="n">
        <v>0</v>
      </c>
      <c r="L163" s="26" t="n">
        <v>0</v>
      </c>
      <c r="M163" s="26" t="n">
        <v>0</v>
      </c>
      <c r="N163" s="26" t="n">
        <v>0</v>
      </c>
      <c r="O163" s="26" t="n">
        <v>0</v>
      </c>
      <c r="P163" s="26" t="n">
        <v>0</v>
      </c>
      <c r="Q163" s="26" t="n">
        <v>0</v>
      </c>
      <c r="R163" s="26" t="n">
        <v>0</v>
      </c>
      <c r="S163" s="26" t="n">
        <v>0</v>
      </c>
      <c r="T163" s="26" t="n">
        <v>0</v>
      </c>
      <c r="U163" s="26" t="n">
        <v>0</v>
      </c>
      <c r="V163" s="26" t="n">
        <v>0</v>
      </c>
      <c r="W163" s="26" t="n">
        <v>0</v>
      </c>
      <c r="X163" s="27" t="n">
        <f aca="false">IF(V163=0,0,(W163-V163)/V163)</f>
        <v>0</v>
      </c>
      <c r="Y163" s="26" t="n">
        <v>0</v>
      </c>
      <c r="Z163" s="26" t="n">
        <v>853740868.97</v>
      </c>
      <c r="AA163" s="26" t="n">
        <v>795440864.97</v>
      </c>
      <c r="AB163" s="28" t="n">
        <f aca="false">IF(B163=0,0,L163/B163*10000)</f>
        <v>0</v>
      </c>
      <c r="AC163" s="28" t="n">
        <f aca="false">IF(D163=0,0,M163/D163*10000)</f>
        <v>0</v>
      </c>
      <c r="AD163" s="28" t="n">
        <f aca="false">IF(C163=0,0,N163/C163*10000)</f>
        <v>0</v>
      </c>
      <c r="AE163" s="28" t="n">
        <f aca="false">IF(E163=0,0,Q163/E163*10000)</f>
        <v>0</v>
      </c>
    </row>
    <row r="164" customFormat="false" ht="15" hidden="false" customHeight="true" outlineLevel="0" collapsed="false">
      <c r="A164" s="7" t="s">
        <v>297</v>
      </c>
      <c r="B164" s="26" t="n">
        <v>8918027050</v>
      </c>
      <c r="C164" s="26" t="n">
        <v>0</v>
      </c>
      <c r="D164" s="26" t="n">
        <v>8918027050</v>
      </c>
      <c r="E164" s="26" t="n">
        <v>493501254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0</v>
      </c>
      <c r="L164" s="26" t="n">
        <v>2654323</v>
      </c>
      <c r="M164" s="26" t="n">
        <v>2654323</v>
      </c>
      <c r="N164" s="26" t="n">
        <v>0</v>
      </c>
      <c r="O164" s="26" t="n">
        <v>0</v>
      </c>
      <c r="P164" s="26" t="n">
        <v>0</v>
      </c>
      <c r="Q164" s="26" t="n">
        <v>115467</v>
      </c>
      <c r="R164" s="26" t="n">
        <v>83094</v>
      </c>
      <c r="S164" s="26" t="n">
        <v>2852884</v>
      </c>
      <c r="T164" s="26" t="n">
        <v>2574693</v>
      </c>
      <c r="U164" s="26" t="n">
        <v>112003</v>
      </c>
      <c r="V164" s="26" t="n">
        <v>2686696</v>
      </c>
      <c r="W164" s="26" t="n">
        <v>2769790</v>
      </c>
      <c r="X164" s="27" t="n">
        <f aca="false">IF(V164=0,0,(W164-V164)/V164)</f>
        <v>0.0309279501663009</v>
      </c>
      <c r="Y164" s="26" t="n">
        <v>2686696</v>
      </c>
      <c r="Z164" s="26" t="n">
        <v>853740868.97</v>
      </c>
      <c r="AA164" s="26" t="n">
        <v>795440864.97</v>
      </c>
      <c r="AB164" s="28" t="n">
        <f aca="false">IF(B164=0,0,L164/B164*10000)</f>
        <v>2.97635674922067</v>
      </c>
      <c r="AC164" s="28" t="n">
        <f aca="false">IF(D164=0,0,M164/D164*10000)</f>
        <v>2.97635674922067</v>
      </c>
      <c r="AD164" s="28" t="n">
        <f aca="false">IF(C164=0,0,N164/C164*10000)</f>
        <v>0</v>
      </c>
      <c r="AE164" s="28" t="n">
        <f aca="false">IF(E164=0,0,Q164/E164*10000)</f>
        <v>2.33975089352053</v>
      </c>
    </row>
    <row r="165" customFormat="false" ht="15" hidden="false" customHeight="true" outlineLevel="0" collapsed="false">
      <c r="A165" s="7" t="s">
        <v>298</v>
      </c>
      <c r="B165" s="26" t="n">
        <v>8783536295</v>
      </c>
      <c r="C165" s="26" t="n">
        <v>0</v>
      </c>
      <c r="D165" s="26" t="n">
        <v>8783536295</v>
      </c>
      <c r="E165" s="26" t="n">
        <v>491823654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0</v>
      </c>
      <c r="L165" s="26" t="n">
        <v>2653604</v>
      </c>
      <c r="M165" s="26" t="n">
        <v>2653604</v>
      </c>
      <c r="N165" s="26" t="n">
        <v>0</v>
      </c>
      <c r="O165" s="26" t="n">
        <v>0</v>
      </c>
      <c r="P165" s="26" t="n">
        <v>0</v>
      </c>
      <c r="Q165" s="26" t="n">
        <v>105920</v>
      </c>
      <c r="R165" s="26" t="n">
        <v>82298</v>
      </c>
      <c r="S165" s="26" t="n">
        <v>2841822</v>
      </c>
      <c r="T165" s="26" t="n">
        <v>2573996</v>
      </c>
      <c r="U165" s="26" t="n">
        <v>102743</v>
      </c>
      <c r="V165" s="26" t="n">
        <v>2676739</v>
      </c>
      <c r="W165" s="26" t="n">
        <v>2759524</v>
      </c>
      <c r="X165" s="27" t="n">
        <f aca="false">IF(V165=0,0,(W165-V165)/V165)</f>
        <v>0.0309275577484394</v>
      </c>
      <c r="Y165" s="26" t="n">
        <v>2676739</v>
      </c>
      <c r="Z165" s="26" t="n">
        <v>1004284316.29</v>
      </c>
      <c r="AA165" s="26" t="n">
        <v>945984312.29</v>
      </c>
      <c r="AB165" s="28" t="n">
        <f aca="false">IF(B165=0,0,L165/B165*10000)</f>
        <v>3.02111121406825</v>
      </c>
      <c r="AC165" s="28" t="n">
        <f aca="false">IF(D165=0,0,M165/D165*10000)</f>
        <v>3.02111121406825</v>
      </c>
      <c r="AD165" s="28" t="n">
        <f aca="false">IF(C165=0,0,N165/C165*10000)</f>
        <v>0</v>
      </c>
      <c r="AE165" s="28" t="n">
        <f aca="false">IF(E165=0,0,Q165/E165*10000)</f>
        <v>2.15361744272674</v>
      </c>
    </row>
    <row r="166" customFormat="false" ht="15" hidden="false" customHeight="true" outlineLevel="0" collapsed="false">
      <c r="A166" s="7" t="s">
        <v>299</v>
      </c>
      <c r="B166" s="26" t="n">
        <v>11778219074</v>
      </c>
      <c r="C166" s="26" t="n">
        <v>0</v>
      </c>
      <c r="D166" s="26" t="n">
        <v>11778219074</v>
      </c>
      <c r="E166" s="26" t="n">
        <v>499156091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0</v>
      </c>
      <c r="L166" s="26" t="n">
        <v>2909648</v>
      </c>
      <c r="M166" s="26" t="n">
        <v>2909648</v>
      </c>
      <c r="N166" s="26" t="n">
        <v>0</v>
      </c>
      <c r="O166" s="26" t="n">
        <v>0</v>
      </c>
      <c r="P166" s="26" t="n">
        <v>0</v>
      </c>
      <c r="Q166" s="26" t="n">
        <v>95479</v>
      </c>
      <c r="R166" s="26" t="n">
        <v>90641</v>
      </c>
      <c r="S166" s="26" t="n">
        <v>3095768</v>
      </c>
      <c r="T166" s="26" t="n">
        <v>2822358</v>
      </c>
      <c r="U166" s="26" t="n">
        <v>92615</v>
      </c>
      <c r="V166" s="26" t="n">
        <v>2914973</v>
      </c>
      <c r="W166" s="26" t="n">
        <v>3005127</v>
      </c>
      <c r="X166" s="27" t="n">
        <f aca="false">IF(V166=0,0,(W166-V166)/V166)</f>
        <v>0.0309279022481512</v>
      </c>
      <c r="Y166" s="26" t="n">
        <v>2914973</v>
      </c>
      <c r="Z166" s="26" t="n">
        <v>1004284316.29</v>
      </c>
      <c r="AA166" s="26" t="n">
        <v>945984312.29</v>
      </c>
      <c r="AB166" s="28" t="n">
        <f aca="false">IF(B166=0,0,L166/B166*10000)</f>
        <v>2.47036328813322</v>
      </c>
      <c r="AC166" s="28" t="n">
        <f aca="false">IF(D166=0,0,M166/D166*10000)</f>
        <v>2.47036328813322</v>
      </c>
      <c r="AD166" s="28" t="n">
        <f aca="false">IF(C166=0,0,N166/C166*10000)</f>
        <v>0</v>
      </c>
      <c r="AE166" s="28" t="n">
        <f aca="false">IF(E166=0,0,Q166/E166*10000)</f>
        <v>1.91280847257056</v>
      </c>
    </row>
    <row r="167" customFormat="false" ht="15" hidden="false" customHeight="true" outlineLevel="0" collapsed="false">
      <c r="A167" s="7" t="s">
        <v>300</v>
      </c>
      <c r="B167" s="26" t="n">
        <v>10844721004</v>
      </c>
      <c r="C167" s="26" t="n">
        <v>0</v>
      </c>
      <c r="D167" s="26" t="n">
        <v>10844721004</v>
      </c>
      <c r="E167" s="26" t="n">
        <v>642044619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0</v>
      </c>
      <c r="L167" s="26" t="n">
        <v>3887429</v>
      </c>
      <c r="M167" s="26" t="n">
        <v>3887429</v>
      </c>
      <c r="N167" s="26" t="n">
        <v>0</v>
      </c>
      <c r="O167" s="26" t="n">
        <v>0</v>
      </c>
      <c r="P167" s="26" t="n">
        <v>0</v>
      </c>
      <c r="Q167" s="26" t="n">
        <v>148721</v>
      </c>
      <c r="R167" s="26" t="n">
        <v>120410</v>
      </c>
      <c r="S167" s="26" t="n">
        <v>4156560</v>
      </c>
      <c r="T167" s="26" t="n">
        <v>3770806</v>
      </c>
      <c r="U167" s="26" t="n">
        <v>144260</v>
      </c>
      <c r="V167" s="26" t="n">
        <v>3915066</v>
      </c>
      <c r="W167" s="26" t="n">
        <v>4036150</v>
      </c>
      <c r="X167" s="27" t="n">
        <f aca="false">IF(V167=0,0,(W167-V167)/V167)</f>
        <v>0.0309277033899301</v>
      </c>
      <c r="Y167" s="26" t="n">
        <v>3915066</v>
      </c>
      <c r="Z167" s="26" t="n">
        <v>1004284316.29</v>
      </c>
      <c r="AA167" s="26" t="n">
        <v>945984312.29</v>
      </c>
      <c r="AB167" s="28" t="n">
        <f aca="false">IF(B167=0,0,L167/B167*10000)</f>
        <v>3.58462794807368</v>
      </c>
      <c r="AC167" s="28" t="n">
        <f aca="false">IF(D167=0,0,M167/D167*10000)</f>
        <v>3.58462794807368</v>
      </c>
      <c r="AD167" s="28" t="n">
        <f aca="false">IF(C167=0,0,N167/C167*10000)</f>
        <v>0</v>
      </c>
      <c r="AE167" s="28" t="n">
        <f aca="false">IF(E167=0,0,Q167/E167*10000)</f>
        <v>2.31636549234906</v>
      </c>
    </row>
    <row r="168" customFormat="false" ht="15" hidden="false" customHeight="true" outlineLevel="0" collapsed="false">
      <c r="A168" s="7" t="s">
        <v>301</v>
      </c>
      <c r="B168" s="26" t="n">
        <v>4430536053</v>
      </c>
      <c r="C168" s="26" t="n">
        <v>0</v>
      </c>
      <c r="D168" s="26" t="n">
        <v>4430536053</v>
      </c>
      <c r="E168" s="26" t="n">
        <v>223313776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0</v>
      </c>
      <c r="L168" s="26" t="n">
        <v>1261527</v>
      </c>
      <c r="M168" s="26" t="n">
        <v>1261527</v>
      </c>
      <c r="N168" s="26" t="n">
        <v>0</v>
      </c>
      <c r="O168" s="26" t="n">
        <v>0</v>
      </c>
      <c r="P168" s="26" t="n">
        <v>0</v>
      </c>
      <c r="Q168" s="26" t="n">
        <v>53146</v>
      </c>
      <c r="R168" s="26" t="n">
        <v>39815</v>
      </c>
      <c r="S168" s="26" t="n">
        <v>1354488</v>
      </c>
      <c r="T168" s="26" t="n">
        <v>1223682</v>
      </c>
      <c r="U168" s="26" t="n">
        <v>51552</v>
      </c>
      <c r="V168" s="26" t="n">
        <v>1275234</v>
      </c>
      <c r="W168" s="26" t="n">
        <v>1314673</v>
      </c>
      <c r="X168" s="27" t="n">
        <f aca="false">IF(V168=0,0,(W168-V168)/V168)</f>
        <v>0.0309268730287931</v>
      </c>
      <c r="Y168" s="26" t="n">
        <v>1275234</v>
      </c>
      <c r="Z168" s="26" t="n">
        <v>1004284316.29</v>
      </c>
      <c r="AA168" s="26" t="n">
        <v>945984312.29</v>
      </c>
      <c r="AB168" s="28" t="n">
        <f aca="false">IF(B168=0,0,L168/B168*10000)</f>
        <v>2.84734620124758</v>
      </c>
      <c r="AC168" s="28" t="n">
        <f aca="false">IF(D168=0,0,M168/D168*10000)</f>
        <v>2.84734620124758</v>
      </c>
      <c r="AD168" s="28" t="n">
        <f aca="false">IF(C168=0,0,N168/C168*10000)</f>
        <v>0</v>
      </c>
      <c r="AE168" s="28" t="n">
        <f aca="false">IF(E168=0,0,Q168/E168*10000)</f>
        <v>2.37988004824208</v>
      </c>
    </row>
    <row r="169" customFormat="false" ht="15" hidden="false" customHeight="true" outlineLevel="0" collapsed="false">
      <c r="A169" s="7" t="s">
        <v>302</v>
      </c>
      <c r="B169" s="26" t="n">
        <v>4228964590</v>
      </c>
      <c r="C169" s="26" t="n">
        <v>0</v>
      </c>
      <c r="D169" s="26" t="n">
        <v>4228964590</v>
      </c>
      <c r="E169" s="26" t="n">
        <v>208088792</v>
      </c>
      <c r="F169" s="26" t="n">
        <v>0</v>
      </c>
      <c r="G169" s="26" t="n">
        <v>0</v>
      </c>
      <c r="H169" s="26" t="n">
        <v>0</v>
      </c>
      <c r="I169" s="26" t="n">
        <v>0</v>
      </c>
      <c r="J169" s="26" t="n">
        <v>0</v>
      </c>
      <c r="K169" s="26" t="n">
        <v>0</v>
      </c>
      <c r="L169" s="26" t="n">
        <v>1158797</v>
      </c>
      <c r="M169" s="26" t="n">
        <v>1158797</v>
      </c>
      <c r="N169" s="26" t="n">
        <v>0</v>
      </c>
      <c r="O169" s="26" t="n">
        <v>0</v>
      </c>
      <c r="P169" s="26" t="n">
        <v>0</v>
      </c>
      <c r="Q169" s="26" t="n">
        <v>39647</v>
      </c>
      <c r="R169" s="26" t="n">
        <v>36254</v>
      </c>
      <c r="S169" s="26" t="n">
        <v>1234698</v>
      </c>
      <c r="T169" s="26" t="n">
        <v>1124033</v>
      </c>
      <c r="U169" s="26" t="n">
        <v>38458</v>
      </c>
      <c r="V169" s="26" t="n">
        <v>1162491</v>
      </c>
      <c r="W169" s="26" t="n">
        <v>1198444</v>
      </c>
      <c r="X169" s="27" t="n">
        <f aca="false">IF(V169=0,0,(W169-V169)/V169)</f>
        <v>0.0309275512670636</v>
      </c>
      <c r="Y169" s="26" t="n">
        <v>1162491</v>
      </c>
      <c r="Z169" s="26" t="n">
        <v>1004284316.29</v>
      </c>
      <c r="AA169" s="26" t="n">
        <v>945984312.29</v>
      </c>
      <c r="AB169" s="28" t="n">
        <f aca="false">IF(B169=0,0,L169/B169*10000)</f>
        <v>2.74014353948516</v>
      </c>
      <c r="AC169" s="28" t="n">
        <f aca="false">IF(D169=0,0,M169/D169*10000)</f>
        <v>2.74014353948516</v>
      </c>
      <c r="AD169" s="28" t="n">
        <f aca="false">IF(C169=0,0,N169/C169*10000)</f>
        <v>0</v>
      </c>
      <c r="AE169" s="28" t="n">
        <f aca="false">IF(E169=0,0,Q169/E169*10000)</f>
        <v>1.90529242920493</v>
      </c>
    </row>
    <row r="170" customFormat="false" ht="15" hidden="false" customHeight="true" outlineLevel="0" collapsed="false">
      <c r="A170" s="7" t="s">
        <v>303</v>
      </c>
      <c r="B170" s="26" t="n">
        <v>10599887221</v>
      </c>
      <c r="C170" s="26" t="n">
        <v>0</v>
      </c>
      <c r="D170" s="26" t="n">
        <v>10599887221</v>
      </c>
      <c r="E170" s="26" t="n">
        <v>500000932</v>
      </c>
      <c r="F170" s="26" t="n">
        <v>0</v>
      </c>
      <c r="G170" s="26" t="n">
        <v>0</v>
      </c>
      <c r="H170" s="26" t="n">
        <v>0</v>
      </c>
      <c r="I170" s="26" t="n">
        <v>0</v>
      </c>
      <c r="J170" s="26" t="n">
        <v>0</v>
      </c>
      <c r="K170" s="26" t="n">
        <v>0</v>
      </c>
      <c r="L170" s="26" t="n">
        <v>2838831</v>
      </c>
      <c r="M170" s="26" t="n">
        <v>2838831</v>
      </c>
      <c r="N170" s="26" t="n">
        <v>0</v>
      </c>
      <c r="O170" s="26" t="n">
        <v>0</v>
      </c>
      <c r="P170" s="26" t="n">
        <v>0</v>
      </c>
      <c r="Q170" s="26" t="n">
        <v>103884</v>
      </c>
      <c r="R170" s="26" t="n">
        <v>86131</v>
      </c>
      <c r="S170" s="26" t="n">
        <v>3028846</v>
      </c>
      <c r="T170" s="26" t="n">
        <v>2753666</v>
      </c>
      <c r="U170" s="26" t="n">
        <v>100767</v>
      </c>
      <c r="V170" s="26" t="n">
        <v>2854433</v>
      </c>
      <c r="W170" s="26" t="n">
        <v>2942715</v>
      </c>
      <c r="X170" s="27" t="n">
        <f aca="false">IF(V170=0,0,(W170-V170)/V170)</f>
        <v>0.0309280336935567</v>
      </c>
      <c r="Y170" s="26" t="n">
        <v>2854433</v>
      </c>
      <c r="Z170" s="26" t="n">
        <v>1004284316.29</v>
      </c>
      <c r="AA170" s="26" t="n">
        <v>945984312.29</v>
      </c>
      <c r="AB170" s="28" t="n">
        <f aca="false">IF(B170=0,0,L170/B170*10000)</f>
        <v>2.67817094730578</v>
      </c>
      <c r="AC170" s="28" t="n">
        <f aca="false">IF(D170=0,0,M170/D170*10000)</f>
        <v>2.67817094730578</v>
      </c>
      <c r="AD170" s="28" t="n">
        <f aca="false">IF(C170=0,0,N170/C170*10000)</f>
        <v>0</v>
      </c>
      <c r="AE170" s="28" t="n">
        <f aca="false">IF(E170=0,0,Q170/E170*10000)</f>
        <v>2.0776761272117</v>
      </c>
    </row>
    <row r="171" customFormat="false" ht="15" hidden="false" customHeight="true" outlineLevel="0" collapsed="false">
      <c r="A171" s="7" t="s">
        <v>304</v>
      </c>
      <c r="B171" s="26" t="n">
        <v>10525334690</v>
      </c>
      <c r="C171" s="26" t="n">
        <v>0</v>
      </c>
      <c r="D171" s="26" t="n">
        <v>10525334690</v>
      </c>
      <c r="E171" s="26" t="n">
        <v>481779486</v>
      </c>
      <c r="F171" s="26" t="n">
        <v>0</v>
      </c>
      <c r="G171" s="26" t="n">
        <v>0</v>
      </c>
      <c r="H171" s="26" t="n">
        <v>0</v>
      </c>
      <c r="I171" s="26" t="n">
        <v>0</v>
      </c>
      <c r="J171" s="26" t="n">
        <v>0</v>
      </c>
      <c r="K171" s="26" t="n">
        <v>0</v>
      </c>
      <c r="L171" s="26" t="n">
        <v>3268752</v>
      </c>
      <c r="M171" s="26" t="n">
        <v>3268752</v>
      </c>
      <c r="N171" s="26" t="n">
        <v>0</v>
      </c>
      <c r="O171" s="26" t="n">
        <v>0</v>
      </c>
      <c r="P171" s="26" t="n">
        <v>0</v>
      </c>
      <c r="Q171" s="26" t="n">
        <v>119116</v>
      </c>
      <c r="R171" s="26" t="n">
        <v>103787</v>
      </c>
      <c r="S171" s="26" t="n">
        <v>3491655</v>
      </c>
      <c r="T171" s="26" t="n">
        <v>3170689</v>
      </c>
      <c r="U171" s="26" t="n">
        <v>115542</v>
      </c>
      <c r="V171" s="26" t="n">
        <v>3286231</v>
      </c>
      <c r="W171" s="26" t="n">
        <v>3387868</v>
      </c>
      <c r="X171" s="27" t="n">
        <f aca="false">IF(V171=0,0,(W171-V171)/V171)</f>
        <v>0.0309281362144049</v>
      </c>
      <c r="Y171" s="26" t="n">
        <v>3286231</v>
      </c>
      <c r="Z171" s="26" t="n">
        <v>1004284316.29</v>
      </c>
      <c r="AA171" s="26" t="n">
        <v>945984312.29</v>
      </c>
      <c r="AB171" s="28" t="n">
        <f aca="false">IF(B171=0,0,L171/B171*10000)</f>
        <v>3.10560385609933</v>
      </c>
      <c r="AC171" s="28" t="n">
        <f aca="false">IF(D171=0,0,M171/D171*10000)</f>
        <v>3.10560385609933</v>
      </c>
      <c r="AD171" s="28" t="n">
        <f aca="false">IF(C171=0,0,N171/C171*10000)</f>
        <v>0</v>
      </c>
      <c r="AE171" s="28" t="n">
        <f aca="false">IF(E171=0,0,Q171/E171*10000)</f>
        <v>2.4724174329</v>
      </c>
    </row>
    <row r="172" customFormat="false" ht="15" hidden="false" customHeight="true" outlineLevel="0" collapsed="false">
      <c r="A172" s="7" t="s">
        <v>305</v>
      </c>
      <c r="B172" s="26" t="n">
        <v>7989933625</v>
      </c>
      <c r="C172" s="26" t="n">
        <v>0</v>
      </c>
      <c r="D172" s="26" t="n">
        <v>7989933625</v>
      </c>
      <c r="E172" s="26" t="n">
        <v>420606916</v>
      </c>
      <c r="F172" s="26" t="n">
        <v>0</v>
      </c>
      <c r="G172" s="26" t="n">
        <v>0</v>
      </c>
      <c r="H172" s="26" t="n">
        <v>0</v>
      </c>
      <c r="I172" s="26" t="n">
        <v>0</v>
      </c>
      <c r="J172" s="26" t="n">
        <v>0</v>
      </c>
      <c r="K172" s="26" t="n">
        <v>0</v>
      </c>
      <c r="L172" s="26" t="n">
        <v>2288124</v>
      </c>
      <c r="M172" s="26" t="n">
        <v>2288124</v>
      </c>
      <c r="N172" s="26" t="n">
        <v>0</v>
      </c>
      <c r="O172" s="26" t="n">
        <v>0</v>
      </c>
      <c r="P172" s="26" t="n">
        <v>0</v>
      </c>
      <c r="Q172" s="26" t="n">
        <v>88887</v>
      </c>
      <c r="R172" s="26" t="n">
        <v>71154</v>
      </c>
      <c r="S172" s="26" t="n">
        <v>2448165</v>
      </c>
      <c r="T172" s="26" t="n">
        <v>2219481</v>
      </c>
      <c r="U172" s="26" t="n">
        <v>86220</v>
      </c>
      <c r="V172" s="26" t="n">
        <v>2305701</v>
      </c>
      <c r="W172" s="26" t="n">
        <v>2377011</v>
      </c>
      <c r="X172" s="27" t="n">
        <f aca="false">IF(V172=0,0,(W172-V172)/V172)</f>
        <v>0.0309276875015451</v>
      </c>
      <c r="Y172" s="26" t="n">
        <v>2305701</v>
      </c>
      <c r="Z172" s="26" t="n">
        <v>979314671.42</v>
      </c>
      <c r="AA172" s="26" t="n">
        <v>921014667.42</v>
      </c>
      <c r="AB172" s="28" t="n">
        <f aca="false">IF(B172=0,0,L172/B172*10000)</f>
        <v>2.86375845831886</v>
      </c>
      <c r="AC172" s="28" t="n">
        <f aca="false">IF(D172=0,0,M172/D172*10000)</f>
        <v>2.86375845831886</v>
      </c>
      <c r="AD172" s="28" t="n">
        <f aca="false">IF(C172=0,0,N172/C172*10000)</f>
        <v>0</v>
      </c>
      <c r="AE172" s="28" t="n">
        <f aca="false">IF(E172=0,0,Q172/E172*10000)</f>
        <v>2.11330333902546</v>
      </c>
    </row>
    <row r="173" customFormat="false" ht="15" hidden="false" customHeight="true" outlineLevel="0" collapsed="false">
      <c r="A173" s="7" t="s">
        <v>306</v>
      </c>
      <c r="B173" s="26" t="n">
        <v>5171389456</v>
      </c>
      <c r="C173" s="26" t="n">
        <v>0</v>
      </c>
      <c r="D173" s="26" t="n">
        <v>5171389456</v>
      </c>
      <c r="E173" s="26" t="n">
        <v>309275966</v>
      </c>
      <c r="F173" s="26" t="n">
        <v>0</v>
      </c>
      <c r="G173" s="26" t="n">
        <v>0</v>
      </c>
      <c r="H173" s="26" t="n">
        <v>0</v>
      </c>
      <c r="I173" s="26" t="n">
        <v>0</v>
      </c>
      <c r="J173" s="26" t="n">
        <v>0</v>
      </c>
      <c r="K173" s="26" t="n">
        <v>0</v>
      </c>
      <c r="L173" s="26" t="n">
        <v>1469442</v>
      </c>
      <c r="M173" s="26" t="n">
        <v>1469442</v>
      </c>
      <c r="N173" s="26" t="n">
        <v>0</v>
      </c>
      <c r="O173" s="26" t="n">
        <v>0</v>
      </c>
      <c r="P173" s="26" t="n">
        <v>0</v>
      </c>
      <c r="Q173" s="26" t="n">
        <v>73911</v>
      </c>
      <c r="R173" s="26" t="n">
        <v>46457</v>
      </c>
      <c r="S173" s="26" t="n">
        <v>1589810</v>
      </c>
      <c r="T173" s="26" t="n">
        <v>1425358</v>
      </c>
      <c r="U173" s="26" t="n">
        <v>71693</v>
      </c>
      <c r="V173" s="26" t="n">
        <v>1497051</v>
      </c>
      <c r="W173" s="26" t="n">
        <v>1543353</v>
      </c>
      <c r="X173" s="27" t="n">
        <f aca="false">IF(V173=0,0,(W173-V173)/V173)</f>
        <v>0.0309288060326602</v>
      </c>
      <c r="Y173" s="26" t="n">
        <v>1497051</v>
      </c>
      <c r="Z173" s="26" t="n">
        <v>979314671.42</v>
      </c>
      <c r="AA173" s="26" t="n">
        <v>921014667.42</v>
      </c>
      <c r="AB173" s="28" t="n">
        <f aca="false">IF(B173=0,0,L173/B173*10000)</f>
        <v>2.84148392323287</v>
      </c>
      <c r="AC173" s="28" t="n">
        <f aca="false">IF(D173=0,0,M173/D173*10000)</f>
        <v>2.84148392323287</v>
      </c>
      <c r="AD173" s="28" t="n">
        <f aca="false">IF(C173=0,0,N173/C173*10000)</f>
        <v>0</v>
      </c>
      <c r="AE173" s="28" t="n">
        <f aca="false">IF(E173=0,0,Q173/E173*10000)</f>
        <v>2.38980742525593</v>
      </c>
    </row>
    <row r="174" customFormat="false" ht="15" hidden="false" customHeight="true" outlineLevel="0" collapsed="false">
      <c r="A174" s="7" t="s">
        <v>307</v>
      </c>
      <c r="B174" s="26" t="n">
        <v>9028263333</v>
      </c>
      <c r="C174" s="26" t="n">
        <v>0</v>
      </c>
      <c r="D174" s="26" t="n">
        <v>9028263333</v>
      </c>
      <c r="E174" s="26" t="n">
        <v>390870684</v>
      </c>
      <c r="F174" s="26" t="n">
        <v>0</v>
      </c>
      <c r="G174" s="26" t="n">
        <v>0</v>
      </c>
      <c r="H174" s="26" t="n">
        <v>0</v>
      </c>
      <c r="I174" s="26" t="n">
        <v>0</v>
      </c>
      <c r="J174" s="26" t="n">
        <v>0</v>
      </c>
      <c r="K174" s="26" t="n">
        <v>0</v>
      </c>
      <c r="L174" s="26" t="n">
        <v>2544445</v>
      </c>
      <c r="M174" s="26" t="n">
        <v>2544445</v>
      </c>
      <c r="N174" s="26" t="n">
        <v>0</v>
      </c>
      <c r="O174" s="26" t="n">
        <v>0</v>
      </c>
      <c r="P174" s="26" t="n">
        <v>0</v>
      </c>
      <c r="Q174" s="26" t="n">
        <v>93536</v>
      </c>
      <c r="R174" s="26" t="n">
        <v>79000</v>
      </c>
      <c r="S174" s="26" t="n">
        <v>2716981</v>
      </c>
      <c r="T174" s="26" t="n">
        <v>2468112</v>
      </c>
      <c r="U174" s="26" t="n">
        <v>90730</v>
      </c>
      <c r="V174" s="26" t="n">
        <v>2558842</v>
      </c>
      <c r="W174" s="26" t="n">
        <v>2637981</v>
      </c>
      <c r="X174" s="27" t="n">
        <f aca="false">IF(V174=0,0,(W174-V174)/V174)</f>
        <v>0.0309276618095217</v>
      </c>
      <c r="Y174" s="26" t="n">
        <v>2558842</v>
      </c>
      <c r="Z174" s="26" t="n">
        <v>979314671.42</v>
      </c>
      <c r="AA174" s="26" t="n">
        <v>921014667.42</v>
      </c>
      <c r="AB174" s="28" t="n">
        <f aca="false">IF(B174=0,0,L174/B174*10000)</f>
        <v>2.81831057220005</v>
      </c>
      <c r="AC174" s="28" t="n">
        <f aca="false">IF(D174=0,0,M174/D174*10000)</f>
        <v>2.81831057220005</v>
      </c>
      <c r="AD174" s="28" t="n">
        <f aca="false">IF(C174=0,0,N174/C174*10000)</f>
        <v>0</v>
      </c>
      <c r="AE174" s="28" t="n">
        <f aca="false">IF(E174=0,0,Q174/E174*10000)</f>
        <v>2.39301650977744</v>
      </c>
    </row>
    <row r="175" customFormat="false" ht="15" hidden="false" customHeight="true" outlineLevel="0" collapsed="false">
      <c r="A175" s="7" t="s">
        <v>308</v>
      </c>
      <c r="B175" s="26" t="n">
        <v>6432147271</v>
      </c>
      <c r="C175" s="26" t="n">
        <v>0</v>
      </c>
      <c r="D175" s="26" t="n">
        <v>6432147271</v>
      </c>
      <c r="E175" s="26" t="n">
        <v>325856019</v>
      </c>
      <c r="F175" s="26" t="n">
        <v>0</v>
      </c>
      <c r="G175" s="26" t="n">
        <v>0</v>
      </c>
      <c r="H175" s="26" t="n">
        <v>0</v>
      </c>
      <c r="I175" s="26" t="n">
        <v>0</v>
      </c>
      <c r="J175" s="26" t="n">
        <v>0</v>
      </c>
      <c r="K175" s="26" t="n">
        <v>0</v>
      </c>
      <c r="L175" s="26" t="n">
        <v>1614659</v>
      </c>
      <c r="M175" s="26" t="n">
        <v>1614659</v>
      </c>
      <c r="N175" s="26" t="n">
        <v>0</v>
      </c>
      <c r="O175" s="26" t="n">
        <v>0</v>
      </c>
      <c r="P175" s="26" t="n">
        <v>0</v>
      </c>
      <c r="Q175" s="26" t="n">
        <v>69112</v>
      </c>
      <c r="R175" s="26" t="n">
        <v>50652</v>
      </c>
      <c r="S175" s="26" t="n">
        <v>1734423</v>
      </c>
      <c r="T175" s="26" t="n">
        <v>1566219</v>
      </c>
      <c r="U175" s="26" t="n">
        <v>67039</v>
      </c>
      <c r="V175" s="26" t="n">
        <v>1633258</v>
      </c>
      <c r="W175" s="26" t="n">
        <v>1683771</v>
      </c>
      <c r="X175" s="27" t="n">
        <f aca="false">IF(V175=0,0,(W175-V175)/V175)</f>
        <v>0.0309277529943218</v>
      </c>
      <c r="Y175" s="26" t="n">
        <v>1633258</v>
      </c>
      <c r="Z175" s="26" t="n">
        <v>979314671.42</v>
      </c>
      <c r="AA175" s="26" t="n">
        <v>921014667.42</v>
      </c>
      <c r="AB175" s="28" t="n">
        <f aca="false">IF(B175=0,0,L175/B175*10000)</f>
        <v>2.51029544562802</v>
      </c>
      <c r="AC175" s="28" t="n">
        <f aca="false">IF(D175=0,0,M175/D175*10000)</f>
        <v>2.51029544562802</v>
      </c>
      <c r="AD175" s="28" t="n">
        <f aca="false">IF(C175=0,0,N175/C175*10000)</f>
        <v>0</v>
      </c>
      <c r="AE175" s="28" t="n">
        <f aca="false">IF(E175=0,0,Q175/E175*10000)</f>
        <v>2.12093673187605</v>
      </c>
    </row>
    <row r="176" customFormat="false" ht="15" hidden="false" customHeight="true" outlineLevel="0" collapsed="false">
      <c r="A176" s="7" t="s">
        <v>309</v>
      </c>
      <c r="B176" s="26" t="n">
        <v>12079495133</v>
      </c>
      <c r="C176" s="26" t="n">
        <v>0</v>
      </c>
      <c r="D176" s="26" t="n">
        <v>12079495133</v>
      </c>
      <c r="E176" s="26" t="n">
        <v>428910072</v>
      </c>
      <c r="F176" s="26" t="n">
        <v>0</v>
      </c>
      <c r="G176" s="26" t="n">
        <v>0</v>
      </c>
      <c r="H176" s="26" t="n">
        <v>0</v>
      </c>
      <c r="I176" s="26" t="n">
        <v>0</v>
      </c>
      <c r="J176" s="26" t="n">
        <v>0</v>
      </c>
      <c r="K176" s="26" t="n">
        <v>0</v>
      </c>
      <c r="L176" s="26" t="n">
        <v>3587131</v>
      </c>
      <c r="M176" s="26" t="n">
        <v>3587131</v>
      </c>
      <c r="N176" s="26" t="n">
        <v>0</v>
      </c>
      <c r="O176" s="26" t="n">
        <v>0</v>
      </c>
      <c r="P176" s="26" t="n">
        <v>0</v>
      </c>
      <c r="Q176" s="26" t="n">
        <v>92755</v>
      </c>
      <c r="R176" s="26" t="n">
        <v>110397</v>
      </c>
      <c r="S176" s="26" t="n">
        <v>3790283</v>
      </c>
      <c r="T176" s="26" t="n">
        <v>3479517</v>
      </c>
      <c r="U176" s="26" t="n">
        <v>89973</v>
      </c>
      <c r="V176" s="26" t="n">
        <v>3569490</v>
      </c>
      <c r="W176" s="26" t="n">
        <v>3679886</v>
      </c>
      <c r="X176" s="27" t="n">
        <f aca="false">IF(V176=0,0,(W176-V176)/V176)</f>
        <v>0.0309276675379396</v>
      </c>
      <c r="Y176" s="26" t="n">
        <v>3569490</v>
      </c>
      <c r="Z176" s="26" t="n">
        <v>979314671.42</v>
      </c>
      <c r="AA176" s="26" t="n">
        <v>921014667.42</v>
      </c>
      <c r="AB176" s="28" t="n">
        <f aca="false">IF(B176=0,0,L176/B176*10000)</f>
        <v>2.96960341512975</v>
      </c>
      <c r="AC176" s="28" t="n">
        <f aca="false">IF(D176=0,0,M176/D176*10000)</f>
        <v>2.96960341512975</v>
      </c>
      <c r="AD176" s="28" t="n">
        <f aca="false">IF(C176=0,0,N176/C176*10000)</f>
        <v>0</v>
      </c>
      <c r="AE176" s="28" t="n">
        <f aca="false">IF(E176=0,0,Q176/E176*10000)</f>
        <v>2.16257453613726</v>
      </c>
    </row>
    <row r="177" customFormat="false" ht="15" hidden="false" customHeight="true" outlineLevel="0" collapsed="false">
      <c r="A177" s="7" t="s">
        <v>310</v>
      </c>
      <c r="B177" s="26" t="n">
        <v>13820162567</v>
      </c>
      <c r="C177" s="26" t="n">
        <v>0</v>
      </c>
      <c r="D177" s="26" t="n">
        <v>13820162567</v>
      </c>
      <c r="E177" s="26" t="n">
        <v>521103467</v>
      </c>
      <c r="F177" s="26" t="n">
        <v>0</v>
      </c>
      <c r="G177" s="26" t="n">
        <v>0</v>
      </c>
      <c r="H177" s="26" t="n">
        <v>0</v>
      </c>
      <c r="I177" s="26" t="n">
        <v>0</v>
      </c>
      <c r="J177" s="26" t="n">
        <v>0</v>
      </c>
      <c r="K177" s="26" t="n">
        <v>0</v>
      </c>
      <c r="L177" s="26" t="n">
        <v>3981981</v>
      </c>
      <c r="M177" s="26" t="n">
        <v>3981981</v>
      </c>
      <c r="N177" s="26" t="n">
        <v>0</v>
      </c>
      <c r="O177" s="26" t="n">
        <v>0</v>
      </c>
      <c r="P177" s="26" t="n">
        <v>0</v>
      </c>
      <c r="Q177" s="26" t="n">
        <v>106972</v>
      </c>
      <c r="R177" s="26" t="n">
        <v>121961</v>
      </c>
      <c r="S177" s="26" t="n">
        <v>4210914</v>
      </c>
      <c r="T177" s="26" t="n">
        <v>3862521</v>
      </c>
      <c r="U177" s="26" t="n">
        <v>103763</v>
      </c>
      <c r="V177" s="26" t="n">
        <v>3966284</v>
      </c>
      <c r="W177" s="26" t="n">
        <v>4088953</v>
      </c>
      <c r="X177" s="27" t="n">
        <f aca="false">IF(V177=0,0,(W177-V177)/V177)</f>
        <v>0.0309279416199143</v>
      </c>
      <c r="Y177" s="26" t="n">
        <v>3966284</v>
      </c>
      <c r="Z177" s="26" t="n">
        <v>979314671.42</v>
      </c>
      <c r="AA177" s="26" t="n">
        <v>921014667.42</v>
      </c>
      <c r="AB177" s="28" t="n">
        <f aca="false">IF(B177=0,0,L177/B177*10000)</f>
        <v>2.88128376254288</v>
      </c>
      <c r="AC177" s="28" t="n">
        <f aca="false">IF(D177=0,0,M177/D177*10000)</f>
        <v>2.88128376254288</v>
      </c>
      <c r="AD177" s="28" t="n">
        <f aca="false">IF(C177=0,0,N177/C177*10000)</f>
        <v>0</v>
      </c>
      <c r="AE177" s="28" t="n">
        <f aca="false">IF(E177=0,0,Q177/E177*10000)</f>
        <v>2.05279770284084</v>
      </c>
    </row>
    <row r="178" customFormat="false" ht="15" hidden="false" customHeight="true" outlineLevel="0" collapsed="false">
      <c r="A178" s="7" t="s">
        <v>311</v>
      </c>
      <c r="B178" s="26" t="n">
        <v>7540232399</v>
      </c>
      <c r="C178" s="26" t="n">
        <v>0</v>
      </c>
      <c r="D178" s="26" t="n">
        <v>7540232399</v>
      </c>
      <c r="E178" s="26" t="n">
        <v>337608363</v>
      </c>
      <c r="F178" s="26" t="n">
        <v>0</v>
      </c>
      <c r="G178" s="26" t="n">
        <v>0</v>
      </c>
      <c r="H178" s="26" t="n">
        <v>0</v>
      </c>
      <c r="I178" s="26" t="n">
        <v>0</v>
      </c>
      <c r="J178" s="26" t="n">
        <v>0</v>
      </c>
      <c r="K178" s="26" t="n">
        <v>0</v>
      </c>
      <c r="L178" s="26" t="n">
        <v>2155847</v>
      </c>
      <c r="M178" s="26" t="n">
        <v>2155847</v>
      </c>
      <c r="N178" s="26" t="n">
        <v>0</v>
      </c>
      <c r="O178" s="26" t="n">
        <v>0</v>
      </c>
      <c r="P178" s="26" t="n">
        <v>0</v>
      </c>
      <c r="Q178" s="26" t="n">
        <v>75574</v>
      </c>
      <c r="R178" s="26" t="n">
        <v>67359</v>
      </c>
      <c r="S178" s="26" t="n">
        <v>2298780</v>
      </c>
      <c r="T178" s="26" t="n">
        <v>2091172</v>
      </c>
      <c r="U178" s="26" t="n">
        <v>73307</v>
      </c>
      <c r="V178" s="26" t="n">
        <v>2164479</v>
      </c>
      <c r="W178" s="26" t="n">
        <v>2231421</v>
      </c>
      <c r="X178" s="27" t="n">
        <f aca="false">IF(V178=0,0,(W178-V178)/V178)</f>
        <v>0.0309275349864794</v>
      </c>
      <c r="Y178" s="26" t="n">
        <v>2164479</v>
      </c>
      <c r="Z178" s="26" t="n">
        <v>979314671.42</v>
      </c>
      <c r="AA178" s="26" t="n">
        <v>921014667.42</v>
      </c>
      <c r="AB178" s="28" t="n">
        <f aca="false">IF(B178=0,0,L178/B178*10000)</f>
        <v>2.85912540346358</v>
      </c>
      <c r="AC178" s="28" t="n">
        <f aca="false">IF(D178=0,0,M178/D178*10000)</f>
        <v>2.85912540346358</v>
      </c>
      <c r="AD178" s="28" t="n">
        <f aca="false">IF(C178=0,0,N178/C178*10000)</f>
        <v>0</v>
      </c>
      <c r="AE178" s="28" t="n">
        <f aca="false">IF(E178=0,0,Q178/E178*10000)</f>
        <v>2.23851089849928</v>
      </c>
    </row>
    <row r="179" customFormat="false" ht="15" hidden="false" customHeight="true" outlineLevel="0" collapsed="false">
      <c r="A179" s="7" t="s">
        <v>312</v>
      </c>
      <c r="B179" s="26" t="n">
        <v>6899565851</v>
      </c>
      <c r="C179" s="26" t="n">
        <v>0</v>
      </c>
      <c r="D179" s="26" t="n">
        <v>6899565851</v>
      </c>
      <c r="E179" s="26" t="n">
        <v>303321363</v>
      </c>
      <c r="F179" s="26" t="n">
        <v>0</v>
      </c>
      <c r="G179" s="26" t="n">
        <v>0</v>
      </c>
      <c r="H179" s="26" t="n">
        <v>0</v>
      </c>
      <c r="I179" s="26" t="n">
        <v>0</v>
      </c>
      <c r="J179" s="26" t="n">
        <v>0</v>
      </c>
      <c r="K179" s="26" t="n">
        <v>0</v>
      </c>
      <c r="L179" s="26" t="n">
        <v>2042066</v>
      </c>
      <c r="M179" s="26" t="n">
        <v>2042066</v>
      </c>
      <c r="N179" s="26" t="n">
        <v>0</v>
      </c>
      <c r="O179" s="26" t="n">
        <v>0</v>
      </c>
      <c r="P179" s="26" t="n">
        <v>0</v>
      </c>
      <c r="Q179" s="26" t="n">
        <v>66347</v>
      </c>
      <c r="R179" s="26" t="n">
        <v>63309</v>
      </c>
      <c r="S179" s="26" t="n">
        <v>2171722</v>
      </c>
      <c r="T179" s="26" t="n">
        <v>1980804</v>
      </c>
      <c r="U179" s="26" t="n">
        <v>64357</v>
      </c>
      <c r="V179" s="26" t="n">
        <v>2045161</v>
      </c>
      <c r="W179" s="26" t="n">
        <v>2108413</v>
      </c>
      <c r="X179" s="27" t="n">
        <f aca="false">IF(V179=0,0,(W179-V179)/V179)</f>
        <v>0.0309276384597594</v>
      </c>
      <c r="Y179" s="26" t="n">
        <v>2045161</v>
      </c>
      <c r="Z179" s="26" t="n">
        <v>934551025.74</v>
      </c>
      <c r="AA179" s="26" t="n">
        <v>876251021.74</v>
      </c>
      <c r="AB179" s="28" t="n">
        <f aca="false">IF(B179=0,0,L179/B179*10000)</f>
        <v>2.95970216691827</v>
      </c>
      <c r="AC179" s="28" t="n">
        <f aca="false">IF(D179=0,0,M179/D179*10000)</f>
        <v>2.95970216691827</v>
      </c>
      <c r="AD179" s="28" t="n">
        <f aca="false">IF(C179=0,0,N179/C179*10000)</f>
        <v>0</v>
      </c>
      <c r="AE179" s="28" t="n">
        <f aca="false">IF(E179=0,0,Q179/E179*10000)</f>
        <v>2.18735005486574</v>
      </c>
    </row>
    <row r="180" customFormat="false" ht="15" hidden="false" customHeight="true" outlineLevel="0" collapsed="false">
      <c r="A180" s="7" t="s">
        <v>313</v>
      </c>
      <c r="B180" s="26" t="n">
        <v>6064109221</v>
      </c>
      <c r="C180" s="26" t="n">
        <v>0</v>
      </c>
      <c r="D180" s="26" t="n">
        <v>6064109221</v>
      </c>
      <c r="E180" s="26" t="n">
        <v>253266297</v>
      </c>
      <c r="F180" s="26" t="n">
        <v>0</v>
      </c>
      <c r="G180" s="26" t="n">
        <v>0</v>
      </c>
      <c r="H180" s="26" t="n">
        <v>0</v>
      </c>
      <c r="I180" s="26" t="n">
        <v>0</v>
      </c>
      <c r="J180" s="26" t="n">
        <v>0</v>
      </c>
      <c r="K180" s="26" t="n">
        <v>0</v>
      </c>
      <c r="L180" s="26" t="n">
        <v>1688508</v>
      </c>
      <c r="M180" s="26" t="n">
        <v>1688508</v>
      </c>
      <c r="N180" s="26" t="n">
        <v>0</v>
      </c>
      <c r="O180" s="26" t="n">
        <v>0</v>
      </c>
      <c r="P180" s="26" t="n">
        <v>0</v>
      </c>
      <c r="Q180" s="26" t="n">
        <v>54006</v>
      </c>
      <c r="R180" s="26" t="n">
        <v>50839</v>
      </c>
      <c r="S180" s="26" t="n">
        <v>1793353</v>
      </c>
      <c r="T180" s="26" t="n">
        <v>1637853</v>
      </c>
      <c r="U180" s="26" t="n">
        <v>52385</v>
      </c>
      <c r="V180" s="26" t="n">
        <v>1690238</v>
      </c>
      <c r="W180" s="26" t="n">
        <v>1742514</v>
      </c>
      <c r="X180" s="27" t="n">
        <f aca="false">IF(V180=0,0,(W180-V180)/V180)</f>
        <v>0.0309281888112798</v>
      </c>
      <c r="Y180" s="26" t="n">
        <v>1690238</v>
      </c>
      <c r="Z180" s="26" t="n">
        <v>934551025.74</v>
      </c>
      <c r="AA180" s="26" t="n">
        <v>876251021.74</v>
      </c>
      <c r="AB180" s="28" t="n">
        <f aca="false">IF(B180=0,0,L180/B180*10000)</f>
        <v>2.78442874042027</v>
      </c>
      <c r="AC180" s="28" t="n">
        <f aca="false">IF(D180=0,0,M180/D180*10000)</f>
        <v>2.78442874042027</v>
      </c>
      <c r="AD180" s="28" t="n">
        <f aca="false">IF(C180=0,0,N180/C180*10000)</f>
        <v>0</v>
      </c>
      <c r="AE180" s="28" t="n">
        <f aca="false">IF(E180=0,0,Q180/E180*10000)</f>
        <v>2.13238005371082</v>
      </c>
    </row>
    <row r="181" customFormat="false" ht="15" hidden="false" customHeight="true" outlineLevel="0" collapsed="false">
      <c r="A181" s="7" t="s">
        <v>314</v>
      </c>
      <c r="B181" s="26" t="n">
        <v>5447311858</v>
      </c>
      <c r="C181" s="26" t="n">
        <v>0</v>
      </c>
      <c r="D181" s="26" t="n">
        <v>5447311858</v>
      </c>
      <c r="E181" s="26" t="n">
        <v>170980501</v>
      </c>
      <c r="F181" s="26" t="n">
        <v>0</v>
      </c>
      <c r="G181" s="26" t="n">
        <v>0</v>
      </c>
      <c r="H181" s="26" t="n">
        <v>0</v>
      </c>
      <c r="I181" s="26" t="n">
        <v>0</v>
      </c>
      <c r="J181" s="26" t="n">
        <v>0</v>
      </c>
      <c r="K181" s="26" t="n">
        <v>0</v>
      </c>
      <c r="L181" s="26" t="n">
        <v>1493863</v>
      </c>
      <c r="M181" s="26" t="n">
        <v>1493863</v>
      </c>
      <c r="N181" s="26" t="n">
        <v>0</v>
      </c>
      <c r="O181" s="26" t="n">
        <v>0</v>
      </c>
      <c r="P181" s="26" t="n">
        <v>0</v>
      </c>
      <c r="Q181" s="26" t="n">
        <v>37448</v>
      </c>
      <c r="R181" s="26" t="n">
        <v>47413</v>
      </c>
      <c r="S181" s="26" t="n">
        <v>1578724</v>
      </c>
      <c r="T181" s="26" t="n">
        <v>1449047</v>
      </c>
      <c r="U181" s="26" t="n">
        <v>36324</v>
      </c>
      <c r="V181" s="26" t="n">
        <v>1485371</v>
      </c>
      <c r="W181" s="26" t="n">
        <v>1531311</v>
      </c>
      <c r="X181" s="27" t="n">
        <f aca="false">IF(V181=0,0,(W181-V181)/V181)</f>
        <v>0.0309283000677945</v>
      </c>
      <c r="Y181" s="26" t="n">
        <v>1485371</v>
      </c>
      <c r="Z181" s="26" t="n">
        <v>934551025.74</v>
      </c>
      <c r="AA181" s="26" t="n">
        <v>876251021.74</v>
      </c>
      <c r="AB181" s="28" t="n">
        <f aca="false">IF(B181=0,0,L181/B181*10000)</f>
        <v>2.74238567378163</v>
      </c>
      <c r="AC181" s="28" t="n">
        <f aca="false">IF(D181=0,0,M181/D181*10000)</f>
        <v>2.74238567378163</v>
      </c>
      <c r="AD181" s="28" t="n">
        <f aca="false">IF(C181=0,0,N181/C181*10000)</f>
        <v>0</v>
      </c>
      <c r="AE181" s="28" t="n">
        <f aca="false">IF(E181=0,0,Q181/E181*10000)</f>
        <v>2.19019126631288</v>
      </c>
    </row>
    <row r="182" customFormat="false" ht="15" hidden="false" customHeight="true" outlineLevel="0" collapsed="false">
      <c r="A182" s="7" t="s">
        <v>315</v>
      </c>
      <c r="B182" s="26" t="n">
        <v>1989349904</v>
      </c>
      <c r="C182" s="26" t="n">
        <v>0</v>
      </c>
      <c r="D182" s="26" t="n">
        <v>1989349904</v>
      </c>
      <c r="E182" s="26" t="n">
        <v>127382868</v>
      </c>
      <c r="F182" s="26" t="n">
        <v>0</v>
      </c>
      <c r="G182" s="26" t="n">
        <v>0</v>
      </c>
      <c r="H182" s="26" t="n">
        <v>0</v>
      </c>
      <c r="I182" s="26" t="n">
        <v>0</v>
      </c>
      <c r="J182" s="26" t="n">
        <v>0</v>
      </c>
      <c r="K182" s="26" t="n">
        <v>0</v>
      </c>
      <c r="L182" s="26" t="n">
        <v>592089</v>
      </c>
      <c r="M182" s="26" t="n">
        <v>592089</v>
      </c>
      <c r="N182" s="26" t="n">
        <v>0</v>
      </c>
      <c r="O182" s="26" t="n">
        <v>0</v>
      </c>
      <c r="P182" s="26" t="n">
        <v>0</v>
      </c>
      <c r="Q182" s="26" t="n">
        <v>28957</v>
      </c>
      <c r="R182" s="26" t="n">
        <v>18632</v>
      </c>
      <c r="S182" s="26" t="n">
        <v>639678</v>
      </c>
      <c r="T182" s="26" t="n">
        <v>574326</v>
      </c>
      <c r="U182" s="26" t="n">
        <v>28089</v>
      </c>
      <c r="V182" s="26" t="n">
        <v>602415</v>
      </c>
      <c r="W182" s="26" t="n">
        <v>621046</v>
      </c>
      <c r="X182" s="27" t="n">
        <f aca="false">IF(V182=0,0,(W182-V182)/V182)</f>
        <v>0.0309271847480557</v>
      </c>
      <c r="Y182" s="26" t="n">
        <v>602415</v>
      </c>
      <c r="Z182" s="26" t="n">
        <v>934551025.74</v>
      </c>
      <c r="AA182" s="26" t="n">
        <v>876251021.74</v>
      </c>
      <c r="AB182" s="28" t="n">
        <f aca="false">IF(B182=0,0,L182/B182*10000)</f>
        <v>2.97629390792179</v>
      </c>
      <c r="AC182" s="28" t="n">
        <f aca="false">IF(D182=0,0,M182/D182*10000)</f>
        <v>2.97629390792179</v>
      </c>
      <c r="AD182" s="28" t="n">
        <f aca="false">IF(C182=0,0,N182/C182*10000)</f>
        <v>0</v>
      </c>
      <c r="AE182" s="28" t="n">
        <f aca="false">IF(E182=0,0,Q182/E182*10000)</f>
        <v>2.2732256271699</v>
      </c>
    </row>
    <row r="183" customFormat="false" ht="15" hidden="false" customHeight="true" outlineLevel="0" collapsed="false">
      <c r="A183" s="7" t="s">
        <v>316</v>
      </c>
      <c r="B183" s="26" t="n">
        <v>3857235062</v>
      </c>
      <c r="C183" s="26" t="n">
        <v>0</v>
      </c>
      <c r="D183" s="26" t="n">
        <v>3857235062</v>
      </c>
      <c r="E183" s="26" t="n">
        <v>199996202</v>
      </c>
      <c r="F183" s="26" t="n">
        <v>0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  <c r="L183" s="26" t="n">
        <v>1087636</v>
      </c>
      <c r="M183" s="26" t="n">
        <v>1087636</v>
      </c>
      <c r="N183" s="26" t="n">
        <v>0</v>
      </c>
      <c r="O183" s="26" t="n">
        <v>0</v>
      </c>
      <c r="P183" s="26" t="n">
        <v>0</v>
      </c>
      <c r="Q183" s="26" t="n">
        <v>47224</v>
      </c>
      <c r="R183" s="26" t="n">
        <v>33911</v>
      </c>
      <c r="S183" s="26" t="n">
        <v>1168771</v>
      </c>
      <c r="T183" s="26" t="n">
        <v>1055007</v>
      </c>
      <c r="U183" s="26" t="n">
        <v>45808</v>
      </c>
      <c r="V183" s="26" t="n">
        <v>1100815</v>
      </c>
      <c r="W183" s="26" t="n">
        <v>1134860</v>
      </c>
      <c r="X183" s="27" t="n">
        <f aca="false">IF(V183=0,0,(W183-V183)/V183)</f>
        <v>0.0309270858409451</v>
      </c>
      <c r="Y183" s="26" t="n">
        <v>1100815</v>
      </c>
      <c r="Z183" s="26" t="n">
        <v>934551025.74</v>
      </c>
      <c r="AA183" s="26" t="n">
        <v>876251021.74</v>
      </c>
      <c r="AB183" s="28" t="n">
        <f aca="false">IF(B183=0,0,L183/B183*10000)</f>
        <v>2.81972963150463</v>
      </c>
      <c r="AC183" s="28" t="n">
        <f aca="false">IF(D183=0,0,M183/D183*10000)</f>
        <v>2.81972963150463</v>
      </c>
      <c r="AD183" s="28" t="n">
        <f aca="false">IF(C183=0,0,N183/C183*10000)</f>
        <v>0</v>
      </c>
      <c r="AE183" s="28" t="n">
        <f aca="false">IF(E183=0,0,Q183/E183*10000)</f>
        <v>2.36124484003951</v>
      </c>
    </row>
    <row r="184" customFormat="false" ht="15" hidden="false" customHeight="true" outlineLevel="0" collapsed="false">
      <c r="A184" s="7" t="s">
        <v>317</v>
      </c>
      <c r="B184" s="26" t="n">
        <v>6013624456</v>
      </c>
      <c r="C184" s="26" t="n">
        <v>0</v>
      </c>
      <c r="D184" s="26" t="n">
        <v>6013624456</v>
      </c>
      <c r="E184" s="26" t="n">
        <v>277804580</v>
      </c>
      <c r="F184" s="26" t="n">
        <v>0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  <c r="L184" s="26" t="n">
        <v>1758684</v>
      </c>
      <c r="M184" s="26" t="n">
        <v>1758684</v>
      </c>
      <c r="N184" s="26" t="n">
        <v>0</v>
      </c>
      <c r="O184" s="26" t="n">
        <v>0</v>
      </c>
      <c r="P184" s="26" t="n">
        <v>0</v>
      </c>
      <c r="Q184" s="26" t="n">
        <v>60735</v>
      </c>
      <c r="R184" s="26" t="n">
        <v>54913</v>
      </c>
      <c r="S184" s="26" t="n">
        <v>1874332</v>
      </c>
      <c r="T184" s="26" t="n">
        <v>1705924</v>
      </c>
      <c r="U184" s="26" t="n">
        <v>58913</v>
      </c>
      <c r="V184" s="26" t="n">
        <v>1764837</v>
      </c>
      <c r="W184" s="26" t="n">
        <v>1819419</v>
      </c>
      <c r="X184" s="27" t="n">
        <f aca="false">IF(V184=0,0,(W184-V184)/V184)</f>
        <v>0.030927502086595</v>
      </c>
      <c r="Y184" s="26" t="n">
        <v>1764837</v>
      </c>
      <c r="Z184" s="26" t="n">
        <v>934551025.74</v>
      </c>
      <c r="AA184" s="26" t="n">
        <v>876251021.74</v>
      </c>
      <c r="AB184" s="28" t="n">
        <f aca="false">IF(B184=0,0,L184/B184*10000)</f>
        <v>2.9244992148542</v>
      </c>
      <c r="AC184" s="28" t="n">
        <f aca="false">IF(D184=0,0,M184/D184*10000)</f>
        <v>2.9244992148542</v>
      </c>
      <c r="AD184" s="28" t="n">
        <f aca="false">IF(C184=0,0,N184/C184*10000)</f>
        <v>0</v>
      </c>
      <c r="AE184" s="28" t="n">
        <f aca="false">IF(E184=0,0,Q184/E184*10000)</f>
        <v>2.18624905320136</v>
      </c>
    </row>
    <row r="185" customFormat="false" ht="15" hidden="false" customHeight="true" outlineLevel="0" collapsed="false">
      <c r="A185" s="7" t="s">
        <v>318</v>
      </c>
      <c r="B185" s="26" t="n">
        <v>6037020299</v>
      </c>
      <c r="C185" s="26" t="n">
        <v>0</v>
      </c>
      <c r="D185" s="26" t="n">
        <v>6037020299</v>
      </c>
      <c r="E185" s="26" t="n">
        <v>249646512</v>
      </c>
      <c r="F185" s="26" t="n">
        <v>0</v>
      </c>
      <c r="G185" s="26" t="n">
        <v>0</v>
      </c>
      <c r="H185" s="26" t="n">
        <v>0</v>
      </c>
      <c r="I185" s="26" t="n">
        <v>0</v>
      </c>
      <c r="J185" s="26" t="n">
        <v>0</v>
      </c>
      <c r="K185" s="26" t="n">
        <v>0</v>
      </c>
      <c r="L185" s="26" t="n">
        <v>1759654</v>
      </c>
      <c r="M185" s="26" t="n">
        <v>1759654</v>
      </c>
      <c r="N185" s="26" t="n">
        <v>0</v>
      </c>
      <c r="O185" s="26" t="n">
        <v>0</v>
      </c>
      <c r="P185" s="26" t="n">
        <v>0</v>
      </c>
      <c r="Q185" s="26" t="n">
        <v>56869</v>
      </c>
      <c r="R185" s="26" t="n">
        <v>54496</v>
      </c>
      <c r="S185" s="26" t="n">
        <v>1871019</v>
      </c>
      <c r="T185" s="26" t="n">
        <v>1706865</v>
      </c>
      <c r="U185" s="26" t="n">
        <v>55162</v>
      </c>
      <c r="V185" s="26" t="n">
        <v>1762027</v>
      </c>
      <c r="W185" s="26" t="n">
        <v>1816523</v>
      </c>
      <c r="X185" s="27" t="n">
        <f aca="false">IF(V185=0,0,(W185-V185)/V185)</f>
        <v>0.030928016426536</v>
      </c>
      <c r="Y185" s="26" t="n">
        <v>1762027</v>
      </c>
      <c r="Z185" s="26" t="n">
        <v>934551025.74</v>
      </c>
      <c r="AA185" s="26" t="n">
        <v>876251021.74</v>
      </c>
      <c r="AB185" s="28" t="n">
        <f aca="false">IF(B185=0,0,L185/B185*10000)</f>
        <v>2.91477237585482</v>
      </c>
      <c r="AC185" s="28" t="n">
        <f aca="false">IF(D185=0,0,M185/D185*10000)</f>
        <v>2.91477237585482</v>
      </c>
      <c r="AD185" s="28" t="n">
        <f aca="false">IF(C185=0,0,N185/C185*10000)</f>
        <v>0</v>
      </c>
      <c r="AE185" s="28" t="n">
        <f aca="false">IF(E185=0,0,Q185/E185*10000)</f>
        <v>2.27798095572831</v>
      </c>
    </row>
    <row r="186" customFormat="false" ht="15" hidden="false" customHeight="true" outlineLevel="0" collapsed="false">
      <c r="A186" s="7" t="s">
        <v>319</v>
      </c>
      <c r="B186" s="26" t="n">
        <v>8748322034</v>
      </c>
      <c r="C186" s="26" t="n">
        <v>0</v>
      </c>
      <c r="D186" s="26" t="n">
        <v>8748322034</v>
      </c>
      <c r="E186" s="26" t="n">
        <v>292172889</v>
      </c>
      <c r="F186" s="26" t="n">
        <v>0</v>
      </c>
      <c r="G186" s="26" t="n">
        <v>0</v>
      </c>
      <c r="H186" s="26" t="n">
        <v>0</v>
      </c>
      <c r="I186" s="26" t="n">
        <v>0</v>
      </c>
      <c r="J186" s="26" t="n">
        <v>0</v>
      </c>
      <c r="K186" s="26" t="n">
        <v>0</v>
      </c>
      <c r="L186" s="26" t="n">
        <v>2555402</v>
      </c>
      <c r="M186" s="26" t="n">
        <v>2555402</v>
      </c>
      <c r="N186" s="26" t="n">
        <v>0</v>
      </c>
      <c r="O186" s="26" t="n">
        <v>0</v>
      </c>
      <c r="P186" s="26" t="n">
        <v>0</v>
      </c>
      <c r="Q186" s="26" t="n">
        <v>60148</v>
      </c>
      <c r="R186" s="26" t="n">
        <v>77981</v>
      </c>
      <c r="S186" s="26" t="n">
        <v>2693531</v>
      </c>
      <c r="T186" s="26" t="n">
        <v>2478740</v>
      </c>
      <c r="U186" s="26" t="n">
        <v>58343</v>
      </c>
      <c r="V186" s="26" t="n">
        <v>2537083</v>
      </c>
      <c r="W186" s="26" t="n">
        <v>2615550</v>
      </c>
      <c r="X186" s="27" t="n">
        <f aca="false">IF(V186=0,0,(W186-V186)/V186)</f>
        <v>0.0309280382234243</v>
      </c>
      <c r="Y186" s="26" t="n">
        <v>2537083</v>
      </c>
      <c r="Z186" s="26" t="n">
        <v>1035881226.56</v>
      </c>
      <c r="AA186" s="26" t="n">
        <v>977581222.56</v>
      </c>
      <c r="AB186" s="28" t="n">
        <f aca="false">IF(B186=0,0,L186/B186*10000)</f>
        <v>2.92101958531994</v>
      </c>
      <c r="AC186" s="28" t="n">
        <f aca="false">IF(D186=0,0,M186/D186*10000)</f>
        <v>2.92101958531994</v>
      </c>
      <c r="AD186" s="28" t="n">
        <f aca="false">IF(C186=0,0,N186/C186*10000)</f>
        <v>0</v>
      </c>
      <c r="AE186" s="28" t="n">
        <f aca="false">IF(E186=0,0,Q186/E186*10000)</f>
        <v>2.05864412012574</v>
      </c>
    </row>
    <row r="187" customFormat="false" ht="15" hidden="false" customHeight="true" outlineLevel="0" collapsed="false">
      <c r="A187" s="7" t="s">
        <v>320</v>
      </c>
      <c r="B187" s="26" t="n">
        <v>6187649489</v>
      </c>
      <c r="C187" s="26" t="n">
        <v>0</v>
      </c>
      <c r="D187" s="26" t="n">
        <v>6187649489</v>
      </c>
      <c r="E187" s="26" t="n">
        <v>229236296</v>
      </c>
      <c r="F187" s="26" t="n">
        <v>0</v>
      </c>
      <c r="G187" s="26" t="n">
        <v>0</v>
      </c>
      <c r="H187" s="26" t="n">
        <v>0</v>
      </c>
      <c r="I187" s="26" t="n">
        <v>0</v>
      </c>
      <c r="J187" s="26" t="n">
        <v>0</v>
      </c>
      <c r="K187" s="26" t="n">
        <v>0</v>
      </c>
      <c r="L187" s="26" t="n">
        <v>1860095</v>
      </c>
      <c r="M187" s="26" t="n">
        <v>1860095</v>
      </c>
      <c r="N187" s="26" t="n">
        <v>0</v>
      </c>
      <c r="O187" s="26" t="n">
        <v>0</v>
      </c>
      <c r="P187" s="26" t="n">
        <v>0</v>
      </c>
      <c r="Q187" s="26" t="n">
        <v>51268</v>
      </c>
      <c r="R187" s="26" t="n">
        <v>57341</v>
      </c>
      <c r="S187" s="26" t="n">
        <v>1968704</v>
      </c>
      <c r="T187" s="26" t="n">
        <v>1804292</v>
      </c>
      <c r="U187" s="26" t="n">
        <v>49730</v>
      </c>
      <c r="V187" s="26" t="n">
        <v>1854022</v>
      </c>
      <c r="W187" s="26" t="n">
        <v>1911363</v>
      </c>
      <c r="X187" s="27" t="n">
        <f aca="false">IF(V187=0,0,(W187-V187)/V187)</f>
        <v>0.0309278962169812</v>
      </c>
      <c r="Y187" s="26" t="n">
        <v>1854022</v>
      </c>
      <c r="Z187" s="26" t="n">
        <v>1035881226.56</v>
      </c>
      <c r="AA187" s="26" t="n">
        <v>977581222.56</v>
      </c>
      <c r="AB187" s="28" t="n">
        <f aca="false">IF(B187=0,0,L187/B187*10000)</f>
        <v>3.00614151352102</v>
      </c>
      <c r="AC187" s="28" t="n">
        <f aca="false">IF(D187=0,0,M187/D187*10000)</f>
        <v>3.00614151352102</v>
      </c>
      <c r="AD187" s="28" t="n">
        <f aca="false">IF(C187=0,0,N187/C187*10000)</f>
        <v>0</v>
      </c>
      <c r="AE187" s="28" t="n">
        <f aca="false">IF(E187=0,0,Q187/E187*10000)</f>
        <v>2.23646956850149</v>
      </c>
    </row>
    <row r="188" customFormat="false" ht="15" hidden="false" customHeight="true" outlineLevel="0" collapsed="false">
      <c r="A188" s="7" t="s">
        <v>321</v>
      </c>
      <c r="B188" s="26" t="n">
        <v>5818443688</v>
      </c>
      <c r="C188" s="26" t="n">
        <v>0</v>
      </c>
      <c r="D188" s="26" t="n">
        <v>5818443688</v>
      </c>
      <c r="E188" s="26" t="n">
        <v>221169152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0</v>
      </c>
      <c r="L188" s="26" t="n">
        <v>1606429</v>
      </c>
      <c r="M188" s="26" t="n">
        <v>1606429</v>
      </c>
      <c r="N188" s="26" t="n">
        <v>0</v>
      </c>
      <c r="O188" s="26" t="n">
        <v>0</v>
      </c>
      <c r="P188" s="26" t="n">
        <v>0</v>
      </c>
      <c r="Q188" s="26" t="n">
        <v>49787</v>
      </c>
      <c r="R188" s="26" t="n">
        <v>49686</v>
      </c>
      <c r="S188" s="26" t="n">
        <v>1705902</v>
      </c>
      <c r="T188" s="26" t="n">
        <v>1558236</v>
      </c>
      <c r="U188" s="26" t="n">
        <v>48293</v>
      </c>
      <c r="V188" s="26" t="n">
        <v>1606529</v>
      </c>
      <c r="W188" s="26" t="n">
        <v>1656216</v>
      </c>
      <c r="X188" s="27" t="n">
        <f aca="false">IF(V188=0,0,(W188-V188)/V188)</f>
        <v>0.0309281687414295</v>
      </c>
      <c r="Y188" s="26" t="n">
        <v>1606529</v>
      </c>
      <c r="Z188" s="26" t="n">
        <v>1035881226.56</v>
      </c>
      <c r="AA188" s="26" t="n">
        <v>977581222.56</v>
      </c>
      <c r="AB188" s="28" t="n">
        <f aca="false">IF(B188=0,0,L188/B188*10000)</f>
        <v>2.76092557759579</v>
      </c>
      <c r="AC188" s="28" t="n">
        <f aca="false">IF(D188=0,0,M188/D188*10000)</f>
        <v>2.76092557759579</v>
      </c>
      <c r="AD188" s="28" t="n">
        <f aca="false">IF(C188=0,0,N188/C188*10000)</f>
        <v>0</v>
      </c>
      <c r="AE188" s="28" t="n">
        <f aca="false">IF(E188=0,0,Q188/E188*10000)</f>
        <v>2.25108246560533</v>
      </c>
    </row>
    <row r="189" customFormat="false" ht="15" hidden="false" customHeight="true" outlineLevel="0" collapsed="false">
      <c r="A189" s="7" t="s">
        <v>322</v>
      </c>
      <c r="B189" s="26" t="n">
        <v>2435996830</v>
      </c>
      <c r="C189" s="26" t="n">
        <v>0</v>
      </c>
      <c r="D189" s="26" t="n">
        <v>2435996830</v>
      </c>
      <c r="E189" s="26" t="n">
        <v>128067841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0</v>
      </c>
      <c r="L189" s="26" t="n">
        <v>708810</v>
      </c>
      <c r="M189" s="26" t="n">
        <v>708810</v>
      </c>
      <c r="N189" s="26" t="n">
        <v>0</v>
      </c>
      <c r="O189" s="26" t="n">
        <v>0</v>
      </c>
      <c r="P189" s="26" t="n">
        <v>0</v>
      </c>
      <c r="Q189" s="26" t="n">
        <v>29379</v>
      </c>
      <c r="R189" s="26" t="n">
        <v>22460</v>
      </c>
      <c r="S189" s="26" t="n">
        <v>760649</v>
      </c>
      <c r="T189" s="26" t="n">
        <v>687546</v>
      </c>
      <c r="U189" s="26" t="n">
        <v>28497</v>
      </c>
      <c r="V189" s="26" t="n">
        <v>716043</v>
      </c>
      <c r="W189" s="26" t="n">
        <v>738189</v>
      </c>
      <c r="X189" s="27" t="n">
        <f aca="false">IF(V189=0,0,(W189-V189)/V189)</f>
        <v>0.0309283101713165</v>
      </c>
      <c r="Y189" s="26" t="n">
        <v>716043</v>
      </c>
      <c r="Z189" s="26" t="n">
        <v>1035881226.56</v>
      </c>
      <c r="AA189" s="26" t="n">
        <v>977581222.56</v>
      </c>
      <c r="AB189" s="28" t="n">
        <f aca="false">IF(B189=0,0,L189/B189*10000)</f>
        <v>2.90973285051442</v>
      </c>
      <c r="AC189" s="28" t="n">
        <f aca="false">IF(D189=0,0,M189/D189*10000)</f>
        <v>2.90973285051442</v>
      </c>
      <c r="AD189" s="28" t="n">
        <f aca="false">IF(C189=0,0,N189/C189*10000)</f>
        <v>0</v>
      </c>
      <c r="AE189" s="28" t="n">
        <f aca="false">IF(E189=0,0,Q189/E189*10000)</f>
        <v>2.29401852725853</v>
      </c>
    </row>
    <row r="190" customFormat="false" ht="15" hidden="false" customHeight="true" outlineLevel="0" collapsed="false">
      <c r="A190" s="7" t="s">
        <v>323</v>
      </c>
      <c r="B190" s="26" t="n">
        <v>4306421079</v>
      </c>
      <c r="C190" s="26" t="n">
        <v>0</v>
      </c>
      <c r="D190" s="26" t="n">
        <v>4306421079</v>
      </c>
      <c r="E190" s="26" t="n">
        <v>135062039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0</v>
      </c>
      <c r="L190" s="26" t="n">
        <v>1227214</v>
      </c>
      <c r="M190" s="26" t="n">
        <v>1227214</v>
      </c>
      <c r="N190" s="26" t="n">
        <v>0</v>
      </c>
      <c r="O190" s="26" t="n">
        <v>0</v>
      </c>
      <c r="P190" s="26" t="n">
        <v>0</v>
      </c>
      <c r="Q190" s="26" t="n">
        <v>26841</v>
      </c>
      <c r="R190" s="26" t="n">
        <v>37405</v>
      </c>
      <c r="S190" s="26" t="n">
        <v>1291460</v>
      </c>
      <c r="T190" s="26" t="n">
        <v>1190398</v>
      </c>
      <c r="U190" s="26" t="n">
        <v>26036</v>
      </c>
      <c r="V190" s="26" t="n">
        <v>1216434</v>
      </c>
      <c r="W190" s="26" t="n">
        <v>1254055</v>
      </c>
      <c r="X190" s="27" t="n">
        <f aca="false">IF(V190=0,0,(W190-V190)/V190)</f>
        <v>0.0309272841765357</v>
      </c>
      <c r="Y190" s="26" t="n">
        <v>1216434</v>
      </c>
      <c r="Z190" s="26" t="n">
        <v>1035881226.56</v>
      </c>
      <c r="AA190" s="26" t="n">
        <v>977581222.56</v>
      </c>
      <c r="AB190" s="28" t="n">
        <f aca="false">IF(B190=0,0,L190/B190*10000)</f>
        <v>2.84973061734356</v>
      </c>
      <c r="AC190" s="28" t="n">
        <f aca="false">IF(D190=0,0,M190/D190*10000)</f>
        <v>2.84973061734356</v>
      </c>
      <c r="AD190" s="28" t="n">
        <f aca="false">IF(C190=0,0,N190/C190*10000)</f>
        <v>0</v>
      </c>
      <c r="AE190" s="28" t="n">
        <f aca="false">IF(E190=0,0,Q190/E190*10000)</f>
        <v>1.98730895807074</v>
      </c>
    </row>
    <row r="191" customFormat="false" ht="15" hidden="false" customHeight="true" outlineLevel="0" collapsed="false">
      <c r="A191" s="7" t="s">
        <v>324</v>
      </c>
      <c r="B191" s="26" t="n">
        <v>5302734324</v>
      </c>
      <c r="C191" s="26" t="n">
        <v>0</v>
      </c>
      <c r="D191" s="26" t="n">
        <v>5302734324</v>
      </c>
      <c r="E191" s="26" t="n">
        <v>200536259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0</v>
      </c>
      <c r="L191" s="26" t="n">
        <v>1561368</v>
      </c>
      <c r="M191" s="26" t="n">
        <v>1561368</v>
      </c>
      <c r="N191" s="26" t="n">
        <v>0</v>
      </c>
      <c r="O191" s="26" t="n">
        <v>0</v>
      </c>
      <c r="P191" s="26" t="n">
        <v>0</v>
      </c>
      <c r="Q191" s="26" t="n">
        <v>48359</v>
      </c>
      <c r="R191" s="26" t="n">
        <v>48509</v>
      </c>
      <c r="S191" s="26" t="n">
        <v>1658236</v>
      </c>
      <c r="T191" s="26" t="n">
        <v>1514527</v>
      </c>
      <c r="U191" s="26" t="n">
        <v>46909</v>
      </c>
      <c r="V191" s="26" t="n">
        <v>1561436</v>
      </c>
      <c r="W191" s="26" t="n">
        <v>1609727</v>
      </c>
      <c r="X191" s="27" t="n">
        <f aca="false">IF(V191=0,0,(W191-V191)/V191)</f>
        <v>0.0309273002543812</v>
      </c>
      <c r="Y191" s="26" t="n">
        <v>1561436</v>
      </c>
      <c r="Z191" s="26" t="n">
        <v>1035881226.56</v>
      </c>
      <c r="AA191" s="26" t="n">
        <v>977581222.56</v>
      </c>
      <c r="AB191" s="28" t="n">
        <f aca="false">IF(B191=0,0,L191/B191*10000)</f>
        <v>2.9444582824625</v>
      </c>
      <c r="AC191" s="28" t="n">
        <f aca="false">IF(D191=0,0,M191/D191*10000)</f>
        <v>2.9444582824625</v>
      </c>
      <c r="AD191" s="28" t="n">
        <f aca="false">IF(C191=0,0,N191/C191*10000)</f>
        <v>0</v>
      </c>
      <c r="AE191" s="28" t="n">
        <f aca="false">IF(E191=0,0,Q191/E191*10000)</f>
        <v>2.41148409974079</v>
      </c>
    </row>
    <row r="192" customFormat="false" ht="15" hidden="false" customHeight="true" outlineLevel="0" collapsed="false">
      <c r="A192" s="7" t="s">
        <v>325</v>
      </c>
      <c r="B192" s="26" t="n">
        <v>5275995593</v>
      </c>
      <c r="C192" s="26" t="n">
        <v>0</v>
      </c>
      <c r="D192" s="26" t="n">
        <v>5275995593</v>
      </c>
      <c r="E192" s="26" t="n">
        <v>248230529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0</v>
      </c>
      <c r="L192" s="26" t="n">
        <v>1586779</v>
      </c>
      <c r="M192" s="26" t="n">
        <v>1586779</v>
      </c>
      <c r="N192" s="26" t="n">
        <v>0</v>
      </c>
      <c r="O192" s="26" t="n">
        <v>0</v>
      </c>
      <c r="P192" s="26" t="n">
        <v>0</v>
      </c>
      <c r="Q192" s="26" t="n">
        <v>58482</v>
      </c>
      <c r="R192" s="26" t="n">
        <v>49358</v>
      </c>
      <c r="S192" s="26" t="n">
        <v>1694619</v>
      </c>
      <c r="T192" s="26" t="n">
        <v>1539176</v>
      </c>
      <c r="U192" s="26" t="n">
        <v>56727</v>
      </c>
      <c r="V192" s="26" t="n">
        <v>1595903</v>
      </c>
      <c r="W192" s="26" t="n">
        <v>1645261</v>
      </c>
      <c r="X192" s="27" t="n">
        <f aca="false">IF(V192=0,0,(W192-V192)/V192)</f>
        <v>0.0309279448688297</v>
      </c>
      <c r="Y192" s="26" t="n">
        <v>1595903</v>
      </c>
      <c r="Z192" s="26" t="n">
        <v>1035881226.56</v>
      </c>
      <c r="AA192" s="26" t="n">
        <v>977581222.56</v>
      </c>
      <c r="AB192" s="28" t="n">
        <f aca="false">IF(B192=0,0,L192/B192*10000)</f>
        <v>3.00754421043354</v>
      </c>
      <c r="AC192" s="28" t="n">
        <f aca="false">IF(D192=0,0,M192/D192*10000)</f>
        <v>3.00754421043354</v>
      </c>
      <c r="AD192" s="28" t="n">
        <f aca="false">IF(C192=0,0,N192/C192*10000)</f>
        <v>0</v>
      </c>
      <c r="AE192" s="28" t="n">
        <f aca="false">IF(E192=0,0,Q192/E192*10000)</f>
        <v>2.35595517745523</v>
      </c>
    </row>
    <row r="193" customFormat="false" ht="15" hidden="false" customHeight="true" outlineLevel="0" collapsed="false">
      <c r="A193" s="7" t="s">
        <v>326</v>
      </c>
      <c r="B193" s="26" t="n">
        <v>8683791749</v>
      </c>
      <c r="C193" s="26" t="n">
        <v>0</v>
      </c>
      <c r="D193" s="26" t="n">
        <v>8683791749</v>
      </c>
      <c r="E193" s="26" t="n">
        <v>298577873</v>
      </c>
      <c r="F193" s="26" t="n">
        <v>0</v>
      </c>
      <c r="G193" s="26" t="n">
        <v>0</v>
      </c>
      <c r="H193" s="26" t="n">
        <v>0</v>
      </c>
      <c r="I193" s="26" t="n">
        <v>0</v>
      </c>
      <c r="J193" s="26" t="n">
        <v>0</v>
      </c>
      <c r="K193" s="26" t="n">
        <v>0</v>
      </c>
      <c r="L193" s="26" t="n">
        <v>2647959</v>
      </c>
      <c r="M193" s="26" t="n">
        <v>2647959</v>
      </c>
      <c r="N193" s="26" t="n">
        <v>0</v>
      </c>
      <c r="O193" s="26" t="n">
        <v>0</v>
      </c>
      <c r="P193" s="26" t="n">
        <v>0</v>
      </c>
      <c r="Q193" s="26" t="n">
        <v>67974</v>
      </c>
      <c r="R193" s="26" t="n">
        <v>81478</v>
      </c>
      <c r="S193" s="26" t="n">
        <v>2797411</v>
      </c>
      <c r="T193" s="26" t="n">
        <v>2568521</v>
      </c>
      <c r="U193" s="26" t="n">
        <v>65935</v>
      </c>
      <c r="V193" s="26" t="n">
        <v>2634456</v>
      </c>
      <c r="W193" s="26" t="n">
        <v>2715933</v>
      </c>
      <c r="X193" s="27" t="n">
        <f aca="false">IF(V193=0,0,(W193-V193)/V193)</f>
        <v>0.0309274476400441</v>
      </c>
      <c r="Y193" s="26" t="n">
        <v>2634456</v>
      </c>
      <c r="Z193" s="26" t="n">
        <v>1060992979.64</v>
      </c>
      <c r="AA193" s="26" t="n">
        <v>1002692975.64</v>
      </c>
      <c r="AB193" s="28" t="n">
        <f aca="false">IF(B193=0,0,L193/B193*10000)</f>
        <v>3.04931195558085</v>
      </c>
      <c r="AC193" s="28" t="n">
        <f aca="false">IF(D193=0,0,M193/D193*10000)</f>
        <v>3.04931195558085</v>
      </c>
      <c r="AD193" s="28" t="n">
        <f aca="false">IF(C193=0,0,N193/C193*10000)</f>
        <v>0</v>
      </c>
      <c r="AE193" s="28" t="n">
        <f aca="false">IF(E193=0,0,Q193/E193*10000)</f>
        <v>2.27659200988414</v>
      </c>
    </row>
    <row r="194" customFormat="false" ht="15" hidden="false" customHeight="true" outlineLevel="0" collapsed="false">
      <c r="A194" s="7" t="s">
        <v>327</v>
      </c>
      <c r="B194" s="26" t="n">
        <v>11246358165</v>
      </c>
      <c r="C194" s="26" t="n">
        <v>0</v>
      </c>
      <c r="D194" s="26" t="n">
        <v>11246358165</v>
      </c>
      <c r="E194" s="26" t="n">
        <v>408100683</v>
      </c>
      <c r="F194" s="26" t="n">
        <v>0</v>
      </c>
      <c r="G194" s="26" t="n">
        <v>0</v>
      </c>
      <c r="H194" s="26" t="n">
        <v>0</v>
      </c>
      <c r="I194" s="26" t="n">
        <v>0</v>
      </c>
      <c r="J194" s="26" t="n">
        <v>0</v>
      </c>
      <c r="K194" s="26" t="n">
        <v>0</v>
      </c>
      <c r="L194" s="26" t="n">
        <v>3383736</v>
      </c>
      <c r="M194" s="26" t="n">
        <v>3383736</v>
      </c>
      <c r="N194" s="26" t="n">
        <v>0</v>
      </c>
      <c r="O194" s="26" t="n">
        <v>0</v>
      </c>
      <c r="P194" s="26" t="n">
        <v>0</v>
      </c>
      <c r="Q194" s="26" t="n">
        <v>94024</v>
      </c>
      <c r="R194" s="26" t="n">
        <v>103506</v>
      </c>
      <c r="S194" s="26" t="n">
        <v>3581266</v>
      </c>
      <c r="T194" s="26" t="n">
        <v>3282224</v>
      </c>
      <c r="U194" s="26" t="n">
        <v>91203</v>
      </c>
      <c r="V194" s="26" t="n">
        <v>3373427</v>
      </c>
      <c r="W194" s="26" t="n">
        <v>3477760</v>
      </c>
      <c r="X194" s="27" t="n">
        <f aca="false">IF(V194=0,0,(W194-V194)/V194)</f>
        <v>0.0309278961720529</v>
      </c>
      <c r="Y194" s="26" t="n">
        <v>3373427</v>
      </c>
      <c r="Z194" s="26" t="n">
        <v>1060992979.64</v>
      </c>
      <c r="AA194" s="26" t="n">
        <v>1002692975.64</v>
      </c>
      <c r="AB194" s="28" t="n">
        <f aca="false">IF(B194=0,0,L194/B194*10000)</f>
        <v>3.00873931841384</v>
      </c>
      <c r="AC194" s="28" t="n">
        <f aca="false">IF(D194=0,0,M194/D194*10000)</f>
        <v>3.00873931841384</v>
      </c>
      <c r="AD194" s="28" t="n">
        <f aca="false">IF(C194=0,0,N194/C194*10000)</f>
        <v>0</v>
      </c>
      <c r="AE194" s="28" t="n">
        <f aca="false">IF(E194=0,0,Q194/E194*10000)</f>
        <v>2.30394125559452</v>
      </c>
    </row>
    <row r="195" customFormat="false" ht="15" hidden="false" customHeight="true" outlineLevel="0" collapsed="false">
      <c r="A195" s="7" t="s">
        <v>328</v>
      </c>
      <c r="B195" s="26" t="n">
        <v>12177738273</v>
      </c>
      <c r="C195" s="26" t="n">
        <v>0</v>
      </c>
      <c r="D195" s="26" t="n">
        <v>12177738273</v>
      </c>
      <c r="E195" s="26" t="n">
        <v>470323564</v>
      </c>
      <c r="F195" s="26" t="n">
        <v>0</v>
      </c>
      <c r="G195" s="26" t="n">
        <v>0</v>
      </c>
      <c r="H195" s="26" t="n">
        <v>0</v>
      </c>
      <c r="I195" s="26" t="n">
        <v>0</v>
      </c>
      <c r="J195" s="26" t="n">
        <v>0</v>
      </c>
      <c r="K195" s="26" t="n">
        <v>0</v>
      </c>
      <c r="L195" s="26" t="n">
        <v>3718240</v>
      </c>
      <c r="M195" s="26" t="n">
        <v>3718240</v>
      </c>
      <c r="N195" s="26" t="n">
        <v>0</v>
      </c>
      <c r="O195" s="26" t="n">
        <v>0</v>
      </c>
      <c r="P195" s="26" t="n">
        <v>0</v>
      </c>
      <c r="Q195" s="26" t="n">
        <v>108458</v>
      </c>
      <c r="R195" s="26" t="n">
        <v>115349</v>
      </c>
      <c r="S195" s="26" t="n">
        <v>3942047</v>
      </c>
      <c r="T195" s="26" t="n">
        <v>3606693</v>
      </c>
      <c r="U195" s="26" t="n">
        <v>105205</v>
      </c>
      <c r="V195" s="26" t="n">
        <v>3711898</v>
      </c>
      <c r="W195" s="26" t="n">
        <v>3826698</v>
      </c>
      <c r="X195" s="27" t="n">
        <f aca="false">IF(V195=0,0,(W195-V195)/V195)</f>
        <v>0.0309275739796729</v>
      </c>
      <c r="Y195" s="26" t="n">
        <v>3711898</v>
      </c>
      <c r="Z195" s="26" t="n">
        <v>1060992979.64</v>
      </c>
      <c r="AA195" s="26" t="n">
        <v>1002692975.64</v>
      </c>
      <c r="AB195" s="28" t="n">
        <f aca="false">IF(B195=0,0,L195/B195*10000)</f>
        <v>3.05330917502467</v>
      </c>
      <c r="AC195" s="28" t="n">
        <f aca="false">IF(D195=0,0,M195/D195*10000)</f>
        <v>3.05330917502467</v>
      </c>
      <c r="AD195" s="28" t="n">
        <f aca="false">IF(C195=0,0,N195/C195*10000)</f>
        <v>0</v>
      </c>
      <c r="AE195" s="28" t="n">
        <f aca="false">IF(E195=0,0,Q195/E195*10000)</f>
        <v>2.30602947208488</v>
      </c>
    </row>
    <row r="196" customFormat="false" ht="15" hidden="false" customHeight="true" outlineLevel="0" collapsed="false">
      <c r="A196" s="7" t="s">
        <v>329</v>
      </c>
      <c r="B196" s="26" t="n">
        <v>5408681122</v>
      </c>
      <c r="C196" s="26" t="n">
        <v>0</v>
      </c>
      <c r="D196" s="26" t="n">
        <v>5408681122</v>
      </c>
      <c r="E196" s="26" t="n">
        <v>306157655</v>
      </c>
      <c r="F196" s="26" t="n">
        <v>0</v>
      </c>
      <c r="G196" s="26" t="n">
        <v>0</v>
      </c>
      <c r="H196" s="26" t="n">
        <v>0</v>
      </c>
      <c r="I196" s="26" t="n">
        <v>0</v>
      </c>
      <c r="J196" s="26" t="n">
        <v>0</v>
      </c>
      <c r="K196" s="26" t="n">
        <v>0</v>
      </c>
      <c r="L196" s="26" t="n">
        <v>1694005</v>
      </c>
      <c r="M196" s="26" t="n">
        <v>1694005</v>
      </c>
      <c r="N196" s="26" t="n">
        <v>0</v>
      </c>
      <c r="O196" s="26" t="n">
        <v>0</v>
      </c>
      <c r="P196" s="26" t="n">
        <v>0</v>
      </c>
      <c r="Q196" s="26" t="n">
        <v>76542</v>
      </c>
      <c r="R196" s="26" t="n">
        <v>53395</v>
      </c>
      <c r="S196" s="26" t="n">
        <v>1823942</v>
      </c>
      <c r="T196" s="26" t="n">
        <v>1643185</v>
      </c>
      <c r="U196" s="26" t="n">
        <v>74246</v>
      </c>
      <c r="V196" s="26" t="n">
        <v>1717431</v>
      </c>
      <c r="W196" s="26" t="n">
        <v>1770547</v>
      </c>
      <c r="X196" s="27" t="n">
        <f aca="false">IF(V196=0,0,(W196-V196)/V196)</f>
        <v>0.0309275889395265</v>
      </c>
      <c r="Y196" s="26" t="n">
        <v>1717431</v>
      </c>
      <c r="Z196" s="26" t="n">
        <v>1060992979.64</v>
      </c>
      <c r="AA196" s="26" t="n">
        <v>1002692975.64</v>
      </c>
      <c r="AB196" s="28" t="n">
        <f aca="false">IF(B196=0,0,L196/B196*10000)</f>
        <v>3.13201122748682</v>
      </c>
      <c r="AC196" s="28" t="n">
        <f aca="false">IF(D196=0,0,M196/D196*10000)</f>
        <v>3.13201122748682</v>
      </c>
      <c r="AD196" s="28" t="n">
        <f aca="false">IF(C196=0,0,N196/C196*10000)</f>
        <v>0</v>
      </c>
      <c r="AE196" s="28" t="n">
        <f aca="false">IF(E196=0,0,Q196/E196*10000)</f>
        <v>2.50008447445157</v>
      </c>
    </row>
    <row r="197" customFormat="false" ht="15" hidden="false" customHeight="true" outlineLevel="0" collapsed="false">
      <c r="A197" s="7" t="s">
        <v>330</v>
      </c>
      <c r="B197" s="26" t="n">
        <v>6523360941</v>
      </c>
      <c r="C197" s="26" t="n">
        <v>0</v>
      </c>
      <c r="D197" s="26" t="n">
        <v>6523360941</v>
      </c>
      <c r="E197" s="26" t="n">
        <v>302499066</v>
      </c>
      <c r="F197" s="26" t="n">
        <v>0</v>
      </c>
      <c r="G197" s="26" t="n">
        <v>0</v>
      </c>
      <c r="H197" s="26" t="n">
        <v>0</v>
      </c>
      <c r="I197" s="26" t="n">
        <v>0</v>
      </c>
      <c r="J197" s="26" t="n">
        <v>0</v>
      </c>
      <c r="K197" s="26" t="n">
        <v>0</v>
      </c>
      <c r="L197" s="26" t="n">
        <v>1940257</v>
      </c>
      <c r="M197" s="26" t="n">
        <v>1940257</v>
      </c>
      <c r="N197" s="26" t="n">
        <v>0</v>
      </c>
      <c r="O197" s="26" t="n">
        <v>0</v>
      </c>
      <c r="P197" s="26" t="n">
        <v>0</v>
      </c>
      <c r="Q197" s="26" t="n">
        <v>70779</v>
      </c>
      <c r="R197" s="26" t="n">
        <v>59679</v>
      </c>
      <c r="S197" s="26" t="n">
        <v>2070715</v>
      </c>
      <c r="T197" s="26" t="n">
        <v>1882049</v>
      </c>
      <c r="U197" s="26" t="n">
        <v>68655</v>
      </c>
      <c r="V197" s="26" t="n">
        <v>1950704</v>
      </c>
      <c r="W197" s="26" t="n">
        <v>2011036</v>
      </c>
      <c r="X197" s="27" t="n">
        <f aca="false">IF(V197=0,0,(W197-V197)/V197)</f>
        <v>0.0309283212624775</v>
      </c>
      <c r="Y197" s="26" t="n">
        <v>1950704</v>
      </c>
      <c r="Z197" s="26" t="n">
        <v>1060992979.64</v>
      </c>
      <c r="AA197" s="26" t="n">
        <v>1002692975.64</v>
      </c>
      <c r="AB197" s="28" t="n">
        <f aca="false">IF(B197=0,0,L197/B197*10000)</f>
        <v>2.97432108624449</v>
      </c>
      <c r="AC197" s="28" t="n">
        <f aca="false">IF(D197=0,0,M197/D197*10000)</f>
        <v>2.97432108624449</v>
      </c>
      <c r="AD197" s="28" t="n">
        <f aca="false">IF(C197=0,0,N197/C197*10000)</f>
        <v>0</v>
      </c>
      <c r="AE197" s="28" t="n">
        <f aca="false">IF(E197=0,0,Q197/E197*10000)</f>
        <v>2.33980887729419</v>
      </c>
    </row>
    <row r="198" customFormat="false" ht="15" hidden="false" customHeight="true" outlineLevel="0" collapsed="false">
      <c r="A198" s="7" t="s">
        <v>331</v>
      </c>
      <c r="B198" s="26" t="n">
        <v>13274226437</v>
      </c>
      <c r="C198" s="26" t="n">
        <v>0</v>
      </c>
      <c r="D198" s="26" t="n">
        <v>13274226437</v>
      </c>
      <c r="E198" s="26" t="n">
        <v>527347600</v>
      </c>
      <c r="F198" s="26" t="n">
        <v>0</v>
      </c>
      <c r="G198" s="26" t="n">
        <v>0</v>
      </c>
      <c r="H198" s="26" t="n">
        <v>0</v>
      </c>
      <c r="I198" s="26" t="n">
        <v>0</v>
      </c>
      <c r="J198" s="26" t="n">
        <v>0</v>
      </c>
      <c r="K198" s="26" t="n">
        <v>0</v>
      </c>
      <c r="L198" s="26" t="n">
        <v>3956704</v>
      </c>
      <c r="M198" s="26" t="n">
        <v>3956704</v>
      </c>
      <c r="N198" s="26" t="n">
        <v>0</v>
      </c>
      <c r="O198" s="26" t="n">
        <v>0</v>
      </c>
      <c r="P198" s="26" t="n">
        <v>0</v>
      </c>
      <c r="Q198" s="26" t="n">
        <v>121963</v>
      </c>
      <c r="R198" s="26" t="n">
        <v>123012</v>
      </c>
      <c r="S198" s="26" t="n">
        <v>4201679</v>
      </c>
      <c r="T198" s="26" t="n">
        <v>3838003</v>
      </c>
      <c r="U198" s="26" t="n">
        <v>118304</v>
      </c>
      <c r="V198" s="26" t="n">
        <v>3956307</v>
      </c>
      <c r="W198" s="26" t="n">
        <v>4078667</v>
      </c>
      <c r="X198" s="27" t="n">
        <f aca="false">IF(V198=0,0,(W198-V198)/V198)</f>
        <v>0.0309278324457632</v>
      </c>
      <c r="Y198" s="26" t="n">
        <v>3956307</v>
      </c>
      <c r="Z198" s="26" t="n">
        <v>1060992979.64</v>
      </c>
      <c r="AA198" s="26" t="n">
        <v>1002692975.64</v>
      </c>
      <c r="AB198" s="28" t="n">
        <f aca="false">IF(B198=0,0,L198/B198*10000)</f>
        <v>2.9807416792072</v>
      </c>
      <c r="AC198" s="28" t="n">
        <f aca="false">IF(D198=0,0,M198/D198*10000)</f>
        <v>2.9807416792072</v>
      </c>
      <c r="AD198" s="28" t="n">
        <f aca="false">IF(C198=0,0,N198/C198*10000)</f>
        <v>0</v>
      </c>
      <c r="AE198" s="28" t="n">
        <f aca="false">IF(E198=0,0,Q198/E198*10000)</f>
        <v>2.31276296696904</v>
      </c>
    </row>
    <row r="199" customFormat="false" ht="15" hidden="false" customHeight="true" outlineLevel="0" collapsed="false">
      <c r="A199" s="7" t="s">
        <v>332</v>
      </c>
      <c r="B199" s="26" t="n">
        <v>17624890149</v>
      </c>
      <c r="C199" s="26" t="n">
        <v>0</v>
      </c>
      <c r="D199" s="26" t="n">
        <v>17624890149</v>
      </c>
      <c r="E199" s="26" t="n">
        <v>568382607</v>
      </c>
      <c r="F199" s="26" t="n">
        <v>0</v>
      </c>
      <c r="G199" s="26" t="n">
        <v>0</v>
      </c>
      <c r="H199" s="26" t="n">
        <v>0</v>
      </c>
      <c r="I199" s="26" t="n">
        <v>0</v>
      </c>
      <c r="J199" s="26" t="n">
        <v>0</v>
      </c>
      <c r="K199" s="26" t="n">
        <v>0</v>
      </c>
      <c r="L199" s="26" t="n">
        <v>4932050</v>
      </c>
      <c r="M199" s="26" t="n">
        <v>4932050</v>
      </c>
      <c r="N199" s="26" t="n">
        <v>0</v>
      </c>
      <c r="O199" s="26" t="n">
        <v>0</v>
      </c>
      <c r="P199" s="26" t="n">
        <v>0</v>
      </c>
      <c r="Q199" s="26" t="n">
        <v>126425</v>
      </c>
      <c r="R199" s="26" t="n">
        <v>151754</v>
      </c>
      <c r="S199" s="26" t="n">
        <v>5210229</v>
      </c>
      <c r="T199" s="26" t="n">
        <v>4784089</v>
      </c>
      <c r="U199" s="26" t="n">
        <v>122632</v>
      </c>
      <c r="V199" s="26" t="n">
        <v>4906721</v>
      </c>
      <c r="W199" s="26" t="n">
        <v>5058475</v>
      </c>
      <c r="X199" s="27" t="n">
        <f aca="false">IF(V199=0,0,(W199-V199)/V199)</f>
        <v>0.0309277825252343</v>
      </c>
      <c r="Y199" s="26" t="n">
        <v>4906721</v>
      </c>
      <c r="Z199" s="26" t="n">
        <v>1060992979.64</v>
      </c>
      <c r="AA199" s="26" t="n">
        <v>1002692975.64</v>
      </c>
      <c r="AB199" s="28" t="n">
        <f aca="false">IF(B199=0,0,L199/B199*10000)</f>
        <v>2.79834368231784</v>
      </c>
      <c r="AC199" s="28" t="n">
        <f aca="false">IF(D199=0,0,M199/D199*10000)</f>
        <v>2.79834368231784</v>
      </c>
      <c r="AD199" s="28" t="n">
        <f aca="false">IF(C199=0,0,N199/C199*10000)</f>
        <v>0</v>
      </c>
      <c r="AE199" s="28" t="n">
        <f aca="false">IF(E199=0,0,Q199/E199*10000)</f>
        <v>2.22429396049411</v>
      </c>
    </row>
    <row r="200" customFormat="false" ht="15" hidden="false" customHeight="true" outlineLevel="0" collapsed="false">
      <c r="A200" s="7" t="s">
        <v>333</v>
      </c>
      <c r="B200" s="26" t="n">
        <v>14792562336</v>
      </c>
      <c r="C200" s="26" t="n">
        <v>0</v>
      </c>
      <c r="D200" s="26" t="n">
        <v>14792562336</v>
      </c>
      <c r="E200" s="26" t="n">
        <v>482934022</v>
      </c>
      <c r="F200" s="26" t="n">
        <v>0</v>
      </c>
      <c r="G200" s="26" t="n">
        <v>0</v>
      </c>
      <c r="H200" s="26" t="n">
        <v>0</v>
      </c>
      <c r="I200" s="26" t="n">
        <v>0</v>
      </c>
      <c r="J200" s="26" t="n">
        <v>0</v>
      </c>
      <c r="K200" s="26" t="n">
        <v>0</v>
      </c>
      <c r="L200" s="26" t="n">
        <v>4375611</v>
      </c>
      <c r="M200" s="26" t="n">
        <v>4375611</v>
      </c>
      <c r="N200" s="26" t="n">
        <v>0</v>
      </c>
      <c r="O200" s="26" t="n">
        <v>0</v>
      </c>
      <c r="P200" s="26" t="n">
        <v>0</v>
      </c>
      <c r="Q200" s="26" t="n">
        <v>110036</v>
      </c>
      <c r="R200" s="26" t="n">
        <v>134569</v>
      </c>
      <c r="S200" s="26" t="n">
        <v>4620216</v>
      </c>
      <c r="T200" s="26" t="n">
        <v>4244343</v>
      </c>
      <c r="U200" s="26" t="n">
        <v>106735</v>
      </c>
      <c r="V200" s="26" t="n">
        <v>4351078</v>
      </c>
      <c r="W200" s="26" t="n">
        <v>4485647</v>
      </c>
      <c r="X200" s="27" t="n">
        <f aca="false">IF(V200=0,0,(W200-V200)/V200)</f>
        <v>0.0309277379077093</v>
      </c>
      <c r="Y200" s="26" t="n">
        <v>4351078</v>
      </c>
      <c r="Z200" s="26" t="n">
        <v>1258155058.08</v>
      </c>
      <c r="AA200" s="26" t="n">
        <v>1199855054.08</v>
      </c>
      <c r="AB200" s="28" t="n">
        <f aca="false">IF(B200=0,0,L200/B200*10000)</f>
        <v>2.9579804367978</v>
      </c>
      <c r="AC200" s="28" t="n">
        <f aca="false">IF(D200=0,0,M200/D200*10000)</f>
        <v>2.9579804367978</v>
      </c>
      <c r="AD200" s="28" t="n">
        <f aca="false">IF(C200=0,0,N200/C200*10000)</f>
        <v>0</v>
      </c>
      <c r="AE200" s="28" t="n">
        <f aca="false">IF(E200=0,0,Q200/E200*10000)</f>
        <v>2.27848929641159</v>
      </c>
    </row>
    <row r="201" customFormat="false" ht="15" hidden="false" customHeight="true" outlineLevel="0" collapsed="false">
      <c r="A201" s="7" t="s">
        <v>334</v>
      </c>
      <c r="B201" s="26" t="n">
        <v>16946528076</v>
      </c>
      <c r="C201" s="26" t="n">
        <v>0</v>
      </c>
      <c r="D201" s="26" t="n">
        <v>16946528076</v>
      </c>
      <c r="E201" s="26" t="n">
        <v>613486677</v>
      </c>
      <c r="F201" s="26" t="n">
        <v>0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0</v>
      </c>
      <c r="L201" s="26" t="n">
        <v>4857677</v>
      </c>
      <c r="M201" s="26" t="n">
        <v>4857677</v>
      </c>
      <c r="N201" s="26" t="n">
        <v>0</v>
      </c>
      <c r="O201" s="26" t="n">
        <v>0</v>
      </c>
      <c r="P201" s="26" t="n">
        <v>0</v>
      </c>
      <c r="Q201" s="26" t="n">
        <v>141592</v>
      </c>
      <c r="R201" s="26" t="n">
        <v>149978</v>
      </c>
      <c r="S201" s="26" t="n">
        <v>5149247</v>
      </c>
      <c r="T201" s="26" t="n">
        <v>4711947</v>
      </c>
      <c r="U201" s="26" t="n">
        <v>137344</v>
      </c>
      <c r="V201" s="26" t="n">
        <v>4849291</v>
      </c>
      <c r="W201" s="26" t="n">
        <v>4999269</v>
      </c>
      <c r="X201" s="27" t="n">
        <f aca="false">IF(V201=0,0,(W201-V201)/V201)</f>
        <v>0.0309278201700001</v>
      </c>
      <c r="Y201" s="26" t="n">
        <v>4849291</v>
      </c>
      <c r="Z201" s="26" t="n">
        <v>1258155058.08</v>
      </c>
      <c r="AA201" s="26" t="n">
        <v>1199855054.08</v>
      </c>
      <c r="AB201" s="28" t="n">
        <f aca="false">IF(B201=0,0,L201/B201*10000)</f>
        <v>2.86647328480194</v>
      </c>
      <c r="AC201" s="28" t="n">
        <f aca="false">IF(D201=0,0,M201/D201*10000)</f>
        <v>2.86647328480194</v>
      </c>
      <c r="AD201" s="28" t="n">
        <f aca="false">IF(C201=0,0,N201/C201*10000)</f>
        <v>0</v>
      </c>
      <c r="AE201" s="28" t="n">
        <f aca="false">IF(E201=0,0,Q201/E201*10000)</f>
        <v>2.30798818146136</v>
      </c>
    </row>
    <row r="202" customFormat="false" ht="15" hidden="false" customHeight="true" outlineLevel="0" collapsed="false">
      <c r="A202" s="7" t="s">
        <v>335</v>
      </c>
      <c r="B202" s="26" t="n">
        <v>17618968644</v>
      </c>
      <c r="C202" s="26" t="n">
        <v>0</v>
      </c>
      <c r="D202" s="26" t="n">
        <v>17618968644</v>
      </c>
      <c r="E202" s="26" t="n">
        <v>516622789</v>
      </c>
      <c r="F202" s="26" t="n">
        <v>0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  <c r="L202" s="26" t="n">
        <v>5054755</v>
      </c>
      <c r="M202" s="26" t="n">
        <v>5054755</v>
      </c>
      <c r="N202" s="26" t="n">
        <v>0</v>
      </c>
      <c r="O202" s="26" t="n">
        <v>0</v>
      </c>
      <c r="P202" s="26" t="n">
        <v>0</v>
      </c>
      <c r="Q202" s="26" t="n">
        <v>123230</v>
      </c>
      <c r="R202" s="26" t="n">
        <v>153347</v>
      </c>
      <c r="S202" s="26" t="n">
        <v>5331332</v>
      </c>
      <c r="T202" s="26" t="n">
        <v>4903112</v>
      </c>
      <c r="U202" s="26" t="n">
        <v>119533</v>
      </c>
      <c r="V202" s="26" t="n">
        <v>5022645</v>
      </c>
      <c r="W202" s="26" t="n">
        <v>5177985</v>
      </c>
      <c r="X202" s="27" t="n">
        <f aca="false">IF(V202=0,0,(W202-V202)/V202)</f>
        <v>0.0309279274167296</v>
      </c>
      <c r="Y202" s="26" t="n">
        <v>5022645</v>
      </c>
      <c r="Z202" s="26" t="n">
        <v>1258155058.08</v>
      </c>
      <c r="AA202" s="26" t="n">
        <v>1199855054.08</v>
      </c>
      <c r="AB202" s="28" t="n">
        <f aca="false">IF(B202=0,0,L202/B202*10000)</f>
        <v>2.86892785958919</v>
      </c>
      <c r="AC202" s="28" t="n">
        <f aca="false">IF(D202=0,0,M202/D202*10000)</f>
        <v>2.86892785958919</v>
      </c>
      <c r="AD202" s="28" t="n">
        <f aca="false">IF(C202=0,0,N202/C202*10000)</f>
        <v>0</v>
      </c>
      <c r="AE202" s="28" t="n">
        <f aca="false">IF(E202=0,0,Q202/E202*10000)</f>
        <v>2.38529934458621</v>
      </c>
    </row>
    <row r="203" customFormat="false" ht="15" hidden="false" customHeight="true" outlineLevel="0" collapsed="false">
      <c r="A203" s="7" t="s">
        <v>336</v>
      </c>
      <c r="B203" s="26" t="n">
        <v>5820366796</v>
      </c>
      <c r="C203" s="26" t="n">
        <v>0</v>
      </c>
      <c r="D203" s="26" t="n">
        <v>5820366796</v>
      </c>
      <c r="E203" s="26" t="n">
        <v>236243594</v>
      </c>
      <c r="F203" s="26" t="n">
        <v>0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  <c r="L203" s="26" t="n">
        <v>1678516</v>
      </c>
      <c r="M203" s="26" t="n">
        <v>1678516</v>
      </c>
      <c r="N203" s="26" t="n">
        <v>0</v>
      </c>
      <c r="O203" s="26" t="n">
        <v>0</v>
      </c>
      <c r="P203" s="26" t="n">
        <v>0</v>
      </c>
      <c r="Q203" s="26" t="n">
        <v>55845</v>
      </c>
      <c r="R203" s="26" t="n">
        <v>53635</v>
      </c>
      <c r="S203" s="26" t="n">
        <v>1787996</v>
      </c>
      <c r="T203" s="26" t="n">
        <v>1628160</v>
      </c>
      <c r="U203" s="26" t="n">
        <v>54170</v>
      </c>
      <c r="V203" s="26" t="n">
        <v>1682330</v>
      </c>
      <c r="W203" s="26" t="n">
        <v>1734361</v>
      </c>
      <c r="X203" s="27" t="n">
        <f aca="false">IF(V203=0,0,(W203-V203)/V203)</f>
        <v>0.0309279392271433</v>
      </c>
      <c r="Y203" s="26" t="n">
        <v>1682330</v>
      </c>
      <c r="Z203" s="26" t="n">
        <v>1258155058.08</v>
      </c>
      <c r="AA203" s="26" t="n">
        <v>1199855054.08</v>
      </c>
      <c r="AB203" s="28" t="n">
        <f aca="false">IF(B203=0,0,L203/B203*10000)</f>
        <v>2.8838663589957</v>
      </c>
      <c r="AC203" s="28" t="n">
        <f aca="false">IF(D203=0,0,M203/D203*10000)</f>
        <v>2.8838663589957</v>
      </c>
      <c r="AD203" s="28" t="n">
        <f aca="false">IF(C203=0,0,N203/C203*10000)</f>
        <v>0</v>
      </c>
      <c r="AE203" s="28" t="n">
        <f aca="false">IF(E203=0,0,Q203/E203*10000)</f>
        <v>2.36387362105573</v>
      </c>
    </row>
    <row r="204" customFormat="false" ht="15" hidden="false" customHeight="true" outlineLevel="0" collapsed="false">
      <c r="A204" s="7" t="s">
        <v>337</v>
      </c>
      <c r="B204" s="26" t="n">
        <v>11094793452</v>
      </c>
      <c r="C204" s="26" t="n">
        <v>0</v>
      </c>
      <c r="D204" s="26" t="n">
        <v>11094793452</v>
      </c>
      <c r="E204" s="26" t="n">
        <v>339236147</v>
      </c>
      <c r="F204" s="26" t="n">
        <v>0</v>
      </c>
      <c r="G204" s="26" t="n">
        <v>0</v>
      </c>
      <c r="H204" s="26" t="n">
        <v>0</v>
      </c>
      <c r="I204" s="26" t="n">
        <v>0</v>
      </c>
      <c r="J204" s="26" t="n">
        <v>0</v>
      </c>
      <c r="K204" s="26" t="n">
        <v>0</v>
      </c>
      <c r="L204" s="26" t="n">
        <v>3155348</v>
      </c>
      <c r="M204" s="26" t="n">
        <v>3155348</v>
      </c>
      <c r="N204" s="26" t="n">
        <v>0</v>
      </c>
      <c r="O204" s="26" t="n">
        <v>0</v>
      </c>
      <c r="P204" s="26" t="n">
        <v>0</v>
      </c>
      <c r="Q204" s="26" t="n">
        <v>67623</v>
      </c>
      <c r="R204" s="26" t="n">
        <v>96286</v>
      </c>
      <c r="S204" s="26" t="n">
        <v>3319257</v>
      </c>
      <c r="T204" s="26" t="n">
        <v>3060687</v>
      </c>
      <c r="U204" s="26" t="n">
        <v>65594</v>
      </c>
      <c r="V204" s="26" t="n">
        <v>3126281</v>
      </c>
      <c r="W204" s="26" t="n">
        <v>3222971</v>
      </c>
      <c r="X204" s="27" t="n">
        <f aca="false">IF(V204=0,0,(W204-V204)/V204)</f>
        <v>0.0309281219442526</v>
      </c>
      <c r="Y204" s="26" t="n">
        <v>3126281</v>
      </c>
      <c r="Z204" s="26" t="n">
        <v>1258155058.08</v>
      </c>
      <c r="AA204" s="26" t="n">
        <v>1199855054.08</v>
      </c>
      <c r="AB204" s="28" t="n">
        <f aca="false">IF(B204=0,0,L204/B204*10000)</f>
        <v>2.84398985312449</v>
      </c>
      <c r="AC204" s="28" t="n">
        <f aca="false">IF(D204=0,0,M204/D204*10000)</f>
        <v>2.84398985312449</v>
      </c>
      <c r="AD204" s="28" t="n">
        <f aca="false">IF(C204=0,0,N204/C204*10000)</f>
        <v>0</v>
      </c>
      <c r="AE204" s="28" t="n">
        <f aca="false">IF(E204=0,0,Q204/E204*10000)</f>
        <v>1.99339016782312</v>
      </c>
    </row>
    <row r="205" customFormat="false" ht="15" hidden="false" customHeight="true" outlineLevel="0" collapsed="false">
      <c r="A205" s="7" t="s">
        <v>338</v>
      </c>
      <c r="B205" s="26" t="n">
        <v>14975459040</v>
      </c>
      <c r="C205" s="26" t="n">
        <v>0</v>
      </c>
      <c r="D205" s="26" t="n">
        <v>14975459040</v>
      </c>
      <c r="E205" s="26" t="n">
        <v>427336704</v>
      </c>
      <c r="F205" s="26" t="n">
        <v>0</v>
      </c>
      <c r="G205" s="26" t="n">
        <v>0</v>
      </c>
      <c r="H205" s="26" t="n">
        <v>0</v>
      </c>
      <c r="I205" s="26" t="n">
        <v>0</v>
      </c>
      <c r="J205" s="26" t="n">
        <v>0</v>
      </c>
      <c r="K205" s="26" t="n">
        <v>0</v>
      </c>
      <c r="L205" s="26" t="n">
        <v>4174849</v>
      </c>
      <c r="M205" s="26" t="n">
        <v>4174849</v>
      </c>
      <c r="N205" s="26" t="n">
        <v>0</v>
      </c>
      <c r="O205" s="26" t="n">
        <v>0</v>
      </c>
      <c r="P205" s="26" t="n">
        <v>0</v>
      </c>
      <c r="Q205" s="26" t="n">
        <v>97640</v>
      </c>
      <c r="R205" s="26" t="n">
        <v>128966</v>
      </c>
      <c r="S205" s="26" t="n">
        <v>4401455</v>
      </c>
      <c r="T205" s="26" t="n">
        <v>4049603</v>
      </c>
      <c r="U205" s="26" t="n">
        <v>94711</v>
      </c>
      <c r="V205" s="26" t="n">
        <v>4144314</v>
      </c>
      <c r="W205" s="26" t="n">
        <v>4272489</v>
      </c>
      <c r="X205" s="27" t="n">
        <f aca="false">IF(V205=0,0,(W205-V205)/V205)</f>
        <v>0.0309279171414135</v>
      </c>
      <c r="Y205" s="26" t="n">
        <v>4144314</v>
      </c>
      <c r="Z205" s="26" t="n">
        <v>1258155058.08</v>
      </c>
      <c r="AA205" s="26" t="n">
        <v>1199855054.08</v>
      </c>
      <c r="AB205" s="28" t="n">
        <f aca="false">IF(B205=0,0,L205/B205*10000)</f>
        <v>2.78779367553864</v>
      </c>
      <c r="AC205" s="28" t="n">
        <f aca="false">IF(D205=0,0,M205/D205*10000)</f>
        <v>2.78779367553864</v>
      </c>
      <c r="AD205" s="28" t="n">
        <f aca="false">IF(C205=0,0,N205/C205*10000)</f>
        <v>0</v>
      </c>
      <c r="AE205" s="28" t="n">
        <f aca="false">IF(E205=0,0,Q205/E205*10000)</f>
        <v>2.28484937254536</v>
      </c>
    </row>
    <row r="206" customFormat="false" ht="15" hidden="false" customHeight="true" outlineLevel="0" collapsed="false">
      <c r="A206" s="7" t="s">
        <v>339</v>
      </c>
      <c r="B206" s="26" t="n">
        <v>17838525346</v>
      </c>
      <c r="C206" s="26" t="n">
        <v>0</v>
      </c>
      <c r="D206" s="26" t="n">
        <v>17838525346</v>
      </c>
      <c r="E206" s="26" t="n">
        <v>507977397</v>
      </c>
      <c r="F206" s="26" t="n">
        <v>0</v>
      </c>
      <c r="G206" s="26" t="n">
        <v>0</v>
      </c>
      <c r="H206" s="26" t="n">
        <v>0</v>
      </c>
      <c r="I206" s="26" t="n">
        <v>0</v>
      </c>
      <c r="J206" s="26" t="n">
        <v>0</v>
      </c>
      <c r="K206" s="26" t="n">
        <v>0</v>
      </c>
      <c r="L206" s="26" t="n">
        <v>4704879</v>
      </c>
      <c r="M206" s="26" t="n">
        <v>4704879</v>
      </c>
      <c r="N206" s="26" t="n">
        <v>0</v>
      </c>
      <c r="O206" s="26" t="n">
        <v>0</v>
      </c>
      <c r="P206" s="26" t="n">
        <v>0</v>
      </c>
      <c r="Q206" s="26" t="n">
        <v>105959</v>
      </c>
      <c r="R206" s="26" t="n">
        <v>144325</v>
      </c>
      <c r="S206" s="26" t="n">
        <v>4955163</v>
      </c>
      <c r="T206" s="26" t="n">
        <v>4563732</v>
      </c>
      <c r="U206" s="26" t="n">
        <v>102780</v>
      </c>
      <c r="V206" s="26" t="n">
        <v>4666512</v>
      </c>
      <c r="W206" s="26" t="n">
        <v>4810838</v>
      </c>
      <c r="X206" s="27" t="n">
        <f aca="false">IF(V206=0,0,(W206-V206)/V206)</f>
        <v>0.0309280250431157</v>
      </c>
      <c r="Y206" s="26" t="n">
        <v>4666512</v>
      </c>
      <c r="Z206" s="26" t="n">
        <v>1258155058.08</v>
      </c>
      <c r="AA206" s="26" t="n">
        <v>1199855054.08</v>
      </c>
      <c r="AB206" s="28" t="n">
        <f aca="false">IF(B206=0,0,L206/B206*10000)</f>
        <v>2.63748202765818</v>
      </c>
      <c r="AC206" s="28" t="n">
        <f aca="false">IF(D206=0,0,M206/D206*10000)</f>
        <v>2.63748202765818</v>
      </c>
      <c r="AD206" s="28" t="n">
        <f aca="false">IF(C206=0,0,N206/C206*10000)</f>
        <v>0</v>
      </c>
      <c r="AE206" s="28" t="n">
        <f aca="false">IF(E206=0,0,Q206/E206*10000)</f>
        <v>2.08589989684128</v>
      </c>
    </row>
    <row r="207" customFormat="false" ht="15" hidden="false" customHeight="true" outlineLevel="0" collapsed="false">
      <c r="A207" s="7" t="s">
        <v>340</v>
      </c>
      <c r="B207" s="26" t="n">
        <v>13701586092</v>
      </c>
      <c r="C207" s="26" t="n">
        <v>0</v>
      </c>
      <c r="D207" s="26" t="n">
        <v>13701586092</v>
      </c>
      <c r="E207" s="26" t="n">
        <v>456108455</v>
      </c>
      <c r="F207" s="26" t="n">
        <v>0</v>
      </c>
      <c r="G207" s="26" t="n">
        <v>0</v>
      </c>
      <c r="H207" s="26" t="n">
        <v>0</v>
      </c>
      <c r="I207" s="26" t="n">
        <v>0</v>
      </c>
      <c r="J207" s="26" t="n">
        <v>0</v>
      </c>
      <c r="K207" s="26" t="n">
        <v>0</v>
      </c>
      <c r="L207" s="26" t="n">
        <v>3893810</v>
      </c>
      <c r="M207" s="26" t="n">
        <v>3893810</v>
      </c>
      <c r="N207" s="26" t="n">
        <v>0</v>
      </c>
      <c r="O207" s="26" t="n">
        <v>0</v>
      </c>
      <c r="P207" s="26" t="n">
        <v>0</v>
      </c>
      <c r="Q207" s="26" t="n">
        <v>99943</v>
      </c>
      <c r="R207" s="26" t="n">
        <v>119813</v>
      </c>
      <c r="S207" s="26" t="n">
        <v>4113566</v>
      </c>
      <c r="T207" s="26" t="n">
        <v>3776995</v>
      </c>
      <c r="U207" s="26" t="n">
        <v>96945</v>
      </c>
      <c r="V207" s="26" t="n">
        <v>3873940</v>
      </c>
      <c r="W207" s="26" t="n">
        <v>3993753</v>
      </c>
      <c r="X207" s="27" t="n">
        <f aca="false">IF(V207=0,0,(W207-V207)/V207)</f>
        <v>0.030927944160209</v>
      </c>
      <c r="Y207" s="26" t="n">
        <v>3873940</v>
      </c>
      <c r="Z207" s="26" t="n">
        <v>1188585673.94</v>
      </c>
      <c r="AA207" s="26" t="n">
        <v>1130285669.94</v>
      </c>
      <c r="AB207" s="28" t="n">
        <f aca="false">IF(B207=0,0,L207/B207*10000)</f>
        <v>2.84186806830597</v>
      </c>
      <c r="AC207" s="28" t="n">
        <f aca="false">IF(D207=0,0,M207/D207*10000)</f>
        <v>2.84186806830597</v>
      </c>
      <c r="AD207" s="28" t="n">
        <f aca="false">IF(C207=0,0,N207/C207*10000)</f>
        <v>0</v>
      </c>
      <c r="AE207" s="28" t="n">
        <f aca="false">IF(E207=0,0,Q207/E207*10000)</f>
        <v>2.19121129863729</v>
      </c>
    </row>
    <row r="208" customFormat="false" ht="15" hidden="false" customHeight="true" outlineLevel="0" collapsed="false">
      <c r="A208" s="7" t="s">
        <v>341</v>
      </c>
      <c r="B208" s="26" t="n">
        <v>13304113055</v>
      </c>
      <c r="C208" s="26" t="n">
        <v>0</v>
      </c>
      <c r="D208" s="26" t="n">
        <v>13304113055</v>
      </c>
      <c r="E208" s="26" t="n">
        <v>400136463</v>
      </c>
      <c r="F208" s="26" t="n">
        <v>0</v>
      </c>
      <c r="G208" s="26" t="n">
        <v>0</v>
      </c>
      <c r="H208" s="26" t="n">
        <v>0</v>
      </c>
      <c r="I208" s="26" t="n">
        <v>0</v>
      </c>
      <c r="J208" s="26" t="n">
        <v>0</v>
      </c>
      <c r="K208" s="26" t="n">
        <v>0</v>
      </c>
      <c r="L208" s="26" t="n">
        <v>3684454</v>
      </c>
      <c r="M208" s="26" t="n">
        <v>3684454</v>
      </c>
      <c r="N208" s="26" t="n">
        <v>0</v>
      </c>
      <c r="O208" s="26" t="n">
        <v>0</v>
      </c>
      <c r="P208" s="26" t="n">
        <v>0</v>
      </c>
      <c r="Q208" s="26" t="n">
        <v>91205</v>
      </c>
      <c r="R208" s="26" t="n">
        <v>113270</v>
      </c>
      <c r="S208" s="26" t="n">
        <v>3888929</v>
      </c>
      <c r="T208" s="26" t="n">
        <v>3573921</v>
      </c>
      <c r="U208" s="26" t="n">
        <v>88469</v>
      </c>
      <c r="V208" s="26" t="n">
        <v>3662390</v>
      </c>
      <c r="W208" s="26" t="n">
        <v>3775659</v>
      </c>
      <c r="X208" s="27" t="n">
        <f aca="false">IF(V208=0,0,(W208-V208)/V208)</f>
        <v>0.0309276183038945</v>
      </c>
      <c r="Y208" s="26" t="n">
        <v>3662390</v>
      </c>
      <c r="Z208" s="26" t="n">
        <v>1188585673.94</v>
      </c>
      <c r="AA208" s="26" t="n">
        <v>1130285669.94</v>
      </c>
      <c r="AB208" s="28" t="n">
        <f aca="false">IF(B208=0,0,L208/B208*10000)</f>
        <v>2.76940971921108</v>
      </c>
      <c r="AC208" s="28" t="n">
        <f aca="false">IF(D208=0,0,M208/D208*10000)</f>
        <v>2.76940971921108</v>
      </c>
      <c r="AD208" s="28" t="n">
        <f aca="false">IF(C208=0,0,N208/C208*10000)</f>
        <v>0</v>
      </c>
      <c r="AE208" s="28" t="n">
        <f aca="false">IF(E208=0,0,Q208/E208*10000)</f>
        <v>2.279347383545</v>
      </c>
    </row>
    <row r="209" customFormat="false" ht="15" hidden="false" customHeight="true" outlineLevel="0" collapsed="false">
      <c r="A209" s="7" t="s">
        <v>342</v>
      </c>
      <c r="B209" s="26" t="n">
        <v>15995795265</v>
      </c>
      <c r="C209" s="26" t="n">
        <v>0</v>
      </c>
      <c r="D209" s="26" t="n">
        <v>15995795265</v>
      </c>
      <c r="E209" s="26" t="n">
        <v>407697636</v>
      </c>
      <c r="F209" s="26" t="n">
        <v>0</v>
      </c>
      <c r="G209" s="26" t="n">
        <v>0</v>
      </c>
      <c r="H209" s="26" t="n">
        <v>0</v>
      </c>
      <c r="I209" s="26" t="n">
        <v>0</v>
      </c>
      <c r="J209" s="26" t="n">
        <v>0</v>
      </c>
      <c r="K209" s="26" t="n">
        <v>0</v>
      </c>
      <c r="L209" s="26" t="n">
        <v>4314986</v>
      </c>
      <c r="M209" s="26" t="n">
        <v>4314986</v>
      </c>
      <c r="N209" s="26" t="n">
        <v>0</v>
      </c>
      <c r="O209" s="26" t="n">
        <v>0</v>
      </c>
      <c r="P209" s="26" t="n">
        <v>0</v>
      </c>
      <c r="Q209" s="26" t="n">
        <v>90407</v>
      </c>
      <c r="R209" s="26" t="n">
        <v>131700</v>
      </c>
      <c r="S209" s="26" t="n">
        <v>4537093</v>
      </c>
      <c r="T209" s="26" t="n">
        <v>4185537</v>
      </c>
      <c r="U209" s="26" t="n">
        <v>87695</v>
      </c>
      <c r="V209" s="26" t="n">
        <v>4273232</v>
      </c>
      <c r="W209" s="26" t="n">
        <v>4405393</v>
      </c>
      <c r="X209" s="27" t="n">
        <f aca="false">IF(V209=0,0,(W209-V209)/V209)</f>
        <v>0.030927644462084</v>
      </c>
      <c r="Y209" s="26" t="n">
        <v>4273232</v>
      </c>
      <c r="Z209" s="26" t="n">
        <v>1188585673.94</v>
      </c>
      <c r="AA209" s="26" t="n">
        <v>1130285669.94</v>
      </c>
      <c r="AB209" s="28" t="n">
        <f aca="false">IF(B209=0,0,L209/B209*10000)</f>
        <v>2.69757516179362</v>
      </c>
      <c r="AC209" s="28" t="n">
        <f aca="false">IF(D209=0,0,M209/D209*10000)</f>
        <v>2.69757516179362</v>
      </c>
      <c r="AD209" s="28" t="n">
        <f aca="false">IF(C209=0,0,N209/C209*10000)</f>
        <v>0</v>
      </c>
      <c r="AE209" s="28" t="n">
        <f aca="false">IF(E209=0,0,Q209/E209*10000)</f>
        <v>2.21750120719366</v>
      </c>
    </row>
    <row r="210" customFormat="false" ht="15" hidden="false" customHeight="true" outlineLevel="0" collapsed="false">
      <c r="A210" s="7" t="s">
        <v>343</v>
      </c>
      <c r="B210" s="26" t="n">
        <v>5515900254</v>
      </c>
      <c r="C210" s="26" t="n">
        <v>0</v>
      </c>
      <c r="D210" s="26" t="n">
        <v>5515900254</v>
      </c>
      <c r="E210" s="26" t="n">
        <v>234677785</v>
      </c>
      <c r="F210" s="26" t="n">
        <v>0</v>
      </c>
      <c r="G210" s="26" t="n">
        <v>0</v>
      </c>
      <c r="H210" s="26" t="n">
        <v>0</v>
      </c>
      <c r="I210" s="26" t="n">
        <v>0</v>
      </c>
      <c r="J210" s="26" t="n">
        <v>0</v>
      </c>
      <c r="K210" s="26" t="n">
        <v>0</v>
      </c>
      <c r="L210" s="26" t="n">
        <v>1613474</v>
      </c>
      <c r="M210" s="26" t="n">
        <v>1613474</v>
      </c>
      <c r="N210" s="26" t="n">
        <v>0</v>
      </c>
      <c r="O210" s="26" t="n">
        <v>0</v>
      </c>
      <c r="P210" s="26" t="n">
        <v>0</v>
      </c>
      <c r="Q210" s="26" t="n">
        <v>51478</v>
      </c>
      <c r="R210" s="26" t="n">
        <v>50050</v>
      </c>
      <c r="S210" s="26" t="n">
        <v>1715002</v>
      </c>
      <c r="T210" s="26" t="n">
        <v>1565070</v>
      </c>
      <c r="U210" s="26" t="n">
        <v>49934</v>
      </c>
      <c r="V210" s="26" t="n">
        <v>1615004</v>
      </c>
      <c r="W210" s="26" t="n">
        <v>1664952</v>
      </c>
      <c r="X210" s="27" t="n">
        <f aca="false">IF(V210=0,0,(W210-V210)/V210)</f>
        <v>0.0309274775790029</v>
      </c>
      <c r="Y210" s="26" t="n">
        <v>1615004</v>
      </c>
      <c r="Z210" s="26" t="n">
        <v>1188585673.94</v>
      </c>
      <c r="AA210" s="26" t="n">
        <v>1130285669.94</v>
      </c>
      <c r="AB210" s="28" t="n">
        <f aca="false">IF(B210=0,0,L210/B210*10000)</f>
        <v>2.92513266321295</v>
      </c>
      <c r="AC210" s="28" t="n">
        <f aca="false">IF(D210=0,0,M210/D210*10000)</f>
        <v>2.92513266321295</v>
      </c>
      <c r="AD210" s="28" t="n">
        <f aca="false">IF(C210=0,0,N210/C210*10000)</f>
        <v>0</v>
      </c>
      <c r="AE210" s="28" t="n">
        <f aca="false">IF(E210=0,0,Q210/E210*10000)</f>
        <v>2.19356084343475</v>
      </c>
    </row>
    <row r="211" customFormat="false" ht="15" hidden="false" customHeight="true" outlineLevel="0" collapsed="false">
      <c r="A211" s="7" t="s">
        <v>344</v>
      </c>
      <c r="B211" s="26" t="n">
        <v>7468075717</v>
      </c>
      <c r="C211" s="26" t="n">
        <v>0</v>
      </c>
      <c r="D211" s="26" t="n">
        <v>7468075717</v>
      </c>
      <c r="E211" s="26" t="n">
        <v>282995902</v>
      </c>
      <c r="F211" s="26" t="n">
        <v>0</v>
      </c>
      <c r="G211" s="26" t="n">
        <v>0</v>
      </c>
      <c r="H211" s="26" t="n">
        <v>0</v>
      </c>
      <c r="I211" s="26" t="n">
        <v>0</v>
      </c>
      <c r="J211" s="26" t="n">
        <v>0</v>
      </c>
      <c r="K211" s="26" t="n">
        <v>0</v>
      </c>
      <c r="L211" s="26" t="n">
        <v>2116150</v>
      </c>
      <c r="M211" s="26" t="n">
        <v>2116150</v>
      </c>
      <c r="N211" s="26" t="n">
        <v>0</v>
      </c>
      <c r="O211" s="26" t="n">
        <v>0</v>
      </c>
      <c r="P211" s="26" t="n">
        <v>0</v>
      </c>
      <c r="Q211" s="26" t="n">
        <v>63428</v>
      </c>
      <c r="R211" s="26" t="n">
        <v>64804</v>
      </c>
      <c r="S211" s="26" t="n">
        <v>2244382</v>
      </c>
      <c r="T211" s="26" t="n">
        <v>2052666</v>
      </c>
      <c r="U211" s="26" t="n">
        <v>61525</v>
      </c>
      <c r="V211" s="26" t="n">
        <v>2114191</v>
      </c>
      <c r="W211" s="26" t="n">
        <v>2179578</v>
      </c>
      <c r="X211" s="27" t="n">
        <f aca="false">IF(V211=0,0,(W211-V211)/V211)</f>
        <v>0.0309276692597783</v>
      </c>
      <c r="Y211" s="26" t="n">
        <v>2114191</v>
      </c>
      <c r="Z211" s="26" t="n">
        <v>1188585673.94</v>
      </c>
      <c r="AA211" s="26" t="n">
        <v>1130285669.94</v>
      </c>
      <c r="AB211" s="28" t="n">
        <f aca="false">IF(B211=0,0,L211/B211*10000)</f>
        <v>2.8335947306786</v>
      </c>
      <c r="AC211" s="28" t="n">
        <f aca="false">IF(D211=0,0,M211/D211*10000)</f>
        <v>2.8335947306786</v>
      </c>
      <c r="AD211" s="28" t="n">
        <f aca="false">IF(C211=0,0,N211/C211*10000)</f>
        <v>0</v>
      </c>
      <c r="AE211" s="28" t="n">
        <f aca="false">IF(E211=0,0,Q211/E211*10000)</f>
        <v>2.24130454016256</v>
      </c>
    </row>
    <row r="212" customFormat="false" ht="15" hidden="false" customHeight="true" outlineLevel="0" collapsed="false">
      <c r="A212" s="7" t="s">
        <v>345</v>
      </c>
      <c r="B212" s="26" t="n">
        <v>12377357275</v>
      </c>
      <c r="C212" s="26" t="n">
        <v>0</v>
      </c>
      <c r="D212" s="26" t="n">
        <v>12377357275</v>
      </c>
      <c r="E212" s="26" t="n">
        <v>457193092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0</v>
      </c>
      <c r="L212" s="26" t="n">
        <v>3374355</v>
      </c>
      <c r="M212" s="26" t="n">
        <v>3374355</v>
      </c>
      <c r="N212" s="26" t="n">
        <v>0</v>
      </c>
      <c r="O212" s="26" t="n">
        <v>0</v>
      </c>
      <c r="P212" s="26" t="n">
        <v>0</v>
      </c>
      <c r="Q212" s="26" t="n">
        <v>95834</v>
      </c>
      <c r="R212" s="26" t="n">
        <v>99571</v>
      </c>
      <c r="S212" s="26" t="n">
        <v>3569760</v>
      </c>
      <c r="T212" s="26" t="n">
        <v>3273124</v>
      </c>
      <c r="U212" s="26" t="n">
        <v>92959</v>
      </c>
      <c r="V212" s="26" t="n">
        <v>3366083</v>
      </c>
      <c r="W212" s="26" t="n">
        <v>3470189</v>
      </c>
      <c r="X212" s="27" t="n">
        <f aca="false">IF(V212=0,0,(W212-V212)/V212)</f>
        <v>0.0309279361204106</v>
      </c>
      <c r="Y212" s="26" t="n">
        <v>3366083</v>
      </c>
      <c r="Z212" s="26" t="n">
        <v>1188585673.94</v>
      </c>
      <c r="AA212" s="26" t="n">
        <v>1130285669.94</v>
      </c>
      <c r="AB212" s="28" t="n">
        <f aca="false">IF(B212=0,0,L212/B212*10000)</f>
        <v>2.72623220371572</v>
      </c>
      <c r="AC212" s="28" t="n">
        <f aca="false">IF(D212=0,0,M212/D212*10000)</f>
        <v>2.72623220371572</v>
      </c>
      <c r="AD212" s="28" t="n">
        <f aca="false">IF(C212=0,0,N212/C212*10000)</f>
        <v>0</v>
      </c>
      <c r="AE212" s="28" t="n">
        <f aca="false">IF(E212=0,0,Q212/E212*10000)</f>
        <v>2.09613840797052</v>
      </c>
    </row>
    <row r="213" customFormat="false" ht="15" hidden="false" customHeight="true" outlineLevel="0" collapsed="false">
      <c r="A213" s="7" t="s">
        <v>346</v>
      </c>
      <c r="B213" s="26" t="n">
        <v>11114488336</v>
      </c>
      <c r="C213" s="26" t="n">
        <v>0</v>
      </c>
      <c r="D213" s="26" t="n">
        <v>11114488336</v>
      </c>
      <c r="E213" s="26" t="n">
        <v>430369408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0</v>
      </c>
      <c r="L213" s="26" t="n">
        <v>3095010</v>
      </c>
      <c r="M213" s="26" t="n">
        <v>3095010</v>
      </c>
      <c r="N213" s="26" t="n">
        <v>0</v>
      </c>
      <c r="O213" s="26" t="n">
        <v>0</v>
      </c>
      <c r="P213" s="26" t="n">
        <v>0</v>
      </c>
      <c r="Q213" s="26" t="n">
        <v>89465</v>
      </c>
      <c r="R213" s="26" t="n">
        <v>101012</v>
      </c>
      <c r="S213" s="26" t="n">
        <v>3285487</v>
      </c>
      <c r="T213" s="26" t="n">
        <v>3002159</v>
      </c>
      <c r="U213" s="26" t="n">
        <v>86781</v>
      </c>
      <c r="V213" s="26" t="n">
        <v>3088940</v>
      </c>
      <c r="W213" s="26" t="n">
        <v>3184475</v>
      </c>
      <c r="X213" s="27" t="n">
        <f aca="false">IF(V213=0,0,(W213-V213)/V213)</f>
        <v>0.0309280853626163</v>
      </c>
      <c r="Y213" s="26" t="n">
        <v>3088940</v>
      </c>
      <c r="Z213" s="26" t="n">
        <v>1188585673.94</v>
      </c>
      <c r="AA213" s="26" t="n">
        <v>1130285669.94</v>
      </c>
      <c r="AB213" s="28" t="n">
        <f aca="false">IF(B213=0,0,L213/B213*10000)</f>
        <v>2.78466260113407</v>
      </c>
      <c r="AC213" s="28" t="n">
        <f aca="false">IF(D213=0,0,M213/D213*10000)</f>
        <v>2.78466260113407</v>
      </c>
      <c r="AD213" s="28" t="n">
        <f aca="false">IF(C213=0,0,N213/C213*10000)</f>
        <v>0</v>
      </c>
      <c r="AE213" s="28" t="n">
        <f aca="false">IF(E213=0,0,Q213/E213*10000)</f>
        <v>2.07879552628425</v>
      </c>
    </row>
    <row r="214" customFormat="false" ht="15" hidden="false" customHeight="true" outlineLevel="0" collapsed="false">
      <c r="A214" s="7" t="s">
        <v>347</v>
      </c>
      <c r="B214" s="26" t="n">
        <v>10074597724</v>
      </c>
      <c r="C214" s="26" t="n">
        <v>0</v>
      </c>
      <c r="D214" s="26" t="n">
        <v>10074597724</v>
      </c>
      <c r="E214" s="26" t="n">
        <v>417498308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0</v>
      </c>
      <c r="L214" s="26" t="n">
        <v>2740744</v>
      </c>
      <c r="M214" s="26" t="n">
        <v>2740744</v>
      </c>
      <c r="N214" s="26" t="n">
        <v>0</v>
      </c>
      <c r="O214" s="26" t="n">
        <v>0</v>
      </c>
      <c r="P214" s="26" t="n">
        <v>0</v>
      </c>
      <c r="Q214" s="26" t="n">
        <v>95401</v>
      </c>
      <c r="R214" s="26" t="n">
        <v>84531</v>
      </c>
      <c r="S214" s="26" t="n">
        <v>2920676</v>
      </c>
      <c r="T214" s="26" t="n">
        <v>2658522</v>
      </c>
      <c r="U214" s="26" t="n">
        <v>92539</v>
      </c>
      <c r="V214" s="26" t="n">
        <v>2751061</v>
      </c>
      <c r="W214" s="26" t="n">
        <v>2836145</v>
      </c>
      <c r="X214" s="27" t="n">
        <f aca="false">IF(V214=0,0,(W214-V214)/V214)</f>
        <v>0.0309277038931525</v>
      </c>
      <c r="Y214" s="26" t="n">
        <v>2751061</v>
      </c>
      <c r="Z214" s="26" t="n">
        <v>1155364356.64</v>
      </c>
      <c r="AA214" s="26" t="n">
        <v>1097064352.64</v>
      </c>
      <c r="AB214" s="28" t="n">
        <f aca="false">IF(B214=0,0,L214/B214*10000)</f>
        <v>2.72045006171405</v>
      </c>
      <c r="AC214" s="28" t="n">
        <f aca="false">IF(D214=0,0,M214/D214*10000)</f>
        <v>2.72045006171405</v>
      </c>
      <c r="AD214" s="28" t="n">
        <f aca="false">IF(C214=0,0,N214/C214*10000)</f>
        <v>0</v>
      </c>
      <c r="AE214" s="28" t="n">
        <f aca="false">IF(E214=0,0,Q214/E214*10000)</f>
        <v>2.28506315287869</v>
      </c>
    </row>
    <row r="215" customFormat="false" ht="15" hidden="false" customHeight="true" outlineLevel="0" collapsed="false">
      <c r="A215" s="7" t="s">
        <v>348</v>
      </c>
      <c r="B215" s="26" t="n">
        <v>11795960698</v>
      </c>
      <c r="C215" s="26" t="n">
        <v>0</v>
      </c>
      <c r="D215" s="26" t="n">
        <v>11795960698</v>
      </c>
      <c r="E215" s="26" t="n">
        <v>530574810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0</v>
      </c>
      <c r="L215" s="26" t="n">
        <v>3091571</v>
      </c>
      <c r="M215" s="26" t="n">
        <v>3091571</v>
      </c>
      <c r="N215" s="26" t="n">
        <v>0</v>
      </c>
      <c r="O215" s="26" t="n">
        <v>0</v>
      </c>
      <c r="P215" s="26" t="n">
        <v>0</v>
      </c>
      <c r="Q215" s="26" t="n">
        <v>116038</v>
      </c>
      <c r="R215" s="26" t="n">
        <v>96782</v>
      </c>
      <c r="S215" s="26" t="n">
        <v>3304391</v>
      </c>
      <c r="T215" s="26" t="n">
        <v>2998824</v>
      </c>
      <c r="U215" s="26" t="n">
        <v>112557</v>
      </c>
      <c r="V215" s="26" t="n">
        <v>3111381</v>
      </c>
      <c r="W215" s="26" t="n">
        <v>3207609</v>
      </c>
      <c r="X215" s="27" t="n">
        <f aca="false">IF(V215=0,0,(W215-V215)/V215)</f>
        <v>0.0309277455894987</v>
      </c>
      <c r="Y215" s="26" t="n">
        <v>3111381</v>
      </c>
      <c r="Z215" s="26" t="n">
        <v>1155364356.64</v>
      </c>
      <c r="AA215" s="26" t="n">
        <v>1097064352.64</v>
      </c>
      <c r="AB215" s="28" t="n">
        <f aca="false">IF(B215=0,0,L215/B215*10000)</f>
        <v>2.62087258439592</v>
      </c>
      <c r="AC215" s="28" t="n">
        <f aca="false">IF(D215=0,0,M215/D215*10000)</f>
        <v>2.62087258439592</v>
      </c>
      <c r="AD215" s="28" t="n">
        <f aca="false">IF(C215=0,0,N215/C215*10000)</f>
        <v>0</v>
      </c>
      <c r="AE215" s="28" t="n">
        <f aca="false">IF(E215=0,0,Q215/E215*10000)</f>
        <v>2.1870242954052</v>
      </c>
    </row>
    <row r="216" customFormat="false" ht="15" hidden="false" customHeight="true" outlineLevel="0" collapsed="false">
      <c r="A216" s="7" t="s">
        <v>349</v>
      </c>
      <c r="B216" s="26" t="n">
        <v>17794863496</v>
      </c>
      <c r="C216" s="26" t="n">
        <v>0</v>
      </c>
      <c r="D216" s="26" t="n">
        <v>17794863496</v>
      </c>
      <c r="E216" s="26" t="n">
        <v>559799982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0</v>
      </c>
      <c r="L216" s="26" t="n">
        <v>5744453</v>
      </c>
      <c r="M216" s="26" t="n">
        <v>5744453</v>
      </c>
      <c r="N216" s="26" t="n">
        <v>0</v>
      </c>
      <c r="O216" s="26" t="n">
        <v>0</v>
      </c>
      <c r="P216" s="26" t="n">
        <v>0</v>
      </c>
      <c r="Q216" s="26" t="n">
        <v>230825</v>
      </c>
      <c r="R216" s="26" t="n">
        <v>172119</v>
      </c>
      <c r="S216" s="26" t="n">
        <v>6147397</v>
      </c>
      <c r="T216" s="26" t="n">
        <v>5389544</v>
      </c>
      <c r="U216" s="26" t="n">
        <v>175624</v>
      </c>
      <c r="V216" s="26" t="n">
        <v>5565168</v>
      </c>
      <c r="W216" s="26" t="n">
        <v>5975278</v>
      </c>
      <c r="X216" s="27" t="n">
        <f aca="false">IF(V216=0,0,(W216-V216)/V216)</f>
        <v>0.073692294644115</v>
      </c>
      <c r="Y216" s="26" t="n">
        <v>5565168</v>
      </c>
      <c r="Z216" s="26" t="n">
        <v>1155364356.64</v>
      </c>
      <c r="AA216" s="26" t="n">
        <v>1097064352.64</v>
      </c>
      <c r="AB216" s="28" t="n">
        <f aca="false">IF(B216=0,0,L216/B216*10000)</f>
        <v>3.22815232681682</v>
      </c>
      <c r="AC216" s="28" t="n">
        <f aca="false">IF(D216=0,0,M216/D216*10000)</f>
        <v>3.22815232681682</v>
      </c>
      <c r="AD216" s="28" t="n">
        <f aca="false">IF(C216=0,0,N216/C216*10000)</f>
        <v>0</v>
      </c>
      <c r="AE216" s="28" t="n">
        <f aca="false">IF(E216=0,0,Q216/E216*10000)</f>
        <v>4.12334775673501</v>
      </c>
    </row>
    <row r="217" customFormat="false" ht="15" hidden="false" customHeight="true" outlineLevel="0" collapsed="false">
      <c r="A217" s="7" t="s">
        <v>350</v>
      </c>
      <c r="B217" s="26" t="n">
        <v>8486096262</v>
      </c>
      <c r="C217" s="26" t="n">
        <v>0</v>
      </c>
      <c r="D217" s="26" t="n">
        <v>8486096262</v>
      </c>
      <c r="E217" s="26" t="n">
        <v>276276534</v>
      </c>
      <c r="F217" s="26" t="n">
        <v>0</v>
      </c>
      <c r="G217" s="26" t="n">
        <v>0</v>
      </c>
      <c r="H217" s="26" t="n">
        <v>0</v>
      </c>
      <c r="I217" s="26" t="n">
        <v>0</v>
      </c>
      <c r="J217" s="26" t="n">
        <v>0</v>
      </c>
      <c r="K217" s="26" t="n">
        <v>0</v>
      </c>
      <c r="L217" s="26" t="n">
        <v>2659549</v>
      </c>
      <c r="M217" s="26" t="n">
        <v>2659549</v>
      </c>
      <c r="N217" s="26" t="n">
        <v>0</v>
      </c>
      <c r="O217" s="26" t="n">
        <v>0</v>
      </c>
      <c r="P217" s="26" t="n">
        <v>0</v>
      </c>
      <c r="Q217" s="26" t="n">
        <v>114760</v>
      </c>
      <c r="R217" s="26" t="n">
        <v>79532</v>
      </c>
      <c r="S217" s="26" t="n">
        <v>2853841</v>
      </c>
      <c r="T217" s="26" t="n">
        <v>2484641</v>
      </c>
      <c r="U217" s="26" t="n">
        <v>86900</v>
      </c>
      <c r="V217" s="26" t="n">
        <v>2571541</v>
      </c>
      <c r="W217" s="26" t="n">
        <v>2774309</v>
      </c>
      <c r="X217" s="27" t="n">
        <f aca="false">IF(V217=0,0,(W217-V217)/V217)</f>
        <v>0.0788507746911288</v>
      </c>
      <c r="Y217" s="26" t="n">
        <v>2571541</v>
      </c>
      <c r="Z217" s="26" t="n">
        <v>1155364356.64</v>
      </c>
      <c r="AA217" s="26" t="n">
        <v>1097064352.64</v>
      </c>
      <c r="AB217" s="28" t="n">
        <f aca="false">IF(B217=0,0,L217/B217*10000)</f>
        <v>3.13400757885487</v>
      </c>
      <c r="AC217" s="28" t="n">
        <f aca="false">IF(D217=0,0,M217/D217*10000)</f>
        <v>3.13400757885487</v>
      </c>
      <c r="AD217" s="28" t="n">
        <f aca="false">IF(C217=0,0,N217/C217*10000)</f>
        <v>0</v>
      </c>
      <c r="AE217" s="28" t="n">
        <f aca="false">IF(E217=0,0,Q217/E217*10000)</f>
        <v>4.15380916860641</v>
      </c>
    </row>
    <row r="218" customFormat="false" ht="15" hidden="false" customHeight="true" outlineLevel="0" collapsed="false">
      <c r="A218" s="7" t="s">
        <v>351</v>
      </c>
      <c r="B218" s="26" t="n">
        <v>5524678821</v>
      </c>
      <c r="C218" s="26" t="n">
        <v>0</v>
      </c>
      <c r="D218" s="26" t="n">
        <v>5524678821</v>
      </c>
      <c r="E218" s="26" t="n">
        <v>200603374</v>
      </c>
      <c r="F218" s="26" t="n">
        <v>0</v>
      </c>
      <c r="G218" s="26" t="n">
        <v>0</v>
      </c>
      <c r="H218" s="26" t="n">
        <v>0</v>
      </c>
      <c r="I218" s="26" t="n">
        <v>0</v>
      </c>
      <c r="J218" s="26" t="n">
        <v>0</v>
      </c>
      <c r="K218" s="26" t="n">
        <v>0</v>
      </c>
      <c r="L218" s="26" t="n">
        <v>1932558</v>
      </c>
      <c r="M218" s="26" t="n">
        <v>1932558</v>
      </c>
      <c r="N218" s="26" t="n">
        <v>0</v>
      </c>
      <c r="O218" s="26" t="n">
        <v>0</v>
      </c>
      <c r="P218" s="26" t="n">
        <v>0</v>
      </c>
      <c r="Q218" s="26" t="n">
        <v>90506</v>
      </c>
      <c r="R218" s="26" t="n">
        <v>57453</v>
      </c>
      <c r="S218" s="26" t="n">
        <v>2080517</v>
      </c>
      <c r="T218" s="26" t="n">
        <v>1788436</v>
      </c>
      <c r="U218" s="26" t="n">
        <v>69200</v>
      </c>
      <c r="V218" s="26" t="n">
        <v>1857636</v>
      </c>
      <c r="W218" s="26" t="n">
        <v>2023064</v>
      </c>
      <c r="X218" s="27" t="n">
        <f aca="false">IF(V218=0,0,(W218-V218)/V218)</f>
        <v>0.089052968396392</v>
      </c>
      <c r="Y218" s="26" t="n">
        <v>1857636</v>
      </c>
      <c r="Z218" s="26" t="n">
        <v>1155364356.64</v>
      </c>
      <c r="AA218" s="26" t="n">
        <v>1097064352.64</v>
      </c>
      <c r="AB218" s="28" t="n">
        <f aca="false">IF(B218=0,0,L218/B218*10000)</f>
        <v>3.49804588214993</v>
      </c>
      <c r="AC218" s="28" t="n">
        <f aca="false">IF(D218=0,0,M218/D218*10000)</f>
        <v>3.49804588214993</v>
      </c>
      <c r="AD218" s="28" t="n">
        <f aca="false">IF(C218=0,0,N218/C218*10000)</f>
        <v>0</v>
      </c>
      <c r="AE218" s="28" t="n">
        <f aca="false">IF(E218=0,0,Q218/E218*10000)</f>
        <v>4.51168882134555</v>
      </c>
    </row>
    <row r="219" customFormat="false" ht="15" hidden="false" customHeight="true" outlineLevel="0" collapsed="false">
      <c r="A219" s="7" t="s">
        <v>352</v>
      </c>
      <c r="B219" s="26" t="n">
        <v>9374172467</v>
      </c>
      <c r="C219" s="26" t="n">
        <v>0</v>
      </c>
      <c r="D219" s="26" t="n">
        <v>9374172467</v>
      </c>
      <c r="E219" s="26" t="n">
        <v>266825105</v>
      </c>
      <c r="F219" s="26" t="n">
        <v>0</v>
      </c>
      <c r="G219" s="26" t="n">
        <v>0</v>
      </c>
      <c r="H219" s="26" t="n">
        <v>0</v>
      </c>
      <c r="I219" s="26" t="n">
        <v>0</v>
      </c>
      <c r="J219" s="26" t="n">
        <v>0</v>
      </c>
      <c r="K219" s="26" t="n">
        <v>0</v>
      </c>
      <c r="L219" s="26" t="n">
        <v>2964314</v>
      </c>
      <c r="M219" s="26" t="n">
        <v>2964314</v>
      </c>
      <c r="N219" s="26" t="n">
        <v>0</v>
      </c>
      <c r="O219" s="26" t="n">
        <v>0</v>
      </c>
      <c r="P219" s="26" t="n">
        <v>0</v>
      </c>
      <c r="Q219" s="26" t="n">
        <v>106473</v>
      </c>
      <c r="R219" s="26" t="n">
        <v>87396</v>
      </c>
      <c r="S219" s="26" t="n">
        <v>3158183</v>
      </c>
      <c r="T219" s="26" t="n">
        <v>2749987</v>
      </c>
      <c r="U219" s="26" t="n">
        <v>75818</v>
      </c>
      <c r="V219" s="26" t="n">
        <v>2825805</v>
      </c>
      <c r="W219" s="26" t="n">
        <v>3070787</v>
      </c>
      <c r="X219" s="27" t="n">
        <f aca="false">IF(V219=0,0,(W219-V219)/V219)</f>
        <v>0.0866945879138865</v>
      </c>
      <c r="Y219" s="26" t="n">
        <v>2825805</v>
      </c>
      <c r="Z219" s="26" t="n">
        <v>1155364356.64</v>
      </c>
      <c r="AA219" s="26" t="n">
        <v>1097064352.64</v>
      </c>
      <c r="AB219" s="28" t="n">
        <f aca="false">IF(B219=0,0,L219/B219*10000)</f>
        <v>3.16221406255892</v>
      </c>
      <c r="AC219" s="28" t="n">
        <f aca="false">IF(D219=0,0,M219/D219*10000)</f>
        <v>3.16221406255892</v>
      </c>
      <c r="AD219" s="28" t="n">
        <f aca="false">IF(C219=0,0,N219/C219*10000)</f>
        <v>0</v>
      </c>
      <c r="AE219" s="28" t="n">
        <f aca="false">IF(E219=0,0,Q219/E219*10000)</f>
        <v>3.99036664859553</v>
      </c>
    </row>
    <row r="220" customFormat="false" ht="15" hidden="false" customHeight="true" outlineLevel="0" collapsed="false">
      <c r="A220" s="7" t="s">
        <v>353</v>
      </c>
      <c r="B220" s="26" t="n">
        <v>9709342276</v>
      </c>
      <c r="C220" s="26" t="n">
        <v>0</v>
      </c>
      <c r="D220" s="26" t="n">
        <v>9709342276</v>
      </c>
      <c r="E220" s="26" t="n">
        <v>287929944</v>
      </c>
      <c r="F220" s="26" t="n">
        <v>0</v>
      </c>
      <c r="G220" s="26" t="n">
        <v>0</v>
      </c>
      <c r="H220" s="26" t="n">
        <v>0</v>
      </c>
      <c r="I220" s="26" t="n">
        <v>0</v>
      </c>
      <c r="J220" s="26" t="n">
        <v>0</v>
      </c>
      <c r="K220" s="26" t="n">
        <v>0</v>
      </c>
      <c r="L220" s="26" t="n">
        <v>3247692</v>
      </c>
      <c r="M220" s="26" t="n">
        <v>3247692</v>
      </c>
      <c r="N220" s="26" t="n">
        <v>0</v>
      </c>
      <c r="O220" s="26" t="n">
        <v>0</v>
      </c>
      <c r="P220" s="26" t="n">
        <v>0</v>
      </c>
      <c r="Q220" s="26" t="n">
        <v>121622</v>
      </c>
      <c r="R220" s="26" t="n">
        <v>96220</v>
      </c>
      <c r="S220" s="26" t="n">
        <v>3465534</v>
      </c>
      <c r="T220" s="26" t="n">
        <v>3021041</v>
      </c>
      <c r="U220" s="26" t="n">
        <v>90076</v>
      </c>
      <c r="V220" s="26" t="n">
        <v>3111117</v>
      </c>
      <c r="W220" s="26" t="n">
        <v>3369314</v>
      </c>
      <c r="X220" s="27" t="n">
        <f aca="false">IF(V220=0,0,(W220-V220)/V220)</f>
        <v>0.082991735765643</v>
      </c>
      <c r="Y220" s="26" t="n">
        <v>3111117</v>
      </c>
      <c r="Z220" s="26" t="n">
        <v>1155364356.64</v>
      </c>
      <c r="AA220" s="26" t="n">
        <v>1097064352.64</v>
      </c>
      <c r="AB220" s="28" t="n">
        <f aca="false">IF(B220=0,0,L220/B220*10000)</f>
        <v>3.34491452425958</v>
      </c>
      <c r="AC220" s="28" t="n">
        <f aca="false">IF(D220=0,0,M220/D220*10000)</f>
        <v>3.34491452425958</v>
      </c>
      <c r="AD220" s="28" t="n">
        <f aca="false">IF(C220=0,0,N220/C220*10000)</f>
        <v>0</v>
      </c>
      <c r="AE220" s="28" t="n">
        <f aca="false">IF(E220=0,0,Q220/E220*10000)</f>
        <v>4.2240136024199</v>
      </c>
    </row>
    <row r="221" customFormat="false" ht="15" hidden="false" customHeight="true" outlineLevel="0" collapsed="false">
      <c r="A221" s="7" t="s">
        <v>354</v>
      </c>
      <c r="B221" s="26" t="n">
        <v>7735294609</v>
      </c>
      <c r="C221" s="26" t="n">
        <v>0</v>
      </c>
      <c r="D221" s="26" t="n">
        <v>7735294609</v>
      </c>
      <c r="E221" s="26" t="n">
        <v>215200534</v>
      </c>
      <c r="F221" s="26" t="n">
        <v>0</v>
      </c>
      <c r="G221" s="26" t="n">
        <v>0</v>
      </c>
      <c r="H221" s="26" t="n">
        <v>0</v>
      </c>
      <c r="I221" s="26" t="n">
        <v>0</v>
      </c>
      <c r="J221" s="26" t="n">
        <v>0</v>
      </c>
      <c r="K221" s="26" t="n">
        <v>0</v>
      </c>
      <c r="L221" s="26" t="n">
        <v>2423595</v>
      </c>
      <c r="M221" s="26" t="n">
        <v>2423595</v>
      </c>
      <c r="N221" s="26" t="n">
        <v>0</v>
      </c>
      <c r="O221" s="26" t="n">
        <v>0</v>
      </c>
      <c r="P221" s="26" t="n">
        <v>0</v>
      </c>
      <c r="Q221" s="26" t="n">
        <v>97146</v>
      </c>
      <c r="R221" s="26" t="n">
        <v>71884</v>
      </c>
      <c r="S221" s="26" t="n">
        <v>2592625</v>
      </c>
      <c r="T221" s="26" t="n">
        <v>2252566</v>
      </c>
      <c r="U221" s="26" t="n">
        <v>71671</v>
      </c>
      <c r="V221" s="26" t="n">
        <v>2324237</v>
      </c>
      <c r="W221" s="26" t="n">
        <v>2520741</v>
      </c>
      <c r="X221" s="27" t="n">
        <f aca="false">IF(V221=0,0,(W221-V221)/V221)</f>
        <v>0.0845455949629922</v>
      </c>
      <c r="Y221" s="26" t="n">
        <v>2324237</v>
      </c>
      <c r="Z221" s="26" t="n">
        <v>1069399319.52</v>
      </c>
      <c r="AA221" s="26" t="n">
        <v>1011099315.52</v>
      </c>
      <c r="AB221" s="28" t="n">
        <f aca="false">IF(B221=0,0,L221/B221*10000)</f>
        <v>3.13316443976181</v>
      </c>
      <c r="AC221" s="28" t="n">
        <f aca="false">IF(D221=0,0,M221/D221*10000)</f>
        <v>3.13316443976181</v>
      </c>
      <c r="AD221" s="28" t="n">
        <f aca="false">IF(C221=0,0,N221/C221*10000)</f>
        <v>0</v>
      </c>
      <c r="AE221" s="28" t="n">
        <f aca="false">IF(E221=0,0,Q221/E221*10000)</f>
        <v>4.51420812924191</v>
      </c>
    </row>
    <row r="222" customFormat="false" ht="15" hidden="false" customHeight="true" outlineLevel="0" collapsed="false">
      <c r="A222" s="7" t="s">
        <v>355</v>
      </c>
      <c r="B222" s="26" t="n">
        <v>10671814277</v>
      </c>
      <c r="C222" s="26" t="n">
        <v>0</v>
      </c>
      <c r="D222" s="26" t="n">
        <v>10671814277</v>
      </c>
      <c r="E222" s="26" t="n">
        <v>296746289</v>
      </c>
      <c r="F222" s="26" t="n">
        <v>0</v>
      </c>
      <c r="G222" s="26" t="n">
        <v>0</v>
      </c>
      <c r="H222" s="26" t="n">
        <v>0</v>
      </c>
      <c r="I222" s="26" t="n">
        <v>0</v>
      </c>
      <c r="J222" s="26" t="n">
        <v>0</v>
      </c>
      <c r="K222" s="26" t="n">
        <v>0</v>
      </c>
      <c r="L222" s="26" t="n">
        <v>3413306</v>
      </c>
      <c r="M222" s="26" t="n">
        <v>3413306</v>
      </c>
      <c r="N222" s="26" t="n">
        <v>0</v>
      </c>
      <c r="O222" s="26" t="n">
        <v>0</v>
      </c>
      <c r="P222" s="26" t="n">
        <v>0</v>
      </c>
      <c r="Q222" s="26" t="n">
        <v>115340</v>
      </c>
      <c r="R222" s="26" t="n">
        <v>101009</v>
      </c>
      <c r="S222" s="26" t="n">
        <v>3629655</v>
      </c>
      <c r="T222" s="26" t="n">
        <v>3180565</v>
      </c>
      <c r="U222" s="26" t="n">
        <v>85404</v>
      </c>
      <c r="V222" s="26" t="n">
        <v>3265969</v>
      </c>
      <c r="W222" s="26" t="n">
        <v>3528646</v>
      </c>
      <c r="X222" s="27" t="n">
        <f aca="false">IF(V222=0,0,(W222-V222)/V222)</f>
        <v>0.0804285037610584</v>
      </c>
      <c r="Y222" s="26" t="n">
        <v>3265969</v>
      </c>
      <c r="Z222" s="26" t="n">
        <v>1069399319.52</v>
      </c>
      <c r="AA222" s="26" t="n">
        <v>1011099315.52</v>
      </c>
      <c r="AB222" s="28" t="n">
        <f aca="false">IF(B222=0,0,L222/B222*10000)</f>
        <v>3.1984308491541</v>
      </c>
      <c r="AC222" s="28" t="n">
        <f aca="false">IF(D222=0,0,M222/D222*10000)</f>
        <v>3.1984308491541</v>
      </c>
      <c r="AD222" s="28" t="n">
        <f aca="false">IF(C222=0,0,N222/C222*10000)</f>
        <v>0</v>
      </c>
      <c r="AE222" s="28" t="n">
        <f aca="false">IF(E222=0,0,Q222/E222*10000)</f>
        <v>3.88682198482354</v>
      </c>
    </row>
    <row r="223" customFormat="false" ht="15" hidden="false" customHeight="true" outlineLevel="0" collapsed="false">
      <c r="A223" s="7" t="s">
        <v>356</v>
      </c>
      <c r="B223" s="26" t="n">
        <v>10854503965</v>
      </c>
      <c r="C223" s="26" t="n">
        <v>0</v>
      </c>
      <c r="D223" s="26" t="n">
        <v>10854503965</v>
      </c>
      <c r="E223" s="26" t="n">
        <v>263816934</v>
      </c>
      <c r="F223" s="26" t="n">
        <v>0</v>
      </c>
      <c r="G223" s="26" t="n">
        <v>0</v>
      </c>
      <c r="H223" s="26" t="n">
        <v>0</v>
      </c>
      <c r="I223" s="26" t="n">
        <v>0</v>
      </c>
      <c r="J223" s="26" t="n">
        <v>0</v>
      </c>
      <c r="K223" s="26" t="n">
        <v>0</v>
      </c>
      <c r="L223" s="26" t="n">
        <v>3546602</v>
      </c>
      <c r="M223" s="26" t="n">
        <v>3546602</v>
      </c>
      <c r="N223" s="26" t="n">
        <v>0</v>
      </c>
      <c r="O223" s="26" t="n">
        <v>0</v>
      </c>
      <c r="P223" s="26" t="n">
        <v>0</v>
      </c>
      <c r="Q223" s="26" t="n">
        <v>116628</v>
      </c>
      <c r="R223" s="26" t="n">
        <v>104673</v>
      </c>
      <c r="S223" s="26" t="n">
        <v>3767903</v>
      </c>
      <c r="T223" s="26" t="n">
        <v>3301767</v>
      </c>
      <c r="U223" s="26" t="n">
        <v>82659</v>
      </c>
      <c r="V223" s="26" t="n">
        <v>3384426</v>
      </c>
      <c r="W223" s="26" t="n">
        <v>3663230</v>
      </c>
      <c r="X223" s="27" t="n">
        <f aca="false">IF(V223=0,0,(W223-V223)/V223)</f>
        <v>0.0823785185434694</v>
      </c>
      <c r="Y223" s="26" t="n">
        <v>3384426</v>
      </c>
      <c r="Z223" s="26" t="n">
        <v>1069399319.52</v>
      </c>
      <c r="AA223" s="26" t="n">
        <v>1011099315.52</v>
      </c>
      <c r="AB223" s="28" t="n">
        <f aca="false">IF(B223=0,0,L223/B223*10000)</f>
        <v>3.26740126627242</v>
      </c>
      <c r="AC223" s="28" t="n">
        <f aca="false">IF(D223=0,0,M223/D223*10000)</f>
        <v>3.26740126627242</v>
      </c>
      <c r="AD223" s="28" t="n">
        <f aca="false">IF(C223=0,0,N223/C223*10000)</f>
        <v>0</v>
      </c>
      <c r="AE223" s="28" t="n">
        <f aca="false">IF(E223=0,0,Q223/E223*10000)</f>
        <v>4.42079279111022</v>
      </c>
    </row>
    <row r="224" customFormat="false" ht="15" hidden="false" customHeight="true" outlineLevel="0" collapsed="false">
      <c r="A224" s="7" t="s">
        <v>357</v>
      </c>
      <c r="B224" s="26" t="n">
        <v>10165342470</v>
      </c>
      <c r="C224" s="26" t="n">
        <v>0</v>
      </c>
      <c r="D224" s="26" t="n">
        <v>10165342470</v>
      </c>
      <c r="E224" s="26" t="n">
        <v>340639673</v>
      </c>
      <c r="F224" s="26" t="n">
        <v>0</v>
      </c>
      <c r="G224" s="26" t="n">
        <v>0</v>
      </c>
      <c r="H224" s="26" t="n">
        <v>0</v>
      </c>
      <c r="I224" s="26" t="n">
        <v>0</v>
      </c>
      <c r="J224" s="26" t="n">
        <v>0</v>
      </c>
      <c r="K224" s="26" t="n">
        <v>0</v>
      </c>
      <c r="L224" s="26" t="n">
        <v>3444570</v>
      </c>
      <c r="M224" s="26" t="n">
        <v>3444570</v>
      </c>
      <c r="N224" s="26" t="n">
        <v>0</v>
      </c>
      <c r="O224" s="26" t="n">
        <v>0</v>
      </c>
      <c r="P224" s="26" t="n">
        <v>0</v>
      </c>
      <c r="Q224" s="26" t="n">
        <v>148257</v>
      </c>
      <c r="R224" s="26" t="n">
        <v>101487</v>
      </c>
      <c r="S224" s="26" t="n">
        <v>3694314</v>
      </c>
      <c r="T224" s="26" t="n">
        <v>3174216</v>
      </c>
      <c r="U224" s="26" t="n">
        <v>107206</v>
      </c>
      <c r="V224" s="26" t="n">
        <v>3281422</v>
      </c>
      <c r="W224" s="26" t="n">
        <v>3592827</v>
      </c>
      <c r="X224" s="27" t="n">
        <f aca="false">IF(V224=0,0,(W224-V224)/V224)</f>
        <v>0.094899406415877</v>
      </c>
      <c r="Y224" s="26" t="n">
        <v>3281422</v>
      </c>
      <c r="Z224" s="26" t="n">
        <v>1069399319.52</v>
      </c>
      <c r="AA224" s="26" t="n">
        <v>1011099315.52</v>
      </c>
      <c r="AB224" s="28" t="n">
        <f aca="false">IF(B224=0,0,L224/B224*10000)</f>
        <v>3.38854299318063</v>
      </c>
      <c r="AC224" s="28" t="n">
        <f aca="false">IF(D224=0,0,M224/D224*10000)</f>
        <v>3.38854299318063</v>
      </c>
      <c r="AD224" s="28" t="n">
        <f aca="false">IF(C224=0,0,N224/C224*10000)</f>
        <v>0</v>
      </c>
      <c r="AE224" s="28" t="n">
        <f aca="false">IF(E224=0,0,Q224/E224*10000)</f>
        <v>4.35231159935971</v>
      </c>
    </row>
    <row r="225" customFormat="false" ht="15" hidden="false" customHeight="true" outlineLevel="0" collapsed="false">
      <c r="A225" s="7" t="s">
        <v>358</v>
      </c>
      <c r="B225" s="26" t="n">
        <v>9942471761</v>
      </c>
      <c r="C225" s="26" t="n">
        <v>0</v>
      </c>
      <c r="D225" s="26" t="n">
        <v>9942471761</v>
      </c>
      <c r="E225" s="26" t="n">
        <v>243820189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0</v>
      </c>
      <c r="L225" s="26" t="n">
        <v>3161602</v>
      </c>
      <c r="M225" s="26" t="n">
        <v>3161602</v>
      </c>
      <c r="N225" s="26" t="n">
        <v>0</v>
      </c>
      <c r="O225" s="26" t="n">
        <v>0</v>
      </c>
      <c r="P225" s="26" t="n">
        <v>0</v>
      </c>
      <c r="Q225" s="26" t="n">
        <v>121824</v>
      </c>
      <c r="R225" s="26" t="n">
        <v>91972</v>
      </c>
      <c r="S225" s="26" t="n">
        <v>3375398</v>
      </c>
      <c r="T225" s="26" t="n">
        <v>2887513</v>
      </c>
      <c r="U225" s="26" t="n">
        <v>86249</v>
      </c>
      <c r="V225" s="26" t="n">
        <v>2973762</v>
      </c>
      <c r="W225" s="26" t="n">
        <v>3283426</v>
      </c>
      <c r="X225" s="27" t="n">
        <f aca="false">IF(V225=0,0,(W225-V225)/V225)</f>
        <v>0.104132072438884</v>
      </c>
      <c r="Y225" s="26" t="n">
        <v>2973762</v>
      </c>
      <c r="Z225" s="26" t="n">
        <v>1069399319.52</v>
      </c>
      <c r="AA225" s="26" t="n">
        <v>1011099315.52</v>
      </c>
      <c r="AB225" s="28" t="n">
        <f aca="false">IF(B225=0,0,L225/B225*10000)</f>
        <v>3.17989537813081</v>
      </c>
      <c r="AC225" s="28" t="n">
        <f aca="false">IF(D225=0,0,M225/D225*10000)</f>
        <v>3.17989537813081</v>
      </c>
      <c r="AD225" s="28" t="n">
        <f aca="false">IF(C225=0,0,N225/C225*10000)</f>
        <v>0</v>
      </c>
      <c r="AE225" s="28" t="n">
        <f aca="false">IF(E225=0,0,Q225/E225*10000)</f>
        <v>4.99646893473616</v>
      </c>
    </row>
    <row r="226" customFormat="false" ht="15" hidden="false" customHeight="true" outlineLevel="0" collapsed="false">
      <c r="A226" s="7" t="s">
        <v>359</v>
      </c>
      <c r="B226" s="26" t="n">
        <v>16377970064</v>
      </c>
      <c r="C226" s="26" t="n">
        <v>0</v>
      </c>
      <c r="D226" s="26" t="n">
        <v>16377970064</v>
      </c>
      <c r="E226" s="26" t="n">
        <v>424455183</v>
      </c>
      <c r="F226" s="26" t="n">
        <v>0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  <c r="L226" s="26" t="n">
        <v>5447443</v>
      </c>
      <c r="M226" s="26" t="n">
        <v>5447443</v>
      </c>
      <c r="N226" s="26" t="n">
        <v>0</v>
      </c>
      <c r="O226" s="26" t="n">
        <v>0</v>
      </c>
      <c r="P226" s="26" t="n">
        <v>0</v>
      </c>
      <c r="Q226" s="26" t="n">
        <v>199959</v>
      </c>
      <c r="R226" s="26" t="n">
        <v>160384</v>
      </c>
      <c r="S226" s="26" t="n">
        <v>5807786</v>
      </c>
      <c r="T226" s="26" t="n">
        <v>5038982</v>
      </c>
      <c r="U226" s="26" t="n">
        <v>146784</v>
      </c>
      <c r="V226" s="26" t="n">
        <v>5185766</v>
      </c>
      <c r="W226" s="26" t="n">
        <v>5647402</v>
      </c>
      <c r="X226" s="27" t="n">
        <f aca="false">IF(V226=0,0,(W226-V226)/V226)</f>
        <v>0.0890198285074953</v>
      </c>
      <c r="Y226" s="26" t="n">
        <v>5185766</v>
      </c>
      <c r="Z226" s="26" t="n">
        <v>1069399319.52</v>
      </c>
      <c r="AA226" s="26" t="n">
        <v>1011099315.52</v>
      </c>
      <c r="AB226" s="28" t="n">
        <f aca="false">IF(B226=0,0,L226/B226*10000)</f>
        <v>3.32607947060172</v>
      </c>
      <c r="AC226" s="28" t="n">
        <f aca="false">IF(D226=0,0,M226/D226*10000)</f>
        <v>3.32607947060172</v>
      </c>
      <c r="AD226" s="28" t="n">
        <f aca="false">IF(C226=0,0,N226/C226*10000)</f>
        <v>0</v>
      </c>
      <c r="AE226" s="28" t="n">
        <f aca="false">IF(E226=0,0,Q226/E226*10000)</f>
        <v>4.71095672779192</v>
      </c>
    </row>
    <row r="227" customFormat="false" ht="15" hidden="false" customHeight="true" outlineLevel="0" collapsed="false">
      <c r="A227" s="7" t="s">
        <v>360</v>
      </c>
      <c r="B227" s="26" t="n">
        <v>16072256076</v>
      </c>
      <c r="C227" s="26" t="n">
        <v>0</v>
      </c>
      <c r="D227" s="26" t="n">
        <v>16072256076</v>
      </c>
      <c r="E227" s="26" t="n">
        <v>460996255</v>
      </c>
      <c r="F227" s="26" t="n">
        <v>0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  <c r="L227" s="26" t="n">
        <v>5387523</v>
      </c>
      <c r="M227" s="26" t="n">
        <v>5387523</v>
      </c>
      <c r="N227" s="26" t="n">
        <v>0</v>
      </c>
      <c r="O227" s="26" t="n">
        <v>0</v>
      </c>
      <c r="P227" s="26" t="n">
        <v>0</v>
      </c>
      <c r="Q227" s="26" t="n">
        <v>233886</v>
      </c>
      <c r="R227" s="26" t="n">
        <v>158475</v>
      </c>
      <c r="S227" s="26" t="n">
        <v>5779884</v>
      </c>
      <c r="T227" s="26" t="n">
        <v>4957134</v>
      </c>
      <c r="U227" s="26" t="n">
        <v>166903</v>
      </c>
      <c r="V227" s="26" t="n">
        <v>5124037</v>
      </c>
      <c r="W227" s="26" t="n">
        <v>5621409</v>
      </c>
      <c r="X227" s="27" t="n">
        <f aca="false">IF(V227=0,0,(W227-V227)/V227)</f>
        <v>0.0970664341416739</v>
      </c>
      <c r="Y227" s="26" t="n">
        <v>5124037</v>
      </c>
      <c r="Z227" s="26" t="n">
        <v>1069399319.52</v>
      </c>
      <c r="AA227" s="26" t="n">
        <v>1011099315.52</v>
      </c>
      <c r="AB227" s="28" t="n">
        <f aca="false">IF(B227=0,0,L227/B227*10000)</f>
        <v>3.35206393833219</v>
      </c>
      <c r="AC227" s="28" t="n">
        <f aca="false">IF(D227=0,0,M227/D227*10000)</f>
        <v>3.35206393833219</v>
      </c>
      <c r="AD227" s="28" t="n">
        <f aca="false">IF(C227=0,0,N227/C227*10000)</f>
        <v>0</v>
      </c>
      <c r="AE227" s="28" t="n">
        <f aca="false">IF(E227=0,0,Q227/E227*10000)</f>
        <v>5.07349023909099</v>
      </c>
    </row>
    <row r="228" customFormat="false" ht="15" hidden="false" customHeight="true" outlineLevel="0" collapsed="false">
      <c r="A228" s="7" t="s">
        <v>361</v>
      </c>
      <c r="B228" s="26" t="n">
        <v>20084990917</v>
      </c>
      <c r="C228" s="26" t="n">
        <v>0</v>
      </c>
      <c r="D228" s="26" t="n">
        <v>20084990917</v>
      </c>
      <c r="E228" s="26" t="n">
        <v>682784480</v>
      </c>
      <c r="F228" s="26" t="n">
        <v>0</v>
      </c>
      <c r="G228" s="26" t="n">
        <v>0</v>
      </c>
      <c r="H228" s="26" t="n">
        <v>0</v>
      </c>
      <c r="I228" s="26" t="n">
        <v>0</v>
      </c>
      <c r="J228" s="26" t="n">
        <v>0</v>
      </c>
      <c r="K228" s="26" t="n">
        <v>0</v>
      </c>
      <c r="L228" s="26" t="n">
        <v>6609729</v>
      </c>
      <c r="M228" s="26" t="n">
        <v>6609729</v>
      </c>
      <c r="N228" s="26" t="n">
        <v>0</v>
      </c>
      <c r="O228" s="26" t="n">
        <v>0</v>
      </c>
      <c r="P228" s="26" t="n">
        <v>0</v>
      </c>
      <c r="Q228" s="26" t="n">
        <v>335687</v>
      </c>
      <c r="R228" s="26" t="n">
        <v>194393</v>
      </c>
      <c r="S228" s="26" t="n">
        <v>7139809</v>
      </c>
      <c r="T228" s="26" t="n">
        <v>6042093</v>
      </c>
      <c r="U228" s="26" t="n">
        <v>243291</v>
      </c>
      <c r="V228" s="26" t="n">
        <v>6285384</v>
      </c>
      <c r="W228" s="26" t="n">
        <v>6945416</v>
      </c>
      <c r="X228" s="27" t="n">
        <f aca="false">IF(V228=0,0,(W228-V228)/V228)</f>
        <v>0.105010608739259</v>
      </c>
      <c r="Y228" s="26" t="n">
        <v>6285384</v>
      </c>
      <c r="Z228" s="26" t="n">
        <v>1365298550.49</v>
      </c>
      <c r="AA228" s="26" t="n">
        <v>1306998546.49</v>
      </c>
      <c r="AB228" s="28" t="n">
        <f aca="false">IF(B228=0,0,L228/B228*10000)</f>
        <v>3.29087975559178</v>
      </c>
      <c r="AC228" s="28" t="n">
        <f aca="false">IF(D228=0,0,M228/D228*10000)</f>
        <v>3.29087975559178</v>
      </c>
      <c r="AD228" s="28" t="n">
        <f aca="false">IF(C228=0,0,N228/C228*10000)</f>
        <v>0</v>
      </c>
      <c r="AE228" s="28" t="n">
        <f aca="false">IF(E228=0,0,Q228/E228*10000)</f>
        <v>4.91644156879489</v>
      </c>
    </row>
    <row r="229" customFormat="false" ht="15" hidden="false" customHeight="true" outlineLevel="0" collapsed="false">
      <c r="A229" s="7" t="s">
        <v>362</v>
      </c>
      <c r="B229" s="26" t="n">
        <v>25159656527</v>
      </c>
      <c r="C229" s="26" t="n">
        <v>0</v>
      </c>
      <c r="D229" s="26" t="n">
        <v>25159656527</v>
      </c>
      <c r="E229" s="26" t="n">
        <v>709107017</v>
      </c>
      <c r="F229" s="26" t="n">
        <v>0</v>
      </c>
      <c r="G229" s="26" t="n">
        <v>0</v>
      </c>
      <c r="H229" s="26" t="n">
        <v>0</v>
      </c>
      <c r="I229" s="26" t="n">
        <v>0</v>
      </c>
      <c r="J229" s="26" t="n">
        <v>0</v>
      </c>
      <c r="K229" s="26" t="n">
        <v>0</v>
      </c>
      <c r="L229" s="26" t="n">
        <v>8956335</v>
      </c>
      <c r="M229" s="26" t="n">
        <v>8956335</v>
      </c>
      <c r="N229" s="26" t="n">
        <v>0</v>
      </c>
      <c r="O229" s="26" t="n">
        <v>0</v>
      </c>
      <c r="P229" s="26" t="n">
        <v>0</v>
      </c>
      <c r="Q229" s="26" t="n">
        <v>352410</v>
      </c>
      <c r="R229" s="26" t="n">
        <v>263301</v>
      </c>
      <c r="S229" s="26" t="n">
        <v>9572046</v>
      </c>
      <c r="T229" s="26" t="n">
        <v>8254523</v>
      </c>
      <c r="U229" s="26" t="n">
        <v>258882</v>
      </c>
      <c r="V229" s="26" t="n">
        <v>8513405</v>
      </c>
      <c r="W229" s="26" t="n">
        <v>9308745</v>
      </c>
      <c r="X229" s="27" t="n">
        <f aca="false">IF(V229=0,0,(W229-V229)/V229)</f>
        <v>0.0934220796496819</v>
      </c>
      <c r="Y229" s="26" t="n">
        <v>8513405</v>
      </c>
      <c r="Z229" s="26" t="n">
        <v>1365298550.49</v>
      </c>
      <c r="AA229" s="26" t="n">
        <v>1306998546.49</v>
      </c>
      <c r="AB229" s="28" t="n">
        <f aca="false">IF(B229=0,0,L229/B229*10000)</f>
        <v>3.55980018661564</v>
      </c>
      <c r="AC229" s="28" t="n">
        <f aca="false">IF(D229=0,0,M229/D229*10000)</f>
        <v>3.55980018661564</v>
      </c>
      <c r="AD229" s="28" t="n">
        <f aca="false">IF(C229=0,0,N229/C229*10000)</f>
        <v>0</v>
      </c>
      <c r="AE229" s="28" t="n">
        <f aca="false">IF(E229=0,0,Q229/E229*10000)</f>
        <v>4.96977172064848</v>
      </c>
    </row>
    <row r="230" customFormat="false" ht="15" hidden="false" customHeight="true" outlineLevel="0" collapsed="false">
      <c r="A230" s="7" t="s">
        <v>363</v>
      </c>
      <c r="B230" s="26" t="n">
        <v>13643580936</v>
      </c>
      <c r="C230" s="26" t="n">
        <v>0</v>
      </c>
      <c r="D230" s="26" t="n">
        <v>13643580936</v>
      </c>
      <c r="E230" s="26" t="n">
        <v>544810036</v>
      </c>
      <c r="F230" s="26" t="n">
        <v>0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  <c r="L230" s="26" t="n">
        <v>4660027</v>
      </c>
      <c r="M230" s="26" t="n">
        <v>4660027</v>
      </c>
      <c r="N230" s="26" t="n">
        <v>0</v>
      </c>
      <c r="O230" s="26" t="n">
        <v>0</v>
      </c>
      <c r="P230" s="26" t="n">
        <v>0</v>
      </c>
      <c r="Q230" s="26" t="n">
        <v>277797</v>
      </c>
      <c r="R230" s="26" t="n">
        <v>137467</v>
      </c>
      <c r="S230" s="26" t="n">
        <v>5075291</v>
      </c>
      <c r="T230" s="26" t="n">
        <v>4231064</v>
      </c>
      <c r="U230" s="26" t="n">
        <v>213695</v>
      </c>
      <c r="V230" s="26" t="n">
        <v>4444759</v>
      </c>
      <c r="W230" s="26" t="n">
        <v>4937824</v>
      </c>
      <c r="X230" s="27" t="n">
        <f aca="false">IF(V230=0,0,(W230-V230)/V230)</f>
        <v>0.110931773803709</v>
      </c>
      <c r="Y230" s="26" t="n">
        <v>4444759</v>
      </c>
      <c r="Z230" s="26" t="n">
        <v>1365298550.49</v>
      </c>
      <c r="AA230" s="26" t="n">
        <v>1306998546.49</v>
      </c>
      <c r="AB230" s="28" t="n">
        <f aca="false">IF(B230=0,0,L230/B230*10000)</f>
        <v>3.41554539226871</v>
      </c>
      <c r="AC230" s="28" t="n">
        <f aca="false">IF(D230=0,0,M230/D230*10000)</f>
        <v>3.41554539226871</v>
      </c>
      <c r="AD230" s="28" t="n">
        <f aca="false">IF(C230=0,0,N230/C230*10000)</f>
        <v>0</v>
      </c>
      <c r="AE230" s="28" t="n">
        <f aca="false">IF(E230=0,0,Q230/E230*10000)</f>
        <v>5.09896994628785</v>
      </c>
    </row>
    <row r="231" customFormat="false" ht="15" hidden="false" customHeight="true" outlineLevel="0" collapsed="false">
      <c r="A231" s="7" t="s">
        <v>364</v>
      </c>
      <c r="B231" s="26" t="n">
        <v>4669071310</v>
      </c>
      <c r="C231" s="26" t="n">
        <v>0</v>
      </c>
      <c r="D231" s="26" t="n">
        <v>4669071310</v>
      </c>
      <c r="E231" s="26" t="n">
        <v>193367292</v>
      </c>
      <c r="F231" s="26" t="n">
        <v>0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  <c r="L231" s="26" t="n">
        <v>1720255</v>
      </c>
      <c r="M231" s="26" t="n">
        <v>1720255</v>
      </c>
      <c r="N231" s="26" t="n">
        <v>0</v>
      </c>
      <c r="O231" s="26" t="n">
        <v>0</v>
      </c>
      <c r="P231" s="26" t="n">
        <v>0</v>
      </c>
      <c r="Q231" s="26" t="n">
        <v>119204</v>
      </c>
      <c r="R231" s="26" t="n">
        <v>50929</v>
      </c>
      <c r="S231" s="26" t="n">
        <v>1890388</v>
      </c>
      <c r="T231" s="26" t="n">
        <v>1559072</v>
      </c>
      <c r="U231" s="26" t="n">
        <v>87617</v>
      </c>
      <c r="V231" s="26" t="n">
        <v>1646689</v>
      </c>
      <c r="W231" s="26" t="n">
        <v>1839459</v>
      </c>
      <c r="X231" s="27" t="n">
        <f aca="false">IF(V231=0,0,(W231-V231)/V231)</f>
        <v>0.117065213892848</v>
      </c>
      <c r="Y231" s="26" t="n">
        <v>1646689</v>
      </c>
      <c r="Z231" s="26" t="n">
        <v>1365298550.49</v>
      </c>
      <c r="AA231" s="26" t="n">
        <v>1306998546.49</v>
      </c>
      <c r="AB231" s="28" t="n">
        <f aca="false">IF(B231=0,0,L231/B231*10000)</f>
        <v>3.68436223348236</v>
      </c>
      <c r="AC231" s="28" t="n">
        <f aca="false">IF(D231=0,0,M231/D231*10000)</f>
        <v>3.68436223348236</v>
      </c>
      <c r="AD231" s="28" t="n">
        <f aca="false">IF(C231=0,0,N231/C231*10000)</f>
        <v>0</v>
      </c>
      <c r="AE231" s="28" t="n">
        <f aca="false">IF(E231=0,0,Q231/E231*10000)</f>
        <v>6.16464132931023</v>
      </c>
    </row>
    <row r="232" customFormat="false" ht="15" hidden="false" customHeight="true" outlineLevel="0" collapsed="false">
      <c r="A232" s="7" t="s">
        <v>365</v>
      </c>
      <c r="B232" s="26" t="n">
        <v>6419618155</v>
      </c>
      <c r="C232" s="26" t="n">
        <v>0</v>
      </c>
      <c r="D232" s="26" t="n">
        <v>6419618155</v>
      </c>
      <c r="E232" s="26" t="n">
        <v>254042366</v>
      </c>
      <c r="F232" s="26" t="n">
        <v>0</v>
      </c>
      <c r="G232" s="26" t="n">
        <v>0</v>
      </c>
      <c r="H232" s="26" t="n">
        <v>0</v>
      </c>
      <c r="I232" s="26" t="n">
        <v>0</v>
      </c>
      <c r="J232" s="26" t="n">
        <v>0</v>
      </c>
      <c r="K232" s="26" t="n">
        <v>0</v>
      </c>
      <c r="L232" s="26" t="n">
        <v>2198830</v>
      </c>
      <c r="M232" s="26" t="n">
        <v>2198830</v>
      </c>
      <c r="N232" s="26" t="n">
        <v>0</v>
      </c>
      <c r="O232" s="26" t="n">
        <v>0</v>
      </c>
      <c r="P232" s="26" t="n">
        <v>0</v>
      </c>
      <c r="Q232" s="26" t="n">
        <v>109997</v>
      </c>
      <c r="R232" s="26" t="n">
        <v>64096</v>
      </c>
      <c r="S232" s="26" t="n">
        <v>2372923</v>
      </c>
      <c r="T232" s="26" t="n">
        <v>1992539</v>
      </c>
      <c r="U232" s="26" t="n">
        <v>79899</v>
      </c>
      <c r="V232" s="26" t="n">
        <v>2072438</v>
      </c>
      <c r="W232" s="26" t="n">
        <v>2308827</v>
      </c>
      <c r="X232" s="27" t="n">
        <f aca="false">IF(V232=0,0,(W232-V232)/V232)</f>
        <v>0.114063243387739</v>
      </c>
      <c r="Y232" s="26" t="n">
        <v>2072438</v>
      </c>
      <c r="Z232" s="26" t="n">
        <v>1365298550.49</v>
      </c>
      <c r="AA232" s="26" t="n">
        <v>1306998546.49</v>
      </c>
      <c r="AB232" s="28" t="n">
        <f aca="false">IF(B232=0,0,L232/B232*10000)</f>
        <v>3.42517256775999</v>
      </c>
      <c r="AC232" s="28" t="n">
        <f aca="false">IF(D232=0,0,M232/D232*10000)</f>
        <v>3.42517256775999</v>
      </c>
      <c r="AD232" s="28" t="n">
        <f aca="false">IF(C232=0,0,N232/C232*10000)</f>
        <v>0</v>
      </c>
      <c r="AE232" s="28" t="n">
        <f aca="false">IF(E232=0,0,Q232/E232*10000)</f>
        <v>4.32986834959646</v>
      </c>
    </row>
    <row r="233" customFormat="false" ht="15" hidden="false" customHeight="true" outlineLevel="0" collapsed="false">
      <c r="A233" s="7" t="s">
        <v>366</v>
      </c>
      <c r="B233" s="26" t="n">
        <v>15519045925</v>
      </c>
      <c r="C233" s="26" t="n">
        <v>0</v>
      </c>
      <c r="D233" s="26" t="n">
        <v>15519045925</v>
      </c>
      <c r="E233" s="26" t="n">
        <v>372316467</v>
      </c>
      <c r="F233" s="26" t="n">
        <v>0</v>
      </c>
      <c r="G233" s="26" t="n">
        <v>0</v>
      </c>
      <c r="H233" s="26" t="n">
        <v>0</v>
      </c>
      <c r="I233" s="26" t="n">
        <v>0</v>
      </c>
      <c r="J233" s="26" t="n">
        <v>0</v>
      </c>
      <c r="K233" s="26" t="n">
        <v>0</v>
      </c>
      <c r="L233" s="26" t="n">
        <v>5178643</v>
      </c>
      <c r="M233" s="26" t="n">
        <v>5178643</v>
      </c>
      <c r="N233" s="26" t="n">
        <v>0</v>
      </c>
      <c r="O233" s="26" t="n">
        <v>0</v>
      </c>
      <c r="P233" s="26" t="n">
        <v>0</v>
      </c>
      <c r="Q233" s="26" t="n">
        <v>152925</v>
      </c>
      <c r="R233" s="26" t="n">
        <v>150658</v>
      </c>
      <c r="S233" s="26" t="n">
        <v>5482226</v>
      </c>
      <c r="T233" s="26" t="n">
        <v>4754069</v>
      </c>
      <c r="U233" s="26" t="n">
        <v>117217</v>
      </c>
      <c r="V233" s="26" t="n">
        <v>4871286</v>
      </c>
      <c r="W233" s="26" t="n">
        <v>5331568</v>
      </c>
      <c r="X233" s="27" t="n">
        <f aca="false">IF(V233=0,0,(W233-V233)/V233)</f>
        <v>0.0944888064465934</v>
      </c>
      <c r="Y233" s="26" t="n">
        <v>4871286</v>
      </c>
      <c r="Z233" s="26" t="n">
        <v>1365298550.49</v>
      </c>
      <c r="AA233" s="26" t="n">
        <v>1306998546.49</v>
      </c>
      <c r="AB233" s="28" t="n">
        <f aca="false">IF(B233=0,0,L233/B233*10000)</f>
        <v>3.33695964624836</v>
      </c>
      <c r="AC233" s="28" t="n">
        <f aca="false">IF(D233=0,0,M233/D233*10000)</f>
        <v>3.33695964624836</v>
      </c>
      <c r="AD233" s="28" t="n">
        <f aca="false">IF(C233=0,0,N233/C233*10000)</f>
        <v>0</v>
      </c>
      <c r="AE233" s="28" t="n">
        <f aca="false">IF(E233=0,0,Q233/E233*10000)</f>
        <v>4.10739286479102</v>
      </c>
    </row>
    <row r="234" customFormat="false" ht="15" hidden="false" customHeight="true" outlineLevel="0" collapsed="false">
      <c r="A234" s="7" t="s">
        <v>367</v>
      </c>
      <c r="B234" s="26" t="n">
        <v>16339036838</v>
      </c>
      <c r="C234" s="26" t="n">
        <v>0</v>
      </c>
      <c r="D234" s="26" t="n">
        <v>16339036838</v>
      </c>
      <c r="E234" s="26" t="n">
        <v>414235096</v>
      </c>
      <c r="F234" s="26" t="n">
        <v>0</v>
      </c>
      <c r="G234" s="26" t="n">
        <v>0</v>
      </c>
      <c r="H234" s="26" t="n">
        <v>0</v>
      </c>
      <c r="I234" s="26" t="n">
        <v>0</v>
      </c>
      <c r="J234" s="26" t="n">
        <v>0</v>
      </c>
      <c r="K234" s="26" t="n">
        <v>0</v>
      </c>
      <c r="L234" s="26" t="n">
        <v>5172471</v>
      </c>
      <c r="M234" s="26" t="n">
        <v>5172471</v>
      </c>
      <c r="N234" s="26" t="n">
        <v>0</v>
      </c>
      <c r="O234" s="26" t="n">
        <v>0</v>
      </c>
      <c r="P234" s="26" t="n">
        <v>0</v>
      </c>
      <c r="Q234" s="26" t="n">
        <v>160422</v>
      </c>
      <c r="R234" s="26" t="n">
        <v>151952</v>
      </c>
      <c r="S234" s="26" t="n">
        <v>5484845</v>
      </c>
      <c r="T234" s="26" t="n">
        <v>4788583</v>
      </c>
      <c r="U234" s="26" t="n">
        <v>124535</v>
      </c>
      <c r="V234" s="26" t="n">
        <v>4913118</v>
      </c>
      <c r="W234" s="26" t="n">
        <v>5332893</v>
      </c>
      <c r="X234" s="27" t="n">
        <f aca="false">IF(V234=0,0,(W234-V234)/V234)</f>
        <v>0.0854396332430852</v>
      </c>
      <c r="Y234" s="26" t="n">
        <v>4913118</v>
      </c>
      <c r="Z234" s="26" t="n">
        <v>1365298550.49</v>
      </c>
      <c r="AA234" s="26" t="n">
        <v>1306998546.49</v>
      </c>
      <c r="AB234" s="28" t="n">
        <f aca="false">IF(B234=0,0,L234/B234*10000)</f>
        <v>3.16571353090428</v>
      </c>
      <c r="AC234" s="28" t="n">
        <f aca="false">IF(D234=0,0,M234/D234*10000)</f>
        <v>3.16571353090428</v>
      </c>
      <c r="AD234" s="28" t="n">
        <f aca="false">IF(C234=0,0,N234/C234*10000)</f>
        <v>0</v>
      </c>
      <c r="AE234" s="28" t="n">
        <f aca="false">IF(E234=0,0,Q234/E234*10000)</f>
        <v>3.87272835037618</v>
      </c>
    </row>
    <row r="235" customFormat="false" ht="15" hidden="false" customHeight="true" outlineLevel="0" collapsed="false">
      <c r="A235" s="7" t="s">
        <v>368</v>
      </c>
      <c r="B235" s="26" t="n">
        <v>14994496939</v>
      </c>
      <c r="C235" s="26" t="n">
        <v>0</v>
      </c>
      <c r="D235" s="26" t="n">
        <v>14994496939</v>
      </c>
      <c r="E235" s="26" t="n">
        <v>539453994</v>
      </c>
      <c r="F235" s="26" t="n">
        <v>0</v>
      </c>
      <c r="G235" s="26" t="n">
        <v>0</v>
      </c>
      <c r="H235" s="26" t="n">
        <v>0</v>
      </c>
      <c r="I235" s="26" t="n">
        <v>0</v>
      </c>
      <c r="J235" s="26" t="n">
        <v>0</v>
      </c>
      <c r="K235" s="26" t="n">
        <v>0</v>
      </c>
      <c r="L235" s="26" t="n">
        <v>4651266</v>
      </c>
      <c r="M235" s="26" t="n">
        <v>4651266</v>
      </c>
      <c r="N235" s="26" t="n">
        <v>0</v>
      </c>
      <c r="O235" s="26" t="n">
        <v>0</v>
      </c>
      <c r="P235" s="26" t="n">
        <v>0</v>
      </c>
      <c r="Q235" s="26" t="n">
        <v>230987</v>
      </c>
      <c r="R235" s="26" t="n">
        <v>138641</v>
      </c>
      <c r="S235" s="26" t="n">
        <v>5020894</v>
      </c>
      <c r="T235" s="26" t="n">
        <v>4322213</v>
      </c>
      <c r="U235" s="26" t="n">
        <v>160524</v>
      </c>
      <c r="V235" s="26" t="n">
        <v>4482737</v>
      </c>
      <c r="W235" s="26" t="n">
        <v>4882253</v>
      </c>
      <c r="X235" s="27" t="n">
        <f aca="false">IF(V235=0,0,(W235-V235)/V235)</f>
        <v>0.0891232298481932</v>
      </c>
      <c r="Y235" s="26" t="n">
        <v>4482737</v>
      </c>
      <c r="Z235" s="26" t="n">
        <v>1254508074.05</v>
      </c>
      <c r="AA235" s="26" t="n">
        <v>1196208070.05</v>
      </c>
      <c r="AB235" s="28" t="n">
        <f aca="false">IF(B235=0,0,L235/B235*10000)</f>
        <v>3.10198202642082</v>
      </c>
      <c r="AC235" s="28" t="n">
        <f aca="false">IF(D235=0,0,M235/D235*10000)</f>
        <v>3.10198202642082</v>
      </c>
      <c r="AD235" s="28" t="n">
        <f aca="false">IF(C235=0,0,N235/C235*10000)</f>
        <v>0</v>
      </c>
      <c r="AE235" s="28" t="n">
        <f aca="false">IF(E235=0,0,Q235/E235*10000)</f>
        <v>4.28186652743552</v>
      </c>
    </row>
    <row r="236" customFormat="false" ht="15" hidden="false" customHeight="true" outlineLevel="0" collapsed="false">
      <c r="A236" s="7" t="s">
        <v>369</v>
      </c>
      <c r="B236" s="26" t="n">
        <v>11708759320</v>
      </c>
      <c r="C236" s="26" t="n">
        <v>0</v>
      </c>
      <c r="D236" s="26" t="n">
        <v>11708759320</v>
      </c>
      <c r="E236" s="26" t="n">
        <v>912310204</v>
      </c>
      <c r="F236" s="26" t="n">
        <v>0</v>
      </c>
      <c r="G236" s="26" t="n">
        <v>0</v>
      </c>
      <c r="H236" s="26" t="n">
        <v>0</v>
      </c>
      <c r="I236" s="26" t="n">
        <v>0</v>
      </c>
      <c r="J236" s="26" t="n">
        <v>0</v>
      </c>
      <c r="K236" s="26" t="n">
        <v>0</v>
      </c>
      <c r="L236" s="26" t="n">
        <v>3629992</v>
      </c>
      <c r="M236" s="26" t="n">
        <v>3629992</v>
      </c>
      <c r="N236" s="26" t="n">
        <v>0</v>
      </c>
      <c r="O236" s="26" t="n">
        <v>0</v>
      </c>
      <c r="P236" s="26" t="n">
        <v>0</v>
      </c>
      <c r="Q236" s="26" t="n">
        <v>351557</v>
      </c>
      <c r="R236" s="26" t="n">
        <v>110600</v>
      </c>
      <c r="S236" s="26" t="n">
        <v>4092149</v>
      </c>
      <c r="T236" s="26" t="n">
        <v>3363742</v>
      </c>
      <c r="U236" s="26" t="n">
        <v>212310</v>
      </c>
      <c r="V236" s="26" t="n">
        <v>3576052</v>
      </c>
      <c r="W236" s="26" t="n">
        <v>3981549</v>
      </c>
      <c r="X236" s="27" t="n">
        <f aca="false">IF(V236=0,0,(W236-V236)/V236)</f>
        <v>0.113392366777664</v>
      </c>
      <c r="Y236" s="26" t="n">
        <v>3576052</v>
      </c>
      <c r="Z236" s="26" t="n">
        <v>1254508074.05</v>
      </c>
      <c r="AA236" s="26" t="n">
        <v>1196208070.05</v>
      </c>
      <c r="AB236" s="28" t="n">
        <f aca="false">IF(B236=0,0,L236/B236*10000)</f>
        <v>3.10023624262182</v>
      </c>
      <c r="AC236" s="28" t="n">
        <f aca="false">IF(D236=0,0,M236/D236*10000)</f>
        <v>3.10023624262182</v>
      </c>
      <c r="AD236" s="28" t="n">
        <f aca="false">IF(C236=0,0,N236/C236*10000)</f>
        <v>0</v>
      </c>
      <c r="AE236" s="28" t="n">
        <f aca="false">IF(E236=0,0,Q236/E236*10000)</f>
        <v>3.85348095920234</v>
      </c>
    </row>
    <row r="237" customFormat="false" ht="15" hidden="false" customHeight="true" outlineLevel="0" collapsed="false">
      <c r="A237" s="7" t="s">
        <v>370</v>
      </c>
      <c r="B237" s="26" t="n">
        <v>21201154610</v>
      </c>
      <c r="C237" s="26" t="n">
        <v>0</v>
      </c>
      <c r="D237" s="26" t="n">
        <v>21201154610</v>
      </c>
      <c r="E237" s="26" t="n">
        <v>1419893745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0</v>
      </c>
      <c r="L237" s="26" t="n">
        <v>6977513</v>
      </c>
      <c r="M237" s="26" t="n">
        <v>6977513</v>
      </c>
      <c r="N237" s="26" t="n">
        <v>0</v>
      </c>
      <c r="O237" s="26" t="n">
        <v>0</v>
      </c>
      <c r="P237" s="26" t="n">
        <v>0</v>
      </c>
      <c r="Q237" s="26" t="n">
        <v>801006</v>
      </c>
      <c r="R237" s="26" t="n">
        <v>213908</v>
      </c>
      <c r="S237" s="26" t="n">
        <v>7992427</v>
      </c>
      <c r="T237" s="26" t="n">
        <v>6489171</v>
      </c>
      <c r="U237" s="26" t="n">
        <v>427174</v>
      </c>
      <c r="V237" s="26" t="n">
        <v>6916345</v>
      </c>
      <c r="W237" s="26" t="n">
        <v>7778519</v>
      </c>
      <c r="X237" s="27" t="n">
        <f aca="false">IF(V237=0,0,(W237-V237)/V237)</f>
        <v>0.12465745997344</v>
      </c>
      <c r="Y237" s="26" t="n">
        <v>6916345</v>
      </c>
      <c r="Z237" s="26" t="n">
        <v>1254508074.05</v>
      </c>
      <c r="AA237" s="26" t="n">
        <v>1196208070.05</v>
      </c>
      <c r="AB237" s="28" t="n">
        <f aca="false">IF(B237=0,0,L237/B237*10000)</f>
        <v>3.29110047464533</v>
      </c>
      <c r="AC237" s="28" t="n">
        <f aca="false">IF(D237=0,0,M237/D237*10000)</f>
        <v>3.29110047464533</v>
      </c>
      <c r="AD237" s="28" t="n">
        <f aca="false">IF(C237=0,0,N237/C237*10000)</f>
        <v>0</v>
      </c>
      <c r="AE237" s="28" t="n">
        <f aca="false">IF(E237=0,0,Q237/E237*10000)</f>
        <v>5.64130944882781</v>
      </c>
    </row>
    <row r="238" customFormat="false" ht="15" hidden="false" customHeight="true" outlineLevel="0" collapsed="false">
      <c r="A238" s="7" t="s">
        <v>371</v>
      </c>
      <c r="B238" s="26" t="n">
        <v>8181044691</v>
      </c>
      <c r="C238" s="26" t="n">
        <v>0</v>
      </c>
      <c r="D238" s="26" t="n">
        <v>8181044691</v>
      </c>
      <c r="E238" s="26" t="n">
        <v>1559153323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0</v>
      </c>
      <c r="L238" s="26" t="n">
        <v>2822931</v>
      </c>
      <c r="M238" s="26" t="n">
        <v>2822931</v>
      </c>
      <c r="N238" s="26" t="n">
        <v>0</v>
      </c>
      <c r="O238" s="26" t="n">
        <v>0</v>
      </c>
      <c r="P238" s="26" t="n">
        <v>0</v>
      </c>
      <c r="Q238" s="26" t="n">
        <v>585670</v>
      </c>
      <c r="R238" s="26" t="n">
        <v>89388</v>
      </c>
      <c r="S238" s="26" t="n">
        <v>3497989</v>
      </c>
      <c r="T238" s="26" t="n">
        <v>2587769</v>
      </c>
      <c r="U238" s="26" t="n">
        <v>302447</v>
      </c>
      <c r="V238" s="26" t="n">
        <v>2890216</v>
      </c>
      <c r="W238" s="26" t="n">
        <v>3408601</v>
      </c>
      <c r="X238" s="27" t="n">
        <f aca="false">IF(V238=0,0,(W238-V238)/V238)</f>
        <v>0.179358566972157</v>
      </c>
      <c r="Y238" s="26" t="n">
        <v>2890216</v>
      </c>
      <c r="Z238" s="26" t="n">
        <v>1254508074.05</v>
      </c>
      <c r="AA238" s="26" t="n">
        <v>1196208070.05</v>
      </c>
      <c r="AB238" s="28" t="n">
        <f aca="false">IF(B238=0,0,L238/B238*10000)</f>
        <v>3.45057520967404</v>
      </c>
      <c r="AC238" s="28" t="n">
        <f aca="false">IF(D238=0,0,M238/D238*10000)</f>
        <v>3.45057520967404</v>
      </c>
      <c r="AD238" s="28" t="n">
        <f aca="false">IF(C238=0,0,N238/C238*10000)</f>
        <v>0</v>
      </c>
      <c r="AE238" s="28" t="n">
        <f aca="false">IF(E238=0,0,Q238/E238*10000)</f>
        <v>3.75633359054836</v>
      </c>
    </row>
    <row r="239" customFormat="false" ht="15" hidden="false" customHeight="true" outlineLevel="0" collapsed="false">
      <c r="A239" s="7" t="s">
        <v>372</v>
      </c>
      <c r="B239" s="26" t="n">
        <v>17370130406</v>
      </c>
      <c r="C239" s="26" t="n">
        <v>0</v>
      </c>
      <c r="D239" s="26" t="n">
        <v>17370130406</v>
      </c>
      <c r="E239" s="26" t="n">
        <v>3382127558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0</v>
      </c>
      <c r="L239" s="26" t="n">
        <v>5779921</v>
      </c>
      <c r="M239" s="26" t="n">
        <v>5779921</v>
      </c>
      <c r="N239" s="26" t="n">
        <v>0</v>
      </c>
      <c r="O239" s="26" t="n">
        <v>0</v>
      </c>
      <c r="P239" s="26" t="n">
        <v>0</v>
      </c>
      <c r="Q239" s="26" t="n">
        <v>1970942</v>
      </c>
      <c r="R239" s="26" t="n">
        <v>195488</v>
      </c>
      <c r="S239" s="26" t="n">
        <v>7946351</v>
      </c>
      <c r="T239" s="26" t="n">
        <v>5320426</v>
      </c>
      <c r="U239" s="26" t="n">
        <v>1000338</v>
      </c>
      <c r="V239" s="26" t="n">
        <v>6320764</v>
      </c>
      <c r="W239" s="26" t="n">
        <v>7750863</v>
      </c>
      <c r="X239" s="27" t="n">
        <f aca="false">IF(V239=0,0,(W239-V239)/V239)</f>
        <v>0.226254136367059</v>
      </c>
      <c r="Y239" s="26" t="n">
        <v>6320764</v>
      </c>
      <c r="Z239" s="26" t="n">
        <v>1254508074.05</v>
      </c>
      <c r="AA239" s="26" t="n">
        <v>1196208070.05</v>
      </c>
      <c r="AB239" s="28" t="n">
        <f aca="false">IF(B239=0,0,L239/B239*10000)</f>
        <v>3.32750581884146</v>
      </c>
      <c r="AC239" s="28" t="n">
        <f aca="false">IF(D239=0,0,M239/D239*10000)</f>
        <v>3.32750581884146</v>
      </c>
      <c r="AD239" s="28" t="n">
        <f aca="false">IF(C239=0,0,N239/C239*10000)</f>
        <v>0</v>
      </c>
      <c r="AE239" s="28" t="n">
        <f aca="false">IF(E239=0,0,Q239/E239*10000)</f>
        <v>5.82752118659151</v>
      </c>
    </row>
    <row r="240" customFormat="false" ht="15" hidden="false" customHeight="true" outlineLevel="0" collapsed="false">
      <c r="A240" s="7" t="s">
        <v>373</v>
      </c>
      <c r="B240" s="26" t="n">
        <v>20600300461</v>
      </c>
      <c r="C240" s="26" t="n">
        <v>0</v>
      </c>
      <c r="D240" s="26" t="n">
        <v>20600300461</v>
      </c>
      <c r="E240" s="26" t="n">
        <v>1534795396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0</v>
      </c>
      <c r="L240" s="26" t="n">
        <v>6791591</v>
      </c>
      <c r="M240" s="26" t="n">
        <v>6791591</v>
      </c>
      <c r="N240" s="26" t="n">
        <v>0</v>
      </c>
      <c r="O240" s="26" t="n">
        <v>0</v>
      </c>
      <c r="P240" s="26" t="n">
        <v>0</v>
      </c>
      <c r="Q240" s="26" t="n">
        <v>543705</v>
      </c>
      <c r="R240" s="26" t="n">
        <v>205920</v>
      </c>
      <c r="S240" s="26" t="n">
        <v>7541216</v>
      </c>
      <c r="T240" s="26" t="n">
        <v>6343245</v>
      </c>
      <c r="U240" s="26" t="n">
        <v>314829</v>
      </c>
      <c r="V240" s="26" t="n">
        <v>6658074</v>
      </c>
      <c r="W240" s="26" t="n">
        <v>7335296</v>
      </c>
      <c r="X240" s="27" t="n">
        <f aca="false">IF(V240=0,0,(W240-V240)/V240)</f>
        <v>0.10171439968976</v>
      </c>
      <c r="Y240" s="26" t="n">
        <v>6658074</v>
      </c>
      <c r="Z240" s="26" t="n">
        <v>1254508074.05</v>
      </c>
      <c r="AA240" s="26" t="n">
        <v>1196208070.05</v>
      </c>
      <c r="AB240" s="28" t="n">
        <f aca="false">IF(B240=0,0,L240/B240*10000)</f>
        <v>3.29684074892873</v>
      </c>
      <c r="AC240" s="28" t="n">
        <f aca="false">IF(D240=0,0,M240/D240*10000)</f>
        <v>3.29684074892873</v>
      </c>
      <c r="AD240" s="28" t="n">
        <f aca="false">IF(C240=0,0,N240/C240*10000)</f>
        <v>0</v>
      </c>
      <c r="AE240" s="28" t="n">
        <f aca="false">IF(E240=0,0,Q240/E240*10000)</f>
        <v>3.54252430921418</v>
      </c>
    </row>
    <row r="241" customFormat="false" ht="15" hidden="false" customHeight="true" outlineLevel="0" collapsed="false">
      <c r="A241" s="7" t="s">
        <v>374</v>
      </c>
      <c r="B241" s="26" t="n">
        <v>14990540501</v>
      </c>
      <c r="C241" s="26" t="n">
        <v>0</v>
      </c>
      <c r="D241" s="26" t="n">
        <v>14990540501</v>
      </c>
      <c r="E241" s="26" t="n">
        <v>1653313077</v>
      </c>
      <c r="F241" s="26" t="n">
        <v>0</v>
      </c>
      <c r="G241" s="26" t="n">
        <v>0</v>
      </c>
      <c r="H241" s="26" t="n">
        <v>0</v>
      </c>
      <c r="I241" s="26" t="n">
        <v>0</v>
      </c>
      <c r="J241" s="26" t="n">
        <v>0</v>
      </c>
      <c r="K241" s="26" t="n">
        <v>0</v>
      </c>
      <c r="L241" s="26" t="n">
        <v>5116847</v>
      </c>
      <c r="M241" s="26" t="n">
        <v>5116847</v>
      </c>
      <c r="N241" s="26" t="n">
        <v>0</v>
      </c>
      <c r="O241" s="26" t="n">
        <v>0</v>
      </c>
      <c r="P241" s="26" t="n">
        <v>0</v>
      </c>
      <c r="Q241" s="26" t="n">
        <v>782342</v>
      </c>
      <c r="R241" s="26" t="n">
        <v>161336</v>
      </c>
      <c r="S241" s="26" t="n">
        <v>6060525</v>
      </c>
      <c r="T241" s="26" t="n">
        <v>4756929</v>
      </c>
      <c r="U241" s="26" t="n">
        <v>459589</v>
      </c>
      <c r="V241" s="26" t="n">
        <v>5216518</v>
      </c>
      <c r="W241" s="26" t="n">
        <v>5899189</v>
      </c>
      <c r="X241" s="27" t="n">
        <f aca="false">IF(V241=0,0,(W241-V241)/V241)</f>
        <v>0.13086717998481</v>
      </c>
      <c r="Y241" s="26" t="n">
        <v>5216518</v>
      </c>
      <c r="Z241" s="26" t="n">
        <v>1254508074.05</v>
      </c>
      <c r="AA241" s="26" t="n">
        <v>1196208070.05</v>
      </c>
      <c r="AB241" s="28" t="n">
        <f aca="false">IF(B241=0,0,L241/B241*10000)</f>
        <v>3.41338392678947</v>
      </c>
      <c r="AC241" s="28" t="n">
        <f aca="false">IF(D241=0,0,M241/D241*10000)</f>
        <v>3.41338392678947</v>
      </c>
      <c r="AD241" s="28" t="n">
        <f aca="false">IF(C241=0,0,N241/C241*10000)</f>
        <v>0</v>
      </c>
      <c r="AE241" s="28" t="n">
        <f aca="false">IF(E241=0,0,Q241/E241*10000)</f>
        <v>4.73196523322485</v>
      </c>
    </row>
    <row r="242" customFormat="false" ht="15" hidden="false" customHeight="true" outlineLevel="0" collapsed="false">
      <c r="A242" s="7" t="s">
        <v>375</v>
      </c>
      <c r="B242" s="26" t="n">
        <v>13161222126</v>
      </c>
      <c r="C242" s="26" t="n">
        <v>0</v>
      </c>
      <c r="D242" s="26" t="n">
        <v>13161222126</v>
      </c>
      <c r="E242" s="26" t="n">
        <v>567526114</v>
      </c>
      <c r="F242" s="26" t="n">
        <v>0</v>
      </c>
      <c r="G242" s="26" t="n">
        <v>0</v>
      </c>
      <c r="H242" s="26" t="n">
        <v>0</v>
      </c>
      <c r="I242" s="26" t="n">
        <v>0</v>
      </c>
      <c r="J242" s="26" t="n">
        <v>0</v>
      </c>
      <c r="K242" s="26" t="n">
        <v>0</v>
      </c>
      <c r="L242" s="26" t="n">
        <v>4482034</v>
      </c>
      <c r="M242" s="26" t="n">
        <v>4482034</v>
      </c>
      <c r="N242" s="26" t="n">
        <v>0</v>
      </c>
      <c r="O242" s="26" t="n">
        <v>0</v>
      </c>
      <c r="P242" s="26" t="n">
        <v>0</v>
      </c>
      <c r="Q242" s="26" t="n">
        <v>217368</v>
      </c>
      <c r="R242" s="26" t="n">
        <v>134086</v>
      </c>
      <c r="S242" s="26" t="n">
        <v>4833488</v>
      </c>
      <c r="T242" s="26" t="n">
        <v>4157827</v>
      </c>
      <c r="U242" s="26" t="n">
        <v>177611</v>
      </c>
      <c r="V242" s="26" t="n">
        <v>4335438</v>
      </c>
      <c r="W242" s="26" t="n">
        <v>4699402</v>
      </c>
      <c r="X242" s="27" t="n">
        <f aca="false">IF(V242=0,0,(W242-V242)/V242)</f>
        <v>0.0839509179925996</v>
      </c>
      <c r="Y242" s="26" t="n">
        <v>4335438</v>
      </c>
      <c r="Z242" s="26" t="n">
        <v>1413498438.48</v>
      </c>
      <c r="AA242" s="26" t="n">
        <v>1355198434.48</v>
      </c>
      <c r="AB242" s="28" t="n">
        <f aca="false">IF(B242=0,0,L242/B242*10000)</f>
        <v>3.40548465567323</v>
      </c>
      <c r="AC242" s="28" t="n">
        <f aca="false">IF(D242=0,0,M242/D242*10000)</f>
        <v>3.40548465567323</v>
      </c>
      <c r="AD242" s="28" t="n">
        <f aca="false">IF(C242=0,0,N242/C242*10000)</f>
        <v>0</v>
      </c>
      <c r="AE242" s="28" t="n">
        <f aca="false">IF(E242=0,0,Q242/E242*10000)</f>
        <v>3.83009688255508</v>
      </c>
    </row>
    <row r="243" customFormat="false" ht="15" hidden="false" customHeight="true" outlineLevel="0" collapsed="false">
      <c r="A243" s="7" t="s">
        <v>376</v>
      </c>
      <c r="B243" s="26" t="n">
        <v>10121341735</v>
      </c>
      <c r="C243" s="26" t="n">
        <v>0</v>
      </c>
      <c r="D243" s="26" t="n">
        <v>10121341735</v>
      </c>
      <c r="E243" s="26" t="n">
        <v>420001260</v>
      </c>
      <c r="F243" s="26" t="n">
        <v>0</v>
      </c>
      <c r="G243" s="26" t="n">
        <v>0</v>
      </c>
      <c r="H243" s="26" t="n">
        <v>0</v>
      </c>
      <c r="I243" s="26" t="n">
        <v>0</v>
      </c>
      <c r="J243" s="26" t="n">
        <v>0</v>
      </c>
      <c r="K243" s="26" t="n">
        <v>0</v>
      </c>
      <c r="L243" s="26" t="n">
        <v>3527444</v>
      </c>
      <c r="M243" s="26" t="n">
        <v>3527444</v>
      </c>
      <c r="N243" s="26" t="n">
        <v>0</v>
      </c>
      <c r="O243" s="26" t="n">
        <v>0</v>
      </c>
      <c r="P243" s="26" t="n">
        <v>0</v>
      </c>
      <c r="Q243" s="26" t="n">
        <v>176810</v>
      </c>
      <c r="R243" s="26" t="n">
        <v>105026</v>
      </c>
      <c r="S243" s="26" t="n">
        <v>3809280</v>
      </c>
      <c r="T243" s="26" t="n">
        <v>3262778</v>
      </c>
      <c r="U243" s="26" t="n">
        <v>133062</v>
      </c>
      <c r="V243" s="26" t="n">
        <v>3395840</v>
      </c>
      <c r="W243" s="26" t="n">
        <v>3704254</v>
      </c>
      <c r="X243" s="27" t="n">
        <f aca="false">IF(V243=0,0,(W243-V243)/V243)</f>
        <v>0.0908211223143611</v>
      </c>
      <c r="Y243" s="26" t="n">
        <v>3395840</v>
      </c>
      <c r="Z243" s="26" t="n">
        <v>1413498438.48</v>
      </c>
      <c r="AA243" s="26" t="n">
        <v>1355198434.48</v>
      </c>
      <c r="AB243" s="28" t="n">
        <f aca="false">IF(B243=0,0,L243/B243*10000)</f>
        <v>3.48515453025557</v>
      </c>
      <c r="AC243" s="28" t="n">
        <f aca="false">IF(D243=0,0,M243/D243*10000)</f>
        <v>3.48515453025557</v>
      </c>
      <c r="AD243" s="28" t="n">
        <f aca="false">IF(C243=0,0,N243/C243*10000)</f>
        <v>0</v>
      </c>
      <c r="AE243" s="28" t="n">
        <f aca="false">IF(E243=0,0,Q243/E243*10000)</f>
        <v>4.20974927551408</v>
      </c>
    </row>
    <row r="244" customFormat="false" ht="15" hidden="false" customHeight="true" outlineLevel="0" collapsed="false">
      <c r="A244" s="7" t="s">
        <v>377</v>
      </c>
      <c r="B244" s="26" t="n">
        <v>16654383381</v>
      </c>
      <c r="C244" s="26" t="n">
        <v>0</v>
      </c>
      <c r="D244" s="26" t="n">
        <v>16654383381</v>
      </c>
      <c r="E244" s="26" t="n">
        <v>1187391721</v>
      </c>
      <c r="F244" s="26" t="n">
        <v>0</v>
      </c>
      <c r="G244" s="26" t="n">
        <v>0</v>
      </c>
      <c r="H244" s="26" t="n">
        <v>0</v>
      </c>
      <c r="I244" s="26" t="n">
        <v>0</v>
      </c>
      <c r="J244" s="26" t="n">
        <v>0</v>
      </c>
      <c r="K244" s="26" t="n">
        <v>0</v>
      </c>
      <c r="L244" s="26" t="n">
        <v>5416526</v>
      </c>
      <c r="M244" s="26" t="n">
        <v>5416526</v>
      </c>
      <c r="N244" s="26" t="n">
        <v>0</v>
      </c>
      <c r="O244" s="26" t="n">
        <v>0</v>
      </c>
      <c r="P244" s="26" t="n">
        <v>0</v>
      </c>
      <c r="Q244" s="26" t="n">
        <v>598611</v>
      </c>
      <c r="R244" s="26" t="n">
        <v>166695</v>
      </c>
      <c r="S244" s="26" t="n">
        <v>6181832</v>
      </c>
      <c r="T244" s="26" t="n">
        <v>5036154</v>
      </c>
      <c r="U244" s="26" t="n">
        <v>353666</v>
      </c>
      <c r="V244" s="26" t="n">
        <v>5389820</v>
      </c>
      <c r="W244" s="26" t="n">
        <v>6015137</v>
      </c>
      <c r="X244" s="27" t="n">
        <f aca="false">IF(V244=0,0,(W244-V244)/V244)</f>
        <v>0.116018160161193</v>
      </c>
      <c r="Y244" s="26" t="n">
        <v>5389820</v>
      </c>
      <c r="Z244" s="26" t="n">
        <v>1413498438.48</v>
      </c>
      <c r="AA244" s="26" t="n">
        <v>1355198434.48</v>
      </c>
      <c r="AB244" s="28" t="n">
        <f aca="false">IF(B244=0,0,L244/B244*10000)</f>
        <v>3.25231254504408</v>
      </c>
      <c r="AC244" s="28" t="n">
        <f aca="false">IF(D244=0,0,M244/D244*10000)</f>
        <v>3.25231254504408</v>
      </c>
      <c r="AD244" s="28" t="n">
        <f aca="false">IF(C244=0,0,N244/C244*10000)</f>
        <v>0</v>
      </c>
      <c r="AE244" s="28" t="n">
        <f aca="false">IF(E244=0,0,Q244/E244*10000)</f>
        <v>5.04139442286039</v>
      </c>
    </row>
    <row r="245" customFormat="false" ht="15" hidden="false" customHeight="true" outlineLevel="0" collapsed="false">
      <c r="A245" s="7" t="s">
        <v>378</v>
      </c>
      <c r="B245" s="26" t="n">
        <v>6604431262</v>
      </c>
      <c r="C245" s="26" t="n">
        <v>0</v>
      </c>
      <c r="D245" s="26" t="n">
        <v>6604431262</v>
      </c>
      <c r="E245" s="26" t="n">
        <v>815965664</v>
      </c>
      <c r="F245" s="26" t="n">
        <v>0</v>
      </c>
      <c r="G245" s="26" t="n">
        <v>0</v>
      </c>
      <c r="H245" s="26" t="n">
        <v>0</v>
      </c>
      <c r="I245" s="26" t="n">
        <v>0</v>
      </c>
      <c r="J245" s="26" t="n">
        <v>0</v>
      </c>
      <c r="K245" s="26" t="n">
        <v>0</v>
      </c>
      <c r="L245" s="26" t="n">
        <v>2181919</v>
      </c>
      <c r="M245" s="26" t="n">
        <v>2181919</v>
      </c>
      <c r="N245" s="26" t="n">
        <v>0</v>
      </c>
      <c r="O245" s="26" t="n">
        <v>0</v>
      </c>
      <c r="P245" s="26" t="n">
        <v>0</v>
      </c>
      <c r="Q245" s="26" t="n">
        <v>323882</v>
      </c>
      <c r="R245" s="26" t="n">
        <v>68557</v>
      </c>
      <c r="S245" s="26" t="n">
        <v>2574358</v>
      </c>
      <c r="T245" s="26" t="n">
        <v>2029059</v>
      </c>
      <c r="U245" s="26" t="n">
        <v>187625</v>
      </c>
      <c r="V245" s="26" t="n">
        <v>2216684</v>
      </c>
      <c r="W245" s="26" t="n">
        <v>2505801</v>
      </c>
      <c r="X245" s="27" t="n">
        <f aca="false">IF(V245=0,0,(W245-V245)/V245)</f>
        <v>0.130427701918722</v>
      </c>
      <c r="Y245" s="26" t="n">
        <v>2216684</v>
      </c>
      <c r="Z245" s="26" t="n">
        <v>1413498438.48</v>
      </c>
      <c r="AA245" s="26" t="n">
        <v>1355198434.48</v>
      </c>
      <c r="AB245" s="28" t="n">
        <f aca="false">IF(B245=0,0,L245/B245*10000)</f>
        <v>3.30371975033511</v>
      </c>
      <c r="AC245" s="28" t="n">
        <f aca="false">IF(D245=0,0,M245/D245*10000)</f>
        <v>3.30371975033511</v>
      </c>
      <c r="AD245" s="28" t="n">
        <f aca="false">IF(C245=0,0,N245/C245*10000)</f>
        <v>0</v>
      </c>
      <c r="AE245" s="28" t="n">
        <f aca="false">IF(E245=0,0,Q245/E245*10000)</f>
        <v>3.96930917916664</v>
      </c>
    </row>
    <row r="246" customFormat="false" ht="15" hidden="false" customHeight="true" outlineLevel="0" collapsed="false">
      <c r="A246" s="7" t="s">
        <v>379</v>
      </c>
      <c r="B246" s="26" t="n">
        <v>5964236444</v>
      </c>
      <c r="C246" s="26" t="n">
        <v>0</v>
      </c>
      <c r="D246" s="26" t="n">
        <v>5964236444</v>
      </c>
      <c r="E246" s="26" t="n">
        <v>1224472730</v>
      </c>
      <c r="F246" s="26" t="n">
        <v>0</v>
      </c>
      <c r="G246" s="26" t="n">
        <v>0</v>
      </c>
      <c r="H246" s="26" t="n">
        <v>0</v>
      </c>
      <c r="I246" s="26" t="n">
        <v>0</v>
      </c>
      <c r="J246" s="26" t="n">
        <v>0</v>
      </c>
      <c r="K246" s="26" t="n">
        <v>0</v>
      </c>
      <c r="L246" s="26" t="n">
        <v>1980374</v>
      </c>
      <c r="M246" s="26" t="n">
        <v>1980374</v>
      </c>
      <c r="N246" s="26" t="n">
        <v>0</v>
      </c>
      <c r="O246" s="26" t="n">
        <v>0</v>
      </c>
      <c r="P246" s="26" t="n">
        <v>0</v>
      </c>
      <c r="Q246" s="26" t="n">
        <v>473026</v>
      </c>
      <c r="R246" s="26" t="n">
        <v>21332</v>
      </c>
      <c r="S246" s="26" t="n">
        <v>2474732</v>
      </c>
      <c r="T246" s="26" t="n">
        <v>1853597</v>
      </c>
      <c r="U246" s="26" t="n">
        <v>258222</v>
      </c>
      <c r="V246" s="26" t="n">
        <v>2111819</v>
      </c>
      <c r="W246" s="26" t="n">
        <v>2453400</v>
      </c>
      <c r="X246" s="27" t="n">
        <f aca="false">IF(V246=0,0,(W246-V246)/V246)</f>
        <v>0.161747289895583</v>
      </c>
      <c r="Y246" s="26" t="n">
        <v>2111819</v>
      </c>
      <c r="Z246" s="26" t="n">
        <v>1413498438.48</v>
      </c>
      <c r="AA246" s="26" t="n">
        <v>1355198434.48</v>
      </c>
      <c r="AB246" s="28" t="n">
        <f aca="false">IF(B246=0,0,L246/B246*10000)</f>
        <v>3.32041497448051</v>
      </c>
      <c r="AC246" s="28" t="n">
        <f aca="false">IF(D246=0,0,M246/D246*10000)</f>
        <v>3.32041497448051</v>
      </c>
      <c r="AD246" s="28" t="n">
        <f aca="false">IF(C246=0,0,N246/C246*10000)</f>
        <v>0</v>
      </c>
      <c r="AE246" s="28" t="n">
        <f aca="false">IF(E246=0,0,Q246/E246*10000)</f>
        <v>3.86309950732835</v>
      </c>
    </row>
    <row r="247" customFormat="false" ht="15" hidden="false" customHeight="true" outlineLevel="0" collapsed="false">
      <c r="A247" s="7" t="s">
        <v>380</v>
      </c>
      <c r="B247" s="26" t="n">
        <v>11200667705</v>
      </c>
      <c r="C247" s="26" t="n">
        <v>0</v>
      </c>
      <c r="D247" s="26" t="n">
        <v>11200667705</v>
      </c>
      <c r="E247" s="26" t="n">
        <v>830260769</v>
      </c>
      <c r="F247" s="26" t="n">
        <v>0</v>
      </c>
      <c r="G247" s="26" t="n">
        <v>0</v>
      </c>
      <c r="H247" s="26" t="n">
        <v>0</v>
      </c>
      <c r="I247" s="26" t="n">
        <v>0</v>
      </c>
      <c r="J247" s="26" t="n">
        <v>0</v>
      </c>
      <c r="K247" s="26" t="n">
        <v>0</v>
      </c>
      <c r="L247" s="26" t="n">
        <v>3664403</v>
      </c>
      <c r="M247" s="26" t="n">
        <v>3664403</v>
      </c>
      <c r="N247" s="26" t="n">
        <v>0</v>
      </c>
      <c r="O247" s="26" t="n">
        <v>0</v>
      </c>
      <c r="P247" s="26" t="n">
        <v>0</v>
      </c>
      <c r="Q247" s="26" t="n">
        <v>297309</v>
      </c>
      <c r="R247" s="26" t="n">
        <v>36995</v>
      </c>
      <c r="S247" s="26" t="n">
        <v>3998707</v>
      </c>
      <c r="T247" s="26" t="n">
        <v>3475596</v>
      </c>
      <c r="U247" s="26" t="n">
        <v>186943</v>
      </c>
      <c r="V247" s="26" t="n">
        <v>3662539</v>
      </c>
      <c r="W247" s="26" t="n">
        <v>3961712</v>
      </c>
      <c r="X247" s="27" t="n">
        <f aca="false">IF(V247=0,0,(W247-V247)/V247)</f>
        <v>0.0816845909354139</v>
      </c>
      <c r="Y247" s="26" t="n">
        <v>3662539</v>
      </c>
      <c r="Z247" s="26" t="n">
        <v>1413498438.48</v>
      </c>
      <c r="AA247" s="26" t="n">
        <v>1355198434.48</v>
      </c>
      <c r="AB247" s="28" t="n">
        <f aca="false">IF(B247=0,0,L247/B247*10000)</f>
        <v>3.27159335185366</v>
      </c>
      <c r="AC247" s="28" t="n">
        <f aca="false">IF(D247=0,0,M247/D247*10000)</f>
        <v>3.27159335185366</v>
      </c>
      <c r="AD247" s="28" t="n">
        <f aca="false">IF(C247=0,0,N247/C247*10000)</f>
        <v>0</v>
      </c>
      <c r="AE247" s="28" t="n">
        <f aca="false">IF(E247=0,0,Q247/E247*10000)</f>
        <v>3.58091109565602</v>
      </c>
    </row>
    <row r="248" customFormat="false" ht="15" hidden="false" customHeight="true" outlineLevel="0" collapsed="false">
      <c r="A248" s="7" t="s">
        <v>381</v>
      </c>
      <c r="B248" s="26" t="n">
        <v>11258477660</v>
      </c>
      <c r="C248" s="26" t="n">
        <v>0</v>
      </c>
      <c r="D248" s="26" t="n">
        <v>11258477660</v>
      </c>
      <c r="E248" s="26" t="n">
        <v>374820537</v>
      </c>
      <c r="F248" s="26" t="n">
        <v>0</v>
      </c>
      <c r="G248" s="26" t="n">
        <v>0</v>
      </c>
      <c r="H248" s="26" t="n">
        <v>0</v>
      </c>
      <c r="I248" s="26" t="n">
        <v>0</v>
      </c>
      <c r="J248" s="26" t="n">
        <v>0</v>
      </c>
      <c r="K248" s="26" t="n">
        <v>0</v>
      </c>
      <c r="L248" s="26" t="n">
        <v>3658558</v>
      </c>
      <c r="M248" s="26" t="n">
        <v>3658558</v>
      </c>
      <c r="N248" s="26" t="n">
        <v>0</v>
      </c>
      <c r="O248" s="26" t="n">
        <v>0</v>
      </c>
      <c r="P248" s="26" t="n">
        <v>0</v>
      </c>
      <c r="Q248" s="26" t="n">
        <v>138213</v>
      </c>
      <c r="R248" s="26" t="n">
        <v>35926</v>
      </c>
      <c r="S248" s="26" t="n">
        <v>3832697</v>
      </c>
      <c r="T248" s="26" t="n">
        <v>3459346</v>
      </c>
      <c r="U248" s="26" t="n">
        <v>97355</v>
      </c>
      <c r="V248" s="26" t="n">
        <v>3556701</v>
      </c>
      <c r="W248" s="26" t="n">
        <v>3796771</v>
      </c>
      <c r="X248" s="27" t="n">
        <f aca="false">IF(V248=0,0,(W248-V248)/V248)</f>
        <v>0.0674979426159241</v>
      </c>
      <c r="Y248" s="26" t="n">
        <v>3556701</v>
      </c>
      <c r="Z248" s="26" t="n">
        <v>1413498438.48</v>
      </c>
      <c r="AA248" s="26" t="n">
        <v>1355198434.48</v>
      </c>
      <c r="AB248" s="28" t="n">
        <f aca="false">IF(B248=0,0,L248/B248*10000)</f>
        <v>3.24960275313101</v>
      </c>
      <c r="AC248" s="28" t="n">
        <f aca="false">IF(D248=0,0,M248/D248*10000)</f>
        <v>3.24960275313101</v>
      </c>
      <c r="AD248" s="28" t="n">
        <f aca="false">IF(C248=0,0,N248/C248*10000)</f>
        <v>0</v>
      </c>
      <c r="AE248" s="28" t="n">
        <f aca="false">IF(E248=0,0,Q248/E248*10000)</f>
        <v>3.68744469303186</v>
      </c>
    </row>
    <row r="249" customFormat="false" ht="15" hidden="false" customHeight="true" outlineLevel="0" collapsed="false">
      <c r="A249" s="7" t="s">
        <v>382</v>
      </c>
      <c r="B249" s="26" t="n">
        <v>8255129555</v>
      </c>
      <c r="C249" s="26" t="n">
        <v>0</v>
      </c>
      <c r="D249" s="26" t="n">
        <v>8255129555</v>
      </c>
      <c r="E249" s="26" t="n">
        <v>304761980</v>
      </c>
      <c r="F249" s="26" t="n">
        <v>0</v>
      </c>
      <c r="G249" s="26" t="n">
        <v>0</v>
      </c>
      <c r="H249" s="26" t="n">
        <v>0</v>
      </c>
      <c r="I249" s="26" t="n">
        <v>0</v>
      </c>
      <c r="J249" s="26" t="n">
        <v>0</v>
      </c>
      <c r="K249" s="26" t="n">
        <v>0</v>
      </c>
      <c r="L249" s="26" t="n">
        <v>2677079</v>
      </c>
      <c r="M249" s="26" t="n">
        <v>2677079</v>
      </c>
      <c r="N249" s="26" t="n">
        <v>0</v>
      </c>
      <c r="O249" s="26" t="n">
        <v>0</v>
      </c>
      <c r="P249" s="26" t="n">
        <v>0</v>
      </c>
      <c r="Q249" s="26" t="n">
        <v>121295</v>
      </c>
      <c r="R249" s="26" t="n">
        <v>26399</v>
      </c>
      <c r="S249" s="26" t="n">
        <v>2824773</v>
      </c>
      <c r="T249" s="26" t="n">
        <v>2522907</v>
      </c>
      <c r="U249" s="26" t="n">
        <v>90595</v>
      </c>
      <c r="V249" s="26" t="n">
        <v>2613502</v>
      </c>
      <c r="W249" s="26" t="n">
        <v>2798374</v>
      </c>
      <c r="X249" s="27" t="n">
        <f aca="false">IF(V249=0,0,(W249-V249)/V249)</f>
        <v>0.0707372712934599</v>
      </c>
      <c r="Y249" s="26" t="n">
        <v>2613502</v>
      </c>
      <c r="Z249" s="26" t="n">
        <v>1390602196.81</v>
      </c>
      <c r="AA249" s="26" t="n">
        <v>1332302192.81</v>
      </c>
      <c r="AB249" s="28" t="n">
        <f aca="false">IF(B249=0,0,L249/B249*10000)</f>
        <v>3.24292790581165</v>
      </c>
      <c r="AC249" s="28" t="n">
        <f aca="false">IF(D249=0,0,M249/D249*10000)</f>
        <v>3.24292790581165</v>
      </c>
      <c r="AD249" s="28" t="n">
        <f aca="false">IF(C249=0,0,N249/C249*10000)</f>
        <v>0</v>
      </c>
      <c r="AE249" s="28" t="n">
        <f aca="false">IF(E249=0,0,Q249/E249*10000)</f>
        <v>3.97999120493967</v>
      </c>
    </row>
    <row r="250" customFormat="false" ht="15" hidden="false" customHeight="true" outlineLevel="0" collapsed="false">
      <c r="A250" s="7" t="s">
        <v>383</v>
      </c>
      <c r="B250" s="26" t="n">
        <v>9221239988</v>
      </c>
      <c r="C250" s="26" t="n">
        <v>0</v>
      </c>
      <c r="D250" s="26" t="n">
        <v>9221239988</v>
      </c>
      <c r="E250" s="26" t="n">
        <v>304771297</v>
      </c>
      <c r="F250" s="26" t="n">
        <v>0</v>
      </c>
      <c r="G250" s="26" t="n">
        <v>0</v>
      </c>
      <c r="H250" s="26" t="n">
        <v>0</v>
      </c>
      <c r="I250" s="26" t="n">
        <v>0</v>
      </c>
      <c r="J250" s="26" t="n">
        <v>0</v>
      </c>
      <c r="K250" s="26" t="n">
        <v>0</v>
      </c>
      <c r="L250" s="26" t="n">
        <v>3127302</v>
      </c>
      <c r="M250" s="26" t="n">
        <v>3127302</v>
      </c>
      <c r="N250" s="26" t="n">
        <v>0</v>
      </c>
      <c r="O250" s="26" t="n">
        <v>0</v>
      </c>
      <c r="P250" s="26" t="n">
        <v>0</v>
      </c>
      <c r="Q250" s="26" t="n">
        <v>141848</v>
      </c>
      <c r="R250" s="26" t="n">
        <v>30630</v>
      </c>
      <c r="S250" s="26" t="n">
        <v>3299780</v>
      </c>
      <c r="T250" s="26" t="n">
        <v>2924261</v>
      </c>
      <c r="U250" s="26" t="n">
        <v>108106</v>
      </c>
      <c r="V250" s="26" t="n">
        <v>3032367</v>
      </c>
      <c r="W250" s="26" t="n">
        <v>3269150</v>
      </c>
      <c r="X250" s="27" t="n">
        <f aca="false">IF(V250=0,0,(W250-V250)/V250)</f>
        <v>0.0780852053857597</v>
      </c>
      <c r="Y250" s="26" t="n">
        <v>3032367</v>
      </c>
      <c r="Z250" s="26" t="n">
        <v>1390602196.81</v>
      </c>
      <c r="AA250" s="26" t="n">
        <v>1332302192.81</v>
      </c>
      <c r="AB250" s="28" t="n">
        <f aca="false">IF(B250=0,0,L250/B250*10000)</f>
        <v>3.39141157162127</v>
      </c>
      <c r="AC250" s="28" t="n">
        <f aca="false">IF(D250=0,0,M250/D250*10000)</f>
        <v>3.39141157162127</v>
      </c>
      <c r="AD250" s="28" t="n">
        <f aca="false">IF(C250=0,0,N250/C250*10000)</f>
        <v>0</v>
      </c>
      <c r="AE250" s="28" t="n">
        <f aca="false">IF(E250=0,0,Q250/E250*10000)</f>
        <v>4.65424406419742</v>
      </c>
    </row>
    <row r="251" customFormat="false" ht="15" hidden="false" customHeight="true" outlineLevel="0" collapsed="false">
      <c r="A251" s="7" t="s">
        <v>384</v>
      </c>
      <c r="B251" s="26" t="n">
        <v>13291979035</v>
      </c>
      <c r="C251" s="26" t="n">
        <v>0</v>
      </c>
      <c r="D251" s="26" t="n">
        <v>13291979035</v>
      </c>
      <c r="E251" s="26" t="n">
        <v>461258458</v>
      </c>
      <c r="F251" s="26" t="n">
        <v>0</v>
      </c>
      <c r="G251" s="26" t="n">
        <v>0</v>
      </c>
      <c r="H251" s="26" t="n">
        <v>0</v>
      </c>
      <c r="I251" s="26" t="n">
        <v>0</v>
      </c>
      <c r="J251" s="26" t="n">
        <v>0</v>
      </c>
      <c r="K251" s="26" t="n">
        <v>0</v>
      </c>
      <c r="L251" s="26" t="n">
        <v>4257286</v>
      </c>
      <c r="M251" s="26" t="n">
        <v>4257286</v>
      </c>
      <c r="N251" s="26" t="n">
        <v>0</v>
      </c>
      <c r="O251" s="26" t="n">
        <v>0</v>
      </c>
      <c r="P251" s="26" t="n">
        <v>0</v>
      </c>
      <c r="Q251" s="26" t="n">
        <v>202138</v>
      </c>
      <c r="R251" s="26" t="n">
        <v>41779</v>
      </c>
      <c r="S251" s="26" t="n">
        <v>4501203</v>
      </c>
      <c r="T251" s="26" t="n">
        <v>3983940</v>
      </c>
      <c r="U251" s="26" t="n">
        <v>152198</v>
      </c>
      <c r="V251" s="26" t="n">
        <v>4136138</v>
      </c>
      <c r="W251" s="26" t="n">
        <v>4459424</v>
      </c>
      <c r="X251" s="27" t="n">
        <f aca="false">IF(V251=0,0,(W251-V251)/V251)</f>
        <v>0.0781613186020389</v>
      </c>
      <c r="Y251" s="26" t="n">
        <v>4136138</v>
      </c>
      <c r="Z251" s="26" t="n">
        <v>1390602196.81</v>
      </c>
      <c r="AA251" s="26" t="n">
        <v>1332302192.81</v>
      </c>
      <c r="AB251" s="28" t="n">
        <f aca="false">IF(B251=0,0,L251/B251*10000)</f>
        <v>3.20289852157444</v>
      </c>
      <c r="AC251" s="28" t="n">
        <f aca="false">IF(D251=0,0,M251/D251*10000)</f>
        <v>3.20289852157444</v>
      </c>
      <c r="AD251" s="28" t="n">
        <f aca="false">IF(C251=0,0,N251/C251*10000)</f>
        <v>0</v>
      </c>
      <c r="AE251" s="28" t="n">
        <f aca="false">IF(E251=0,0,Q251/E251*10000)</f>
        <v>4.38231530488271</v>
      </c>
    </row>
    <row r="252" customFormat="false" ht="15" hidden="false" customHeight="true" outlineLevel="0" collapsed="false">
      <c r="A252" s="7" t="s">
        <v>385</v>
      </c>
      <c r="B252" s="26" t="n">
        <v>3262343810</v>
      </c>
      <c r="C252" s="26" t="n">
        <v>0</v>
      </c>
      <c r="D252" s="26" t="n">
        <v>3262343810</v>
      </c>
      <c r="E252" s="26" t="n">
        <v>213962466</v>
      </c>
      <c r="F252" s="26" t="n">
        <v>0</v>
      </c>
      <c r="G252" s="26" t="n">
        <v>0</v>
      </c>
      <c r="H252" s="26" t="n">
        <v>0</v>
      </c>
      <c r="I252" s="26" t="n">
        <v>0</v>
      </c>
      <c r="J252" s="26" t="n">
        <v>0</v>
      </c>
      <c r="K252" s="26" t="n">
        <v>0</v>
      </c>
      <c r="L252" s="26" t="n">
        <v>1238022</v>
      </c>
      <c r="M252" s="26" t="n">
        <v>1238022</v>
      </c>
      <c r="N252" s="26" t="n">
        <v>0</v>
      </c>
      <c r="O252" s="26" t="n">
        <v>0</v>
      </c>
      <c r="P252" s="26" t="n">
        <v>0</v>
      </c>
      <c r="Q252" s="26" t="n">
        <v>113097</v>
      </c>
      <c r="R252" s="26" t="n">
        <v>12117</v>
      </c>
      <c r="S252" s="26" t="n">
        <v>1363236</v>
      </c>
      <c r="T252" s="26" t="n">
        <v>1113013</v>
      </c>
      <c r="U252" s="26" t="n">
        <v>86566</v>
      </c>
      <c r="V252" s="26" t="n">
        <v>1199579</v>
      </c>
      <c r="W252" s="26" t="n">
        <v>1351119</v>
      </c>
      <c r="X252" s="27" t="n">
        <f aca="false">IF(V252=0,0,(W252-V252)/V252)</f>
        <v>0.126327653285027</v>
      </c>
      <c r="Y252" s="26" t="n">
        <v>1199579</v>
      </c>
      <c r="Z252" s="26" t="n">
        <v>1390602196.81</v>
      </c>
      <c r="AA252" s="26" t="n">
        <v>1332302192.81</v>
      </c>
      <c r="AB252" s="28" t="n">
        <f aca="false">IF(B252=0,0,L252/B252*10000)</f>
        <v>3.7948851258568</v>
      </c>
      <c r="AC252" s="28" t="n">
        <f aca="false">IF(D252=0,0,M252/D252*10000)</f>
        <v>3.7948851258568</v>
      </c>
      <c r="AD252" s="28" t="n">
        <f aca="false">IF(C252=0,0,N252/C252*10000)</f>
        <v>0</v>
      </c>
      <c r="AE252" s="28" t="n">
        <f aca="false">IF(E252=0,0,Q252/E252*10000)</f>
        <v>5.28583363775589</v>
      </c>
    </row>
    <row r="253" customFormat="false" ht="15" hidden="false" customHeight="true" outlineLevel="0" collapsed="false">
      <c r="A253" s="7" t="s">
        <v>386</v>
      </c>
      <c r="B253" s="26" t="n">
        <v>4106622610</v>
      </c>
      <c r="C253" s="26" t="n">
        <v>0</v>
      </c>
      <c r="D253" s="26" t="n">
        <v>4106622610</v>
      </c>
      <c r="E253" s="26" t="n">
        <v>238668985</v>
      </c>
      <c r="F253" s="26" t="n">
        <v>0</v>
      </c>
      <c r="G253" s="26" t="n">
        <v>0</v>
      </c>
      <c r="H253" s="26" t="n">
        <v>0</v>
      </c>
      <c r="I253" s="26" t="n">
        <v>0</v>
      </c>
      <c r="J253" s="26" t="n">
        <v>0</v>
      </c>
      <c r="K253" s="26" t="n">
        <v>0</v>
      </c>
      <c r="L253" s="26" t="n">
        <v>1377404</v>
      </c>
      <c r="M253" s="26" t="n">
        <v>1377404</v>
      </c>
      <c r="N253" s="26" t="n">
        <v>0</v>
      </c>
      <c r="O253" s="26" t="n">
        <v>0</v>
      </c>
      <c r="P253" s="26" t="n">
        <v>0</v>
      </c>
      <c r="Q253" s="26" t="n">
        <v>140516</v>
      </c>
      <c r="R253" s="26" t="n">
        <v>13448</v>
      </c>
      <c r="S253" s="26" t="n">
        <v>1531368</v>
      </c>
      <c r="T253" s="26" t="n">
        <v>1224269</v>
      </c>
      <c r="U253" s="26" t="n">
        <v>107118</v>
      </c>
      <c r="V253" s="26" t="n">
        <v>1331387</v>
      </c>
      <c r="W253" s="26" t="n">
        <v>1517920</v>
      </c>
      <c r="X253" s="27" t="n">
        <f aca="false">IF(V253=0,0,(W253-V253)/V253)</f>
        <v>0.140104267204051</v>
      </c>
      <c r="Y253" s="26" t="n">
        <v>1331387</v>
      </c>
      <c r="Z253" s="26" t="n">
        <v>1390602196.81</v>
      </c>
      <c r="AA253" s="26" t="n">
        <v>1332302192.81</v>
      </c>
      <c r="AB253" s="28" t="n">
        <f aca="false">IF(B253=0,0,L253/B253*10000)</f>
        <v>3.3541041649308</v>
      </c>
      <c r="AC253" s="28" t="n">
        <f aca="false">IF(D253=0,0,M253/D253*10000)</f>
        <v>3.3541041649308</v>
      </c>
      <c r="AD253" s="28" t="n">
        <f aca="false">IF(C253=0,0,N253/C253*10000)</f>
        <v>0</v>
      </c>
      <c r="AE253" s="28" t="n">
        <f aca="false">IF(E253=0,0,Q253/E253*10000)</f>
        <v>5.88748471025676</v>
      </c>
    </row>
    <row r="254" customFormat="false" ht="15" hidden="false" customHeight="true" outlineLevel="0" collapsed="false">
      <c r="A254" s="7" t="s">
        <v>387</v>
      </c>
      <c r="B254" s="26" t="n">
        <v>9211123206</v>
      </c>
      <c r="C254" s="26" t="n">
        <v>0</v>
      </c>
      <c r="D254" s="26" t="n">
        <v>9211123206</v>
      </c>
      <c r="E254" s="26" t="n">
        <v>557899557</v>
      </c>
      <c r="F254" s="26" t="n">
        <v>0</v>
      </c>
      <c r="G254" s="26" t="n">
        <v>0</v>
      </c>
      <c r="H254" s="26" t="n">
        <v>0</v>
      </c>
      <c r="I254" s="26" t="n">
        <v>0</v>
      </c>
      <c r="J254" s="26" t="n">
        <v>0</v>
      </c>
      <c r="K254" s="26" t="n">
        <v>0</v>
      </c>
      <c r="L254" s="26" t="n">
        <v>3311465</v>
      </c>
      <c r="M254" s="26" t="n">
        <v>3311465</v>
      </c>
      <c r="N254" s="26" t="n">
        <v>0</v>
      </c>
      <c r="O254" s="26" t="n">
        <v>0</v>
      </c>
      <c r="P254" s="26" t="n">
        <v>0</v>
      </c>
      <c r="Q254" s="26" t="n">
        <v>273056</v>
      </c>
      <c r="R254" s="26" t="n">
        <v>32724</v>
      </c>
      <c r="S254" s="26" t="n">
        <v>3617245</v>
      </c>
      <c r="T254" s="26" t="n">
        <v>3022150</v>
      </c>
      <c r="U254" s="26" t="n">
        <v>217527</v>
      </c>
      <c r="V254" s="26" t="n">
        <v>3239677</v>
      </c>
      <c r="W254" s="26" t="n">
        <v>3584521</v>
      </c>
      <c r="X254" s="27" t="n">
        <f aca="false">IF(V254=0,0,(W254-V254)/V254)</f>
        <v>0.106443944874751</v>
      </c>
      <c r="Y254" s="26" t="n">
        <v>3239677</v>
      </c>
      <c r="Z254" s="26" t="n">
        <v>1390602196.81</v>
      </c>
      <c r="AA254" s="26" t="n">
        <v>1332302192.81</v>
      </c>
      <c r="AB254" s="28" t="n">
        <f aca="false">IF(B254=0,0,L254/B254*10000)</f>
        <v>3.59507187770864</v>
      </c>
      <c r="AC254" s="28" t="n">
        <f aca="false">IF(D254=0,0,M254/D254*10000)</f>
        <v>3.59507187770864</v>
      </c>
      <c r="AD254" s="28" t="n">
        <f aca="false">IF(C254=0,0,N254/C254*10000)</f>
        <v>0</v>
      </c>
      <c r="AE254" s="28" t="n">
        <f aca="false">IF(E254=0,0,Q254/E254*10000)</f>
        <v>4.89435771321109</v>
      </c>
    </row>
    <row r="255" customFormat="false" ht="15" hidden="false" customHeight="true" outlineLevel="0" collapsed="false">
      <c r="A255" s="7" t="s">
        <v>388</v>
      </c>
      <c r="B255" s="26" t="n">
        <v>9814815490</v>
      </c>
      <c r="C255" s="26" t="n">
        <v>0</v>
      </c>
      <c r="D255" s="26" t="n">
        <v>9814815490</v>
      </c>
      <c r="E255" s="26" t="n">
        <v>709494359</v>
      </c>
      <c r="F255" s="26" t="n">
        <v>0</v>
      </c>
      <c r="G255" s="26" t="n">
        <v>0</v>
      </c>
      <c r="H255" s="26" t="n">
        <v>0</v>
      </c>
      <c r="I255" s="26" t="n">
        <v>0</v>
      </c>
      <c r="J255" s="26" t="n">
        <v>0</v>
      </c>
      <c r="K255" s="26" t="n">
        <v>0</v>
      </c>
      <c r="L255" s="26" t="n">
        <v>3652112</v>
      </c>
      <c r="M255" s="26" t="n">
        <v>3652112</v>
      </c>
      <c r="N255" s="26" t="n">
        <v>0</v>
      </c>
      <c r="O255" s="26" t="n">
        <v>0</v>
      </c>
      <c r="P255" s="26" t="n">
        <v>0</v>
      </c>
      <c r="Q255" s="26" t="n">
        <v>413034</v>
      </c>
      <c r="R255" s="26" t="n">
        <v>36188</v>
      </c>
      <c r="S255" s="26" t="n">
        <v>4101334</v>
      </c>
      <c r="T255" s="26" t="n">
        <v>3240005</v>
      </c>
      <c r="U255" s="26" t="n">
        <v>342654</v>
      </c>
      <c r="V255" s="26" t="n">
        <v>3582659</v>
      </c>
      <c r="W255" s="26" t="n">
        <v>4065146</v>
      </c>
      <c r="X255" s="27" t="n">
        <f aca="false">IF(V255=0,0,(W255-V255)/V255)</f>
        <v>0.134672878440287</v>
      </c>
      <c r="Y255" s="26" t="n">
        <v>3582659</v>
      </c>
      <c r="Z255" s="26" t="n">
        <v>1390602196.81</v>
      </c>
      <c r="AA255" s="26" t="n">
        <v>1332302192.81</v>
      </c>
      <c r="AB255" s="28" t="n">
        <f aca="false">IF(B255=0,0,L255/B255*10000)</f>
        <v>3.72101951760685</v>
      </c>
      <c r="AC255" s="28" t="n">
        <f aca="false">IF(D255=0,0,M255/D255*10000)</f>
        <v>3.72101951760685</v>
      </c>
      <c r="AD255" s="28" t="n">
        <f aca="false">IF(C255=0,0,N255/C255*10000)</f>
        <v>0</v>
      </c>
      <c r="AE255" s="28" t="n">
        <f aca="false">IF(E255=0,0,Q255/E255*10000)</f>
        <v>5.82152620046413</v>
      </c>
    </row>
    <row r="256" customFormat="false" ht="15" hidden="false" customHeight="true" outlineLevel="0" collapsed="false">
      <c r="A256" s="7" t="s">
        <v>389</v>
      </c>
      <c r="B256" s="26" t="n">
        <v>10512807235</v>
      </c>
      <c r="C256" s="26" t="n">
        <v>0</v>
      </c>
      <c r="D256" s="26" t="n">
        <v>10512807235</v>
      </c>
      <c r="E256" s="26" t="n">
        <v>713998161</v>
      </c>
      <c r="F256" s="26" t="n">
        <v>0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  <c r="L256" s="26" t="n">
        <v>3898081</v>
      </c>
      <c r="M256" s="26" t="n">
        <v>3898081</v>
      </c>
      <c r="N256" s="26" t="n">
        <v>0</v>
      </c>
      <c r="O256" s="26" t="n">
        <v>0</v>
      </c>
      <c r="P256" s="26" t="n">
        <v>0</v>
      </c>
      <c r="Q256" s="26" t="n">
        <v>460271</v>
      </c>
      <c r="R256" s="26" t="n">
        <v>38675</v>
      </c>
      <c r="S256" s="26" t="n">
        <v>4397027</v>
      </c>
      <c r="T256" s="26" t="n">
        <v>3476686</v>
      </c>
      <c r="U256" s="26" t="n">
        <v>352169</v>
      </c>
      <c r="V256" s="26" t="n">
        <v>3828855</v>
      </c>
      <c r="W256" s="26" t="n">
        <v>4358352</v>
      </c>
      <c r="X256" s="27" t="n">
        <f aca="false">IF(V256=0,0,(W256-V256)/V256)</f>
        <v>0.138291212385948</v>
      </c>
      <c r="Y256" s="26" t="n">
        <v>3828855</v>
      </c>
      <c r="Z256" s="26" t="n">
        <v>1699116300.96</v>
      </c>
      <c r="AA256" s="26" t="n">
        <v>1640816296.96</v>
      </c>
      <c r="AB256" s="28" t="n">
        <f aca="false">IF(B256=0,0,L256/B256*10000)</f>
        <v>3.70793539048469</v>
      </c>
      <c r="AC256" s="28" t="n">
        <f aca="false">IF(D256=0,0,M256/D256*10000)</f>
        <v>3.70793539048469</v>
      </c>
      <c r="AD256" s="28" t="n">
        <f aca="false">IF(C256=0,0,N256/C256*10000)</f>
        <v>0</v>
      </c>
      <c r="AE256" s="28" t="n">
        <f aca="false">IF(E256=0,0,Q256/E256*10000)</f>
        <v>6.44638915253453</v>
      </c>
    </row>
    <row r="257" customFormat="false" ht="15" hidden="false" customHeight="true" outlineLevel="0" collapsed="false">
      <c r="A257" s="7" t="s">
        <v>390</v>
      </c>
      <c r="B257" s="26" t="n">
        <v>10809512037</v>
      </c>
      <c r="C257" s="26" t="n">
        <v>0</v>
      </c>
      <c r="D257" s="26" t="n">
        <v>10809512037</v>
      </c>
      <c r="E257" s="26" t="n">
        <v>1143011983</v>
      </c>
      <c r="F257" s="26" t="n">
        <v>0</v>
      </c>
      <c r="G257" s="26" t="n">
        <v>0</v>
      </c>
      <c r="H257" s="26" t="n">
        <v>0</v>
      </c>
      <c r="I257" s="26" t="n">
        <v>0</v>
      </c>
      <c r="J257" s="26" t="n">
        <v>0</v>
      </c>
      <c r="K257" s="26" t="n">
        <v>0</v>
      </c>
      <c r="L257" s="26" t="n">
        <v>4131310</v>
      </c>
      <c r="M257" s="26" t="n">
        <v>4131310</v>
      </c>
      <c r="N257" s="26" t="n">
        <v>0</v>
      </c>
      <c r="O257" s="26" t="n">
        <v>0</v>
      </c>
      <c r="P257" s="26" t="n">
        <v>0</v>
      </c>
      <c r="Q257" s="26" t="n">
        <v>877218</v>
      </c>
      <c r="R257" s="26" t="n">
        <v>41854</v>
      </c>
      <c r="S257" s="26" t="n">
        <v>5050382</v>
      </c>
      <c r="T257" s="26" t="n">
        <v>3468534</v>
      </c>
      <c r="U257" s="26" t="n">
        <v>675011</v>
      </c>
      <c r="V257" s="26" t="n">
        <v>4143545</v>
      </c>
      <c r="W257" s="26" t="n">
        <v>5008528</v>
      </c>
      <c r="X257" s="27" t="n">
        <f aca="false">IF(V257=0,0,(W257-V257)/V257)</f>
        <v>0.208754339581204</v>
      </c>
      <c r="Y257" s="26" t="n">
        <v>4143545</v>
      </c>
      <c r="Z257" s="26" t="n">
        <v>1699116300.96</v>
      </c>
      <c r="AA257" s="26" t="n">
        <v>1640816296.96</v>
      </c>
      <c r="AB257" s="28" t="n">
        <f aca="false">IF(B257=0,0,L257/B257*10000)</f>
        <v>3.8219209024967</v>
      </c>
      <c r="AC257" s="28" t="n">
        <f aca="false">IF(D257=0,0,M257/D257*10000)</f>
        <v>3.8219209024967</v>
      </c>
      <c r="AD257" s="28" t="n">
        <f aca="false">IF(C257=0,0,N257/C257*10000)</f>
        <v>0</v>
      </c>
      <c r="AE257" s="28" t="n">
        <f aca="false">IF(E257=0,0,Q257/E257*10000)</f>
        <v>7.67461770346112</v>
      </c>
    </row>
    <row r="258" customFormat="false" ht="15" hidden="false" customHeight="true" outlineLevel="0" collapsed="false">
      <c r="A258" s="7" t="s">
        <v>391</v>
      </c>
      <c r="B258" s="26" t="n">
        <v>10671283516</v>
      </c>
      <c r="C258" s="26" t="n">
        <v>0</v>
      </c>
      <c r="D258" s="26" t="n">
        <v>10671283516</v>
      </c>
      <c r="E258" s="26" t="n">
        <v>1074889163</v>
      </c>
      <c r="F258" s="26" t="n">
        <v>0</v>
      </c>
      <c r="G258" s="26" t="n">
        <v>0</v>
      </c>
      <c r="H258" s="26" t="n">
        <v>0</v>
      </c>
      <c r="I258" s="26" t="n">
        <v>0</v>
      </c>
      <c r="J258" s="26" t="n">
        <v>0</v>
      </c>
      <c r="K258" s="26" t="n">
        <v>0</v>
      </c>
      <c r="L258" s="26" t="n">
        <v>4642326</v>
      </c>
      <c r="M258" s="26" t="n">
        <v>4642326</v>
      </c>
      <c r="N258" s="26" t="n">
        <v>0</v>
      </c>
      <c r="O258" s="26" t="n">
        <v>0</v>
      </c>
      <c r="P258" s="26" t="n">
        <v>0</v>
      </c>
      <c r="Q258" s="26" t="n">
        <v>932625</v>
      </c>
      <c r="R258" s="26" t="n">
        <v>46740</v>
      </c>
      <c r="S258" s="26" t="n">
        <v>5621691</v>
      </c>
      <c r="T258" s="26" t="n">
        <v>3907480</v>
      </c>
      <c r="U258" s="26" t="n">
        <v>719743</v>
      </c>
      <c r="V258" s="26" t="n">
        <v>4627223</v>
      </c>
      <c r="W258" s="26" t="n">
        <v>5574951</v>
      </c>
      <c r="X258" s="27" t="n">
        <f aca="false">IF(V258=0,0,(W258-V258)/V258)</f>
        <v>0.204815717764197</v>
      </c>
      <c r="Y258" s="26" t="n">
        <v>4627223</v>
      </c>
      <c r="Z258" s="26" t="n">
        <v>1699116300.96</v>
      </c>
      <c r="AA258" s="26" t="n">
        <v>1640816296.96</v>
      </c>
      <c r="AB258" s="28" t="n">
        <f aca="false">IF(B258=0,0,L258/B258*10000)</f>
        <v>4.35029768728337</v>
      </c>
      <c r="AC258" s="28" t="n">
        <f aca="false">IF(D258=0,0,M258/D258*10000)</f>
        <v>4.35029768728337</v>
      </c>
      <c r="AD258" s="28" t="n">
        <f aca="false">IF(C258=0,0,N258/C258*10000)</f>
        <v>0</v>
      </c>
      <c r="AE258" s="28" t="n">
        <f aca="false">IF(E258=0,0,Q258/E258*10000)</f>
        <v>8.67647597634213</v>
      </c>
    </row>
    <row r="259" customFormat="false" ht="15" hidden="false" customHeight="true" outlineLevel="0" collapsed="false">
      <c r="A259" s="7" t="s">
        <v>392</v>
      </c>
      <c r="B259" s="26" t="n">
        <v>7104312241</v>
      </c>
      <c r="C259" s="26" t="n">
        <v>0</v>
      </c>
      <c r="D259" s="26" t="n">
        <v>7104312241</v>
      </c>
      <c r="E259" s="26" t="n">
        <v>933188889</v>
      </c>
      <c r="F259" s="26" t="n">
        <v>0</v>
      </c>
      <c r="G259" s="26" t="n">
        <v>0</v>
      </c>
      <c r="H259" s="26" t="n">
        <v>0</v>
      </c>
      <c r="I259" s="26" t="n">
        <v>0</v>
      </c>
      <c r="J259" s="26" t="n">
        <v>0</v>
      </c>
      <c r="K259" s="26" t="n">
        <v>0</v>
      </c>
      <c r="L259" s="26" t="n">
        <v>3194366</v>
      </c>
      <c r="M259" s="26" t="n">
        <v>3194366</v>
      </c>
      <c r="N259" s="26" t="n">
        <v>0</v>
      </c>
      <c r="O259" s="26" t="n">
        <v>0</v>
      </c>
      <c r="P259" s="26" t="n">
        <v>0</v>
      </c>
      <c r="Q259" s="26" t="n">
        <v>872004</v>
      </c>
      <c r="R259" s="26" t="n">
        <v>32557</v>
      </c>
      <c r="S259" s="26" t="n">
        <v>4098927</v>
      </c>
      <c r="T259" s="26" t="n">
        <v>2555436</v>
      </c>
      <c r="U259" s="26" t="n">
        <v>667731</v>
      </c>
      <c r="V259" s="26" t="n">
        <v>3223167</v>
      </c>
      <c r="W259" s="26" t="n">
        <v>4066370</v>
      </c>
      <c r="X259" s="27" t="n">
        <f aca="false">IF(V259=0,0,(W259-V259)/V259)</f>
        <v>0.261606984683077</v>
      </c>
      <c r="Y259" s="26" t="n">
        <v>3223167</v>
      </c>
      <c r="Z259" s="26" t="n">
        <v>1699116300.96</v>
      </c>
      <c r="AA259" s="26" t="n">
        <v>1640816296.96</v>
      </c>
      <c r="AB259" s="28" t="n">
        <f aca="false">IF(B259=0,0,L259/B259*10000)</f>
        <v>4.49637613274492</v>
      </c>
      <c r="AC259" s="28" t="n">
        <f aca="false">IF(D259=0,0,M259/D259*10000)</f>
        <v>4.49637613274492</v>
      </c>
      <c r="AD259" s="28" t="n">
        <f aca="false">IF(C259=0,0,N259/C259*10000)</f>
        <v>0</v>
      </c>
      <c r="AE259" s="28" t="n">
        <f aca="false">IF(E259=0,0,Q259/E259*10000)</f>
        <v>9.34434614769615</v>
      </c>
    </row>
    <row r="260" customFormat="false" ht="15" hidden="false" customHeight="true" outlineLevel="0" collapsed="false">
      <c r="A260" s="7" t="s">
        <v>393</v>
      </c>
      <c r="B260" s="26" t="n">
        <v>7403072610</v>
      </c>
      <c r="C260" s="26" t="n">
        <v>0</v>
      </c>
      <c r="D260" s="26" t="n">
        <v>7403072610</v>
      </c>
      <c r="E260" s="26" t="n">
        <v>1477956942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0</v>
      </c>
      <c r="L260" s="26" t="n">
        <v>3575600</v>
      </c>
      <c r="M260" s="26" t="n">
        <v>3575600</v>
      </c>
      <c r="N260" s="26" t="n">
        <v>0</v>
      </c>
      <c r="O260" s="26" t="n">
        <v>0</v>
      </c>
      <c r="P260" s="26" t="n">
        <v>0</v>
      </c>
      <c r="Q260" s="26" t="n">
        <v>1484929</v>
      </c>
      <c r="R260" s="26" t="n">
        <v>37534</v>
      </c>
      <c r="S260" s="26" t="n">
        <v>5098063</v>
      </c>
      <c r="T260" s="26" t="n">
        <v>2537973</v>
      </c>
      <c r="U260" s="26" t="n">
        <v>1177892</v>
      </c>
      <c r="V260" s="26" t="n">
        <v>3715865</v>
      </c>
      <c r="W260" s="26" t="n">
        <v>5060529</v>
      </c>
      <c r="X260" s="27" t="n">
        <f aca="false">IF(V260=0,0,(W260-V260)/V260)</f>
        <v>0.361871058286563</v>
      </c>
      <c r="Y260" s="26" t="n">
        <v>3715865</v>
      </c>
      <c r="Z260" s="26" t="n">
        <v>1699116300.96</v>
      </c>
      <c r="AA260" s="26" t="n">
        <v>1640816296.96</v>
      </c>
      <c r="AB260" s="28" t="n">
        <f aca="false">IF(B260=0,0,L260/B260*10000)</f>
        <v>4.8298864381934</v>
      </c>
      <c r="AC260" s="28" t="n">
        <f aca="false">IF(D260=0,0,M260/D260*10000)</f>
        <v>4.8298864381934</v>
      </c>
      <c r="AD260" s="28" t="n">
        <f aca="false">IF(C260=0,0,N260/C260*10000)</f>
        <v>0</v>
      </c>
      <c r="AE260" s="28" t="n">
        <f aca="false">IF(E260=0,0,Q260/E260*10000)</f>
        <v>10.0471736205695</v>
      </c>
    </row>
    <row r="261" customFormat="false" ht="15" hidden="false" customHeight="true" outlineLevel="0" collapsed="false">
      <c r="A261" s="7" t="s">
        <v>394</v>
      </c>
      <c r="B261" s="26" t="n">
        <v>10532967892</v>
      </c>
      <c r="C261" s="26" t="n">
        <v>0</v>
      </c>
      <c r="D261" s="26" t="n">
        <v>10532967892</v>
      </c>
      <c r="E261" s="26" t="n">
        <v>770683982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0</v>
      </c>
      <c r="L261" s="26" t="n">
        <v>4144941</v>
      </c>
      <c r="M261" s="26" t="n">
        <v>4144941</v>
      </c>
      <c r="N261" s="26" t="n">
        <v>0</v>
      </c>
      <c r="O261" s="26" t="n">
        <v>0</v>
      </c>
      <c r="P261" s="26" t="n">
        <v>0</v>
      </c>
      <c r="Q261" s="26" t="n">
        <v>546177</v>
      </c>
      <c r="R261" s="26" t="n">
        <v>40732</v>
      </c>
      <c r="S261" s="26" t="n">
        <v>4731850</v>
      </c>
      <c r="T261" s="26" t="n">
        <v>3586449</v>
      </c>
      <c r="U261" s="26" t="n">
        <v>446016</v>
      </c>
      <c r="V261" s="26" t="n">
        <v>4032465</v>
      </c>
      <c r="W261" s="26" t="n">
        <v>4691118</v>
      </c>
      <c r="X261" s="27" t="n">
        <f aca="false">IF(V261=0,0,(W261-V261)/V261)</f>
        <v>0.163337561516343</v>
      </c>
      <c r="Y261" s="26" t="n">
        <v>4032465</v>
      </c>
      <c r="Z261" s="26" t="n">
        <v>1699116300.96</v>
      </c>
      <c r="AA261" s="26" t="n">
        <v>1640816296.96</v>
      </c>
      <c r="AB261" s="28" t="n">
        <f aca="false">IF(B261=0,0,L261/B261*10000)</f>
        <v>3.93520709689827</v>
      </c>
      <c r="AC261" s="28" t="n">
        <f aca="false">IF(D261=0,0,M261/D261*10000)</f>
        <v>3.93520709689827</v>
      </c>
      <c r="AD261" s="28" t="n">
        <f aca="false">IF(C261=0,0,N261/C261*10000)</f>
        <v>0</v>
      </c>
      <c r="AE261" s="28" t="n">
        <f aca="false">IF(E261=0,0,Q261/E261*10000)</f>
        <v>7.08691257060537</v>
      </c>
    </row>
    <row r="262" customFormat="false" ht="15" hidden="false" customHeight="true" outlineLevel="0" collapsed="false">
      <c r="A262" s="7" t="s">
        <v>395</v>
      </c>
      <c r="B262" s="26" t="n">
        <v>8618762592</v>
      </c>
      <c r="C262" s="26" t="n">
        <v>0</v>
      </c>
      <c r="D262" s="26" t="n">
        <v>8618762592</v>
      </c>
      <c r="E262" s="26" t="n">
        <v>690945291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0</v>
      </c>
      <c r="L262" s="26" t="n">
        <v>3321779</v>
      </c>
      <c r="M262" s="26" t="n">
        <v>3321779</v>
      </c>
      <c r="N262" s="26" t="n">
        <v>0</v>
      </c>
      <c r="O262" s="26" t="n">
        <v>0</v>
      </c>
      <c r="P262" s="26" t="n">
        <v>0</v>
      </c>
      <c r="Q262" s="26" t="n">
        <v>513550</v>
      </c>
      <c r="R262" s="26" t="n">
        <v>33100</v>
      </c>
      <c r="S262" s="26" t="n">
        <v>3868429</v>
      </c>
      <c r="T262" s="26" t="n">
        <v>2841891</v>
      </c>
      <c r="U262" s="26" t="n">
        <v>434995</v>
      </c>
      <c r="V262" s="26" t="n">
        <v>3276886</v>
      </c>
      <c r="W262" s="26" t="n">
        <v>3835329</v>
      </c>
      <c r="X262" s="27" t="n">
        <f aca="false">IF(V262=0,0,(W262-V262)/V262)</f>
        <v>0.170418806147055</v>
      </c>
      <c r="Y262" s="26" t="n">
        <v>3276886</v>
      </c>
      <c r="Z262" s="26" t="n">
        <v>1699116300.96</v>
      </c>
      <c r="AA262" s="26" t="n">
        <v>1640816296.96</v>
      </c>
      <c r="AB262" s="28" t="n">
        <f aca="false">IF(B262=0,0,L262/B262*10000)</f>
        <v>3.85412518855468</v>
      </c>
      <c r="AC262" s="28" t="n">
        <f aca="false">IF(D262=0,0,M262/D262*10000)</f>
        <v>3.85412518855468</v>
      </c>
      <c r="AD262" s="28" t="n">
        <f aca="false">IF(C262=0,0,N262/C262*10000)</f>
        <v>0</v>
      </c>
      <c r="AE262" s="28" t="n">
        <f aca="false">IF(E262=0,0,Q262/E262*10000)</f>
        <v>7.43257109773109</v>
      </c>
    </row>
    <row r="263" customFormat="false" ht="15" hidden="false" customHeight="true" outlineLevel="0" collapsed="false">
      <c r="A263" s="7" t="s">
        <v>396</v>
      </c>
      <c r="B263" s="26" t="n">
        <v>12393726396</v>
      </c>
      <c r="C263" s="26" t="n">
        <v>0</v>
      </c>
      <c r="D263" s="26" t="n">
        <v>12393726396</v>
      </c>
      <c r="E263" s="26" t="n">
        <v>986676209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0</v>
      </c>
      <c r="L263" s="26" t="n">
        <v>4804170</v>
      </c>
      <c r="M263" s="26" t="n">
        <v>4804170</v>
      </c>
      <c r="N263" s="26" t="n">
        <v>0</v>
      </c>
      <c r="O263" s="26" t="n">
        <v>0</v>
      </c>
      <c r="P263" s="26" t="n">
        <v>0</v>
      </c>
      <c r="Q263" s="26" t="n">
        <v>733442</v>
      </c>
      <c r="R263" s="26" t="n">
        <v>47641</v>
      </c>
      <c r="S263" s="26" t="n">
        <v>5585253</v>
      </c>
      <c r="T263" s="26" t="n">
        <v>4097230</v>
      </c>
      <c r="U263" s="26" t="n">
        <v>619267</v>
      </c>
      <c r="V263" s="26" t="n">
        <v>4716497</v>
      </c>
      <c r="W263" s="26" t="n">
        <v>5537612</v>
      </c>
      <c r="X263" s="27" t="n">
        <f aca="false">IF(V263=0,0,(W263-V263)/V263)</f>
        <v>0.174094248337272</v>
      </c>
      <c r="Y263" s="26" t="n">
        <v>4716497</v>
      </c>
      <c r="Z263" s="26" t="n">
        <v>1796921182.85</v>
      </c>
      <c r="AA263" s="26" t="n">
        <v>1738621178.85</v>
      </c>
      <c r="AB263" s="28" t="n">
        <f aca="false">IF(B263=0,0,L263/B263*10000)</f>
        <v>3.87629179997915</v>
      </c>
      <c r="AC263" s="28" t="n">
        <f aca="false">IF(D263=0,0,M263/D263*10000)</f>
        <v>3.87629179997915</v>
      </c>
      <c r="AD263" s="28" t="n">
        <f aca="false">IF(C263=0,0,N263/C263*10000)</f>
        <v>0</v>
      </c>
      <c r="AE263" s="28" t="n">
        <f aca="false">IF(E263=0,0,Q263/E263*10000)</f>
        <v>7.43346189266432</v>
      </c>
    </row>
    <row r="264" customFormat="false" ht="15" hidden="false" customHeight="true" outlineLevel="0" collapsed="false">
      <c r="A264" s="7" t="s">
        <v>397</v>
      </c>
      <c r="B264" s="26" t="n">
        <v>9422309379</v>
      </c>
      <c r="C264" s="26" t="n">
        <v>0</v>
      </c>
      <c r="D264" s="26" t="n">
        <v>9422309379</v>
      </c>
      <c r="E264" s="26" t="n">
        <v>814323405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0</v>
      </c>
      <c r="L264" s="26" t="n">
        <v>3915547</v>
      </c>
      <c r="M264" s="26" t="n">
        <v>3915547</v>
      </c>
      <c r="N264" s="26" t="n">
        <v>0</v>
      </c>
      <c r="O264" s="26" t="n">
        <v>0</v>
      </c>
      <c r="P264" s="26" t="n">
        <v>0</v>
      </c>
      <c r="Q264" s="26" t="n">
        <v>590986</v>
      </c>
      <c r="R264" s="26" t="n">
        <v>38759</v>
      </c>
      <c r="S264" s="26" t="n">
        <v>4545292</v>
      </c>
      <c r="T264" s="26" t="n">
        <v>3324896</v>
      </c>
      <c r="U264" s="26" t="n">
        <v>512239</v>
      </c>
      <c r="V264" s="26" t="n">
        <v>3837135</v>
      </c>
      <c r="W264" s="26" t="n">
        <v>4506533</v>
      </c>
      <c r="X264" s="27" t="n">
        <f aca="false">IF(V264=0,0,(W264-V264)/V264)</f>
        <v>0.17445255379339</v>
      </c>
      <c r="Y264" s="26" t="n">
        <v>3837135</v>
      </c>
      <c r="Z264" s="26" t="n">
        <v>1796921182.85</v>
      </c>
      <c r="AA264" s="26" t="n">
        <v>1738621178.85</v>
      </c>
      <c r="AB264" s="28" t="n">
        <f aca="false">IF(B264=0,0,L264/B264*10000)</f>
        <v>4.15561285721183</v>
      </c>
      <c r="AC264" s="28" t="n">
        <f aca="false">IF(D264=0,0,M264/D264*10000)</f>
        <v>4.15561285721183</v>
      </c>
      <c r="AD264" s="28" t="n">
        <f aca="false">IF(C264=0,0,N264/C264*10000)</f>
        <v>0</v>
      </c>
      <c r="AE264" s="28" t="n">
        <f aca="false">IF(E264=0,0,Q264/E264*10000)</f>
        <v>7.25738688549668</v>
      </c>
    </row>
    <row r="265" customFormat="false" ht="15" hidden="false" customHeight="true" outlineLevel="0" collapsed="false">
      <c r="A265" s="7" t="s">
        <v>398</v>
      </c>
      <c r="B265" s="26" t="n">
        <v>8931578013</v>
      </c>
      <c r="C265" s="26" t="n">
        <v>0</v>
      </c>
      <c r="D265" s="26" t="n">
        <v>8931578013</v>
      </c>
      <c r="E265" s="26" t="n">
        <v>579109065</v>
      </c>
      <c r="F265" s="26" t="n">
        <v>0</v>
      </c>
      <c r="G265" s="26" t="n">
        <v>0</v>
      </c>
      <c r="H265" s="26" t="n">
        <v>0</v>
      </c>
      <c r="I265" s="26" t="n">
        <v>0</v>
      </c>
      <c r="J265" s="26" t="n">
        <v>0</v>
      </c>
      <c r="K265" s="26" t="n">
        <v>0</v>
      </c>
      <c r="L265" s="26" t="n">
        <v>3475873</v>
      </c>
      <c r="M265" s="26" t="n">
        <v>3475873</v>
      </c>
      <c r="N265" s="26" t="n">
        <v>0</v>
      </c>
      <c r="O265" s="26" t="n">
        <v>0</v>
      </c>
      <c r="P265" s="26" t="n">
        <v>0</v>
      </c>
      <c r="Q265" s="26" t="n">
        <v>380519</v>
      </c>
      <c r="R265" s="26" t="n">
        <v>34153</v>
      </c>
      <c r="S265" s="26" t="n">
        <v>3890545</v>
      </c>
      <c r="T265" s="26" t="n">
        <v>3066784</v>
      </c>
      <c r="U265" s="26" t="n">
        <v>314403</v>
      </c>
      <c r="V265" s="26" t="n">
        <v>3381187</v>
      </c>
      <c r="W265" s="26" t="n">
        <v>3856392</v>
      </c>
      <c r="X265" s="27" t="n">
        <f aca="false">IF(V265=0,0,(W265-V265)/V265)</f>
        <v>0.140543838598693</v>
      </c>
      <c r="Y265" s="26" t="n">
        <v>3381187</v>
      </c>
      <c r="Z265" s="26" t="n">
        <v>1796921182.85</v>
      </c>
      <c r="AA265" s="26" t="n">
        <v>1738621178.85</v>
      </c>
      <c r="AB265" s="28" t="n">
        <f aca="false">IF(B265=0,0,L265/B265*10000)</f>
        <v>3.89166728985721</v>
      </c>
      <c r="AC265" s="28" t="n">
        <f aca="false">IF(D265=0,0,M265/D265*10000)</f>
        <v>3.89166728985721</v>
      </c>
      <c r="AD265" s="28" t="n">
        <f aca="false">IF(C265=0,0,N265/C265*10000)</f>
        <v>0</v>
      </c>
      <c r="AE265" s="28" t="n">
        <f aca="false">IF(E265=0,0,Q265/E265*10000)</f>
        <v>6.57076573304892</v>
      </c>
    </row>
    <row r="266" customFormat="false" ht="15" hidden="false" customHeight="true" outlineLevel="0" collapsed="false">
      <c r="A266" s="7" t="s">
        <v>399</v>
      </c>
      <c r="B266" s="26" t="n">
        <v>4155114107</v>
      </c>
      <c r="C266" s="26" t="n">
        <v>0</v>
      </c>
      <c r="D266" s="26" t="n">
        <v>4155114107</v>
      </c>
      <c r="E266" s="26" t="n">
        <v>462252344</v>
      </c>
      <c r="F266" s="26" t="n">
        <v>0</v>
      </c>
      <c r="G266" s="26" t="n">
        <v>0</v>
      </c>
      <c r="H266" s="26" t="n">
        <v>0</v>
      </c>
      <c r="I266" s="26" t="n">
        <v>0</v>
      </c>
      <c r="J266" s="26" t="n">
        <v>0</v>
      </c>
      <c r="K266" s="26" t="n">
        <v>0</v>
      </c>
      <c r="L266" s="26" t="n">
        <v>1909344</v>
      </c>
      <c r="M266" s="26" t="n">
        <v>1909344</v>
      </c>
      <c r="N266" s="26" t="n">
        <v>0</v>
      </c>
      <c r="O266" s="26" t="n">
        <v>0</v>
      </c>
      <c r="P266" s="26" t="n">
        <v>0</v>
      </c>
      <c r="Q266" s="26" t="n">
        <v>334244</v>
      </c>
      <c r="R266" s="26" t="n">
        <v>18824</v>
      </c>
      <c r="S266" s="26" t="n">
        <v>2262412</v>
      </c>
      <c r="T266" s="26" t="n">
        <v>1585026</v>
      </c>
      <c r="U266" s="26" t="n">
        <v>278589</v>
      </c>
      <c r="V266" s="26" t="n">
        <v>1863615</v>
      </c>
      <c r="W266" s="26" t="n">
        <v>2243588</v>
      </c>
      <c r="X266" s="27" t="n">
        <f aca="false">IF(V266=0,0,(W266-V266)/V266)</f>
        <v>0.203890288498429</v>
      </c>
      <c r="Y266" s="26" t="n">
        <v>1863615</v>
      </c>
      <c r="Z266" s="26" t="n">
        <v>1796921182.85</v>
      </c>
      <c r="AA266" s="26" t="n">
        <v>1738621178.85</v>
      </c>
      <c r="AB266" s="28" t="n">
        <f aca="false">IF(B266=0,0,L266/B266*10000)</f>
        <v>4.59516622367454</v>
      </c>
      <c r="AC266" s="28" t="n">
        <f aca="false">IF(D266=0,0,M266/D266*10000)</f>
        <v>4.59516622367454</v>
      </c>
      <c r="AD266" s="28" t="n">
        <f aca="false">IF(C266=0,0,N266/C266*10000)</f>
        <v>0</v>
      </c>
      <c r="AE266" s="28" t="n">
        <f aca="false">IF(E266=0,0,Q266/E266*10000)</f>
        <v>7.23076917485571</v>
      </c>
    </row>
    <row r="267" customFormat="false" ht="15" hidden="false" customHeight="true" outlineLevel="0" collapsed="false">
      <c r="A267" s="7" t="s">
        <v>400</v>
      </c>
      <c r="B267" s="26" t="n">
        <v>6010467138</v>
      </c>
      <c r="C267" s="26" t="n">
        <v>0</v>
      </c>
      <c r="D267" s="26" t="n">
        <v>6010467138</v>
      </c>
      <c r="E267" s="26" t="n">
        <v>514163673</v>
      </c>
      <c r="F267" s="26" t="n">
        <v>0</v>
      </c>
      <c r="G267" s="26" t="n">
        <v>0</v>
      </c>
      <c r="H267" s="26" t="n">
        <v>0</v>
      </c>
      <c r="I267" s="26" t="n">
        <v>0</v>
      </c>
      <c r="J267" s="26" t="n">
        <v>0</v>
      </c>
      <c r="K267" s="26" t="n">
        <v>0</v>
      </c>
      <c r="L267" s="26" t="n">
        <v>2165365</v>
      </c>
      <c r="M267" s="26" t="n">
        <v>2165365</v>
      </c>
      <c r="N267" s="26" t="n">
        <v>0</v>
      </c>
      <c r="O267" s="26" t="n">
        <v>0</v>
      </c>
      <c r="P267" s="26" t="n">
        <v>0</v>
      </c>
      <c r="Q267" s="26" t="n">
        <v>269790</v>
      </c>
      <c r="R267" s="26" t="n">
        <v>21538</v>
      </c>
      <c r="S267" s="26" t="n">
        <v>2456693</v>
      </c>
      <c r="T267" s="26" t="n">
        <v>1905006</v>
      </c>
      <c r="U267" s="26" t="n">
        <v>227210</v>
      </c>
      <c r="V267" s="26" t="n">
        <v>2132216</v>
      </c>
      <c r="W267" s="26" t="n">
        <v>2435155</v>
      </c>
      <c r="X267" s="27" t="n">
        <f aca="false">IF(V267=0,0,(W267-V267)/V267)</f>
        <v>0.142077069114949</v>
      </c>
      <c r="Y267" s="26" t="n">
        <v>2132216</v>
      </c>
      <c r="Z267" s="26" t="n">
        <v>1796921182.85</v>
      </c>
      <c r="AA267" s="26" t="n">
        <v>1738621178.85</v>
      </c>
      <c r="AB267" s="28" t="n">
        <f aca="false">IF(B267=0,0,L267/B267*10000)</f>
        <v>3.60265674910674</v>
      </c>
      <c r="AC267" s="28" t="n">
        <f aca="false">IF(D267=0,0,M267/D267*10000)</f>
        <v>3.60265674910674</v>
      </c>
      <c r="AD267" s="28" t="n">
        <f aca="false">IF(C267=0,0,N267/C267*10000)</f>
        <v>0</v>
      </c>
      <c r="AE267" s="28" t="n">
        <f aca="false">IF(E267=0,0,Q267/E267*10000)</f>
        <v>5.24716183128714</v>
      </c>
    </row>
    <row r="268" customFormat="false" ht="15" hidden="false" customHeight="true" outlineLevel="0" collapsed="false">
      <c r="A268" s="7" t="s">
        <v>401</v>
      </c>
      <c r="B268" s="26" t="n">
        <v>15629699440</v>
      </c>
      <c r="C268" s="26" t="n">
        <v>0</v>
      </c>
      <c r="D268" s="26" t="n">
        <v>15629699440</v>
      </c>
      <c r="E268" s="26" t="n">
        <v>783516467</v>
      </c>
      <c r="F268" s="26" t="n">
        <v>0</v>
      </c>
      <c r="G268" s="26" t="n">
        <v>0</v>
      </c>
      <c r="H268" s="26" t="n">
        <v>0</v>
      </c>
      <c r="I268" s="26" t="n">
        <v>0</v>
      </c>
      <c r="J268" s="26" t="n">
        <v>0</v>
      </c>
      <c r="K268" s="26" t="n">
        <v>0</v>
      </c>
      <c r="L268" s="26" t="n">
        <v>5759172</v>
      </c>
      <c r="M268" s="26" t="n">
        <v>5759172</v>
      </c>
      <c r="N268" s="26" t="n">
        <v>0</v>
      </c>
      <c r="O268" s="26" t="n">
        <v>0</v>
      </c>
      <c r="P268" s="26" t="n">
        <v>0</v>
      </c>
      <c r="Q268" s="26" t="n">
        <v>327310</v>
      </c>
      <c r="R268" s="26" t="n">
        <v>57327</v>
      </c>
      <c r="S268" s="26" t="n">
        <v>6143809</v>
      </c>
      <c r="T268" s="26" t="n">
        <v>5422293</v>
      </c>
      <c r="U268" s="26" t="n">
        <v>253053</v>
      </c>
      <c r="V268" s="26" t="n">
        <v>5675346</v>
      </c>
      <c r="W268" s="26" t="n">
        <v>6086482</v>
      </c>
      <c r="X268" s="27" t="n">
        <f aca="false">IF(V268=0,0,(W268-V268)/V268)</f>
        <v>0.0724424554908194</v>
      </c>
      <c r="Y268" s="26" t="n">
        <v>5675346</v>
      </c>
      <c r="Z268" s="26" t="n">
        <v>1796921182.85</v>
      </c>
      <c r="AA268" s="26" t="n">
        <v>1738621178.85</v>
      </c>
      <c r="AB268" s="28" t="n">
        <f aca="false">IF(B268=0,0,L268/B268*10000)</f>
        <v>3.68476183570169</v>
      </c>
      <c r="AC268" s="28" t="n">
        <f aca="false">IF(D268=0,0,M268/D268*10000)</f>
        <v>3.68476183570169</v>
      </c>
      <c r="AD268" s="28" t="n">
        <f aca="false">IF(C268=0,0,N268/C268*10000)</f>
        <v>0</v>
      </c>
      <c r="AE268" s="28" t="n">
        <f aca="false">IF(E268=0,0,Q268/E268*10000)</f>
        <v>4.17744889591453</v>
      </c>
    </row>
    <row r="269" customFormat="false" ht="15" hidden="false" customHeight="true" outlineLevel="0" collapsed="false">
      <c r="A269" s="7" t="s">
        <v>402</v>
      </c>
      <c r="B269" s="26" t="n">
        <v>9719758157</v>
      </c>
      <c r="C269" s="26" t="n">
        <v>0</v>
      </c>
      <c r="D269" s="26" t="n">
        <v>9719758157</v>
      </c>
      <c r="E269" s="26" t="n">
        <v>516089514</v>
      </c>
      <c r="F269" s="26" t="n">
        <v>0</v>
      </c>
      <c r="G269" s="26" t="n">
        <v>0</v>
      </c>
      <c r="H269" s="26" t="n">
        <v>0</v>
      </c>
      <c r="I269" s="26" t="n">
        <v>0</v>
      </c>
      <c r="J269" s="26" t="n">
        <v>0</v>
      </c>
      <c r="K269" s="26" t="n">
        <v>0</v>
      </c>
      <c r="L269" s="26" t="n">
        <v>3293140</v>
      </c>
      <c r="M269" s="26" t="n">
        <v>3293140</v>
      </c>
      <c r="N269" s="26" t="n">
        <v>0</v>
      </c>
      <c r="O269" s="26" t="n">
        <v>0</v>
      </c>
      <c r="P269" s="26" t="n">
        <v>0</v>
      </c>
      <c r="Q269" s="26" t="n">
        <v>222638</v>
      </c>
      <c r="R269" s="26" t="n">
        <v>32502</v>
      </c>
      <c r="S269" s="26" t="n">
        <v>3548280</v>
      </c>
      <c r="T269" s="26" t="n">
        <v>3038689</v>
      </c>
      <c r="U269" s="26" t="n">
        <v>179008</v>
      </c>
      <c r="V269" s="26" t="n">
        <v>3217697</v>
      </c>
      <c r="W269" s="26" t="n">
        <v>3515778</v>
      </c>
      <c r="X269" s="27" t="n">
        <f aca="false">IF(V269=0,0,(W269-V269)/V269)</f>
        <v>0.0926379954358661</v>
      </c>
      <c r="Y269" s="26" t="n">
        <v>3217697</v>
      </c>
      <c r="Z269" s="26" t="n">
        <v>1796921182.85</v>
      </c>
      <c r="AA269" s="26" t="n">
        <v>1738621178.85</v>
      </c>
      <c r="AB269" s="28" t="n">
        <f aca="false">IF(B269=0,0,L269/B269*10000)</f>
        <v>3.38808841414263</v>
      </c>
      <c r="AC269" s="28" t="n">
        <f aca="false">IF(D269=0,0,M269/D269*10000)</f>
        <v>3.38808841414263</v>
      </c>
      <c r="AD269" s="28" t="n">
        <f aca="false">IF(C269=0,0,N269/C269*10000)</f>
        <v>0</v>
      </c>
      <c r="AE269" s="28" t="n">
        <f aca="false">IF(E269=0,0,Q269/E269*10000)</f>
        <v>4.31394155394523</v>
      </c>
    </row>
    <row r="270" customFormat="false" ht="15" hidden="false" customHeight="true" outlineLevel="0" collapsed="false">
      <c r="A270" s="7" t="s">
        <v>403</v>
      </c>
      <c r="B270" s="26" t="n">
        <v>10093839390</v>
      </c>
      <c r="C270" s="26" t="n">
        <v>0</v>
      </c>
      <c r="D270" s="26" t="n">
        <v>10093839390</v>
      </c>
      <c r="E270" s="26" t="n">
        <v>536372957</v>
      </c>
      <c r="F270" s="26" t="n">
        <v>0</v>
      </c>
      <c r="G270" s="26" t="n">
        <v>0</v>
      </c>
      <c r="H270" s="26" t="n">
        <v>0</v>
      </c>
      <c r="I270" s="26" t="n">
        <v>0</v>
      </c>
      <c r="J270" s="26" t="n">
        <v>0</v>
      </c>
      <c r="K270" s="26" t="n">
        <v>0</v>
      </c>
      <c r="L270" s="26" t="n">
        <v>2896945</v>
      </c>
      <c r="M270" s="26" t="n">
        <v>2896945</v>
      </c>
      <c r="N270" s="26" t="n">
        <v>0</v>
      </c>
      <c r="O270" s="26" t="n">
        <v>0</v>
      </c>
      <c r="P270" s="26" t="n">
        <v>0</v>
      </c>
      <c r="Q270" s="26" t="n">
        <v>211012</v>
      </c>
      <c r="R270" s="26" t="n">
        <v>28617</v>
      </c>
      <c r="S270" s="26" t="n">
        <v>3136574</v>
      </c>
      <c r="T270" s="26" t="n">
        <v>2659902</v>
      </c>
      <c r="U270" s="26" t="n">
        <v>173179</v>
      </c>
      <c r="V270" s="26" t="n">
        <v>2833081</v>
      </c>
      <c r="W270" s="26" t="n">
        <v>3107957</v>
      </c>
      <c r="X270" s="27" t="n">
        <f aca="false">IF(V270=0,0,(W270-V270)/V270)</f>
        <v>0.0970236996400738</v>
      </c>
      <c r="Y270" s="26" t="n">
        <v>2833081</v>
      </c>
      <c r="Z270" s="26" t="n">
        <v>1450401221.15</v>
      </c>
      <c r="AA270" s="26" t="n">
        <v>1392101217.15</v>
      </c>
      <c r="AB270" s="28" t="n">
        <f aca="false">IF(B270=0,0,L270/B270*10000)</f>
        <v>2.87001297332907</v>
      </c>
      <c r="AC270" s="28" t="n">
        <f aca="false">IF(D270=0,0,M270/D270*10000)</f>
        <v>2.87001297332907</v>
      </c>
      <c r="AD270" s="28" t="n">
        <f aca="false">IF(C270=0,0,N270/C270*10000)</f>
        <v>0</v>
      </c>
      <c r="AE270" s="28" t="n">
        <f aca="false">IF(E270=0,0,Q270/E270*10000)</f>
        <v>3.93405367004735</v>
      </c>
    </row>
    <row r="271" customFormat="false" ht="15" hidden="false" customHeight="true" outlineLevel="0" collapsed="false">
      <c r="A271" s="7" t="s">
        <v>404</v>
      </c>
      <c r="B271" s="26" t="n">
        <v>18312129078</v>
      </c>
      <c r="C271" s="26" t="n">
        <v>0</v>
      </c>
      <c r="D271" s="26" t="n">
        <v>18312129078</v>
      </c>
      <c r="E271" s="26" t="n">
        <v>1367424995</v>
      </c>
      <c r="F271" s="26" t="n">
        <v>0</v>
      </c>
      <c r="G271" s="26" t="n">
        <v>0</v>
      </c>
      <c r="H271" s="26" t="n">
        <v>0</v>
      </c>
      <c r="I271" s="26" t="n">
        <v>0</v>
      </c>
      <c r="J271" s="26" t="n">
        <v>0</v>
      </c>
      <c r="K271" s="26" t="n">
        <v>0</v>
      </c>
      <c r="L271" s="26" t="n">
        <v>5362372</v>
      </c>
      <c r="M271" s="26" t="n">
        <v>5362372</v>
      </c>
      <c r="N271" s="26" t="n">
        <v>0</v>
      </c>
      <c r="O271" s="26" t="n">
        <v>0</v>
      </c>
      <c r="P271" s="26" t="n">
        <v>0</v>
      </c>
      <c r="Q271" s="26" t="n">
        <v>607352</v>
      </c>
      <c r="R271" s="26" t="n">
        <v>54676</v>
      </c>
      <c r="S271" s="26" t="n">
        <v>6024400</v>
      </c>
      <c r="T271" s="26" t="n">
        <v>4996779</v>
      </c>
      <c r="U271" s="26" t="n">
        <v>416147</v>
      </c>
      <c r="V271" s="26" t="n">
        <v>5412926</v>
      </c>
      <c r="W271" s="26" t="n">
        <v>5969724</v>
      </c>
      <c r="X271" s="27" t="n">
        <f aca="false">IF(V271=0,0,(W271-V271)/V271)</f>
        <v>0.10286451357362</v>
      </c>
      <c r="Y271" s="26" t="n">
        <v>5412926</v>
      </c>
      <c r="Z271" s="26" t="n">
        <v>1450401221.15</v>
      </c>
      <c r="AA271" s="26" t="n">
        <v>1392101217.15</v>
      </c>
      <c r="AB271" s="28" t="n">
        <f aca="false">IF(B271=0,0,L271/B271*10000)</f>
        <v>2.92831706087213</v>
      </c>
      <c r="AC271" s="28" t="n">
        <f aca="false">IF(D271=0,0,M271/D271*10000)</f>
        <v>2.92831706087213</v>
      </c>
      <c r="AD271" s="28" t="n">
        <f aca="false">IF(C271=0,0,N271/C271*10000)</f>
        <v>0</v>
      </c>
      <c r="AE271" s="28" t="n">
        <f aca="false">IF(E271=0,0,Q271/E271*10000)</f>
        <v>4.44157450844315</v>
      </c>
    </row>
    <row r="272" customFormat="false" ht="15" hidden="false" customHeight="true" outlineLevel="0" collapsed="false">
      <c r="A272" s="7" t="s">
        <v>405</v>
      </c>
      <c r="B272" s="26" t="n">
        <v>17167395427</v>
      </c>
      <c r="C272" s="26" t="n">
        <v>0</v>
      </c>
      <c r="D272" s="26" t="n">
        <v>17167395427</v>
      </c>
      <c r="E272" s="26" t="n">
        <v>1037080955</v>
      </c>
      <c r="F272" s="26" t="n">
        <v>0</v>
      </c>
      <c r="G272" s="26" t="n">
        <v>0</v>
      </c>
      <c r="H272" s="26" t="n">
        <v>0</v>
      </c>
      <c r="I272" s="26" t="n">
        <v>0</v>
      </c>
      <c r="J272" s="26" t="n">
        <v>0</v>
      </c>
      <c r="K272" s="26" t="n">
        <v>0</v>
      </c>
      <c r="L272" s="26" t="n">
        <v>3139430</v>
      </c>
      <c r="M272" s="26" t="n">
        <v>3139430</v>
      </c>
      <c r="N272" s="26" t="n">
        <v>0</v>
      </c>
      <c r="O272" s="26" t="n">
        <v>0</v>
      </c>
      <c r="P272" s="26" t="n">
        <v>0</v>
      </c>
      <c r="Q272" s="26" t="n">
        <v>497915</v>
      </c>
      <c r="R272" s="26" t="n">
        <v>32287</v>
      </c>
      <c r="S272" s="26" t="n">
        <v>3669632</v>
      </c>
      <c r="T272" s="26" t="n">
        <v>2877919</v>
      </c>
      <c r="U272" s="26" t="n">
        <v>318514</v>
      </c>
      <c r="V272" s="26" t="n">
        <v>3196433</v>
      </c>
      <c r="W272" s="26" t="n">
        <v>3637345</v>
      </c>
      <c r="X272" s="27" t="n">
        <f aca="false">IF(V272=0,0,(W272-V272)/V272)</f>
        <v>0.137938758609988</v>
      </c>
      <c r="Y272" s="26" t="n">
        <v>3196433</v>
      </c>
      <c r="Z272" s="26" t="n">
        <v>1450401221.15</v>
      </c>
      <c r="AA272" s="26" t="n">
        <v>1392101217.15</v>
      </c>
      <c r="AB272" s="28" t="n">
        <f aca="false">IF(B272=0,0,L272/B272*10000)</f>
        <v>1.82871654197611</v>
      </c>
      <c r="AC272" s="28" t="n">
        <f aca="false">IF(D272=0,0,M272/D272*10000)</f>
        <v>1.82871654197611</v>
      </c>
      <c r="AD272" s="28" t="n">
        <f aca="false">IF(C272=0,0,N272/C272*10000)</f>
        <v>0</v>
      </c>
      <c r="AE272" s="28" t="n">
        <f aca="false">IF(E272=0,0,Q272/E272*10000)</f>
        <v>4.80111988943043</v>
      </c>
    </row>
    <row r="273" customFormat="false" ht="15" hidden="false" customHeight="true" outlineLevel="0" collapsed="false">
      <c r="A273" s="7" t="s">
        <v>406</v>
      </c>
      <c r="B273" s="26" t="n">
        <v>4011487819</v>
      </c>
      <c r="C273" s="26" t="n">
        <v>0</v>
      </c>
      <c r="D273" s="26" t="n">
        <v>4011487819</v>
      </c>
      <c r="E273" s="26" t="n">
        <v>639827893</v>
      </c>
      <c r="F273" s="26" t="n">
        <v>0</v>
      </c>
      <c r="G273" s="26" t="n">
        <v>0</v>
      </c>
      <c r="H273" s="26" t="n">
        <v>0</v>
      </c>
      <c r="I273" s="26" t="n">
        <v>0</v>
      </c>
      <c r="J273" s="26" t="n">
        <v>0</v>
      </c>
      <c r="K273" s="26" t="n">
        <v>0</v>
      </c>
      <c r="L273" s="26" t="n">
        <v>1493261</v>
      </c>
      <c r="M273" s="26" t="n">
        <v>1493261</v>
      </c>
      <c r="N273" s="26" t="n">
        <v>0</v>
      </c>
      <c r="O273" s="26" t="n">
        <v>0</v>
      </c>
      <c r="P273" s="26" t="n">
        <v>0</v>
      </c>
      <c r="Q273" s="26" t="n">
        <v>293605</v>
      </c>
      <c r="R273" s="26" t="n">
        <v>15445</v>
      </c>
      <c r="S273" s="26" t="n">
        <v>1802311</v>
      </c>
      <c r="T273" s="26" t="n">
        <v>1359127</v>
      </c>
      <c r="U273" s="26" t="n">
        <v>169956</v>
      </c>
      <c r="V273" s="26" t="n">
        <v>1529083</v>
      </c>
      <c r="W273" s="26" t="n">
        <v>1786866</v>
      </c>
      <c r="X273" s="27" t="n">
        <f aca="false">IF(V273=0,0,(W273-V273)/V273)</f>
        <v>0.168586662725307</v>
      </c>
      <c r="Y273" s="26" t="n">
        <v>1529083</v>
      </c>
      <c r="Z273" s="26" t="n">
        <v>1450401221.15</v>
      </c>
      <c r="AA273" s="26" t="n">
        <v>1392101217.15</v>
      </c>
      <c r="AB273" s="28" t="n">
        <f aca="false">IF(B273=0,0,L273/B273*10000)</f>
        <v>3.72246175827164</v>
      </c>
      <c r="AC273" s="28" t="n">
        <f aca="false">IF(D273=0,0,M273/D273*10000)</f>
        <v>3.72246175827164</v>
      </c>
      <c r="AD273" s="28" t="n">
        <f aca="false">IF(C273=0,0,N273/C273*10000)</f>
        <v>0</v>
      </c>
      <c r="AE273" s="28" t="n">
        <f aca="false">IF(E273=0,0,Q273/E273*10000)</f>
        <v>4.58881213545343</v>
      </c>
    </row>
    <row r="274" customFormat="false" ht="15" hidden="false" customHeight="true" outlineLevel="0" collapsed="false">
      <c r="A274" s="7" t="s">
        <v>407</v>
      </c>
      <c r="B274" s="26" t="n">
        <v>5592512454</v>
      </c>
      <c r="C274" s="26" t="n">
        <v>0</v>
      </c>
      <c r="D274" s="26" t="n">
        <v>5592512454</v>
      </c>
      <c r="E274" s="26" t="n">
        <v>477300071</v>
      </c>
      <c r="F274" s="26" t="n">
        <v>0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  <c r="L274" s="26" t="n">
        <v>1932888</v>
      </c>
      <c r="M274" s="26" t="n">
        <v>1932888</v>
      </c>
      <c r="N274" s="26" t="n">
        <v>0</v>
      </c>
      <c r="O274" s="26" t="n">
        <v>0</v>
      </c>
      <c r="P274" s="26" t="n">
        <v>0</v>
      </c>
      <c r="Q274" s="26" t="n">
        <v>212923</v>
      </c>
      <c r="R274" s="26" t="n">
        <v>19477</v>
      </c>
      <c r="S274" s="26" t="n">
        <v>2165288</v>
      </c>
      <c r="T274" s="26" t="n">
        <v>1780315</v>
      </c>
      <c r="U274" s="26" t="n">
        <v>147917</v>
      </c>
      <c r="V274" s="26" t="n">
        <v>1928232</v>
      </c>
      <c r="W274" s="26" t="n">
        <v>2145811</v>
      </c>
      <c r="X274" s="27" t="n">
        <f aca="false">IF(V274=0,0,(W274-V274)/V274)</f>
        <v>0.1128386003344</v>
      </c>
      <c r="Y274" s="26" t="n">
        <v>1928232</v>
      </c>
      <c r="Z274" s="26" t="n">
        <v>1450401221.15</v>
      </c>
      <c r="AA274" s="26" t="n">
        <v>1392101217.15</v>
      </c>
      <c r="AB274" s="28" t="n">
        <f aca="false">IF(B274=0,0,L274/B274*10000)</f>
        <v>3.4562068764237</v>
      </c>
      <c r="AC274" s="28" t="n">
        <f aca="false">IF(D274=0,0,M274/D274*10000)</f>
        <v>3.4562068764237</v>
      </c>
      <c r="AD274" s="28" t="n">
        <f aca="false">IF(C274=0,0,N274/C274*10000)</f>
        <v>0</v>
      </c>
      <c r="AE274" s="28" t="n">
        <f aca="false">IF(E274=0,0,Q274/E274*10000)</f>
        <v>4.46098823228543</v>
      </c>
    </row>
    <row r="275" customFormat="false" ht="15" hidden="false" customHeight="true" outlineLevel="0" collapsed="false">
      <c r="A275" s="7" t="s">
        <v>408</v>
      </c>
      <c r="B275" s="26" t="n">
        <v>7621269059</v>
      </c>
      <c r="C275" s="26" t="n">
        <v>0</v>
      </c>
      <c r="D275" s="26" t="n">
        <v>7621269059</v>
      </c>
      <c r="E275" s="26" t="n">
        <v>548722349</v>
      </c>
      <c r="F275" s="26" t="n">
        <v>0</v>
      </c>
      <c r="G275" s="26" t="n">
        <v>0</v>
      </c>
      <c r="H275" s="26" t="n">
        <v>0</v>
      </c>
      <c r="I275" s="26" t="n">
        <v>0</v>
      </c>
      <c r="J275" s="26" t="n">
        <v>0</v>
      </c>
      <c r="K275" s="26" t="n">
        <v>0</v>
      </c>
      <c r="L275" s="26" t="n">
        <v>2645646</v>
      </c>
      <c r="M275" s="26" t="n">
        <v>2645646</v>
      </c>
      <c r="N275" s="26" t="n">
        <v>0</v>
      </c>
      <c r="O275" s="26" t="n">
        <v>0</v>
      </c>
      <c r="P275" s="26" t="n">
        <v>0</v>
      </c>
      <c r="Q275" s="26" t="n">
        <v>258840</v>
      </c>
      <c r="R275" s="26" t="n">
        <v>26272</v>
      </c>
      <c r="S275" s="26" t="n">
        <v>2930758</v>
      </c>
      <c r="T275" s="26" t="n">
        <v>2425905</v>
      </c>
      <c r="U275" s="26" t="n">
        <v>174982</v>
      </c>
      <c r="V275" s="26" t="n">
        <v>2600887</v>
      </c>
      <c r="W275" s="26" t="n">
        <v>2904486</v>
      </c>
      <c r="X275" s="27" t="n">
        <f aca="false">IF(V275=0,0,(W275-V275)/V275)</f>
        <v>0.116729023598488</v>
      </c>
      <c r="Y275" s="26" t="n">
        <v>2600887</v>
      </c>
      <c r="Z275" s="26" t="n">
        <v>1450401221.15</v>
      </c>
      <c r="AA275" s="26" t="n">
        <v>1392101217.15</v>
      </c>
      <c r="AB275" s="28" t="n">
        <f aca="false">IF(B275=0,0,L275/B275*10000)</f>
        <v>3.47139824026517</v>
      </c>
      <c r="AC275" s="28" t="n">
        <f aca="false">IF(D275=0,0,M275/D275*10000)</f>
        <v>3.47139824026517</v>
      </c>
      <c r="AD275" s="28" t="n">
        <f aca="false">IF(C275=0,0,N275/C275*10000)</f>
        <v>0</v>
      </c>
      <c r="AE275" s="28" t="n">
        <f aca="false">IF(E275=0,0,Q275/E275*10000)</f>
        <v>4.71713974237999</v>
      </c>
    </row>
    <row r="276" customFormat="false" ht="15" hidden="false" customHeight="true" outlineLevel="0" collapsed="false">
      <c r="A276" s="7" t="s">
        <v>409</v>
      </c>
      <c r="B276" s="26" t="n">
        <v>8137041118</v>
      </c>
      <c r="C276" s="26" t="n">
        <v>0</v>
      </c>
      <c r="D276" s="26" t="n">
        <v>8137041118</v>
      </c>
      <c r="E276" s="26" t="n">
        <v>597586698</v>
      </c>
      <c r="F276" s="26" t="n">
        <v>0</v>
      </c>
      <c r="G276" s="26" t="n">
        <v>0</v>
      </c>
      <c r="H276" s="26" t="n">
        <v>0</v>
      </c>
      <c r="I276" s="26" t="n">
        <v>0</v>
      </c>
      <c r="J276" s="26" t="n">
        <v>0</v>
      </c>
      <c r="K276" s="26" t="n">
        <v>0</v>
      </c>
      <c r="L276" s="26" t="n">
        <v>2738257</v>
      </c>
      <c r="M276" s="26" t="n">
        <v>2738257</v>
      </c>
      <c r="N276" s="26" t="n">
        <v>0</v>
      </c>
      <c r="O276" s="26" t="n">
        <v>0</v>
      </c>
      <c r="P276" s="26" t="n">
        <v>0</v>
      </c>
      <c r="Q276" s="26" t="n">
        <v>272745</v>
      </c>
      <c r="R276" s="26" t="n">
        <v>27401</v>
      </c>
      <c r="S276" s="26" t="n">
        <v>3038403</v>
      </c>
      <c r="T276" s="26" t="n">
        <v>2521826</v>
      </c>
      <c r="U276" s="26" t="n">
        <v>190907</v>
      </c>
      <c r="V276" s="26" t="n">
        <v>2712733</v>
      </c>
      <c r="W276" s="26" t="n">
        <v>3011002</v>
      </c>
      <c r="X276" s="27" t="n">
        <f aca="false">IF(V276=0,0,(W276-V276)/V276)</f>
        <v>0.10995147697912</v>
      </c>
      <c r="Y276" s="26" t="n">
        <v>2712733</v>
      </c>
      <c r="Z276" s="26" t="n">
        <v>1450401221.15</v>
      </c>
      <c r="AA276" s="26" t="n">
        <v>1392101217.15</v>
      </c>
      <c r="AB276" s="28" t="n">
        <f aca="false">IF(B276=0,0,L276/B276*10000)</f>
        <v>3.36517532637593</v>
      </c>
      <c r="AC276" s="28" t="n">
        <f aca="false">IF(D276=0,0,M276/D276*10000)</f>
        <v>3.36517532637593</v>
      </c>
      <c r="AD276" s="28" t="n">
        <f aca="false">IF(C276=0,0,N276/C276*10000)</f>
        <v>0</v>
      </c>
      <c r="AE276" s="28" t="n">
        <f aca="false">IF(E276=0,0,Q276/E276*10000)</f>
        <v>4.56410761673279</v>
      </c>
    </row>
    <row r="277" customFormat="false" ht="15" hidden="false" customHeight="true" outlineLevel="0" collapsed="false">
      <c r="A277" s="7" t="s">
        <v>410</v>
      </c>
      <c r="B277" s="26" t="n">
        <v>9469893109</v>
      </c>
      <c r="C277" s="26" t="n">
        <v>0</v>
      </c>
      <c r="D277" s="26" t="n">
        <v>9469893109</v>
      </c>
      <c r="E277" s="26" t="n">
        <v>558541161</v>
      </c>
      <c r="F277" s="26" t="n">
        <v>0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  <c r="L277" s="26" t="n">
        <v>3189888</v>
      </c>
      <c r="M277" s="26" t="n">
        <v>3189888</v>
      </c>
      <c r="N277" s="26" t="n">
        <v>0</v>
      </c>
      <c r="O277" s="26" t="n">
        <v>0</v>
      </c>
      <c r="P277" s="26" t="n">
        <v>0</v>
      </c>
      <c r="Q277" s="26" t="n">
        <v>254301</v>
      </c>
      <c r="R277" s="26" t="n">
        <v>31400</v>
      </c>
      <c r="S277" s="26" t="n">
        <v>3475589</v>
      </c>
      <c r="T277" s="26" t="n">
        <v>2943149</v>
      </c>
      <c r="U277" s="26" t="n">
        <v>165450</v>
      </c>
      <c r="V277" s="26" t="n">
        <v>3108599</v>
      </c>
      <c r="W277" s="26" t="n">
        <v>3444189</v>
      </c>
      <c r="X277" s="27" t="n">
        <f aca="false">IF(V277=0,0,(W277-V277)/V277)</f>
        <v>0.10795538440307</v>
      </c>
      <c r="Y277" s="26" t="n">
        <v>3108599</v>
      </c>
      <c r="Z277" s="26" t="n">
        <v>1493520721.48</v>
      </c>
      <c r="AA277" s="26" t="n">
        <v>1435220717.48</v>
      </c>
      <c r="AB277" s="28" t="n">
        <f aca="false">IF(B277=0,0,L277/B277*10000)</f>
        <v>3.36845195957745</v>
      </c>
      <c r="AC277" s="28" t="n">
        <f aca="false">IF(D277=0,0,M277/D277*10000)</f>
        <v>3.36845195957745</v>
      </c>
      <c r="AD277" s="28" t="n">
        <f aca="false">IF(C277=0,0,N277/C277*10000)</f>
        <v>0</v>
      </c>
      <c r="AE277" s="28" t="n">
        <f aca="false">IF(E277=0,0,Q277/E277*10000)</f>
        <v>4.55295003764279</v>
      </c>
    </row>
    <row r="278" customFormat="false" ht="15" hidden="false" customHeight="true" outlineLevel="0" collapsed="false">
      <c r="A278" s="7" t="s">
        <v>411</v>
      </c>
      <c r="B278" s="26" t="n">
        <v>10279933249</v>
      </c>
      <c r="C278" s="26" t="n">
        <v>0</v>
      </c>
      <c r="D278" s="26" t="n">
        <v>10279933249</v>
      </c>
      <c r="E278" s="26" t="n">
        <v>490069503</v>
      </c>
      <c r="F278" s="26" t="n">
        <v>0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  <c r="L278" s="26" t="n">
        <v>3573808</v>
      </c>
      <c r="M278" s="26" t="n">
        <v>3573808</v>
      </c>
      <c r="N278" s="26" t="n">
        <v>0</v>
      </c>
      <c r="O278" s="26" t="n">
        <v>0</v>
      </c>
      <c r="P278" s="26" t="n">
        <v>0</v>
      </c>
      <c r="Q278" s="26" t="n">
        <v>239666</v>
      </c>
      <c r="R278" s="26" t="n">
        <v>34910</v>
      </c>
      <c r="S278" s="26" t="n">
        <v>3848384</v>
      </c>
      <c r="T278" s="26" t="n">
        <v>3277470</v>
      </c>
      <c r="U278" s="26" t="n">
        <v>178645</v>
      </c>
      <c r="V278" s="26" t="n">
        <v>3456115</v>
      </c>
      <c r="W278" s="26" t="n">
        <v>3813474</v>
      </c>
      <c r="X278" s="27" t="n">
        <f aca="false">IF(V278=0,0,(W278-V278)/V278)</f>
        <v>0.103399047774741</v>
      </c>
      <c r="Y278" s="26" t="n">
        <v>3456115</v>
      </c>
      <c r="Z278" s="26" t="n">
        <v>1493520721.48</v>
      </c>
      <c r="AA278" s="26" t="n">
        <v>1435220717.48</v>
      </c>
      <c r="AB278" s="28" t="n">
        <f aca="false">IF(B278=0,0,L278/B278*10000)</f>
        <v>3.47648949991737</v>
      </c>
      <c r="AC278" s="28" t="n">
        <f aca="false">IF(D278=0,0,M278/D278*10000)</f>
        <v>3.47648949991737</v>
      </c>
      <c r="AD278" s="28" t="n">
        <f aca="false">IF(C278=0,0,N278/C278*10000)</f>
        <v>0</v>
      </c>
      <c r="AE278" s="28" t="n">
        <f aca="false">IF(E278=0,0,Q278/E278*10000)</f>
        <v>4.89044918185819</v>
      </c>
    </row>
    <row r="279" customFormat="false" ht="15" hidden="false" customHeight="true" outlineLevel="0" collapsed="false">
      <c r="A279" s="7" t="s">
        <v>412</v>
      </c>
      <c r="B279" s="26" t="n">
        <v>9933171514</v>
      </c>
      <c r="C279" s="26" t="n">
        <v>0</v>
      </c>
      <c r="D279" s="26" t="n">
        <v>9933171514</v>
      </c>
      <c r="E279" s="26" t="n">
        <v>447594957</v>
      </c>
      <c r="F279" s="26" t="n">
        <v>0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  <c r="L279" s="26" t="n">
        <v>3423739</v>
      </c>
      <c r="M279" s="26" t="n">
        <v>3423739</v>
      </c>
      <c r="N279" s="26" t="n">
        <v>0</v>
      </c>
      <c r="O279" s="26" t="n">
        <v>0</v>
      </c>
      <c r="P279" s="26" t="n">
        <v>0</v>
      </c>
      <c r="Q279" s="26" t="n">
        <v>219717</v>
      </c>
      <c r="R279" s="26" t="n">
        <v>33326</v>
      </c>
      <c r="S279" s="26" t="n">
        <v>3676782</v>
      </c>
      <c r="T279" s="26" t="n">
        <v>3143732</v>
      </c>
      <c r="U279" s="26" t="n">
        <v>155510</v>
      </c>
      <c r="V279" s="26" t="n">
        <v>3299242</v>
      </c>
      <c r="W279" s="26" t="n">
        <v>3643456</v>
      </c>
      <c r="X279" s="27" t="n">
        <f aca="false">IF(V279=0,0,(W279-V279)/V279)</f>
        <v>0.104331237296324</v>
      </c>
      <c r="Y279" s="26" t="n">
        <v>3299242</v>
      </c>
      <c r="Z279" s="26" t="n">
        <v>1493520721.48</v>
      </c>
      <c r="AA279" s="26" t="n">
        <v>1435220717.48</v>
      </c>
      <c r="AB279" s="28" t="n">
        <f aca="false">IF(B279=0,0,L279/B279*10000)</f>
        <v>3.44677326388105</v>
      </c>
      <c r="AC279" s="28" t="n">
        <f aca="false">IF(D279=0,0,M279/D279*10000)</f>
        <v>3.44677326388105</v>
      </c>
      <c r="AD279" s="28" t="n">
        <f aca="false">IF(C279=0,0,N279/C279*10000)</f>
        <v>0</v>
      </c>
      <c r="AE279" s="28" t="n">
        <f aca="false">IF(E279=0,0,Q279/E279*10000)</f>
        <v>4.90883546750952</v>
      </c>
    </row>
    <row r="280" customFormat="false" ht="15" hidden="false" customHeight="true" outlineLevel="0" collapsed="false">
      <c r="A280" s="7" t="s">
        <v>413</v>
      </c>
      <c r="B280" s="26" t="n">
        <v>4461475919</v>
      </c>
      <c r="C280" s="26" t="n">
        <v>0</v>
      </c>
      <c r="D280" s="26" t="n">
        <v>4461475919</v>
      </c>
      <c r="E280" s="26" t="n">
        <v>290369030</v>
      </c>
      <c r="F280" s="26" t="n">
        <v>0</v>
      </c>
      <c r="G280" s="26" t="n">
        <v>0</v>
      </c>
      <c r="H280" s="26" t="n">
        <v>0</v>
      </c>
      <c r="I280" s="26" t="n">
        <v>0</v>
      </c>
      <c r="J280" s="26" t="n">
        <v>0</v>
      </c>
      <c r="K280" s="26" t="n">
        <v>0</v>
      </c>
      <c r="L280" s="26" t="n">
        <v>1722791</v>
      </c>
      <c r="M280" s="26" t="n">
        <v>1722791</v>
      </c>
      <c r="N280" s="26" t="n">
        <v>0</v>
      </c>
      <c r="O280" s="26" t="n">
        <v>0</v>
      </c>
      <c r="P280" s="26" t="n">
        <v>0</v>
      </c>
      <c r="Q280" s="26" t="n">
        <v>174444</v>
      </c>
      <c r="R280" s="26" t="n">
        <v>16462</v>
      </c>
      <c r="S280" s="26" t="n">
        <v>1913697</v>
      </c>
      <c r="T280" s="26" t="n">
        <v>1496243</v>
      </c>
      <c r="U280" s="26" t="n">
        <v>133499</v>
      </c>
      <c r="V280" s="26" t="n">
        <v>1629742</v>
      </c>
      <c r="W280" s="26" t="n">
        <v>1897235</v>
      </c>
      <c r="X280" s="27" t="n">
        <f aca="false">IF(V280=0,0,(W280-V280)/V280)</f>
        <v>0.164132114162855</v>
      </c>
      <c r="Y280" s="26" t="n">
        <v>1629742</v>
      </c>
      <c r="Z280" s="26" t="n">
        <v>1493520721.48</v>
      </c>
      <c r="AA280" s="26" t="n">
        <v>1435220717.48</v>
      </c>
      <c r="AB280" s="28" t="n">
        <f aca="false">IF(B280=0,0,L280/B280*10000)</f>
        <v>3.86148223430543</v>
      </c>
      <c r="AC280" s="28" t="n">
        <f aca="false">IF(D280=0,0,M280/D280*10000)</f>
        <v>3.86148223430543</v>
      </c>
      <c r="AD280" s="28" t="n">
        <f aca="false">IF(C280=0,0,N280/C280*10000)</f>
        <v>0</v>
      </c>
      <c r="AE280" s="28" t="n">
        <f aca="false">IF(E280=0,0,Q280/E280*10000)</f>
        <v>6.00766548691505</v>
      </c>
    </row>
    <row r="281" customFormat="false" ht="15" hidden="false" customHeight="true" outlineLevel="0" collapsed="false">
      <c r="A281" s="7" t="s">
        <v>414</v>
      </c>
      <c r="B281" s="26" t="n">
        <v>9016577458</v>
      </c>
      <c r="C281" s="26" t="n">
        <v>0</v>
      </c>
      <c r="D281" s="26" t="n">
        <v>9016577458</v>
      </c>
      <c r="E281" s="26" t="n">
        <v>388743024</v>
      </c>
      <c r="F281" s="26" t="n">
        <v>0</v>
      </c>
      <c r="G281" s="26" t="n">
        <v>0</v>
      </c>
      <c r="H281" s="26" t="n">
        <v>0</v>
      </c>
      <c r="I281" s="26" t="n">
        <v>0</v>
      </c>
      <c r="J281" s="26" t="n">
        <v>0</v>
      </c>
      <c r="K281" s="26" t="n">
        <v>0</v>
      </c>
      <c r="L281" s="26" t="n">
        <v>3229623</v>
      </c>
      <c r="M281" s="26" t="n">
        <v>3229623</v>
      </c>
      <c r="N281" s="26" t="n">
        <v>0</v>
      </c>
      <c r="O281" s="26" t="n">
        <v>0</v>
      </c>
      <c r="P281" s="26" t="n">
        <v>0</v>
      </c>
      <c r="Q281" s="26" t="n">
        <v>194451</v>
      </c>
      <c r="R281" s="26" t="n">
        <v>30644</v>
      </c>
      <c r="S281" s="26" t="n">
        <v>3454718</v>
      </c>
      <c r="T281" s="26" t="n">
        <v>2902828</v>
      </c>
      <c r="U281" s="26" t="n">
        <v>130885</v>
      </c>
      <c r="V281" s="26" t="n">
        <v>3033713</v>
      </c>
      <c r="W281" s="26" t="n">
        <v>3424074</v>
      </c>
      <c r="X281" s="27" t="n">
        <f aca="false">IF(V281=0,0,(W281-V281)/V281)</f>
        <v>0.128674334058627</v>
      </c>
      <c r="Y281" s="26" t="n">
        <v>3033713</v>
      </c>
      <c r="Z281" s="26" t="n">
        <v>1493520721.48</v>
      </c>
      <c r="AA281" s="26" t="n">
        <v>1435220717.48</v>
      </c>
      <c r="AB281" s="28" t="n">
        <f aca="false">IF(B281=0,0,L281/B281*10000)</f>
        <v>3.58187240673511</v>
      </c>
      <c r="AC281" s="28" t="n">
        <f aca="false">IF(D281=0,0,M281/D281*10000)</f>
        <v>3.58187240673511</v>
      </c>
      <c r="AD281" s="28" t="n">
        <f aca="false">IF(C281=0,0,N281/C281*10000)</f>
        <v>0</v>
      </c>
      <c r="AE281" s="28" t="n">
        <f aca="false">IF(E281=0,0,Q281/E281*10000)</f>
        <v>5.00204474408781</v>
      </c>
    </row>
    <row r="282" customFormat="false" ht="15" hidden="false" customHeight="true" outlineLevel="0" collapsed="false">
      <c r="A282" s="7" t="s">
        <v>415</v>
      </c>
      <c r="B282" s="26" t="n">
        <v>9975078086</v>
      </c>
      <c r="C282" s="26" t="n">
        <v>0</v>
      </c>
      <c r="D282" s="26" t="n">
        <v>9975078086</v>
      </c>
      <c r="E282" s="26" t="n">
        <v>538793113</v>
      </c>
      <c r="F282" s="26" t="n">
        <v>0</v>
      </c>
      <c r="G282" s="26" t="n">
        <v>0</v>
      </c>
      <c r="H282" s="26" t="n">
        <v>0</v>
      </c>
      <c r="I282" s="26" t="n">
        <v>0</v>
      </c>
      <c r="J282" s="26" t="n">
        <v>0</v>
      </c>
      <c r="K282" s="26" t="n">
        <v>0</v>
      </c>
      <c r="L282" s="26" t="n">
        <v>3481966</v>
      </c>
      <c r="M282" s="26" t="n">
        <v>3481966</v>
      </c>
      <c r="N282" s="26" t="n">
        <v>0</v>
      </c>
      <c r="O282" s="26" t="n">
        <v>0</v>
      </c>
      <c r="P282" s="26" t="n">
        <v>0</v>
      </c>
      <c r="Q282" s="26" t="n">
        <v>350589</v>
      </c>
      <c r="R282" s="26" t="n">
        <v>34035</v>
      </c>
      <c r="S282" s="26" t="n">
        <v>3866590</v>
      </c>
      <c r="T282" s="26" t="n">
        <v>3105218</v>
      </c>
      <c r="U282" s="26" t="n">
        <v>264204</v>
      </c>
      <c r="V282" s="26" t="n">
        <v>3369422</v>
      </c>
      <c r="W282" s="26" t="n">
        <v>3832555</v>
      </c>
      <c r="X282" s="27" t="n">
        <f aca="false">IF(V282=0,0,(W282-V282)/V282)</f>
        <v>0.137451764724039</v>
      </c>
      <c r="Y282" s="26" t="n">
        <v>3369422</v>
      </c>
      <c r="Z282" s="26" t="n">
        <v>1493520721.48</v>
      </c>
      <c r="AA282" s="26" t="n">
        <v>1435220717.48</v>
      </c>
      <c r="AB282" s="28" t="n">
        <f aca="false">IF(B282=0,0,L282/B282*10000)</f>
        <v>3.49066540630587</v>
      </c>
      <c r="AC282" s="28" t="n">
        <f aca="false">IF(D282=0,0,M282/D282*10000)</f>
        <v>3.49066540630587</v>
      </c>
      <c r="AD282" s="28" t="n">
        <f aca="false">IF(C282=0,0,N282/C282*10000)</f>
        <v>0</v>
      </c>
      <c r="AE282" s="28" t="n">
        <f aca="false">IF(E282=0,0,Q282/E282*10000)</f>
        <v>6.50693172464511</v>
      </c>
    </row>
    <row r="283" customFormat="false" ht="15" hidden="false" customHeight="true" outlineLevel="0" collapsed="false">
      <c r="A283" s="7" t="s">
        <v>416</v>
      </c>
      <c r="B283" s="26" t="n">
        <v>13286525246</v>
      </c>
      <c r="C283" s="26" t="n">
        <v>0</v>
      </c>
      <c r="D283" s="26" t="n">
        <v>13286525246</v>
      </c>
      <c r="E283" s="26" t="n">
        <v>738528778</v>
      </c>
      <c r="F283" s="26" t="n">
        <v>0</v>
      </c>
      <c r="G283" s="26" t="n">
        <v>0</v>
      </c>
      <c r="H283" s="26" t="n">
        <v>0</v>
      </c>
      <c r="I283" s="26" t="n">
        <v>0</v>
      </c>
      <c r="J283" s="26" t="n">
        <v>0</v>
      </c>
      <c r="K283" s="26" t="n">
        <v>0</v>
      </c>
      <c r="L283" s="26" t="n">
        <v>4506897</v>
      </c>
      <c r="M283" s="26" t="n">
        <v>4506897</v>
      </c>
      <c r="N283" s="26" t="n">
        <v>0</v>
      </c>
      <c r="O283" s="26" t="n">
        <v>0</v>
      </c>
      <c r="P283" s="26" t="n">
        <v>0</v>
      </c>
      <c r="Q283" s="26" t="n">
        <v>400627</v>
      </c>
      <c r="R283" s="26" t="n">
        <v>44615</v>
      </c>
      <c r="S283" s="26" t="n">
        <v>4952139</v>
      </c>
      <c r="T283" s="26" t="n">
        <v>4104820</v>
      </c>
      <c r="U283" s="26" t="n">
        <v>312019</v>
      </c>
      <c r="V283" s="26" t="n">
        <v>4416839</v>
      </c>
      <c r="W283" s="26" t="n">
        <v>4907524</v>
      </c>
      <c r="X283" s="27" t="n">
        <f aca="false">IF(V283=0,0,(W283-V283)/V283)</f>
        <v>0.111094155797845</v>
      </c>
      <c r="Y283" s="26" t="n">
        <v>4416839</v>
      </c>
      <c r="Z283" s="26" t="n">
        <v>1493520721.48</v>
      </c>
      <c r="AA283" s="26" t="n">
        <v>1435220717.48</v>
      </c>
      <c r="AB283" s="28" t="n">
        <f aca="false">IF(B283=0,0,L283/B283*10000)</f>
        <v>3.39208101181822</v>
      </c>
      <c r="AC283" s="28" t="n">
        <f aca="false">IF(D283=0,0,M283/D283*10000)</f>
        <v>3.39208101181822</v>
      </c>
      <c r="AD283" s="28" t="n">
        <f aca="false">IF(C283=0,0,N283/C283*10000)</f>
        <v>0</v>
      </c>
      <c r="AE283" s="28" t="n">
        <f aca="false">IF(E283=0,0,Q283/E283*10000)</f>
        <v>5.42466335685568</v>
      </c>
    </row>
    <row r="284" customFormat="false" ht="15" hidden="false" customHeight="true" outlineLevel="0" collapsed="false">
      <c r="A284" s="7" t="s">
        <v>417</v>
      </c>
      <c r="B284" s="26" t="n">
        <v>8648935052</v>
      </c>
      <c r="C284" s="26" t="n">
        <v>0</v>
      </c>
      <c r="D284" s="26" t="n">
        <v>8648935052</v>
      </c>
      <c r="E284" s="26" t="n">
        <v>654600179</v>
      </c>
      <c r="F284" s="26" t="n">
        <v>0</v>
      </c>
      <c r="G284" s="26" t="n">
        <v>0</v>
      </c>
      <c r="H284" s="26" t="n">
        <v>0</v>
      </c>
      <c r="I284" s="26" t="n">
        <v>0</v>
      </c>
      <c r="J284" s="26" t="n">
        <v>0</v>
      </c>
      <c r="K284" s="26" t="n">
        <v>0</v>
      </c>
      <c r="L284" s="26" t="n">
        <v>3037189</v>
      </c>
      <c r="M284" s="26" t="n">
        <v>3037189</v>
      </c>
      <c r="N284" s="26" t="n">
        <v>0</v>
      </c>
      <c r="O284" s="26" t="n">
        <v>0</v>
      </c>
      <c r="P284" s="26" t="n">
        <v>0</v>
      </c>
      <c r="Q284" s="26" t="n">
        <v>316234</v>
      </c>
      <c r="R284" s="26" t="n">
        <v>29984</v>
      </c>
      <c r="S284" s="26" t="n">
        <v>3383407</v>
      </c>
      <c r="T284" s="26" t="n">
        <v>2722898</v>
      </c>
      <c r="U284" s="26" t="n">
        <v>245503</v>
      </c>
      <c r="V284" s="26" t="n">
        <v>2968401</v>
      </c>
      <c r="W284" s="26" t="n">
        <v>3353423</v>
      </c>
      <c r="X284" s="27" t="n">
        <f aca="false">IF(V284=0,0,(W284-V284)/V284)</f>
        <v>0.129706869119098</v>
      </c>
      <c r="Y284" s="26" t="n">
        <v>2968401</v>
      </c>
      <c r="Z284" s="26" t="n">
        <v>1493516508.74</v>
      </c>
      <c r="AA284" s="26" t="n">
        <v>1435216504.74</v>
      </c>
      <c r="AB284" s="28" t="n">
        <f aca="false">IF(B284=0,0,L284/B284*10000)</f>
        <v>3.51163349214615</v>
      </c>
      <c r="AC284" s="28" t="n">
        <f aca="false">IF(D284=0,0,M284/D284*10000)</f>
        <v>3.51163349214615</v>
      </c>
      <c r="AD284" s="28" t="n">
        <f aca="false">IF(C284=0,0,N284/C284*10000)</f>
        <v>0</v>
      </c>
      <c r="AE284" s="28" t="n">
        <f aca="false">IF(E284=0,0,Q284/E284*10000)</f>
        <v>4.83094887757432</v>
      </c>
    </row>
    <row r="285" customFormat="false" ht="15" hidden="false" customHeight="true" outlineLevel="0" collapsed="false">
      <c r="A285" s="7" t="s">
        <v>418</v>
      </c>
      <c r="B285" s="26" t="n">
        <v>10664163826</v>
      </c>
      <c r="C285" s="26" t="n">
        <v>0</v>
      </c>
      <c r="D285" s="26" t="n">
        <v>10664163826</v>
      </c>
      <c r="E285" s="26" t="n">
        <v>454122989</v>
      </c>
      <c r="F285" s="26" t="n">
        <v>0</v>
      </c>
      <c r="G285" s="26" t="n">
        <v>0</v>
      </c>
      <c r="H285" s="26" t="n">
        <v>0</v>
      </c>
      <c r="I285" s="26" t="n">
        <v>0</v>
      </c>
      <c r="J285" s="26" t="n">
        <v>0</v>
      </c>
      <c r="K285" s="26" t="n">
        <v>0</v>
      </c>
      <c r="L285" s="26" t="n">
        <v>3544271</v>
      </c>
      <c r="M285" s="26" t="n">
        <v>3544271</v>
      </c>
      <c r="N285" s="26" t="n">
        <v>0</v>
      </c>
      <c r="O285" s="26" t="n">
        <v>0</v>
      </c>
      <c r="P285" s="26" t="n">
        <v>0</v>
      </c>
      <c r="Q285" s="26" t="n">
        <v>253750</v>
      </c>
      <c r="R285" s="26" t="n">
        <v>34454</v>
      </c>
      <c r="S285" s="26" t="n">
        <v>3832475</v>
      </c>
      <c r="T285" s="26" t="n">
        <v>3224043</v>
      </c>
      <c r="U285" s="26" t="n">
        <v>186876</v>
      </c>
      <c r="V285" s="26" t="n">
        <v>3410919</v>
      </c>
      <c r="W285" s="26" t="n">
        <v>3798021</v>
      </c>
      <c r="X285" s="27" t="n">
        <f aca="false">IF(V285=0,0,(W285-V285)/V285)</f>
        <v>0.113489062625058</v>
      </c>
      <c r="Y285" s="26" t="n">
        <v>3410919</v>
      </c>
      <c r="Z285" s="26" t="n">
        <v>1493516508.74</v>
      </c>
      <c r="AA285" s="26" t="n">
        <v>1435216504.74</v>
      </c>
      <c r="AB285" s="28" t="n">
        <f aca="false">IF(B285=0,0,L285/B285*10000)</f>
        <v>3.32353390085664</v>
      </c>
      <c r="AC285" s="28" t="n">
        <f aca="false">IF(D285=0,0,M285/D285*10000)</f>
        <v>3.32353390085664</v>
      </c>
      <c r="AD285" s="28" t="n">
        <f aca="false">IF(C285=0,0,N285/C285*10000)</f>
        <v>0</v>
      </c>
      <c r="AE285" s="28" t="n">
        <f aca="false">IF(E285=0,0,Q285/E285*10000)</f>
        <v>5.58769333740997</v>
      </c>
    </row>
    <row r="286" customFormat="false" ht="15" hidden="false" customHeight="true" outlineLevel="0" collapsed="false">
      <c r="A286" s="7" t="s">
        <v>419</v>
      </c>
      <c r="B286" s="26" t="n">
        <v>31874017193</v>
      </c>
      <c r="C286" s="26" t="n">
        <v>0</v>
      </c>
      <c r="D286" s="26" t="n">
        <v>31874017193</v>
      </c>
      <c r="E286" s="26" t="n">
        <v>984610585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0</v>
      </c>
      <c r="L286" s="26" t="n">
        <v>10141370</v>
      </c>
      <c r="M286" s="26" t="n">
        <v>10141370</v>
      </c>
      <c r="N286" s="26" t="n">
        <v>0</v>
      </c>
      <c r="O286" s="26" t="n">
        <v>0</v>
      </c>
      <c r="P286" s="26" t="n">
        <v>0</v>
      </c>
      <c r="Q286" s="26" t="n">
        <v>510401</v>
      </c>
      <c r="R286" s="26" t="n">
        <v>99629</v>
      </c>
      <c r="S286" s="26" t="n">
        <v>10751400</v>
      </c>
      <c r="T286" s="26" t="n">
        <v>9509632</v>
      </c>
      <c r="U286" s="26" t="n">
        <v>353674</v>
      </c>
      <c r="V286" s="26" t="n">
        <v>9863306</v>
      </c>
      <c r="W286" s="26" t="n">
        <v>10651771</v>
      </c>
      <c r="X286" s="27" t="n">
        <f aca="false">IF(V286=0,0,(W286-V286)/V286)</f>
        <v>0.0799392211901365</v>
      </c>
      <c r="Y286" s="26" t="n">
        <v>9863306</v>
      </c>
      <c r="Z286" s="26" t="n">
        <v>1493516508.74</v>
      </c>
      <c r="AA286" s="26" t="n">
        <v>1435216504.74</v>
      </c>
      <c r="AB286" s="28" t="n">
        <f aca="false">IF(B286=0,0,L286/B286*10000)</f>
        <v>3.18170437651241</v>
      </c>
      <c r="AC286" s="28" t="n">
        <f aca="false">IF(D286=0,0,M286/D286*10000)</f>
        <v>3.18170437651241</v>
      </c>
      <c r="AD286" s="28" t="n">
        <f aca="false">IF(C286=0,0,N286/C286*10000)</f>
        <v>0</v>
      </c>
      <c r="AE286" s="28" t="n">
        <f aca="false">IF(E286=0,0,Q286/E286*10000)</f>
        <v>5.18378542517903</v>
      </c>
    </row>
    <row r="287" customFormat="false" ht="15" hidden="false" customHeight="true" outlineLevel="0" collapsed="false">
      <c r="A287" s="7" t="s">
        <v>420</v>
      </c>
      <c r="B287" s="26" t="n">
        <v>10251962931</v>
      </c>
      <c r="C287" s="26" t="n">
        <v>0</v>
      </c>
      <c r="D287" s="26" t="n">
        <v>10251962931</v>
      </c>
      <c r="E287" s="26" t="n">
        <v>704628551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0</v>
      </c>
      <c r="L287" s="26" t="n">
        <v>3430802</v>
      </c>
      <c r="M287" s="26" t="n">
        <v>3430802</v>
      </c>
      <c r="N287" s="26" t="n">
        <v>0</v>
      </c>
      <c r="O287" s="26" t="n">
        <v>0</v>
      </c>
      <c r="P287" s="26" t="n">
        <v>0</v>
      </c>
      <c r="Q287" s="26" t="n">
        <v>323696</v>
      </c>
      <c r="R287" s="26" t="n">
        <v>33959</v>
      </c>
      <c r="S287" s="26" t="n">
        <v>3788457</v>
      </c>
      <c r="T287" s="26" t="n">
        <v>3114694</v>
      </c>
      <c r="U287" s="26" t="n">
        <v>247275</v>
      </c>
      <c r="V287" s="26" t="n">
        <v>3361969</v>
      </c>
      <c r="W287" s="26" t="n">
        <v>3754498</v>
      </c>
      <c r="X287" s="27" t="n">
        <f aca="false">IF(V287=0,0,(W287-V287)/V287)</f>
        <v>0.116755686920373</v>
      </c>
      <c r="Y287" s="26" t="n">
        <v>3361969</v>
      </c>
      <c r="Z287" s="26" t="n">
        <v>1493516508.74</v>
      </c>
      <c r="AA287" s="26" t="n">
        <v>1435216504.74</v>
      </c>
      <c r="AB287" s="28" t="n">
        <f aca="false">IF(B287=0,0,L287/B287*10000)</f>
        <v>3.34648303265505</v>
      </c>
      <c r="AC287" s="28" t="n">
        <f aca="false">IF(D287=0,0,M287/D287*10000)</f>
        <v>3.34648303265505</v>
      </c>
      <c r="AD287" s="28" t="n">
        <f aca="false">IF(C287=0,0,N287/C287*10000)</f>
        <v>0</v>
      </c>
      <c r="AE287" s="28" t="n">
        <f aca="false">IF(E287=0,0,Q287/E287*10000)</f>
        <v>4.59385302427236</v>
      </c>
    </row>
    <row r="288" customFormat="false" ht="15" hidden="false" customHeight="true" outlineLevel="0" collapsed="false">
      <c r="A288" s="7" t="s">
        <v>421</v>
      </c>
      <c r="B288" s="26" t="n">
        <v>11477144697</v>
      </c>
      <c r="C288" s="26" t="n">
        <v>0</v>
      </c>
      <c r="D288" s="26" t="n">
        <v>11477144697</v>
      </c>
      <c r="E288" s="26" t="n">
        <v>484211693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0</v>
      </c>
      <c r="L288" s="26" t="n">
        <v>3799559</v>
      </c>
      <c r="M288" s="26" t="n">
        <v>3799559</v>
      </c>
      <c r="N288" s="26" t="n">
        <v>0</v>
      </c>
      <c r="O288" s="26" t="n">
        <v>0</v>
      </c>
      <c r="P288" s="26" t="n">
        <v>0</v>
      </c>
      <c r="Q288" s="26" t="n">
        <v>257362</v>
      </c>
      <c r="R288" s="26" t="n">
        <v>36538</v>
      </c>
      <c r="S288" s="26" t="n">
        <v>4093459</v>
      </c>
      <c r="T288" s="26" t="n">
        <v>3440902</v>
      </c>
      <c r="U288" s="26" t="n">
        <v>176358</v>
      </c>
      <c r="V288" s="26" t="n">
        <v>3617260</v>
      </c>
      <c r="W288" s="26" t="n">
        <v>4056921</v>
      </c>
      <c r="X288" s="27" t="n">
        <f aca="false">IF(V288=0,0,(W288-V288)/V288)</f>
        <v>0.12154531330344</v>
      </c>
      <c r="Y288" s="26" t="n">
        <v>3617260</v>
      </c>
      <c r="Z288" s="26" t="n">
        <v>1493516508.74</v>
      </c>
      <c r="AA288" s="26" t="n">
        <v>1435216504.74</v>
      </c>
      <c r="AB288" s="28" t="n">
        <f aca="false">IF(B288=0,0,L288/B288*10000)</f>
        <v>3.31054378097469</v>
      </c>
      <c r="AC288" s="28" t="n">
        <f aca="false">IF(D288=0,0,M288/D288*10000)</f>
        <v>3.31054378097469</v>
      </c>
      <c r="AD288" s="28" t="n">
        <f aca="false">IF(C288=0,0,N288/C288*10000)</f>
        <v>0</v>
      </c>
      <c r="AE288" s="28" t="n">
        <f aca="false">IF(E288=0,0,Q288/E288*10000)</f>
        <v>5.31507197617386</v>
      </c>
    </row>
    <row r="289" customFormat="false" ht="15" hidden="false" customHeight="true" outlineLevel="0" collapsed="false">
      <c r="A289" s="7" t="s">
        <v>422</v>
      </c>
      <c r="B289" s="26" t="n">
        <v>8706076740</v>
      </c>
      <c r="C289" s="26" t="n">
        <v>24047820</v>
      </c>
      <c r="D289" s="26" t="n">
        <v>8682028920</v>
      </c>
      <c r="E289" s="26" t="n">
        <v>433769946</v>
      </c>
      <c r="F289" s="26" t="n">
        <v>24047820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0</v>
      </c>
      <c r="L289" s="26" t="n">
        <v>2991680</v>
      </c>
      <c r="M289" s="26" t="n">
        <v>2975859</v>
      </c>
      <c r="N289" s="26" t="n">
        <v>15821</v>
      </c>
      <c r="O289" s="26" t="n">
        <v>0</v>
      </c>
      <c r="P289" s="26" t="n">
        <v>15821</v>
      </c>
      <c r="Q289" s="26" t="n">
        <v>217963</v>
      </c>
      <c r="R289" s="26" t="n">
        <v>28869</v>
      </c>
      <c r="S289" s="26" t="n">
        <v>3238512</v>
      </c>
      <c r="T289" s="26" t="n">
        <v>2695086</v>
      </c>
      <c r="U289" s="26" t="n">
        <v>162992</v>
      </c>
      <c r="V289" s="26" t="n">
        <v>2858078</v>
      </c>
      <c r="W289" s="26" t="n">
        <v>3209643</v>
      </c>
      <c r="X289" s="27" t="n">
        <f aca="false">IF(V289=0,0,(W289-V289)/V289)</f>
        <v>0.123007489648638</v>
      </c>
      <c r="Y289" s="26" t="n">
        <v>2858078</v>
      </c>
      <c r="Z289" s="26" t="n">
        <v>1493516508.74</v>
      </c>
      <c r="AA289" s="26" t="n">
        <v>1435216504.74</v>
      </c>
      <c r="AB289" s="28" t="n">
        <f aca="false">IF(B289=0,0,L289/B289*10000)</f>
        <v>3.43631246236867</v>
      </c>
      <c r="AC289" s="28" t="n">
        <f aca="false">IF(D289=0,0,M289/D289*10000)</f>
        <v>3.42760779469967</v>
      </c>
      <c r="AD289" s="28" t="n">
        <f aca="false">IF(C289=0,0,N289/C289*10000)</f>
        <v>6.5789747261914</v>
      </c>
      <c r="AE289" s="28" t="n">
        <f aca="false">IF(E289=0,0,Q289/E289*10000)</f>
        <v>5.02485250557216</v>
      </c>
    </row>
    <row r="290" customFormat="false" ht="15" hidden="false" customHeight="true" outlineLevel="0" collapsed="false">
      <c r="A290" s="7" t="s">
        <v>423</v>
      </c>
      <c r="B290" s="26" t="n">
        <v>15285388320</v>
      </c>
      <c r="C290" s="26" t="n">
        <v>21857347</v>
      </c>
      <c r="D290" s="26" t="n">
        <v>15263530973</v>
      </c>
      <c r="E290" s="26" t="n">
        <v>421373162</v>
      </c>
      <c r="F290" s="26" t="n">
        <v>21857347</v>
      </c>
      <c r="G290" s="26" t="n">
        <v>0</v>
      </c>
      <c r="H290" s="26" t="n">
        <v>0</v>
      </c>
      <c r="I290" s="26" t="n">
        <v>0</v>
      </c>
      <c r="J290" s="26" t="n">
        <v>0</v>
      </c>
      <c r="K290" s="26" t="n">
        <v>0</v>
      </c>
      <c r="L290" s="26" t="n">
        <v>4915495</v>
      </c>
      <c r="M290" s="26" t="n">
        <v>4902788</v>
      </c>
      <c r="N290" s="26" t="n">
        <v>12707</v>
      </c>
      <c r="O290" s="26" t="n">
        <v>0</v>
      </c>
      <c r="P290" s="26" t="n">
        <v>12707</v>
      </c>
      <c r="Q290" s="26" t="n">
        <v>198310</v>
      </c>
      <c r="R290" s="26" t="n">
        <v>46865</v>
      </c>
      <c r="S290" s="26" t="n">
        <v>5160670</v>
      </c>
      <c r="T290" s="26" t="n">
        <v>4488619</v>
      </c>
      <c r="U290" s="26" t="n">
        <v>150967</v>
      </c>
      <c r="V290" s="26" t="n">
        <v>4639586</v>
      </c>
      <c r="W290" s="26" t="n">
        <v>5113805</v>
      </c>
      <c r="X290" s="27" t="n">
        <f aca="false">IF(V290=0,0,(W290-V290)/V290)</f>
        <v>0.102211490421775</v>
      </c>
      <c r="Y290" s="26" t="n">
        <v>4639586</v>
      </c>
      <c r="Z290" s="26" t="n">
        <v>1493516508.74</v>
      </c>
      <c r="AA290" s="26" t="n">
        <v>1435216504.74</v>
      </c>
      <c r="AB290" s="28" t="n">
        <f aca="false">IF(B290=0,0,L290/B290*10000)</f>
        <v>3.21581296928412</v>
      </c>
      <c r="AC290" s="28" t="n">
        <f aca="false">IF(D290=0,0,M290/D290*10000)</f>
        <v>3.21209293489996</v>
      </c>
      <c r="AD290" s="28" t="n">
        <f aca="false">IF(C290=0,0,N290/C290*10000)</f>
        <v>5.81360583240043</v>
      </c>
      <c r="AE290" s="28" t="n">
        <f aca="false">IF(E290=0,0,Q290/E290*10000)</f>
        <v>4.70627979861708</v>
      </c>
    </row>
    <row r="291" customFormat="false" ht="15" hidden="false" customHeight="true" outlineLevel="0" collapsed="false">
      <c r="A291" s="7" t="s">
        <v>424</v>
      </c>
      <c r="B291" s="26" t="n">
        <v>8814698978</v>
      </c>
      <c r="C291" s="26" t="n">
        <v>20629520</v>
      </c>
      <c r="D291" s="26" t="n">
        <v>8794069458</v>
      </c>
      <c r="E291" s="26" t="n">
        <v>285617603</v>
      </c>
      <c r="F291" s="26" t="n">
        <v>20629520</v>
      </c>
      <c r="G291" s="26" t="n">
        <v>0</v>
      </c>
      <c r="H291" s="26" t="n">
        <v>0</v>
      </c>
      <c r="I291" s="26" t="n">
        <v>0</v>
      </c>
      <c r="J291" s="26" t="n">
        <v>0</v>
      </c>
      <c r="K291" s="26" t="n">
        <v>0</v>
      </c>
      <c r="L291" s="26" t="n">
        <v>2916662</v>
      </c>
      <c r="M291" s="26" t="n">
        <v>2904517</v>
      </c>
      <c r="N291" s="26" t="n">
        <v>12145</v>
      </c>
      <c r="O291" s="26" t="n">
        <v>0</v>
      </c>
      <c r="P291" s="26" t="n">
        <v>12145</v>
      </c>
      <c r="Q291" s="26" t="n">
        <v>154768</v>
      </c>
      <c r="R291" s="26" t="n">
        <v>28010</v>
      </c>
      <c r="S291" s="26" t="n">
        <v>3099440</v>
      </c>
      <c r="T291" s="26" t="n">
        <v>2652721</v>
      </c>
      <c r="U291" s="26" t="n">
        <v>120242</v>
      </c>
      <c r="V291" s="26" t="n">
        <v>2772963</v>
      </c>
      <c r="W291" s="26" t="n">
        <v>3071430</v>
      </c>
      <c r="X291" s="27" t="n">
        <f aca="false">IF(V291=0,0,(W291-V291)/V291)</f>
        <v>0.107634685352816</v>
      </c>
      <c r="Y291" s="26" t="n">
        <v>2772963</v>
      </c>
      <c r="Z291" s="26" t="n">
        <v>1251677978.58</v>
      </c>
      <c r="AA291" s="26" t="n">
        <v>1193377973.57</v>
      </c>
      <c r="AB291" s="28" t="n">
        <f aca="false">IF(B291=0,0,L291/B291*10000)</f>
        <v>3.30886171754645</v>
      </c>
      <c r="AC291" s="28" t="n">
        <f aca="false">IF(D291=0,0,M291/D291*10000)</f>
        <v>3.30281334923702</v>
      </c>
      <c r="AD291" s="28" t="n">
        <f aca="false">IF(C291=0,0,N291/C291*10000)</f>
        <v>5.88719466085493</v>
      </c>
      <c r="AE291" s="28" t="n">
        <f aca="false">IF(E291=0,0,Q291/E291*10000)</f>
        <v>5.41871363579786</v>
      </c>
    </row>
    <row r="292" customFormat="false" ht="15" hidden="false" customHeight="true" outlineLevel="0" collapsed="false">
      <c r="A292" s="7" t="s">
        <v>425</v>
      </c>
      <c r="B292" s="26" t="n">
        <v>11234093956</v>
      </c>
      <c r="C292" s="26" t="n">
        <v>19168299</v>
      </c>
      <c r="D292" s="26" t="n">
        <v>11214925657</v>
      </c>
      <c r="E292" s="26" t="n">
        <v>366551346</v>
      </c>
      <c r="F292" s="26" t="n">
        <v>19168299</v>
      </c>
      <c r="G292" s="26" t="n">
        <v>0</v>
      </c>
      <c r="H292" s="26" t="n">
        <v>0</v>
      </c>
      <c r="I292" s="26" t="n">
        <v>0</v>
      </c>
      <c r="J292" s="26" t="n">
        <v>0</v>
      </c>
      <c r="K292" s="26" t="n">
        <v>0</v>
      </c>
      <c r="L292" s="26" t="n">
        <v>3684799</v>
      </c>
      <c r="M292" s="26" t="n">
        <v>3673300</v>
      </c>
      <c r="N292" s="26" t="n">
        <v>11499</v>
      </c>
      <c r="O292" s="26" t="n">
        <v>0</v>
      </c>
      <c r="P292" s="26" t="n">
        <v>11499</v>
      </c>
      <c r="Q292" s="26" t="n">
        <v>184541</v>
      </c>
      <c r="R292" s="26" t="n">
        <v>35211</v>
      </c>
      <c r="S292" s="26" t="n">
        <v>3904551</v>
      </c>
      <c r="T292" s="26" t="n">
        <v>3348649</v>
      </c>
      <c r="U292" s="26" t="n">
        <v>137248</v>
      </c>
      <c r="V292" s="26" t="n">
        <v>3485897</v>
      </c>
      <c r="W292" s="26" t="n">
        <v>3869340</v>
      </c>
      <c r="X292" s="27" t="n">
        <f aca="false">IF(V292=0,0,(W292-V292)/V292)</f>
        <v>0.109998373445917</v>
      </c>
      <c r="Y292" s="26" t="n">
        <v>3485897</v>
      </c>
      <c r="Z292" s="26" t="n">
        <v>1251677978.58</v>
      </c>
      <c r="AA292" s="26" t="n">
        <v>1193377973.57</v>
      </c>
      <c r="AB292" s="28" t="n">
        <f aca="false">IF(B292=0,0,L292/B292*10000)</f>
        <v>3.28001440475045</v>
      </c>
      <c r="AC292" s="28" t="n">
        <f aca="false">IF(D292=0,0,M292/D292*10000)</f>
        <v>3.27536723144236</v>
      </c>
      <c r="AD292" s="28" t="n">
        <f aca="false">IF(C292=0,0,N292/C292*10000)</f>
        <v>5.99896735751044</v>
      </c>
      <c r="AE292" s="28" t="n">
        <f aca="false">IF(E292=0,0,Q292/E292*10000)</f>
        <v>5.03451977502764</v>
      </c>
    </row>
    <row r="293" customFormat="false" ht="15" hidden="false" customHeight="true" outlineLevel="0" collapsed="false">
      <c r="A293" s="7" t="s">
        <v>426</v>
      </c>
      <c r="B293" s="26" t="n">
        <v>11357088334</v>
      </c>
      <c r="C293" s="26" t="n">
        <v>15072187</v>
      </c>
      <c r="D293" s="26" t="n">
        <v>11342016147</v>
      </c>
      <c r="E293" s="26" t="n">
        <v>440603237</v>
      </c>
      <c r="F293" s="26" t="n">
        <v>15072187</v>
      </c>
      <c r="G293" s="26" t="n">
        <v>0</v>
      </c>
      <c r="H293" s="26" t="n">
        <v>0</v>
      </c>
      <c r="I293" s="26" t="n">
        <v>0</v>
      </c>
      <c r="J293" s="26" t="n">
        <v>0</v>
      </c>
      <c r="K293" s="26" t="n">
        <v>0</v>
      </c>
      <c r="L293" s="26" t="n">
        <v>3859604</v>
      </c>
      <c r="M293" s="26" t="n">
        <v>3850700</v>
      </c>
      <c r="N293" s="26" t="n">
        <v>8904</v>
      </c>
      <c r="O293" s="26" t="n">
        <v>0</v>
      </c>
      <c r="P293" s="26" t="n">
        <v>8904</v>
      </c>
      <c r="Q293" s="26" t="n">
        <v>235326</v>
      </c>
      <c r="R293" s="26" t="n">
        <v>36884</v>
      </c>
      <c r="S293" s="26" t="n">
        <v>4131814</v>
      </c>
      <c r="T293" s="26" t="n">
        <v>3479105</v>
      </c>
      <c r="U293" s="26" t="n">
        <v>172445</v>
      </c>
      <c r="V293" s="26" t="n">
        <v>3651550</v>
      </c>
      <c r="W293" s="26" t="n">
        <v>4094930</v>
      </c>
      <c r="X293" s="27" t="n">
        <f aca="false">IF(V293=0,0,(W293-V293)/V293)</f>
        <v>0.121422409661651</v>
      </c>
      <c r="Y293" s="26" t="n">
        <v>3651550</v>
      </c>
      <c r="Z293" s="26" t="n">
        <v>1251677978.58</v>
      </c>
      <c r="AA293" s="26" t="n">
        <v>1193377973.57</v>
      </c>
      <c r="AB293" s="28" t="n">
        <f aca="false">IF(B293=0,0,L293/B293*10000)</f>
        <v>3.39840977413674</v>
      </c>
      <c r="AC293" s="28" t="n">
        <f aca="false">IF(D293=0,0,M293/D293*10000)</f>
        <v>3.39507539937555</v>
      </c>
      <c r="AD293" s="28" t="n">
        <f aca="false">IF(C293=0,0,N293/C293*10000)</f>
        <v>5.90757001621596</v>
      </c>
      <c r="AE293" s="28" t="n">
        <f aca="false">IF(E293=0,0,Q293/E293*10000)</f>
        <v>5.34099571311139</v>
      </c>
    </row>
    <row r="294" customFormat="false" ht="15" hidden="false" customHeight="true" outlineLevel="0" collapsed="false">
      <c r="A294" s="7" t="s">
        <v>427</v>
      </c>
      <c r="B294" s="26" t="n">
        <v>3245268977</v>
      </c>
      <c r="C294" s="26" t="n">
        <v>6244622</v>
      </c>
      <c r="D294" s="26" t="n">
        <v>3239024355</v>
      </c>
      <c r="E294" s="26" t="n">
        <v>175437722</v>
      </c>
      <c r="F294" s="26" t="n">
        <v>6244622</v>
      </c>
      <c r="G294" s="26" t="n">
        <v>0</v>
      </c>
      <c r="H294" s="26" t="n">
        <v>0</v>
      </c>
      <c r="I294" s="26" t="n">
        <v>0</v>
      </c>
      <c r="J294" s="26" t="n">
        <v>0</v>
      </c>
      <c r="K294" s="26" t="n">
        <v>0</v>
      </c>
      <c r="L294" s="26" t="n">
        <v>1369242</v>
      </c>
      <c r="M294" s="26" t="n">
        <v>1365473</v>
      </c>
      <c r="N294" s="26" t="n">
        <v>3769</v>
      </c>
      <c r="O294" s="26" t="n">
        <v>0</v>
      </c>
      <c r="P294" s="26" t="n">
        <v>3769</v>
      </c>
      <c r="Q294" s="26" t="n">
        <v>121569</v>
      </c>
      <c r="R294" s="26" t="n">
        <v>13037</v>
      </c>
      <c r="S294" s="26" t="n">
        <v>1503848</v>
      </c>
      <c r="T294" s="26" t="n">
        <v>1199221</v>
      </c>
      <c r="U294" s="26" t="n">
        <v>91488</v>
      </c>
      <c r="V294" s="26" t="n">
        <v>1290709</v>
      </c>
      <c r="W294" s="26" t="n">
        <v>1490811</v>
      </c>
      <c r="X294" s="27" t="n">
        <f aca="false">IF(V294=0,0,(W294-V294)/V294)</f>
        <v>0.155032621605645</v>
      </c>
      <c r="Y294" s="26" t="n">
        <v>1290709</v>
      </c>
      <c r="Z294" s="26" t="n">
        <v>1251677978.58</v>
      </c>
      <c r="AA294" s="26" t="n">
        <v>1193377973.57</v>
      </c>
      <c r="AB294" s="28" t="n">
        <f aca="false">IF(B294=0,0,L294/B294*10000)</f>
        <v>4.21919418607255</v>
      </c>
      <c r="AC294" s="28" t="n">
        <f aca="false">IF(D294=0,0,M294/D294*10000)</f>
        <v>4.21569228984695</v>
      </c>
      <c r="AD294" s="28" t="n">
        <f aca="false">IF(C294=0,0,N294/C294*10000)</f>
        <v>6.03559350750134</v>
      </c>
      <c r="AE294" s="28" t="n">
        <f aca="false">IF(E294=0,0,Q294/E294*10000)</f>
        <v>6.9294675406239</v>
      </c>
    </row>
    <row r="295" customFormat="false" ht="15" hidden="false" customHeight="true" outlineLevel="0" collapsed="false">
      <c r="A295" s="7" t="s">
        <v>428</v>
      </c>
      <c r="B295" s="26" t="n">
        <v>5068712072</v>
      </c>
      <c r="C295" s="26" t="n">
        <v>7839092</v>
      </c>
      <c r="D295" s="26" t="n">
        <v>5060872980</v>
      </c>
      <c r="E295" s="26" t="n">
        <v>196378165</v>
      </c>
      <c r="F295" s="26" t="n">
        <v>7839092</v>
      </c>
      <c r="G295" s="26" t="n">
        <v>0</v>
      </c>
      <c r="H295" s="26" t="n">
        <v>0</v>
      </c>
      <c r="I295" s="26" t="n">
        <v>0</v>
      </c>
      <c r="J295" s="26" t="n">
        <v>0</v>
      </c>
      <c r="K295" s="26" t="n">
        <v>0</v>
      </c>
      <c r="L295" s="26" t="n">
        <v>2018874</v>
      </c>
      <c r="M295" s="26" t="n">
        <v>2013351</v>
      </c>
      <c r="N295" s="26" t="n">
        <v>5523</v>
      </c>
      <c r="O295" s="26" t="n">
        <v>0</v>
      </c>
      <c r="P295" s="26" t="n">
        <v>5523</v>
      </c>
      <c r="Q295" s="26" t="n">
        <v>121130</v>
      </c>
      <c r="R295" s="26" t="n">
        <v>19219</v>
      </c>
      <c r="S295" s="26" t="n">
        <v>2159223</v>
      </c>
      <c r="T295" s="26" t="n">
        <v>1810336</v>
      </c>
      <c r="U295" s="26" t="n">
        <v>92346</v>
      </c>
      <c r="V295" s="26" t="n">
        <v>1902682</v>
      </c>
      <c r="W295" s="26" t="n">
        <v>2140004</v>
      </c>
      <c r="X295" s="27" t="n">
        <f aca="false">IF(V295=0,0,(W295-V295)/V295)</f>
        <v>0.124730249195609</v>
      </c>
      <c r="Y295" s="26" t="n">
        <v>1902682</v>
      </c>
      <c r="Z295" s="26" t="n">
        <v>1251677978.58</v>
      </c>
      <c r="AA295" s="26" t="n">
        <v>1193377973.57</v>
      </c>
      <c r="AB295" s="28" t="n">
        <f aca="false">IF(B295=0,0,L295/B295*10000)</f>
        <v>3.9830118012669</v>
      </c>
      <c r="AC295" s="28" t="n">
        <f aca="false">IF(D295=0,0,M295/D295*10000)</f>
        <v>3.97826819198296</v>
      </c>
      <c r="AD295" s="28" t="n">
        <f aca="false">IF(C295=0,0,N295/C295*10000)</f>
        <v>7.045458836304</v>
      </c>
      <c r="AE295" s="28" t="n">
        <f aca="false">IF(E295=0,0,Q295/E295*10000)</f>
        <v>6.16820103192226</v>
      </c>
    </row>
    <row r="296" customFormat="false" ht="15" hidden="false" customHeight="true" outlineLevel="0" collapsed="false">
      <c r="A296" s="7" t="s">
        <v>429</v>
      </c>
      <c r="B296" s="26" t="n">
        <v>8063844247</v>
      </c>
      <c r="C296" s="26" t="n">
        <v>10611401</v>
      </c>
      <c r="D296" s="26" t="n">
        <v>8053232846</v>
      </c>
      <c r="E296" s="26" t="n">
        <v>262337970</v>
      </c>
      <c r="F296" s="26" t="n">
        <v>10611401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  <c r="L296" s="26" t="n">
        <v>3051422</v>
      </c>
      <c r="M296" s="26" t="n">
        <v>3044459</v>
      </c>
      <c r="N296" s="26" t="n">
        <v>6963</v>
      </c>
      <c r="O296" s="26" t="n">
        <v>0</v>
      </c>
      <c r="P296" s="26" t="n">
        <v>6963</v>
      </c>
      <c r="Q296" s="26" t="n">
        <v>148185</v>
      </c>
      <c r="R296" s="26" t="n">
        <v>29337</v>
      </c>
      <c r="S296" s="26" t="n">
        <v>3228944</v>
      </c>
      <c r="T296" s="26" t="n">
        <v>2790163</v>
      </c>
      <c r="U296" s="26" t="n">
        <v>114214</v>
      </c>
      <c r="V296" s="26" t="n">
        <v>2904377</v>
      </c>
      <c r="W296" s="26" t="n">
        <v>3199607</v>
      </c>
      <c r="X296" s="27" t="n">
        <f aca="false">IF(V296=0,0,(W296-V296)/V296)</f>
        <v>0.101650026838802</v>
      </c>
      <c r="Y296" s="26" t="n">
        <v>2904377</v>
      </c>
      <c r="Z296" s="26" t="n">
        <v>1251677978.58</v>
      </c>
      <c r="AA296" s="26" t="n">
        <v>1193377973.57</v>
      </c>
      <c r="AB296" s="28" t="n">
        <f aca="false">IF(B296=0,0,L296/B296*10000)</f>
        <v>3.78407854434344</v>
      </c>
      <c r="AC296" s="28" t="n">
        <f aca="false">IF(D296=0,0,M296/D296*10000)</f>
        <v>3.78041844588185</v>
      </c>
      <c r="AD296" s="28" t="n">
        <f aca="false">IF(C296=0,0,N296/C296*10000)</f>
        <v>6.561810264262</v>
      </c>
      <c r="AE296" s="28" t="n">
        <f aca="false">IF(E296=0,0,Q296/E296*10000)</f>
        <v>5.64862951405776</v>
      </c>
    </row>
    <row r="297" customFormat="false" ht="15" hidden="false" customHeight="true" outlineLevel="0" collapsed="false">
      <c r="A297" s="7" t="s">
        <v>430</v>
      </c>
      <c r="B297" s="26" t="n">
        <v>14318465782</v>
      </c>
      <c r="C297" s="26" t="n">
        <v>23310245</v>
      </c>
      <c r="D297" s="26" t="n">
        <v>14295155537</v>
      </c>
      <c r="E297" s="26" t="n">
        <v>354661810</v>
      </c>
      <c r="F297" s="26" t="n">
        <v>23310245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  <c r="L297" s="26" t="n">
        <v>5167560</v>
      </c>
      <c r="M297" s="26" t="n">
        <v>5153083</v>
      </c>
      <c r="N297" s="26" t="n">
        <v>14477</v>
      </c>
      <c r="O297" s="26" t="n">
        <v>0</v>
      </c>
      <c r="P297" s="26" t="n">
        <v>14477</v>
      </c>
      <c r="Q297" s="26" t="n">
        <v>201314</v>
      </c>
      <c r="R297" s="26" t="n">
        <v>49790</v>
      </c>
      <c r="S297" s="26" t="n">
        <v>5418664</v>
      </c>
      <c r="T297" s="26" t="n">
        <v>4773028</v>
      </c>
      <c r="U297" s="26" t="n">
        <v>156162</v>
      </c>
      <c r="V297" s="26" t="n">
        <v>4929190</v>
      </c>
      <c r="W297" s="26" t="n">
        <v>5368874</v>
      </c>
      <c r="X297" s="27" t="n">
        <f aca="false">IF(V297=0,0,(W297-V297)/V297)</f>
        <v>0.0892000511240184</v>
      </c>
      <c r="Y297" s="26" t="n">
        <v>4929190</v>
      </c>
      <c r="Z297" s="26" t="n">
        <v>1251677978.58</v>
      </c>
      <c r="AA297" s="26" t="n">
        <v>1193377973.57</v>
      </c>
      <c r="AB297" s="28" t="n">
        <f aca="false">IF(B297=0,0,L297/B297*10000)</f>
        <v>3.60901794834488</v>
      </c>
      <c r="AC297" s="28" t="n">
        <f aca="false">IF(D297=0,0,M297/D297*10000)</f>
        <v>3.60477574844312</v>
      </c>
      <c r="AD297" s="28" t="n">
        <f aca="false">IF(C297=0,0,N297/C297*10000)</f>
        <v>6.2105739343366</v>
      </c>
      <c r="AE297" s="28" t="n">
        <f aca="false">IF(E297=0,0,Q297/E297*10000)</f>
        <v>5.67622434453825</v>
      </c>
    </row>
    <row r="298" customFormat="false" ht="15" hidden="false" customHeight="true" outlineLevel="0" collapsed="false">
      <c r="A298" s="7" t="s">
        <v>431</v>
      </c>
      <c r="B298" s="26" t="n">
        <v>11515432181</v>
      </c>
      <c r="C298" s="26" t="n">
        <v>36699372</v>
      </c>
      <c r="D298" s="26" t="n">
        <v>11478732809</v>
      </c>
      <c r="E298" s="26" t="n">
        <v>292734754</v>
      </c>
      <c r="F298" s="26" t="n">
        <v>36699372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  <c r="L298" s="26" t="n">
        <v>4058966</v>
      </c>
      <c r="M298" s="26" t="n">
        <v>4037694</v>
      </c>
      <c r="N298" s="26" t="n">
        <v>21272</v>
      </c>
      <c r="O298" s="26" t="n">
        <v>0</v>
      </c>
      <c r="P298" s="26" t="n">
        <v>21272</v>
      </c>
      <c r="Q298" s="26" t="n">
        <v>159923</v>
      </c>
      <c r="R298" s="26" t="n">
        <v>39655</v>
      </c>
      <c r="S298" s="26" t="n">
        <v>4258544</v>
      </c>
      <c r="T298" s="26" t="n">
        <v>3802459</v>
      </c>
      <c r="U298" s="26" t="n">
        <v>123392</v>
      </c>
      <c r="V298" s="26" t="n">
        <v>3925851</v>
      </c>
      <c r="W298" s="26" t="n">
        <v>4218889</v>
      </c>
      <c r="X298" s="27" t="n">
        <f aca="false">IF(V298=0,0,(W298-V298)/V298)</f>
        <v>0.0746431792750158</v>
      </c>
      <c r="Y298" s="26" t="n">
        <v>3925851</v>
      </c>
      <c r="Z298" s="26" t="n">
        <v>1225759667.76</v>
      </c>
      <c r="AA298" s="26" t="n">
        <v>1167459662.75</v>
      </c>
      <c r="AB298" s="28" t="n">
        <f aca="false">IF(B298=0,0,L298/B298*10000)</f>
        <v>3.5248056140673</v>
      </c>
      <c r="AC298" s="28" t="n">
        <f aca="false">IF(D298=0,0,M298/D298*10000)</f>
        <v>3.51754332746051</v>
      </c>
      <c r="AD298" s="28" t="n">
        <f aca="false">IF(C298=0,0,N298/C298*10000)</f>
        <v>5.79628447048086</v>
      </c>
      <c r="AE298" s="28" t="n">
        <f aca="false">IF(E298=0,0,Q298/E298*10000)</f>
        <v>5.46306845411324</v>
      </c>
    </row>
    <row r="299" customFormat="false" ht="15" hidden="false" customHeight="true" outlineLevel="0" collapsed="false">
      <c r="A299" s="7" t="s">
        <v>432</v>
      </c>
      <c r="B299" s="26" t="n">
        <v>8499551768</v>
      </c>
      <c r="C299" s="26" t="n">
        <v>30172562</v>
      </c>
      <c r="D299" s="26" t="n">
        <v>8469379206</v>
      </c>
      <c r="E299" s="26" t="n">
        <v>277126381</v>
      </c>
      <c r="F299" s="26" t="n">
        <v>30172562</v>
      </c>
      <c r="G299" s="26" t="n">
        <v>0</v>
      </c>
      <c r="H299" s="26" t="n">
        <v>0</v>
      </c>
      <c r="I299" s="26" t="n">
        <v>0</v>
      </c>
      <c r="J299" s="26" t="n">
        <v>0</v>
      </c>
      <c r="K299" s="26" t="n">
        <v>0</v>
      </c>
      <c r="L299" s="26" t="n">
        <v>3138968</v>
      </c>
      <c r="M299" s="26" t="n">
        <v>3120693</v>
      </c>
      <c r="N299" s="26" t="n">
        <v>18275</v>
      </c>
      <c r="O299" s="26" t="n">
        <v>0</v>
      </c>
      <c r="P299" s="26" t="n">
        <v>18275</v>
      </c>
      <c r="Q299" s="26" t="n">
        <v>159178</v>
      </c>
      <c r="R299" s="26" t="n">
        <v>30487</v>
      </c>
      <c r="S299" s="26" t="n">
        <v>3328633</v>
      </c>
      <c r="T299" s="26" t="n">
        <v>2892600</v>
      </c>
      <c r="U299" s="26" t="n">
        <v>125618</v>
      </c>
      <c r="V299" s="26" t="n">
        <v>3018218</v>
      </c>
      <c r="W299" s="26" t="n">
        <v>3298146</v>
      </c>
      <c r="X299" s="27" t="n">
        <f aca="false">IF(V299=0,0,(W299-V299)/V299)</f>
        <v>0.0927461170796808</v>
      </c>
      <c r="Y299" s="26" t="n">
        <v>3018218</v>
      </c>
      <c r="Z299" s="26" t="n">
        <v>1225759667.76</v>
      </c>
      <c r="AA299" s="26" t="n">
        <v>1167459662.75</v>
      </c>
      <c r="AB299" s="28" t="n">
        <f aca="false">IF(B299=0,0,L299/B299*10000)</f>
        <v>3.69309827821499</v>
      </c>
      <c r="AC299" s="28" t="n">
        <f aca="false">IF(D299=0,0,M299/D299*10000)</f>
        <v>3.68467738200835</v>
      </c>
      <c r="AD299" s="28" t="n">
        <f aca="false">IF(C299=0,0,N299/C299*10000)</f>
        <v>6.05682739172099</v>
      </c>
      <c r="AE299" s="28" t="n">
        <f aca="false">IF(E299=0,0,Q299/E299*10000)</f>
        <v>5.74387755599493</v>
      </c>
    </row>
    <row r="300" customFormat="false" ht="15" hidden="false" customHeight="true" outlineLevel="0" collapsed="false">
      <c r="A300" s="7" t="s">
        <v>433</v>
      </c>
      <c r="B300" s="26" t="n">
        <v>6637753247</v>
      </c>
      <c r="C300" s="26" t="n">
        <v>27345918</v>
      </c>
      <c r="D300" s="26" t="n">
        <v>6610407329</v>
      </c>
      <c r="E300" s="26" t="n">
        <v>183360265</v>
      </c>
      <c r="F300" s="26" t="n">
        <v>27345918</v>
      </c>
      <c r="G300" s="26" t="n">
        <v>0</v>
      </c>
      <c r="H300" s="26" t="n">
        <v>0</v>
      </c>
      <c r="I300" s="26" t="n">
        <v>0</v>
      </c>
      <c r="J300" s="26" t="n">
        <v>0</v>
      </c>
      <c r="K300" s="26" t="n">
        <v>0</v>
      </c>
      <c r="L300" s="26" t="n">
        <v>2562271</v>
      </c>
      <c r="M300" s="26" t="n">
        <v>2546815</v>
      </c>
      <c r="N300" s="26" t="n">
        <v>15456</v>
      </c>
      <c r="O300" s="26" t="n">
        <v>0</v>
      </c>
      <c r="P300" s="26" t="n">
        <v>15456</v>
      </c>
      <c r="Q300" s="26" t="n">
        <v>110772</v>
      </c>
      <c r="R300" s="26" t="n">
        <v>24237</v>
      </c>
      <c r="S300" s="26" t="n">
        <v>2697280</v>
      </c>
      <c r="T300" s="26" t="n">
        <v>2318418</v>
      </c>
      <c r="U300" s="26" t="n">
        <v>81020</v>
      </c>
      <c r="V300" s="26" t="n">
        <v>2399438</v>
      </c>
      <c r="W300" s="26" t="n">
        <v>2673043</v>
      </c>
      <c r="X300" s="27" t="n">
        <f aca="false">IF(V300=0,0,(W300-V300)/V300)</f>
        <v>0.114028785073838</v>
      </c>
      <c r="Y300" s="26" t="n">
        <v>2399438</v>
      </c>
      <c r="Z300" s="26" t="n">
        <v>1225759667.76</v>
      </c>
      <c r="AA300" s="26" t="n">
        <v>1167459662.75</v>
      </c>
      <c r="AB300" s="28" t="n">
        <f aca="false">IF(B300=0,0,L300/B300*10000)</f>
        <v>3.8601480119166</v>
      </c>
      <c r="AC300" s="28" t="n">
        <f aca="false">IF(D300=0,0,M300/D300*10000)</f>
        <v>3.85273535085662</v>
      </c>
      <c r="AD300" s="28" t="n">
        <f aca="false">IF(C300=0,0,N300/C300*10000)</f>
        <v>5.6520318681567</v>
      </c>
      <c r="AE300" s="28" t="n">
        <f aca="false">IF(E300=0,0,Q300/E300*10000)</f>
        <v>6.04122163545084</v>
      </c>
    </row>
    <row r="301" customFormat="false" ht="15" hidden="false" customHeight="true" outlineLevel="0" collapsed="false">
      <c r="A301" s="7" t="s">
        <v>434</v>
      </c>
      <c r="B301" s="26" t="n">
        <v>3058231424</v>
      </c>
      <c r="C301" s="26" t="n">
        <v>48997606</v>
      </c>
      <c r="D301" s="26" t="n">
        <v>3009233818</v>
      </c>
      <c r="E301" s="26" t="n">
        <v>174559654</v>
      </c>
      <c r="F301" s="26" t="n">
        <v>48997606</v>
      </c>
      <c r="G301" s="26" t="n">
        <v>0</v>
      </c>
      <c r="H301" s="26" t="n">
        <v>0</v>
      </c>
      <c r="I301" s="26" t="n">
        <v>0</v>
      </c>
      <c r="J301" s="26" t="n">
        <v>0</v>
      </c>
      <c r="K301" s="26" t="n">
        <v>0</v>
      </c>
      <c r="L301" s="26" t="n">
        <v>1321850</v>
      </c>
      <c r="M301" s="26" t="n">
        <v>1294895</v>
      </c>
      <c r="N301" s="26" t="n">
        <v>26955</v>
      </c>
      <c r="O301" s="26" t="n">
        <v>0</v>
      </c>
      <c r="P301" s="26" t="n">
        <v>26955</v>
      </c>
      <c r="Q301" s="26" t="n">
        <v>110935</v>
      </c>
      <c r="R301" s="26" t="n">
        <v>12698</v>
      </c>
      <c r="S301" s="26" t="n">
        <v>1445483</v>
      </c>
      <c r="T301" s="26" t="n">
        <v>1170044</v>
      </c>
      <c r="U301" s="26" t="n">
        <v>87107</v>
      </c>
      <c r="V301" s="26" t="n">
        <v>1257151</v>
      </c>
      <c r="W301" s="26" t="n">
        <v>1432785</v>
      </c>
      <c r="X301" s="27" t="n">
        <f aca="false">IF(V301=0,0,(W301-V301)/V301)</f>
        <v>0.139707958709813</v>
      </c>
      <c r="Y301" s="26" t="n">
        <v>1257151</v>
      </c>
      <c r="Z301" s="26" t="n">
        <v>1225759667.76</v>
      </c>
      <c r="AA301" s="26" t="n">
        <v>1167459662.75</v>
      </c>
      <c r="AB301" s="28" t="n">
        <f aca="false">IF(B301=0,0,L301/B301*10000)</f>
        <v>4.32226936662332</v>
      </c>
      <c r="AC301" s="28" t="n">
        <f aca="false">IF(D301=0,0,M301/D301*10000)</f>
        <v>4.30307207188245</v>
      </c>
      <c r="AD301" s="28" t="n">
        <f aca="false">IF(C301=0,0,N301/C301*10000)</f>
        <v>5.5012891854349</v>
      </c>
      <c r="AE301" s="28" t="n">
        <f aca="false">IF(E301=0,0,Q301/E301*10000)</f>
        <v>6.35513404489218</v>
      </c>
    </row>
    <row r="302" customFormat="false" ht="15" hidden="false" customHeight="true" outlineLevel="0" collapsed="false">
      <c r="A302" s="7" t="s">
        <v>435</v>
      </c>
      <c r="B302" s="26" t="n">
        <v>5958544485</v>
      </c>
      <c r="C302" s="26" t="n">
        <v>47016155</v>
      </c>
      <c r="D302" s="26" t="n">
        <v>5911528330</v>
      </c>
      <c r="E302" s="26" t="n">
        <v>250980235</v>
      </c>
      <c r="F302" s="26" t="n">
        <v>47016155</v>
      </c>
      <c r="G302" s="26" t="n">
        <v>0</v>
      </c>
      <c r="H302" s="26" t="n">
        <v>0</v>
      </c>
      <c r="I302" s="26" t="n">
        <v>0</v>
      </c>
      <c r="J302" s="26" t="n">
        <v>0</v>
      </c>
      <c r="K302" s="26" t="n">
        <v>0</v>
      </c>
      <c r="L302" s="26" t="n">
        <v>2506397</v>
      </c>
      <c r="M302" s="26" t="n">
        <v>2478135</v>
      </c>
      <c r="N302" s="26" t="n">
        <v>28262</v>
      </c>
      <c r="O302" s="26" t="n">
        <v>0</v>
      </c>
      <c r="P302" s="26" t="n">
        <v>28262</v>
      </c>
      <c r="Q302" s="26" t="n">
        <v>153309</v>
      </c>
      <c r="R302" s="26" t="n">
        <v>23948</v>
      </c>
      <c r="S302" s="26" t="n">
        <v>2683654</v>
      </c>
      <c r="T302" s="26" t="n">
        <v>2245309</v>
      </c>
      <c r="U302" s="26" t="n">
        <v>125584</v>
      </c>
      <c r="V302" s="26" t="n">
        <v>2370893</v>
      </c>
      <c r="W302" s="26" t="n">
        <v>2659706</v>
      </c>
      <c r="X302" s="27" t="n">
        <f aca="false">IF(V302=0,0,(W302-V302)/V302)</f>
        <v>0.121816125822633</v>
      </c>
      <c r="Y302" s="26" t="n">
        <v>2370893</v>
      </c>
      <c r="Z302" s="26" t="n">
        <v>1225759667.76</v>
      </c>
      <c r="AA302" s="26" t="n">
        <v>1167459662.75</v>
      </c>
      <c r="AB302" s="28" t="n">
        <f aca="false">IF(B302=0,0,L302/B302*10000)</f>
        <v>4.20639135330715</v>
      </c>
      <c r="AC302" s="28" t="n">
        <f aca="false">IF(D302=0,0,M302/D302*10000)</f>
        <v>4.19203776360825</v>
      </c>
      <c r="AD302" s="28" t="n">
        <f aca="false">IF(C302=0,0,N302/C302*10000)</f>
        <v>6.01112532490162</v>
      </c>
      <c r="AE302" s="28" t="n">
        <f aca="false">IF(E302=0,0,Q302/E302*10000)</f>
        <v>6.1084092936641</v>
      </c>
    </row>
    <row r="303" customFormat="false" ht="15" hidden="false" customHeight="true" outlineLevel="0" collapsed="false">
      <c r="A303" s="7" t="s">
        <v>436</v>
      </c>
      <c r="B303" s="26" t="n">
        <v>8159861804</v>
      </c>
      <c r="C303" s="26" t="n">
        <v>65446643</v>
      </c>
      <c r="D303" s="26" t="n">
        <v>8094415161</v>
      </c>
      <c r="E303" s="26" t="n">
        <v>299657027</v>
      </c>
      <c r="F303" s="26" t="n">
        <v>65446643</v>
      </c>
      <c r="G303" s="26" t="n">
        <v>0</v>
      </c>
      <c r="H303" s="26" t="n">
        <v>0</v>
      </c>
      <c r="I303" s="26" t="n">
        <v>0</v>
      </c>
      <c r="J303" s="26" t="n">
        <v>0</v>
      </c>
      <c r="K303" s="26" t="n">
        <v>0</v>
      </c>
      <c r="L303" s="26" t="n">
        <v>3340973</v>
      </c>
      <c r="M303" s="26" t="n">
        <v>3304350</v>
      </c>
      <c r="N303" s="26" t="n">
        <v>36623</v>
      </c>
      <c r="O303" s="26" t="n">
        <v>0</v>
      </c>
      <c r="P303" s="26" t="n">
        <v>36623</v>
      </c>
      <c r="Q303" s="26" t="n">
        <v>180324</v>
      </c>
      <c r="R303" s="26" t="n">
        <v>31769</v>
      </c>
      <c r="S303" s="26" t="n">
        <v>3553066</v>
      </c>
      <c r="T303" s="26" t="n">
        <v>3003261</v>
      </c>
      <c r="U303" s="26" t="n">
        <v>141883</v>
      </c>
      <c r="V303" s="26" t="n">
        <v>3145144</v>
      </c>
      <c r="W303" s="26" t="n">
        <v>3521297</v>
      </c>
      <c r="X303" s="27" t="n">
        <f aca="false">IF(V303=0,0,(W303-V303)/V303)</f>
        <v>0.119598021585021</v>
      </c>
      <c r="Y303" s="26" t="n">
        <v>3145144</v>
      </c>
      <c r="Z303" s="26" t="n">
        <v>1225759667.76</v>
      </c>
      <c r="AA303" s="26" t="n">
        <v>1167459662.75</v>
      </c>
      <c r="AB303" s="28" t="n">
        <f aca="false">IF(B303=0,0,L303/B303*10000)</f>
        <v>4.09439899872108</v>
      </c>
      <c r="AC303" s="28" t="n">
        <f aca="false">IF(D303=0,0,M303/D303*10000)</f>
        <v>4.08225910615607</v>
      </c>
      <c r="AD303" s="28" t="n">
        <f aca="false">IF(C303=0,0,N303/C303*10000)</f>
        <v>5.59585615414988</v>
      </c>
      <c r="AE303" s="28" t="n">
        <f aca="false">IF(E303=0,0,Q303/E303*10000)</f>
        <v>6.01767967216734</v>
      </c>
    </row>
    <row r="304" customFormat="false" ht="15" hidden="false" customHeight="true" outlineLevel="0" collapsed="false">
      <c r="A304" s="7" t="s">
        <v>437</v>
      </c>
      <c r="B304" s="26" t="n">
        <v>9671969318</v>
      </c>
      <c r="C304" s="26" t="n">
        <v>80478854</v>
      </c>
      <c r="D304" s="26" t="n">
        <v>9591490464</v>
      </c>
      <c r="E304" s="26" t="n">
        <v>309914355</v>
      </c>
      <c r="F304" s="26" t="n">
        <v>80478854</v>
      </c>
      <c r="G304" s="26" t="n">
        <v>0</v>
      </c>
      <c r="H304" s="26" t="n">
        <v>0</v>
      </c>
      <c r="I304" s="26" t="n">
        <v>0</v>
      </c>
      <c r="J304" s="26" t="n">
        <v>0</v>
      </c>
      <c r="K304" s="26" t="n">
        <v>0</v>
      </c>
      <c r="L304" s="26" t="n">
        <v>3787273</v>
      </c>
      <c r="M304" s="26" t="n">
        <v>3743811</v>
      </c>
      <c r="N304" s="26" t="n">
        <v>43462</v>
      </c>
      <c r="O304" s="26" t="n">
        <v>0</v>
      </c>
      <c r="P304" s="26" t="n">
        <v>43462</v>
      </c>
      <c r="Q304" s="26" t="n">
        <v>195777</v>
      </c>
      <c r="R304" s="26" t="n">
        <v>35891</v>
      </c>
      <c r="S304" s="26" t="n">
        <v>4018941</v>
      </c>
      <c r="T304" s="26" t="n">
        <v>3405906</v>
      </c>
      <c r="U304" s="26" t="n">
        <v>147331</v>
      </c>
      <c r="V304" s="26" t="n">
        <v>3553237</v>
      </c>
      <c r="W304" s="26" t="n">
        <v>3983050</v>
      </c>
      <c r="X304" s="27" t="n">
        <f aca="false">IF(V304=0,0,(W304-V304)/V304)</f>
        <v>0.120963785978813</v>
      </c>
      <c r="Y304" s="26" t="n">
        <v>3553237</v>
      </c>
      <c r="Z304" s="26" t="n">
        <v>1225759667.76</v>
      </c>
      <c r="AA304" s="26" t="n">
        <v>1167459662.75</v>
      </c>
      <c r="AB304" s="28" t="n">
        <f aca="false">IF(B304=0,0,L304/B304*10000)</f>
        <v>3.91572065158613</v>
      </c>
      <c r="AC304" s="28" t="n">
        <f aca="false">IF(D304=0,0,M304/D304*10000)</f>
        <v>3.90326301637034</v>
      </c>
      <c r="AD304" s="28" t="n">
        <f aca="false">IF(C304=0,0,N304/C304*10000)</f>
        <v>5.40042481221216</v>
      </c>
      <c r="AE304" s="28" t="n">
        <f aca="false">IF(E304=0,0,Q304/E304*10000)</f>
        <v>6.31713235742178</v>
      </c>
    </row>
    <row r="305" customFormat="false" ht="15" hidden="false" customHeight="true" outlineLevel="0" collapsed="false">
      <c r="A305" s="7" t="s">
        <v>438</v>
      </c>
      <c r="B305" s="26" t="n">
        <v>10699109354</v>
      </c>
      <c r="C305" s="26" t="n">
        <v>94293418</v>
      </c>
      <c r="D305" s="26" t="n">
        <v>10604815936</v>
      </c>
      <c r="E305" s="26" t="n">
        <v>299660704</v>
      </c>
      <c r="F305" s="26" t="n">
        <v>94293418</v>
      </c>
      <c r="G305" s="26" t="n">
        <v>0</v>
      </c>
      <c r="H305" s="26" t="n">
        <v>0</v>
      </c>
      <c r="I305" s="26" t="n">
        <v>0</v>
      </c>
      <c r="J305" s="26" t="n">
        <v>0</v>
      </c>
      <c r="K305" s="26" t="n">
        <v>0</v>
      </c>
      <c r="L305" s="26" t="n">
        <v>4043911</v>
      </c>
      <c r="M305" s="26" t="n">
        <v>3994341</v>
      </c>
      <c r="N305" s="26" t="n">
        <v>49570</v>
      </c>
      <c r="O305" s="26" t="n">
        <v>0</v>
      </c>
      <c r="P305" s="26" t="n">
        <v>49570</v>
      </c>
      <c r="Q305" s="26" t="n">
        <v>180724</v>
      </c>
      <c r="R305" s="26" t="n">
        <v>38633</v>
      </c>
      <c r="S305" s="26" t="n">
        <v>4263268</v>
      </c>
      <c r="T305" s="26" t="n">
        <v>3682046</v>
      </c>
      <c r="U305" s="26" t="n">
        <v>142583</v>
      </c>
      <c r="V305" s="26" t="n">
        <v>3824629</v>
      </c>
      <c r="W305" s="26" t="n">
        <v>4224635</v>
      </c>
      <c r="X305" s="27" t="n">
        <f aca="false">IF(V305=0,0,(W305-V305)/V305)</f>
        <v>0.104586876269568</v>
      </c>
      <c r="Y305" s="26" t="n">
        <v>3824629</v>
      </c>
      <c r="Z305" s="26" t="n">
        <v>1636431945.29</v>
      </c>
      <c r="AA305" s="26" t="n">
        <v>1578131940.28</v>
      </c>
      <c r="AB305" s="28" t="n">
        <f aca="false">IF(B305=0,0,L305/B305*10000)</f>
        <v>3.77967068678304</v>
      </c>
      <c r="AC305" s="28" t="n">
        <f aca="false">IF(D305=0,0,M305/D305*10000)</f>
        <v>3.76653496308265</v>
      </c>
      <c r="AD305" s="28" t="n">
        <f aca="false">IF(C305=0,0,N305/C305*10000)</f>
        <v>5.25699471409553</v>
      </c>
      <c r="AE305" s="28" t="n">
        <f aca="false">IF(E305=0,0,Q305/E305*10000)</f>
        <v>6.03095426219115</v>
      </c>
    </row>
    <row r="306" customFormat="false" ht="15" hidden="false" customHeight="true" outlineLevel="0" collapsed="false">
      <c r="A306" s="7" t="s">
        <v>439</v>
      </c>
      <c r="B306" s="26" t="n">
        <v>11905488588</v>
      </c>
      <c r="C306" s="26" t="n">
        <v>116073044</v>
      </c>
      <c r="D306" s="26" t="n">
        <v>11789415544</v>
      </c>
      <c r="E306" s="26" t="n">
        <v>433695347</v>
      </c>
      <c r="F306" s="26" t="n">
        <v>116073044</v>
      </c>
      <c r="G306" s="26" t="n">
        <v>0</v>
      </c>
      <c r="H306" s="26" t="n">
        <v>0</v>
      </c>
      <c r="I306" s="26" t="n">
        <v>0</v>
      </c>
      <c r="J306" s="26" t="n">
        <v>0</v>
      </c>
      <c r="K306" s="26" t="n">
        <v>0</v>
      </c>
      <c r="L306" s="26" t="n">
        <v>4671167</v>
      </c>
      <c r="M306" s="26" t="n">
        <v>4617420</v>
      </c>
      <c r="N306" s="26" t="n">
        <v>53747</v>
      </c>
      <c r="O306" s="26" t="n">
        <v>0</v>
      </c>
      <c r="P306" s="26" t="n">
        <v>53747</v>
      </c>
      <c r="Q306" s="26" t="n">
        <v>249350</v>
      </c>
      <c r="R306" s="26" t="n">
        <v>44921</v>
      </c>
      <c r="S306" s="26" t="n">
        <v>4965438</v>
      </c>
      <c r="T306" s="26" t="n">
        <v>4243783</v>
      </c>
      <c r="U306" s="26" t="n">
        <v>203424</v>
      </c>
      <c r="V306" s="26" t="n">
        <v>4447207</v>
      </c>
      <c r="W306" s="26" t="n">
        <v>4920517</v>
      </c>
      <c r="X306" s="27" t="n">
        <f aca="false">IF(V306=0,0,(W306-V306)/V306)</f>
        <v>0.10642859664504</v>
      </c>
      <c r="Y306" s="26" t="n">
        <v>4447207</v>
      </c>
      <c r="Z306" s="26" t="n">
        <v>1636431945.29</v>
      </c>
      <c r="AA306" s="26" t="n">
        <v>1578131940.28</v>
      </c>
      <c r="AB306" s="28" t="n">
        <f aca="false">IF(B306=0,0,L306/B306*10000)</f>
        <v>3.92354078160912</v>
      </c>
      <c r="AC306" s="28" t="n">
        <f aca="false">IF(D306=0,0,M306/D306*10000)</f>
        <v>3.91658092190155</v>
      </c>
      <c r="AD306" s="28" t="n">
        <f aca="false">IF(C306=0,0,N306/C306*10000)</f>
        <v>4.63044632481595</v>
      </c>
      <c r="AE306" s="28" t="n">
        <f aca="false">IF(E306=0,0,Q306/E306*10000)</f>
        <v>5.74942760453457</v>
      </c>
    </row>
    <row r="307" customFormat="false" ht="15" hidden="false" customHeight="true" outlineLevel="0" collapsed="false">
      <c r="A307" s="7" t="s">
        <v>440</v>
      </c>
      <c r="B307" s="26" t="n">
        <v>6949593070</v>
      </c>
      <c r="C307" s="26" t="n">
        <v>60260348</v>
      </c>
      <c r="D307" s="26" t="n">
        <v>6889332722</v>
      </c>
      <c r="E307" s="26" t="n">
        <v>271790520</v>
      </c>
      <c r="F307" s="26" t="n">
        <v>60260348</v>
      </c>
      <c r="G307" s="26" t="n">
        <v>0</v>
      </c>
      <c r="H307" s="26" t="n">
        <v>0</v>
      </c>
      <c r="I307" s="26" t="n">
        <v>0</v>
      </c>
      <c r="J307" s="26" t="n">
        <v>0</v>
      </c>
      <c r="K307" s="26" t="n">
        <v>0</v>
      </c>
      <c r="L307" s="26" t="n">
        <v>2783995</v>
      </c>
      <c r="M307" s="26" t="n">
        <v>2753210</v>
      </c>
      <c r="N307" s="26" t="n">
        <v>30785</v>
      </c>
      <c r="O307" s="26" t="n">
        <v>0</v>
      </c>
      <c r="P307" s="26" t="n">
        <v>30785</v>
      </c>
      <c r="Q307" s="26" t="n">
        <v>153519</v>
      </c>
      <c r="R307" s="26" t="n">
        <v>26644</v>
      </c>
      <c r="S307" s="26" t="n">
        <v>2964158</v>
      </c>
      <c r="T307" s="26" t="n">
        <v>2513758</v>
      </c>
      <c r="U307" s="26" t="n">
        <v>123962</v>
      </c>
      <c r="V307" s="26" t="n">
        <v>2637720</v>
      </c>
      <c r="W307" s="26" t="n">
        <v>2937514</v>
      </c>
      <c r="X307" s="27" t="n">
        <f aca="false">IF(V307=0,0,(W307-V307)/V307)</f>
        <v>0.113656491212107</v>
      </c>
      <c r="Y307" s="26" t="n">
        <v>2637720</v>
      </c>
      <c r="Z307" s="26" t="n">
        <v>1636431945.29</v>
      </c>
      <c r="AA307" s="26" t="n">
        <v>1578131940.28</v>
      </c>
      <c r="AB307" s="28" t="n">
        <f aca="false">IF(B307=0,0,L307/B307*10000)</f>
        <v>4.00598275605222</v>
      </c>
      <c r="AC307" s="28" t="n">
        <f aca="false">IF(D307=0,0,M307/D307*10000)</f>
        <v>3.99633768769515</v>
      </c>
      <c r="AD307" s="28" t="n">
        <f aca="false">IF(C307=0,0,N307/C307*10000)</f>
        <v>5.10866614975406</v>
      </c>
      <c r="AE307" s="28" t="n">
        <f aca="false">IF(E307=0,0,Q307/E307*10000)</f>
        <v>5.64843100487832</v>
      </c>
    </row>
    <row r="308" customFormat="false" ht="15" hidden="false" customHeight="true" outlineLevel="0" collapsed="false">
      <c r="A308" s="7" t="s">
        <v>441</v>
      </c>
      <c r="B308" s="26" t="n">
        <v>2756155265</v>
      </c>
      <c r="C308" s="26" t="n">
        <v>44942141</v>
      </c>
      <c r="D308" s="26" t="n">
        <v>2711213124</v>
      </c>
      <c r="E308" s="26" t="n">
        <v>160757118</v>
      </c>
      <c r="F308" s="26" t="n">
        <v>44942141</v>
      </c>
      <c r="G308" s="26" t="n">
        <v>0</v>
      </c>
      <c r="H308" s="26" t="n">
        <v>0</v>
      </c>
      <c r="I308" s="26" t="n">
        <v>0</v>
      </c>
      <c r="J308" s="26" t="n">
        <v>0</v>
      </c>
      <c r="K308" s="26" t="n">
        <v>0</v>
      </c>
      <c r="L308" s="26" t="n">
        <v>1249160</v>
      </c>
      <c r="M308" s="26" t="n">
        <v>1224758</v>
      </c>
      <c r="N308" s="26" t="n">
        <v>24402</v>
      </c>
      <c r="O308" s="26" t="n">
        <v>0</v>
      </c>
      <c r="P308" s="26" t="n">
        <v>24402</v>
      </c>
      <c r="Q308" s="26" t="n">
        <v>97376</v>
      </c>
      <c r="R308" s="26" t="n">
        <v>11753</v>
      </c>
      <c r="S308" s="26" t="n">
        <v>1358289</v>
      </c>
      <c r="T308" s="26" t="n">
        <v>1084561</v>
      </c>
      <c r="U308" s="26" t="n">
        <v>79034</v>
      </c>
      <c r="V308" s="26" t="n">
        <v>1163595</v>
      </c>
      <c r="W308" s="26" t="n">
        <v>1346536</v>
      </c>
      <c r="X308" s="27" t="n">
        <f aca="false">IF(V308=0,0,(W308-V308)/V308)</f>
        <v>0.157220510572837</v>
      </c>
      <c r="Y308" s="26" t="n">
        <v>1163595</v>
      </c>
      <c r="Z308" s="26" t="n">
        <v>1636431945.29</v>
      </c>
      <c r="AA308" s="26" t="n">
        <v>1578131940.28</v>
      </c>
      <c r="AB308" s="28" t="n">
        <f aca="false">IF(B308=0,0,L308/B308*10000)</f>
        <v>4.53225555128513</v>
      </c>
      <c r="AC308" s="28" t="n">
        <f aca="false">IF(D308=0,0,M308/D308*10000)</f>
        <v>4.51738002135755</v>
      </c>
      <c r="AD308" s="28" t="n">
        <f aca="false">IF(C308=0,0,N308/C308*10000)</f>
        <v>5.42964786657583</v>
      </c>
      <c r="AE308" s="28" t="n">
        <f aca="false">IF(E308=0,0,Q308/E308*10000)</f>
        <v>6.05733675817702</v>
      </c>
    </row>
    <row r="309" customFormat="false" ht="15" hidden="false" customHeight="true" outlineLevel="0" collapsed="false">
      <c r="A309" s="7" t="s">
        <v>442</v>
      </c>
      <c r="B309" s="26" t="n">
        <v>3969896175</v>
      </c>
      <c r="C309" s="26" t="n">
        <v>32898300</v>
      </c>
      <c r="D309" s="26" t="n">
        <v>3936997875</v>
      </c>
      <c r="E309" s="26" t="n">
        <v>182378150</v>
      </c>
      <c r="F309" s="26" t="n">
        <v>32898300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0</v>
      </c>
      <c r="L309" s="26" t="n">
        <v>1686909</v>
      </c>
      <c r="M309" s="26" t="n">
        <v>1668349</v>
      </c>
      <c r="N309" s="26" t="n">
        <v>18560</v>
      </c>
      <c r="O309" s="26" t="n">
        <v>0</v>
      </c>
      <c r="P309" s="26" t="n">
        <v>18560</v>
      </c>
      <c r="Q309" s="26" t="n">
        <v>117319</v>
      </c>
      <c r="R309" s="26" t="n">
        <v>15965</v>
      </c>
      <c r="S309" s="26" t="n">
        <v>1820193</v>
      </c>
      <c r="T309" s="26" t="n">
        <v>1489755</v>
      </c>
      <c r="U309" s="26" t="n">
        <v>90793</v>
      </c>
      <c r="V309" s="26" t="n">
        <v>1580548</v>
      </c>
      <c r="W309" s="26" t="n">
        <v>1804228</v>
      </c>
      <c r="X309" s="27" t="n">
        <f aca="false">IF(V309=0,0,(W309-V309)/V309)</f>
        <v>0.141520535915391</v>
      </c>
      <c r="Y309" s="26" t="n">
        <v>1580548</v>
      </c>
      <c r="Z309" s="26" t="n">
        <v>1636431945.29</v>
      </c>
      <c r="AA309" s="26" t="n">
        <v>1578131940.28</v>
      </c>
      <c r="AB309" s="28" t="n">
        <f aca="false">IF(B309=0,0,L309/B309*10000)</f>
        <v>4.24925218604741</v>
      </c>
      <c r="AC309" s="28" t="n">
        <f aca="false">IF(D309=0,0,M309/D309*10000)</f>
        <v>4.23761722248834</v>
      </c>
      <c r="AD309" s="28" t="n">
        <f aca="false">IF(C309=0,0,N309/C309*10000)</f>
        <v>5.64162889875769</v>
      </c>
      <c r="AE309" s="28" t="n">
        <f aca="false">IF(E309=0,0,Q309/E309*10000)</f>
        <v>6.43273330714233</v>
      </c>
    </row>
    <row r="310" customFormat="false" ht="15" hidden="false" customHeight="true" outlineLevel="0" collapsed="false">
      <c r="A310" s="7" t="s">
        <v>443</v>
      </c>
      <c r="B310" s="26" t="n">
        <v>12082892962</v>
      </c>
      <c r="C310" s="26" t="n">
        <v>76786337</v>
      </c>
      <c r="D310" s="26" t="n">
        <v>12006106625</v>
      </c>
      <c r="E310" s="26" t="n">
        <v>372136175</v>
      </c>
      <c r="F310" s="26" t="n">
        <v>76786337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0</v>
      </c>
      <c r="L310" s="26" t="n">
        <v>4574333</v>
      </c>
      <c r="M310" s="26" t="n">
        <v>4539772</v>
      </c>
      <c r="N310" s="26" t="n">
        <v>34561</v>
      </c>
      <c r="O310" s="26" t="n">
        <v>0</v>
      </c>
      <c r="P310" s="26" t="n">
        <v>34561</v>
      </c>
      <c r="Q310" s="26" t="n">
        <v>205746</v>
      </c>
      <c r="R310" s="26" t="n">
        <v>43426</v>
      </c>
      <c r="S310" s="26" t="n">
        <v>4823505</v>
      </c>
      <c r="T310" s="26" t="n">
        <v>4146440</v>
      </c>
      <c r="U310" s="26" t="n">
        <v>152770</v>
      </c>
      <c r="V310" s="26" t="n">
        <v>4299210</v>
      </c>
      <c r="W310" s="26" t="n">
        <v>4780079</v>
      </c>
      <c r="X310" s="27" t="n">
        <f aca="false">IF(V310=0,0,(W310-V310)/V310)</f>
        <v>0.111850549286962</v>
      </c>
      <c r="Y310" s="26" t="n">
        <v>4299210</v>
      </c>
      <c r="Z310" s="26" t="n">
        <v>1636431945.29</v>
      </c>
      <c r="AA310" s="26" t="n">
        <v>1578131940.28</v>
      </c>
      <c r="AB310" s="28" t="n">
        <f aca="false">IF(B310=0,0,L310/B310*10000)</f>
        <v>3.78579286797128</v>
      </c>
      <c r="AC310" s="28" t="n">
        <f aca="false">IF(D310=0,0,M310/D310*10000)</f>
        <v>3.78121912606286</v>
      </c>
      <c r="AD310" s="28" t="n">
        <f aca="false">IF(C310=0,0,N310/C310*10000)</f>
        <v>4.50093094035727</v>
      </c>
      <c r="AE310" s="28" t="n">
        <f aca="false">IF(E310=0,0,Q310/E310*10000)</f>
        <v>5.52878257535699</v>
      </c>
    </row>
    <row r="311" customFormat="false" ht="15" hidden="false" customHeight="true" outlineLevel="0" collapsed="false">
      <c r="A311" s="7" t="s">
        <v>444</v>
      </c>
      <c r="B311" s="26" t="n">
        <v>18054974807</v>
      </c>
      <c r="C311" s="26" t="n">
        <v>76973279</v>
      </c>
      <c r="D311" s="26" t="n">
        <v>17978001528</v>
      </c>
      <c r="E311" s="26" t="n">
        <v>621682800</v>
      </c>
      <c r="F311" s="26" t="n">
        <v>76973279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0</v>
      </c>
      <c r="L311" s="26" t="n">
        <v>6603982</v>
      </c>
      <c r="M311" s="26" t="n">
        <v>6573775</v>
      </c>
      <c r="N311" s="26" t="n">
        <v>30207</v>
      </c>
      <c r="O311" s="26" t="n">
        <v>0</v>
      </c>
      <c r="P311" s="26" t="n">
        <v>30207</v>
      </c>
      <c r="Q311" s="26" t="n">
        <v>327482</v>
      </c>
      <c r="R311" s="26" t="n">
        <v>64528</v>
      </c>
      <c r="S311" s="26" t="n">
        <v>6995992</v>
      </c>
      <c r="T311" s="26" t="n">
        <v>6137996</v>
      </c>
      <c r="U311" s="26" t="n">
        <v>250277</v>
      </c>
      <c r="V311" s="26" t="n">
        <v>6388273</v>
      </c>
      <c r="W311" s="26" t="n">
        <v>6931464</v>
      </c>
      <c r="X311" s="27" t="n">
        <f aca="false">IF(V311=0,0,(W311-V311)/V311)</f>
        <v>0.0850293968338548</v>
      </c>
      <c r="Y311" s="26" t="n">
        <v>6388273</v>
      </c>
      <c r="Z311" s="26" t="n">
        <v>1636431945.29</v>
      </c>
      <c r="AA311" s="26" t="n">
        <v>1578131940.28</v>
      </c>
      <c r="AB311" s="28" t="n">
        <f aca="false">IF(B311=0,0,L311/B311*10000)</f>
        <v>3.65770767923731</v>
      </c>
      <c r="AC311" s="28" t="n">
        <f aca="false">IF(D311=0,0,M311/D311*10000)</f>
        <v>3.65656604810141</v>
      </c>
      <c r="AD311" s="28" t="n">
        <f aca="false">IF(C311=0,0,N311/C311*10000)</f>
        <v>3.92434886397395</v>
      </c>
      <c r="AE311" s="28" t="n">
        <f aca="false">IF(E311=0,0,Q311/E311*10000)</f>
        <v>5.26767026528641</v>
      </c>
    </row>
    <row r="312" customFormat="false" ht="15" hidden="false" customHeight="true" outlineLevel="0" collapsed="false">
      <c r="A312" s="7" t="s">
        <v>445</v>
      </c>
      <c r="B312" s="26" t="n">
        <v>8790793447</v>
      </c>
      <c r="C312" s="26" t="n">
        <v>74172106</v>
      </c>
      <c r="D312" s="26" t="n">
        <v>8716621341</v>
      </c>
      <c r="E312" s="26" t="n">
        <v>297872465</v>
      </c>
      <c r="F312" s="26" t="n">
        <v>74172106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0</v>
      </c>
      <c r="L312" s="26" t="n">
        <v>3484270</v>
      </c>
      <c r="M312" s="26" t="n">
        <v>3450458</v>
      </c>
      <c r="N312" s="26" t="n">
        <v>33812</v>
      </c>
      <c r="O312" s="26" t="n">
        <v>0</v>
      </c>
      <c r="P312" s="26" t="n">
        <v>33812</v>
      </c>
      <c r="Q312" s="26" t="n">
        <v>162518</v>
      </c>
      <c r="R312" s="26" t="n">
        <v>33178</v>
      </c>
      <c r="S312" s="26" t="n">
        <v>3679966</v>
      </c>
      <c r="T312" s="26" t="n">
        <v>3165174</v>
      </c>
      <c r="U312" s="26" t="n">
        <v>119430</v>
      </c>
      <c r="V312" s="26" t="n">
        <v>3284604</v>
      </c>
      <c r="W312" s="26" t="n">
        <v>3646788</v>
      </c>
      <c r="X312" s="27" t="n">
        <f aca="false">IF(V312=0,0,(W312-V312)/V312)</f>
        <v>0.110267173759759</v>
      </c>
      <c r="Y312" s="26" t="n">
        <v>3284604</v>
      </c>
      <c r="Z312" s="26" t="n">
        <v>1427254577.55</v>
      </c>
      <c r="AA312" s="26" t="n">
        <v>1368954572.54</v>
      </c>
      <c r="AB312" s="28" t="n">
        <f aca="false">IF(B312=0,0,L312/B312*10000)</f>
        <v>3.96354438425472</v>
      </c>
      <c r="AC312" s="28" t="n">
        <f aca="false">IF(D312=0,0,M312/D312*10000)</f>
        <v>3.95848100429719</v>
      </c>
      <c r="AD312" s="28" t="n">
        <f aca="false">IF(C312=0,0,N312/C312*10000)</f>
        <v>4.55858702461543</v>
      </c>
      <c r="AE312" s="28" t="n">
        <f aca="false">IF(E312=0,0,Q312/E312*10000)</f>
        <v>5.45595914681137</v>
      </c>
    </row>
    <row r="313" customFormat="false" ht="15" hidden="false" customHeight="true" outlineLevel="0" collapsed="false">
      <c r="A313" s="7" t="s">
        <v>446</v>
      </c>
      <c r="B313" s="26" t="n">
        <v>9734749893</v>
      </c>
      <c r="C313" s="26" t="n">
        <v>72408906</v>
      </c>
      <c r="D313" s="26" t="n">
        <v>9662340987</v>
      </c>
      <c r="E313" s="26" t="n">
        <v>307467328</v>
      </c>
      <c r="F313" s="26" t="n">
        <v>72408906</v>
      </c>
      <c r="G313" s="26" t="n">
        <v>0</v>
      </c>
      <c r="H313" s="26" t="n">
        <v>0</v>
      </c>
      <c r="I313" s="26" t="n">
        <v>0</v>
      </c>
      <c r="J313" s="26" t="n">
        <v>0</v>
      </c>
      <c r="K313" s="26" t="n">
        <v>0</v>
      </c>
      <c r="L313" s="26" t="n">
        <v>3776322</v>
      </c>
      <c r="M313" s="26" t="n">
        <v>3744231</v>
      </c>
      <c r="N313" s="26" t="n">
        <v>32091</v>
      </c>
      <c r="O313" s="26" t="n">
        <v>0</v>
      </c>
      <c r="P313" s="26" t="n">
        <v>32091</v>
      </c>
      <c r="Q313" s="26" t="n">
        <v>179457</v>
      </c>
      <c r="R313" s="26" t="n">
        <v>35860</v>
      </c>
      <c r="S313" s="26" t="n">
        <v>3991639</v>
      </c>
      <c r="T313" s="26" t="n">
        <v>3416708</v>
      </c>
      <c r="U313" s="26" t="n">
        <v>133394</v>
      </c>
      <c r="V313" s="26" t="n">
        <v>3550102</v>
      </c>
      <c r="W313" s="26" t="n">
        <v>3955779</v>
      </c>
      <c r="X313" s="27" t="n">
        <f aca="false">IF(V313=0,0,(W313-V313)/V313)</f>
        <v>0.114271927961506</v>
      </c>
      <c r="Y313" s="26" t="n">
        <v>3550102</v>
      </c>
      <c r="Z313" s="26" t="n">
        <v>1427254577.55</v>
      </c>
      <c r="AA313" s="26" t="n">
        <v>1368954572.54</v>
      </c>
      <c r="AB313" s="28" t="n">
        <f aca="false">IF(B313=0,0,L313/B313*10000)</f>
        <v>3.87921830710356</v>
      </c>
      <c r="AC313" s="28" t="n">
        <f aca="false">IF(D313=0,0,M313/D313*10000)</f>
        <v>3.87507644890363</v>
      </c>
      <c r="AD313" s="28" t="n">
        <f aca="false">IF(C313=0,0,N313/C313*10000)</f>
        <v>4.43191338921762</v>
      </c>
      <c r="AE313" s="28" t="n">
        <f aca="false">IF(E313=0,0,Q313/E313*10000)</f>
        <v>5.83662014326283</v>
      </c>
    </row>
    <row r="314" customFormat="false" ht="15" hidden="false" customHeight="true" outlineLevel="0" collapsed="false">
      <c r="A314" s="7" t="s">
        <v>447</v>
      </c>
      <c r="B314" s="26" t="n">
        <v>10501837406</v>
      </c>
      <c r="C314" s="26" t="n">
        <v>86339593</v>
      </c>
      <c r="D314" s="26" t="n">
        <v>10415497813</v>
      </c>
      <c r="E314" s="26" t="n">
        <v>269387178</v>
      </c>
      <c r="F314" s="26" t="n">
        <v>86339593</v>
      </c>
      <c r="G314" s="26" t="n">
        <v>0</v>
      </c>
      <c r="H314" s="26" t="n">
        <v>0</v>
      </c>
      <c r="I314" s="26" t="n">
        <v>0</v>
      </c>
      <c r="J314" s="26" t="n">
        <v>0</v>
      </c>
      <c r="K314" s="26" t="n">
        <v>0</v>
      </c>
      <c r="L314" s="26" t="n">
        <v>4207809</v>
      </c>
      <c r="M314" s="26" t="n">
        <v>4170868</v>
      </c>
      <c r="N314" s="26" t="n">
        <v>36941</v>
      </c>
      <c r="O314" s="26" t="n">
        <v>0</v>
      </c>
      <c r="P314" s="26" t="n">
        <v>36941</v>
      </c>
      <c r="Q314" s="26" t="n">
        <v>158063</v>
      </c>
      <c r="R314" s="26" t="n">
        <v>40269</v>
      </c>
      <c r="S314" s="26" t="n">
        <v>4406141</v>
      </c>
      <c r="T314" s="26" t="n">
        <v>3869080</v>
      </c>
      <c r="U314" s="26" t="n">
        <v>117559</v>
      </c>
      <c r="V314" s="26" t="n">
        <v>3986639</v>
      </c>
      <c r="W314" s="26" t="n">
        <v>4365872</v>
      </c>
      <c r="X314" s="27" t="n">
        <f aca="false">IF(V314=0,0,(W314-V314)/V314)</f>
        <v>0.0951259946034743</v>
      </c>
      <c r="Y314" s="26" t="n">
        <v>3986639</v>
      </c>
      <c r="Z314" s="26" t="n">
        <v>1427254577.55</v>
      </c>
      <c r="AA314" s="26" t="n">
        <v>1368954572.54</v>
      </c>
      <c r="AB314" s="28" t="n">
        <f aca="false">IF(B314=0,0,L314/B314*10000)</f>
        <v>4.00673599992698</v>
      </c>
      <c r="AC314" s="28" t="n">
        <f aca="false">IF(D314=0,0,M314/D314*10000)</f>
        <v>4.00448262280289</v>
      </c>
      <c r="AD314" s="28" t="n">
        <f aca="false">IF(C314=0,0,N314/C314*10000)</f>
        <v>4.27857008776958</v>
      </c>
      <c r="AE314" s="28" t="n">
        <f aca="false">IF(E314=0,0,Q314/E314*10000)</f>
        <v>5.86750272130621</v>
      </c>
    </row>
    <row r="315" customFormat="false" ht="15" hidden="false" customHeight="true" outlineLevel="0" collapsed="false">
      <c r="A315" s="7" t="s">
        <v>448</v>
      </c>
      <c r="B315" s="26" t="n">
        <v>5325923722</v>
      </c>
      <c r="C315" s="26" t="n">
        <v>17353200</v>
      </c>
      <c r="D315" s="26" t="n">
        <v>5308570522</v>
      </c>
      <c r="E315" s="26" t="n">
        <v>269222630</v>
      </c>
      <c r="F315" s="26" t="n">
        <v>17353200</v>
      </c>
      <c r="G315" s="26" t="n">
        <v>0</v>
      </c>
      <c r="H315" s="26" t="n">
        <v>0</v>
      </c>
      <c r="I315" s="26" t="n">
        <v>0</v>
      </c>
      <c r="J315" s="26" t="n">
        <v>0</v>
      </c>
      <c r="K315" s="26" t="n">
        <v>0</v>
      </c>
      <c r="L315" s="26" t="n">
        <v>2242129</v>
      </c>
      <c r="M315" s="26" t="n">
        <v>2232714</v>
      </c>
      <c r="N315" s="26" t="n">
        <v>9415</v>
      </c>
      <c r="O315" s="26" t="n">
        <v>0</v>
      </c>
      <c r="P315" s="26" t="n">
        <v>9415</v>
      </c>
      <c r="Q315" s="26" t="n">
        <v>192732</v>
      </c>
      <c r="R315" s="26" t="n">
        <v>21109</v>
      </c>
      <c r="S315" s="26" t="n">
        <v>2455970</v>
      </c>
      <c r="T315" s="26" t="n">
        <v>1942814</v>
      </c>
      <c r="U315" s="26" t="n">
        <v>146952</v>
      </c>
      <c r="V315" s="26" t="n">
        <v>2089766</v>
      </c>
      <c r="W315" s="26" t="n">
        <v>2434861</v>
      </c>
      <c r="X315" s="27" t="n">
        <f aca="false">IF(V315=0,0,(W315-V315)/V315)</f>
        <v>0.16513571375934</v>
      </c>
      <c r="Y315" s="26" t="n">
        <v>2089766</v>
      </c>
      <c r="Z315" s="26" t="n">
        <v>1427254577.55</v>
      </c>
      <c r="AA315" s="26" t="n">
        <v>1368954572.54</v>
      </c>
      <c r="AB315" s="28" t="n">
        <f aca="false">IF(B315=0,0,L315/B315*10000)</f>
        <v>4.20984061551304</v>
      </c>
      <c r="AC315" s="28" t="n">
        <f aca="false">IF(D315=0,0,M315/D315*10000)</f>
        <v>4.20586670318703</v>
      </c>
      <c r="AD315" s="28" t="n">
        <f aca="false">IF(C315=0,0,N315/C315*10000)</f>
        <v>5.4255122974437</v>
      </c>
      <c r="AE315" s="28" t="n">
        <f aca="false">IF(E315=0,0,Q315/E315*10000)</f>
        <v>7.15883356462271</v>
      </c>
    </row>
    <row r="316" customFormat="false" ht="15" hidden="false" customHeight="true" outlineLevel="0" collapsed="false">
      <c r="A316" s="7" t="s">
        <v>449</v>
      </c>
      <c r="B316" s="26" t="n">
        <v>5923437031</v>
      </c>
      <c r="C316" s="26" t="n">
        <v>35940775</v>
      </c>
      <c r="D316" s="26" t="n">
        <v>5887496256</v>
      </c>
      <c r="E316" s="26" t="n">
        <v>199150822</v>
      </c>
      <c r="F316" s="26" t="n">
        <v>35940775</v>
      </c>
      <c r="G316" s="26" t="n">
        <v>0</v>
      </c>
      <c r="H316" s="26" t="n">
        <v>0</v>
      </c>
      <c r="I316" s="26" t="n">
        <v>0</v>
      </c>
      <c r="J316" s="26" t="n">
        <v>0</v>
      </c>
      <c r="K316" s="26" t="n">
        <v>0</v>
      </c>
      <c r="L316" s="26" t="n">
        <v>2389935</v>
      </c>
      <c r="M316" s="26" t="n">
        <v>2371141</v>
      </c>
      <c r="N316" s="26" t="n">
        <v>18794</v>
      </c>
      <c r="O316" s="26" t="n">
        <v>0</v>
      </c>
      <c r="P316" s="26" t="n">
        <v>18794</v>
      </c>
      <c r="Q316" s="26" t="n">
        <v>109079</v>
      </c>
      <c r="R316" s="26" t="n">
        <v>22326</v>
      </c>
      <c r="S316" s="26" t="n">
        <v>2521340</v>
      </c>
      <c r="T316" s="26" t="n">
        <v>2128900</v>
      </c>
      <c r="U316" s="26" t="n">
        <v>81398</v>
      </c>
      <c r="V316" s="26" t="n">
        <v>2210298</v>
      </c>
      <c r="W316" s="26" t="n">
        <v>2499014</v>
      </c>
      <c r="X316" s="27" t="n">
        <f aca="false">IF(V316=0,0,(W316-V316)/V316)</f>
        <v>0.130623110548894</v>
      </c>
      <c r="Y316" s="26" t="n">
        <v>2210298</v>
      </c>
      <c r="Z316" s="26" t="n">
        <v>1427254577.55</v>
      </c>
      <c r="AA316" s="26" t="n">
        <v>1368954572.54</v>
      </c>
      <c r="AB316" s="28" t="n">
        <f aca="false">IF(B316=0,0,L316/B316*10000)</f>
        <v>4.03470989476616</v>
      </c>
      <c r="AC316" s="28" t="n">
        <f aca="false">IF(D316=0,0,M316/D316*10000)</f>
        <v>4.02741827238285</v>
      </c>
      <c r="AD316" s="28" t="n">
        <f aca="false">IF(C316=0,0,N316/C316*10000)</f>
        <v>5.22915824714409</v>
      </c>
      <c r="AE316" s="28" t="n">
        <f aca="false">IF(E316=0,0,Q316/E316*10000)</f>
        <v>5.47720561253822</v>
      </c>
    </row>
    <row r="317" customFormat="false" ht="15" hidden="false" customHeight="true" outlineLevel="0" collapsed="false">
      <c r="A317" s="7" t="s">
        <v>450</v>
      </c>
      <c r="B317" s="26" t="n">
        <v>8716259868</v>
      </c>
      <c r="C317" s="26" t="n">
        <v>48277276</v>
      </c>
      <c r="D317" s="26" t="n">
        <v>8667982592</v>
      </c>
      <c r="E317" s="26" t="n">
        <v>260437127</v>
      </c>
      <c r="F317" s="26" t="n">
        <v>48277276</v>
      </c>
      <c r="G317" s="26" t="n">
        <v>0</v>
      </c>
      <c r="H317" s="26" t="n">
        <v>0</v>
      </c>
      <c r="I317" s="26" t="n">
        <v>0</v>
      </c>
      <c r="J317" s="26" t="n">
        <v>0</v>
      </c>
      <c r="K317" s="26" t="n">
        <v>0</v>
      </c>
      <c r="L317" s="26" t="n">
        <v>3363231</v>
      </c>
      <c r="M317" s="26" t="n">
        <v>3341031</v>
      </c>
      <c r="N317" s="26" t="n">
        <v>22200</v>
      </c>
      <c r="O317" s="26" t="n">
        <v>0</v>
      </c>
      <c r="P317" s="26" t="n">
        <v>22200</v>
      </c>
      <c r="Q317" s="26" t="n">
        <v>138356</v>
      </c>
      <c r="R317" s="26" t="n">
        <v>31664</v>
      </c>
      <c r="S317" s="26" t="n">
        <v>3533251</v>
      </c>
      <c r="T317" s="26" t="n">
        <v>3033457</v>
      </c>
      <c r="U317" s="26" t="n">
        <v>101237</v>
      </c>
      <c r="V317" s="26" t="n">
        <v>3134694</v>
      </c>
      <c r="W317" s="26" t="n">
        <v>3501587</v>
      </c>
      <c r="X317" s="27" t="n">
        <f aca="false">IF(V317=0,0,(W317-V317)/V317)</f>
        <v>0.117042684230103</v>
      </c>
      <c r="Y317" s="26" t="n">
        <v>3134694</v>
      </c>
      <c r="Z317" s="26" t="n">
        <v>1427254577.55</v>
      </c>
      <c r="AA317" s="26" t="n">
        <v>1368954572.54</v>
      </c>
      <c r="AB317" s="28" t="n">
        <f aca="false">IF(B317=0,0,L317/B317*10000)</f>
        <v>3.85857128049547</v>
      </c>
      <c r="AC317" s="28" t="n">
        <f aca="false">IF(D317=0,0,M317/D317*10000)</f>
        <v>3.85445051895185</v>
      </c>
      <c r="AD317" s="28" t="n">
        <f aca="false">IF(C317=0,0,N317/C317*10000)</f>
        <v>4.59843674692831</v>
      </c>
      <c r="AE317" s="28" t="n">
        <f aca="false">IF(E317=0,0,Q317/E317*10000)</f>
        <v>5.31245301289167</v>
      </c>
    </row>
    <row r="318" customFormat="false" ht="15" hidden="false" customHeight="true" outlineLevel="0" collapsed="false">
      <c r="A318" s="7" t="s">
        <v>451</v>
      </c>
      <c r="B318" s="26" t="n">
        <v>9143425875</v>
      </c>
      <c r="C318" s="26" t="n">
        <v>51882733</v>
      </c>
      <c r="D318" s="26" t="n">
        <v>9091543142</v>
      </c>
      <c r="E318" s="26" t="n">
        <v>295414773</v>
      </c>
      <c r="F318" s="26" t="n">
        <v>51882733</v>
      </c>
      <c r="G318" s="26" t="n">
        <v>0</v>
      </c>
      <c r="H318" s="26" t="n">
        <v>0</v>
      </c>
      <c r="I318" s="26" t="n">
        <v>0</v>
      </c>
      <c r="J318" s="26" t="n">
        <v>0</v>
      </c>
      <c r="K318" s="26" t="n">
        <v>0</v>
      </c>
      <c r="L318" s="26" t="n">
        <v>3482396</v>
      </c>
      <c r="M318" s="26" t="n">
        <v>3461300</v>
      </c>
      <c r="N318" s="26" t="n">
        <v>21096</v>
      </c>
      <c r="O318" s="26" t="n">
        <v>0</v>
      </c>
      <c r="P318" s="26" t="n">
        <v>21096</v>
      </c>
      <c r="Q318" s="26" t="n">
        <v>176605</v>
      </c>
      <c r="R318" s="26" t="n">
        <v>33264</v>
      </c>
      <c r="S318" s="26" t="n">
        <v>3692265</v>
      </c>
      <c r="T318" s="26" t="n">
        <v>3153472</v>
      </c>
      <c r="U318" s="26" t="n">
        <v>139663</v>
      </c>
      <c r="V318" s="26" t="n">
        <v>3293135</v>
      </c>
      <c r="W318" s="26" t="n">
        <v>3659001</v>
      </c>
      <c r="X318" s="27" t="n">
        <f aca="false">IF(V318=0,0,(W318-V318)/V318)</f>
        <v>0.111099605694877</v>
      </c>
      <c r="Y318" s="26" t="n">
        <v>3293135</v>
      </c>
      <c r="Z318" s="26" t="n">
        <v>1427254577.55</v>
      </c>
      <c r="AA318" s="26" t="n">
        <v>1368954572.54</v>
      </c>
      <c r="AB318" s="28" t="n">
        <f aca="false">IF(B318=0,0,L318/B318*10000)</f>
        <v>3.8086337086426</v>
      </c>
      <c r="AC318" s="28" t="n">
        <f aca="false">IF(D318=0,0,M318/D318*10000)</f>
        <v>3.80716446695381</v>
      </c>
      <c r="AD318" s="28" t="n">
        <f aca="false">IF(C318=0,0,N318/C318*10000)</f>
        <v>4.0660926632373</v>
      </c>
      <c r="AE318" s="28" t="n">
        <f aca="false">IF(E318=0,0,Q318/E318*10000)</f>
        <v>5.97820475281377</v>
      </c>
    </row>
    <row r="319" customFormat="false" ht="15" hidden="false" customHeight="true" outlineLevel="0" collapsed="false">
      <c r="A319" s="7" t="s">
        <v>452</v>
      </c>
      <c r="B319" s="26" t="n">
        <v>7670199544</v>
      </c>
      <c r="C319" s="26" t="n">
        <v>55323533</v>
      </c>
      <c r="D319" s="26" t="n">
        <v>7614876011</v>
      </c>
      <c r="E319" s="26" t="n">
        <v>245114219</v>
      </c>
      <c r="F319" s="26" t="n">
        <v>55323533</v>
      </c>
      <c r="G319" s="26" t="n">
        <v>0</v>
      </c>
      <c r="H319" s="26" t="n">
        <v>0</v>
      </c>
      <c r="I319" s="26" t="n">
        <v>0</v>
      </c>
      <c r="J319" s="26" t="n">
        <v>0</v>
      </c>
      <c r="K319" s="26" t="n">
        <v>0</v>
      </c>
      <c r="L319" s="26" t="n">
        <v>3038268</v>
      </c>
      <c r="M319" s="26" t="n">
        <v>3013108</v>
      </c>
      <c r="N319" s="26" t="n">
        <v>25160</v>
      </c>
      <c r="O319" s="26" t="n">
        <v>0</v>
      </c>
      <c r="P319" s="26" t="n">
        <v>25160</v>
      </c>
      <c r="Q319" s="26" t="n">
        <v>140400</v>
      </c>
      <c r="R319" s="26" t="n">
        <v>28810</v>
      </c>
      <c r="S319" s="26" t="n">
        <v>3207478</v>
      </c>
      <c r="T319" s="26" t="n">
        <v>2745553</v>
      </c>
      <c r="U319" s="26" t="n">
        <v>106685</v>
      </c>
      <c r="V319" s="26" t="n">
        <v>2852238</v>
      </c>
      <c r="W319" s="26" t="n">
        <v>3178668</v>
      </c>
      <c r="X319" s="27" t="n">
        <f aca="false">IF(V319=0,0,(W319-V319)/V319)</f>
        <v>0.114446971115314</v>
      </c>
      <c r="Y319" s="26" t="n">
        <v>2852238</v>
      </c>
      <c r="Z319" s="26" t="n">
        <v>1337970486.49</v>
      </c>
      <c r="AA319" s="26" t="n">
        <v>1279670481.48</v>
      </c>
      <c r="AB319" s="28" t="n">
        <f aca="false">IF(B319=0,0,L319/B319*10000)</f>
        <v>3.96113293085925</v>
      </c>
      <c r="AC319" s="28" t="n">
        <f aca="false">IF(D319=0,0,M319/D319*10000)</f>
        <v>3.95687072993367</v>
      </c>
      <c r="AD319" s="28" t="n">
        <f aca="false">IF(C319=0,0,N319/C319*10000)</f>
        <v>4.54779343177523</v>
      </c>
      <c r="AE319" s="28" t="n">
        <f aca="false">IF(E319=0,0,Q319/E319*10000)</f>
        <v>5.72794187839425</v>
      </c>
    </row>
    <row r="320" customFormat="false" ht="15" hidden="false" customHeight="true" outlineLevel="0" collapsed="false">
      <c r="A320" s="7" t="s">
        <v>453</v>
      </c>
      <c r="B320" s="26" t="n">
        <v>12586575596</v>
      </c>
      <c r="C320" s="26" t="n">
        <v>77882780</v>
      </c>
      <c r="D320" s="26" t="n">
        <v>12508692816</v>
      </c>
      <c r="E320" s="26" t="n">
        <v>265738556</v>
      </c>
      <c r="F320" s="26" t="n">
        <v>76235424</v>
      </c>
      <c r="G320" s="26" t="n">
        <v>232048</v>
      </c>
      <c r="H320" s="26" t="n">
        <v>1415308</v>
      </c>
      <c r="I320" s="26" t="n">
        <v>0</v>
      </c>
      <c r="J320" s="26" t="n">
        <v>0</v>
      </c>
      <c r="K320" s="26" t="n">
        <v>0</v>
      </c>
      <c r="L320" s="26" t="n">
        <v>4865602</v>
      </c>
      <c r="M320" s="26" t="n">
        <v>4831007</v>
      </c>
      <c r="N320" s="26" t="n">
        <v>34595</v>
      </c>
      <c r="O320" s="26" t="n">
        <v>0</v>
      </c>
      <c r="P320" s="26" t="n">
        <v>34595</v>
      </c>
      <c r="Q320" s="26" t="n">
        <v>143873</v>
      </c>
      <c r="R320" s="26" t="n">
        <v>46213</v>
      </c>
      <c r="S320" s="26" t="n">
        <v>5055688</v>
      </c>
      <c r="T320" s="26" t="n">
        <v>4467899</v>
      </c>
      <c r="U320" s="26" t="n">
        <v>107158</v>
      </c>
      <c r="V320" s="26" t="n">
        <v>4575057</v>
      </c>
      <c r="W320" s="26" t="n">
        <v>5009475</v>
      </c>
      <c r="X320" s="27" t="n">
        <f aca="false">IF(V320=0,0,(W320-V320)/V320)</f>
        <v>0.0949535710702621</v>
      </c>
      <c r="Y320" s="26" t="n">
        <v>4575057</v>
      </c>
      <c r="Z320" s="26" t="n">
        <v>1337970486.49</v>
      </c>
      <c r="AA320" s="26" t="n">
        <v>1279670481.48</v>
      </c>
      <c r="AB320" s="28" t="n">
        <f aca="false">IF(B320=0,0,L320/B320*10000)</f>
        <v>3.86570752536241</v>
      </c>
      <c r="AC320" s="28" t="n">
        <f aca="false">IF(D320=0,0,M320/D320*10000)</f>
        <v>3.86211978426763</v>
      </c>
      <c r="AD320" s="28" t="n">
        <f aca="false">IF(C320=0,0,N320/C320*10000)</f>
        <v>4.44193183653691</v>
      </c>
      <c r="AE320" s="28" t="n">
        <f aca="false">IF(E320=0,0,Q320/E320*10000)</f>
        <v>5.41408074784601</v>
      </c>
    </row>
    <row r="321" customFormat="false" ht="15" hidden="false" customHeight="true" outlineLevel="0" collapsed="false">
      <c r="A321" s="7" t="s">
        <v>454</v>
      </c>
      <c r="B321" s="26" t="n">
        <v>13114628729</v>
      </c>
      <c r="C321" s="26" t="n">
        <v>82876659</v>
      </c>
      <c r="D321" s="26" t="n">
        <v>13031752070</v>
      </c>
      <c r="E321" s="26" t="n">
        <v>351021796</v>
      </c>
      <c r="F321" s="26" t="n">
        <v>78289698</v>
      </c>
      <c r="G321" s="26" t="n">
        <v>268322</v>
      </c>
      <c r="H321" s="26" t="n">
        <v>4318639</v>
      </c>
      <c r="I321" s="26" t="n">
        <v>0</v>
      </c>
      <c r="J321" s="26" t="n">
        <v>0</v>
      </c>
      <c r="K321" s="26" t="n">
        <v>0</v>
      </c>
      <c r="L321" s="26" t="n">
        <v>5009466</v>
      </c>
      <c r="M321" s="26" t="n">
        <v>4974056</v>
      </c>
      <c r="N321" s="26" t="n">
        <v>35410</v>
      </c>
      <c r="O321" s="26" t="n">
        <v>0</v>
      </c>
      <c r="P321" s="26" t="n">
        <v>35410</v>
      </c>
      <c r="Q321" s="26" t="n">
        <v>195412</v>
      </c>
      <c r="R321" s="26" t="n">
        <v>48025</v>
      </c>
      <c r="S321" s="26" t="n">
        <v>5252903</v>
      </c>
      <c r="T321" s="26" t="n">
        <v>4604297</v>
      </c>
      <c r="U321" s="26" t="n">
        <v>150195</v>
      </c>
      <c r="V321" s="26" t="n">
        <v>4754492</v>
      </c>
      <c r="W321" s="26" t="n">
        <v>5204878</v>
      </c>
      <c r="X321" s="27" t="n">
        <f aca="false">IF(V321=0,0,(W321-V321)/V321)</f>
        <v>0.0947285219956201</v>
      </c>
      <c r="Y321" s="26" t="n">
        <v>4754492</v>
      </c>
      <c r="Z321" s="26" t="n">
        <v>1337970486.49</v>
      </c>
      <c r="AA321" s="26" t="n">
        <v>1279670481.48</v>
      </c>
      <c r="AB321" s="28" t="n">
        <f aca="false">IF(B321=0,0,L321/B321*10000)</f>
        <v>3.81975433961216</v>
      </c>
      <c r="AC321" s="28" t="n">
        <f aca="false">IF(D321=0,0,M321/D321*10000)</f>
        <v>3.81687433376716</v>
      </c>
      <c r="AD321" s="28" t="n">
        <f aca="false">IF(C321=0,0,N321/C321*10000)</f>
        <v>4.27261431955166</v>
      </c>
      <c r="AE321" s="28" t="n">
        <f aca="false">IF(E321=0,0,Q321/E321*10000)</f>
        <v>5.566947757284</v>
      </c>
    </row>
    <row r="322" customFormat="false" ht="15" hidden="false" customHeight="true" outlineLevel="0" collapsed="false">
      <c r="A322" s="7" t="s">
        <v>455</v>
      </c>
      <c r="B322" s="26" t="n">
        <v>4516314754</v>
      </c>
      <c r="C322" s="26" t="n">
        <v>28938455</v>
      </c>
      <c r="D322" s="26" t="n">
        <v>4487376299</v>
      </c>
      <c r="E322" s="26" t="n">
        <v>162637502</v>
      </c>
      <c r="F322" s="26" t="n">
        <v>28085147</v>
      </c>
      <c r="G322" s="26" t="n">
        <v>266212</v>
      </c>
      <c r="H322" s="26" t="n">
        <v>587096</v>
      </c>
      <c r="I322" s="26" t="n">
        <v>0</v>
      </c>
      <c r="J322" s="26" t="n">
        <v>0</v>
      </c>
      <c r="K322" s="26" t="n">
        <v>0</v>
      </c>
      <c r="L322" s="26" t="n">
        <v>1829728</v>
      </c>
      <c r="M322" s="26" t="n">
        <v>1811233</v>
      </c>
      <c r="N322" s="26" t="n">
        <v>18495</v>
      </c>
      <c r="O322" s="26" t="n">
        <v>0</v>
      </c>
      <c r="P322" s="26" t="n">
        <v>18495</v>
      </c>
      <c r="Q322" s="26" t="n">
        <v>101061</v>
      </c>
      <c r="R322" s="26" t="n">
        <v>17316</v>
      </c>
      <c r="S322" s="26" t="n">
        <v>1948105</v>
      </c>
      <c r="T322" s="26" t="n">
        <v>1637787</v>
      </c>
      <c r="U322" s="26" t="n">
        <v>76492</v>
      </c>
      <c r="V322" s="26" t="n">
        <v>1714279</v>
      </c>
      <c r="W322" s="26" t="n">
        <v>1930789</v>
      </c>
      <c r="X322" s="27" t="n">
        <f aca="false">IF(V322=0,0,(W322-V322)/V322)</f>
        <v>0.126297994667146</v>
      </c>
      <c r="Y322" s="26" t="n">
        <v>1714279</v>
      </c>
      <c r="Z322" s="26" t="n">
        <v>1337970486.49</v>
      </c>
      <c r="AA322" s="26" t="n">
        <v>1279670481.48</v>
      </c>
      <c r="AB322" s="28" t="n">
        <f aca="false">IF(B322=0,0,L322/B322*10000)</f>
        <v>4.05137396232061</v>
      </c>
      <c r="AC322" s="28" t="n">
        <f aca="false">IF(D322=0,0,M322/D322*10000)</f>
        <v>4.03628507910876</v>
      </c>
      <c r="AD322" s="28" t="n">
        <f aca="false">IF(C322=0,0,N322/C322*10000)</f>
        <v>6.39114976939854</v>
      </c>
      <c r="AE322" s="28" t="n">
        <f aca="false">IF(E322=0,0,Q322/E322*10000)</f>
        <v>6.21388048618701</v>
      </c>
    </row>
    <row r="323" customFormat="false" ht="15" hidden="false" customHeight="true" outlineLevel="0" collapsed="false">
      <c r="A323" s="7" t="s">
        <v>456</v>
      </c>
      <c r="B323" s="26" t="n">
        <v>6896724137</v>
      </c>
      <c r="C323" s="26" t="n">
        <v>39021394</v>
      </c>
      <c r="D323" s="26" t="n">
        <v>6857702743</v>
      </c>
      <c r="E323" s="26" t="n">
        <v>221753668</v>
      </c>
      <c r="F323" s="26" t="n">
        <v>38186806</v>
      </c>
      <c r="G323" s="26" t="n">
        <v>555810</v>
      </c>
      <c r="H323" s="26" t="n">
        <v>278778</v>
      </c>
      <c r="I323" s="26" t="n">
        <v>0</v>
      </c>
      <c r="J323" s="26" t="n">
        <v>0</v>
      </c>
      <c r="K323" s="26" t="n">
        <v>0</v>
      </c>
      <c r="L323" s="26" t="n">
        <v>2785863</v>
      </c>
      <c r="M323" s="26" t="n">
        <v>2763116</v>
      </c>
      <c r="N323" s="26" t="n">
        <v>22747</v>
      </c>
      <c r="O323" s="26" t="n">
        <v>0</v>
      </c>
      <c r="P323" s="26" t="n">
        <v>22747</v>
      </c>
      <c r="Q323" s="26" t="n">
        <v>127467</v>
      </c>
      <c r="R323" s="26" t="n">
        <v>26300</v>
      </c>
      <c r="S323" s="26" t="n">
        <v>2939630</v>
      </c>
      <c r="T323" s="26" t="n">
        <v>2505272</v>
      </c>
      <c r="U323" s="26" t="n">
        <v>98423</v>
      </c>
      <c r="V323" s="26" t="n">
        <v>2603695</v>
      </c>
      <c r="W323" s="26" t="n">
        <v>2913330</v>
      </c>
      <c r="X323" s="27" t="n">
        <f aca="false">IF(V323=0,0,(W323-V323)/V323)</f>
        <v>0.118921379040172</v>
      </c>
      <c r="Y323" s="26" t="n">
        <v>2603695</v>
      </c>
      <c r="Z323" s="26" t="n">
        <v>1337970486.49</v>
      </c>
      <c r="AA323" s="26" t="n">
        <v>1279670481.48</v>
      </c>
      <c r="AB323" s="28" t="n">
        <f aca="false">IF(B323=0,0,L323/B323*10000)</f>
        <v>4.03940036553618</v>
      </c>
      <c r="AC323" s="28" t="n">
        <f aca="false">IF(D323=0,0,M323/D323*10000)</f>
        <v>4.02921518116318</v>
      </c>
      <c r="AD323" s="28" t="n">
        <f aca="false">IF(C323=0,0,N323/C323*10000)</f>
        <v>5.82936632145945</v>
      </c>
      <c r="AE323" s="28" t="n">
        <f aca="false">IF(E323=0,0,Q323/E323*10000)</f>
        <v>5.74813490796463</v>
      </c>
    </row>
    <row r="324" customFormat="false" ht="15" hidden="false" customHeight="true" outlineLevel="0" collapsed="false">
      <c r="A324" s="7" t="s">
        <v>457</v>
      </c>
      <c r="B324" s="26" t="n">
        <v>9630225135</v>
      </c>
      <c r="C324" s="26" t="n">
        <v>124865202</v>
      </c>
      <c r="D324" s="26" t="n">
        <v>9505359933</v>
      </c>
      <c r="E324" s="26" t="n">
        <v>291667475</v>
      </c>
      <c r="F324" s="26" t="n">
        <v>121955285</v>
      </c>
      <c r="G324" s="26" t="n">
        <v>156317</v>
      </c>
      <c r="H324" s="26" t="n">
        <v>2753600</v>
      </c>
      <c r="I324" s="26" t="n">
        <v>0</v>
      </c>
      <c r="J324" s="26" t="n">
        <v>0</v>
      </c>
      <c r="K324" s="26" t="n">
        <v>0</v>
      </c>
      <c r="L324" s="26" t="n">
        <v>3791203</v>
      </c>
      <c r="M324" s="26" t="n">
        <v>3735724</v>
      </c>
      <c r="N324" s="26" t="n">
        <v>55479</v>
      </c>
      <c r="O324" s="26" t="n">
        <v>0</v>
      </c>
      <c r="P324" s="26" t="n">
        <v>55479</v>
      </c>
      <c r="Q324" s="26" t="n">
        <v>153294</v>
      </c>
      <c r="R324" s="26" t="n">
        <v>35818</v>
      </c>
      <c r="S324" s="26" t="n">
        <v>3980315</v>
      </c>
      <c r="T324" s="26" t="n">
        <v>3431427</v>
      </c>
      <c r="U324" s="26" t="n">
        <v>114541</v>
      </c>
      <c r="V324" s="26" t="n">
        <v>3545968</v>
      </c>
      <c r="W324" s="26" t="n">
        <v>3944497</v>
      </c>
      <c r="X324" s="27" t="n">
        <f aca="false">IF(V324=0,0,(W324-V324)/V324)</f>
        <v>0.112389339102891</v>
      </c>
      <c r="Y324" s="26" t="n">
        <v>3545968</v>
      </c>
      <c r="Z324" s="26" t="n">
        <v>1337970486.49</v>
      </c>
      <c r="AA324" s="26" t="n">
        <v>1279670481.48</v>
      </c>
      <c r="AB324" s="28" t="n">
        <f aca="false">IF(B324=0,0,L324/B324*10000)</f>
        <v>3.93677504612149</v>
      </c>
      <c r="AC324" s="28" t="n">
        <f aca="false">IF(D324=0,0,M324/D324*10000)</f>
        <v>3.93012366320879</v>
      </c>
      <c r="AD324" s="28" t="n">
        <f aca="false">IF(C324=0,0,N324/C324*10000)</f>
        <v>4.44311138022265</v>
      </c>
      <c r="AE324" s="28" t="n">
        <f aca="false">IF(E324=0,0,Q324/E324*10000)</f>
        <v>5.25577971969621</v>
      </c>
    </row>
    <row r="325" customFormat="false" ht="15" hidden="false" customHeight="true" outlineLevel="0" collapsed="false">
      <c r="A325" s="7" t="s">
        <v>458</v>
      </c>
      <c r="B325" s="26" t="n">
        <v>8152058735</v>
      </c>
      <c r="C325" s="26" t="n">
        <v>143664862</v>
      </c>
      <c r="D325" s="26" t="n">
        <v>8008393873</v>
      </c>
      <c r="E325" s="26" t="n">
        <v>249683320</v>
      </c>
      <c r="F325" s="26" t="n">
        <v>139914050</v>
      </c>
      <c r="G325" s="26" t="n">
        <v>420661</v>
      </c>
      <c r="H325" s="26" t="n">
        <v>3330151</v>
      </c>
      <c r="I325" s="26" t="n">
        <v>0</v>
      </c>
      <c r="J325" s="26" t="n">
        <v>0</v>
      </c>
      <c r="K325" s="26" t="n">
        <v>0</v>
      </c>
      <c r="L325" s="26" t="n">
        <v>3236578</v>
      </c>
      <c r="M325" s="26" t="n">
        <v>3173350</v>
      </c>
      <c r="N325" s="26" t="n">
        <v>63228</v>
      </c>
      <c r="O325" s="26" t="n">
        <v>0</v>
      </c>
      <c r="P325" s="26" t="n">
        <v>63228</v>
      </c>
      <c r="Q325" s="26" t="n">
        <v>134082</v>
      </c>
      <c r="R325" s="26" t="n">
        <v>30906</v>
      </c>
      <c r="S325" s="26" t="n">
        <v>3401566</v>
      </c>
      <c r="T325" s="26" t="n">
        <v>2957683</v>
      </c>
      <c r="U325" s="26" t="n">
        <v>102009</v>
      </c>
      <c r="V325" s="26" t="n">
        <v>3059692</v>
      </c>
      <c r="W325" s="26" t="n">
        <v>3370660</v>
      </c>
      <c r="X325" s="27" t="n">
        <f aca="false">IF(V325=0,0,(W325-V325)/V325)</f>
        <v>0.10163375921498</v>
      </c>
      <c r="Y325" s="26" t="n">
        <v>3059692</v>
      </c>
      <c r="Z325" s="26" t="n">
        <v>1337970486.49</v>
      </c>
      <c r="AA325" s="26" t="n">
        <v>1279670481.48</v>
      </c>
      <c r="AB325" s="28" t="n">
        <f aca="false">IF(B325=0,0,L325/B325*10000)</f>
        <v>3.97025844048951</v>
      </c>
      <c r="AC325" s="28" t="n">
        <f aca="false">IF(D325=0,0,M325/D325*10000)</f>
        <v>3.96252987843022</v>
      </c>
      <c r="AD325" s="28" t="n">
        <f aca="false">IF(C325=0,0,N325/C325*10000)</f>
        <v>4.40107616572242</v>
      </c>
      <c r="AE325" s="28" t="n">
        <f aca="false">IF(E325=0,0,Q325/E325*10000)</f>
        <v>5.37008239076603</v>
      </c>
    </row>
    <row r="326" customFormat="false" ht="15" hidden="false" customHeight="true" outlineLevel="0" collapsed="false">
      <c r="A326" s="7" t="s">
        <v>459</v>
      </c>
      <c r="B326" s="26" t="n">
        <v>9521859906</v>
      </c>
      <c r="C326" s="26" t="n">
        <v>230705185</v>
      </c>
      <c r="D326" s="26" t="n">
        <v>9291154721</v>
      </c>
      <c r="E326" s="26" t="n">
        <v>289563221</v>
      </c>
      <c r="F326" s="26" t="n">
        <v>226579246</v>
      </c>
      <c r="G326" s="26" t="n">
        <v>748794</v>
      </c>
      <c r="H326" s="26" t="n">
        <v>3377145</v>
      </c>
      <c r="I326" s="26" t="n">
        <v>0</v>
      </c>
      <c r="J326" s="26" t="n">
        <v>0</v>
      </c>
      <c r="K326" s="26" t="n">
        <v>0</v>
      </c>
      <c r="L326" s="26" t="n">
        <v>3998044</v>
      </c>
      <c r="M326" s="26" t="n">
        <v>3887501</v>
      </c>
      <c r="N326" s="26" t="n">
        <v>110543</v>
      </c>
      <c r="O326" s="26" t="n">
        <v>0</v>
      </c>
      <c r="P326" s="26" t="n">
        <v>110543</v>
      </c>
      <c r="Q326" s="26" t="n">
        <v>152868</v>
      </c>
      <c r="R326" s="26" t="n">
        <v>37439</v>
      </c>
      <c r="S326" s="26" t="n">
        <v>4188351</v>
      </c>
      <c r="T326" s="26" t="n">
        <v>3599327</v>
      </c>
      <c r="U326" s="26" t="n">
        <v>107102</v>
      </c>
      <c r="V326" s="26" t="n">
        <v>3706429</v>
      </c>
      <c r="W326" s="26" t="n">
        <v>4150912</v>
      </c>
      <c r="X326" s="27" t="n">
        <f aca="false">IF(V326=0,0,(W326-V326)/V326)</f>
        <v>0.119922167671362</v>
      </c>
      <c r="Y326" s="26" t="n">
        <v>3706429</v>
      </c>
      <c r="Z326" s="26" t="n">
        <v>1370206285.77</v>
      </c>
      <c r="AA326" s="26" t="n">
        <v>1311906280.76</v>
      </c>
      <c r="AB326" s="28" t="n">
        <f aca="false">IF(B326=0,0,L326/B326*10000)</f>
        <v>4.19880573697657</v>
      </c>
      <c r="AC326" s="28" t="n">
        <f aca="false">IF(D326=0,0,M326/D326*10000)</f>
        <v>4.18408811039753</v>
      </c>
      <c r="AD326" s="28" t="n">
        <f aca="false">IF(C326=0,0,N326/C326*10000)</f>
        <v>4.79152646699293</v>
      </c>
      <c r="AE326" s="28" t="n">
        <f aca="false">IF(E326=0,0,Q326/E326*10000)</f>
        <v>5.27926162280119</v>
      </c>
    </row>
    <row r="327" customFormat="false" ht="15" hidden="false" customHeight="true" outlineLevel="0" collapsed="false">
      <c r="A327" s="7" t="s">
        <v>460</v>
      </c>
      <c r="B327" s="26" t="n">
        <v>10768586588</v>
      </c>
      <c r="C327" s="26" t="n">
        <v>316335677</v>
      </c>
      <c r="D327" s="26" t="n">
        <v>10452250911</v>
      </c>
      <c r="E327" s="26" t="n">
        <v>314646044</v>
      </c>
      <c r="F327" s="26" t="n">
        <v>306513160</v>
      </c>
      <c r="G327" s="26" t="n">
        <v>1679216</v>
      </c>
      <c r="H327" s="26" t="n">
        <v>8143301</v>
      </c>
      <c r="I327" s="26" t="n">
        <v>0</v>
      </c>
      <c r="J327" s="26" t="n">
        <v>0</v>
      </c>
      <c r="K327" s="26" t="n">
        <v>0</v>
      </c>
      <c r="L327" s="26" t="n">
        <v>4476437</v>
      </c>
      <c r="M327" s="26" t="n">
        <v>4335870</v>
      </c>
      <c r="N327" s="26" t="n">
        <v>140567</v>
      </c>
      <c r="O327" s="26" t="n">
        <v>0</v>
      </c>
      <c r="P327" s="26" t="n">
        <v>140567</v>
      </c>
      <c r="Q327" s="26" t="n">
        <v>191643</v>
      </c>
      <c r="R327" s="26" t="n">
        <v>42391</v>
      </c>
      <c r="S327" s="26" t="n">
        <v>4710471</v>
      </c>
      <c r="T327" s="26" t="n">
        <v>4058440</v>
      </c>
      <c r="U327" s="26" t="n">
        <v>138245</v>
      </c>
      <c r="V327" s="26" t="n">
        <v>4196685</v>
      </c>
      <c r="W327" s="26" t="n">
        <v>4668080</v>
      </c>
      <c r="X327" s="27" t="n">
        <f aca="false">IF(V327=0,0,(W327-V327)/V327)</f>
        <v>0.112325561723122</v>
      </c>
      <c r="Y327" s="26" t="n">
        <v>4196685</v>
      </c>
      <c r="Z327" s="26" t="n">
        <v>1370206285.77</v>
      </c>
      <c r="AA327" s="26" t="n">
        <v>1311906280.76</v>
      </c>
      <c r="AB327" s="28" t="n">
        <f aca="false">IF(B327=0,0,L327/B327*10000)</f>
        <v>4.15694015497663</v>
      </c>
      <c r="AC327" s="28" t="n">
        <f aca="false">IF(D327=0,0,M327/D327*10000)</f>
        <v>4.14826436613468</v>
      </c>
      <c r="AD327" s="28" t="n">
        <f aca="false">IF(C327=0,0,N327/C327*10000)</f>
        <v>4.44360248369962</v>
      </c>
      <c r="AE327" s="28" t="n">
        <f aca="false">IF(E327=0,0,Q327/E327*10000)</f>
        <v>6.0907487525888</v>
      </c>
    </row>
    <row r="328" customFormat="false" ht="15" hidden="false" customHeight="true" outlineLevel="0" collapsed="false">
      <c r="A328" s="7" t="s">
        <v>461</v>
      </c>
      <c r="B328" s="26" t="n">
        <v>14529201227</v>
      </c>
      <c r="C328" s="26" t="n">
        <v>320977745</v>
      </c>
      <c r="D328" s="26" t="n">
        <v>14208223482</v>
      </c>
      <c r="E328" s="26" t="n">
        <v>433843212</v>
      </c>
      <c r="F328" s="26" t="n">
        <v>310105770</v>
      </c>
      <c r="G328" s="26" t="n">
        <v>1670162</v>
      </c>
      <c r="H328" s="26" t="n">
        <v>9201812</v>
      </c>
      <c r="I328" s="26" t="n">
        <v>0</v>
      </c>
      <c r="J328" s="26" t="n">
        <v>0</v>
      </c>
      <c r="K328" s="26" t="n">
        <v>0</v>
      </c>
      <c r="L328" s="26" t="n">
        <v>5695236</v>
      </c>
      <c r="M328" s="26" t="n">
        <v>5567255</v>
      </c>
      <c r="N328" s="26" t="n">
        <v>127981</v>
      </c>
      <c r="O328" s="26" t="n">
        <v>0</v>
      </c>
      <c r="P328" s="26" t="n">
        <v>127981</v>
      </c>
      <c r="Q328" s="26" t="n">
        <v>220169</v>
      </c>
      <c r="R328" s="26" t="n">
        <v>54717</v>
      </c>
      <c r="S328" s="26" t="n">
        <v>5970122</v>
      </c>
      <c r="T328" s="26" t="n">
        <v>5246835</v>
      </c>
      <c r="U328" s="26" t="n">
        <v>170154</v>
      </c>
      <c r="V328" s="26" t="n">
        <v>5416989</v>
      </c>
      <c r="W328" s="26" t="n">
        <v>5915405</v>
      </c>
      <c r="X328" s="27" t="n">
        <f aca="false">IF(V328=0,0,(W328-V328)/V328)</f>
        <v>0.0920097862484122</v>
      </c>
      <c r="Y328" s="26" t="n">
        <v>5416989</v>
      </c>
      <c r="Z328" s="26" t="n">
        <v>1370206285.77</v>
      </c>
      <c r="AA328" s="26" t="n">
        <v>1311906280.76</v>
      </c>
      <c r="AB328" s="28" t="n">
        <f aca="false">IF(B328=0,0,L328/B328*10000)</f>
        <v>3.9198548571386</v>
      </c>
      <c r="AC328" s="28" t="n">
        <f aca="false">IF(D328=0,0,M328/D328*10000)</f>
        <v>3.9183329337781</v>
      </c>
      <c r="AD328" s="28" t="n">
        <f aca="false">IF(C328=0,0,N328/C328*10000)</f>
        <v>3.98722347557149</v>
      </c>
      <c r="AE328" s="28" t="n">
        <f aca="false">IF(E328=0,0,Q328/E328*10000)</f>
        <v>5.07485178770067</v>
      </c>
    </row>
    <row r="329" customFormat="false" ht="15" hidden="false" customHeight="true" outlineLevel="0" collapsed="false">
      <c r="A329" s="7" t="s">
        <v>462</v>
      </c>
      <c r="B329" s="26" t="n">
        <v>4580297041</v>
      </c>
      <c r="C329" s="26" t="n">
        <v>56501925</v>
      </c>
      <c r="D329" s="26" t="n">
        <v>4523795116</v>
      </c>
      <c r="E329" s="26" t="n">
        <v>235858539</v>
      </c>
      <c r="F329" s="26" t="n">
        <v>53988404</v>
      </c>
      <c r="G329" s="26" t="n">
        <v>2337627</v>
      </c>
      <c r="H329" s="26" t="n">
        <v>175894</v>
      </c>
      <c r="I329" s="26" t="n">
        <v>0</v>
      </c>
      <c r="J329" s="26" t="n">
        <v>0</v>
      </c>
      <c r="K329" s="26" t="n">
        <v>0</v>
      </c>
      <c r="L329" s="26" t="n">
        <v>1837408</v>
      </c>
      <c r="M329" s="26" t="n">
        <v>1804206</v>
      </c>
      <c r="N329" s="26" t="n">
        <v>33202</v>
      </c>
      <c r="O329" s="26" t="n">
        <v>0</v>
      </c>
      <c r="P329" s="26" t="n">
        <v>33202</v>
      </c>
      <c r="Q329" s="26" t="n">
        <v>118691</v>
      </c>
      <c r="R329" s="26" t="n">
        <v>17732</v>
      </c>
      <c r="S329" s="26" t="n">
        <v>1973831</v>
      </c>
      <c r="T329" s="26" t="n">
        <v>1656238</v>
      </c>
      <c r="U329" s="26" t="n">
        <v>99253</v>
      </c>
      <c r="V329" s="26" t="n">
        <v>1755491</v>
      </c>
      <c r="W329" s="26" t="n">
        <v>1956099</v>
      </c>
      <c r="X329" s="27" t="n">
        <f aca="false">IF(V329=0,0,(W329-V329)/V329)</f>
        <v>0.114274581869118</v>
      </c>
      <c r="Y329" s="26" t="n">
        <v>1755491</v>
      </c>
      <c r="Z329" s="26" t="n">
        <v>1370206285.77</v>
      </c>
      <c r="AA329" s="26" t="n">
        <v>1311906280.76</v>
      </c>
      <c r="AB329" s="28" t="n">
        <f aca="false">IF(B329=0,0,L329/B329*10000)</f>
        <v>4.01154768686977</v>
      </c>
      <c r="AC329" s="28" t="n">
        <f aca="false">IF(D329=0,0,M329/D329*10000)</f>
        <v>3.98825754424374</v>
      </c>
      <c r="AD329" s="28" t="n">
        <f aca="false">IF(C329=0,0,N329/C329*10000)</f>
        <v>5.87625996813383</v>
      </c>
      <c r="AE329" s="28" t="n">
        <f aca="false">IF(E329=0,0,Q329/E329*10000)</f>
        <v>5.03229607472469</v>
      </c>
    </row>
    <row r="330" customFormat="false" ht="15" hidden="false" customHeight="true" outlineLevel="0" collapsed="false">
      <c r="A330" s="7" t="s">
        <v>463</v>
      </c>
      <c r="B330" s="26" t="n">
        <v>6226559906</v>
      </c>
      <c r="C330" s="26" t="n">
        <v>54397552</v>
      </c>
      <c r="D330" s="26" t="n">
        <v>6172162354</v>
      </c>
      <c r="E330" s="26" t="n">
        <v>207505994</v>
      </c>
      <c r="F330" s="26" t="n">
        <v>52409491</v>
      </c>
      <c r="G330" s="26" t="n">
        <v>1900015</v>
      </c>
      <c r="H330" s="26" t="n">
        <v>88045</v>
      </c>
      <c r="I330" s="26" t="n">
        <v>0</v>
      </c>
      <c r="J330" s="26" t="n">
        <v>0</v>
      </c>
      <c r="K330" s="26" t="n">
        <v>0</v>
      </c>
      <c r="L330" s="26" t="n">
        <v>2394961</v>
      </c>
      <c r="M330" s="26" t="n">
        <v>2375644</v>
      </c>
      <c r="N330" s="26" t="n">
        <v>19317</v>
      </c>
      <c r="O330" s="26" t="n">
        <v>0</v>
      </c>
      <c r="P330" s="26" t="n">
        <v>19317</v>
      </c>
      <c r="Q330" s="26" t="n">
        <v>116277</v>
      </c>
      <c r="R330" s="26" t="n">
        <v>23089</v>
      </c>
      <c r="S330" s="26" t="n">
        <v>2534327</v>
      </c>
      <c r="T330" s="26" t="n">
        <v>2195278</v>
      </c>
      <c r="U330" s="26" t="n">
        <v>90553</v>
      </c>
      <c r="V330" s="26" t="n">
        <v>2285831</v>
      </c>
      <c r="W330" s="26" t="n">
        <v>2511238</v>
      </c>
      <c r="X330" s="27" t="n">
        <f aca="false">IF(V330=0,0,(W330-V330)/V330)</f>
        <v>0.0986105271999549</v>
      </c>
      <c r="Y330" s="26" t="n">
        <v>2285831</v>
      </c>
      <c r="Z330" s="26" t="n">
        <v>1370206285.77</v>
      </c>
      <c r="AA330" s="26" t="n">
        <v>1311906280.76</v>
      </c>
      <c r="AB330" s="28" t="n">
        <f aca="false">IF(B330=0,0,L330/B330*10000)</f>
        <v>3.8463630578615</v>
      </c>
      <c r="AC330" s="28" t="n">
        <f aca="false">IF(D330=0,0,M330/D330*10000)</f>
        <v>3.84896550632764</v>
      </c>
      <c r="AD330" s="28" t="n">
        <f aca="false">IF(C330=0,0,N330/C330*10000)</f>
        <v>3.55107891619829</v>
      </c>
      <c r="AE330" s="28" t="n">
        <f aca="false">IF(E330=0,0,Q330/E330*10000)</f>
        <v>5.60354897507202</v>
      </c>
    </row>
    <row r="331" customFormat="false" ht="15" hidden="false" customHeight="true" outlineLevel="0" collapsed="false">
      <c r="A331" s="7" t="s">
        <v>464</v>
      </c>
      <c r="B331" s="26" t="n">
        <v>9867186183</v>
      </c>
      <c r="C331" s="26" t="n">
        <v>446733399</v>
      </c>
      <c r="D331" s="26" t="n">
        <v>9420452784</v>
      </c>
      <c r="E331" s="26" t="n">
        <v>279378464</v>
      </c>
      <c r="F331" s="26" t="n">
        <v>438785412</v>
      </c>
      <c r="G331" s="26" t="n">
        <v>3339369</v>
      </c>
      <c r="H331" s="26" t="n">
        <v>4608619</v>
      </c>
      <c r="I331" s="26" t="n">
        <v>0</v>
      </c>
      <c r="J331" s="26" t="n">
        <v>0</v>
      </c>
      <c r="K331" s="26" t="n">
        <v>0</v>
      </c>
      <c r="L331" s="26" t="n">
        <v>3462385</v>
      </c>
      <c r="M331" s="26" t="n">
        <v>3430707</v>
      </c>
      <c r="N331" s="26" t="n">
        <v>31678</v>
      </c>
      <c r="O331" s="26" t="n">
        <v>0</v>
      </c>
      <c r="P331" s="26" t="n">
        <v>31678</v>
      </c>
      <c r="Q331" s="26" t="n">
        <v>128678</v>
      </c>
      <c r="R331" s="26" t="n">
        <v>33175</v>
      </c>
      <c r="S331" s="26" t="n">
        <v>3624238</v>
      </c>
      <c r="T331" s="26" t="n">
        <v>3182394</v>
      </c>
      <c r="U331" s="26" t="n">
        <v>101913</v>
      </c>
      <c r="V331" s="26" t="n">
        <v>3284307</v>
      </c>
      <c r="W331" s="26" t="n">
        <v>3591063</v>
      </c>
      <c r="X331" s="27" t="n">
        <f aca="false">IF(V331=0,0,(W331-V331)/V331)</f>
        <v>0.09340052559033</v>
      </c>
      <c r="Y331" s="26" t="n">
        <v>3284307</v>
      </c>
      <c r="Z331" s="26" t="n">
        <v>1370206285.77</v>
      </c>
      <c r="AA331" s="26" t="n">
        <v>1311906280.76</v>
      </c>
      <c r="AB331" s="28" t="n">
        <f aca="false">IF(B331=0,0,L331/B331*10000)</f>
        <v>3.50898922528216</v>
      </c>
      <c r="AC331" s="28" t="n">
        <f aca="false">IF(D331=0,0,M331/D331*10000)</f>
        <v>3.64176444451462</v>
      </c>
      <c r="AD331" s="28" t="n">
        <f aca="false">IF(C331=0,0,N331/C331*10000)</f>
        <v>0.709103014704302</v>
      </c>
      <c r="AE331" s="28" t="n">
        <f aca="false">IF(E331=0,0,Q331/E331*10000)</f>
        <v>4.60586682873308</v>
      </c>
    </row>
    <row r="332" customFormat="false" ht="15" hidden="false" customHeight="true" outlineLevel="0" collapsed="false">
      <c r="A332" s="7" t="s">
        <v>465</v>
      </c>
      <c r="B332" s="26" t="n">
        <v>7927696540</v>
      </c>
      <c r="C332" s="26" t="n">
        <v>525535455</v>
      </c>
      <c r="D332" s="26" t="n">
        <v>7402161085</v>
      </c>
      <c r="E332" s="26" t="n">
        <v>253234221</v>
      </c>
      <c r="F332" s="26" t="n">
        <v>515741917</v>
      </c>
      <c r="G332" s="26" t="n">
        <v>2389147</v>
      </c>
      <c r="H332" s="26" t="n">
        <v>7404391</v>
      </c>
      <c r="I332" s="26" t="n">
        <v>0</v>
      </c>
      <c r="J332" s="26" t="n">
        <v>0</v>
      </c>
      <c r="K332" s="26" t="n">
        <v>0</v>
      </c>
      <c r="L332" s="26" t="n">
        <v>2934181</v>
      </c>
      <c r="M332" s="26" t="n">
        <v>2897257</v>
      </c>
      <c r="N332" s="26" t="n">
        <v>36924</v>
      </c>
      <c r="O332" s="26" t="n">
        <v>0</v>
      </c>
      <c r="P332" s="26" t="n">
        <v>36924</v>
      </c>
      <c r="Q332" s="26" t="n">
        <v>125607</v>
      </c>
      <c r="R332" s="26" t="n">
        <v>28228</v>
      </c>
      <c r="S332" s="26" t="n">
        <v>3088016</v>
      </c>
      <c r="T332" s="26" t="n">
        <v>2695439</v>
      </c>
      <c r="U332" s="26" t="n">
        <v>99165</v>
      </c>
      <c r="V332" s="26" t="n">
        <v>2794604</v>
      </c>
      <c r="W332" s="26" t="n">
        <v>3059788</v>
      </c>
      <c r="X332" s="27" t="n">
        <f aca="false">IF(V332=0,0,(W332-V332)/V332)</f>
        <v>0.0948914407908956</v>
      </c>
      <c r="Y332" s="26" t="n">
        <v>2794604</v>
      </c>
      <c r="Z332" s="26" t="n">
        <v>1370206285.77</v>
      </c>
      <c r="AA332" s="26" t="n">
        <v>1311906280.76</v>
      </c>
      <c r="AB332" s="28" t="n">
        <f aca="false">IF(B332=0,0,L332/B332*10000)</f>
        <v>3.70117724006626</v>
      </c>
      <c r="AC332" s="28" t="n">
        <f aca="false">IF(D332=0,0,M332/D332*10000)</f>
        <v>3.91406910323946</v>
      </c>
      <c r="AD332" s="28" t="n">
        <f aca="false">IF(C332=0,0,N332/C332*10000)</f>
        <v>0.702597696286733</v>
      </c>
      <c r="AE332" s="28" t="n">
        <f aca="false">IF(E332=0,0,Q332/E332*10000)</f>
        <v>4.96011161145555</v>
      </c>
    </row>
    <row r="333" customFormat="false" ht="15" hidden="false" customHeight="true" outlineLevel="0" collapsed="false">
      <c r="A333" s="7" t="s">
        <v>466</v>
      </c>
      <c r="B333" s="26" t="n">
        <v>7128352757</v>
      </c>
      <c r="C333" s="26" t="n">
        <v>398953790</v>
      </c>
      <c r="D333" s="26" t="n">
        <v>6729398967</v>
      </c>
      <c r="E333" s="26" t="n">
        <v>238109466</v>
      </c>
      <c r="F333" s="26" t="n">
        <v>379304407</v>
      </c>
      <c r="G333" s="26" t="n">
        <v>3332070</v>
      </c>
      <c r="H333" s="26" t="n">
        <v>16317312</v>
      </c>
      <c r="I333" s="26" t="n">
        <v>0</v>
      </c>
      <c r="J333" s="26" t="n">
        <v>0</v>
      </c>
      <c r="K333" s="26" t="n">
        <v>0</v>
      </c>
      <c r="L333" s="26" t="n">
        <v>2624329</v>
      </c>
      <c r="M333" s="26" t="n">
        <v>2593120</v>
      </c>
      <c r="N333" s="26" t="n">
        <v>31209</v>
      </c>
      <c r="O333" s="26" t="n">
        <v>0</v>
      </c>
      <c r="P333" s="26" t="n">
        <v>31209</v>
      </c>
      <c r="Q333" s="26" t="n">
        <v>129077</v>
      </c>
      <c r="R333" s="26" t="n">
        <v>25095</v>
      </c>
      <c r="S333" s="26" t="n">
        <v>2778501</v>
      </c>
      <c r="T333" s="26" t="n">
        <v>2385572</v>
      </c>
      <c r="U333" s="26" t="n">
        <v>98810</v>
      </c>
      <c r="V333" s="26" t="n">
        <v>2484382</v>
      </c>
      <c r="W333" s="26" t="n">
        <v>2753406</v>
      </c>
      <c r="X333" s="27" t="n">
        <f aca="false">IF(V333=0,0,(W333-V333)/V333)</f>
        <v>0.108286084829145</v>
      </c>
      <c r="Y333" s="26" t="n">
        <v>2484382</v>
      </c>
      <c r="Z333" s="26" t="n">
        <v>1306937705.07</v>
      </c>
      <c r="AA333" s="26" t="n">
        <v>1248567685.68</v>
      </c>
      <c r="AB333" s="28" t="n">
        <f aca="false">IF(B333=0,0,L333/B333*10000)</f>
        <v>3.68153637938712</v>
      </c>
      <c r="AC333" s="28" t="n">
        <f aca="false">IF(D333=0,0,M333/D333*10000)</f>
        <v>3.85341991568086</v>
      </c>
      <c r="AD333" s="28" t="n">
        <f aca="false">IF(C333=0,0,N333/C333*10000)</f>
        <v>0.782271049486709</v>
      </c>
      <c r="AE333" s="28" t="n">
        <f aca="false">IF(E333=0,0,Q333/E333*10000)</f>
        <v>5.42091006159327</v>
      </c>
    </row>
    <row r="334" customFormat="false" ht="15" hidden="false" customHeight="true" outlineLevel="0" collapsed="false">
      <c r="A334" s="7" t="s">
        <v>467</v>
      </c>
      <c r="B334" s="26" t="n">
        <v>4623577036</v>
      </c>
      <c r="C334" s="26" t="n">
        <v>188922825</v>
      </c>
      <c r="D334" s="26" t="n">
        <v>4434654211</v>
      </c>
      <c r="E334" s="26" t="n">
        <v>247442973</v>
      </c>
      <c r="F334" s="26" t="n">
        <v>182704403</v>
      </c>
      <c r="G334" s="26" t="n">
        <v>2733916</v>
      </c>
      <c r="H334" s="26" t="n">
        <v>3484505</v>
      </c>
      <c r="I334" s="26" t="n">
        <v>0</v>
      </c>
      <c r="J334" s="26" t="n">
        <v>0</v>
      </c>
      <c r="K334" s="26" t="n">
        <v>0</v>
      </c>
      <c r="L334" s="26" t="n">
        <v>1851782</v>
      </c>
      <c r="M334" s="26" t="n">
        <v>1827037</v>
      </c>
      <c r="N334" s="26" t="n">
        <v>24745</v>
      </c>
      <c r="O334" s="26" t="n">
        <v>0</v>
      </c>
      <c r="P334" s="26" t="n">
        <v>24745</v>
      </c>
      <c r="Q334" s="26" t="n">
        <v>125247</v>
      </c>
      <c r="R334" s="26" t="n">
        <v>17583</v>
      </c>
      <c r="S334" s="26" t="n">
        <v>1994612</v>
      </c>
      <c r="T334" s="26" t="n">
        <v>1638685</v>
      </c>
      <c r="U334" s="26" t="n">
        <v>102079</v>
      </c>
      <c r="V334" s="26" t="n">
        <v>1740764</v>
      </c>
      <c r="W334" s="26" t="n">
        <v>1977029</v>
      </c>
      <c r="X334" s="27" t="n">
        <f aca="false">IF(V334=0,0,(W334-V334)/V334)</f>
        <v>0.135724888612127</v>
      </c>
      <c r="Y334" s="26" t="n">
        <v>1740764</v>
      </c>
      <c r="Z334" s="26" t="n">
        <v>1306937705.07</v>
      </c>
      <c r="AA334" s="26" t="n">
        <v>1248567685.68</v>
      </c>
      <c r="AB334" s="28" t="n">
        <f aca="false">IF(B334=0,0,L334/B334*10000)</f>
        <v>4.0050852090961</v>
      </c>
      <c r="AC334" s="28" t="n">
        <f aca="false">IF(D334=0,0,M334/D334*10000)</f>
        <v>4.11990859505596</v>
      </c>
      <c r="AD334" s="28" t="n">
        <f aca="false">IF(C334=0,0,N334/C334*10000)</f>
        <v>1.30979409184676</v>
      </c>
      <c r="AE334" s="28" t="n">
        <f aca="false">IF(E334=0,0,Q334/E334*10000)</f>
        <v>5.06165111425492</v>
      </c>
    </row>
    <row r="335" customFormat="false" ht="15" hidden="false" customHeight="true" outlineLevel="0" collapsed="false">
      <c r="A335" s="7" t="s">
        <v>468</v>
      </c>
      <c r="B335" s="26" t="n">
        <v>5382025230</v>
      </c>
      <c r="C335" s="26" t="n">
        <v>258786551</v>
      </c>
      <c r="D335" s="26" t="n">
        <v>5123238679</v>
      </c>
      <c r="E335" s="26" t="n">
        <v>239864451</v>
      </c>
      <c r="F335" s="26" t="n">
        <v>245993341</v>
      </c>
      <c r="G335" s="26" t="n">
        <v>1341815</v>
      </c>
      <c r="H335" s="26" t="n">
        <v>11451395</v>
      </c>
      <c r="I335" s="26" t="n">
        <v>0</v>
      </c>
      <c r="J335" s="26" t="n">
        <v>0</v>
      </c>
      <c r="K335" s="26" t="n">
        <v>0</v>
      </c>
      <c r="L335" s="26" t="n">
        <v>2165922</v>
      </c>
      <c r="M335" s="26" t="n">
        <v>2136346</v>
      </c>
      <c r="N335" s="26" t="n">
        <v>29576</v>
      </c>
      <c r="O335" s="26" t="n">
        <v>0</v>
      </c>
      <c r="P335" s="26" t="n">
        <v>29576</v>
      </c>
      <c r="Q335" s="26" t="n">
        <v>135613</v>
      </c>
      <c r="R335" s="26" t="n">
        <v>20283</v>
      </c>
      <c r="S335" s="26" t="n">
        <v>2321818</v>
      </c>
      <c r="T335" s="26" t="n">
        <v>1901605</v>
      </c>
      <c r="U335" s="26" t="n">
        <v>106451</v>
      </c>
      <c r="V335" s="26" t="n">
        <v>2008056</v>
      </c>
      <c r="W335" s="26" t="n">
        <v>2301535</v>
      </c>
      <c r="X335" s="27" t="n">
        <f aca="false">IF(V335=0,0,(W335-V335)/V335)</f>
        <v>0.146150804559235</v>
      </c>
      <c r="Y335" s="26" t="n">
        <v>2008056</v>
      </c>
      <c r="Z335" s="26" t="n">
        <v>1306937705.07</v>
      </c>
      <c r="AA335" s="26" t="n">
        <v>1248567685.68</v>
      </c>
      <c r="AB335" s="28" t="n">
        <f aca="false">IF(B335=0,0,L335/B335*10000)</f>
        <v>4.02436240530221</v>
      </c>
      <c r="AC335" s="28" t="n">
        <f aca="false">IF(D335=0,0,M335/D335*10000)</f>
        <v>4.16991308399669</v>
      </c>
      <c r="AD335" s="28" t="n">
        <f aca="false">IF(C335=0,0,N335/C335*10000)</f>
        <v>1.14287237438394</v>
      </c>
      <c r="AE335" s="28" t="n">
        <f aca="false">IF(E335=0,0,Q335/E335*10000)</f>
        <v>5.65373482542438</v>
      </c>
    </row>
    <row r="336" customFormat="false" ht="15" hidden="false" customHeight="true" outlineLevel="0" collapsed="false">
      <c r="A336" s="7" t="s">
        <v>469</v>
      </c>
      <c r="B336" s="26" t="n">
        <v>2805025592</v>
      </c>
      <c r="C336" s="26" t="n">
        <v>138182239</v>
      </c>
      <c r="D336" s="26" t="n">
        <v>2666843353</v>
      </c>
      <c r="E336" s="26" t="n">
        <v>169134928</v>
      </c>
      <c r="F336" s="26" t="n">
        <v>134972169</v>
      </c>
      <c r="G336" s="26" t="n">
        <v>1853475</v>
      </c>
      <c r="H336" s="26" t="n">
        <v>1356595</v>
      </c>
      <c r="I336" s="26" t="n">
        <v>0</v>
      </c>
      <c r="J336" s="26" t="n">
        <v>0</v>
      </c>
      <c r="K336" s="26" t="n">
        <v>0</v>
      </c>
      <c r="L336" s="26" t="n">
        <v>1119249</v>
      </c>
      <c r="M336" s="26" t="n">
        <v>1102890</v>
      </c>
      <c r="N336" s="26" t="n">
        <v>16359</v>
      </c>
      <c r="O336" s="26" t="n">
        <v>0</v>
      </c>
      <c r="P336" s="26" t="n">
        <v>16359</v>
      </c>
      <c r="Q336" s="26" t="n">
        <v>101164</v>
      </c>
      <c r="R336" s="26" t="n">
        <v>10750</v>
      </c>
      <c r="S336" s="26" t="n">
        <v>1231163</v>
      </c>
      <c r="T336" s="26" t="n">
        <v>986726</v>
      </c>
      <c r="U336" s="26" t="n">
        <v>77510</v>
      </c>
      <c r="V336" s="26" t="n">
        <v>1064236</v>
      </c>
      <c r="W336" s="26" t="n">
        <v>1220413</v>
      </c>
      <c r="X336" s="27" t="n">
        <f aca="false">IF(V336=0,0,(W336-V336)/V336)</f>
        <v>0.146750344848323</v>
      </c>
      <c r="Y336" s="26" t="n">
        <v>1064236</v>
      </c>
      <c r="Z336" s="26" t="n">
        <v>1306937705.07</v>
      </c>
      <c r="AA336" s="26" t="n">
        <v>1248567685.68</v>
      </c>
      <c r="AB336" s="28" t="n">
        <f aca="false">IF(B336=0,0,L336/B336*10000)</f>
        <v>3.99015610835111</v>
      </c>
      <c r="AC336" s="28" t="n">
        <f aca="false">IF(D336=0,0,M336/D336*10000)</f>
        <v>4.13556348841911</v>
      </c>
      <c r="AD336" s="28" t="n">
        <f aca="false">IF(C336=0,0,N336/C336*10000)</f>
        <v>1.18387139464429</v>
      </c>
      <c r="AE336" s="28" t="n">
        <f aca="false">IF(E336=0,0,Q336/E336*10000)</f>
        <v>5.98126012150489</v>
      </c>
    </row>
    <row r="337" customFormat="false" ht="15" hidden="false" customHeight="true" outlineLevel="0" collapsed="false">
      <c r="A337" s="7" t="s">
        <v>470</v>
      </c>
      <c r="B337" s="26" t="n">
        <v>2684608014</v>
      </c>
      <c r="C337" s="26" t="n">
        <v>103667471</v>
      </c>
      <c r="D337" s="26" t="n">
        <v>2580940543</v>
      </c>
      <c r="E337" s="26" t="n">
        <v>139751242</v>
      </c>
      <c r="F337" s="26" t="n">
        <v>100631190</v>
      </c>
      <c r="G337" s="26" t="n">
        <v>1992302</v>
      </c>
      <c r="H337" s="26" t="n">
        <v>1043979</v>
      </c>
      <c r="I337" s="26" t="n">
        <v>0</v>
      </c>
      <c r="J337" s="26" t="n">
        <v>0</v>
      </c>
      <c r="K337" s="26" t="n">
        <v>0</v>
      </c>
      <c r="L337" s="26" t="n">
        <v>1139073</v>
      </c>
      <c r="M337" s="26" t="n">
        <v>1127206</v>
      </c>
      <c r="N337" s="26" t="n">
        <v>11867</v>
      </c>
      <c r="O337" s="26" t="n">
        <v>0</v>
      </c>
      <c r="P337" s="26" t="n">
        <v>11867</v>
      </c>
      <c r="Q337" s="26" t="n">
        <v>82329</v>
      </c>
      <c r="R337" s="26" t="n">
        <v>10652</v>
      </c>
      <c r="S337" s="26" t="n">
        <v>1232054</v>
      </c>
      <c r="T337" s="26" t="n">
        <v>988286</v>
      </c>
      <c r="U337" s="26" t="n">
        <v>66269</v>
      </c>
      <c r="V337" s="26" t="n">
        <v>1054555</v>
      </c>
      <c r="W337" s="26" t="n">
        <v>1221402</v>
      </c>
      <c r="X337" s="27" t="n">
        <f aca="false">IF(V337=0,0,(W337-V337)/V337)</f>
        <v>0.158215550635102</v>
      </c>
      <c r="Y337" s="26" t="n">
        <v>1054555</v>
      </c>
      <c r="Z337" s="26" t="n">
        <v>1306937705.07</v>
      </c>
      <c r="AA337" s="26" t="n">
        <v>1248567685.68</v>
      </c>
      <c r="AB337" s="28" t="n">
        <f aca="false">IF(B337=0,0,L337/B337*10000)</f>
        <v>4.24297697861227</v>
      </c>
      <c r="AC337" s="28" t="n">
        <f aca="false">IF(D337=0,0,M337/D337*10000)</f>
        <v>4.36742335292146</v>
      </c>
      <c r="AD337" s="28" t="n">
        <f aca="false">IF(C337=0,0,N337/C337*10000)</f>
        <v>1.14471780641779</v>
      </c>
      <c r="AE337" s="28" t="n">
        <f aca="false">IF(E337=0,0,Q337/E337*10000)</f>
        <v>5.89111043463929</v>
      </c>
    </row>
    <row r="338" customFormat="false" ht="15" hidden="false" customHeight="true" outlineLevel="0" collapsed="false">
      <c r="A338" s="7" t="s">
        <v>471</v>
      </c>
      <c r="B338" s="26" t="n">
        <v>10222569427</v>
      </c>
      <c r="C338" s="26" t="n">
        <v>397070365</v>
      </c>
      <c r="D338" s="26" t="n">
        <v>9825499062</v>
      </c>
      <c r="E338" s="26" t="n">
        <v>329066780</v>
      </c>
      <c r="F338" s="26" t="n">
        <v>386924549</v>
      </c>
      <c r="G338" s="26" t="n">
        <v>528152</v>
      </c>
      <c r="H338" s="26" t="n">
        <v>9617664</v>
      </c>
      <c r="I338" s="26" t="n">
        <v>0</v>
      </c>
      <c r="J338" s="26" t="n">
        <v>0</v>
      </c>
      <c r="K338" s="26" t="n">
        <v>0</v>
      </c>
      <c r="L338" s="26" t="n">
        <v>4188992</v>
      </c>
      <c r="M338" s="26" t="n">
        <v>4159823</v>
      </c>
      <c r="N338" s="26" t="n">
        <v>29169</v>
      </c>
      <c r="O338" s="26" t="n">
        <v>0</v>
      </c>
      <c r="P338" s="26" t="n">
        <v>29169</v>
      </c>
      <c r="Q338" s="26" t="n">
        <v>175170</v>
      </c>
      <c r="R338" s="26" t="n">
        <v>38505</v>
      </c>
      <c r="S338" s="26" t="n">
        <v>4402667</v>
      </c>
      <c r="T338" s="26" t="n">
        <v>3677457</v>
      </c>
      <c r="U338" s="26" t="n">
        <v>134550</v>
      </c>
      <c r="V338" s="26" t="n">
        <v>3812007</v>
      </c>
      <c r="W338" s="26" t="n">
        <v>4364162</v>
      </c>
      <c r="X338" s="27" t="n">
        <f aca="false">IF(V338=0,0,(W338-V338)/V338)</f>
        <v>0.144846271268652</v>
      </c>
      <c r="Y338" s="26" t="n">
        <v>3812007</v>
      </c>
      <c r="Z338" s="26" t="n">
        <v>1306937705.07</v>
      </c>
      <c r="AA338" s="26" t="n">
        <v>1248567685.68</v>
      </c>
      <c r="AB338" s="28" t="n">
        <f aca="false">IF(B338=0,0,L338/B338*10000)</f>
        <v>4.09778777235396</v>
      </c>
      <c r="AC338" s="28" t="n">
        <f aca="false">IF(D338=0,0,M338/D338*10000)</f>
        <v>4.23370148808834</v>
      </c>
      <c r="AD338" s="28" t="n">
        <f aca="false">IF(C338=0,0,N338/C338*10000)</f>
        <v>0.734605313594733</v>
      </c>
      <c r="AE338" s="28" t="n">
        <f aca="false">IF(E338=0,0,Q338/E338*10000)</f>
        <v>5.32323560585484</v>
      </c>
    </row>
    <row r="339" customFormat="false" ht="15" hidden="false" customHeight="true" outlineLevel="0" collapsed="false">
      <c r="A339" s="7" t="s">
        <v>472</v>
      </c>
      <c r="B339" s="26" t="n">
        <v>7280935907</v>
      </c>
      <c r="C339" s="26" t="n">
        <v>380463264</v>
      </c>
      <c r="D339" s="26" t="n">
        <v>6900472643</v>
      </c>
      <c r="E339" s="26" t="n">
        <v>269646568</v>
      </c>
      <c r="F339" s="26" t="n">
        <v>367941161</v>
      </c>
      <c r="G339" s="26" t="n">
        <v>1429998</v>
      </c>
      <c r="H339" s="26" t="n">
        <v>11092105</v>
      </c>
      <c r="I339" s="26" t="n">
        <v>0</v>
      </c>
      <c r="J339" s="26" t="n">
        <v>0</v>
      </c>
      <c r="K339" s="26" t="n">
        <v>0</v>
      </c>
      <c r="L339" s="26" t="n">
        <v>2974731</v>
      </c>
      <c r="M339" s="26" t="n">
        <v>2942424</v>
      </c>
      <c r="N339" s="26" t="n">
        <v>32307</v>
      </c>
      <c r="O339" s="26" t="n">
        <v>0</v>
      </c>
      <c r="P339" s="26" t="n">
        <v>32307</v>
      </c>
      <c r="Q339" s="26" t="n">
        <v>141033</v>
      </c>
      <c r="R339" s="26" t="n">
        <v>27497</v>
      </c>
      <c r="S339" s="26" t="n">
        <v>3143261</v>
      </c>
      <c r="T339" s="26" t="n">
        <v>2618893</v>
      </c>
      <c r="U339" s="26" t="n">
        <v>103275</v>
      </c>
      <c r="V339" s="26" t="n">
        <v>2722168</v>
      </c>
      <c r="W339" s="26" t="n">
        <v>3115764</v>
      </c>
      <c r="X339" s="27" t="n">
        <f aca="false">IF(V339=0,0,(W339-V339)/V339)</f>
        <v>0.144589165694402</v>
      </c>
      <c r="Y339" s="26" t="n">
        <v>2722168</v>
      </c>
      <c r="Z339" s="26" t="n">
        <v>1306937705.07</v>
      </c>
      <c r="AA339" s="26" t="n">
        <v>1248567685.68</v>
      </c>
      <c r="AB339" s="28" t="n">
        <f aca="false">IF(B339=0,0,L339/B339*10000)</f>
        <v>4.08564371118835</v>
      </c>
      <c r="AC339" s="28" t="n">
        <f aca="false">IF(D339=0,0,M339/D339*10000)</f>
        <v>4.26409052282073</v>
      </c>
      <c r="AD339" s="28" t="n">
        <f aca="false">IF(C339=0,0,N339/C339*10000)</f>
        <v>0.84914899957332</v>
      </c>
      <c r="AE339" s="28" t="n">
        <f aca="false">IF(E339=0,0,Q339/E339*10000)</f>
        <v>5.23029093401997</v>
      </c>
    </row>
    <row r="340" customFormat="false" ht="15" hidden="false" customHeight="true" outlineLevel="0" collapsed="false">
      <c r="A340" s="7" t="s">
        <v>473</v>
      </c>
      <c r="B340" s="26" t="n">
        <v>7292880210</v>
      </c>
      <c r="C340" s="26" t="n">
        <v>408944628</v>
      </c>
      <c r="D340" s="26" t="n">
        <v>6883935582</v>
      </c>
      <c r="E340" s="26" t="n">
        <v>206050583</v>
      </c>
      <c r="F340" s="26" t="n">
        <v>393615926</v>
      </c>
      <c r="G340" s="26" t="n">
        <v>3015938</v>
      </c>
      <c r="H340" s="26" t="n">
        <v>12312673</v>
      </c>
      <c r="I340" s="26" t="n">
        <v>92</v>
      </c>
      <c r="J340" s="26" t="n">
        <v>0</v>
      </c>
      <c r="K340" s="26" t="n">
        <v>0</v>
      </c>
      <c r="L340" s="26" t="n">
        <v>2951610</v>
      </c>
      <c r="M340" s="26" t="n">
        <v>2922119</v>
      </c>
      <c r="N340" s="26" t="n">
        <v>29491</v>
      </c>
      <c r="O340" s="26" t="n">
        <v>0</v>
      </c>
      <c r="P340" s="26" t="n">
        <v>29491</v>
      </c>
      <c r="Q340" s="26" t="n">
        <v>108352</v>
      </c>
      <c r="R340" s="26" t="n">
        <v>27167</v>
      </c>
      <c r="S340" s="26" t="n">
        <v>3087129</v>
      </c>
      <c r="T340" s="26" t="n">
        <v>2603804</v>
      </c>
      <c r="U340" s="26" t="n">
        <v>85689</v>
      </c>
      <c r="V340" s="26" t="n">
        <v>2689493</v>
      </c>
      <c r="W340" s="26" t="n">
        <v>3059962</v>
      </c>
      <c r="X340" s="27" t="n">
        <f aca="false">IF(V340=0,0,(W340-V340)/V340)</f>
        <v>0.137746779783402</v>
      </c>
      <c r="Y340" s="26" t="n">
        <v>2689493</v>
      </c>
      <c r="Z340" s="26" t="n">
        <v>1262344128.07</v>
      </c>
      <c r="AA340" s="26" t="n">
        <v>1203972639.25</v>
      </c>
      <c r="AB340" s="28" t="n">
        <f aca="false">IF(B340=0,0,L340/B340*10000)</f>
        <v>4.04724870696868</v>
      </c>
      <c r="AC340" s="28" t="n">
        <f aca="false">IF(D340=0,0,M340/D340*10000)</f>
        <v>4.24483780417805</v>
      </c>
      <c r="AD340" s="28" t="n">
        <f aca="false">IF(C340=0,0,N340/C340*10000)</f>
        <v>0.721148976677596</v>
      </c>
      <c r="AE340" s="28" t="n">
        <f aca="false">IF(E340=0,0,Q340/E340*10000)</f>
        <v>5.25851460463958</v>
      </c>
    </row>
    <row r="341" customFormat="false" ht="15" hidden="false" customHeight="true" outlineLevel="0" collapsed="false">
      <c r="A341" s="7" t="s">
        <v>474</v>
      </c>
      <c r="B341" s="26" t="n">
        <v>6316086297</v>
      </c>
      <c r="C341" s="26" t="n">
        <v>513842492</v>
      </c>
      <c r="D341" s="26" t="n">
        <v>5802243805</v>
      </c>
      <c r="E341" s="26" t="n">
        <v>182559226</v>
      </c>
      <c r="F341" s="26" t="n">
        <v>499615091</v>
      </c>
      <c r="G341" s="26" t="n">
        <v>1834819</v>
      </c>
      <c r="H341" s="26" t="n">
        <v>12392568</v>
      </c>
      <c r="I341" s="26" t="n">
        <v>14</v>
      </c>
      <c r="J341" s="26" t="n">
        <v>0</v>
      </c>
      <c r="K341" s="26" t="n">
        <v>0</v>
      </c>
      <c r="L341" s="26" t="n">
        <v>2512255</v>
      </c>
      <c r="M341" s="26" t="n">
        <v>2475469</v>
      </c>
      <c r="N341" s="26" t="n">
        <v>36786</v>
      </c>
      <c r="O341" s="26" t="n">
        <v>0</v>
      </c>
      <c r="P341" s="26" t="n">
        <v>36786</v>
      </c>
      <c r="Q341" s="26" t="n">
        <v>101717</v>
      </c>
      <c r="R341" s="26" t="n">
        <v>23026</v>
      </c>
      <c r="S341" s="26" t="n">
        <v>2636998</v>
      </c>
      <c r="T341" s="26" t="n">
        <v>2199371</v>
      </c>
      <c r="U341" s="26" t="n">
        <v>80243</v>
      </c>
      <c r="V341" s="26" t="n">
        <v>2279614</v>
      </c>
      <c r="W341" s="26" t="n">
        <v>2613972</v>
      </c>
      <c r="X341" s="27" t="n">
        <f aca="false">IF(V341=0,0,(W341-V341)/V341)</f>
        <v>0.146673077108668</v>
      </c>
      <c r="Y341" s="26" t="n">
        <v>2279614</v>
      </c>
      <c r="Z341" s="26" t="n">
        <v>1262344128.07</v>
      </c>
      <c r="AA341" s="26" t="n">
        <v>1203972639.25</v>
      </c>
      <c r="AB341" s="28" t="n">
        <f aca="false">IF(B341=0,0,L341/B341*10000)</f>
        <v>3.97755015030948</v>
      </c>
      <c r="AC341" s="28" t="n">
        <f aca="false">IF(D341=0,0,M341/D341*10000)</f>
        <v>4.26639948818904</v>
      </c>
      <c r="AD341" s="28" t="n">
        <f aca="false">IF(C341=0,0,N341/C341*10000)</f>
        <v>0.715900311335093</v>
      </c>
      <c r="AE341" s="28" t="n">
        <f aca="false">IF(E341=0,0,Q341/E341*10000)</f>
        <v>5.57172607644601</v>
      </c>
    </row>
    <row r="342" customFormat="false" ht="15" hidden="false" customHeight="true" outlineLevel="0" collapsed="false">
      <c r="A342" s="7" t="s">
        <v>475</v>
      </c>
      <c r="B342" s="26" t="n">
        <v>7235561427</v>
      </c>
      <c r="C342" s="26" t="n">
        <v>337623925</v>
      </c>
      <c r="D342" s="26" t="n">
        <v>6897937502</v>
      </c>
      <c r="E342" s="26" t="n">
        <v>184407507</v>
      </c>
      <c r="F342" s="26" t="n">
        <v>315564877</v>
      </c>
      <c r="G342" s="26" t="n">
        <v>1557396</v>
      </c>
      <c r="H342" s="26" t="n">
        <v>20501381</v>
      </c>
      <c r="I342" s="26" t="n">
        <v>271</v>
      </c>
      <c r="J342" s="26" t="n">
        <v>0</v>
      </c>
      <c r="K342" s="26" t="n">
        <v>0</v>
      </c>
      <c r="L342" s="26" t="n">
        <v>2772077</v>
      </c>
      <c r="M342" s="26" t="n">
        <v>2747633</v>
      </c>
      <c r="N342" s="26" t="n">
        <v>24444</v>
      </c>
      <c r="O342" s="26" t="n">
        <v>0</v>
      </c>
      <c r="P342" s="26" t="n">
        <v>24444</v>
      </c>
      <c r="Q342" s="26" t="n">
        <v>94893</v>
      </c>
      <c r="R342" s="26" t="n">
        <v>25933</v>
      </c>
      <c r="S342" s="26" t="n">
        <v>2892903</v>
      </c>
      <c r="T342" s="26" t="n">
        <v>2490853</v>
      </c>
      <c r="U342" s="26" t="n">
        <v>76535</v>
      </c>
      <c r="V342" s="26" t="n">
        <v>2567388</v>
      </c>
      <c r="W342" s="26" t="n">
        <v>2866970</v>
      </c>
      <c r="X342" s="27" t="n">
        <f aca="false">IF(V342=0,0,(W342-V342)/V342)</f>
        <v>0.116687466016044</v>
      </c>
      <c r="Y342" s="26" t="n">
        <v>2567388</v>
      </c>
      <c r="Z342" s="26" t="n">
        <v>1262344128.07</v>
      </c>
      <c r="AA342" s="26" t="n">
        <v>1203972639.25</v>
      </c>
      <c r="AB342" s="28" t="n">
        <f aca="false">IF(B342=0,0,L342/B342*10000)</f>
        <v>3.83118439110447</v>
      </c>
      <c r="AC342" s="28" t="n">
        <f aca="false">IF(D342=0,0,M342/D342*10000)</f>
        <v>3.9832674610394</v>
      </c>
      <c r="AD342" s="28" t="n">
        <f aca="false">IF(C342=0,0,N342/C342*10000)</f>
        <v>0.724000824289926</v>
      </c>
      <c r="AE342" s="28" t="n">
        <f aca="false">IF(E342=0,0,Q342/E342*10000)</f>
        <v>5.14583172582014</v>
      </c>
    </row>
    <row r="343" customFormat="false" ht="15" hidden="false" customHeight="true" outlineLevel="0" collapsed="false">
      <c r="A343" s="7" t="s">
        <v>476</v>
      </c>
      <c r="B343" s="26" t="n">
        <v>2315531454</v>
      </c>
      <c r="C343" s="26" t="n">
        <v>60229991</v>
      </c>
      <c r="D343" s="26" t="n">
        <v>2255301463</v>
      </c>
      <c r="E343" s="26" t="n">
        <v>99071556</v>
      </c>
      <c r="F343" s="26" t="n">
        <v>57963897</v>
      </c>
      <c r="G343" s="26" t="n">
        <v>1536316</v>
      </c>
      <c r="H343" s="26" t="n">
        <v>728143</v>
      </c>
      <c r="I343" s="26" t="n">
        <v>1636</v>
      </c>
      <c r="J343" s="26" t="n">
        <v>0</v>
      </c>
      <c r="K343" s="26" t="n">
        <v>0</v>
      </c>
      <c r="L343" s="26" t="n">
        <v>964175</v>
      </c>
      <c r="M343" s="26" t="n">
        <v>957346</v>
      </c>
      <c r="N343" s="26" t="n">
        <v>6829</v>
      </c>
      <c r="O343" s="26" t="n">
        <v>0</v>
      </c>
      <c r="P343" s="26" t="n">
        <v>6829</v>
      </c>
      <c r="Q343" s="26" t="n">
        <v>57413</v>
      </c>
      <c r="R343" s="26" t="n">
        <v>8960</v>
      </c>
      <c r="S343" s="26" t="n">
        <v>1030548</v>
      </c>
      <c r="T343" s="26" t="n">
        <v>843305</v>
      </c>
      <c r="U343" s="26" t="n">
        <v>43750</v>
      </c>
      <c r="V343" s="26" t="n">
        <v>887055</v>
      </c>
      <c r="W343" s="26" t="n">
        <v>1021588</v>
      </c>
      <c r="X343" s="27" t="n">
        <f aca="false">IF(V343=0,0,(W343-V343)/V343)</f>
        <v>0.1516625237443</v>
      </c>
      <c r="Y343" s="26" t="n">
        <v>887055</v>
      </c>
      <c r="Z343" s="26" t="n">
        <v>1262344128.07</v>
      </c>
      <c r="AA343" s="26" t="n">
        <v>1203972639.25</v>
      </c>
      <c r="AB343" s="28" t="n">
        <f aca="false">IF(B343=0,0,L343/B343*10000)</f>
        <v>4.16394689147678</v>
      </c>
      <c r="AC343" s="28" t="n">
        <f aca="false">IF(D343=0,0,M343/D343*10000)</f>
        <v>4.2448693254805</v>
      </c>
      <c r="AD343" s="28" t="n">
        <f aca="false">IF(C343=0,0,N343/C343*10000)</f>
        <v>1.13382052472829</v>
      </c>
      <c r="AE343" s="28" t="n">
        <f aca="false">IF(E343=0,0,Q343/E343*10000)</f>
        <v>5.79510429814992</v>
      </c>
    </row>
    <row r="344" customFormat="false" ht="15" hidden="false" customHeight="true" outlineLevel="0" collapsed="false">
      <c r="A344" s="7" t="s">
        <v>477</v>
      </c>
      <c r="B344" s="26" t="n">
        <v>6221874280</v>
      </c>
      <c r="C344" s="26" t="n">
        <v>101264758</v>
      </c>
      <c r="D344" s="26" t="n">
        <v>6120609522</v>
      </c>
      <c r="E344" s="26" t="n">
        <v>160424812</v>
      </c>
      <c r="F344" s="26" t="n">
        <v>100212716</v>
      </c>
      <c r="G344" s="26" t="n">
        <v>681703</v>
      </c>
      <c r="H344" s="26" t="n">
        <v>370237</v>
      </c>
      <c r="I344" s="26" t="n">
        <v>101</v>
      </c>
      <c r="J344" s="26" t="n">
        <v>0</v>
      </c>
      <c r="K344" s="26" t="n">
        <v>0</v>
      </c>
      <c r="L344" s="26" t="n">
        <v>2398211</v>
      </c>
      <c r="M344" s="26" t="n">
        <v>2387620</v>
      </c>
      <c r="N344" s="26" t="n">
        <v>10591</v>
      </c>
      <c r="O344" s="26" t="n">
        <v>0</v>
      </c>
      <c r="P344" s="26" t="n">
        <v>10591</v>
      </c>
      <c r="Q344" s="26" t="n">
        <v>83272</v>
      </c>
      <c r="R344" s="26" t="n">
        <v>22797</v>
      </c>
      <c r="S344" s="26" t="n">
        <v>2504280</v>
      </c>
      <c r="T344" s="26" t="n">
        <v>2186115</v>
      </c>
      <c r="U344" s="26" t="n">
        <v>70761</v>
      </c>
      <c r="V344" s="26" t="n">
        <v>2256876</v>
      </c>
      <c r="W344" s="26" t="n">
        <v>2481483</v>
      </c>
      <c r="X344" s="27" t="n">
        <f aca="false">IF(V344=0,0,(W344-V344)/V344)</f>
        <v>0.0995211965566562</v>
      </c>
      <c r="Y344" s="26" t="n">
        <v>2256876</v>
      </c>
      <c r="Z344" s="26" t="n">
        <v>1262344128.07</v>
      </c>
      <c r="AA344" s="26" t="n">
        <v>1203972639.25</v>
      </c>
      <c r="AB344" s="28" t="n">
        <f aca="false">IF(B344=0,0,L344/B344*10000)</f>
        <v>3.85448321851981</v>
      </c>
      <c r="AC344" s="28" t="n">
        <f aca="false">IF(D344=0,0,M344/D344*10000)</f>
        <v>3.90095135364853</v>
      </c>
      <c r="AD344" s="28" t="n">
        <f aca="false">IF(C344=0,0,N344/C344*10000)</f>
        <v>1.04587224708521</v>
      </c>
      <c r="AE344" s="28" t="n">
        <f aca="false">IF(E344=0,0,Q344/E344*10000)</f>
        <v>5.19071825373247</v>
      </c>
    </row>
    <row r="345" customFormat="false" ht="15" hidden="false" customHeight="true" outlineLevel="0" collapsed="false">
      <c r="A345" s="7" t="s">
        <v>478</v>
      </c>
      <c r="B345" s="26" t="n">
        <v>6198630699</v>
      </c>
      <c r="C345" s="26" t="n">
        <v>303023605</v>
      </c>
      <c r="D345" s="26" t="n">
        <v>5895607094</v>
      </c>
      <c r="E345" s="26" t="n">
        <v>149941296</v>
      </c>
      <c r="F345" s="26" t="n">
        <v>297191579</v>
      </c>
      <c r="G345" s="26" t="n">
        <v>449812</v>
      </c>
      <c r="H345" s="26" t="n">
        <v>5375934</v>
      </c>
      <c r="I345" s="26" t="n">
        <v>6279</v>
      </c>
      <c r="J345" s="26" t="n">
        <v>0</v>
      </c>
      <c r="K345" s="26" t="n">
        <v>0</v>
      </c>
      <c r="L345" s="26" t="n">
        <v>2430188</v>
      </c>
      <c r="M345" s="26" t="n">
        <v>2411116</v>
      </c>
      <c r="N345" s="26" t="n">
        <v>19072</v>
      </c>
      <c r="O345" s="26" t="n">
        <v>0</v>
      </c>
      <c r="P345" s="26" t="n">
        <v>19072</v>
      </c>
      <c r="Q345" s="26" t="n">
        <v>79707</v>
      </c>
      <c r="R345" s="26" t="n">
        <v>22540</v>
      </c>
      <c r="S345" s="26" t="n">
        <v>2532435</v>
      </c>
      <c r="T345" s="26" t="n">
        <v>2169157</v>
      </c>
      <c r="U345" s="26" t="n">
        <v>62256</v>
      </c>
      <c r="V345" s="26" t="n">
        <v>2231413</v>
      </c>
      <c r="W345" s="26" t="n">
        <v>2509895</v>
      </c>
      <c r="X345" s="27" t="n">
        <f aca="false">IF(V345=0,0,(W345-V345)/V345)</f>
        <v>0.124800742847693</v>
      </c>
      <c r="Y345" s="26" t="n">
        <v>2231413</v>
      </c>
      <c r="Z345" s="26" t="n">
        <v>1262344128.07</v>
      </c>
      <c r="AA345" s="26" t="n">
        <v>1203972639.25</v>
      </c>
      <c r="AB345" s="28" t="n">
        <f aca="false">IF(B345=0,0,L345/B345*10000)</f>
        <v>3.92052393182909</v>
      </c>
      <c r="AC345" s="28" t="n">
        <f aca="false">IF(D345=0,0,M345/D345*10000)</f>
        <v>4.08968230337773</v>
      </c>
      <c r="AD345" s="28" t="n">
        <f aca="false">IF(C345=0,0,N345/C345*10000)</f>
        <v>0.629389911719914</v>
      </c>
      <c r="AE345" s="28" t="n">
        <f aca="false">IF(E345=0,0,Q345/E345*10000)</f>
        <v>5.31588042296233</v>
      </c>
    </row>
    <row r="346" customFormat="false" ht="15" hidden="false" customHeight="true" outlineLevel="0" collapsed="false">
      <c r="A346" s="7" t="s">
        <v>479</v>
      </c>
      <c r="B346" s="26" t="n">
        <v>8516057616</v>
      </c>
      <c r="C346" s="26" t="n">
        <v>288606481</v>
      </c>
      <c r="D346" s="26" t="n">
        <v>8227451135</v>
      </c>
      <c r="E346" s="26" t="n">
        <v>242510850</v>
      </c>
      <c r="F346" s="26" t="n">
        <v>267310086</v>
      </c>
      <c r="G346" s="26" t="n">
        <v>671746</v>
      </c>
      <c r="H346" s="26" t="n">
        <v>5431078</v>
      </c>
      <c r="I346" s="26" t="n">
        <v>15193570</v>
      </c>
      <c r="J346" s="26" t="n">
        <v>0</v>
      </c>
      <c r="K346" s="26" t="n">
        <v>0</v>
      </c>
      <c r="L346" s="26" t="n">
        <v>3223637</v>
      </c>
      <c r="M346" s="26" t="n">
        <v>3198959</v>
      </c>
      <c r="N346" s="26" t="n">
        <v>24678</v>
      </c>
      <c r="O346" s="26" t="n">
        <v>0</v>
      </c>
      <c r="P346" s="26" t="n">
        <v>24678</v>
      </c>
      <c r="Q346" s="26" t="n">
        <v>121960</v>
      </c>
      <c r="R346" s="26" t="n">
        <v>30638</v>
      </c>
      <c r="S346" s="26" t="n">
        <v>3376235</v>
      </c>
      <c r="T346" s="26" t="n">
        <v>2939646</v>
      </c>
      <c r="U346" s="26" t="n">
        <v>93509</v>
      </c>
      <c r="V346" s="26" t="n">
        <v>3033155</v>
      </c>
      <c r="W346" s="26" t="n">
        <v>3345597</v>
      </c>
      <c r="X346" s="27" t="n">
        <f aca="false">IF(V346=0,0,(W346-V346)/V346)</f>
        <v>0.103008913161378</v>
      </c>
      <c r="Y346" s="26" t="n">
        <v>3033155</v>
      </c>
      <c r="Z346" s="26" t="n">
        <v>1262344128.07</v>
      </c>
      <c r="AA346" s="26" t="n">
        <v>1203972639.25</v>
      </c>
      <c r="AB346" s="28" t="n">
        <f aca="false">IF(B346=0,0,L346/B346*10000)</f>
        <v>3.78536306981228</v>
      </c>
      <c r="AC346" s="28" t="n">
        <f aca="false">IF(D346=0,0,M346/D346*10000)</f>
        <v>3.88815314428483</v>
      </c>
      <c r="AD346" s="28" t="n">
        <f aca="false">IF(C346=0,0,N346/C346*10000)</f>
        <v>0.855074352956059</v>
      </c>
      <c r="AE346" s="28" t="n">
        <f aca="false">IF(E346=0,0,Q346/E346*10000)</f>
        <v>5.02905333926297</v>
      </c>
    </row>
    <row r="347" customFormat="false" ht="15" hidden="false" customHeight="true" outlineLevel="0" collapsed="false">
      <c r="A347" s="7" t="s">
        <v>480</v>
      </c>
      <c r="B347" s="26" t="n">
        <v>8266052254</v>
      </c>
      <c r="C347" s="26" t="n">
        <v>397006526</v>
      </c>
      <c r="D347" s="26" t="n">
        <v>7869045728</v>
      </c>
      <c r="E347" s="26" t="n">
        <v>231476519</v>
      </c>
      <c r="F347" s="26" t="n">
        <v>365212477</v>
      </c>
      <c r="G347" s="26" t="n">
        <v>1651055</v>
      </c>
      <c r="H347" s="26" t="n">
        <v>9562387</v>
      </c>
      <c r="I347" s="26" t="n">
        <v>20580608</v>
      </c>
      <c r="J347" s="26" t="n">
        <v>0</v>
      </c>
      <c r="K347" s="26" t="n">
        <v>0</v>
      </c>
      <c r="L347" s="26" t="n">
        <v>3061012</v>
      </c>
      <c r="M347" s="26" t="n">
        <v>3030004</v>
      </c>
      <c r="N347" s="26" t="n">
        <v>31008</v>
      </c>
      <c r="O347" s="26" t="n">
        <v>0</v>
      </c>
      <c r="P347" s="26" t="n">
        <v>31008</v>
      </c>
      <c r="Q347" s="26" t="n">
        <v>134546</v>
      </c>
      <c r="R347" s="26" t="n">
        <v>28938</v>
      </c>
      <c r="S347" s="26" t="n">
        <v>3224496</v>
      </c>
      <c r="T347" s="26" t="n">
        <v>2790047</v>
      </c>
      <c r="U347" s="26" t="n">
        <v>74812</v>
      </c>
      <c r="V347" s="26" t="n">
        <v>2864859</v>
      </c>
      <c r="W347" s="26" t="n">
        <v>3195558</v>
      </c>
      <c r="X347" s="27" t="n">
        <f aca="false">IF(V347=0,0,(W347-V347)/V347)</f>
        <v>0.115432906122081</v>
      </c>
      <c r="Y347" s="26" t="n">
        <v>2864859</v>
      </c>
      <c r="Z347" s="26" t="n">
        <v>1078399547.04</v>
      </c>
      <c r="AA347" s="26" t="n">
        <v>1020013882.82</v>
      </c>
      <c r="AB347" s="28" t="n">
        <f aca="false">IF(B347=0,0,L347/B347*10000)</f>
        <v>3.7031123273129</v>
      </c>
      <c r="AC347" s="28" t="n">
        <f aca="false">IF(D347=0,0,M347/D347*10000)</f>
        <v>3.85053550930388</v>
      </c>
      <c r="AD347" s="28" t="n">
        <f aca="false">IF(C347=0,0,N347/C347*10000)</f>
        <v>0.781045095465257</v>
      </c>
      <c r="AE347" s="28" t="n">
        <f aca="false">IF(E347=0,0,Q347/E347*10000)</f>
        <v>5.81251180816314</v>
      </c>
    </row>
    <row r="348" customFormat="false" ht="15" hidden="false" customHeight="true" outlineLevel="0" collapsed="false">
      <c r="A348" s="7" t="s">
        <v>481</v>
      </c>
      <c r="B348" s="26" t="n">
        <v>8365502672</v>
      </c>
      <c r="C348" s="26" t="n">
        <v>474736380</v>
      </c>
      <c r="D348" s="26" t="n">
        <v>7890766292</v>
      </c>
      <c r="E348" s="26" t="n">
        <v>185478279</v>
      </c>
      <c r="F348" s="26" t="n">
        <v>447219431</v>
      </c>
      <c r="G348" s="26" t="n">
        <v>1252567</v>
      </c>
      <c r="H348" s="26" t="n">
        <v>6415403</v>
      </c>
      <c r="I348" s="26" t="n">
        <v>19848978</v>
      </c>
      <c r="J348" s="26" t="n">
        <v>0</v>
      </c>
      <c r="K348" s="26" t="n">
        <v>0</v>
      </c>
      <c r="L348" s="26" t="n">
        <v>3095265</v>
      </c>
      <c r="M348" s="26" t="n">
        <v>3066489</v>
      </c>
      <c r="N348" s="26" t="n">
        <v>28776</v>
      </c>
      <c r="O348" s="26" t="n">
        <v>0</v>
      </c>
      <c r="P348" s="26" t="n">
        <v>28776</v>
      </c>
      <c r="Q348" s="26" t="n">
        <v>89006</v>
      </c>
      <c r="R348" s="26" t="n">
        <v>29121</v>
      </c>
      <c r="S348" s="26" t="n">
        <v>3213392</v>
      </c>
      <c r="T348" s="26" t="n">
        <v>2817278</v>
      </c>
      <c r="U348" s="26" t="n">
        <v>65652</v>
      </c>
      <c r="V348" s="26" t="n">
        <v>2882930</v>
      </c>
      <c r="W348" s="26" t="n">
        <v>3184271</v>
      </c>
      <c r="X348" s="27" t="n">
        <f aca="false">IF(V348=0,0,(W348-V348)/V348)</f>
        <v>0.104525951028988</v>
      </c>
      <c r="Y348" s="26" t="n">
        <v>2882930</v>
      </c>
      <c r="Z348" s="26" t="n">
        <v>1078399547.04</v>
      </c>
      <c r="AA348" s="26" t="n">
        <v>1020013882.82</v>
      </c>
      <c r="AB348" s="28" t="n">
        <f aca="false">IF(B348=0,0,L348/B348*10000)</f>
        <v>3.70003467975702</v>
      </c>
      <c r="AC348" s="28" t="n">
        <f aca="false">IF(D348=0,0,M348/D348*10000)</f>
        <v>3.88617389810282</v>
      </c>
      <c r="AD348" s="28" t="n">
        <f aca="false">IF(C348=0,0,N348/C348*10000)</f>
        <v>0.606146931482268</v>
      </c>
      <c r="AE348" s="28" t="n">
        <f aca="false">IF(E348=0,0,Q348/E348*10000)</f>
        <v>4.79872901990858</v>
      </c>
    </row>
    <row r="349" customFormat="false" ht="15" hidden="false" customHeight="true" outlineLevel="0" collapsed="false">
      <c r="A349" s="7" t="s">
        <v>482</v>
      </c>
      <c r="B349" s="26" t="n">
        <v>6264022470</v>
      </c>
      <c r="C349" s="26" t="n">
        <v>490804079</v>
      </c>
      <c r="D349" s="26" t="n">
        <v>5773218391</v>
      </c>
      <c r="E349" s="26" t="n">
        <v>155950246</v>
      </c>
      <c r="F349" s="26" t="n">
        <v>466345081</v>
      </c>
      <c r="G349" s="26" t="n">
        <v>1037227</v>
      </c>
      <c r="H349" s="26" t="n">
        <v>7670010</v>
      </c>
      <c r="I349" s="26" t="n">
        <v>15751761</v>
      </c>
      <c r="J349" s="26" t="n">
        <v>0</v>
      </c>
      <c r="K349" s="26" t="n">
        <v>0</v>
      </c>
      <c r="L349" s="26" t="n">
        <v>2285973</v>
      </c>
      <c r="M349" s="26" t="n">
        <v>2258503</v>
      </c>
      <c r="N349" s="26" t="n">
        <v>27470</v>
      </c>
      <c r="O349" s="26" t="n">
        <v>0</v>
      </c>
      <c r="P349" s="26" t="n">
        <v>27470</v>
      </c>
      <c r="Q349" s="26" t="n">
        <v>73899</v>
      </c>
      <c r="R349" s="26" t="n">
        <v>21579</v>
      </c>
      <c r="S349" s="26" t="n">
        <v>2381451</v>
      </c>
      <c r="T349" s="26" t="n">
        <v>2077793</v>
      </c>
      <c r="U349" s="26" t="n">
        <v>58512</v>
      </c>
      <c r="V349" s="26" t="n">
        <v>2136305</v>
      </c>
      <c r="W349" s="26" t="n">
        <v>2359872</v>
      </c>
      <c r="X349" s="27" t="n">
        <f aca="false">IF(V349=0,0,(W349-V349)/V349)</f>
        <v>0.104651255321689</v>
      </c>
      <c r="Y349" s="26" t="n">
        <v>2136305</v>
      </c>
      <c r="Z349" s="26" t="n">
        <v>1078399547.04</v>
      </c>
      <c r="AA349" s="26" t="n">
        <v>1020013882.82</v>
      </c>
      <c r="AB349" s="28" t="n">
        <f aca="false">IF(B349=0,0,L349/B349*10000)</f>
        <v>3.64936909301987</v>
      </c>
      <c r="AC349" s="28" t="n">
        <f aca="false">IF(D349=0,0,M349/D349*10000)</f>
        <v>3.9120345828608</v>
      </c>
      <c r="AD349" s="28" t="n">
        <f aca="false">IF(C349=0,0,N349/C349*10000)</f>
        <v>0.559693799936818</v>
      </c>
      <c r="AE349" s="28" t="n">
        <f aca="false">IF(E349=0,0,Q349/E349*10000)</f>
        <v>4.73862670277545</v>
      </c>
    </row>
    <row r="350" customFormat="false" ht="15" hidden="false" customHeight="true" outlineLevel="0" collapsed="false">
      <c r="A350" s="7" t="s">
        <v>483</v>
      </c>
      <c r="B350" s="26" t="n">
        <v>1398059003</v>
      </c>
      <c r="C350" s="26" t="n">
        <v>46592994</v>
      </c>
      <c r="D350" s="26" t="n">
        <v>1351466009</v>
      </c>
      <c r="E350" s="26" t="n">
        <v>84693666</v>
      </c>
      <c r="F350" s="26" t="n">
        <v>36871191</v>
      </c>
      <c r="G350" s="26" t="n">
        <v>536172</v>
      </c>
      <c r="H350" s="26" t="n">
        <v>783733</v>
      </c>
      <c r="I350" s="26" t="n">
        <v>8401899</v>
      </c>
      <c r="J350" s="26" t="n">
        <v>0</v>
      </c>
      <c r="K350" s="26" t="n">
        <v>0</v>
      </c>
      <c r="L350" s="26" t="n">
        <v>629537</v>
      </c>
      <c r="M350" s="26" t="n">
        <v>621395</v>
      </c>
      <c r="N350" s="26" t="n">
        <v>8142</v>
      </c>
      <c r="O350" s="26" t="n">
        <v>0</v>
      </c>
      <c r="P350" s="26" t="n">
        <v>8142</v>
      </c>
      <c r="Q350" s="26" t="n">
        <v>47021</v>
      </c>
      <c r="R350" s="26" t="n">
        <v>5863</v>
      </c>
      <c r="S350" s="26" t="n">
        <v>682421</v>
      </c>
      <c r="T350" s="26" t="n">
        <v>545421</v>
      </c>
      <c r="U350" s="26" t="n">
        <v>35015</v>
      </c>
      <c r="V350" s="26" t="n">
        <v>580436</v>
      </c>
      <c r="W350" s="26" t="n">
        <v>676558</v>
      </c>
      <c r="X350" s="27" t="n">
        <f aca="false">IF(V350=0,0,(W350-V350)/V350)</f>
        <v>0.165603098360543</v>
      </c>
      <c r="Y350" s="26" t="n">
        <v>580436</v>
      </c>
      <c r="Z350" s="26" t="n">
        <v>1078399547.04</v>
      </c>
      <c r="AA350" s="26" t="n">
        <v>1020013882.82</v>
      </c>
      <c r="AB350" s="28" t="n">
        <f aca="false">IF(B350=0,0,L350/B350*10000)</f>
        <v>4.50293584640648</v>
      </c>
      <c r="AC350" s="28" t="n">
        <f aca="false">IF(D350=0,0,M350/D350*10000)</f>
        <v>4.59793288075216</v>
      </c>
      <c r="AD350" s="28" t="n">
        <f aca="false">IF(C350=0,0,N350/C350*10000)</f>
        <v>1.74747302137313</v>
      </c>
      <c r="AE350" s="28" t="n">
        <f aca="false">IF(E350=0,0,Q350/E350*10000)</f>
        <v>5.55189097612093</v>
      </c>
    </row>
    <row r="351" customFormat="false" ht="15" hidden="false" customHeight="true" outlineLevel="0" collapsed="false">
      <c r="A351" s="7" t="s">
        <v>484</v>
      </c>
      <c r="B351" s="26" t="n">
        <v>3179383491</v>
      </c>
      <c r="C351" s="26" t="n">
        <v>143395668</v>
      </c>
      <c r="D351" s="26" t="n">
        <v>3035987823</v>
      </c>
      <c r="E351" s="26" t="n">
        <v>140402699</v>
      </c>
      <c r="F351" s="26" t="n">
        <v>130157956</v>
      </c>
      <c r="G351" s="26" t="n">
        <v>809820</v>
      </c>
      <c r="H351" s="26" t="n">
        <v>275583</v>
      </c>
      <c r="I351" s="26" t="n">
        <v>12152309</v>
      </c>
      <c r="J351" s="26" t="n">
        <v>0</v>
      </c>
      <c r="K351" s="26" t="n">
        <v>0</v>
      </c>
      <c r="L351" s="26" t="n">
        <v>1337707</v>
      </c>
      <c r="M351" s="26" t="n">
        <v>1324239</v>
      </c>
      <c r="N351" s="26" t="n">
        <v>13468</v>
      </c>
      <c r="O351" s="26" t="n">
        <v>0</v>
      </c>
      <c r="P351" s="26" t="n">
        <v>13468</v>
      </c>
      <c r="Q351" s="26" t="n">
        <v>83666</v>
      </c>
      <c r="R351" s="26" t="n">
        <v>12523</v>
      </c>
      <c r="S351" s="26" t="n">
        <v>1433896</v>
      </c>
      <c r="T351" s="26" t="n">
        <v>1175967</v>
      </c>
      <c r="U351" s="26" t="n">
        <v>63808</v>
      </c>
      <c r="V351" s="26" t="n">
        <v>1239775</v>
      </c>
      <c r="W351" s="26" t="n">
        <v>1421373</v>
      </c>
      <c r="X351" s="27" t="n">
        <f aca="false">IF(V351=0,0,(W351-V351)/V351)</f>
        <v>0.146476578411405</v>
      </c>
      <c r="Y351" s="26" t="n">
        <v>1239775</v>
      </c>
      <c r="Z351" s="26" t="n">
        <v>1078399547.04</v>
      </c>
      <c r="AA351" s="26" t="n">
        <v>1020013882.82</v>
      </c>
      <c r="AB351" s="28" t="n">
        <f aca="false">IF(B351=0,0,L351/B351*10000)</f>
        <v>4.20744148601984</v>
      </c>
      <c r="AC351" s="28" t="n">
        <f aca="false">IF(D351=0,0,M351/D351*10000)</f>
        <v>4.36180603218447</v>
      </c>
      <c r="AD351" s="28" t="n">
        <f aca="false">IF(C351=0,0,N351/C351*10000)</f>
        <v>0.939219446991941</v>
      </c>
      <c r="AE351" s="28" t="n">
        <f aca="false">IF(E351=0,0,Q351/E351*10000)</f>
        <v>5.95900225536263</v>
      </c>
    </row>
    <row r="352" customFormat="false" ht="15" hidden="false" customHeight="true" outlineLevel="0" collapsed="false">
      <c r="A352" s="7" t="s">
        <v>485</v>
      </c>
      <c r="B352" s="26" t="n">
        <v>7285424357</v>
      </c>
      <c r="C352" s="26" t="n">
        <v>341771879</v>
      </c>
      <c r="D352" s="26" t="n">
        <v>6943652478</v>
      </c>
      <c r="E352" s="26" t="n">
        <v>166090941</v>
      </c>
      <c r="F352" s="26" t="n">
        <v>317617884</v>
      </c>
      <c r="G352" s="26" t="n">
        <v>1019554</v>
      </c>
      <c r="H352" s="26" t="n">
        <v>5542039</v>
      </c>
      <c r="I352" s="26" t="n">
        <v>17592402</v>
      </c>
      <c r="J352" s="26" t="n">
        <v>0</v>
      </c>
      <c r="K352" s="26" t="n">
        <v>0</v>
      </c>
      <c r="L352" s="26" t="n">
        <v>2689400</v>
      </c>
      <c r="M352" s="26" t="n">
        <v>2667612</v>
      </c>
      <c r="N352" s="26" t="n">
        <v>21788</v>
      </c>
      <c r="O352" s="26" t="n">
        <v>0</v>
      </c>
      <c r="P352" s="26" t="n">
        <v>21788</v>
      </c>
      <c r="Q352" s="26" t="n">
        <v>85315</v>
      </c>
      <c r="R352" s="26" t="n">
        <v>25341</v>
      </c>
      <c r="S352" s="26" t="n">
        <v>2800056</v>
      </c>
      <c r="T352" s="26" t="n">
        <v>2443396</v>
      </c>
      <c r="U352" s="26" t="n">
        <v>65373</v>
      </c>
      <c r="V352" s="26" t="n">
        <v>2508769</v>
      </c>
      <c r="W352" s="26" t="n">
        <v>2774715</v>
      </c>
      <c r="X352" s="27" t="n">
        <f aca="false">IF(V352=0,0,(W352-V352)/V352)</f>
        <v>0.106006571350332</v>
      </c>
      <c r="Y352" s="26" t="n">
        <v>2508769</v>
      </c>
      <c r="Z352" s="26" t="n">
        <v>1078399547.04</v>
      </c>
      <c r="AA352" s="26" t="n">
        <v>1020013882.82</v>
      </c>
      <c r="AB352" s="28" t="n">
        <f aca="false">IF(B352=0,0,L352/B352*10000)</f>
        <v>3.69148023260438</v>
      </c>
      <c r="AC352" s="28" t="n">
        <f aca="false">IF(D352=0,0,M352/D352*10000)</f>
        <v>3.84179941097565</v>
      </c>
      <c r="AD352" s="28" t="n">
        <f aca="false">IF(C352=0,0,N352/C352*10000)</f>
        <v>0.637501249773683</v>
      </c>
      <c r="AE352" s="28" t="n">
        <f aca="false">IF(E352=0,0,Q352/E352*10000)</f>
        <v>5.13664378600878</v>
      </c>
    </row>
    <row r="353" customFormat="false" ht="15" hidden="false" customHeight="true" outlineLevel="0" collapsed="false">
      <c r="A353" s="7" t="s">
        <v>486</v>
      </c>
      <c r="B353" s="26" t="n">
        <v>5369179224</v>
      </c>
      <c r="C353" s="26" t="n">
        <v>376443433</v>
      </c>
      <c r="D353" s="26" t="n">
        <v>4992735791</v>
      </c>
      <c r="E353" s="26" t="n">
        <v>203429370</v>
      </c>
      <c r="F353" s="26" t="n">
        <v>349074990</v>
      </c>
      <c r="G353" s="26" t="n">
        <v>1171385</v>
      </c>
      <c r="H353" s="26" t="n">
        <v>11042185</v>
      </c>
      <c r="I353" s="26" t="n">
        <v>15154874</v>
      </c>
      <c r="J353" s="26" t="n">
        <v>0</v>
      </c>
      <c r="K353" s="26" t="n">
        <v>0</v>
      </c>
      <c r="L353" s="26" t="n">
        <v>2048662</v>
      </c>
      <c r="M353" s="26" t="n">
        <v>2022562</v>
      </c>
      <c r="N353" s="26" t="n">
        <v>26100</v>
      </c>
      <c r="O353" s="26" t="n">
        <v>0</v>
      </c>
      <c r="P353" s="26" t="n">
        <v>26100</v>
      </c>
      <c r="Q353" s="26" t="n">
        <v>106340</v>
      </c>
      <c r="R353" s="26" t="n">
        <v>19369</v>
      </c>
      <c r="S353" s="26" t="n">
        <v>2174371</v>
      </c>
      <c r="T353" s="26" t="n">
        <v>1839316</v>
      </c>
      <c r="U353" s="26" t="n">
        <v>78197</v>
      </c>
      <c r="V353" s="26" t="n">
        <v>1917513</v>
      </c>
      <c r="W353" s="26" t="n">
        <v>2155002</v>
      </c>
      <c r="X353" s="27" t="n">
        <f aca="false">IF(V353=0,0,(W353-V353)/V353)</f>
        <v>0.123852615340809</v>
      </c>
      <c r="Y353" s="26" t="n">
        <v>1917513</v>
      </c>
      <c r="Z353" s="26" t="n">
        <v>1078399547.04</v>
      </c>
      <c r="AA353" s="26" t="n">
        <v>1020013882.82</v>
      </c>
      <c r="AB353" s="28" t="n">
        <f aca="false">IF(B353=0,0,L353/B353*10000)</f>
        <v>3.81559622901498</v>
      </c>
      <c r="AC353" s="28" t="n">
        <f aca="false">IF(D353=0,0,M353/D353*10000)</f>
        <v>4.05100947589878</v>
      </c>
      <c r="AD353" s="28" t="n">
        <f aca="false">IF(C353=0,0,N353/C353*10000)</f>
        <v>0.693331260742168</v>
      </c>
      <c r="AE353" s="28" t="n">
        <f aca="false">IF(E353=0,0,Q353/E353*10000)</f>
        <v>5.22736712009677</v>
      </c>
    </row>
    <row r="354" customFormat="false" ht="15" hidden="false" customHeight="true" outlineLevel="0" collapsed="false">
      <c r="A354" s="7" t="s">
        <v>487</v>
      </c>
      <c r="B354" s="26" t="n">
        <v>7914844208</v>
      </c>
      <c r="C354" s="26" t="n">
        <v>377056299</v>
      </c>
      <c r="D354" s="26" t="n">
        <v>7537787909</v>
      </c>
      <c r="E354" s="26" t="n">
        <v>274131324</v>
      </c>
      <c r="F354" s="26" t="n">
        <v>345111488</v>
      </c>
      <c r="G354" s="26" t="n">
        <v>2373792</v>
      </c>
      <c r="H354" s="26" t="n">
        <v>11165042</v>
      </c>
      <c r="I354" s="26" t="n">
        <v>18405978</v>
      </c>
      <c r="J354" s="26" t="n">
        <v>0</v>
      </c>
      <c r="K354" s="26" t="n">
        <v>0</v>
      </c>
      <c r="L354" s="26" t="n">
        <v>2974448</v>
      </c>
      <c r="M354" s="26" t="n">
        <v>2946992</v>
      </c>
      <c r="N354" s="26" t="n">
        <v>27456</v>
      </c>
      <c r="O354" s="26" t="n">
        <v>0</v>
      </c>
      <c r="P354" s="26" t="n">
        <v>27456</v>
      </c>
      <c r="Q354" s="26" t="n">
        <v>152482</v>
      </c>
      <c r="R354" s="26" t="n">
        <v>28400</v>
      </c>
      <c r="S354" s="26" t="n">
        <v>3155330</v>
      </c>
      <c r="T354" s="26" t="n">
        <v>2682622</v>
      </c>
      <c r="U354" s="26" t="n">
        <v>128952</v>
      </c>
      <c r="V354" s="26" t="n">
        <v>2811574</v>
      </c>
      <c r="W354" s="26" t="n">
        <v>3126930</v>
      </c>
      <c r="X354" s="27" t="n">
        <f aca="false">IF(V354=0,0,(W354-V354)/V354)</f>
        <v>0.112163506989323</v>
      </c>
      <c r="Y354" s="26" t="n">
        <v>2811574</v>
      </c>
      <c r="Z354" s="26" t="n">
        <v>917339292.5</v>
      </c>
      <c r="AA354" s="26" t="n">
        <v>858953628.28</v>
      </c>
      <c r="AB354" s="28" t="n">
        <f aca="false">IF(B354=0,0,L354/B354*10000)</f>
        <v>3.75806259963216</v>
      </c>
      <c r="AC354" s="28" t="n">
        <f aca="false">IF(D354=0,0,M354/D354*10000)</f>
        <v>3.90962446221303</v>
      </c>
      <c r="AD354" s="28" t="n">
        <f aca="false">IF(C354=0,0,N354/C354*10000)</f>
        <v>0.728167121801617</v>
      </c>
      <c r="AE354" s="28" t="n">
        <f aca="false">IF(E354=0,0,Q354/E354*10000)</f>
        <v>5.5623705374144</v>
      </c>
    </row>
    <row r="355" customFormat="false" ht="15" hidden="false" customHeight="true" outlineLevel="0" collapsed="false">
      <c r="A355" s="7" t="s">
        <v>488</v>
      </c>
      <c r="B355" s="26" t="n">
        <v>8562733736</v>
      </c>
      <c r="C355" s="26" t="n">
        <v>381839682</v>
      </c>
      <c r="D355" s="26" t="n">
        <v>8180894054</v>
      </c>
      <c r="E355" s="26" t="n">
        <v>287211113</v>
      </c>
      <c r="F355" s="26" t="n">
        <v>351748375</v>
      </c>
      <c r="G355" s="26" t="n">
        <v>1928054</v>
      </c>
      <c r="H355" s="26" t="n">
        <v>12221291</v>
      </c>
      <c r="I355" s="26" t="n">
        <v>15941962</v>
      </c>
      <c r="J355" s="26" t="n">
        <v>0</v>
      </c>
      <c r="K355" s="26" t="n">
        <v>0</v>
      </c>
      <c r="L355" s="26" t="n">
        <v>3282402</v>
      </c>
      <c r="M355" s="26" t="n">
        <v>3247671</v>
      </c>
      <c r="N355" s="26" t="n">
        <v>34731</v>
      </c>
      <c r="O355" s="26" t="n">
        <v>0</v>
      </c>
      <c r="P355" s="26" t="n">
        <v>34731</v>
      </c>
      <c r="Q355" s="26" t="n">
        <v>150815</v>
      </c>
      <c r="R355" s="26" t="n">
        <v>31356</v>
      </c>
      <c r="S355" s="26" t="n">
        <v>3464573</v>
      </c>
      <c r="T355" s="26" t="n">
        <v>2986874</v>
      </c>
      <c r="U355" s="26" t="n">
        <v>117385</v>
      </c>
      <c r="V355" s="26" t="n">
        <v>3104259</v>
      </c>
      <c r="W355" s="26" t="n">
        <v>3433217</v>
      </c>
      <c r="X355" s="27" t="n">
        <f aca="false">IF(V355=0,0,(W355-V355)/V355)</f>
        <v>0.105969894908898</v>
      </c>
      <c r="Y355" s="26" t="n">
        <v>3104259</v>
      </c>
      <c r="Z355" s="26" t="n">
        <v>917339292.5</v>
      </c>
      <c r="AA355" s="26" t="n">
        <v>858953628.28</v>
      </c>
      <c r="AB355" s="28" t="n">
        <f aca="false">IF(B355=0,0,L355/B355*10000)</f>
        <v>3.83335754818571</v>
      </c>
      <c r="AC355" s="28" t="n">
        <f aca="false">IF(D355=0,0,M355/D355*10000)</f>
        <v>3.96982405414732</v>
      </c>
      <c r="AD355" s="28" t="n">
        <f aca="false">IF(C355=0,0,N355/C355*10000)</f>
        <v>0.909570210672866</v>
      </c>
      <c r="AE355" s="28" t="n">
        <f aca="false">IF(E355=0,0,Q355/E355*10000)</f>
        <v>5.25101547863853</v>
      </c>
    </row>
    <row r="356" customFormat="false" ht="15" hidden="false" customHeight="true" outlineLevel="0" collapsed="false">
      <c r="A356" s="7" t="s">
        <v>489</v>
      </c>
      <c r="B356" s="26" t="n">
        <v>6950000416</v>
      </c>
      <c r="C356" s="26" t="n">
        <v>280798258</v>
      </c>
      <c r="D356" s="26" t="n">
        <v>6669202158</v>
      </c>
      <c r="E356" s="26" t="n">
        <v>169419268</v>
      </c>
      <c r="F356" s="26" t="n">
        <v>256522154</v>
      </c>
      <c r="G356" s="26" t="n">
        <v>2040515</v>
      </c>
      <c r="H356" s="26" t="n">
        <v>10077941</v>
      </c>
      <c r="I356" s="26" t="n">
        <v>12157648</v>
      </c>
      <c r="J356" s="26" t="n">
        <v>0</v>
      </c>
      <c r="K356" s="26" t="n">
        <v>0</v>
      </c>
      <c r="L356" s="26" t="n">
        <v>2622456</v>
      </c>
      <c r="M356" s="26" t="n">
        <v>2590085</v>
      </c>
      <c r="N356" s="26" t="n">
        <v>32371</v>
      </c>
      <c r="O356" s="26" t="n">
        <v>0</v>
      </c>
      <c r="P356" s="26" t="n">
        <v>32371</v>
      </c>
      <c r="Q356" s="26" t="n">
        <v>85819</v>
      </c>
      <c r="R356" s="26" t="n">
        <v>24644</v>
      </c>
      <c r="S356" s="26" t="n">
        <v>2732919</v>
      </c>
      <c r="T356" s="26" t="n">
        <v>2377214</v>
      </c>
      <c r="U356" s="26" t="n">
        <v>62503</v>
      </c>
      <c r="V356" s="26" t="n">
        <v>2439717</v>
      </c>
      <c r="W356" s="26" t="n">
        <v>2708275</v>
      </c>
      <c r="X356" s="27" t="n">
        <f aca="false">IF(V356=0,0,(W356-V356)/V356)</f>
        <v>0.11007752128628</v>
      </c>
      <c r="Y356" s="26" t="n">
        <v>2439717</v>
      </c>
      <c r="Z356" s="26" t="n">
        <v>917339292.5</v>
      </c>
      <c r="AA356" s="26" t="n">
        <v>858953628.28</v>
      </c>
      <c r="AB356" s="28" t="n">
        <f aca="false">IF(B356=0,0,L356/B356*10000)</f>
        <v>3.77331775975537</v>
      </c>
      <c r="AC356" s="28" t="n">
        <f aca="false">IF(D356=0,0,M356/D356*10000)</f>
        <v>3.88365045568919</v>
      </c>
      <c r="AD356" s="28" t="n">
        <f aca="false">IF(C356=0,0,N356/C356*10000)</f>
        <v>1.15282054207046</v>
      </c>
      <c r="AE356" s="28" t="n">
        <f aca="false">IF(E356=0,0,Q356/E356*10000)</f>
        <v>5.06548050957226</v>
      </c>
    </row>
    <row r="357" customFormat="false" ht="15" hidden="false" customHeight="true" outlineLevel="0" collapsed="false">
      <c r="A357" s="7" t="s">
        <v>490</v>
      </c>
      <c r="B357" s="26" t="n">
        <v>1595531664</v>
      </c>
      <c r="C357" s="26" t="n">
        <v>63473225</v>
      </c>
      <c r="D357" s="26" t="n">
        <v>1532058439</v>
      </c>
      <c r="E357" s="26" t="n">
        <v>77143877</v>
      </c>
      <c r="F357" s="26" t="n">
        <v>44974169</v>
      </c>
      <c r="G357" s="26" t="n">
        <v>1827977</v>
      </c>
      <c r="H357" s="26" t="n">
        <v>1013599</v>
      </c>
      <c r="I357" s="26" t="n">
        <v>15657479</v>
      </c>
      <c r="J357" s="26" t="n">
        <v>0</v>
      </c>
      <c r="K357" s="26" t="n">
        <v>0</v>
      </c>
      <c r="L357" s="26" t="n">
        <v>676381</v>
      </c>
      <c r="M357" s="26" t="n">
        <v>663278</v>
      </c>
      <c r="N357" s="26" t="n">
        <v>13103</v>
      </c>
      <c r="O357" s="26" t="n">
        <v>0</v>
      </c>
      <c r="P357" s="26" t="n">
        <v>13103</v>
      </c>
      <c r="Q357" s="26" t="n">
        <v>55827</v>
      </c>
      <c r="R357" s="26" t="n">
        <v>6316</v>
      </c>
      <c r="S357" s="26" t="n">
        <v>738524</v>
      </c>
      <c r="T357" s="26" t="n">
        <v>583227</v>
      </c>
      <c r="U357" s="26" t="n">
        <v>42081</v>
      </c>
      <c r="V357" s="26" t="n">
        <v>625308</v>
      </c>
      <c r="W357" s="26" t="n">
        <v>732208</v>
      </c>
      <c r="X357" s="27" t="n">
        <f aca="false">IF(V357=0,0,(W357-V357)/V357)</f>
        <v>0.170955753004919</v>
      </c>
      <c r="Y357" s="26" t="n">
        <v>625308</v>
      </c>
      <c r="Z357" s="26" t="n">
        <v>917339292.5</v>
      </c>
      <c r="AA357" s="26" t="n">
        <v>858953628.28</v>
      </c>
      <c r="AB357" s="28" t="n">
        <f aca="false">IF(B357=0,0,L357/B357*10000)</f>
        <v>4.23922016254013</v>
      </c>
      <c r="AC357" s="28" t="n">
        <f aca="false">IF(D357=0,0,M357/D357*10000)</f>
        <v>4.32932571705902</v>
      </c>
      <c r="AD357" s="28" t="n">
        <f aca="false">IF(C357=0,0,N357/C357*10000)</f>
        <v>2.06433500109692</v>
      </c>
      <c r="AE357" s="28" t="n">
        <f aca="false">IF(E357=0,0,Q357/E357*10000)</f>
        <v>7.23673766098118</v>
      </c>
    </row>
    <row r="358" customFormat="false" ht="15" hidden="false" customHeight="true" outlineLevel="0" collapsed="false">
      <c r="A358" s="7" t="s">
        <v>491</v>
      </c>
      <c r="B358" s="26" t="n">
        <v>2428386748</v>
      </c>
      <c r="C358" s="26" t="n">
        <v>57499448</v>
      </c>
      <c r="D358" s="26" t="n">
        <v>2370887300</v>
      </c>
      <c r="E358" s="26" t="n">
        <v>73273955</v>
      </c>
      <c r="F358" s="26" t="n">
        <v>43400056</v>
      </c>
      <c r="G358" s="26" t="n">
        <v>1031466</v>
      </c>
      <c r="H358" s="26" t="n">
        <v>2142231</v>
      </c>
      <c r="I358" s="26" t="n">
        <v>10925696</v>
      </c>
      <c r="J358" s="26" t="n">
        <v>0</v>
      </c>
      <c r="K358" s="26" t="n">
        <v>0</v>
      </c>
      <c r="L358" s="26" t="n">
        <v>989428</v>
      </c>
      <c r="M358" s="26" t="n">
        <v>978073</v>
      </c>
      <c r="N358" s="26" t="n">
        <v>11355</v>
      </c>
      <c r="O358" s="26" t="n">
        <v>0</v>
      </c>
      <c r="P358" s="26" t="n">
        <v>11355</v>
      </c>
      <c r="Q358" s="26" t="n">
        <v>47261</v>
      </c>
      <c r="R358" s="26" t="n">
        <v>9181</v>
      </c>
      <c r="S358" s="26" t="n">
        <v>1045870</v>
      </c>
      <c r="T358" s="26" t="n">
        <v>873361</v>
      </c>
      <c r="U358" s="26" t="n">
        <v>35589</v>
      </c>
      <c r="V358" s="26" t="n">
        <v>908950</v>
      </c>
      <c r="W358" s="26" t="n">
        <v>1036689</v>
      </c>
      <c r="X358" s="27" t="n">
        <f aca="false">IF(V358=0,0,(W358-V358)/V358)</f>
        <v>0.140534682875846</v>
      </c>
      <c r="Y358" s="26" t="n">
        <v>908950</v>
      </c>
      <c r="Z358" s="26" t="n">
        <v>917339292.5</v>
      </c>
      <c r="AA358" s="26" t="n">
        <v>858953628.28</v>
      </c>
      <c r="AB358" s="28" t="n">
        <f aca="false">IF(B358=0,0,L358/B358*10000)</f>
        <v>4.07442513353726</v>
      </c>
      <c r="AC358" s="28" t="n">
        <f aca="false">IF(D358=0,0,M358/D358*10000)</f>
        <v>4.12534581462392</v>
      </c>
      <c r="AD358" s="28" t="n">
        <f aca="false">IF(C358=0,0,N358/C358*10000)</f>
        <v>1.97480156679069</v>
      </c>
      <c r="AE358" s="28" t="n">
        <f aca="false">IF(E358=0,0,Q358/E358*10000)</f>
        <v>6.44990433503965</v>
      </c>
    </row>
    <row r="359" customFormat="false" ht="15" hidden="false" customHeight="true" outlineLevel="0" collapsed="false">
      <c r="A359" s="7" t="s">
        <v>492</v>
      </c>
      <c r="B359" s="26" t="n">
        <v>6183719355</v>
      </c>
      <c r="C359" s="26" t="n">
        <v>201233855</v>
      </c>
      <c r="D359" s="26" t="n">
        <v>5982485500</v>
      </c>
      <c r="E359" s="26" t="n">
        <v>113859334</v>
      </c>
      <c r="F359" s="26" t="n">
        <v>174491215</v>
      </c>
      <c r="G359" s="26" t="n">
        <v>760871</v>
      </c>
      <c r="H359" s="26" t="n">
        <v>8524120</v>
      </c>
      <c r="I359" s="26" t="n">
        <v>17457649</v>
      </c>
      <c r="J359" s="26" t="n">
        <v>0</v>
      </c>
      <c r="K359" s="26" t="n">
        <v>0</v>
      </c>
      <c r="L359" s="26" t="n">
        <v>2369420</v>
      </c>
      <c r="M359" s="26" t="n">
        <v>2342396</v>
      </c>
      <c r="N359" s="26" t="n">
        <v>27024</v>
      </c>
      <c r="O359" s="26" t="n">
        <v>0</v>
      </c>
      <c r="P359" s="26" t="n">
        <v>27024</v>
      </c>
      <c r="Q359" s="26" t="n">
        <v>61798</v>
      </c>
      <c r="R359" s="26" t="n">
        <v>21930</v>
      </c>
      <c r="S359" s="26" t="n">
        <v>2453148</v>
      </c>
      <c r="T359" s="26" t="n">
        <v>2124676</v>
      </c>
      <c r="U359" s="26" t="n">
        <v>46382</v>
      </c>
      <c r="V359" s="26" t="n">
        <v>2171058</v>
      </c>
      <c r="W359" s="26" t="n">
        <v>2431218</v>
      </c>
      <c r="X359" s="27" t="n">
        <f aca="false">IF(V359=0,0,(W359-V359)/V359)</f>
        <v>0.119830976417949</v>
      </c>
      <c r="Y359" s="26" t="n">
        <v>2171058</v>
      </c>
      <c r="Z359" s="26" t="n">
        <v>917339292.5</v>
      </c>
      <c r="AA359" s="26" t="n">
        <v>858953628.28</v>
      </c>
      <c r="AB359" s="28" t="n">
        <f aca="false">IF(B359=0,0,L359/B359*10000)</f>
        <v>3.8317068805591</v>
      </c>
      <c r="AC359" s="28" t="n">
        <f aca="false">IF(D359=0,0,M359/D359*10000)</f>
        <v>3.91542277870962</v>
      </c>
      <c r="AD359" s="28" t="n">
        <f aca="false">IF(C359=0,0,N359/C359*10000)</f>
        <v>1.34291518691027</v>
      </c>
      <c r="AE359" s="28" t="n">
        <f aca="false">IF(E359=0,0,Q359/E359*10000)</f>
        <v>5.42757434361947</v>
      </c>
    </row>
    <row r="360" customFormat="false" ht="15" hidden="false" customHeight="true" outlineLevel="0" collapsed="false">
      <c r="A360" s="7" t="s">
        <v>493</v>
      </c>
      <c r="B360" s="26" t="n">
        <v>5639332501</v>
      </c>
      <c r="C360" s="26" t="n">
        <v>273946895</v>
      </c>
      <c r="D360" s="26" t="n">
        <v>5365385606</v>
      </c>
      <c r="E360" s="26" t="n">
        <v>106813195</v>
      </c>
      <c r="F360" s="26" t="n">
        <v>248828995</v>
      </c>
      <c r="G360" s="26" t="n">
        <v>1599935</v>
      </c>
      <c r="H360" s="26" t="n">
        <v>8290059</v>
      </c>
      <c r="I360" s="26" t="n">
        <v>15227906</v>
      </c>
      <c r="J360" s="26" t="n">
        <v>0</v>
      </c>
      <c r="K360" s="26" t="n">
        <v>0</v>
      </c>
      <c r="L360" s="26" t="n">
        <v>2078459</v>
      </c>
      <c r="M360" s="26" t="n">
        <v>2049707</v>
      </c>
      <c r="N360" s="26" t="n">
        <v>28752</v>
      </c>
      <c r="O360" s="26" t="n">
        <v>0</v>
      </c>
      <c r="P360" s="26" t="n">
        <v>28752</v>
      </c>
      <c r="Q360" s="26" t="n">
        <v>62692</v>
      </c>
      <c r="R360" s="26" t="n">
        <v>19423</v>
      </c>
      <c r="S360" s="26" t="n">
        <v>2160574</v>
      </c>
      <c r="T360" s="26" t="n">
        <v>1872839</v>
      </c>
      <c r="U360" s="26" t="n">
        <v>50059</v>
      </c>
      <c r="V360" s="26" t="n">
        <v>1922898</v>
      </c>
      <c r="W360" s="26" t="n">
        <v>2141151</v>
      </c>
      <c r="X360" s="27" t="n">
        <f aca="false">IF(V360=0,0,(W360-V360)/V360)</f>
        <v>0.113502120237267</v>
      </c>
      <c r="Y360" s="26" t="n">
        <v>1922898</v>
      </c>
      <c r="Z360" s="26" t="n">
        <v>917339292.5</v>
      </c>
      <c r="AA360" s="26" t="n">
        <v>858953628.28</v>
      </c>
      <c r="AB360" s="28" t="n">
        <f aca="false">IF(B360=0,0,L360/B360*10000)</f>
        <v>3.68564719252045</v>
      </c>
      <c r="AC360" s="28" t="n">
        <f aca="false">IF(D360=0,0,M360/D360*10000)</f>
        <v>3.82024173194161</v>
      </c>
      <c r="AD360" s="28" t="n">
        <f aca="false">IF(C360=0,0,N360/C360*10000)</f>
        <v>1.04954648235747</v>
      </c>
      <c r="AE360" s="28" t="n">
        <f aca="false">IF(E360=0,0,Q360/E360*10000)</f>
        <v>5.8693123073418</v>
      </c>
    </row>
    <row r="361" customFormat="false" ht="15" hidden="false" customHeight="true" outlineLevel="0" collapsed="false">
      <c r="A361" s="7" t="s">
        <v>494</v>
      </c>
      <c r="B361" s="26" t="n">
        <v>3500360802</v>
      </c>
      <c r="C361" s="26" t="n">
        <v>153570548</v>
      </c>
      <c r="D361" s="26" t="n">
        <v>3346790254</v>
      </c>
      <c r="E361" s="26" t="n">
        <v>79714594</v>
      </c>
      <c r="F361" s="26" t="n">
        <v>134214703</v>
      </c>
      <c r="G361" s="26" t="n">
        <v>1369179</v>
      </c>
      <c r="H361" s="26" t="n">
        <v>9052027</v>
      </c>
      <c r="I361" s="26" t="n">
        <v>8934640</v>
      </c>
      <c r="J361" s="26" t="n">
        <v>0</v>
      </c>
      <c r="K361" s="26" t="n">
        <v>0</v>
      </c>
      <c r="L361" s="26" t="n">
        <v>1299673</v>
      </c>
      <c r="M361" s="26" t="n">
        <v>1283223</v>
      </c>
      <c r="N361" s="26" t="n">
        <v>16450</v>
      </c>
      <c r="O361" s="26" t="n">
        <v>0</v>
      </c>
      <c r="P361" s="26" t="n">
        <v>16450</v>
      </c>
      <c r="Q361" s="26" t="n">
        <v>47538</v>
      </c>
      <c r="R361" s="26" t="n">
        <v>12167</v>
      </c>
      <c r="S361" s="26" t="n">
        <v>1359378</v>
      </c>
      <c r="T361" s="26" t="n">
        <v>1167390</v>
      </c>
      <c r="U361" s="26" t="n">
        <v>37155</v>
      </c>
      <c r="V361" s="26" t="n">
        <v>1204545</v>
      </c>
      <c r="W361" s="26" t="n">
        <v>1347211</v>
      </c>
      <c r="X361" s="27" t="n">
        <f aca="false">IF(V361=0,0,(W361-V361)/V361)</f>
        <v>0.11843974280745</v>
      </c>
      <c r="Y361" s="26" t="n">
        <v>1204545</v>
      </c>
      <c r="Z361" s="26" t="n">
        <v>944565067.71</v>
      </c>
      <c r="AA361" s="26" t="n">
        <v>886168059.87</v>
      </c>
      <c r="AB361" s="28" t="n">
        <f aca="false">IF(B361=0,0,L361/B361*10000)</f>
        <v>3.71296867242202</v>
      </c>
      <c r="AC361" s="28" t="n">
        <f aca="false">IF(D361=0,0,M361/D361*10000)</f>
        <v>3.83419008247178</v>
      </c>
      <c r="AD361" s="28" t="n">
        <f aca="false">IF(C361=0,0,N361/C361*10000)</f>
        <v>1.07116893273051</v>
      </c>
      <c r="AE361" s="28" t="n">
        <f aca="false">IF(E361=0,0,Q361/E361*10000)</f>
        <v>5.96352532385726</v>
      </c>
    </row>
    <row r="362" customFormat="false" ht="15" hidden="false" customHeight="true" outlineLevel="0" collapsed="false">
      <c r="A362" s="7" t="s">
        <v>495</v>
      </c>
      <c r="B362" s="26" t="n">
        <v>2451881448</v>
      </c>
      <c r="C362" s="26" t="n">
        <v>61337988</v>
      </c>
      <c r="D362" s="26" t="n">
        <v>2390543460</v>
      </c>
      <c r="E362" s="26" t="n">
        <v>66698371</v>
      </c>
      <c r="F362" s="26" t="n">
        <v>45429845</v>
      </c>
      <c r="G362" s="26" t="n">
        <v>1497544</v>
      </c>
      <c r="H362" s="26" t="n">
        <v>2507616</v>
      </c>
      <c r="I362" s="26" t="n">
        <v>11902983</v>
      </c>
      <c r="J362" s="26" t="n">
        <v>0</v>
      </c>
      <c r="K362" s="26" t="n">
        <v>0</v>
      </c>
      <c r="L362" s="26" t="n">
        <v>918890</v>
      </c>
      <c r="M362" s="26" t="n">
        <v>906501</v>
      </c>
      <c r="N362" s="26" t="n">
        <v>12389</v>
      </c>
      <c r="O362" s="26" t="n">
        <v>0</v>
      </c>
      <c r="P362" s="26" t="n">
        <v>12389</v>
      </c>
      <c r="Q362" s="26" t="n">
        <v>48474</v>
      </c>
      <c r="R362" s="26" t="n">
        <v>8604</v>
      </c>
      <c r="S362" s="26" t="n">
        <v>975968</v>
      </c>
      <c r="T362" s="26" t="n">
        <v>814884</v>
      </c>
      <c r="U362" s="26" t="n">
        <v>36888</v>
      </c>
      <c r="V362" s="26" t="n">
        <v>851772</v>
      </c>
      <c r="W362" s="26" t="n">
        <v>967364</v>
      </c>
      <c r="X362" s="27" t="n">
        <f aca="false">IF(V362=0,0,(W362-V362)/V362)</f>
        <v>0.135707677641435</v>
      </c>
      <c r="Y362" s="26" t="n">
        <v>851772</v>
      </c>
      <c r="Z362" s="26" t="n">
        <v>944565067.71</v>
      </c>
      <c r="AA362" s="26" t="n">
        <v>886168059.87</v>
      </c>
      <c r="AB362" s="28" t="n">
        <f aca="false">IF(B362=0,0,L362/B362*10000)</f>
        <v>3.74769343252521</v>
      </c>
      <c r="AC362" s="28" t="n">
        <f aca="false">IF(D362=0,0,M362/D362*10000)</f>
        <v>3.79202894725871</v>
      </c>
      <c r="AD362" s="28" t="n">
        <f aca="false">IF(C362=0,0,N362/C362*10000)</f>
        <v>2.01979236749663</v>
      </c>
      <c r="AE362" s="28" t="n">
        <f aca="false">IF(E362=0,0,Q362/E362*10000)</f>
        <v>7.26764376299385</v>
      </c>
    </row>
    <row r="363" customFormat="false" ht="15" hidden="false" customHeight="true" outlineLevel="0" collapsed="false">
      <c r="A363" s="7" t="s">
        <v>496</v>
      </c>
      <c r="B363" s="26" t="n">
        <v>5024144736</v>
      </c>
      <c r="C363" s="26" t="n">
        <v>230839091</v>
      </c>
      <c r="D363" s="26" t="n">
        <v>4793305645</v>
      </c>
      <c r="E363" s="26" t="n">
        <v>120853808</v>
      </c>
      <c r="F363" s="26" t="n">
        <v>200132846</v>
      </c>
      <c r="G363" s="26" t="n">
        <v>1491975</v>
      </c>
      <c r="H363" s="26" t="n">
        <v>15772044</v>
      </c>
      <c r="I363" s="26" t="n">
        <v>13442226</v>
      </c>
      <c r="J363" s="26" t="n">
        <v>0</v>
      </c>
      <c r="K363" s="26" t="n">
        <v>0</v>
      </c>
      <c r="L363" s="26" t="n">
        <v>1807548</v>
      </c>
      <c r="M363" s="26" t="n">
        <v>1778256</v>
      </c>
      <c r="N363" s="26" t="n">
        <v>29292</v>
      </c>
      <c r="O363" s="26" t="n">
        <v>0</v>
      </c>
      <c r="P363" s="26" t="n">
        <v>29292</v>
      </c>
      <c r="Q363" s="26" t="n">
        <v>89653</v>
      </c>
      <c r="R363" s="26" t="n">
        <v>17044</v>
      </c>
      <c r="S363" s="26" t="n">
        <v>1914245</v>
      </c>
      <c r="T363" s="26" t="n">
        <v>1620134</v>
      </c>
      <c r="U363" s="26" t="n">
        <v>67249</v>
      </c>
      <c r="V363" s="26" t="n">
        <v>1687383</v>
      </c>
      <c r="W363" s="26" t="n">
        <v>1897201</v>
      </c>
      <c r="X363" s="27" t="n">
        <f aca="false">IF(V363=0,0,(W363-V363)/V363)</f>
        <v>0.124345213860754</v>
      </c>
      <c r="Y363" s="26" t="n">
        <v>1687383</v>
      </c>
      <c r="Z363" s="26" t="n">
        <v>944565067.71</v>
      </c>
      <c r="AA363" s="26" t="n">
        <v>886168059.87</v>
      </c>
      <c r="AB363" s="28" t="n">
        <f aca="false">IF(B363=0,0,L363/B363*10000)</f>
        <v>3.59772278662316</v>
      </c>
      <c r="AC363" s="28" t="n">
        <f aca="false">IF(D363=0,0,M363/D363*10000)</f>
        <v>3.70987400282921</v>
      </c>
      <c r="AD363" s="28" t="n">
        <f aca="false">IF(C363=0,0,N363/C363*10000)</f>
        <v>1.26893585800856</v>
      </c>
      <c r="AE363" s="28" t="n">
        <f aca="false">IF(E363=0,0,Q363/E363*10000)</f>
        <v>7.41830162273414</v>
      </c>
    </row>
    <row r="364" customFormat="false" ht="15" hidden="false" customHeight="true" outlineLevel="0" collapsed="false">
      <c r="A364" s="7" t="s">
        <v>497</v>
      </c>
      <c r="B364" s="26" t="n">
        <v>1329519473</v>
      </c>
      <c r="C364" s="26" t="n">
        <v>64057194</v>
      </c>
      <c r="D364" s="26" t="n">
        <v>1265462279</v>
      </c>
      <c r="E364" s="26" t="n">
        <v>77449255</v>
      </c>
      <c r="F364" s="26" t="n">
        <v>44526096</v>
      </c>
      <c r="G364" s="26" t="n">
        <v>955682</v>
      </c>
      <c r="H364" s="26" t="n">
        <v>4637142</v>
      </c>
      <c r="I364" s="26" t="n">
        <v>13938275</v>
      </c>
      <c r="J364" s="26" t="n">
        <v>0</v>
      </c>
      <c r="K364" s="26" t="n">
        <v>0</v>
      </c>
      <c r="L364" s="26" t="n">
        <v>575062</v>
      </c>
      <c r="M364" s="26" t="n">
        <v>560290</v>
      </c>
      <c r="N364" s="26" t="n">
        <v>14772</v>
      </c>
      <c r="O364" s="26" t="n">
        <v>0</v>
      </c>
      <c r="P364" s="26" t="n">
        <v>14772</v>
      </c>
      <c r="Q364" s="26" t="n">
        <v>56845</v>
      </c>
      <c r="R364" s="26" t="n">
        <v>5442</v>
      </c>
      <c r="S364" s="26" t="n">
        <v>637349</v>
      </c>
      <c r="T364" s="26" t="n">
        <v>494549</v>
      </c>
      <c r="U364" s="26" t="n">
        <v>44253</v>
      </c>
      <c r="V364" s="26" t="n">
        <v>538802</v>
      </c>
      <c r="W364" s="26" t="n">
        <v>631907</v>
      </c>
      <c r="X364" s="27" t="n">
        <f aca="false">IF(V364=0,0,(W364-V364)/V364)</f>
        <v>0.172800026725959</v>
      </c>
      <c r="Y364" s="26" t="n">
        <v>538802</v>
      </c>
      <c r="Z364" s="26" t="n">
        <v>944565067.71</v>
      </c>
      <c r="AA364" s="26" t="n">
        <v>886168059.87</v>
      </c>
      <c r="AB364" s="28" t="n">
        <f aca="false">IF(B364=0,0,L364/B364*10000)</f>
        <v>4.32533717390689</v>
      </c>
      <c r="AC364" s="28" t="n">
        <f aca="false">IF(D364=0,0,M364/D364*10000)</f>
        <v>4.42755196498433</v>
      </c>
      <c r="AD364" s="28" t="n">
        <f aca="false">IF(C364=0,0,N364/C364*10000)</f>
        <v>2.30606417134038</v>
      </c>
      <c r="AE364" s="28" t="n">
        <f aca="false">IF(E364=0,0,Q364/E364*10000)</f>
        <v>7.33964451949861</v>
      </c>
    </row>
    <row r="365" customFormat="false" ht="15" hidden="false" customHeight="true" outlineLevel="0" collapsed="false">
      <c r="A365" s="7" t="s">
        <v>498</v>
      </c>
      <c r="B365" s="26" t="n">
        <v>1847357866</v>
      </c>
      <c r="C365" s="26" t="n">
        <v>75029525</v>
      </c>
      <c r="D365" s="26" t="n">
        <v>1772328341</v>
      </c>
      <c r="E365" s="26" t="n">
        <v>97578879</v>
      </c>
      <c r="F365" s="26" t="n">
        <v>58982712</v>
      </c>
      <c r="G365" s="26" t="n">
        <v>234105</v>
      </c>
      <c r="H365" s="26" t="n">
        <v>8500578</v>
      </c>
      <c r="I365" s="26" t="n">
        <v>7312131</v>
      </c>
      <c r="J365" s="26" t="n">
        <v>0</v>
      </c>
      <c r="K365" s="26" t="n">
        <v>0</v>
      </c>
      <c r="L365" s="26" t="n">
        <v>731484</v>
      </c>
      <c r="M365" s="26" t="n">
        <v>718108</v>
      </c>
      <c r="N365" s="26" t="n">
        <v>13376</v>
      </c>
      <c r="O365" s="26" t="n">
        <v>0</v>
      </c>
      <c r="P365" s="26" t="n">
        <v>13376</v>
      </c>
      <c r="Q365" s="26" t="n">
        <v>72538</v>
      </c>
      <c r="R365" s="26" t="n">
        <v>7025</v>
      </c>
      <c r="S365" s="26" t="n">
        <v>811047</v>
      </c>
      <c r="T365" s="26" t="n">
        <v>642912</v>
      </c>
      <c r="U365" s="26" t="n">
        <v>52585</v>
      </c>
      <c r="V365" s="26" t="n">
        <v>695497</v>
      </c>
      <c r="W365" s="26" t="n">
        <v>804022</v>
      </c>
      <c r="X365" s="27" t="n">
        <f aca="false">IF(V365=0,0,(W365-V365)/V365)</f>
        <v>0.156039494059644</v>
      </c>
      <c r="Y365" s="26" t="n">
        <v>695497</v>
      </c>
      <c r="Z365" s="26" t="n">
        <v>944565067.71</v>
      </c>
      <c r="AA365" s="26" t="n">
        <v>886168059.87</v>
      </c>
      <c r="AB365" s="28" t="n">
        <f aca="false">IF(B365=0,0,L365/B365*10000)</f>
        <v>3.9596226235464</v>
      </c>
      <c r="AC365" s="28" t="n">
        <f aca="false">IF(D365=0,0,M365/D365*10000)</f>
        <v>4.05177744658093</v>
      </c>
      <c r="AD365" s="28" t="n">
        <f aca="false">IF(C365=0,0,N365/C365*10000)</f>
        <v>1.7827648515701</v>
      </c>
      <c r="AE365" s="28" t="n">
        <f aca="false">IF(E365=0,0,Q365/E365*10000)</f>
        <v>7.43378082873856</v>
      </c>
    </row>
    <row r="366" customFormat="false" ht="15" hidden="false" customHeight="true" outlineLevel="0" collapsed="false">
      <c r="A366" s="7" t="s">
        <v>499</v>
      </c>
      <c r="B366" s="26" t="n">
        <v>6878717462</v>
      </c>
      <c r="C366" s="26" t="n">
        <v>298579658</v>
      </c>
      <c r="D366" s="26" t="n">
        <v>6580137804</v>
      </c>
      <c r="E366" s="26" t="n">
        <v>130386769</v>
      </c>
      <c r="F366" s="26" t="n">
        <v>252784845</v>
      </c>
      <c r="G366" s="26" t="n">
        <v>383919</v>
      </c>
      <c r="H366" s="26" t="n">
        <v>31603008</v>
      </c>
      <c r="I366" s="26" t="n">
        <v>13807886</v>
      </c>
      <c r="J366" s="26" t="n">
        <v>0</v>
      </c>
      <c r="K366" s="26" t="n">
        <v>0</v>
      </c>
      <c r="L366" s="26" t="n">
        <v>2521905</v>
      </c>
      <c r="M366" s="26" t="n">
        <v>2485751</v>
      </c>
      <c r="N366" s="26" t="n">
        <v>36154</v>
      </c>
      <c r="O366" s="26" t="n">
        <v>0</v>
      </c>
      <c r="P366" s="26" t="n">
        <v>36154</v>
      </c>
      <c r="Q366" s="26" t="n">
        <v>90283</v>
      </c>
      <c r="R366" s="26" t="n">
        <v>23821</v>
      </c>
      <c r="S366" s="26" t="n">
        <v>2636009</v>
      </c>
      <c r="T366" s="26" t="n">
        <v>2289755</v>
      </c>
      <c r="U366" s="26" t="n">
        <v>68508</v>
      </c>
      <c r="V366" s="26" t="n">
        <v>2358263</v>
      </c>
      <c r="W366" s="26" t="n">
        <v>2612188</v>
      </c>
      <c r="X366" s="27" t="n">
        <f aca="false">IF(V366=0,0,(W366-V366)/V366)</f>
        <v>0.107674589305773</v>
      </c>
      <c r="Y366" s="26" t="n">
        <v>2358263</v>
      </c>
      <c r="Z366" s="26" t="n">
        <v>944565067.71</v>
      </c>
      <c r="AA366" s="26" t="n">
        <v>886168059.87</v>
      </c>
      <c r="AB366" s="28" t="n">
        <f aca="false">IF(B366=0,0,L366/B366*10000)</f>
        <v>3.66624303721111</v>
      </c>
      <c r="AC366" s="28" t="n">
        <f aca="false">IF(D366=0,0,M366/D366*10000)</f>
        <v>3.77765796711573</v>
      </c>
      <c r="AD366" s="28" t="n">
        <f aca="false">IF(C366=0,0,N366/C366*10000)</f>
        <v>1.21086614681567</v>
      </c>
      <c r="AE366" s="28" t="n">
        <f aca="false">IF(E366=0,0,Q366/E366*10000)</f>
        <v>6.92424551144449</v>
      </c>
    </row>
    <row r="367" customFormat="false" ht="15" hidden="false" customHeight="true" outlineLevel="0" collapsed="false">
      <c r="A367" s="7" t="s">
        <v>500</v>
      </c>
      <c r="B367" s="26" t="n">
        <v>4024610926</v>
      </c>
      <c r="C367" s="26" t="n">
        <v>317139673</v>
      </c>
      <c r="D367" s="26" t="n">
        <v>3707471253</v>
      </c>
      <c r="E367" s="26" t="n">
        <v>137654571</v>
      </c>
      <c r="F367" s="26" t="n">
        <v>293632946</v>
      </c>
      <c r="G367" s="26" t="n">
        <v>781808</v>
      </c>
      <c r="H367" s="26" t="n">
        <v>11708276</v>
      </c>
      <c r="I367" s="26" t="n">
        <v>11016643</v>
      </c>
      <c r="J367" s="26" t="n">
        <v>0</v>
      </c>
      <c r="K367" s="26" t="n">
        <v>0</v>
      </c>
      <c r="L367" s="26" t="n">
        <v>1572122</v>
      </c>
      <c r="M367" s="26" t="n">
        <v>1545070</v>
      </c>
      <c r="N367" s="26" t="n">
        <v>27052</v>
      </c>
      <c r="O367" s="26" t="n">
        <v>0</v>
      </c>
      <c r="P367" s="26" t="n">
        <v>27052</v>
      </c>
      <c r="Q367" s="26" t="n">
        <v>102727</v>
      </c>
      <c r="R367" s="26" t="n">
        <v>14742</v>
      </c>
      <c r="S367" s="26" t="n">
        <v>1689591</v>
      </c>
      <c r="T367" s="26" t="n">
        <v>1380469</v>
      </c>
      <c r="U367" s="26" t="n">
        <v>79005</v>
      </c>
      <c r="V367" s="26" t="n">
        <v>1459474</v>
      </c>
      <c r="W367" s="26" t="n">
        <v>1674849</v>
      </c>
      <c r="X367" s="27" t="n">
        <f aca="false">IF(V367=0,0,(W367-V367)/V367)</f>
        <v>0.147570289021935</v>
      </c>
      <c r="Y367" s="26" t="n">
        <v>1459474</v>
      </c>
      <c r="Z367" s="26" t="n">
        <v>944565067.71</v>
      </c>
      <c r="AA367" s="26" t="n">
        <v>886168059.87</v>
      </c>
      <c r="AB367" s="28" t="n">
        <f aca="false">IF(B367=0,0,L367/B367*10000)</f>
        <v>3.90627076481778</v>
      </c>
      <c r="AC367" s="28" t="n">
        <f aca="false">IF(D367=0,0,M367/D367*10000)</f>
        <v>4.16744971049948</v>
      </c>
      <c r="AD367" s="28" t="n">
        <f aca="false">IF(C367=0,0,N367/C367*10000)</f>
        <v>0.852999555183372</v>
      </c>
      <c r="AE367" s="28" t="n">
        <f aca="false">IF(E367=0,0,Q367/E367*10000)</f>
        <v>7.46266536982633</v>
      </c>
    </row>
    <row r="368" customFormat="false" ht="15" hidden="false" customHeight="true" outlineLevel="0" collapsed="false">
      <c r="A368" s="7" t="s">
        <v>501</v>
      </c>
      <c r="B368" s="26" t="n">
        <v>3247125838</v>
      </c>
      <c r="C368" s="26" t="n">
        <v>233152448</v>
      </c>
      <c r="D368" s="26" t="n">
        <v>3013973390</v>
      </c>
      <c r="E368" s="26" t="n">
        <v>147729875</v>
      </c>
      <c r="F368" s="26" t="n">
        <v>212969374</v>
      </c>
      <c r="G368" s="26" t="n">
        <v>700512</v>
      </c>
      <c r="H368" s="26" t="n">
        <v>11518707</v>
      </c>
      <c r="I368" s="26" t="n">
        <v>7963855</v>
      </c>
      <c r="J368" s="26" t="n">
        <v>0</v>
      </c>
      <c r="K368" s="26" t="n">
        <v>0</v>
      </c>
      <c r="L368" s="26" t="n">
        <v>1347662</v>
      </c>
      <c r="M368" s="26" t="n">
        <v>1324789</v>
      </c>
      <c r="N368" s="26" t="n">
        <v>22873</v>
      </c>
      <c r="O368" s="26" t="n">
        <v>0</v>
      </c>
      <c r="P368" s="26" t="n">
        <v>22873</v>
      </c>
      <c r="Q368" s="26" t="n">
        <v>114605</v>
      </c>
      <c r="R368" s="26" t="n">
        <v>12516</v>
      </c>
      <c r="S368" s="26" t="n">
        <v>1474783</v>
      </c>
      <c r="T368" s="26" t="n">
        <v>1151700</v>
      </c>
      <c r="U368" s="26" t="n">
        <v>87376</v>
      </c>
      <c r="V368" s="26" t="n">
        <v>1239076</v>
      </c>
      <c r="W368" s="26" t="n">
        <v>1462267</v>
      </c>
      <c r="X368" s="27" t="n">
        <f aca="false">IF(V368=0,0,(W368-V368)/V368)</f>
        <v>0.180126965577576</v>
      </c>
      <c r="Y368" s="26" t="n">
        <v>1239076</v>
      </c>
      <c r="Z368" s="26" t="n">
        <v>969436972.45</v>
      </c>
      <c r="AA368" s="26" t="n">
        <v>911039964.61</v>
      </c>
      <c r="AB368" s="28" t="n">
        <f aca="false">IF(B368=0,0,L368/B368*10000)</f>
        <v>4.15032267683862</v>
      </c>
      <c r="AC368" s="28" t="n">
        <f aca="false">IF(D368=0,0,M368/D368*10000)</f>
        <v>4.39549003450226</v>
      </c>
      <c r="AD368" s="28" t="n">
        <f aca="false">IF(C368=0,0,N368/C368*10000)</f>
        <v>0.9810319469603</v>
      </c>
      <c r="AE368" s="28" t="n">
        <f aca="false">IF(E368=0,0,Q368/E368*10000)</f>
        <v>7.75774026749837</v>
      </c>
    </row>
    <row r="369" customFormat="false" ht="15" hidden="false" customHeight="true" outlineLevel="0" collapsed="false">
      <c r="A369" s="7" t="s">
        <v>502</v>
      </c>
      <c r="B369" s="26" t="n">
        <v>2239365387</v>
      </c>
      <c r="C369" s="26" t="n">
        <v>60600305</v>
      </c>
      <c r="D369" s="26" t="n">
        <v>2178765082</v>
      </c>
      <c r="E369" s="26" t="n">
        <v>140412000</v>
      </c>
      <c r="F369" s="26" t="n">
        <v>50429014</v>
      </c>
      <c r="G369" s="26" t="n">
        <v>201969</v>
      </c>
      <c r="H369" s="26" t="n">
        <v>2524657</v>
      </c>
      <c r="I369" s="26" t="n">
        <v>7444664</v>
      </c>
      <c r="J369" s="26" t="n">
        <v>0</v>
      </c>
      <c r="K369" s="26" t="n">
        <v>0</v>
      </c>
      <c r="L369" s="26" t="n">
        <v>969146</v>
      </c>
      <c r="M369" s="26" t="n">
        <v>958427</v>
      </c>
      <c r="N369" s="26" t="n">
        <v>10719</v>
      </c>
      <c r="O369" s="26" t="n">
        <v>0</v>
      </c>
      <c r="P369" s="26" t="n">
        <v>10719</v>
      </c>
      <c r="Q369" s="26" t="n">
        <v>104358</v>
      </c>
      <c r="R369" s="26" t="n">
        <v>9264</v>
      </c>
      <c r="S369" s="26" t="n">
        <v>1082768</v>
      </c>
      <c r="T369" s="26" t="n">
        <v>838807</v>
      </c>
      <c r="U369" s="26" t="n">
        <v>78377</v>
      </c>
      <c r="V369" s="26" t="n">
        <v>917184</v>
      </c>
      <c r="W369" s="26" t="n">
        <v>1073504</v>
      </c>
      <c r="X369" s="27" t="n">
        <f aca="false">IF(V369=0,0,(W369-V369)/V369)</f>
        <v>0.170434721931477</v>
      </c>
      <c r="Y369" s="26" t="n">
        <v>917184</v>
      </c>
      <c r="Z369" s="26" t="n">
        <v>969436972.45</v>
      </c>
      <c r="AA369" s="26" t="n">
        <v>911039964.61</v>
      </c>
      <c r="AB369" s="28" t="n">
        <f aca="false">IF(B369=0,0,L369/B369*10000)</f>
        <v>4.32777074088089</v>
      </c>
      <c r="AC369" s="28" t="n">
        <f aca="false">IF(D369=0,0,M369/D369*10000)</f>
        <v>4.39894602643536</v>
      </c>
      <c r="AD369" s="28" t="n">
        <f aca="false">IF(C369=0,0,N369/C369*10000)</f>
        <v>1.76880297879689</v>
      </c>
      <c r="AE369" s="28" t="n">
        <f aca="false">IF(E369=0,0,Q369/E369*10000)</f>
        <v>7.43227074609008</v>
      </c>
    </row>
    <row r="370" customFormat="false" ht="15" hidden="false" customHeight="true" outlineLevel="0" collapsed="false">
      <c r="A370" s="7" t="s">
        <v>503</v>
      </c>
      <c r="B370" s="26" t="n">
        <v>7132890918</v>
      </c>
      <c r="C370" s="26" t="n">
        <v>324447883</v>
      </c>
      <c r="D370" s="26" t="n">
        <v>6808443035</v>
      </c>
      <c r="E370" s="26" t="n">
        <v>158982706</v>
      </c>
      <c r="F370" s="26" t="n">
        <v>303515216</v>
      </c>
      <c r="G370" s="26" t="n">
        <v>767633</v>
      </c>
      <c r="H370" s="26" t="n">
        <v>4723225</v>
      </c>
      <c r="I370" s="26" t="n">
        <v>15441809</v>
      </c>
      <c r="J370" s="26" t="n">
        <v>0</v>
      </c>
      <c r="K370" s="26" t="n">
        <v>0</v>
      </c>
      <c r="L370" s="26" t="n">
        <v>2739880</v>
      </c>
      <c r="M370" s="26" t="n">
        <v>2709857</v>
      </c>
      <c r="N370" s="26" t="n">
        <v>30023</v>
      </c>
      <c r="O370" s="26" t="n">
        <v>0</v>
      </c>
      <c r="P370" s="26" t="n">
        <v>30023</v>
      </c>
      <c r="Q370" s="26" t="n">
        <v>107757</v>
      </c>
      <c r="R370" s="26" t="n">
        <v>25626</v>
      </c>
      <c r="S370" s="26" t="n">
        <v>2873263</v>
      </c>
      <c r="T370" s="26" t="n">
        <v>2457699</v>
      </c>
      <c r="U370" s="26" t="n">
        <v>79309</v>
      </c>
      <c r="V370" s="26" t="n">
        <v>2537008</v>
      </c>
      <c r="W370" s="26" t="n">
        <v>2847637</v>
      </c>
      <c r="X370" s="27" t="n">
        <f aca="false">IF(V370=0,0,(W370-V370)/V370)</f>
        <v>0.122439109376084</v>
      </c>
      <c r="Y370" s="26" t="n">
        <v>2537008</v>
      </c>
      <c r="Z370" s="26" t="n">
        <v>969436972.45</v>
      </c>
      <c r="AA370" s="26" t="n">
        <v>911039964.61</v>
      </c>
      <c r="AB370" s="28" t="n">
        <f aca="false">IF(B370=0,0,L370/B370*10000)</f>
        <v>3.84119150495608</v>
      </c>
      <c r="AC370" s="28" t="n">
        <f aca="false">IF(D370=0,0,M370/D370*10000)</f>
        <v>3.98014198851265</v>
      </c>
      <c r="AD370" s="28" t="n">
        <f aca="false">IF(C370=0,0,N370/C370*10000)</f>
        <v>0.925356631160389</v>
      </c>
      <c r="AE370" s="28" t="n">
        <f aca="false">IF(E370=0,0,Q370/E370*10000)</f>
        <v>6.77790702593778</v>
      </c>
    </row>
    <row r="371" customFormat="false" ht="15" hidden="false" customHeight="true" outlineLevel="0" collapsed="false">
      <c r="A371" s="7" t="s">
        <v>504</v>
      </c>
      <c r="B371" s="26" t="n">
        <v>3088310277</v>
      </c>
      <c r="C371" s="26" t="n">
        <v>79804737</v>
      </c>
      <c r="D371" s="26" t="n">
        <v>3008505540</v>
      </c>
      <c r="E371" s="26" t="n">
        <v>97545435</v>
      </c>
      <c r="F371" s="26" t="n">
        <v>67059502</v>
      </c>
      <c r="G371" s="26" t="n">
        <v>706107</v>
      </c>
      <c r="H371" s="26" t="n">
        <v>1219802</v>
      </c>
      <c r="I371" s="26" t="n">
        <v>10819325</v>
      </c>
      <c r="J371" s="26" t="n">
        <v>0</v>
      </c>
      <c r="K371" s="26" t="n">
        <v>0</v>
      </c>
      <c r="L371" s="26" t="n">
        <v>1303315</v>
      </c>
      <c r="M371" s="26" t="n">
        <v>1289093</v>
      </c>
      <c r="N371" s="26" t="n">
        <v>14222</v>
      </c>
      <c r="O371" s="26" t="n">
        <v>0</v>
      </c>
      <c r="P371" s="26" t="n">
        <v>14222</v>
      </c>
      <c r="Q371" s="26" t="n">
        <v>62476</v>
      </c>
      <c r="R371" s="26" t="n">
        <v>12271</v>
      </c>
      <c r="S371" s="26" t="n">
        <v>1378062</v>
      </c>
      <c r="T371" s="26" t="n">
        <v>1168680</v>
      </c>
      <c r="U371" s="26" t="n">
        <v>46188</v>
      </c>
      <c r="V371" s="26" t="n">
        <v>1214868</v>
      </c>
      <c r="W371" s="26" t="n">
        <v>1365791</v>
      </c>
      <c r="X371" s="27" t="n">
        <f aca="false">IF(V371=0,0,(W371-V371)/V371)</f>
        <v>0.124229957493324</v>
      </c>
      <c r="Y371" s="26" t="n">
        <v>1214868</v>
      </c>
      <c r="Z371" s="26" t="n">
        <v>969436972.45</v>
      </c>
      <c r="AA371" s="26" t="n">
        <v>911039964.61</v>
      </c>
      <c r="AB371" s="28" t="n">
        <f aca="false">IF(B371=0,0,L371/B371*10000)</f>
        <v>4.22015562913597</v>
      </c>
      <c r="AC371" s="28" t="n">
        <f aca="false">IF(D371=0,0,M371/D371*10000)</f>
        <v>4.28482840686409</v>
      </c>
      <c r="AD371" s="28" t="n">
        <f aca="false">IF(C371=0,0,N371/C371*10000)</f>
        <v>1.78209972673677</v>
      </c>
      <c r="AE371" s="28" t="n">
        <f aca="false">IF(E371=0,0,Q371/E371*10000)</f>
        <v>6.40481023022759</v>
      </c>
    </row>
    <row r="372" customFormat="false" ht="15" hidden="false" customHeight="true" outlineLevel="0" collapsed="false">
      <c r="A372" s="7" t="s">
        <v>505</v>
      </c>
      <c r="B372" s="26" t="n">
        <v>3481285349</v>
      </c>
      <c r="C372" s="26" t="n">
        <v>75856116</v>
      </c>
      <c r="D372" s="26" t="n">
        <v>3405429233</v>
      </c>
      <c r="E372" s="26" t="n">
        <v>77369559</v>
      </c>
      <c r="F372" s="26" t="n">
        <v>60270678</v>
      </c>
      <c r="G372" s="26" t="n">
        <v>374432</v>
      </c>
      <c r="H372" s="26" t="n">
        <v>2584635</v>
      </c>
      <c r="I372" s="26" t="n">
        <v>12626371</v>
      </c>
      <c r="J372" s="26" t="n">
        <v>0</v>
      </c>
      <c r="K372" s="26" t="n">
        <v>0</v>
      </c>
      <c r="L372" s="26" t="n">
        <v>1381961</v>
      </c>
      <c r="M372" s="26" t="n">
        <v>1368131</v>
      </c>
      <c r="N372" s="26" t="n">
        <v>13830</v>
      </c>
      <c r="O372" s="26" t="n">
        <v>0</v>
      </c>
      <c r="P372" s="26" t="n">
        <v>13830</v>
      </c>
      <c r="Q372" s="26" t="n">
        <v>39784</v>
      </c>
      <c r="R372" s="26" t="n">
        <v>12995</v>
      </c>
      <c r="S372" s="26" t="n">
        <v>1434740</v>
      </c>
      <c r="T372" s="26" t="n">
        <v>1257110</v>
      </c>
      <c r="U372" s="26" t="n">
        <v>29426</v>
      </c>
      <c r="V372" s="26" t="n">
        <v>1286536</v>
      </c>
      <c r="W372" s="26" t="n">
        <v>1421745</v>
      </c>
      <c r="X372" s="27" t="n">
        <f aca="false">IF(V372=0,0,(W372-V372)/V372)</f>
        <v>0.105095387925406</v>
      </c>
      <c r="Y372" s="26" t="n">
        <v>1286536</v>
      </c>
      <c r="Z372" s="26" t="n">
        <v>969436972.45</v>
      </c>
      <c r="AA372" s="26" t="n">
        <v>911039964.61</v>
      </c>
      <c r="AB372" s="28" t="n">
        <f aca="false">IF(B372=0,0,L372/B372*10000)</f>
        <v>3.96968608274805</v>
      </c>
      <c r="AC372" s="28" t="n">
        <f aca="false">IF(D372=0,0,M372/D372*10000)</f>
        <v>4.01749942927092</v>
      </c>
      <c r="AD372" s="28" t="n">
        <f aca="false">IF(C372=0,0,N372/C372*10000)</f>
        <v>1.8231885218062</v>
      </c>
      <c r="AE372" s="28" t="n">
        <f aca="false">IF(E372=0,0,Q372/E372*10000)</f>
        <v>5.1420740293996</v>
      </c>
    </row>
    <row r="373" customFormat="false" ht="15" hidden="false" customHeight="true" outlineLevel="0" collapsed="false">
      <c r="A373" s="7" t="s">
        <v>506</v>
      </c>
      <c r="B373" s="26" t="n">
        <v>7490408274</v>
      </c>
      <c r="C373" s="26" t="n">
        <v>332533491</v>
      </c>
      <c r="D373" s="26" t="n">
        <v>7157874783</v>
      </c>
      <c r="E373" s="26" t="n">
        <v>153796466</v>
      </c>
      <c r="F373" s="26" t="n">
        <v>301058924</v>
      </c>
      <c r="G373" s="26" t="n">
        <v>1069457</v>
      </c>
      <c r="H373" s="26" t="n">
        <v>9006482</v>
      </c>
      <c r="I373" s="26" t="n">
        <v>21398627</v>
      </c>
      <c r="J373" s="26" t="n">
        <v>0</v>
      </c>
      <c r="K373" s="26" t="n">
        <v>0</v>
      </c>
      <c r="L373" s="26" t="n">
        <v>2830214</v>
      </c>
      <c r="M373" s="26" t="n">
        <v>2787573</v>
      </c>
      <c r="N373" s="26" t="n">
        <v>42641</v>
      </c>
      <c r="O373" s="26" t="n">
        <v>0</v>
      </c>
      <c r="P373" s="26" t="n">
        <v>42641</v>
      </c>
      <c r="Q373" s="26" t="n">
        <v>79063</v>
      </c>
      <c r="R373" s="26" t="n">
        <v>26721</v>
      </c>
      <c r="S373" s="26" t="n">
        <v>2935998</v>
      </c>
      <c r="T373" s="26" t="n">
        <v>2588172</v>
      </c>
      <c r="U373" s="26" t="n">
        <v>57987</v>
      </c>
      <c r="V373" s="26" t="n">
        <v>2646159</v>
      </c>
      <c r="W373" s="26" t="n">
        <v>2909277</v>
      </c>
      <c r="X373" s="27" t="n">
        <f aca="false">IF(V373=0,0,(W373-V373)/V373)</f>
        <v>0.0994339342420467</v>
      </c>
      <c r="Y373" s="26" t="n">
        <v>2646159</v>
      </c>
      <c r="Z373" s="26" t="n">
        <v>969436972.45</v>
      </c>
      <c r="AA373" s="26" t="n">
        <v>911039964.61</v>
      </c>
      <c r="AB373" s="28" t="n">
        <f aca="false">IF(B373=0,0,L373/B373*10000)</f>
        <v>3.77845091545139</v>
      </c>
      <c r="AC373" s="28" t="n">
        <f aca="false">IF(D373=0,0,M373/D373*10000)</f>
        <v>3.89441431222086</v>
      </c>
      <c r="AD373" s="28" t="n">
        <f aca="false">IF(C373=0,0,N373/C373*10000)</f>
        <v>1.28230693010106</v>
      </c>
      <c r="AE373" s="28" t="n">
        <f aca="false">IF(E373=0,0,Q373/E373*10000)</f>
        <v>5.1407553148848</v>
      </c>
    </row>
    <row r="374" customFormat="false" ht="15" hidden="false" customHeight="true" outlineLevel="0" collapsed="false">
      <c r="A374" s="7" t="s">
        <v>507</v>
      </c>
      <c r="B374" s="26" t="n">
        <v>7973827117</v>
      </c>
      <c r="C374" s="26" t="n">
        <v>327284750</v>
      </c>
      <c r="D374" s="26" t="n">
        <v>7646542367</v>
      </c>
      <c r="E374" s="26" t="n">
        <v>179663491</v>
      </c>
      <c r="F374" s="26" t="n">
        <v>292317713</v>
      </c>
      <c r="G374" s="26" t="n">
        <v>1313804</v>
      </c>
      <c r="H374" s="26" t="n">
        <v>10535284</v>
      </c>
      <c r="I374" s="26" t="n">
        <v>23117948</v>
      </c>
      <c r="J374" s="26" t="n">
        <v>0</v>
      </c>
      <c r="K374" s="26" t="n">
        <v>0</v>
      </c>
      <c r="L374" s="26" t="n">
        <v>3102555</v>
      </c>
      <c r="M374" s="26" t="n">
        <v>3055909</v>
      </c>
      <c r="N374" s="26" t="n">
        <v>46646</v>
      </c>
      <c r="O374" s="26" t="n">
        <v>0</v>
      </c>
      <c r="P374" s="26" t="n">
        <v>46646</v>
      </c>
      <c r="Q374" s="26" t="n">
        <v>95638</v>
      </c>
      <c r="R374" s="26" t="n">
        <v>29842</v>
      </c>
      <c r="S374" s="26" t="n">
        <v>3228035</v>
      </c>
      <c r="T374" s="26" t="n">
        <v>2880206</v>
      </c>
      <c r="U374" s="26" t="n">
        <v>73601</v>
      </c>
      <c r="V374" s="26" t="n">
        <v>2953807</v>
      </c>
      <c r="W374" s="26" t="n">
        <v>3198193</v>
      </c>
      <c r="X374" s="27" t="n">
        <f aca="false">IF(V374=0,0,(W374-V374)/V374)</f>
        <v>0.0827359404321271</v>
      </c>
      <c r="Y374" s="26" t="n">
        <v>2953807</v>
      </c>
      <c r="Z374" s="26" t="n">
        <v>969436972.45</v>
      </c>
      <c r="AA374" s="26" t="n">
        <v>911039964.61</v>
      </c>
      <c r="AB374" s="28" t="n">
        <f aca="false">IF(B374=0,0,L374/B374*10000)</f>
        <v>3.89092333515161</v>
      </c>
      <c r="AC374" s="28" t="n">
        <f aca="false">IF(D374=0,0,M374/D374*10000)</f>
        <v>3.99645859962578</v>
      </c>
      <c r="AD374" s="28" t="n">
        <f aca="false">IF(C374=0,0,N374/C374*10000)</f>
        <v>1.42524208659279</v>
      </c>
      <c r="AE374" s="28" t="n">
        <f aca="false">IF(E374=0,0,Q374/E374*10000)</f>
        <v>5.32317386619188</v>
      </c>
    </row>
    <row r="375" customFormat="false" ht="15" hidden="false" customHeight="true" outlineLevel="0" collapsed="false">
      <c r="A375" s="7" t="s">
        <v>508</v>
      </c>
      <c r="B375" s="26" t="n">
        <v>6350031476</v>
      </c>
      <c r="C375" s="26" t="n">
        <v>331731507</v>
      </c>
      <c r="D375" s="26" t="n">
        <v>6018299969</v>
      </c>
      <c r="E375" s="26" t="n">
        <v>122833352</v>
      </c>
      <c r="F375" s="26" t="n">
        <v>300509537</v>
      </c>
      <c r="G375" s="26" t="n">
        <v>1894547</v>
      </c>
      <c r="H375" s="26" t="n">
        <v>10181687</v>
      </c>
      <c r="I375" s="26" t="n">
        <v>19145736</v>
      </c>
      <c r="J375" s="26" t="n">
        <v>0</v>
      </c>
      <c r="K375" s="26" t="n">
        <v>0</v>
      </c>
      <c r="L375" s="26" t="n">
        <v>2405426</v>
      </c>
      <c r="M375" s="26" t="n">
        <v>2367177</v>
      </c>
      <c r="N375" s="26" t="n">
        <v>38249</v>
      </c>
      <c r="O375" s="26" t="n">
        <v>0</v>
      </c>
      <c r="P375" s="26" t="n">
        <v>38249</v>
      </c>
      <c r="Q375" s="26" t="n">
        <v>61994</v>
      </c>
      <c r="R375" s="26" t="n">
        <v>22793</v>
      </c>
      <c r="S375" s="26" t="n">
        <v>2490213</v>
      </c>
      <c r="T375" s="26" t="n">
        <v>2208036</v>
      </c>
      <c r="U375" s="26" t="n">
        <v>48158</v>
      </c>
      <c r="V375" s="26" t="n">
        <v>2256194</v>
      </c>
      <c r="W375" s="26" t="n">
        <v>2467420</v>
      </c>
      <c r="X375" s="27" t="n">
        <f aca="false">IF(V375=0,0,(W375-V375)/V375)</f>
        <v>0.0936204954006615</v>
      </c>
      <c r="Y375" s="26" t="n">
        <v>2256194</v>
      </c>
      <c r="Z375" s="26" t="n">
        <v>1030005942.64</v>
      </c>
      <c r="AA375" s="26" t="n">
        <v>971600707.02</v>
      </c>
      <c r="AB375" s="28" t="n">
        <f aca="false">IF(B375=0,0,L375/B375*10000)</f>
        <v>3.78805366412959</v>
      </c>
      <c r="AC375" s="28" t="n">
        <f aca="false">IF(D375=0,0,M375/D375*10000)</f>
        <v>3.93329846001898</v>
      </c>
      <c r="AD375" s="28" t="n">
        <f aca="false">IF(C375=0,0,N375/C375*10000)</f>
        <v>1.15301076903738</v>
      </c>
      <c r="AE375" s="28" t="n">
        <f aca="false">IF(E375=0,0,Q375/E375*10000)</f>
        <v>5.04700058987237</v>
      </c>
    </row>
    <row r="376" customFormat="false" ht="15" hidden="false" customHeight="true" outlineLevel="0" collapsed="false">
      <c r="A376" s="7" t="s">
        <v>509</v>
      </c>
      <c r="B376" s="26" t="n">
        <v>7544394781</v>
      </c>
      <c r="C376" s="26" t="n">
        <v>418653698</v>
      </c>
      <c r="D376" s="26" t="n">
        <v>7125741083</v>
      </c>
      <c r="E376" s="26" t="n">
        <v>120194070</v>
      </c>
      <c r="F376" s="26" t="n">
        <v>380797451</v>
      </c>
      <c r="G376" s="26" t="n">
        <v>1778583</v>
      </c>
      <c r="H376" s="26" t="n">
        <v>11646932</v>
      </c>
      <c r="I376" s="26" t="n">
        <v>24430732</v>
      </c>
      <c r="J376" s="26" t="n">
        <v>0</v>
      </c>
      <c r="K376" s="26" t="n">
        <v>0</v>
      </c>
      <c r="L376" s="26" t="n">
        <v>2768182</v>
      </c>
      <c r="M376" s="26" t="n">
        <v>2728916</v>
      </c>
      <c r="N376" s="26" t="n">
        <v>39266</v>
      </c>
      <c r="O376" s="26" t="n">
        <v>0</v>
      </c>
      <c r="P376" s="26" t="n">
        <v>39266</v>
      </c>
      <c r="Q376" s="26" t="n">
        <v>62662</v>
      </c>
      <c r="R376" s="26" t="n">
        <v>26479</v>
      </c>
      <c r="S376" s="26" t="n">
        <v>2857323</v>
      </c>
      <c r="T376" s="26" t="n">
        <v>2575107</v>
      </c>
      <c r="U376" s="26" t="n">
        <v>46361</v>
      </c>
      <c r="V376" s="26" t="n">
        <v>2621468</v>
      </c>
      <c r="W376" s="26" t="n">
        <v>2830844</v>
      </c>
      <c r="X376" s="27" t="n">
        <f aca="false">IF(V376=0,0,(W376-V376)/V376)</f>
        <v>0.0798697523677573</v>
      </c>
      <c r="Y376" s="26" t="n">
        <v>2621468</v>
      </c>
      <c r="Z376" s="26" t="n">
        <v>1030005942.64</v>
      </c>
      <c r="AA376" s="26" t="n">
        <v>971600707.02</v>
      </c>
      <c r="AB376" s="28" t="n">
        <f aca="false">IF(B376=0,0,L376/B376*10000)</f>
        <v>3.6691902801421</v>
      </c>
      <c r="AC376" s="28" t="n">
        <f aca="false">IF(D376=0,0,M376/D376*10000)</f>
        <v>3.82965921468915</v>
      </c>
      <c r="AD376" s="28" t="n">
        <f aca="false">IF(C376=0,0,N376/C376*10000)</f>
        <v>0.93791121845053</v>
      </c>
      <c r="AE376" s="28" t="n">
        <f aca="false">IF(E376=0,0,Q376/E376*10000)</f>
        <v>5.21340195901512</v>
      </c>
    </row>
    <row r="377" customFormat="false" ht="15" hidden="false" customHeight="true" outlineLevel="0" collapsed="false">
      <c r="A377" s="7" t="s">
        <v>510</v>
      </c>
      <c r="B377" s="26" t="n">
        <v>6980705085</v>
      </c>
      <c r="C377" s="26" t="n">
        <v>311595912</v>
      </c>
      <c r="D377" s="26" t="n">
        <v>6669109173</v>
      </c>
      <c r="E377" s="26" t="n">
        <v>109133587</v>
      </c>
      <c r="F377" s="26" t="n">
        <v>285399192</v>
      </c>
      <c r="G377" s="26" t="n">
        <v>1297666</v>
      </c>
      <c r="H377" s="26" t="n">
        <v>5188341</v>
      </c>
      <c r="I377" s="26" t="n">
        <v>19710712</v>
      </c>
      <c r="J377" s="26" t="n">
        <v>0</v>
      </c>
      <c r="K377" s="26" t="n">
        <v>0</v>
      </c>
      <c r="L377" s="26" t="n">
        <v>2313384</v>
      </c>
      <c r="M377" s="26" t="n">
        <v>2283472</v>
      </c>
      <c r="N377" s="26" t="n">
        <v>29912</v>
      </c>
      <c r="O377" s="26" t="n">
        <v>0</v>
      </c>
      <c r="P377" s="26" t="n">
        <v>29912</v>
      </c>
      <c r="Q377" s="26" t="n">
        <v>52906</v>
      </c>
      <c r="R377" s="26" t="n">
        <v>22258</v>
      </c>
      <c r="S377" s="26" t="n">
        <v>2388548</v>
      </c>
      <c r="T377" s="26" t="n">
        <v>2163913</v>
      </c>
      <c r="U377" s="26" t="n">
        <v>39558</v>
      </c>
      <c r="V377" s="26" t="n">
        <v>2203471</v>
      </c>
      <c r="W377" s="26" t="n">
        <v>2366290</v>
      </c>
      <c r="X377" s="27" t="n">
        <f aca="false">IF(V377=0,0,(W377-V377)/V377)</f>
        <v>0.0738920548534562</v>
      </c>
      <c r="Y377" s="26" t="n">
        <v>2203471</v>
      </c>
      <c r="Z377" s="26" t="n">
        <v>1030005942.64</v>
      </c>
      <c r="AA377" s="26" t="n">
        <v>971600707.02</v>
      </c>
      <c r="AB377" s="28" t="n">
        <f aca="false">IF(B377=0,0,L377/B377*10000)</f>
        <v>3.31396896421101</v>
      </c>
      <c r="AC377" s="28" t="n">
        <f aca="false">IF(D377=0,0,M377/D377*10000)</f>
        <v>3.42395354576691</v>
      </c>
      <c r="AD377" s="28" t="n">
        <f aca="false">IF(C377=0,0,N377/C377*10000)</f>
        <v>0.959961246218147</v>
      </c>
      <c r="AE377" s="28" t="n">
        <f aca="false">IF(E377=0,0,Q377/E377*10000)</f>
        <v>4.84782013075406</v>
      </c>
    </row>
    <row r="378" customFormat="false" ht="15" hidden="false" customHeight="true" outlineLevel="0" collapsed="false">
      <c r="A378" s="7" t="s">
        <v>511</v>
      </c>
      <c r="B378" s="26" t="n">
        <v>1453557582</v>
      </c>
      <c r="C378" s="26" t="n">
        <v>78156263</v>
      </c>
      <c r="D378" s="26" t="n">
        <v>1375401319</v>
      </c>
      <c r="E378" s="26" t="n">
        <v>56606100</v>
      </c>
      <c r="F378" s="26" t="n">
        <v>66392004</v>
      </c>
      <c r="G378" s="26" t="n">
        <v>436333</v>
      </c>
      <c r="H378" s="26" t="n">
        <v>1292906</v>
      </c>
      <c r="I378" s="26" t="n">
        <v>10035019</v>
      </c>
      <c r="J378" s="26" t="n">
        <v>0</v>
      </c>
      <c r="K378" s="26" t="n">
        <v>0</v>
      </c>
      <c r="L378" s="26" t="n">
        <v>580683</v>
      </c>
      <c r="M378" s="26" t="n">
        <v>565725</v>
      </c>
      <c r="N378" s="26" t="n">
        <v>14958</v>
      </c>
      <c r="O378" s="26" t="n">
        <v>0</v>
      </c>
      <c r="P378" s="26" t="n">
        <v>14958</v>
      </c>
      <c r="Q378" s="26" t="n">
        <v>29394</v>
      </c>
      <c r="R378" s="26" t="n">
        <v>5618</v>
      </c>
      <c r="S378" s="26" t="n">
        <v>615695</v>
      </c>
      <c r="T378" s="26" t="n">
        <v>530668</v>
      </c>
      <c r="U378" s="26" t="n">
        <v>25567</v>
      </c>
      <c r="V378" s="26" t="n">
        <v>556235</v>
      </c>
      <c r="W378" s="26" t="n">
        <v>610077</v>
      </c>
      <c r="X378" s="27" t="n">
        <f aca="false">IF(V378=0,0,(W378-V378)/V378)</f>
        <v>0.0967972170036046</v>
      </c>
      <c r="Y378" s="26" t="n">
        <v>556235</v>
      </c>
      <c r="Z378" s="26" t="n">
        <v>1030005942.64</v>
      </c>
      <c r="AA378" s="26" t="n">
        <v>971600707.02</v>
      </c>
      <c r="AB378" s="28" t="n">
        <f aca="false">IF(B378=0,0,L378/B378*10000)</f>
        <v>3.9949088167599</v>
      </c>
      <c r="AC378" s="28" t="n">
        <f aca="false">IF(D378=0,0,M378/D378*10000)</f>
        <v>4.1131631341703</v>
      </c>
      <c r="AD378" s="28" t="n">
        <f aca="false">IF(C378=0,0,N378/C378*10000)</f>
        <v>1.91385813827869</v>
      </c>
      <c r="AE378" s="28" t="n">
        <f aca="false">IF(E378=0,0,Q378/E378*10000)</f>
        <v>5.19272657893761</v>
      </c>
    </row>
    <row r="379" customFormat="false" ht="15" hidden="false" customHeight="true" outlineLevel="0" collapsed="false">
      <c r="A379" s="7" t="s">
        <v>512</v>
      </c>
      <c r="B379" s="26" t="n">
        <v>2971180230</v>
      </c>
      <c r="C379" s="26" t="n">
        <v>172610355</v>
      </c>
      <c r="D379" s="26" t="n">
        <v>2798569875</v>
      </c>
      <c r="E379" s="26" t="n">
        <v>57524305</v>
      </c>
      <c r="F379" s="26" t="n">
        <v>149596619</v>
      </c>
      <c r="G379" s="26" t="n">
        <v>695112</v>
      </c>
      <c r="H379" s="26" t="n">
        <v>13104272</v>
      </c>
      <c r="I379" s="26" t="n">
        <v>9214352</v>
      </c>
      <c r="J379" s="26" t="n">
        <v>0</v>
      </c>
      <c r="K379" s="26" t="n">
        <v>0</v>
      </c>
      <c r="L379" s="26" t="n">
        <v>1196204</v>
      </c>
      <c r="M379" s="26" t="n">
        <v>1135009</v>
      </c>
      <c r="N379" s="26" t="n">
        <v>61195</v>
      </c>
      <c r="O379" s="26" t="n">
        <v>0</v>
      </c>
      <c r="P379" s="26" t="n">
        <v>61195</v>
      </c>
      <c r="Q379" s="26" t="n">
        <v>28522</v>
      </c>
      <c r="R379" s="26" t="n">
        <v>10754</v>
      </c>
      <c r="S379" s="26" t="n">
        <v>1235480</v>
      </c>
      <c r="T379" s="26" t="n">
        <v>1046416</v>
      </c>
      <c r="U379" s="26" t="n">
        <v>18163</v>
      </c>
      <c r="V379" s="26" t="n">
        <v>1064579</v>
      </c>
      <c r="W379" s="26" t="n">
        <v>1224726</v>
      </c>
      <c r="X379" s="27" t="n">
        <f aca="false">IF(V379=0,0,(W379-V379)/V379)</f>
        <v>0.150432236593057</v>
      </c>
      <c r="Y379" s="26" t="n">
        <v>1064579</v>
      </c>
      <c r="Z379" s="26" t="n">
        <v>1030005942.64</v>
      </c>
      <c r="AA379" s="26" t="n">
        <v>971600707.02</v>
      </c>
      <c r="AB379" s="28" t="n">
        <f aca="false">IF(B379=0,0,L379/B379*10000)</f>
        <v>4.02602301914213</v>
      </c>
      <c r="AC379" s="28" t="n">
        <f aca="false">IF(D379=0,0,M379/D379*10000)</f>
        <v>4.05567504366851</v>
      </c>
      <c r="AD379" s="28" t="n">
        <f aca="false">IF(C379=0,0,N379/C379*10000)</f>
        <v>3.54526818509817</v>
      </c>
      <c r="AE379" s="28" t="n">
        <f aca="false">IF(E379=0,0,Q379/E379*10000)</f>
        <v>4.95825199452649</v>
      </c>
    </row>
    <row r="380" customFormat="false" ht="15" hidden="false" customHeight="true" outlineLevel="0" collapsed="false">
      <c r="A380" s="7" t="s">
        <v>513</v>
      </c>
      <c r="B380" s="26" t="n">
        <v>7069438871</v>
      </c>
      <c r="C380" s="26" t="n">
        <v>446511237</v>
      </c>
      <c r="D380" s="26" t="n">
        <v>6622927634</v>
      </c>
      <c r="E380" s="26" t="n">
        <v>123128335</v>
      </c>
      <c r="F380" s="26" t="n">
        <v>369371620</v>
      </c>
      <c r="G380" s="26" t="n">
        <v>2393880</v>
      </c>
      <c r="H380" s="26" t="n">
        <v>29224100</v>
      </c>
      <c r="I380" s="26" t="n">
        <v>23100102</v>
      </c>
      <c r="J380" s="26" t="n">
        <v>22421534</v>
      </c>
      <c r="K380" s="26" t="n">
        <v>0</v>
      </c>
      <c r="L380" s="26" t="n">
        <v>2534533</v>
      </c>
      <c r="M380" s="26" t="n">
        <v>2467353</v>
      </c>
      <c r="N380" s="26" t="n">
        <v>67180</v>
      </c>
      <c r="O380" s="26" t="n">
        <v>0</v>
      </c>
      <c r="P380" s="26" t="n">
        <v>67180</v>
      </c>
      <c r="Q380" s="26" t="n">
        <v>56846</v>
      </c>
      <c r="R380" s="26" t="n">
        <v>24019</v>
      </c>
      <c r="S380" s="26" t="n">
        <v>2615398</v>
      </c>
      <c r="T380" s="26" t="n">
        <v>2332377</v>
      </c>
      <c r="U380" s="26" t="n">
        <v>45377</v>
      </c>
      <c r="V380" s="26" t="n">
        <v>2377754</v>
      </c>
      <c r="W380" s="26" t="n">
        <v>2591379</v>
      </c>
      <c r="X380" s="27" t="n">
        <f aca="false">IF(V380=0,0,(W380-V380)/V380)</f>
        <v>0.0898431881515077</v>
      </c>
      <c r="Y380" s="26" t="n">
        <v>2377754</v>
      </c>
      <c r="Z380" s="26" t="n">
        <v>1030005942.64</v>
      </c>
      <c r="AA380" s="26" t="n">
        <v>971600707.02</v>
      </c>
      <c r="AB380" s="28" t="n">
        <f aca="false">IF(B380=0,0,L380/B380*10000)</f>
        <v>3.58519685402058</v>
      </c>
      <c r="AC380" s="28" t="n">
        <f aca="false">IF(D380=0,0,M380/D380*10000)</f>
        <v>3.72547177978119</v>
      </c>
      <c r="AD380" s="28" t="n">
        <f aca="false">IF(C380=0,0,N380/C380*10000)</f>
        <v>1.50455340052282</v>
      </c>
      <c r="AE380" s="28" t="n">
        <f aca="false">IF(E380=0,0,Q380/E380*10000)</f>
        <v>4.61680895790559</v>
      </c>
    </row>
    <row r="381" customFormat="false" ht="15" hidden="false" customHeight="true" outlineLevel="0" collapsed="false">
      <c r="A381" s="7" t="s">
        <v>514</v>
      </c>
      <c r="B381" s="26" t="n">
        <v>8853529587</v>
      </c>
      <c r="C381" s="26" t="n">
        <v>582248001</v>
      </c>
      <c r="D381" s="26" t="n">
        <v>8271281586</v>
      </c>
      <c r="E381" s="26" t="n">
        <v>133261195</v>
      </c>
      <c r="F381" s="26" t="n">
        <v>447202481</v>
      </c>
      <c r="G381" s="26" t="n">
        <v>2006749</v>
      </c>
      <c r="H381" s="26" t="n">
        <v>31918834</v>
      </c>
      <c r="I381" s="26" t="n">
        <v>24165091</v>
      </c>
      <c r="J381" s="26" t="n">
        <v>76954845</v>
      </c>
      <c r="K381" s="26" t="n">
        <v>0</v>
      </c>
      <c r="L381" s="26" t="n">
        <v>3044751</v>
      </c>
      <c r="M381" s="26" t="n">
        <v>2979924</v>
      </c>
      <c r="N381" s="26" t="n">
        <v>64827</v>
      </c>
      <c r="O381" s="26" t="n">
        <v>0</v>
      </c>
      <c r="P381" s="26" t="n">
        <v>64827</v>
      </c>
      <c r="Q381" s="26" t="n">
        <v>65354</v>
      </c>
      <c r="R381" s="26" t="n">
        <v>28981</v>
      </c>
      <c r="S381" s="26" t="n">
        <v>3139086</v>
      </c>
      <c r="T381" s="26" t="n">
        <v>2824092</v>
      </c>
      <c r="U381" s="26" t="n">
        <v>45204</v>
      </c>
      <c r="V381" s="26" t="n">
        <v>2869296</v>
      </c>
      <c r="W381" s="26" t="n">
        <v>3110105</v>
      </c>
      <c r="X381" s="27" t="n">
        <f aca="false">IF(V381=0,0,(W381-V381)/V381)</f>
        <v>0.0839261616786836</v>
      </c>
      <c r="Y381" s="26" t="n">
        <v>2869296</v>
      </c>
      <c r="Z381" s="26" t="n">
        <v>1030005942.64</v>
      </c>
      <c r="AA381" s="26" t="n">
        <v>971600707.02</v>
      </c>
      <c r="AB381" s="28" t="n">
        <f aca="false">IF(B381=0,0,L381/B381*10000)</f>
        <v>3.43902504654272</v>
      </c>
      <c r="AC381" s="28" t="n">
        <f aca="false">IF(D381=0,0,M381/D381*10000)</f>
        <v>3.60273552413429</v>
      </c>
      <c r="AD381" s="28" t="n">
        <f aca="false">IF(C381=0,0,N381/C381*10000)</f>
        <v>1.11339154258427</v>
      </c>
      <c r="AE381" s="28" t="n">
        <f aca="false">IF(E381=0,0,Q381/E381*10000)</f>
        <v>4.90420335792426</v>
      </c>
    </row>
    <row r="382" customFormat="false" ht="15" hidden="false" customHeight="true" outlineLevel="0" collapsed="false">
      <c r="A382" s="7" t="s">
        <v>515</v>
      </c>
      <c r="B382" s="26" t="n">
        <v>8819857747</v>
      </c>
      <c r="C382" s="26" t="n">
        <v>707725156</v>
      </c>
      <c r="D382" s="26" t="n">
        <v>8112132591</v>
      </c>
      <c r="E382" s="26" t="n">
        <v>152194040</v>
      </c>
      <c r="F382" s="26" t="n">
        <v>588623275</v>
      </c>
      <c r="G382" s="26" t="n">
        <v>2804789</v>
      </c>
      <c r="H382" s="26" t="n">
        <v>37686453</v>
      </c>
      <c r="I382" s="26" t="n">
        <v>24948251</v>
      </c>
      <c r="J382" s="26" t="n">
        <v>53662388</v>
      </c>
      <c r="K382" s="26" t="n">
        <v>0</v>
      </c>
      <c r="L382" s="26" t="n">
        <v>3136902</v>
      </c>
      <c r="M382" s="26" t="n">
        <v>3058781</v>
      </c>
      <c r="N382" s="26" t="n">
        <v>78121</v>
      </c>
      <c r="O382" s="26" t="n">
        <v>0</v>
      </c>
      <c r="P382" s="26" t="n">
        <v>78121</v>
      </c>
      <c r="Q382" s="26" t="n">
        <v>76627</v>
      </c>
      <c r="R382" s="26" t="n">
        <v>29792</v>
      </c>
      <c r="S382" s="26" t="n">
        <v>3243321</v>
      </c>
      <c r="T382" s="26" t="n">
        <v>2891885</v>
      </c>
      <c r="U382" s="26" t="n">
        <v>57386</v>
      </c>
      <c r="V382" s="26" t="n">
        <v>2949271</v>
      </c>
      <c r="W382" s="26" t="n">
        <v>3213529</v>
      </c>
      <c r="X382" s="27" t="n">
        <f aca="false">IF(V382=0,0,(W382-V382)/V382)</f>
        <v>0.0896011251594038</v>
      </c>
      <c r="Y382" s="26" t="n">
        <v>2949271</v>
      </c>
      <c r="Z382" s="26" t="n">
        <v>1005662647.83</v>
      </c>
      <c r="AA382" s="26" t="n">
        <v>947242158.82</v>
      </c>
      <c r="AB382" s="28" t="n">
        <f aca="false">IF(B382=0,0,L382/B382*10000)</f>
        <v>3.5566355943405</v>
      </c>
      <c r="AC382" s="28" t="n">
        <f aca="false">IF(D382=0,0,M382/D382*10000)</f>
        <v>3.77062500604781</v>
      </c>
      <c r="AD382" s="28" t="n">
        <f aca="false">IF(C382=0,0,N382/C382*10000)</f>
        <v>1.10383246006872</v>
      </c>
      <c r="AE382" s="28" t="n">
        <f aca="false">IF(E382=0,0,Q382/E382*10000)</f>
        <v>5.03482265139949</v>
      </c>
    </row>
    <row r="383" customFormat="false" ht="15" hidden="false" customHeight="true" outlineLevel="0" collapsed="false">
      <c r="A383" s="7" t="s">
        <v>516</v>
      </c>
      <c r="B383" s="26" t="n">
        <v>7064669928</v>
      </c>
      <c r="C383" s="26" t="n">
        <v>725515172</v>
      </c>
      <c r="D383" s="26" t="n">
        <v>6339154756</v>
      </c>
      <c r="E383" s="26" t="n">
        <v>136715830</v>
      </c>
      <c r="F383" s="26" t="n">
        <v>630362754</v>
      </c>
      <c r="G383" s="26" t="n">
        <v>1854631</v>
      </c>
      <c r="H383" s="26" t="n">
        <v>39639198</v>
      </c>
      <c r="I383" s="26" t="n">
        <v>23672264</v>
      </c>
      <c r="J383" s="26" t="n">
        <v>29986324</v>
      </c>
      <c r="K383" s="26" t="n">
        <v>0</v>
      </c>
      <c r="L383" s="26" t="n">
        <v>2542398</v>
      </c>
      <c r="M383" s="26" t="n">
        <v>2468382</v>
      </c>
      <c r="N383" s="26" t="n">
        <v>74016</v>
      </c>
      <c r="O383" s="26" t="n">
        <v>0</v>
      </c>
      <c r="P383" s="26" t="n">
        <v>74016</v>
      </c>
      <c r="Q383" s="26" t="n">
        <v>67540</v>
      </c>
      <c r="R383" s="26" t="n">
        <v>23807</v>
      </c>
      <c r="S383" s="26" t="n">
        <v>2633745</v>
      </c>
      <c r="T383" s="26" t="n">
        <v>2308568</v>
      </c>
      <c r="U383" s="26" t="n">
        <v>48357</v>
      </c>
      <c r="V383" s="26" t="n">
        <v>2356925</v>
      </c>
      <c r="W383" s="26" t="n">
        <v>2609938</v>
      </c>
      <c r="X383" s="27" t="n">
        <f aca="false">IF(V383=0,0,(W383-V383)/V383)</f>
        <v>0.107348770113601</v>
      </c>
      <c r="Y383" s="26" t="n">
        <v>2356925</v>
      </c>
      <c r="Z383" s="26" t="n">
        <v>1005662647.83</v>
      </c>
      <c r="AA383" s="26" t="n">
        <v>947242158.82</v>
      </c>
      <c r="AB383" s="28" t="n">
        <f aca="false">IF(B383=0,0,L383/B383*10000)</f>
        <v>3.59874987212566</v>
      </c>
      <c r="AC383" s="28" t="n">
        <f aca="false">IF(D383=0,0,M383/D383*10000)</f>
        <v>3.89386613043905</v>
      </c>
      <c r="AD383" s="28" t="n">
        <f aca="false">IF(C383=0,0,N383/C383*10000)</f>
        <v>1.02018541936157</v>
      </c>
      <c r="AE383" s="28" t="n">
        <f aca="false">IF(E383=0,0,Q383/E383*10000)</f>
        <v>4.94017408225514</v>
      </c>
    </row>
    <row r="384" customFormat="false" ht="15" hidden="false" customHeight="true" outlineLevel="0" collapsed="false">
      <c r="A384" s="7" t="s">
        <v>517</v>
      </c>
      <c r="B384" s="26" t="n">
        <v>4212841769</v>
      </c>
      <c r="C384" s="26" t="n">
        <v>545687520</v>
      </c>
      <c r="D384" s="26" t="n">
        <v>3667154249</v>
      </c>
      <c r="E384" s="26" t="n">
        <v>75921802</v>
      </c>
      <c r="F384" s="26" t="n">
        <v>470223387</v>
      </c>
      <c r="G384" s="26" t="n">
        <v>1852196</v>
      </c>
      <c r="H384" s="26" t="n">
        <v>36738309</v>
      </c>
      <c r="I384" s="26" t="n">
        <v>14420478</v>
      </c>
      <c r="J384" s="26" t="n">
        <v>22453150</v>
      </c>
      <c r="K384" s="26" t="n">
        <v>0</v>
      </c>
      <c r="L384" s="26" t="n">
        <v>1724657</v>
      </c>
      <c r="M384" s="26" t="n">
        <v>1656136</v>
      </c>
      <c r="N384" s="26" t="n">
        <v>68521</v>
      </c>
      <c r="O384" s="26" t="n">
        <v>0</v>
      </c>
      <c r="P384" s="26" t="n">
        <v>68521</v>
      </c>
      <c r="Q384" s="26" t="n">
        <v>37561</v>
      </c>
      <c r="R384" s="26" t="n">
        <v>15248</v>
      </c>
      <c r="S384" s="26" t="n">
        <v>1777466</v>
      </c>
      <c r="T384" s="26" t="n">
        <v>1481824</v>
      </c>
      <c r="U384" s="26" t="n">
        <v>27726</v>
      </c>
      <c r="V384" s="26" t="n">
        <v>1509550</v>
      </c>
      <c r="W384" s="26" t="n">
        <v>1762218</v>
      </c>
      <c r="X384" s="27" t="n">
        <f aca="false">IF(V384=0,0,(W384-V384)/V384)</f>
        <v>0.167379682686893</v>
      </c>
      <c r="Y384" s="26" t="n">
        <v>1509550</v>
      </c>
      <c r="Z384" s="26" t="n">
        <v>1005662647.83</v>
      </c>
      <c r="AA384" s="26" t="n">
        <v>947242158.82</v>
      </c>
      <c r="AB384" s="28" t="n">
        <f aca="false">IF(B384=0,0,L384/B384*10000)</f>
        <v>4.09380910693302</v>
      </c>
      <c r="AC384" s="28" t="n">
        <f aca="false">IF(D384=0,0,M384/D384*10000)</f>
        <v>4.51613400350316</v>
      </c>
      <c r="AD384" s="28" t="n">
        <f aca="false">IF(C384=0,0,N384/C384*10000)</f>
        <v>1.25568200643475</v>
      </c>
      <c r="AE384" s="28" t="n">
        <f aca="false">IF(E384=0,0,Q384/E384*10000)</f>
        <v>4.94732725126835</v>
      </c>
    </row>
    <row r="385" customFormat="false" ht="15" hidden="false" customHeight="true" outlineLevel="0" collapsed="false">
      <c r="A385" s="7" t="s">
        <v>518</v>
      </c>
      <c r="B385" s="26" t="n">
        <v>1736838058</v>
      </c>
      <c r="C385" s="26" t="n">
        <v>172284379</v>
      </c>
      <c r="D385" s="26" t="n">
        <v>1564553679</v>
      </c>
      <c r="E385" s="26" t="n">
        <v>51251339</v>
      </c>
      <c r="F385" s="26" t="n">
        <v>149383734</v>
      </c>
      <c r="G385" s="26" t="n">
        <v>620002</v>
      </c>
      <c r="H385" s="26" t="n">
        <v>3444871</v>
      </c>
      <c r="I385" s="26" t="n">
        <v>13934953</v>
      </c>
      <c r="J385" s="26" t="n">
        <v>4900820</v>
      </c>
      <c r="K385" s="26" t="n">
        <v>0</v>
      </c>
      <c r="L385" s="26" t="n">
        <v>840077</v>
      </c>
      <c r="M385" s="26" t="n">
        <v>800620</v>
      </c>
      <c r="N385" s="26" t="n">
        <v>39457</v>
      </c>
      <c r="O385" s="26" t="n">
        <v>0</v>
      </c>
      <c r="P385" s="26" t="n">
        <v>39457</v>
      </c>
      <c r="Q385" s="26" t="n">
        <v>26219</v>
      </c>
      <c r="R385" s="26" t="n">
        <v>7142</v>
      </c>
      <c r="S385" s="26" t="n">
        <v>873438</v>
      </c>
      <c r="T385" s="26" t="n">
        <v>686114</v>
      </c>
      <c r="U385" s="26" t="n">
        <v>20548</v>
      </c>
      <c r="V385" s="26" t="n">
        <v>706662</v>
      </c>
      <c r="W385" s="26" t="n">
        <v>866296</v>
      </c>
      <c r="X385" s="27" t="n">
        <f aca="false">IF(V385=0,0,(W385-V385)/V385)</f>
        <v>0.225898661594935</v>
      </c>
      <c r="Y385" s="26" t="n">
        <v>706662</v>
      </c>
      <c r="Z385" s="26" t="n">
        <v>1005662647.83</v>
      </c>
      <c r="AA385" s="26" t="n">
        <v>947242158.82</v>
      </c>
      <c r="AB385" s="28" t="n">
        <f aca="false">IF(B385=0,0,L385/B385*10000)</f>
        <v>4.83681824065603</v>
      </c>
      <c r="AC385" s="28" t="n">
        <f aca="false">IF(D385=0,0,M385/D385*10000)</f>
        <v>5.1172421294725</v>
      </c>
      <c r="AD385" s="28" t="n">
        <f aca="false">IF(C385=0,0,N385/C385*10000)</f>
        <v>2.29022504704272</v>
      </c>
      <c r="AE385" s="28" t="n">
        <f aca="false">IF(E385=0,0,Q385/E385*10000)</f>
        <v>5.11576878020689</v>
      </c>
    </row>
    <row r="386" customFormat="false" ht="15" hidden="false" customHeight="true" outlineLevel="0" collapsed="false">
      <c r="A386" s="7" t="s">
        <v>519</v>
      </c>
      <c r="B386" s="26" t="n">
        <v>2788759316</v>
      </c>
      <c r="C386" s="26" t="n">
        <v>185217000</v>
      </c>
      <c r="D386" s="26" t="n">
        <v>2603542316</v>
      </c>
      <c r="E386" s="26" t="n">
        <v>57878167</v>
      </c>
      <c r="F386" s="26" t="n">
        <v>148406974</v>
      </c>
      <c r="G386" s="26" t="n">
        <v>1312695</v>
      </c>
      <c r="H386" s="26" t="n">
        <v>9158885</v>
      </c>
      <c r="I386" s="26" t="n">
        <v>16518328</v>
      </c>
      <c r="J386" s="26" t="n">
        <v>9820118</v>
      </c>
      <c r="K386" s="26" t="n">
        <v>0</v>
      </c>
      <c r="L386" s="26" t="n">
        <v>1059881</v>
      </c>
      <c r="M386" s="26" t="n">
        <v>1027842</v>
      </c>
      <c r="N386" s="26" t="n">
        <v>32039</v>
      </c>
      <c r="O386" s="26" t="n">
        <v>0</v>
      </c>
      <c r="P386" s="26" t="n">
        <v>32039</v>
      </c>
      <c r="Q386" s="26" t="n">
        <v>29239</v>
      </c>
      <c r="R386" s="26" t="n">
        <v>10008</v>
      </c>
      <c r="S386" s="26" t="n">
        <v>1099128</v>
      </c>
      <c r="T386" s="26" t="n">
        <v>968504</v>
      </c>
      <c r="U386" s="26" t="n">
        <v>21914</v>
      </c>
      <c r="V386" s="26" t="n">
        <v>990418</v>
      </c>
      <c r="W386" s="26" t="n">
        <v>1089120</v>
      </c>
      <c r="X386" s="27" t="n">
        <f aca="false">IF(V386=0,0,(W386-V386)/V386)</f>
        <v>0.0996569125359192</v>
      </c>
      <c r="Y386" s="26" t="n">
        <v>990418</v>
      </c>
      <c r="Z386" s="26" t="n">
        <v>1005662647.83</v>
      </c>
      <c r="AA386" s="26" t="n">
        <v>947242158.82</v>
      </c>
      <c r="AB386" s="28" t="n">
        <f aca="false">IF(B386=0,0,L386/B386*10000)</f>
        <v>3.8005466944355</v>
      </c>
      <c r="AC386" s="28" t="n">
        <f aca="false">IF(D386=0,0,M386/D386*10000)</f>
        <v>3.94785978197252</v>
      </c>
      <c r="AD386" s="28" t="n">
        <f aca="false">IF(C386=0,0,N386/C386*10000)</f>
        <v>1.72980881884492</v>
      </c>
      <c r="AE386" s="28" t="n">
        <f aca="false">IF(E386=0,0,Q386/E386*10000)</f>
        <v>5.05181858990109</v>
      </c>
    </row>
    <row r="387" customFormat="false" ht="15" hidden="false" customHeight="true" outlineLevel="0" collapsed="false">
      <c r="A387" s="7" t="s">
        <v>520</v>
      </c>
      <c r="B387" s="26" t="n">
        <v>6364768345</v>
      </c>
      <c r="C387" s="26" t="n">
        <v>427030670</v>
      </c>
      <c r="D387" s="26" t="n">
        <v>5937737675</v>
      </c>
      <c r="E387" s="26" t="n">
        <v>117444553</v>
      </c>
      <c r="F387" s="26" t="n">
        <v>343233934</v>
      </c>
      <c r="G387" s="26" t="n">
        <v>1940118</v>
      </c>
      <c r="H387" s="26" t="n">
        <v>27597339</v>
      </c>
      <c r="I387" s="26" t="n">
        <v>29847702</v>
      </c>
      <c r="J387" s="26" t="n">
        <v>24411578</v>
      </c>
      <c r="K387" s="26" t="n">
        <v>0</v>
      </c>
      <c r="L387" s="26" t="n">
        <v>2224537</v>
      </c>
      <c r="M387" s="26" t="n">
        <v>2171418</v>
      </c>
      <c r="N387" s="26" t="n">
        <v>53119</v>
      </c>
      <c r="O387" s="26" t="n">
        <v>0</v>
      </c>
      <c r="P387" s="26" t="n">
        <v>53119</v>
      </c>
      <c r="Q387" s="26" t="n">
        <v>56525</v>
      </c>
      <c r="R387" s="26" t="n">
        <v>21301</v>
      </c>
      <c r="S387" s="26" t="n">
        <v>2302363</v>
      </c>
      <c r="T387" s="26" t="n">
        <v>2068038</v>
      </c>
      <c r="U387" s="26" t="n">
        <v>40687</v>
      </c>
      <c r="V387" s="26" t="n">
        <v>2108725</v>
      </c>
      <c r="W387" s="26" t="n">
        <v>2281062</v>
      </c>
      <c r="X387" s="27" t="n">
        <f aca="false">IF(V387=0,0,(W387-V387)/V387)</f>
        <v>0.0817256873229084</v>
      </c>
      <c r="Y387" s="26" t="n">
        <v>2108725</v>
      </c>
      <c r="Z387" s="26" t="n">
        <v>1005662647.83</v>
      </c>
      <c r="AA387" s="26" t="n">
        <v>947242158.82</v>
      </c>
      <c r="AB387" s="28" t="n">
        <f aca="false">IF(B387=0,0,L387/B387*10000)</f>
        <v>3.49507928556039</v>
      </c>
      <c r="AC387" s="28" t="n">
        <f aca="false">IF(D387=0,0,M387/D387*10000)</f>
        <v>3.65697866570032</v>
      </c>
      <c r="AD387" s="28" t="n">
        <f aca="false">IF(C387=0,0,N387/C387*10000)</f>
        <v>1.2439153375096</v>
      </c>
      <c r="AE387" s="28" t="n">
        <f aca="false">IF(E387=0,0,Q387/E387*10000)</f>
        <v>4.81290945864471</v>
      </c>
    </row>
    <row r="388" customFormat="false" ht="15" hidden="false" customHeight="true" outlineLevel="0" collapsed="false">
      <c r="A388" s="7" t="s">
        <v>521</v>
      </c>
      <c r="B388" s="26" t="n">
        <v>8971897272</v>
      </c>
      <c r="C388" s="26" t="n">
        <v>761916734</v>
      </c>
      <c r="D388" s="26" t="n">
        <v>8209980538</v>
      </c>
      <c r="E388" s="26" t="n">
        <v>197108564</v>
      </c>
      <c r="F388" s="26" t="n">
        <v>670890801</v>
      </c>
      <c r="G388" s="26" t="n">
        <v>2794201</v>
      </c>
      <c r="H388" s="26" t="n">
        <v>28005560</v>
      </c>
      <c r="I388" s="26" t="n">
        <v>36251457</v>
      </c>
      <c r="J388" s="26" t="n">
        <v>20173012</v>
      </c>
      <c r="K388" s="26" t="n">
        <v>3801703</v>
      </c>
      <c r="L388" s="26" t="n">
        <v>3116817</v>
      </c>
      <c r="M388" s="26" t="n">
        <v>3043717</v>
      </c>
      <c r="N388" s="26" t="n">
        <v>73100</v>
      </c>
      <c r="O388" s="26" t="n">
        <v>0</v>
      </c>
      <c r="P388" s="26" t="n">
        <v>73100</v>
      </c>
      <c r="Q388" s="26" t="n">
        <v>91965</v>
      </c>
      <c r="R388" s="26" t="n">
        <v>30095</v>
      </c>
      <c r="S388" s="26" t="n">
        <v>3238877</v>
      </c>
      <c r="T388" s="26" t="n">
        <v>2909227</v>
      </c>
      <c r="U388" s="26" t="n">
        <v>70546</v>
      </c>
      <c r="V388" s="26" t="n">
        <v>2979773</v>
      </c>
      <c r="W388" s="26" t="n">
        <v>3208782</v>
      </c>
      <c r="X388" s="27" t="n">
        <f aca="false">IF(V388=0,0,(W388-V388)/V388)</f>
        <v>0.0768545120718927</v>
      </c>
      <c r="Y388" s="26" t="n">
        <v>2979773</v>
      </c>
      <c r="Z388" s="26" t="n">
        <v>1005662647.83</v>
      </c>
      <c r="AA388" s="26" t="n">
        <v>947242158.82</v>
      </c>
      <c r="AB388" s="28" t="n">
        <f aca="false">IF(B388=0,0,L388/B388*10000)</f>
        <v>3.47397758301038</v>
      </c>
      <c r="AC388" s="28" t="n">
        <f aca="false">IF(D388=0,0,M388/D388*10000)</f>
        <v>3.70733765556705</v>
      </c>
      <c r="AD388" s="28" t="n">
        <f aca="false">IF(C388=0,0,N388/C388*10000)</f>
        <v>0.959422424235665</v>
      </c>
      <c r="AE388" s="28" t="n">
        <f aca="false">IF(E388=0,0,Q388/E388*10000)</f>
        <v>4.6657029067494</v>
      </c>
    </row>
    <row r="389" customFormat="false" ht="15" hidden="false" customHeight="true" outlineLevel="0" collapsed="false">
      <c r="A389" s="7" t="s">
        <v>522</v>
      </c>
      <c r="B389" s="26" t="n">
        <v>9864501235</v>
      </c>
      <c r="C389" s="26" t="n">
        <v>983595173</v>
      </c>
      <c r="D389" s="26" t="n">
        <v>8880906062</v>
      </c>
      <c r="E389" s="26" t="n">
        <v>151704575</v>
      </c>
      <c r="F389" s="26" t="n">
        <v>840447084</v>
      </c>
      <c r="G389" s="26" t="n">
        <v>2482425</v>
      </c>
      <c r="H389" s="26" t="n">
        <v>42090673</v>
      </c>
      <c r="I389" s="26" t="n">
        <v>34406898</v>
      </c>
      <c r="J389" s="26" t="n">
        <v>21438640</v>
      </c>
      <c r="K389" s="26" t="n">
        <v>42729453</v>
      </c>
      <c r="L389" s="26" t="n">
        <v>3306784</v>
      </c>
      <c r="M389" s="26" t="n">
        <v>3201768</v>
      </c>
      <c r="N389" s="26" t="n">
        <v>105016</v>
      </c>
      <c r="O389" s="26" t="n">
        <v>0</v>
      </c>
      <c r="P389" s="26" t="n">
        <v>105016</v>
      </c>
      <c r="Q389" s="26" t="n">
        <v>70936</v>
      </c>
      <c r="R389" s="26" t="n">
        <v>31557</v>
      </c>
      <c r="S389" s="26" t="n">
        <v>3409277</v>
      </c>
      <c r="T389" s="26" t="n">
        <v>3070305</v>
      </c>
      <c r="U389" s="26" t="n">
        <v>53892</v>
      </c>
      <c r="V389" s="26" t="n">
        <v>3124197</v>
      </c>
      <c r="W389" s="26" t="n">
        <v>3377720</v>
      </c>
      <c r="X389" s="27" t="n">
        <f aca="false">IF(V389=0,0,(W389-V389)/V389)</f>
        <v>0.0811482118445156</v>
      </c>
      <c r="Y389" s="26" t="n">
        <v>3124197</v>
      </c>
      <c r="Z389" s="26" t="n">
        <v>852839805.87</v>
      </c>
      <c r="AA389" s="26" t="n">
        <v>794394872.81</v>
      </c>
      <c r="AB389" s="28" t="n">
        <f aca="false">IF(B389=0,0,L389/B389*10000)</f>
        <v>3.35220597699079</v>
      </c>
      <c r="AC389" s="28" t="n">
        <f aca="false">IF(D389=0,0,M389/D389*10000)</f>
        <v>3.60522673885704</v>
      </c>
      <c r="AD389" s="28" t="n">
        <f aca="false">IF(C389=0,0,N389/C389*10000)</f>
        <v>1.06767502406196</v>
      </c>
      <c r="AE389" s="28" t="n">
        <f aca="false">IF(E389=0,0,Q389/E389*10000)</f>
        <v>4.67593017547427</v>
      </c>
    </row>
    <row r="390" customFormat="false" ht="15" hidden="false" customHeight="true" outlineLevel="0" collapsed="false">
      <c r="A390" s="7" t="s">
        <v>523</v>
      </c>
      <c r="B390" s="26" t="n">
        <v>6233603501</v>
      </c>
      <c r="C390" s="26" t="n">
        <v>923819230</v>
      </c>
      <c r="D390" s="26" t="n">
        <v>5309784271</v>
      </c>
      <c r="E390" s="26" t="n">
        <v>96399001</v>
      </c>
      <c r="F390" s="26" t="n">
        <v>820273262</v>
      </c>
      <c r="G390" s="26" t="n">
        <v>2228677</v>
      </c>
      <c r="H390" s="26" t="n">
        <v>22470446</v>
      </c>
      <c r="I390" s="26" t="n">
        <v>20862039</v>
      </c>
      <c r="J390" s="26" t="n">
        <v>23242222</v>
      </c>
      <c r="K390" s="26" t="n">
        <v>34742584</v>
      </c>
      <c r="L390" s="26" t="n">
        <v>2373145</v>
      </c>
      <c r="M390" s="26" t="n">
        <v>2249522</v>
      </c>
      <c r="N390" s="26" t="n">
        <v>123623</v>
      </c>
      <c r="O390" s="26" t="n">
        <v>0</v>
      </c>
      <c r="P390" s="26" t="n">
        <v>123623</v>
      </c>
      <c r="Q390" s="26" t="n">
        <v>90001</v>
      </c>
      <c r="R390" s="26" t="n">
        <v>21056</v>
      </c>
      <c r="S390" s="26" t="n">
        <v>2484202</v>
      </c>
      <c r="T390" s="26" t="n">
        <v>2006358</v>
      </c>
      <c r="U390" s="26" t="n">
        <v>78243</v>
      </c>
      <c r="V390" s="26" t="n">
        <v>2084601</v>
      </c>
      <c r="W390" s="26" t="n">
        <v>2463146</v>
      </c>
      <c r="X390" s="27" t="n">
        <f aca="false">IF(V390=0,0,(W390-V390)/V390)</f>
        <v>0.181591105444159</v>
      </c>
      <c r="Y390" s="26" t="n">
        <v>2084601</v>
      </c>
      <c r="Z390" s="26" t="n">
        <v>852839805.87</v>
      </c>
      <c r="AA390" s="26" t="n">
        <v>794394872.81</v>
      </c>
      <c r="AB390" s="28" t="n">
        <f aca="false">IF(B390=0,0,L390/B390*10000)</f>
        <v>3.80701948659278</v>
      </c>
      <c r="AC390" s="28" t="n">
        <f aca="false">IF(D390=0,0,M390/D390*10000)</f>
        <v>4.23656006569989</v>
      </c>
      <c r="AD390" s="28" t="n">
        <f aca="false">IF(C390=0,0,N390/C390*10000)</f>
        <v>1.33817305361786</v>
      </c>
      <c r="AE390" s="28" t="n">
        <f aca="false">IF(E390=0,0,Q390/E390*10000)</f>
        <v>9.3363000722383</v>
      </c>
    </row>
    <row r="391" customFormat="false" ht="15" hidden="false" customHeight="true" outlineLevel="0" collapsed="false">
      <c r="A391" s="7" t="s">
        <v>524</v>
      </c>
      <c r="B391" s="26" t="n">
        <v>6994382095</v>
      </c>
      <c r="C391" s="26" t="n">
        <v>879688067</v>
      </c>
      <c r="D391" s="26" t="n">
        <v>6114694028</v>
      </c>
      <c r="E391" s="26" t="n">
        <v>119850134</v>
      </c>
      <c r="F391" s="26" t="n">
        <v>742925988</v>
      </c>
      <c r="G391" s="26" t="n">
        <v>1721479</v>
      </c>
      <c r="H391" s="26" t="n">
        <v>22604975</v>
      </c>
      <c r="I391" s="26" t="n">
        <v>28204346</v>
      </c>
      <c r="J391" s="26" t="n">
        <v>31676830</v>
      </c>
      <c r="K391" s="26" t="n">
        <v>52554449</v>
      </c>
      <c r="L391" s="26" t="n">
        <v>2437459</v>
      </c>
      <c r="M391" s="26" t="n">
        <v>2347172</v>
      </c>
      <c r="N391" s="26" t="n">
        <v>90287</v>
      </c>
      <c r="O391" s="26" t="n">
        <v>0</v>
      </c>
      <c r="P391" s="26" t="n">
        <v>90287</v>
      </c>
      <c r="Q391" s="26" t="n">
        <v>190413</v>
      </c>
      <c r="R391" s="26" t="n">
        <v>22743</v>
      </c>
      <c r="S391" s="26" t="n">
        <v>2650615</v>
      </c>
      <c r="T391" s="26" t="n">
        <v>2073039</v>
      </c>
      <c r="U391" s="26" t="n">
        <v>178658</v>
      </c>
      <c r="V391" s="26" t="n">
        <v>2251697</v>
      </c>
      <c r="W391" s="26" t="n">
        <v>2627872</v>
      </c>
      <c r="X391" s="27" t="n">
        <f aca="false">IF(V391=0,0,(W391-V391)/V391)</f>
        <v>0.167062886347497</v>
      </c>
      <c r="Y391" s="26" t="n">
        <v>2251697</v>
      </c>
      <c r="Z391" s="26" t="n">
        <v>852839805.87</v>
      </c>
      <c r="AA391" s="26" t="n">
        <v>794394872.81</v>
      </c>
      <c r="AB391" s="28" t="n">
        <f aca="false">IF(B391=0,0,L391/B391*10000)</f>
        <v>3.48488110442585</v>
      </c>
      <c r="AC391" s="28" t="n">
        <f aca="false">IF(D391=0,0,M391/D391*10000)</f>
        <v>3.83857636907421</v>
      </c>
      <c r="AD391" s="28" t="n">
        <f aca="false">IF(C391=0,0,N391/C391*10000)</f>
        <v>1.02635244681567</v>
      </c>
      <c r="AE391" s="28" t="n">
        <f aca="false">IF(E391=0,0,Q391/E391*10000)</f>
        <v>15.8875917485416</v>
      </c>
    </row>
    <row r="392" customFormat="false" ht="15" hidden="false" customHeight="true" outlineLevel="0" collapsed="false">
      <c r="A392" s="7" t="s">
        <v>525</v>
      </c>
      <c r="B392" s="26" t="n">
        <v>1430891370</v>
      </c>
      <c r="C392" s="26" t="n">
        <v>196876545</v>
      </c>
      <c r="D392" s="26" t="n">
        <v>1234014825</v>
      </c>
      <c r="E392" s="26" t="n">
        <v>89581735</v>
      </c>
      <c r="F392" s="26" t="n">
        <v>153736879</v>
      </c>
      <c r="G392" s="26" t="n">
        <v>149832</v>
      </c>
      <c r="H392" s="26" t="n">
        <v>5369940</v>
      </c>
      <c r="I392" s="26" t="n">
        <v>19584898</v>
      </c>
      <c r="J392" s="26" t="n">
        <v>9164265</v>
      </c>
      <c r="K392" s="26" t="n">
        <v>8870730</v>
      </c>
      <c r="L392" s="26" t="n">
        <v>543414</v>
      </c>
      <c r="M392" s="26" t="n">
        <v>511565</v>
      </c>
      <c r="N392" s="26" t="n">
        <v>31849</v>
      </c>
      <c r="O392" s="26" t="n">
        <v>0</v>
      </c>
      <c r="P392" s="26" t="n">
        <v>31849</v>
      </c>
      <c r="Q392" s="26" t="n">
        <v>44628</v>
      </c>
      <c r="R392" s="26" t="n">
        <v>5245</v>
      </c>
      <c r="S392" s="26" t="n">
        <v>593287</v>
      </c>
      <c r="T392" s="26" t="n">
        <v>486125</v>
      </c>
      <c r="U392" s="26" t="n">
        <v>33081</v>
      </c>
      <c r="V392" s="26" t="n">
        <v>519206</v>
      </c>
      <c r="W392" s="26" t="n">
        <v>588042</v>
      </c>
      <c r="X392" s="27" t="n">
        <f aca="false">IF(V392=0,0,(W392-V392)/V392)</f>
        <v>0.132579361563618</v>
      </c>
      <c r="Y392" s="26" t="n">
        <v>519206</v>
      </c>
      <c r="Z392" s="26" t="n">
        <v>852839805.87</v>
      </c>
      <c r="AA392" s="26" t="n">
        <v>794394872.81</v>
      </c>
      <c r="AB392" s="28" t="n">
        <f aca="false">IF(B392=0,0,L392/B392*10000)</f>
        <v>3.79773064114574</v>
      </c>
      <c r="AC392" s="28" t="n">
        <f aca="false">IF(D392=0,0,M392/D392*10000)</f>
        <v>4.14553366488121</v>
      </c>
      <c r="AD392" s="28" t="n">
        <f aca="false">IF(C392=0,0,N392/C392*10000)</f>
        <v>1.61771428892152</v>
      </c>
      <c r="AE392" s="28" t="n">
        <f aca="false">IF(E392=0,0,Q392/E392*10000)</f>
        <v>4.9818191174797</v>
      </c>
    </row>
    <row r="393" customFormat="false" ht="15" hidden="false" customHeight="true" outlineLevel="0" collapsed="false">
      <c r="A393" s="7" t="s">
        <v>526</v>
      </c>
      <c r="B393" s="26" t="n">
        <v>5828353594</v>
      </c>
      <c r="C393" s="26" t="n">
        <v>446889136</v>
      </c>
      <c r="D393" s="26" t="n">
        <v>5381464458</v>
      </c>
      <c r="E393" s="26" t="n">
        <v>106819108</v>
      </c>
      <c r="F393" s="26" t="n">
        <v>342307857</v>
      </c>
      <c r="G393" s="26" t="n">
        <v>705332</v>
      </c>
      <c r="H393" s="26" t="n">
        <v>16086572</v>
      </c>
      <c r="I393" s="26" t="n">
        <v>34916049</v>
      </c>
      <c r="J393" s="26" t="n">
        <v>10621161</v>
      </c>
      <c r="K393" s="26" t="n">
        <v>42252165</v>
      </c>
      <c r="L393" s="26" t="n">
        <v>2065833</v>
      </c>
      <c r="M393" s="26" t="n">
        <v>1975371</v>
      </c>
      <c r="N393" s="26" t="n">
        <v>90462</v>
      </c>
      <c r="O393" s="26" t="n">
        <v>0</v>
      </c>
      <c r="P393" s="26" t="n">
        <v>90462</v>
      </c>
      <c r="Q393" s="26" t="n">
        <v>47236</v>
      </c>
      <c r="R393" s="26" t="n">
        <v>19133</v>
      </c>
      <c r="S393" s="26" t="n">
        <v>2132202</v>
      </c>
      <c r="T393" s="26" t="n">
        <v>1857752</v>
      </c>
      <c r="U393" s="26" t="n">
        <v>36242</v>
      </c>
      <c r="V393" s="26" t="n">
        <v>1893994</v>
      </c>
      <c r="W393" s="26" t="n">
        <v>2113069</v>
      </c>
      <c r="X393" s="27" t="n">
        <f aca="false">IF(V393=0,0,(W393-V393)/V393)</f>
        <v>0.115668265052582</v>
      </c>
      <c r="Y393" s="26" t="n">
        <v>1893994</v>
      </c>
      <c r="Z393" s="26" t="n">
        <v>852839805.87</v>
      </c>
      <c r="AA393" s="26" t="n">
        <v>794394872.81</v>
      </c>
      <c r="AB393" s="28" t="n">
        <f aca="false">IF(B393=0,0,L393/B393*10000)</f>
        <v>3.54445379245122</v>
      </c>
      <c r="AC393" s="28" t="n">
        <f aca="false">IF(D393=0,0,M393/D393*10000)</f>
        <v>3.67069413059756</v>
      </c>
      <c r="AD393" s="28" t="n">
        <f aca="false">IF(C393=0,0,N393/C393*10000)</f>
        <v>2.02426044207976</v>
      </c>
      <c r="AE393" s="28" t="n">
        <f aca="false">IF(E393=0,0,Q393/E393*10000)</f>
        <v>4.42205527497946</v>
      </c>
    </row>
    <row r="394" customFormat="false" ht="15" hidden="false" customHeight="true" outlineLevel="0" collapsed="false">
      <c r="A394" s="7" t="s">
        <v>527</v>
      </c>
      <c r="B394" s="26" t="n">
        <v>7136518887</v>
      </c>
      <c r="C394" s="26" t="n">
        <v>1712251756</v>
      </c>
      <c r="D394" s="26" t="n">
        <v>5424267131</v>
      </c>
      <c r="E394" s="26" t="n">
        <v>120206697</v>
      </c>
      <c r="F394" s="26" t="n">
        <v>1517549306</v>
      </c>
      <c r="G394" s="26" t="n">
        <v>1156675</v>
      </c>
      <c r="H394" s="26" t="n">
        <v>60664714</v>
      </c>
      <c r="I394" s="26" t="n">
        <v>30654469</v>
      </c>
      <c r="J394" s="26" t="n">
        <v>35883296</v>
      </c>
      <c r="K394" s="26" t="n">
        <v>66343296</v>
      </c>
      <c r="L394" s="26" t="n">
        <v>2377294</v>
      </c>
      <c r="M394" s="26" t="n">
        <v>2209476</v>
      </c>
      <c r="N394" s="26" t="n">
        <v>167818</v>
      </c>
      <c r="O394" s="26" t="n">
        <v>0</v>
      </c>
      <c r="P394" s="26" t="n">
        <v>167818</v>
      </c>
      <c r="Q394" s="26" t="n">
        <v>57894</v>
      </c>
      <c r="R394" s="26" t="n">
        <v>21826</v>
      </c>
      <c r="S394" s="26" t="n">
        <v>2457014</v>
      </c>
      <c r="T394" s="26" t="n">
        <v>2113795</v>
      </c>
      <c r="U394" s="26" t="n">
        <v>47489</v>
      </c>
      <c r="V394" s="26" t="n">
        <v>2161284</v>
      </c>
      <c r="W394" s="26" t="n">
        <v>2435188</v>
      </c>
      <c r="X394" s="27" t="n">
        <f aca="false">IF(V394=0,0,(W394-V394)/V394)</f>
        <v>0.126732072231137</v>
      </c>
      <c r="Y394" s="26" t="n">
        <v>2161284</v>
      </c>
      <c r="Z394" s="26" t="n">
        <v>852839805.87</v>
      </c>
      <c r="AA394" s="26" t="n">
        <v>794394872.81</v>
      </c>
      <c r="AB394" s="28" t="n">
        <f aca="false">IF(B394=0,0,L394/B394*10000)</f>
        <v>3.33116753089594</v>
      </c>
      <c r="AC394" s="28" t="n">
        <f aca="false">IF(D394=0,0,M394/D394*10000)</f>
        <v>4.07331708899939</v>
      </c>
      <c r="AD394" s="28" t="n">
        <f aca="false">IF(C394=0,0,N394/C394*10000)</f>
        <v>0.980101199557479</v>
      </c>
      <c r="AE394" s="28" t="n">
        <f aca="false">IF(E394=0,0,Q394/E394*10000)</f>
        <v>4.8162042086557</v>
      </c>
    </row>
    <row r="395" customFormat="false" ht="15" hidden="false" customHeight="true" outlineLevel="0" collapsed="false">
      <c r="A395" s="7" t="s">
        <v>528</v>
      </c>
      <c r="B395" s="26" t="n">
        <v>6516468906</v>
      </c>
      <c r="C395" s="26" t="n">
        <v>1790572989</v>
      </c>
      <c r="D395" s="26" t="n">
        <v>4725895917</v>
      </c>
      <c r="E395" s="26" t="n">
        <v>207050020</v>
      </c>
      <c r="F395" s="26" t="n">
        <v>1593473279</v>
      </c>
      <c r="G395" s="26" t="n">
        <v>1261595</v>
      </c>
      <c r="H395" s="26" t="n">
        <v>74692980</v>
      </c>
      <c r="I395" s="26" t="n">
        <v>35822229</v>
      </c>
      <c r="J395" s="26" t="n">
        <v>37139520</v>
      </c>
      <c r="K395" s="26" t="n">
        <v>48183386</v>
      </c>
      <c r="L395" s="26" t="n">
        <v>2075882</v>
      </c>
      <c r="M395" s="26" t="n">
        <v>1918155</v>
      </c>
      <c r="N395" s="26" t="n">
        <v>157727</v>
      </c>
      <c r="O395" s="26" t="n">
        <v>0</v>
      </c>
      <c r="P395" s="26" t="n">
        <v>157727</v>
      </c>
      <c r="Q395" s="26" t="n">
        <v>110490</v>
      </c>
      <c r="R395" s="26" t="n">
        <v>19932</v>
      </c>
      <c r="S395" s="26" t="n">
        <v>2206304</v>
      </c>
      <c r="T395" s="26" t="n">
        <v>1877313</v>
      </c>
      <c r="U395" s="26" t="n">
        <v>98349</v>
      </c>
      <c r="V395" s="26" t="n">
        <v>1975662</v>
      </c>
      <c r="W395" s="26" t="n">
        <v>2186372</v>
      </c>
      <c r="X395" s="27" t="n">
        <f aca="false">IF(V395=0,0,(W395-V395)/V395)</f>
        <v>0.106652858636751</v>
      </c>
      <c r="Y395" s="26" t="n">
        <v>1975662</v>
      </c>
      <c r="Z395" s="26" t="n">
        <v>852839805.87</v>
      </c>
      <c r="AA395" s="26" t="n">
        <v>794394872.81</v>
      </c>
      <c r="AB395" s="28" t="n">
        <f aca="false">IF(B395=0,0,L395/B395*10000)</f>
        <v>3.1855933480917</v>
      </c>
      <c r="AC395" s="28" t="n">
        <f aca="false">IF(D395=0,0,M395/D395*10000)</f>
        <v>4.05881770078772</v>
      </c>
      <c r="AD395" s="28" t="n">
        <f aca="false">IF(C395=0,0,N395/C395*10000)</f>
        <v>0.880874451747915</v>
      </c>
      <c r="AE395" s="28" t="n">
        <f aca="false">IF(E395=0,0,Q395/E395*10000)</f>
        <v>5.33639166033406</v>
      </c>
    </row>
    <row r="396" customFormat="false" ht="15" hidden="false" customHeight="true" outlineLevel="0" collapsed="false">
      <c r="A396" s="7" t="s">
        <v>529</v>
      </c>
      <c r="B396" s="26" t="n">
        <v>9258881747</v>
      </c>
      <c r="C396" s="26" t="n">
        <v>2217417396</v>
      </c>
      <c r="D396" s="26" t="n">
        <v>7041464351</v>
      </c>
      <c r="E396" s="26" t="n">
        <v>308503112</v>
      </c>
      <c r="F396" s="26" t="n">
        <v>1953551387</v>
      </c>
      <c r="G396" s="26" t="n">
        <v>1917981</v>
      </c>
      <c r="H396" s="26" t="n">
        <v>38297359</v>
      </c>
      <c r="I396" s="26" t="n">
        <v>40113498</v>
      </c>
      <c r="J396" s="26" t="n">
        <v>52703063</v>
      </c>
      <c r="K396" s="26" t="n">
        <v>130834107</v>
      </c>
      <c r="L396" s="26" t="n">
        <v>2792633</v>
      </c>
      <c r="M396" s="26" t="n">
        <v>2567958</v>
      </c>
      <c r="N396" s="26" t="n">
        <v>224675</v>
      </c>
      <c r="O396" s="26" t="n">
        <v>0</v>
      </c>
      <c r="P396" s="26" t="n">
        <v>224675</v>
      </c>
      <c r="Q396" s="26" t="n">
        <v>158693</v>
      </c>
      <c r="R396" s="26" t="n">
        <v>27377</v>
      </c>
      <c r="S396" s="26" t="n">
        <v>2978703</v>
      </c>
      <c r="T396" s="26" t="n">
        <v>2568483</v>
      </c>
      <c r="U396" s="26" t="n">
        <v>141364</v>
      </c>
      <c r="V396" s="26" t="n">
        <v>2709847</v>
      </c>
      <c r="W396" s="26" t="n">
        <v>2951326</v>
      </c>
      <c r="X396" s="27" t="n">
        <f aca="false">IF(V396=0,0,(W396-V396)/V396)</f>
        <v>0.0891116730944588</v>
      </c>
      <c r="Y396" s="26" t="n">
        <v>2709847</v>
      </c>
      <c r="Z396" s="26" t="n">
        <v>1345375396.31</v>
      </c>
      <c r="AA396" s="26" t="n">
        <v>1286910341.42</v>
      </c>
      <c r="AB396" s="28" t="n">
        <f aca="false">IF(B396=0,0,L396/B396*10000)</f>
        <v>3.01616661310622</v>
      </c>
      <c r="AC396" s="28" t="n">
        <f aca="false">IF(D396=0,0,M396/D396*10000)</f>
        <v>3.64690904049711</v>
      </c>
      <c r="AD396" s="28" t="n">
        <f aca="false">IF(C396=0,0,N396/C396*10000)</f>
        <v>1.01322827360014</v>
      </c>
      <c r="AE396" s="28" t="n">
        <f aca="false">IF(E396=0,0,Q396/E396*10000)</f>
        <v>5.14396755906955</v>
      </c>
    </row>
    <row r="397" customFormat="false" ht="15" hidden="false" customHeight="true" outlineLevel="0" collapsed="false">
      <c r="A397" s="7" t="s">
        <v>530</v>
      </c>
      <c r="B397" s="26" t="n">
        <v>14528734441</v>
      </c>
      <c r="C397" s="26" t="n">
        <v>3321344474</v>
      </c>
      <c r="D397" s="26" t="n">
        <v>11207389967</v>
      </c>
      <c r="E397" s="26" t="n">
        <v>330268020</v>
      </c>
      <c r="F397" s="26" t="n">
        <v>2894971971</v>
      </c>
      <c r="G397" s="26" t="n">
        <v>4495170</v>
      </c>
      <c r="H397" s="26" t="n">
        <v>85477999</v>
      </c>
      <c r="I397" s="26" t="n">
        <v>51506186</v>
      </c>
      <c r="J397" s="26" t="n">
        <v>80911377</v>
      </c>
      <c r="K397" s="26" t="n">
        <v>203981771</v>
      </c>
      <c r="L397" s="26" t="n">
        <v>4528504</v>
      </c>
      <c r="M397" s="26" t="n">
        <v>4194998</v>
      </c>
      <c r="N397" s="26" t="n">
        <v>333506</v>
      </c>
      <c r="O397" s="26" t="n">
        <v>0</v>
      </c>
      <c r="P397" s="26" t="n">
        <v>333506</v>
      </c>
      <c r="Q397" s="26" t="n">
        <v>164983</v>
      </c>
      <c r="R397" s="26" t="n">
        <v>43439</v>
      </c>
      <c r="S397" s="26" t="n">
        <v>4736926</v>
      </c>
      <c r="T397" s="26" t="n">
        <v>4159521</v>
      </c>
      <c r="U397" s="26" t="n">
        <v>140577</v>
      </c>
      <c r="V397" s="26" t="n">
        <v>4300098</v>
      </c>
      <c r="W397" s="26" t="n">
        <v>4693487</v>
      </c>
      <c r="X397" s="27" t="n">
        <f aca="false">IF(V397=0,0,(W397-V397)/V397)</f>
        <v>0.0914837289754792</v>
      </c>
      <c r="Y397" s="26" t="n">
        <v>4300098</v>
      </c>
      <c r="Z397" s="26" t="n">
        <v>1345375396.31</v>
      </c>
      <c r="AA397" s="26" t="n">
        <v>1286910341.42</v>
      </c>
      <c r="AB397" s="28" t="n">
        <f aca="false">IF(B397=0,0,L397/B397*10000)</f>
        <v>3.11692943276641</v>
      </c>
      <c r="AC397" s="28" t="n">
        <f aca="false">IF(D397=0,0,M397/D397*10000)</f>
        <v>3.7430641856419</v>
      </c>
      <c r="AD397" s="28" t="n">
        <f aca="false">IF(C397=0,0,N397/C397*10000)</f>
        <v>1.0041295102352</v>
      </c>
      <c r="AE397" s="28" t="n">
        <f aca="false">IF(E397=0,0,Q397/E397*10000)</f>
        <v>4.99542765297106</v>
      </c>
    </row>
    <row r="398" customFormat="false" ht="15" hidden="false" customHeight="true" outlineLevel="0" collapsed="false">
      <c r="A398" s="7" t="s">
        <v>531</v>
      </c>
      <c r="B398" s="26" t="n">
        <v>15342591866</v>
      </c>
      <c r="C398" s="26" t="n">
        <v>4832638727</v>
      </c>
      <c r="D398" s="26" t="n">
        <v>10509953139</v>
      </c>
      <c r="E398" s="26" t="n">
        <v>370980740</v>
      </c>
      <c r="F398" s="26" t="n">
        <v>4304984141</v>
      </c>
      <c r="G398" s="26" t="n">
        <v>7410673</v>
      </c>
      <c r="H398" s="26" t="n">
        <v>144292370</v>
      </c>
      <c r="I398" s="26" t="n">
        <v>54243261</v>
      </c>
      <c r="J398" s="26" t="n">
        <v>77313713</v>
      </c>
      <c r="K398" s="26" t="n">
        <v>244394569</v>
      </c>
      <c r="L398" s="26" t="n">
        <v>4561815</v>
      </c>
      <c r="M398" s="26" t="n">
        <v>4182196</v>
      </c>
      <c r="N398" s="26" t="n">
        <v>379619</v>
      </c>
      <c r="O398" s="26" t="n">
        <v>0</v>
      </c>
      <c r="P398" s="26" t="n">
        <v>379619</v>
      </c>
      <c r="Q398" s="26" t="n">
        <v>177806</v>
      </c>
      <c r="R398" s="26" t="n">
        <v>43948</v>
      </c>
      <c r="S398" s="26" t="n">
        <v>4783569</v>
      </c>
      <c r="T398" s="26" t="n">
        <v>4197996</v>
      </c>
      <c r="U398" s="26" t="n">
        <v>152715</v>
      </c>
      <c r="V398" s="26" t="n">
        <v>4350711</v>
      </c>
      <c r="W398" s="26" t="n">
        <v>4739621</v>
      </c>
      <c r="X398" s="27" t="n">
        <f aca="false">IF(V398=0,0,(W398-V398)/V398)</f>
        <v>0.0893899870618848</v>
      </c>
      <c r="Y398" s="26" t="n">
        <v>4350711</v>
      </c>
      <c r="Z398" s="26" t="n">
        <v>1345375396.31</v>
      </c>
      <c r="AA398" s="26" t="n">
        <v>1286910341.42</v>
      </c>
      <c r="AB398" s="28" t="n">
        <f aca="false">IF(B398=0,0,L398/B398*10000)</f>
        <v>2.97330140815987</v>
      </c>
      <c r="AC398" s="28" t="n">
        <f aca="false">IF(D398=0,0,M398/D398*10000)</f>
        <v>3.97927178617081</v>
      </c>
      <c r="AD398" s="28" t="n">
        <f aca="false">IF(C398=0,0,N398/C398*10000)</f>
        <v>0.785531510723251</v>
      </c>
      <c r="AE398" s="28" t="n">
        <f aca="false">IF(E398=0,0,Q398/E398*10000)</f>
        <v>4.79286337075073</v>
      </c>
    </row>
    <row r="399" customFormat="false" ht="15" hidden="false" customHeight="true" outlineLevel="0" collapsed="false">
      <c r="A399" s="7" t="s">
        <v>532</v>
      </c>
      <c r="B399" s="26" t="n">
        <v>12948107605</v>
      </c>
      <c r="C399" s="26" t="n">
        <v>453482411</v>
      </c>
      <c r="D399" s="26" t="n">
        <v>12494625194</v>
      </c>
      <c r="E399" s="26" t="n">
        <v>353806191</v>
      </c>
      <c r="F399" s="26" t="n">
        <v>357041927</v>
      </c>
      <c r="G399" s="26" t="n">
        <v>906051</v>
      </c>
      <c r="H399" s="26" t="n">
        <v>6849794</v>
      </c>
      <c r="I399" s="26" t="n">
        <v>57240551</v>
      </c>
      <c r="J399" s="26" t="n">
        <v>17391430</v>
      </c>
      <c r="K399" s="26" t="n">
        <v>14052658</v>
      </c>
      <c r="L399" s="26" t="n">
        <v>4470885</v>
      </c>
      <c r="M399" s="26" t="n">
        <v>4413804</v>
      </c>
      <c r="N399" s="26" t="n">
        <v>57081</v>
      </c>
      <c r="O399" s="26" t="n">
        <v>0</v>
      </c>
      <c r="P399" s="26" t="n">
        <v>57081</v>
      </c>
      <c r="Q399" s="26" t="n">
        <v>168742</v>
      </c>
      <c r="R399" s="26" t="n">
        <v>43586</v>
      </c>
      <c r="S399" s="26" t="n">
        <v>4683213</v>
      </c>
      <c r="T399" s="26" t="n">
        <v>4181537</v>
      </c>
      <c r="U399" s="26" t="n">
        <v>134186</v>
      </c>
      <c r="V399" s="26" t="n">
        <v>4315723</v>
      </c>
      <c r="W399" s="26" t="n">
        <v>4639627</v>
      </c>
      <c r="X399" s="27" t="n">
        <f aca="false">IF(V399=0,0,(W399-V399)/V399)</f>
        <v>0.0750520828143975</v>
      </c>
      <c r="Y399" s="26" t="n">
        <v>4315723</v>
      </c>
      <c r="Z399" s="26" t="n">
        <v>1345375396.31</v>
      </c>
      <c r="AA399" s="26" t="n">
        <v>1286910341.42</v>
      </c>
      <c r="AB399" s="28" t="n">
        <f aca="false">IF(B399=0,0,L399/B399*10000)</f>
        <v>3.45292542848002</v>
      </c>
      <c r="AC399" s="28" t="n">
        <f aca="false">IF(D399=0,0,M399/D399*10000)</f>
        <v>3.5325621468978</v>
      </c>
      <c r="AD399" s="28" t="n">
        <f aca="false">IF(C399=0,0,N399/C399*10000)</f>
        <v>1.25872577668729</v>
      </c>
      <c r="AE399" s="28" t="n">
        <f aca="false">IF(E399=0,0,Q399/E399*10000)</f>
        <v>4.76933429353134</v>
      </c>
    </row>
    <row r="400" customFormat="false" ht="15" hidden="false" customHeight="true" outlineLevel="0" collapsed="false">
      <c r="A400" s="7" t="s">
        <v>533</v>
      </c>
      <c r="B400" s="26" t="n">
        <v>8297004083</v>
      </c>
      <c r="C400" s="26" t="n">
        <v>572206943</v>
      </c>
      <c r="D400" s="26" t="n">
        <v>7724797140</v>
      </c>
      <c r="E400" s="26" t="n">
        <v>216693089</v>
      </c>
      <c r="F400" s="26" t="n">
        <v>432000711</v>
      </c>
      <c r="G400" s="26" t="n">
        <v>919757</v>
      </c>
      <c r="H400" s="26" t="n">
        <v>10293858</v>
      </c>
      <c r="I400" s="26" t="n">
        <v>37114745</v>
      </c>
      <c r="J400" s="26" t="n">
        <v>15699731</v>
      </c>
      <c r="K400" s="26" t="n">
        <v>76178140</v>
      </c>
      <c r="L400" s="26" t="n">
        <v>3172139</v>
      </c>
      <c r="M400" s="26" t="n">
        <v>3099806</v>
      </c>
      <c r="N400" s="26" t="n">
        <v>72333</v>
      </c>
      <c r="O400" s="26" t="n">
        <v>0</v>
      </c>
      <c r="P400" s="26" t="n">
        <v>72333</v>
      </c>
      <c r="Q400" s="26" t="n">
        <v>103743</v>
      </c>
      <c r="R400" s="26" t="n">
        <v>29751</v>
      </c>
      <c r="S400" s="26" t="n">
        <v>3305633</v>
      </c>
      <c r="T400" s="26" t="n">
        <v>2858425</v>
      </c>
      <c r="U400" s="26" t="n">
        <v>87509</v>
      </c>
      <c r="V400" s="26" t="n">
        <v>2945934</v>
      </c>
      <c r="W400" s="26" t="n">
        <v>3275882</v>
      </c>
      <c r="X400" s="27" t="n">
        <f aca="false">IF(V400=0,0,(W400-V400)/V400)</f>
        <v>0.112001151417513</v>
      </c>
      <c r="Y400" s="26" t="n">
        <v>2945934</v>
      </c>
      <c r="Z400" s="26" t="n">
        <v>1345375396.31</v>
      </c>
      <c r="AA400" s="26" t="n">
        <v>1286910341.42</v>
      </c>
      <c r="AB400" s="28" t="n">
        <f aca="false">IF(B400=0,0,L400/B400*10000)</f>
        <v>3.82323422800225</v>
      </c>
      <c r="AC400" s="28" t="n">
        <f aca="false">IF(D400=0,0,M400/D400*10000)</f>
        <v>4.0127992280196</v>
      </c>
      <c r="AD400" s="28" t="n">
        <f aca="false">IF(C400=0,0,N400/C400*10000)</f>
        <v>1.26410559824333</v>
      </c>
      <c r="AE400" s="28" t="n">
        <f aca="false">IF(E400=0,0,Q400/E400*10000)</f>
        <v>4.78755462293493</v>
      </c>
    </row>
    <row r="401" customFormat="false" ht="15" hidden="false" customHeight="true" outlineLevel="0" collapsed="false">
      <c r="A401" s="7" t="s">
        <v>534</v>
      </c>
      <c r="B401" s="26" t="n">
        <v>11778172735</v>
      </c>
      <c r="C401" s="26" t="n">
        <v>3497482625</v>
      </c>
      <c r="D401" s="26" t="n">
        <v>8280690110</v>
      </c>
      <c r="E401" s="26" t="n">
        <v>345233535</v>
      </c>
      <c r="F401" s="26" t="n">
        <v>2906165219</v>
      </c>
      <c r="G401" s="26" t="n">
        <v>6798492</v>
      </c>
      <c r="H401" s="26" t="n">
        <v>87816752</v>
      </c>
      <c r="I401" s="26" t="n">
        <v>52013625</v>
      </c>
      <c r="J401" s="26" t="n">
        <v>54808689</v>
      </c>
      <c r="K401" s="26" t="n">
        <v>389879848</v>
      </c>
      <c r="L401" s="26" t="n">
        <v>3532693</v>
      </c>
      <c r="M401" s="26" t="n">
        <v>3268957</v>
      </c>
      <c r="N401" s="26" t="n">
        <v>263736</v>
      </c>
      <c r="O401" s="26" t="n">
        <v>0</v>
      </c>
      <c r="P401" s="26" t="n">
        <v>263736</v>
      </c>
      <c r="Q401" s="26" t="n">
        <v>165128</v>
      </c>
      <c r="R401" s="26" t="n">
        <v>34178</v>
      </c>
      <c r="S401" s="26" t="n">
        <v>3731999</v>
      </c>
      <c r="T401" s="26" t="n">
        <v>3247348</v>
      </c>
      <c r="U401" s="26" t="n">
        <v>138368</v>
      </c>
      <c r="V401" s="26" t="n">
        <v>3385716</v>
      </c>
      <c r="W401" s="26" t="n">
        <v>3697821</v>
      </c>
      <c r="X401" s="27" t="n">
        <f aca="false">IF(V401=0,0,(W401-V401)/V401)</f>
        <v>0.0921828647175369</v>
      </c>
      <c r="Y401" s="26" t="n">
        <v>3385716</v>
      </c>
      <c r="Z401" s="26" t="n">
        <v>1345375396.31</v>
      </c>
      <c r="AA401" s="26" t="n">
        <v>1286910341.42</v>
      </c>
      <c r="AB401" s="28" t="n">
        <f aca="false">IF(B401=0,0,L401/B401*10000)</f>
        <v>2.99935574004808</v>
      </c>
      <c r="AC401" s="28" t="n">
        <f aca="false">IF(D401=0,0,M401/D401*10000)</f>
        <v>3.94768667414847</v>
      </c>
      <c r="AD401" s="28" t="n">
        <f aca="false">IF(C401=0,0,N401/C401*10000)</f>
        <v>0.754073796149309</v>
      </c>
      <c r="AE401" s="28" t="n">
        <f aca="false">IF(E401=0,0,Q401/E401*10000)</f>
        <v>4.78308111058794</v>
      </c>
    </row>
    <row r="402" customFormat="false" ht="15" hidden="false" customHeight="true" outlineLevel="0" collapsed="false">
      <c r="A402" s="7" t="s">
        <v>535</v>
      </c>
      <c r="B402" s="26" t="n">
        <v>13084307464</v>
      </c>
      <c r="C402" s="26" t="n">
        <v>2764670755</v>
      </c>
      <c r="D402" s="26" t="n">
        <v>10319636709</v>
      </c>
      <c r="E402" s="26" t="n">
        <v>418094057</v>
      </c>
      <c r="F402" s="26" t="n">
        <v>2285989518</v>
      </c>
      <c r="G402" s="26" t="n">
        <v>10689681</v>
      </c>
      <c r="H402" s="26" t="n">
        <v>119614287</v>
      </c>
      <c r="I402" s="26" t="n">
        <v>64981465</v>
      </c>
      <c r="J402" s="26" t="n">
        <v>98322710</v>
      </c>
      <c r="K402" s="26" t="n">
        <v>185073094</v>
      </c>
      <c r="L402" s="26" t="n">
        <v>4075229</v>
      </c>
      <c r="M402" s="26" t="n">
        <v>3856690</v>
      </c>
      <c r="N402" s="26" t="n">
        <v>218539</v>
      </c>
      <c r="O402" s="26" t="n">
        <v>0</v>
      </c>
      <c r="P402" s="26" t="n">
        <v>218539</v>
      </c>
      <c r="Q402" s="26" t="n">
        <v>193813</v>
      </c>
      <c r="R402" s="26" t="n">
        <v>39870</v>
      </c>
      <c r="S402" s="26" t="n">
        <v>4308912</v>
      </c>
      <c r="T402" s="26" t="n">
        <v>3778351</v>
      </c>
      <c r="U402" s="26" t="n">
        <v>169063</v>
      </c>
      <c r="V402" s="26" t="n">
        <v>3947414</v>
      </c>
      <c r="W402" s="26" t="n">
        <v>4269042</v>
      </c>
      <c r="X402" s="27" t="n">
        <f aca="false">IF(V402=0,0,(W402-V402)/V402)</f>
        <v>0.0814781525322654</v>
      </c>
      <c r="Y402" s="26" t="n">
        <v>3947414</v>
      </c>
      <c r="Z402" s="26" t="n">
        <v>1345375396.31</v>
      </c>
      <c r="AA402" s="26" t="n">
        <v>1286910341.42</v>
      </c>
      <c r="AB402" s="28" t="n">
        <f aca="false">IF(B402=0,0,L402/B402*10000)</f>
        <v>3.11459281372937</v>
      </c>
      <c r="AC402" s="28" t="n">
        <f aca="false">IF(D402=0,0,M402/D402*10000)</f>
        <v>3.73723427360237</v>
      </c>
      <c r="AD402" s="28" t="n">
        <f aca="false">IF(C402=0,0,N402/C402*10000)</f>
        <v>0.790470256195118</v>
      </c>
      <c r="AE402" s="28" t="n">
        <f aca="false">IF(E402=0,0,Q402/E402*10000)</f>
        <v>4.63563154642019</v>
      </c>
    </row>
    <row r="403" customFormat="false" ht="15" hidden="false" customHeight="true" outlineLevel="0" collapsed="false">
      <c r="A403" s="7" t="s">
        <v>536</v>
      </c>
      <c r="B403" s="26" t="n">
        <v>12937614647</v>
      </c>
      <c r="C403" s="26" t="n">
        <v>2646761457</v>
      </c>
      <c r="D403" s="26" t="n">
        <v>10290853190</v>
      </c>
      <c r="E403" s="26" t="n">
        <v>535928526</v>
      </c>
      <c r="F403" s="26" t="n">
        <v>2313803953</v>
      </c>
      <c r="G403" s="26" t="n">
        <v>14228075</v>
      </c>
      <c r="H403" s="26" t="n">
        <v>34010207</v>
      </c>
      <c r="I403" s="26" t="n">
        <v>55417013</v>
      </c>
      <c r="J403" s="26" t="n">
        <v>78110057</v>
      </c>
      <c r="K403" s="26" t="n">
        <v>151192153</v>
      </c>
      <c r="L403" s="26" t="n">
        <v>3989263</v>
      </c>
      <c r="M403" s="26" t="n">
        <v>3818165</v>
      </c>
      <c r="N403" s="26" t="n">
        <v>171098</v>
      </c>
      <c r="O403" s="26" t="n">
        <v>0</v>
      </c>
      <c r="P403" s="26" t="n">
        <v>171098</v>
      </c>
      <c r="Q403" s="26" t="n">
        <v>291087</v>
      </c>
      <c r="R403" s="26" t="n">
        <v>39825</v>
      </c>
      <c r="S403" s="26" t="n">
        <v>4320175</v>
      </c>
      <c r="T403" s="26" t="n">
        <v>3695256</v>
      </c>
      <c r="U403" s="26" t="n">
        <v>246598</v>
      </c>
      <c r="V403" s="26" t="n">
        <v>3941854</v>
      </c>
      <c r="W403" s="26" t="n">
        <v>4280350</v>
      </c>
      <c r="X403" s="27" t="n">
        <f aca="false">IF(V403=0,0,(W403-V403)/V403)</f>
        <v>0.085872282433596</v>
      </c>
      <c r="Y403" s="26" t="n">
        <v>3941854</v>
      </c>
      <c r="Z403" s="26" t="n">
        <v>1414624121.13</v>
      </c>
      <c r="AA403" s="26" t="n">
        <v>1356138333.33</v>
      </c>
      <c r="AB403" s="28" t="n">
        <f aca="false">IF(B403=0,0,L403/B403*10000)</f>
        <v>3.08346098476896</v>
      </c>
      <c r="AC403" s="28" t="n">
        <f aca="false">IF(D403=0,0,M403/D403*10000)</f>
        <v>3.71025116140055</v>
      </c>
      <c r="AD403" s="28" t="n">
        <f aca="false">IF(C403=0,0,N403/C403*10000)</f>
        <v>0.64644284261995</v>
      </c>
      <c r="AE403" s="28" t="n">
        <f aca="false">IF(E403=0,0,Q403/E403*10000)</f>
        <v>5.43145187983519</v>
      </c>
    </row>
    <row r="404" customFormat="false" ht="15" hidden="false" customHeight="true" outlineLevel="0" collapsed="false">
      <c r="A404" s="7" t="s">
        <v>537</v>
      </c>
      <c r="B404" s="26" t="n">
        <v>24698702357</v>
      </c>
      <c r="C404" s="26" t="n">
        <v>5176265508</v>
      </c>
      <c r="D404" s="26" t="n">
        <v>19522436849</v>
      </c>
      <c r="E404" s="26" t="n">
        <v>661577186</v>
      </c>
      <c r="F404" s="26" t="n">
        <v>4637078213</v>
      </c>
      <c r="G404" s="26" t="n">
        <v>17875629</v>
      </c>
      <c r="H404" s="26" t="n">
        <v>59258601</v>
      </c>
      <c r="I404" s="26" t="n">
        <v>99444299</v>
      </c>
      <c r="J404" s="26" t="n">
        <v>41864445</v>
      </c>
      <c r="K404" s="26" t="n">
        <v>320744321</v>
      </c>
      <c r="L404" s="26" t="n">
        <v>7147661</v>
      </c>
      <c r="M404" s="26" t="n">
        <v>6931036</v>
      </c>
      <c r="N404" s="26" t="n">
        <v>216625</v>
      </c>
      <c r="O404" s="26" t="n">
        <v>0</v>
      </c>
      <c r="P404" s="26" t="n">
        <v>216625</v>
      </c>
      <c r="Q404" s="26" t="n">
        <v>275345</v>
      </c>
      <c r="R404" s="26" t="n">
        <v>69102</v>
      </c>
      <c r="S404" s="26" t="n">
        <v>7492108</v>
      </c>
      <c r="T404" s="26" t="n">
        <v>6642117</v>
      </c>
      <c r="U404" s="26" t="n">
        <v>199828</v>
      </c>
      <c r="V404" s="26" t="n">
        <v>6841945</v>
      </c>
      <c r="W404" s="26" t="n">
        <v>7423006</v>
      </c>
      <c r="X404" s="27" t="n">
        <f aca="false">IF(V404=0,0,(W404-V404)/V404)</f>
        <v>0.0849262892350055</v>
      </c>
      <c r="Y404" s="26" t="n">
        <v>6841945</v>
      </c>
      <c r="Z404" s="26" t="n">
        <v>1414624121.13</v>
      </c>
      <c r="AA404" s="26" t="n">
        <v>1356138333.33</v>
      </c>
      <c r="AB404" s="28" t="n">
        <f aca="false">IF(B404=0,0,L404/B404*10000)</f>
        <v>2.89394191512019</v>
      </c>
      <c r="AC404" s="28" t="n">
        <f aca="false">IF(D404=0,0,M404/D404*10000)</f>
        <v>3.55029244228547</v>
      </c>
      <c r="AD404" s="28" t="n">
        <f aca="false">IF(C404=0,0,N404/C404*10000)</f>
        <v>0.418496693543256</v>
      </c>
      <c r="AE404" s="28" t="n">
        <f aca="false">IF(E404=0,0,Q404/E404*10000)</f>
        <v>4.16194823259821</v>
      </c>
    </row>
    <row r="405" customFormat="false" ht="15" hidden="false" customHeight="true" outlineLevel="0" collapsed="false">
      <c r="A405" s="7" t="s">
        <v>538</v>
      </c>
      <c r="B405" s="26" t="n">
        <v>16727541422</v>
      </c>
      <c r="C405" s="26" t="n">
        <v>3076801015</v>
      </c>
      <c r="D405" s="26" t="n">
        <v>13650740407</v>
      </c>
      <c r="E405" s="26" t="n">
        <v>527718065</v>
      </c>
      <c r="F405" s="26" t="n">
        <v>2627338122</v>
      </c>
      <c r="G405" s="26" t="n">
        <v>11164772</v>
      </c>
      <c r="H405" s="26" t="n">
        <v>41542150</v>
      </c>
      <c r="I405" s="26" t="n">
        <v>80222878</v>
      </c>
      <c r="J405" s="26" t="n">
        <v>32928445</v>
      </c>
      <c r="K405" s="26" t="n">
        <v>283604648</v>
      </c>
      <c r="L405" s="26" t="n">
        <v>5371538</v>
      </c>
      <c r="M405" s="26" t="n">
        <v>5198726</v>
      </c>
      <c r="N405" s="26" t="n">
        <v>172812</v>
      </c>
      <c r="O405" s="26" t="n">
        <v>0</v>
      </c>
      <c r="P405" s="26" t="n">
        <v>172812</v>
      </c>
      <c r="Q405" s="26" t="n">
        <v>217386</v>
      </c>
      <c r="R405" s="26" t="n">
        <v>50503</v>
      </c>
      <c r="S405" s="26" t="n">
        <v>5639427</v>
      </c>
      <c r="T405" s="26" t="n">
        <v>4842992</v>
      </c>
      <c r="U405" s="26" t="n">
        <v>156172</v>
      </c>
      <c r="V405" s="26" t="n">
        <v>4999164</v>
      </c>
      <c r="W405" s="26" t="n">
        <v>5588924</v>
      </c>
      <c r="X405" s="27" t="n">
        <f aca="false">IF(V405=0,0,(W405-V405)/V405)</f>
        <v>0.117971724872399</v>
      </c>
      <c r="Y405" s="26" t="n">
        <v>4999164</v>
      </c>
      <c r="Z405" s="26" t="n">
        <v>1414624121.13</v>
      </c>
      <c r="AA405" s="26" t="n">
        <v>1356138333.33</v>
      </c>
      <c r="AB405" s="28" t="n">
        <f aca="false">IF(B405=0,0,L405/B405*10000)</f>
        <v>3.21119396119706</v>
      </c>
      <c r="AC405" s="28" t="n">
        <f aca="false">IF(D405=0,0,M405/D405*10000)</f>
        <v>3.80838390079862</v>
      </c>
      <c r="AD405" s="28" t="n">
        <f aca="false">IF(C405=0,0,N405/C405*10000)</f>
        <v>0.561661281173232</v>
      </c>
      <c r="AE405" s="28" t="n">
        <f aca="false">IF(E405=0,0,Q405/E405*10000)</f>
        <v>4.11935869582179</v>
      </c>
    </row>
    <row r="406" customFormat="false" ht="15" hidden="false" customHeight="true" outlineLevel="0" collapsed="false">
      <c r="A406" s="7" t="s">
        <v>539</v>
      </c>
      <c r="B406" s="26" t="n">
        <v>6045954407</v>
      </c>
      <c r="C406" s="26" t="n">
        <v>154001934</v>
      </c>
      <c r="D406" s="26" t="n">
        <v>5891952473</v>
      </c>
      <c r="E406" s="26" t="n">
        <v>209507105</v>
      </c>
      <c r="F406" s="26" t="n">
        <v>95820297</v>
      </c>
      <c r="G406" s="26" t="n">
        <v>2815793</v>
      </c>
      <c r="H406" s="26" t="n">
        <v>1432701</v>
      </c>
      <c r="I406" s="26" t="n">
        <v>33868370</v>
      </c>
      <c r="J406" s="26" t="n">
        <v>10450753</v>
      </c>
      <c r="K406" s="26" t="n">
        <v>9614021</v>
      </c>
      <c r="L406" s="26" t="n">
        <v>2262199</v>
      </c>
      <c r="M406" s="26" t="n">
        <v>2234794</v>
      </c>
      <c r="N406" s="26" t="n">
        <v>27405</v>
      </c>
      <c r="O406" s="26" t="n">
        <v>0</v>
      </c>
      <c r="P406" s="26" t="n">
        <v>27405</v>
      </c>
      <c r="Q406" s="26" t="n">
        <v>73305</v>
      </c>
      <c r="R406" s="26" t="n">
        <v>20903</v>
      </c>
      <c r="S406" s="26" t="n">
        <v>2356407</v>
      </c>
      <c r="T406" s="26" t="n">
        <v>2017159</v>
      </c>
      <c r="U406" s="26" t="n">
        <v>52536</v>
      </c>
      <c r="V406" s="26" t="n">
        <v>2069695</v>
      </c>
      <c r="W406" s="26" t="n">
        <v>2335504</v>
      </c>
      <c r="X406" s="27" t="n">
        <f aca="false">IF(V406=0,0,(W406-V406)/V406)</f>
        <v>0.12842906805109</v>
      </c>
      <c r="Y406" s="26" t="n">
        <v>2069695</v>
      </c>
      <c r="Z406" s="26" t="n">
        <v>1414624121.13</v>
      </c>
      <c r="AA406" s="26" t="n">
        <v>1356138333.33</v>
      </c>
      <c r="AB406" s="28" t="n">
        <f aca="false">IF(B406=0,0,L406/B406*10000)</f>
        <v>3.74167393220966</v>
      </c>
      <c r="AC406" s="28" t="n">
        <f aca="false">IF(D406=0,0,M406/D406*10000)</f>
        <v>3.79295999117609</v>
      </c>
      <c r="AD406" s="28" t="n">
        <f aca="false">IF(C406=0,0,N406/C406*10000)</f>
        <v>1.77952310650852</v>
      </c>
      <c r="AE406" s="28" t="n">
        <f aca="false">IF(E406=0,0,Q406/E406*10000)</f>
        <v>3.4989266831786</v>
      </c>
    </row>
    <row r="407" customFormat="false" ht="15" hidden="false" customHeight="true" outlineLevel="0" collapsed="false">
      <c r="A407" s="7" t="s">
        <v>540</v>
      </c>
      <c r="B407" s="26" t="n">
        <v>3771982617</v>
      </c>
      <c r="C407" s="26" t="n">
        <v>268944614</v>
      </c>
      <c r="D407" s="26" t="n">
        <v>3503038003</v>
      </c>
      <c r="E407" s="26" t="n">
        <v>113846302</v>
      </c>
      <c r="F407" s="26" t="n">
        <v>208511280</v>
      </c>
      <c r="G407" s="26" t="n">
        <v>1675842</v>
      </c>
      <c r="H407" s="26" t="n">
        <v>4420286</v>
      </c>
      <c r="I407" s="26" t="n">
        <v>18683450</v>
      </c>
      <c r="J407" s="26" t="n">
        <v>10763953</v>
      </c>
      <c r="K407" s="26" t="n">
        <v>24889803</v>
      </c>
      <c r="L407" s="26" t="n">
        <v>1496368</v>
      </c>
      <c r="M407" s="26" t="n">
        <v>1451699</v>
      </c>
      <c r="N407" s="26" t="n">
        <v>44669</v>
      </c>
      <c r="O407" s="26" t="n">
        <v>0</v>
      </c>
      <c r="P407" s="26" t="n">
        <v>44669</v>
      </c>
      <c r="Q407" s="26" t="n">
        <v>44772</v>
      </c>
      <c r="R407" s="26" t="n">
        <v>13884</v>
      </c>
      <c r="S407" s="26" t="n">
        <v>1555024</v>
      </c>
      <c r="T407" s="26" t="n">
        <v>1340164</v>
      </c>
      <c r="U407" s="26" t="n">
        <v>34527</v>
      </c>
      <c r="V407" s="26" t="n">
        <v>1374691</v>
      </c>
      <c r="W407" s="26" t="n">
        <v>1541140</v>
      </c>
      <c r="X407" s="27" t="n">
        <f aca="false">IF(V407=0,0,(W407-V407)/V407)</f>
        <v>0.121081028391108</v>
      </c>
      <c r="Y407" s="26" t="n">
        <v>1374691</v>
      </c>
      <c r="Z407" s="26" t="n">
        <v>1414624121.13</v>
      </c>
      <c r="AA407" s="26" t="n">
        <v>1356138333.33</v>
      </c>
      <c r="AB407" s="28" t="n">
        <f aca="false">IF(B407=0,0,L407/B407*10000)</f>
        <v>3.96705963928889</v>
      </c>
      <c r="AC407" s="28" t="n">
        <f aca="false">IF(D407=0,0,M407/D407*10000)</f>
        <v>4.14411433377761</v>
      </c>
      <c r="AD407" s="28" t="n">
        <f aca="false">IF(C407=0,0,N407/C407*10000)</f>
        <v>1.66089959325231</v>
      </c>
      <c r="AE407" s="28" t="n">
        <f aca="false">IF(E407=0,0,Q407/E407*10000)</f>
        <v>3.93267055788953</v>
      </c>
    </row>
    <row r="408" customFormat="false" ht="15" hidden="false" customHeight="true" outlineLevel="0" collapsed="false">
      <c r="A408" s="7" t="s">
        <v>541</v>
      </c>
      <c r="B408" s="26" t="n">
        <v>6641282891</v>
      </c>
      <c r="C408" s="26" t="n">
        <v>1365961363</v>
      </c>
      <c r="D408" s="26" t="n">
        <v>5275321528</v>
      </c>
      <c r="E408" s="26" t="n">
        <v>153907485</v>
      </c>
      <c r="F408" s="26" t="n">
        <v>1136184062</v>
      </c>
      <c r="G408" s="26" t="n">
        <v>5970821</v>
      </c>
      <c r="H408" s="26" t="n">
        <v>27793059</v>
      </c>
      <c r="I408" s="26" t="n">
        <v>23578794</v>
      </c>
      <c r="J408" s="26" t="n">
        <v>31714794</v>
      </c>
      <c r="K408" s="26" t="n">
        <v>140719833</v>
      </c>
      <c r="L408" s="26" t="n">
        <v>2247951</v>
      </c>
      <c r="M408" s="26" t="n">
        <v>2155043</v>
      </c>
      <c r="N408" s="26" t="n">
        <v>92908</v>
      </c>
      <c r="O408" s="26" t="n">
        <v>0</v>
      </c>
      <c r="P408" s="26" t="n">
        <v>92908</v>
      </c>
      <c r="Q408" s="26" t="n">
        <v>59450</v>
      </c>
      <c r="R408" s="26" t="n">
        <v>21115</v>
      </c>
      <c r="S408" s="26" t="n">
        <v>2328516</v>
      </c>
      <c r="T408" s="26" t="n">
        <v>2044947</v>
      </c>
      <c r="U408" s="26" t="n">
        <v>45487</v>
      </c>
      <c r="V408" s="26" t="n">
        <v>2090434</v>
      </c>
      <c r="W408" s="26" t="n">
        <v>2307401</v>
      </c>
      <c r="X408" s="27" t="n">
        <f aca="false">IF(V408=0,0,(W408-V408)/V408)</f>
        <v>0.103790409072949</v>
      </c>
      <c r="Y408" s="26" t="n">
        <v>2090434</v>
      </c>
      <c r="Z408" s="26" t="n">
        <v>1414624121.13</v>
      </c>
      <c r="AA408" s="26" t="n">
        <v>1356138333.33</v>
      </c>
      <c r="AB408" s="28" t="n">
        <f aca="false">IF(B408=0,0,L408/B408*10000)</f>
        <v>3.38481440543112</v>
      </c>
      <c r="AC408" s="28" t="n">
        <f aca="false">IF(D408=0,0,M408/D408*10000)</f>
        <v>4.08514057117013</v>
      </c>
      <c r="AD408" s="28" t="n">
        <f aca="false">IF(C408=0,0,N408/C408*10000)</f>
        <v>0.680165651215422</v>
      </c>
      <c r="AE408" s="28" t="n">
        <f aca="false">IF(E408=0,0,Q408/E408*10000)</f>
        <v>3.86271012095351</v>
      </c>
    </row>
    <row r="409" customFormat="false" ht="15" hidden="false" customHeight="true" outlineLevel="0" collapsed="false">
      <c r="A409" s="7" t="s">
        <v>542</v>
      </c>
      <c r="B409" s="26" t="n">
        <v>6064417427</v>
      </c>
      <c r="C409" s="26" t="n">
        <v>1122610274</v>
      </c>
      <c r="D409" s="26" t="n">
        <v>4941807153</v>
      </c>
      <c r="E409" s="26" t="n">
        <v>161284369</v>
      </c>
      <c r="F409" s="26" t="n">
        <v>897385672</v>
      </c>
      <c r="G409" s="26" t="n">
        <v>7693105</v>
      </c>
      <c r="H409" s="26" t="n">
        <v>16371602</v>
      </c>
      <c r="I409" s="26" t="n">
        <v>20058367</v>
      </c>
      <c r="J409" s="26" t="n">
        <v>23244297</v>
      </c>
      <c r="K409" s="26" t="n">
        <v>157857231</v>
      </c>
      <c r="L409" s="26" t="n">
        <v>1920792</v>
      </c>
      <c r="M409" s="26" t="n">
        <v>1852471</v>
      </c>
      <c r="N409" s="26" t="n">
        <v>68321</v>
      </c>
      <c r="O409" s="26" t="n">
        <v>0</v>
      </c>
      <c r="P409" s="26" t="n">
        <v>68321</v>
      </c>
      <c r="Q409" s="26" t="n">
        <v>64530</v>
      </c>
      <c r="R409" s="26" t="n">
        <v>18176</v>
      </c>
      <c r="S409" s="26" t="n">
        <v>2003498</v>
      </c>
      <c r="T409" s="26" t="n">
        <v>1750785</v>
      </c>
      <c r="U409" s="26" t="n">
        <v>48654</v>
      </c>
      <c r="V409" s="26" t="n">
        <v>1799439</v>
      </c>
      <c r="W409" s="26" t="n">
        <v>1985322</v>
      </c>
      <c r="X409" s="27" t="n">
        <f aca="false">IF(V409=0,0,(W409-V409)/V409)</f>
        <v>0.103300528664767</v>
      </c>
      <c r="Y409" s="26" t="n">
        <v>1799439</v>
      </c>
      <c r="Z409" s="26" t="n">
        <v>1414624121.13</v>
      </c>
      <c r="AA409" s="26" t="n">
        <v>1356138333.33</v>
      </c>
      <c r="AB409" s="28" t="n">
        <f aca="false">IF(B409=0,0,L409/B409*10000)</f>
        <v>3.16731495336757</v>
      </c>
      <c r="AC409" s="28" t="n">
        <f aca="false">IF(D409=0,0,M409/D409*10000)</f>
        <v>3.74856999200268</v>
      </c>
      <c r="AD409" s="28" t="n">
        <f aca="false">IF(C409=0,0,N409/C409*10000)</f>
        <v>0.608590546357319</v>
      </c>
      <c r="AE409" s="28" t="n">
        <f aca="false">IF(E409=0,0,Q409/E409*10000)</f>
        <v>4.00100768599591</v>
      </c>
    </row>
    <row r="410" customFormat="false" ht="15" hidden="false" customHeight="true" outlineLevel="0" collapsed="false">
      <c r="A410" s="7" t="s">
        <v>543</v>
      </c>
      <c r="B410" s="26" t="n">
        <v>7528738052</v>
      </c>
      <c r="C410" s="26" t="n">
        <v>1385208122</v>
      </c>
      <c r="D410" s="26" t="n">
        <v>6143529930</v>
      </c>
      <c r="E410" s="26" t="n">
        <v>173284691</v>
      </c>
      <c r="F410" s="26" t="n">
        <v>1100340365</v>
      </c>
      <c r="G410" s="26" t="n">
        <v>10379555</v>
      </c>
      <c r="H410" s="26" t="n">
        <v>17469636</v>
      </c>
      <c r="I410" s="26" t="n">
        <v>41506050</v>
      </c>
      <c r="J410" s="26" t="n">
        <v>30169272</v>
      </c>
      <c r="K410" s="26" t="n">
        <v>185343243</v>
      </c>
      <c r="L410" s="26" t="n">
        <v>2498638</v>
      </c>
      <c r="M410" s="26" t="n">
        <v>2419786</v>
      </c>
      <c r="N410" s="26" t="n">
        <v>78852</v>
      </c>
      <c r="O410" s="26" t="n">
        <v>0</v>
      </c>
      <c r="P410" s="26" t="n">
        <v>78852</v>
      </c>
      <c r="Q410" s="26" t="n">
        <v>74916</v>
      </c>
      <c r="R410" s="26" t="n">
        <v>23529</v>
      </c>
      <c r="S410" s="26" t="n">
        <v>2597083</v>
      </c>
      <c r="T410" s="26" t="n">
        <v>2271814</v>
      </c>
      <c r="U410" s="26" t="n">
        <v>57516</v>
      </c>
      <c r="V410" s="26" t="n">
        <v>2329330</v>
      </c>
      <c r="W410" s="26" t="n">
        <v>2573554</v>
      </c>
      <c r="X410" s="27" t="n">
        <f aca="false">IF(V410=0,0,(W410-V410)/V410)</f>
        <v>0.104847316610356</v>
      </c>
      <c r="Y410" s="26" t="n">
        <v>2329330</v>
      </c>
      <c r="Z410" s="26" t="n">
        <v>1224189670.49</v>
      </c>
      <c r="AA410" s="26" t="n">
        <v>1165681893.82</v>
      </c>
      <c r="AB410" s="28" t="n">
        <f aca="false">IF(B410=0,0,L410/B410*10000)</f>
        <v>3.31880055162265</v>
      </c>
      <c r="AC410" s="28" t="n">
        <f aca="false">IF(D410=0,0,M410/D410*10000)</f>
        <v>3.93875512542673</v>
      </c>
      <c r="AD410" s="28" t="n">
        <f aca="false">IF(C410=0,0,N410/C410*10000)</f>
        <v>0.569242980514375</v>
      </c>
      <c r="AE410" s="28" t="n">
        <f aca="false">IF(E410=0,0,Q410/E410*10000)</f>
        <v>4.32329016300696</v>
      </c>
    </row>
    <row r="411" customFormat="false" ht="15" hidden="false" customHeight="true" outlineLevel="0" collapsed="false">
      <c r="A411" s="7" t="s">
        <v>544</v>
      </c>
      <c r="B411" s="26" t="n">
        <v>6558391145</v>
      </c>
      <c r="C411" s="26" t="n">
        <v>1815646192</v>
      </c>
      <c r="D411" s="26" t="n">
        <v>4742744953</v>
      </c>
      <c r="E411" s="26" t="n">
        <v>135631971</v>
      </c>
      <c r="F411" s="26" t="n">
        <v>1478355942</v>
      </c>
      <c r="G411" s="26" t="n">
        <v>9074972</v>
      </c>
      <c r="H411" s="26" t="n">
        <v>27662412</v>
      </c>
      <c r="I411" s="26" t="n">
        <v>41306929</v>
      </c>
      <c r="J411" s="26" t="n">
        <v>37468861</v>
      </c>
      <c r="K411" s="26" t="n">
        <v>221777076</v>
      </c>
      <c r="L411" s="26" t="n">
        <v>1931543</v>
      </c>
      <c r="M411" s="26" t="n">
        <v>1846428</v>
      </c>
      <c r="N411" s="26" t="n">
        <v>85115</v>
      </c>
      <c r="O411" s="26" t="n">
        <v>0</v>
      </c>
      <c r="P411" s="26" t="n">
        <v>85115</v>
      </c>
      <c r="Q411" s="26" t="n">
        <v>57119</v>
      </c>
      <c r="R411" s="26" t="n">
        <v>18346</v>
      </c>
      <c r="S411" s="26" t="n">
        <v>2007008</v>
      </c>
      <c r="T411" s="26" t="n">
        <v>1770788</v>
      </c>
      <c r="U411" s="26" t="n">
        <v>45473</v>
      </c>
      <c r="V411" s="26" t="n">
        <v>1816261</v>
      </c>
      <c r="W411" s="26" t="n">
        <v>1988662</v>
      </c>
      <c r="X411" s="27" t="n">
        <f aca="false">IF(V411=0,0,(W411-V411)/V411)</f>
        <v>0.0949208291099132</v>
      </c>
      <c r="Y411" s="26" t="n">
        <v>1816261</v>
      </c>
      <c r="Z411" s="26" t="n">
        <v>1224189670.49</v>
      </c>
      <c r="AA411" s="26" t="n">
        <v>1165681893.82</v>
      </c>
      <c r="AB411" s="28" t="n">
        <f aca="false">IF(B411=0,0,L411/B411*10000)</f>
        <v>2.9451476090635</v>
      </c>
      <c r="AC411" s="28" t="n">
        <f aca="false">IF(D411=0,0,M411/D411*10000)</f>
        <v>3.89316317511877</v>
      </c>
      <c r="AD411" s="28" t="n">
        <f aca="false">IF(C411=0,0,N411/C411*10000)</f>
        <v>0.46878626670234</v>
      </c>
      <c r="AE411" s="28" t="n">
        <f aca="false">IF(E411=0,0,Q411/E411*10000)</f>
        <v>4.2113227124009</v>
      </c>
    </row>
    <row r="412" customFormat="false" ht="15" hidden="false" customHeight="true" outlineLevel="0" collapsed="false">
      <c r="A412" s="7" t="s">
        <v>545</v>
      </c>
      <c r="B412" s="26" t="n">
        <v>5659411105</v>
      </c>
      <c r="C412" s="26" t="n">
        <v>1463905927</v>
      </c>
      <c r="D412" s="26" t="n">
        <v>4195505178</v>
      </c>
      <c r="E412" s="26" t="n">
        <v>120931518</v>
      </c>
      <c r="F412" s="26" t="n">
        <v>1143346725</v>
      </c>
      <c r="G412" s="26" t="n">
        <v>8695501</v>
      </c>
      <c r="H412" s="26" t="n">
        <v>13529231</v>
      </c>
      <c r="I412" s="26" t="n">
        <v>31142724</v>
      </c>
      <c r="J412" s="26" t="n">
        <v>46677406</v>
      </c>
      <c r="K412" s="26" t="n">
        <v>220514339</v>
      </c>
      <c r="L412" s="26" t="n">
        <v>1725142</v>
      </c>
      <c r="M412" s="26" t="n">
        <v>1655905</v>
      </c>
      <c r="N412" s="26" t="n">
        <v>69237</v>
      </c>
      <c r="O412" s="26" t="n">
        <v>0</v>
      </c>
      <c r="P412" s="26" t="n">
        <v>69237</v>
      </c>
      <c r="Q412" s="26" t="n">
        <v>51109</v>
      </c>
      <c r="R412" s="26" t="n">
        <v>16113</v>
      </c>
      <c r="S412" s="26" t="n">
        <v>1792364</v>
      </c>
      <c r="T412" s="26" t="n">
        <v>1556306</v>
      </c>
      <c r="U412" s="26" t="n">
        <v>38899</v>
      </c>
      <c r="V412" s="26" t="n">
        <v>1595205</v>
      </c>
      <c r="W412" s="26" t="n">
        <v>1776251</v>
      </c>
      <c r="X412" s="27" t="n">
        <f aca="false">IF(V412=0,0,(W412-V412)/V412)</f>
        <v>0.113493876962522</v>
      </c>
      <c r="Y412" s="26" t="n">
        <v>1595205</v>
      </c>
      <c r="Z412" s="26" t="n">
        <v>1224189670.49</v>
      </c>
      <c r="AA412" s="26" t="n">
        <v>1165681893.82</v>
      </c>
      <c r="AB412" s="28" t="n">
        <f aca="false">IF(B412=0,0,L412/B412*10000)</f>
        <v>3.04827122114501</v>
      </c>
      <c r="AC412" s="28" t="n">
        <f aca="false">IF(D412=0,0,M412/D412*10000)</f>
        <v>3.94685485953654</v>
      </c>
      <c r="AD412" s="28" t="n">
        <f aca="false">IF(C412=0,0,N412/C412*10000)</f>
        <v>0.472960719148724</v>
      </c>
      <c r="AE412" s="28" t="n">
        <f aca="false">IF(E412=0,0,Q412/E412*10000)</f>
        <v>4.22627623015532</v>
      </c>
    </row>
    <row r="413" customFormat="false" ht="15" hidden="false" customHeight="true" outlineLevel="0" collapsed="false">
      <c r="A413" s="7" t="s">
        <v>546</v>
      </c>
      <c r="B413" s="26" t="n">
        <v>2581401159</v>
      </c>
      <c r="C413" s="26" t="n">
        <v>111040475</v>
      </c>
      <c r="D413" s="26" t="n">
        <v>2470360684</v>
      </c>
      <c r="E413" s="26" t="n">
        <v>57585932</v>
      </c>
      <c r="F413" s="26" t="n">
        <v>67258282</v>
      </c>
      <c r="G413" s="26" t="n">
        <v>2540684</v>
      </c>
      <c r="H413" s="26" t="n">
        <v>796313</v>
      </c>
      <c r="I413" s="26" t="n">
        <v>17300013</v>
      </c>
      <c r="J413" s="26" t="n">
        <v>10017255</v>
      </c>
      <c r="K413" s="26" t="n">
        <v>13127928</v>
      </c>
      <c r="L413" s="26" t="n">
        <v>1026385</v>
      </c>
      <c r="M413" s="26" t="n">
        <v>1012981</v>
      </c>
      <c r="N413" s="26" t="n">
        <v>13404</v>
      </c>
      <c r="O413" s="26" t="n">
        <v>0</v>
      </c>
      <c r="P413" s="26" t="n">
        <v>13404</v>
      </c>
      <c r="Q413" s="26" t="n">
        <v>26581</v>
      </c>
      <c r="R413" s="26" t="n">
        <v>9513</v>
      </c>
      <c r="S413" s="26" t="n">
        <v>1062479</v>
      </c>
      <c r="T413" s="26" t="n">
        <v>920742</v>
      </c>
      <c r="U413" s="26" t="n">
        <v>21045</v>
      </c>
      <c r="V413" s="26" t="n">
        <v>941787</v>
      </c>
      <c r="W413" s="26" t="n">
        <v>1052966</v>
      </c>
      <c r="X413" s="27" t="n">
        <f aca="false">IF(V413=0,0,(W413-V413)/V413)</f>
        <v>0.118051109221087</v>
      </c>
      <c r="Y413" s="26" t="n">
        <v>941787</v>
      </c>
      <c r="Z413" s="26" t="n">
        <v>1224189670.49</v>
      </c>
      <c r="AA413" s="26" t="n">
        <v>1165681893.82</v>
      </c>
      <c r="AB413" s="28" t="n">
        <f aca="false">IF(B413=0,0,L413/B413*10000)</f>
        <v>3.97607708674621</v>
      </c>
      <c r="AC413" s="28" t="n">
        <f aca="false">IF(D413=0,0,M413/D413*10000)</f>
        <v>4.10053886689852</v>
      </c>
      <c r="AD413" s="28" t="n">
        <f aca="false">IF(C413=0,0,N413/C413*10000)</f>
        <v>1.20712740106704</v>
      </c>
      <c r="AE413" s="28" t="n">
        <f aca="false">IF(E413=0,0,Q413/E413*10000)</f>
        <v>4.61588431007768</v>
      </c>
    </row>
    <row r="414" customFormat="false" ht="15" hidden="false" customHeight="true" outlineLevel="0" collapsed="false">
      <c r="A414" s="7" t="s">
        <v>547</v>
      </c>
      <c r="B414" s="26" t="n">
        <v>3572961309</v>
      </c>
      <c r="C414" s="26" t="n">
        <v>261058231</v>
      </c>
      <c r="D414" s="26" t="n">
        <v>3311903078</v>
      </c>
      <c r="E414" s="26" t="n">
        <v>64873396</v>
      </c>
      <c r="F414" s="26" t="n">
        <v>171148657</v>
      </c>
      <c r="G414" s="26" t="n">
        <v>2801634</v>
      </c>
      <c r="H414" s="26" t="n">
        <v>4358930</v>
      </c>
      <c r="I414" s="26" t="n">
        <v>26269822</v>
      </c>
      <c r="J414" s="26" t="n">
        <v>14895250</v>
      </c>
      <c r="K414" s="26" t="n">
        <v>41583938</v>
      </c>
      <c r="L414" s="26" t="n">
        <v>1381259</v>
      </c>
      <c r="M414" s="26" t="n">
        <v>1354914</v>
      </c>
      <c r="N414" s="26" t="n">
        <v>26345</v>
      </c>
      <c r="O414" s="26" t="n">
        <v>0</v>
      </c>
      <c r="P414" s="26" t="n">
        <v>26345</v>
      </c>
      <c r="Q414" s="26" t="n">
        <v>28320</v>
      </c>
      <c r="R414" s="26" t="n">
        <v>12746</v>
      </c>
      <c r="S414" s="26" t="n">
        <v>1422325</v>
      </c>
      <c r="T414" s="26" t="n">
        <v>1240226</v>
      </c>
      <c r="U414" s="26" t="n">
        <v>21614</v>
      </c>
      <c r="V414" s="26" t="n">
        <v>1261840</v>
      </c>
      <c r="W414" s="26" t="n">
        <v>1409579</v>
      </c>
      <c r="X414" s="27" t="n">
        <f aca="false">IF(V414=0,0,(W414-V414)/V414)</f>
        <v>0.117082197425981</v>
      </c>
      <c r="Y414" s="26" t="n">
        <v>1261840</v>
      </c>
      <c r="Z414" s="26" t="n">
        <v>1224189670.49</v>
      </c>
      <c r="AA414" s="26" t="n">
        <v>1165681893.82</v>
      </c>
      <c r="AB414" s="28" t="n">
        <f aca="false">IF(B414=0,0,L414/B414*10000)</f>
        <v>3.86586609969921</v>
      </c>
      <c r="AC414" s="28" t="n">
        <f aca="false">IF(D414=0,0,M414/D414*10000)</f>
        <v>4.09104363288979</v>
      </c>
      <c r="AD414" s="28" t="n">
        <f aca="false">IF(C414=0,0,N414/C414*10000)</f>
        <v>1.00916182183124</v>
      </c>
      <c r="AE414" s="28" t="n">
        <f aca="false">IF(E414=0,0,Q414/E414*10000)</f>
        <v>4.36542585191625</v>
      </c>
    </row>
    <row r="415" customFormat="false" ht="15" hidden="false" customHeight="true" outlineLevel="0" collapsed="false">
      <c r="A415" s="7" t="s">
        <v>548</v>
      </c>
      <c r="B415" s="26" t="n">
        <v>3519041177</v>
      </c>
      <c r="C415" s="26" t="n">
        <v>440684404</v>
      </c>
      <c r="D415" s="26" t="n">
        <v>3078356773</v>
      </c>
      <c r="E415" s="26" t="n">
        <v>69678119</v>
      </c>
      <c r="F415" s="26" t="n">
        <v>332940417</v>
      </c>
      <c r="G415" s="26" t="n">
        <v>4724966</v>
      </c>
      <c r="H415" s="26" t="n">
        <v>7272304</v>
      </c>
      <c r="I415" s="26" t="n">
        <v>16292985</v>
      </c>
      <c r="J415" s="26" t="n">
        <v>24417886</v>
      </c>
      <c r="K415" s="26" t="n">
        <v>55035846</v>
      </c>
      <c r="L415" s="26" t="n">
        <v>1279554</v>
      </c>
      <c r="M415" s="26" t="n">
        <v>1244176</v>
      </c>
      <c r="N415" s="26" t="n">
        <v>35378</v>
      </c>
      <c r="O415" s="26" t="n">
        <v>0</v>
      </c>
      <c r="P415" s="26" t="n">
        <v>35378</v>
      </c>
      <c r="Q415" s="26" t="n">
        <v>32589</v>
      </c>
      <c r="R415" s="26" t="n">
        <v>11945</v>
      </c>
      <c r="S415" s="26" t="n">
        <v>1324088</v>
      </c>
      <c r="T415" s="26" t="n">
        <v>1158303</v>
      </c>
      <c r="U415" s="26" t="n">
        <v>24203</v>
      </c>
      <c r="V415" s="26" t="n">
        <v>1182506</v>
      </c>
      <c r="W415" s="26" t="n">
        <v>1312143</v>
      </c>
      <c r="X415" s="27" t="n">
        <f aca="false">IF(V415=0,0,(W415-V415)/V415)</f>
        <v>0.109629042051372</v>
      </c>
      <c r="Y415" s="26" t="n">
        <v>1182506</v>
      </c>
      <c r="Z415" s="26" t="n">
        <v>1224189670.49</v>
      </c>
      <c r="AA415" s="26" t="n">
        <v>1165681893.82</v>
      </c>
      <c r="AB415" s="28" t="n">
        <f aca="false">IF(B415=0,0,L415/B415*10000)</f>
        <v>3.636087035193</v>
      </c>
      <c r="AC415" s="28" t="n">
        <f aca="false">IF(D415=0,0,M415/D415*10000)</f>
        <v>4.04168877016647</v>
      </c>
      <c r="AD415" s="28" t="n">
        <f aca="false">IF(C415=0,0,N415/C415*10000)</f>
        <v>0.802796733419229</v>
      </c>
      <c r="AE415" s="28" t="n">
        <f aca="false">IF(E415=0,0,Q415/E415*10000)</f>
        <v>4.6770780365067</v>
      </c>
    </row>
    <row r="416" customFormat="false" ht="15" hidden="false" customHeight="true" outlineLevel="0" collapsed="false">
      <c r="A416" s="7" t="s">
        <v>549</v>
      </c>
      <c r="B416" s="26" t="n">
        <v>5424109051</v>
      </c>
      <c r="C416" s="26" t="n">
        <v>1351983967</v>
      </c>
      <c r="D416" s="26" t="n">
        <v>4072125084</v>
      </c>
      <c r="E416" s="26" t="n">
        <v>90934681</v>
      </c>
      <c r="F416" s="26" t="n">
        <v>1055699161</v>
      </c>
      <c r="G416" s="26" t="n">
        <v>4748195</v>
      </c>
      <c r="H416" s="26" t="n">
        <v>25598934</v>
      </c>
      <c r="I416" s="26" t="n">
        <v>22587821</v>
      </c>
      <c r="J416" s="26" t="n">
        <v>46839377</v>
      </c>
      <c r="K416" s="26" t="n">
        <v>196510478</v>
      </c>
      <c r="L416" s="26" t="n">
        <v>1670170</v>
      </c>
      <c r="M416" s="26" t="n">
        <v>1591794</v>
      </c>
      <c r="N416" s="26" t="n">
        <v>78376</v>
      </c>
      <c r="O416" s="26" t="n">
        <v>0</v>
      </c>
      <c r="P416" s="26" t="n">
        <v>78376</v>
      </c>
      <c r="Q416" s="26" t="n">
        <v>41760</v>
      </c>
      <c r="R416" s="26" t="n">
        <v>15780</v>
      </c>
      <c r="S416" s="26" t="n">
        <v>1727710</v>
      </c>
      <c r="T416" s="26" t="n">
        <v>1530265</v>
      </c>
      <c r="U416" s="26" t="n">
        <v>31978</v>
      </c>
      <c r="V416" s="26" t="n">
        <v>1562243</v>
      </c>
      <c r="W416" s="26" t="n">
        <v>1711930</v>
      </c>
      <c r="X416" s="27" t="n">
        <f aca="false">IF(V416=0,0,(W416-V416)/V416)</f>
        <v>0.0958154397235257</v>
      </c>
      <c r="Y416" s="26" t="n">
        <v>1562243</v>
      </c>
      <c r="Z416" s="26" t="n">
        <v>1224189670.49</v>
      </c>
      <c r="AA416" s="26" t="n">
        <v>1165681893.82</v>
      </c>
      <c r="AB416" s="28" t="n">
        <f aca="false">IF(B416=0,0,L416/B416*10000)</f>
        <v>3.07916006904781</v>
      </c>
      <c r="AC416" s="28" t="n">
        <f aca="false">IF(D416=0,0,M416/D416*10000)</f>
        <v>3.90900074817053</v>
      </c>
      <c r="AD416" s="28" t="n">
        <f aca="false">IF(C416=0,0,N416/C416*10000)</f>
        <v>0.57971101664699</v>
      </c>
      <c r="AE416" s="28" t="n">
        <f aca="false">IF(E416=0,0,Q416/E416*10000)</f>
        <v>4.59230730682389</v>
      </c>
    </row>
    <row r="417" customFormat="false" ht="15" hidden="false" customHeight="true" outlineLevel="0" collapsed="false">
      <c r="A417" s="7" t="s">
        <v>550</v>
      </c>
      <c r="B417" s="26" t="n">
        <v>4647999765</v>
      </c>
      <c r="C417" s="26" t="n">
        <v>870609221</v>
      </c>
      <c r="D417" s="26" t="n">
        <v>3777390544</v>
      </c>
      <c r="E417" s="26" t="n">
        <v>81402606</v>
      </c>
      <c r="F417" s="26" t="n">
        <v>667135739</v>
      </c>
      <c r="G417" s="26" t="n">
        <v>6302455</v>
      </c>
      <c r="H417" s="26" t="n">
        <v>18242158</v>
      </c>
      <c r="I417" s="26" t="n">
        <v>24753270</v>
      </c>
      <c r="J417" s="26" t="n">
        <v>27169701</v>
      </c>
      <c r="K417" s="26" t="n">
        <v>127005897</v>
      </c>
      <c r="L417" s="26" t="n">
        <v>1588766</v>
      </c>
      <c r="M417" s="26" t="n">
        <v>1522993</v>
      </c>
      <c r="N417" s="26" t="n">
        <v>65773</v>
      </c>
      <c r="O417" s="26" t="n">
        <v>0</v>
      </c>
      <c r="P417" s="26" t="n">
        <v>65773</v>
      </c>
      <c r="Q417" s="26" t="n">
        <v>38248</v>
      </c>
      <c r="R417" s="26" t="n">
        <v>14825</v>
      </c>
      <c r="S417" s="26" t="n">
        <v>1641839</v>
      </c>
      <c r="T417" s="26" t="n">
        <v>1437912</v>
      </c>
      <c r="U417" s="26" t="n">
        <v>29790</v>
      </c>
      <c r="V417" s="26" t="n">
        <v>1467702</v>
      </c>
      <c r="W417" s="26" t="n">
        <v>1627014</v>
      </c>
      <c r="X417" s="27" t="n">
        <f aca="false">IF(V417=0,0,(W417-V417)/V417)</f>
        <v>0.108545195141793</v>
      </c>
      <c r="Y417" s="26" t="n">
        <v>1467702</v>
      </c>
      <c r="Z417" s="26" t="n">
        <v>1178055372.82</v>
      </c>
      <c r="AA417" s="26" t="n">
        <v>1119527396.49</v>
      </c>
      <c r="AB417" s="28" t="n">
        <f aca="false">IF(B417=0,0,L417/B417*10000)</f>
        <v>3.41817142927502</v>
      </c>
      <c r="AC417" s="28" t="n">
        <f aca="false">IF(D417=0,0,M417/D417*10000)</f>
        <v>4.03186533735337</v>
      </c>
      <c r="AD417" s="28" t="n">
        <f aca="false">IF(C417=0,0,N417/C417*10000)</f>
        <v>0.755482464617728</v>
      </c>
      <c r="AE417" s="28" t="n">
        <f aca="false">IF(E417=0,0,Q417/E417*10000)</f>
        <v>4.69862107363</v>
      </c>
    </row>
    <row r="418" customFormat="false" ht="15" hidden="false" customHeight="true" outlineLevel="0" collapsed="false">
      <c r="A418" s="7" t="s">
        <v>551</v>
      </c>
      <c r="B418" s="26" t="n">
        <v>4214623171</v>
      </c>
      <c r="C418" s="26" t="n">
        <v>1019252814</v>
      </c>
      <c r="D418" s="26" t="n">
        <v>3195370357</v>
      </c>
      <c r="E418" s="26" t="n">
        <v>90699102</v>
      </c>
      <c r="F418" s="26" t="n">
        <v>771755033</v>
      </c>
      <c r="G418" s="26" t="n">
        <v>8818323</v>
      </c>
      <c r="H418" s="26" t="n">
        <v>15535729</v>
      </c>
      <c r="I418" s="26" t="n">
        <v>26301164</v>
      </c>
      <c r="J418" s="26" t="n">
        <v>24752713</v>
      </c>
      <c r="K418" s="26" t="n">
        <v>172089852</v>
      </c>
      <c r="L418" s="26" t="n">
        <v>1419299</v>
      </c>
      <c r="M418" s="26" t="n">
        <v>1350691</v>
      </c>
      <c r="N418" s="26" t="n">
        <v>68608</v>
      </c>
      <c r="O418" s="26" t="n">
        <v>0</v>
      </c>
      <c r="P418" s="26" t="n">
        <v>68608</v>
      </c>
      <c r="Q418" s="26" t="n">
        <v>43158</v>
      </c>
      <c r="R418" s="26" t="n">
        <v>13157</v>
      </c>
      <c r="S418" s="26" t="n">
        <v>1475614</v>
      </c>
      <c r="T418" s="26" t="n">
        <v>1270173</v>
      </c>
      <c r="U418" s="26" t="n">
        <v>32343</v>
      </c>
      <c r="V418" s="26" t="n">
        <v>1302516</v>
      </c>
      <c r="W418" s="26" t="n">
        <v>1462457</v>
      </c>
      <c r="X418" s="27" t="n">
        <f aca="false">IF(V418=0,0,(W418-V418)/V418)</f>
        <v>0.122793885065519</v>
      </c>
      <c r="Y418" s="26" t="n">
        <v>1302516</v>
      </c>
      <c r="Z418" s="26" t="n">
        <v>1178055372.82</v>
      </c>
      <c r="AA418" s="26" t="n">
        <v>1119527396.49</v>
      </c>
      <c r="AB418" s="28" t="n">
        <f aca="false">IF(B418=0,0,L418/B418*10000)</f>
        <v>3.36755848011732</v>
      </c>
      <c r="AC418" s="28" t="n">
        <f aca="false">IF(D418=0,0,M418/D418*10000)</f>
        <v>4.22702488004585</v>
      </c>
      <c r="AD418" s="28" t="n">
        <f aca="false">IF(C418=0,0,N418/C418*10000)</f>
        <v>0.673120535529863</v>
      </c>
      <c r="AE418" s="28" t="n">
        <f aca="false">IF(E418=0,0,Q418/E418*10000)</f>
        <v>4.75837125708257</v>
      </c>
    </row>
    <row r="419" customFormat="false" ht="15" hidden="false" customHeight="true" outlineLevel="0" collapsed="false">
      <c r="A419" s="7" t="s">
        <v>552</v>
      </c>
      <c r="B419" s="26" t="n">
        <v>6015749466</v>
      </c>
      <c r="C419" s="26" t="n">
        <v>1601645273</v>
      </c>
      <c r="D419" s="26" t="n">
        <v>4414104193</v>
      </c>
      <c r="E419" s="26" t="n">
        <v>95305873</v>
      </c>
      <c r="F419" s="26" t="n">
        <v>1226153191</v>
      </c>
      <c r="G419" s="26" t="n">
        <v>24735897</v>
      </c>
      <c r="H419" s="26" t="n">
        <v>18458184</v>
      </c>
      <c r="I419" s="26" t="n">
        <v>28810540</v>
      </c>
      <c r="J419" s="26" t="n">
        <v>32177748</v>
      </c>
      <c r="K419" s="26" t="n">
        <v>271309711</v>
      </c>
      <c r="L419" s="26" t="n">
        <v>1875024</v>
      </c>
      <c r="M419" s="26" t="n">
        <v>1775709</v>
      </c>
      <c r="N419" s="26" t="n">
        <v>99315</v>
      </c>
      <c r="O419" s="26" t="n">
        <v>0</v>
      </c>
      <c r="P419" s="26" t="n">
        <v>99315</v>
      </c>
      <c r="Q419" s="26" t="n">
        <v>43689</v>
      </c>
      <c r="R419" s="26" t="n">
        <v>17508</v>
      </c>
      <c r="S419" s="26" t="n">
        <v>1936221</v>
      </c>
      <c r="T419" s="26" t="n">
        <v>1697968</v>
      </c>
      <c r="U419" s="26" t="n">
        <v>35356</v>
      </c>
      <c r="V419" s="26" t="n">
        <v>1733324</v>
      </c>
      <c r="W419" s="26" t="n">
        <v>1918713</v>
      </c>
      <c r="X419" s="27" t="n">
        <f aca="false">IF(V419=0,0,(W419-V419)/V419)</f>
        <v>0.106955768223367</v>
      </c>
      <c r="Y419" s="26" t="n">
        <v>1733324</v>
      </c>
      <c r="Z419" s="26" t="n">
        <v>1178055372.82</v>
      </c>
      <c r="AA419" s="26" t="n">
        <v>1119527396.49</v>
      </c>
      <c r="AB419" s="28" t="n">
        <f aca="false">IF(B419=0,0,L419/B419*10000)</f>
        <v>3.1168585237755</v>
      </c>
      <c r="AC419" s="28" t="n">
        <f aca="false">IF(D419=0,0,M419/D419*10000)</f>
        <v>4.02280717074138</v>
      </c>
      <c r="AD419" s="28" t="n">
        <f aca="false">IF(C419=0,0,N419/C419*10000)</f>
        <v>0.620081123293772</v>
      </c>
      <c r="AE419" s="28" t="n">
        <f aca="false">IF(E419=0,0,Q419/E419*10000)</f>
        <v>4.58408266193627</v>
      </c>
    </row>
    <row r="420" customFormat="false" ht="15" hidden="false" customHeight="true" outlineLevel="0" collapsed="false">
      <c r="A420" s="7" t="s">
        <v>553</v>
      </c>
      <c r="B420" s="26" t="n">
        <v>1661820018</v>
      </c>
      <c r="C420" s="26" t="n">
        <v>212474514</v>
      </c>
      <c r="D420" s="26" t="n">
        <v>1449345504</v>
      </c>
      <c r="E420" s="26" t="n">
        <v>42166095</v>
      </c>
      <c r="F420" s="26" t="n">
        <v>140636979</v>
      </c>
      <c r="G420" s="26" t="n">
        <v>1716283</v>
      </c>
      <c r="H420" s="26" t="n">
        <v>933849</v>
      </c>
      <c r="I420" s="26" t="n">
        <v>12152914</v>
      </c>
      <c r="J420" s="26" t="n">
        <v>11385664</v>
      </c>
      <c r="K420" s="26" t="n">
        <v>45648823</v>
      </c>
      <c r="L420" s="26" t="n">
        <v>736113</v>
      </c>
      <c r="M420" s="26" t="n">
        <v>704561</v>
      </c>
      <c r="N420" s="26" t="n">
        <v>31552</v>
      </c>
      <c r="O420" s="26" t="n">
        <v>0</v>
      </c>
      <c r="P420" s="26" t="n">
        <v>31552</v>
      </c>
      <c r="Q420" s="26" t="n">
        <v>21946</v>
      </c>
      <c r="R420" s="26" t="n">
        <v>6558</v>
      </c>
      <c r="S420" s="26" t="n">
        <v>764617</v>
      </c>
      <c r="T420" s="26" t="n">
        <v>632714</v>
      </c>
      <c r="U420" s="26" t="n">
        <v>16539</v>
      </c>
      <c r="V420" s="26" t="n">
        <v>649253</v>
      </c>
      <c r="W420" s="26" t="n">
        <v>758059</v>
      </c>
      <c r="X420" s="27" t="n">
        <f aca="false">IF(V420=0,0,(W420-V420)/V420)</f>
        <v>0.167586441649095</v>
      </c>
      <c r="Y420" s="26" t="n">
        <v>649253</v>
      </c>
      <c r="Z420" s="26" t="n">
        <v>1178055372.82</v>
      </c>
      <c r="AA420" s="26" t="n">
        <v>1119527396.49</v>
      </c>
      <c r="AB420" s="28" t="n">
        <f aca="false">IF(B420=0,0,L420/B420*10000)</f>
        <v>4.4295591100528</v>
      </c>
      <c r="AC420" s="28" t="n">
        <f aca="false">IF(D420=0,0,M420/D420*10000)</f>
        <v>4.86123562708482</v>
      </c>
      <c r="AD420" s="28" t="n">
        <f aca="false">IF(C420=0,0,N420/C420*10000)</f>
        <v>1.48497809953809</v>
      </c>
      <c r="AE420" s="28" t="n">
        <f aca="false">IF(E420=0,0,Q420/E420*10000)</f>
        <v>5.2046555413775</v>
      </c>
    </row>
    <row r="421" customFormat="false" ht="15" hidden="false" customHeight="true" outlineLevel="0" collapsed="false">
      <c r="A421" s="7" t="s">
        <v>554</v>
      </c>
      <c r="B421" s="26" t="n">
        <v>1746791398</v>
      </c>
      <c r="C421" s="26" t="n">
        <v>339005979</v>
      </c>
      <c r="D421" s="26" t="n">
        <v>1407785419</v>
      </c>
      <c r="E421" s="26" t="n">
        <v>45387039</v>
      </c>
      <c r="F421" s="26" t="n">
        <v>262374433</v>
      </c>
      <c r="G421" s="26" t="n">
        <v>523956</v>
      </c>
      <c r="H421" s="26" t="n">
        <v>3620665</v>
      </c>
      <c r="I421" s="26" t="n">
        <v>13066510</v>
      </c>
      <c r="J421" s="26" t="n">
        <v>10994083</v>
      </c>
      <c r="K421" s="26" t="n">
        <v>48426332</v>
      </c>
      <c r="L421" s="26" t="n">
        <v>715380</v>
      </c>
      <c r="M421" s="26" t="n">
        <v>669987</v>
      </c>
      <c r="N421" s="26" t="n">
        <v>45393</v>
      </c>
      <c r="O421" s="26" t="n">
        <v>0</v>
      </c>
      <c r="P421" s="26" t="n">
        <v>45393</v>
      </c>
      <c r="Q421" s="26" t="n">
        <v>24651</v>
      </c>
      <c r="R421" s="26" t="n">
        <v>6446</v>
      </c>
      <c r="S421" s="26" t="n">
        <v>746477</v>
      </c>
      <c r="T421" s="26" t="n">
        <v>619345</v>
      </c>
      <c r="U421" s="26" t="n">
        <v>18858</v>
      </c>
      <c r="V421" s="26" t="n">
        <v>638203</v>
      </c>
      <c r="W421" s="26" t="n">
        <v>740031</v>
      </c>
      <c r="X421" s="27" t="n">
        <f aca="false">IF(V421=0,0,(W421-V421)/V421)</f>
        <v>0.159554248413122</v>
      </c>
      <c r="Y421" s="26" t="n">
        <v>638203</v>
      </c>
      <c r="Z421" s="26" t="n">
        <v>1178055372.82</v>
      </c>
      <c r="AA421" s="26" t="n">
        <v>1119527396.49</v>
      </c>
      <c r="AB421" s="28" t="n">
        <f aca="false">IF(B421=0,0,L421/B421*10000)</f>
        <v>4.09539456639802</v>
      </c>
      <c r="AC421" s="28" t="n">
        <f aca="false">IF(D421=0,0,M421/D421*10000)</f>
        <v>4.75915569913997</v>
      </c>
      <c r="AD421" s="28" t="n">
        <f aca="false">IF(C421=0,0,N421/C421*10000)</f>
        <v>1.3390029324527</v>
      </c>
      <c r="AE421" s="28" t="n">
        <f aca="false">IF(E421=0,0,Q421/E421*10000)</f>
        <v>5.43128623129612</v>
      </c>
    </row>
    <row r="422" customFormat="false" ht="15" hidden="false" customHeight="true" outlineLevel="0" collapsed="false">
      <c r="A422" s="7" t="s">
        <v>555</v>
      </c>
      <c r="B422" s="26" t="n">
        <v>6566743267</v>
      </c>
      <c r="C422" s="26" t="n">
        <v>1332197351</v>
      </c>
      <c r="D422" s="26" t="n">
        <v>5234545916</v>
      </c>
      <c r="E422" s="26" t="n">
        <v>153889474</v>
      </c>
      <c r="F422" s="26" t="n">
        <v>1014691695</v>
      </c>
      <c r="G422" s="26" t="n">
        <v>4614095</v>
      </c>
      <c r="H422" s="26" t="n">
        <v>21662813</v>
      </c>
      <c r="I422" s="26" t="n">
        <v>33766819</v>
      </c>
      <c r="J422" s="26" t="n">
        <v>35114373</v>
      </c>
      <c r="K422" s="26" t="n">
        <v>222347556</v>
      </c>
      <c r="L422" s="26" t="n">
        <v>2255968</v>
      </c>
      <c r="M422" s="26" t="n">
        <v>2157836</v>
      </c>
      <c r="N422" s="26" t="n">
        <v>98132</v>
      </c>
      <c r="O422" s="26" t="n">
        <v>0</v>
      </c>
      <c r="P422" s="26" t="n">
        <v>98132</v>
      </c>
      <c r="Q422" s="26" t="n">
        <v>74281</v>
      </c>
      <c r="R422" s="26" t="n">
        <v>21361</v>
      </c>
      <c r="S422" s="26" t="n">
        <v>2351610</v>
      </c>
      <c r="T422" s="26" t="n">
        <v>2057709</v>
      </c>
      <c r="U422" s="26" t="n">
        <v>56747</v>
      </c>
      <c r="V422" s="26" t="n">
        <v>2114456</v>
      </c>
      <c r="W422" s="26" t="n">
        <v>2330249</v>
      </c>
      <c r="X422" s="27" t="n">
        <f aca="false">IF(V422=0,0,(W422-V422)/V422)</f>
        <v>0.102056037108363</v>
      </c>
      <c r="Y422" s="26" t="n">
        <v>2114456</v>
      </c>
      <c r="Z422" s="26" t="n">
        <v>1178055372.82</v>
      </c>
      <c r="AA422" s="26" t="n">
        <v>1119527396.49</v>
      </c>
      <c r="AB422" s="28" t="n">
        <f aca="false">IF(B422=0,0,L422/B422*10000)</f>
        <v>3.43544418941573</v>
      </c>
      <c r="AC422" s="28" t="n">
        <f aca="false">IF(D422=0,0,M422/D422*10000)</f>
        <v>4.12229835142782</v>
      </c>
      <c r="AD422" s="28" t="n">
        <f aca="false">IF(C422=0,0,N422/C422*10000)</f>
        <v>0.736617588425155</v>
      </c>
      <c r="AE422" s="28" t="n">
        <f aca="false">IF(E422=0,0,Q422/E422*10000)</f>
        <v>4.82690583502807</v>
      </c>
    </row>
    <row r="423" customFormat="false" ht="15" hidden="false" customHeight="true" outlineLevel="0" collapsed="false">
      <c r="A423" s="7" t="s">
        <v>556</v>
      </c>
      <c r="B423" s="26" t="n">
        <v>6371184745</v>
      </c>
      <c r="C423" s="26" t="n">
        <v>1546025613</v>
      </c>
      <c r="D423" s="26" t="n">
        <v>4825159132</v>
      </c>
      <c r="E423" s="26" t="n">
        <v>128088494</v>
      </c>
      <c r="F423" s="26" t="n">
        <v>1236249610</v>
      </c>
      <c r="G423" s="26" t="n">
        <v>5294539</v>
      </c>
      <c r="H423" s="26" t="n">
        <v>22937339</v>
      </c>
      <c r="I423" s="26" t="n">
        <v>29171006</v>
      </c>
      <c r="J423" s="26" t="n">
        <v>29616236</v>
      </c>
      <c r="K423" s="26" t="n">
        <v>222756883</v>
      </c>
      <c r="L423" s="26" t="n">
        <v>2102604</v>
      </c>
      <c r="M423" s="26" t="n">
        <v>2008798</v>
      </c>
      <c r="N423" s="26" t="n">
        <v>93806</v>
      </c>
      <c r="O423" s="26" t="n">
        <v>0</v>
      </c>
      <c r="P423" s="26" t="n">
        <v>93806</v>
      </c>
      <c r="Q423" s="26" t="n">
        <v>56014</v>
      </c>
      <c r="R423" s="26" t="n">
        <v>19818</v>
      </c>
      <c r="S423" s="26" t="n">
        <v>2178436</v>
      </c>
      <c r="T423" s="26" t="n">
        <v>1923279</v>
      </c>
      <c r="U423" s="26" t="n">
        <v>38833</v>
      </c>
      <c r="V423" s="26" t="n">
        <v>1962112</v>
      </c>
      <c r="W423" s="26" t="n">
        <v>2158618</v>
      </c>
      <c r="X423" s="27" t="n">
        <f aca="false">IF(V423=0,0,(W423-V423)/V423)</f>
        <v>0.100150246265249</v>
      </c>
      <c r="Y423" s="26" t="n">
        <v>1962112</v>
      </c>
      <c r="Z423" s="26" t="n">
        <v>1178055372.82</v>
      </c>
      <c r="AA423" s="26" t="n">
        <v>1119527396.49</v>
      </c>
      <c r="AB423" s="28" t="n">
        <f aca="false">IF(B423=0,0,L423/B423*10000)</f>
        <v>3.30017741464818</v>
      </c>
      <c r="AC423" s="28" t="n">
        <f aca="false">IF(D423=0,0,M423/D423*10000)</f>
        <v>4.1631746125798</v>
      </c>
      <c r="AD423" s="28" t="n">
        <f aca="false">IF(C423=0,0,N423/C423*10000)</f>
        <v>0.606755795060686</v>
      </c>
      <c r="AE423" s="28" t="n">
        <f aca="false">IF(E423=0,0,Q423/E423*10000)</f>
        <v>4.37307038679056</v>
      </c>
    </row>
    <row r="424" customFormat="false" ht="15" hidden="false" customHeight="true" outlineLevel="0" collapsed="false">
      <c r="A424" s="7" t="s">
        <v>557</v>
      </c>
      <c r="B424" s="26" t="n">
        <v>7097602677</v>
      </c>
      <c r="C424" s="26" t="n">
        <v>1941630139</v>
      </c>
      <c r="D424" s="26" t="n">
        <v>5155972538</v>
      </c>
      <c r="E424" s="26" t="n">
        <v>144239731</v>
      </c>
      <c r="F424" s="26" t="n">
        <v>1580629895</v>
      </c>
      <c r="G424" s="26" t="n">
        <v>4648431</v>
      </c>
      <c r="H424" s="26" t="n">
        <v>25108553</v>
      </c>
      <c r="I424" s="26" t="n">
        <v>61190182</v>
      </c>
      <c r="J424" s="26" t="n">
        <v>23534025</v>
      </c>
      <c r="K424" s="26" t="n">
        <v>246519053</v>
      </c>
      <c r="L424" s="26" t="n">
        <v>2375529</v>
      </c>
      <c r="M424" s="26" t="n">
        <v>2263048</v>
      </c>
      <c r="N424" s="26" t="n">
        <v>112481</v>
      </c>
      <c r="O424" s="26" t="n">
        <v>0</v>
      </c>
      <c r="P424" s="26" t="n">
        <v>112481</v>
      </c>
      <c r="Q424" s="26" t="n">
        <v>63522</v>
      </c>
      <c r="R424" s="26" t="n">
        <v>22270</v>
      </c>
      <c r="S424" s="26" t="n">
        <v>2461321</v>
      </c>
      <c r="T424" s="26" t="n">
        <v>2159502</v>
      </c>
      <c r="U424" s="26" t="n">
        <v>45209</v>
      </c>
      <c r="V424" s="26" t="n">
        <v>2204711</v>
      </c>
      <c r="W424" s="26" t="n">
        <v>2439051</v>
      </c>
      <c r="X424" s="27" t="n">
        <f aca="false">IF(V424=0,0,(W424-V424)/V424)</f>
        <v>0.10629057504589</v>
      </c>
      <c r="Y424" s="26" t="n">
        <v>2204711</v>
      </c>
      <c r="Z424" s="26" t="n">
        <v>1194185996.92</v>
      </c>
      <c r="AA424" s="26" t="n">
        <v>1135638376.45</v>
      </c>
      <c r="AB424" s="28" t="n">
        <f aca="false">IF(B424=0,0,L424/B424*10000)</f>
        <v>3.3469455929084</v>
      </c>
      <c r="AC424" s="28" t="n">
        <f aca="false">IF(D424=0,0,M424/D424*10000)</f>
        <v>4.38917776097744</v>
      </c>
      <c r="AD424" s="28" t="n">
        <f aca="false">IF(C424=0,0,N424/C424*10000)</f>
        <v>0.579312185882792</v>
      </c>
      <c r="AE424" s="28" t="n">
        <f aca="false">IF(E424=0,0,Q424/E424*10000)</f>
        <v>4.40391836282612</v>
      </c>
    </row>
    <row r="425" customFormat="false" ht="15" hidden="false" customHeight="true" outlineLevel="0" collapsed="false">
      <c r="A425" s="7" t="s">
        <v>558</v>
      </c>
      <c r="B425" s="26" t="n">
        <v>6032597247</v>
      </c>
      <c r="C425" s="26" t="n">
        <v>1710116033</v>
      </c>
      <c r="D425" s="26" t="n">
        <v>4322481214</v>
      </c>
      <c r="E425" s="26" t="n">
        <v>96492289</v>
      </c>
      <c r="F425" s="26" t="n">
        <v>1304116435</v>
      </c>
      <c r="G425" s="26" t="n">
        <v>4699829</v>
      </c>
      <c r="H425" s="26" t="n">
        <v>27243033</v>
      </c>
      <c r="I425" s="26" t="n">
        <v>35918200</v>
      </c>
      <c r="J425" s="26" t="n">
        <v>22795507</v>
      </c>
      <c r="K425" s="26" t="n">
        <v>315343029</v>
      </c>
      <c r="L425" s="26" t="n">
        <v>1976987</v>
      </c>
      <c r="M425" s="26" t="n">
        <v>1879981</v>
      </c>
      <c r="N425" s="26" t="n">
        <v>97006</v>
      </c>
      <c r="O425" s="26" t="n">
        <v>0</v>
      </c>
      <c r="P425" s="26" t="n">
        <v>97006</v>
      </c>
      <c r="Q425" s="26" t="n">
        <v>43110</v>
      </c>
      <c r="R425" s="26" t="n">
        <v>17974</v>
      </c>
      <c r="S425" s="26" t="n">
        <v>2038071</v>
      </c>
      <c r="T425" s="26" t="n">
        <v>1745645</v>
      </c>
      <c r="U425" s="26" t="n">
        <v>33766</v>
      </c>
      <c r="V425" s="26" t="n">
        <v>1779411</v>
      </c>
      <c r="W425" s="26" t="n">
        <v>2020097</v>
      </c>
      <c r="X425" s="27" t="n">
        <f aca="false">IF(V425=0,0,(W425-V425)/V425)</f>
        <v>0.135261611847965</v>
      </c>
      <c r="Y425" s="26" t="n">
        <v>1779411</v>
      </c>
      <c r="Z425" s="26" t="n">
        <v>1194185996.92</v>
      </c>
      <c r="AA425" s="26" t="n">
        <v>1135638376.45</v>
      </c>
      <c r="AB425" s="28" t="n">
        <f aca="false">IF(B425=0,0,L425/B425*10000)</f>
        <v>3.27717385904248</v>
      </c>
      <c r="AC425" s="28" t="n">
        <f aca="false">IF(D425=0,0,M425/D425*10000)</f>
        <v>4.34930982212477</v>
      </c>
      <c r="AD425" s="28" t="n">
        <f aca="false">IF(C425=0,0,N425/C425*10000)</f>
        <v>0.567248058775436</v>
      </c>
      <c r="AE425" s="28" t="n">
        <f aca="false">IF(E425=0,0,Q425/E425*10000)</f>
        <v>4.46771451343641</v>
      </c>
    </row>
    <row r="426" customFormat="false" ht="15" hidden="false" customHeight="true" outlineLevel="0" collapsed="false">
      <c r="A426" s="7" t="s">
        <v>559</v>
      </c>
      <c r="B426" s="26" t="n">
        <v>5418457026</v>
      </c>
      <c r="C426" s="26" t="n">
        <v>1488138246</v>
      </c>
      <c r="D426" s="26" t="n">
        <v>3930318780</v>
      </c>
      <c r="E426" s="26" t="n">
        <v>115711001</v>
      </c>
      <c r="F426" s="26" t="n">
        <v>1082414994</v>
      </c>
      <c r="G426" s="26" t="n">
        <v>7549759</v>
      </c>
      <c r="H426" s="26" t="n">
        <v>31021272</v>
      </c>
      <c r="I426" s="26" t="n">
        <v>35277774</v>
      </c>
      <c r="J426" s="26" t="n">
        <v>28293103</v>
      </c>
      <c r="K426" s="26" t="n">
        <v>303581345</v>
      </c>
      <c r="L426" s="26" t="n">
        <v>1819863</v>
      </c>
      <c r="M426" s="26" t="n">
        <v>1707178</v>
      </c>
      <c r="N426" s="26" t="n">
        <v>112685</v>
      </c>
      <c r="O426" s="26" t="n">
        <v>0</v>
      </c>
      <c r="P426" s="26" t="n">
        <v>112685</v>
      </c>
      <c r="Q426" s="26" t="n">
        <v>52593</v>
      </c>
      <c r="R426" s="26" t="n">
        <v>16756</v>
      </c>
      <c r="S426" s="26" t="n">
        <v>1889212</v>
      </c>
      <c r="T426" s="26" t="n">
        <v>1617306</v>
      </c>
      <c r="U426" s="26" t="n">
        <v>41532</v>
      </c>
      <c r="V426" s="26" t="n">
        <v>1658838</v>
      </c>
      <c r="W426" s="26" t="n">
        <v>1872456</v>
      </c>
      <c r="X426" s="27" t="n">
        <f aca="false">IF(V426=0,0,(W426-V426)/V426)</f>
        <v>0.128775685148279</v>
      </c>
      <c r="Y426" s="26" t="n">
        <v>1658838</v>
      </c>
      <c r="Z426" s="26" t="n">
        <v>1194185996.92</v>
      </c>
      <c r="AA426" s="26" t="n">
        <v>1135638376.45</v>
      </c>
      <c r="AB426" s="28" t="n">
        <f aca="false">IF(B426=0,0,L426/B426*10000)</f>
        <v>3.35863695378139</v>
      </c>
      <c r="AC426" s="28" t="n">
        <f aca="false">IF(D426=0,0,M426/D426*10000)</f>
        <v>4.34361204665439</v>
      </c>
      <c r="AD426" s="28" t="n">
        <f aca="false">IF(C426=0,0,N426/C426*10000)</f>
        <v>0.757221315310513</v>
      </c>
      <c r="AE426" s="28" t="n">
        <f aca="false">IF(E426=0,0,Q426/E426*10000)</f>
        <v>4.54520309611702</v>
      </c>
    </row>
    <row r="427" customFormat="false" ht="15" hidden="false" customHeight="true" outlineLevel="0" collapsed="false">
      <c r="A427" s="7" t="s">
        <v>560</v>
      </c>
      <c r="B427" s="26" t="n">
        <v>6439724523</v>
      </c>
      <c r="C427" s="26" t="n">
        <v>803029432</v>
      </c>
      <c r="D427" s="26" t="n">
        <v>5636695091</v>
      </c>
      <c r="E427" s="26" t="n">
        <v>166843058</v>
      </c>
      <c r="F427" s="26" t="n">
        <v>612266326</v>
      </c>
      <c r="G427" s="26" t="n">
        <v>5971706</v>
      </c>
      <c r="H427" s="26" t="n">
        <v>12812500</v>
      </c>
      <c r="I427" s="26" t="n">
        <v>43280620</v>
      </c>
      <c r="J427" s="26" t="n">
        <v>29125539</v>
      </c>
      <c r="K427" s="26" t="n">
        <v>99572742</v>
      </c>
      <c r="L427" s="26" t="n">
        <v>2712519</v>
      </c>
      <c r="M427" s="26" t="n">
        <v>2575868</v>
      </c>
      <c r="N427" s="26" t="n">
        <v>136651</v>
      </c>
      <c r="O427" s="26" t="n">
        <v>0</v>
      </c>
      <c r="P427" s="26" t="n">
        <v>136651</v>
      </c>
      <c r="Q427" s="26" t="n">
        <v>80534</v>
      </c>
      <c r="R427" s="26" t="n">
        <v>24938</v>
      </c>
      <c r="S427" s="26" t="n">
        <v>2817991</v>
      </c>
      <c r="T427" s="26" t="n">
        <v>2406226</v>
      </c>
      <c r="U427" s="26" t="n">
        <v>62751</v>
      </c>
      <c r="V427" s="26" t="n">
        <v>2468977</v>
      </c>
      <c r="W427" s="26" t="n">
        <v>2793053</v>
      </c>
      <c r="X427" s="27" t="n">
        <f aca="false">IF(V427=0,0,(W427-V427)/V427)</f>
        <v>0.131259221936859</v>
      </c>
      <c r="Y427" s="26" t="n">
        <v>2468977</v>
      </c>
      <c r="Z427" s="26" t="n">
        <v>1194185996.92</v>
      </c>
      <c r="AA427" s="26" t="n">
        <v>1135638376.45</v>
      </c>
      <c r="AB427" s="28" t="n">
        <f aca="false">IF(B427=0,0,L427/B427*10000)</f>
        <v>4.21216620417848</v>
      </c>
      <c r="AC427" s="28" t="n">
        <f aca="false">IF(D427=0,0,M427/D427*10000)</f>
        <v>4.56981965214481</v>
      </c>
      <c r="AD427" s="28" t="n">
        <f aca="false">IF(C427=0,0,N427/C427*10000)</f>
        <v>1.70169354390488</v>
      </c>
      <c r="AE427" s="28" t="n">
        <f aca="false">IF(E427=0,0,Q427/E427*10000)</f>
        <v>4.82693142677833</v>
      </c>
    </row>
    <row r="428" customFormat="false" ht="15" hidden="false" customHeight="true" outlineLevel="0" collapsed="false">
      <c r="A428" s="7" t="s">
        <v>561</v>
      </c>
      <c r="B428" s="26" t="n">
        <v>5120056611</v>
      </c>
      <c r="C428" s="26" t="n">
        <v>678617837</v>
      </c>
      <c r="D428" s="26" t="n">
        <v>4441438774</v>
      </c>
      <c r="E428" s="26" t="n">
        <v>142720568</v>
      </c>
      <c r="F428" s="26" t="n">
        <v>492537212</v>
      </c>
      <c r="G428" s="26" t="n">
        <v>2642595</v>
      </c>
      <c r="H428" s="26" t="n">
        <v>10996787</v>
      </c>
      <c r="I428" s="26" t="n">
        <v>36741009</v>
      </c>
      <c r="J428" s="26" t="n">
        <v>26432315</v>
      </c>
      <c r="K428" s="26" t="n">
        <v>109267920</v>
      </c>
      <c r="L428" s="26" t="n">
        <v>2103840</v>
      </c>
      <c r="M428" s="26" t="n">
        <v>2008289</v>
      </c>
      <c r="N428" s="26" t="n">
        <v>95551</v>
      </c>
      <c r="O428" s="26" t="n">
        <v>0</v>
      </c>
      <c r="P428" s="26" t="n">
        <v>95551</v>
      </c>
      <c r="Q428" s="26" t="n">
        <v>65418</v>
      </c>
      <c r="R428" s="26" t="n">
        <v>19260</v>
      </c>
      <c r="S428" s="26" t="n">
        <v>2188518</v>
      </c>
      <c r="T428" s="26" t="n">
        <v>1859255</v>
      </c>
      <c r="U428" s="26" t="n">
        <v>47317</v>
      </c>
      <c r="V428" s="26" t="n">
        <v>1906572</v>
      </c>
      <c r="W428" s="26" t="n">
        <v>2169258</v>
      </c>
      <c r="X428" s="27" t="n">
        <f aca="false">IF(V428=0,0,(W428-V428)/V428)</f>
        <v>0.137779218408746</v>
      </c>
      <c r="Y428" s="26" t="n">
        <v>1906572</v>
      </c>
      <c r="Z428" s="26" t="n">
        <v>1194185996.92</v>
      </c>
      <c r="AA428" s="26" t="n">
        <v>1135638376.45</v>
      </c>
      <c r="AB428" s="28" t="n">
        <f aca="false">IF(B428=0,0,L428/B428*10000)</f>
        <v>4.10901706727242</v>
      </c>
      <c r="AC428" s="28" t="n">
        <f aca="false">IF(D428=0,0,M428/D428*10000)</f>
        <v>4.5217081720375</v>
      </c>
      <c r="AD428" s="28" t="n">
        <f aca="false">IF(C428=0,0,N428/C428*10000)</f>
        <v>1.40802370333216</v>
      </c>
      <c r="AE428" s="28" t="n">
        <f aca="false">IF(E428=0,0,Q428/E428*10000)</f>
        <v>4.58364207182808</v>
      </c>
    </row>
    <row r="429" customFormat="false" ht="15" hidden="false" customHeight="true" outlineLevel="0" collapsed="false">
      <c r="A429" s="7" t="s">
        <v>562</v>
      </c>
      <c r="B429" s="26" t="n">
        <v>8716851796</v>
      </c>
      <c r="C429" s="26" t="n">
        <v>2613061360</v>
      </c>
      <c r="D429" s="26" t="n">
        <v>6103790436</v>
      </c>
      <c r="E429" s="26" t="n">
        <v>179137288</v>
      </c>
      <c r="F429" s="26" t="n">
        <v>1877348339</v>
      </c>
      <c r="G429" s="26" t="n">
        <v>4823995</v>
      </c>
      <c r="H429" s="26" t="n">
        <v>87778058</v>
      </c>
      <c r="I429" s="26" t="n">
        <v>42445275</v>
      </c>
      <c r="J429" s="26" t="n">
        <v>51999954</v>
      </c>
      <c r="K429" s="26" t="n">
        <v>548665740</v>
      </c>
      <c r="L429" s="26" t="n">
        <v>2721328</v>
      </c>
      <c r="M429" s="26" t="n">
        <v>2548430</v>
      </c>
      <c r="N429" s="26" t="n">
        <v>172898</v>
      </c>
      <c r="O429" s="26" t="n">
        <v>0</v>
      </c>
      <c r="P429" s="26" t="n">
        <v>172898</v>
      </c>
      <c r="Q429" s="26" t="n">
        <v>83228</v>
      </c>
      <c r="R429" s="26" t="n">
        <v>25636</v>
      </c>
      <c r="S429" s="26" t="n">
        <v>2830192</v>
      </c>
      <c r="T429" s="26" t="n">
        <v>2470625</v>
      </c>
      <c r="U429" s="26" t="n">
        <v>67367</v>
      </c>
      <c r="V429" s="26" t="n">
        <v>2537992</v>
      </c>
      <c r="W429" s="26" t="n">
        <v>2804556</v>
      </c>
      <c r="X429" s="27" t="n">
        <f aca="false">IF(V429=0,0,(W429-V429)/V429)</f>
        <v>0.105029487878606</v>
      </c>
      <c r="Y429" s="26" t="n">
        <v>2537992</v>
      </c>
      <c r="Z429" s="26" t="n">
        <v>1194185996.92</v>
      </c>
      <c r="AA429" s="26" t="n">
        <v>1135638376.45</v>
      </c>
      <c r="AB429" s="28" t="n">
        <f aca="false">IF(B429=0,0,L429/B429*10000)</f>
        <v>3.12191610421639</v>
      </c>
      <c r="AC429" s="28" t="n">
        <f aca="false">IF(D429=0,0,M429/D429*10000)</f>
        <v>4.17515972529041</v>
      </c>
      <c r="AD429" s="28" t="n">
        <f aca="false">IF(C429=0,0,N429/C429*10000)</f>
        <v>0.661668350566402</v>
      </c>
      <c r="AE429" s="28" t="n">
        <f aca="false">IF(E429=0,0,Q429/E429*10000)</f>
        <v>4.64604555138738</v>
      </c>
    </row>
    <row r="430" customFormat="false" ht="15" hidden="false" customHeight="true" outlineLevel="0" collapsed="false">
      <c r="A430" s="7" t="s">
        <v>563</v>
      </c>
      <c r="B430" s="26" t="n">
        <v>9632717120</v>
      </c>
      <c r="C430" s="26" t="n">
        <v>3920561923</v>
      </c>
      <c r="D430" s="26" t="n">
        <v>5712155197</v>
      </c>
      <c r="E430" s="26" t="n">
        <v>157567502</v>
      </c>
      <c r="F430" s="26" t="n">
        <v>2931399930</v>
      </c>
      <c r="G430" s="26" t="n">
        <v>5486833</v>
      </c>
      <c r="H430" s="26" t="n">
        <v>117865458</v>
      </c>
      <c r="I430" s="26" t="n">
        <v>40078161</v>
      </c>
      <c r="J430" s="26" t="n">
        <v>48591954</v>
      </c>
      <c r="K430" s="26" t="n">
        <v>777139587</v>
      </c>
      <c r="L430" s="26" t="n">
        <v>2641731</v>
      </c>
      <c r="M430" s="26" t="n">
        <v>2397304</v>
      </c>
      <c r="N430" s="26" t="n">
        <v>244427</v>
      </c>
      <c r="O430" s="26" t="n">
        <v>0</v>
      </c>
      <c r="P430" s="26" t="n">
        <v>244427</v>
      </c>
      <c r="Q430" s="26" t="n">
        <v>69875</v>
      </c>
      <c r="R430" s="26" t="n">
        <v>25019</v>
      </c>
      <c r="S430" s="26" t="n">
        <v>2736625</v>
      </c>
      <c r="T430" s="26" t="n">
        <v>2422753</v>
      </c>
      <c r="U430" s="26" t="n">
        <v>54133</v>
      </c>
      <c r="V430" s="26" t="n">
        <v>2476886</v>
      </c>
      <c r="W430" s="26" t="n">
        <v>2711606</v>
      </c>
      <c r="X430" s="27" t="n">
        <f aca="false">IF(V430=0,0,(W430-V430)/V430)</f>
        <v>0.0947641514385402</v>
      </c>
      <c r="Y430" s="26" t="n">
        <v>2476886</v>
      </c>
      <c r="Z430" s="26" t="n">
        <v>1194185996.92</v>
      </c>
      <c r="AA430" s="26" t="n">
        <v>1135638376.45</v>
      </c>
      <c r="AB430" s="28" t="n">
        <f aca="false">IF(B430=0,0,L430/B430*10000)</f>
        <v>2.74245674101141</v>
      </c>
      <c r="AC430" s="28" t="n">
        <f aca="false">IF(D430=0,0,M430/D430*10000)</f>
        <v>4.19684675454731</v>
      </c>
      <c r="AD430" s="28" t="n">
        <f aca="false">IF(C430=0,0,N430/C430*10000)</f>
        <v>0.623448895338364</v>
      </c>
      <c r="AE430" s="28" t="n">
        <f aca="false">IF(E430=0,0,Q430/E430*10000)</f>
        <v>4.43460733419509</v>
      </c>
    </row>
    <row r="431" customFormat="false" ht="15" hidden="false" customHeight="true" outlineLevel="0" collapsed="false">
      <c r="A431" s="7" t="s">
        <v>564</v>
      </c>
      <c r="B431" s="26" t="n">
        <v>10374557109</v>
      </c>
      <c r="C431" s="26" t="n">
        <v>2633171701</v>
      </c>
      <c r="D431" s="26" t="n">
        <v>7741385408</v>
      </c>
      <c r="E431" s="26" t="n">
        <v>231627388</v>
      </c>
      <c r="F431" s="26" t="n">
        <v>1990254915</v>
      </c>
      <c r="G431" s="26" t="n">
        <v>3921388</v>
      </c>
      <c r="H431" s="26" t="n">
        <v>93072839</v>
      </c>
      <c r="I431" s="26" t="n">
        <v>61362885</v>
      </c>
      <c r="J431" s="26" t="n">
        <v>41364224</v>
      </c>
      <c r="K431" s="26" t="n">
        <v>443195449</v>
      </c>
      <c r="L431" s="26" t="n">
        <v>3357921</v>
      </c>
      <c r="M431" s="26" t="n">
        <v>3214770</v>
      </c>
      <c r="N431" s="26" t="n">
        <v>143151</v>
      </c>
      <c r="O431" s="26" t="n">
        <v>0</v>
      </c>
      <c r="P431" s="26" t="n">
        <v>143151</v>
      </c>
      <c r="Q431" s="26" t="n">
        <v>113394</v>
      </c>
      <c r="R431" s="26" t="n">
        <v>31491</v>
      </c>
      <c r="S431" s="26" t="n">
        <v>3502806</v>
      </c>
      <c r="T431" s="26" t="n">
        <v>3039916</v>
      </c>
      <c r="U431" s="26" t="n">
        <v>77670</v>
      </c>
      <c r="V431" s="26" t="n">
        <v>3117586</v>
      </c>
      <c r="W431" s="26" t="n">
        <v>3471315</v>
      </c>
      <c r="X431" s="27" t="n">
        <f aca="false">IF(V431=0,0,(W431-V431)/V431)</f>
        <v>0.11346246743474</v>
      </c>
      <c r="Y431" s="26" t="n">
        <v>3117586</v>
      </c>
      <c r="Z431" s="26" t="n">
        <v>1338073212.79</v>
      </c>
      <c r="AA431" s="26" t="n">
        <v>1279475030.03</v>
      </c>
      <c r="AB431" s="28" t="n">
        <f aca="false">IF(B431=0,0,L431/B431*10000)</f>
        <v>3.23668853014167</v>
      </c>
      <c r="AC431" s="28" t="n">
        <f aca="false">IF(D431=0,0,M431/D431*10000)</f>
        <v>4.15270630587367</v>
      </c>
      <c r="AD431" s="28" t="n">
        <f aca="false">IF(C431=0,0,N431/C431*10000)</f>
        <v>0.543644760976413</v>
      </c>
      <c r="AE431" s="28" t="n">
        <f aca="false">IF(E431=0,0,Q431/E431*10000)</f>
        <v>4.8955350651366</v>
      </c>
    </row>
    <row r="432" customFormat="false" ht="15" hidden="false" customHeight="true" outlineLevel="0" collapsed="false">
      <c r="A432" s="7" t="s">
        <v>565</v>
      </c>
      <c r="B432" s="26" t="n">
        <v>7337800283</v>
      </c>
      <c r="C432" s="26" t="n">
        <v>2311825079</v>
      </c>
      <c r="D432" s="26" t="n">
        <v>5025975204</v>
      </c>
      <c r="E432" s="26" t="n">
        <v>135986441</v>
      </c>
      <c r="F432" s="26" t="n">
        <v>1792440591</v>
      </c>
      <c r="G432" s="26" t="n">
        <v>4136476</v>
      </c>
      <c r="H432" s="26" t="n">
        <v>70111459</v>
      </c>
      <c r="I432" s="26" t="n">
        <v>37331839</v>
      </c>
      <c r="J432" s="26" t="n">
        <v>36222414</v>
      </c>
      <c r="K432" s="26" t="n">
        <v>371582300</v>
      </c>
      <c r="L432" s="26" t="n">
        <v>2252757</v>
      </c>
      <c r="M432" s="26" t="n">
        <v>2122908</v>
      </c>
      <c r="N432" s="26" t="n">
        <v>129849</v>
      </c>
      <c r="O432" s="26" t="n">
        <v>0</v>
      </c>
      <c r="P432" s="26" t="n">
        <v>129849</v>
      </c>
      <c r="Q432" s="26" t="n">
        <v>58371</v>
      </c>
      <c r="R432" s="26" t="n">
        <v>20981</v>
      </c>
      <c r="S432" s="26" t="n">
        <v>2332109</v>
      </c>
      <c r="T432" s="26" t="n">
        <v>2032131</v>
      </c>
      <c r="U432" s="26" t="n">
        <v>44998</v>
      </c>
      <c r="V432" s="26" t="n">
        <v>2077129</v>
      </c>
      <c r="W432" s="26" t="n">
        <v>2311128</v>
      </c>
      <c r="X432" s="27" t="n">
        <f aca="false">IF(V432=0,0,(W432-V432)/V432)</f>
        <v>0.112655015649004</v>
      </c>
      <c r="Y432" s="26" t="n">
        <v>2077129</v>
      </c>
      <c r="Z432" s="26" t="n">
        <v>1338073212.79</v>
      </c>
      <c r="AA432" s="26" t="n">
        <v>1279475030.03</v>
      </c>
      <c r="AB432" s="28" t="n">
        <f aca="false">IF(B432=0,0,L432/B432*10000)</f>
        <v>3.07007129264491</v>
      </c>
      <c r="AC432" s="28" t="n">
        <f aca="false">IF(D432=0,0,M432/D432*10000)</f>
        <v>4.22387280842622</v>
      </c>
      <c r="AD432" s="28" t="n">
        <f aca="false">IF(C432=0,0,N432/C432*10000)</f>
        <v>0.561673117830209</v>
      </c>
      <c r="AE432" s="28" t="n">
        <f aca="false">IF(E432=0,0,Q432/E432*10000)</f>
        <v>4.29241324140544</v>
      </c>
    </row>
    <row r="433" customFormat="false" ht="15" hidden="false" customHeight="true" outlineLevel="0" collapsed="false">
      <c r="A433" s="7" t="s">
        <v>566</v>
      </c>
      <c r="B433" s="26" t="n">
        <v>7970180934</v>
      </c>
      <c r="C433" s="26" t="n">
        <v>2362857166</v>
      </c>
      <c r="D433" s="26" t="n">
        <v>5607323768</v>
      </c>
      <c r="E433" s="26" t="n">
        <v>155182594</v>
      </c>
      <c r="F433" s="26" t="n">
        <v>1868685630</v>
      </c>
      <c r="G433" s="26" t="n">
        <v>6299419</v>
      </c>
      <c r="H433" s="26" t="n">
        <v>88228441</v>
      </c>
      <c r="I433" s="26" t="n">
        <v>31750770</v>
      </c>
      <c r="J433" s="26" t="n">
        <v>36570583</v>
      </c>
      <c r="K433" s="26" t="n">
        <v>331322323</v>
      </c>
      <c r="L433" s="26" t="n">
        <v>2629551</v>
      </c>
      <c r="M433" s="26" t="n">
        <v>2487454</v>
      </c>
      <c r="N433" s="26" t="n">
        <v>142097</v>
      </c>
      <c r="O433" s="26" t="n">
        <v>0</v>
      </c>
      <c r="P433" s="26" t="n">
        <v>142097</v>
      </c>
      <c r="Q433" s="26" t="n">
        <v>68818</v>
      </c>
      <c r="R433" s="26" t="n">
        <v>24579</v>
      </c>
      <c r="S433" s="26" t="n">
        <v>2722948</v>
      </c>
      <c r="T433" s="26" t="n">
        <v>2383854</v>
      </c>
      <c r="U433" s="26" t="n">
        <v>49166</v>
      </c>
      <c r="V433" s="26" t="n">
        <v>2433020</v>
      </c>
      <c r="W433" s="26" t="n">
        <v>2698369</v>
      </c>
      <c r="X433" s="27" t="n">
        <f aca="false">IF(V433=0,0,(W433-V433)/V433)</f>
        <v>0.109061577792209</v>
      </c>
      <c r="Y433" s="26" t="n">
        <v>2433020</v>
      </c>
      <c r="Z433" s="26" t="n">
        <v>1338073212.79</v>
      </c>
      <c r="AA433" s="26" t="n">
        <v>1279475030.03</v>
      </c>
      <c r="AB433" s="28" t="n">
        <f aca="false">IF(B433=0,0,L433/B433*10000)</f>
        <v>3.29923626800315</v>
      </c>
      <c r="AC433" s="28" t="n">
        <f aca="false">IF(D433=0,0,M433/D433*10000)</f>
        <v>4.43608056698181</v>
      </c>
      <c r="AD433" s="28" t="n">
        <f aca="false">IF(C433=0,0,N433/C433*10000)</f>
        <v>0.601377865935719</v>
      </c>
      <c r="AE433" s="28" t="n">
        <f aca="false">IF(E433=0,0,Q433/E433*10000)</f>
        <v>4.43464683932271</v>
      </c>
    </row>
    <row r="434" customFormat="false" ht="15" hidden="false" customHeight="true" outlineLevel="0" collapsed="false">
      <c r="A434" s="7" t="s">
        <v>567</v>
      </c>
      <c r="B434" s="26" t="n">
        <v>2879320752</v>
      </c>
      <c r="C434" s="26" t="n">
        <v>441532014</v>
      </c>
      <c r="D434" s="26" t="n">
        <v>2437788738</v>
      </c>
      <c r="E434" s="26" t="n">
        <v>77353585</v>
      </c>
      <c r="F434" s="26" t="n">
        <v>363959531</v>
      </c>
      <c r="G434" s="26" t="n">
        <v>956282</v>
      </c>
      <c r="H434" s="26" t="n">
        <v>8559249</v>
      </c>
      <c r="I434" s="26" t="n">
        <v>14198398</v>
      </c>
      <c r="J434" s="26" t="n">
        <v>15013408</v>
      </c>
      <c r="K434" s="26" t="n">
        <v>38845146</v>
      </c>
      <c r="L434" s="26" t="n">
        <v>1089235</v>
      </c>
      <c r="M434" s="26" t="n">
        <v>1037501</v>
      </c>
      <c r="N434" s="26" t="n">
        <v>51734</v>
      </c>
      <c r="O434" s="26" t="n">
        <v>0</v>
      </c>
      <c r="P434" s="26" t="n">
        <v>51734</v>
      </c>
      <c r="Q434" s="26" t="n">
        <v>32483</v>
      </c>
      <c r="R434" s="26" t="n">
        <v>9950</v>
      </c>
      <c r="S434" s="26" t="n">
        <v>1131668</v>
      </c>
      <c r="T434" s="26" t="n">
        <v>959036</v>
      </c>
      <c r="U434" s="26" t="n">
        <v>25966</v>
      </c>
      <c r="V434" s="26" t="n">
        <v>985002</v>
      </c>
      <c r="W434" s="26" t="n">
        <v>1121718</v>
      </c>
      <c r="X434" s="27" t="n">
        <f aca="false">IF(V434=0,0,(W434-V434)/V434)</f>
        <v>0.138797687720431</v>
      </c>
      <c r="Y434" s="26" t="n">
        <v>985002</v>
      </c>
      <c r="Z434" s="26" t="n">
        <v>1338073212.79</v>
      </c>
      <c r="AA434" s="26" t="n">
        <v>1279475030.03</v>
      </c>
      <c r="AB434" s="28" t="n">
        <f aca="false">IF(B434=0,0,L434/B434*10000)</f>
        <v>3.78295818290966</v>
      </c>
      <c r="AC434" s="28" t="n">
        <f aca="false">IF(D434=0,0,M434/D434*10000)</f>
        <v>4.25591021825452</v>
      </c>
      <c r="AD434" s="28" t="n">
        <f aca="false">IF(C434=0,0,N434/C434*10000)</f>
        <v>1.17169306776473</v>
      </c>
      <c r="AE434" s="28" t="n">
        <f aca="false">IF(E434=0,0,Q434/E434*10000)</f>
        <v>4.199288242426</v>
      </c>
    </row>
    <row r="435" customFormat="false" ht="15" hidden="false" customHeight="true" outlineLevel="0" collapsed="false">
      <c r="A435" s="7" t="s">
        <v>568</v>
      </c>
      <c r="B435" s="26" t="n">
        <v>4566803782</v>
      </c>
      <c r="C435" s="26" t="n">
        <v>880743817</v>
      </c>
      <c r="D435" s="26" t="n">
        <v>3686059965</v>
      </c>
      <c r="E435" s="26" t="n">
        <v>93022962</v>
      </c>
      <c r="F435" s="26" t="n">
        <v>729297370</v>
      </c>
      <c r="G435" s="26" t="n">
        <v>2790528</v>
      </c>
      <c r="H435" s="26" t="n">
        <v>32767522</v>
      </c>
      <c r="I435" s="26" t="n">
        <v>21753194</v>
      </c>
      <c r="J435" s="26" t="n">
        <v>24127360</v>
      </c>
      <c r="K435" s="26" t="n">
        <v>70007842</v>
      </c>
      <c r="L435" s="26" t="n">
        <v>1780540</v>
      </c>
      <c r="M435" s="26" t="n">
        <v>1696682</v>
      </c>
      <c r="N435" s="26" t="n">
        <v>83858</v>
      </c>
      <c r="O435" s="26" t="n">
        <v>0</v>
      </c>
      <c r="P435" s="26" t="n">
        <v>83858</v>
      </c>
      <c r="Q435" s="26" t="n">
        <v>38422</v>
      </c>
      <c r="R435" s="26" t="n">
        <v>15868</v>
      </c>
      <c r="S435" s="26" t="n">
        <v>1834830</v>
      </c>
      <c r="T435" s="26" t="n">
        <v>1541844</v>
      </c>
      <c r="U435" s="26" t="n">
        <v>29097</v>
      </c>
      <c r="V435" s="26" t="n">
        <v>1570941</v>
      </c>
      <c r="W435" s="26" t="n">
        <v>1818962</v>
      </c>
      <c r="X435" s="27" t="n">
        <f aca="false">IF(V435=0,0,(W435-V435)/V435)</f>
        <v>0.15788053147763</v>
      </c>
      <c r="Y435" s="26" t="n">
        <v>1570941</v>
      </c>
      <c r="Z435" s="26" t="n">
        <v>1338073212.79</v>
      </c>
      <c r="AA435" s="26" t="n">
        <v>1279475030.03</v>
      </c>
      <c r="AB435" s="28" t="n">
        <f aca="false">IF(B435=0,0,L435/B435*10000)</f>
        <v>3.89887563599289</v>
      </c>
      <c r="AC435" s="28" t="n">
        <f aca="false">IF(D435=0,0,M435/D435*10000)</f>
        <v>4.60296906754201</v>
      </c>
      <c r="AD435" s="28" t="n">
        <f aca="false">IF(C435=0,0,N435/C435*10000)</f>
        <v>0.952127036050484</v>
      </c>
      <c r="AE435" s="28" t="n">
        <f aca="false">IF(E435=0,0,Q435/E435*10000)</f>
        <v>4.13037804579906</v>
      </c>
    </row>
    <row r="436" customFormat="false" ht="15" hidden="false" customHeight="true" outlineLevel="0" collapsed="false">
      <c r="A436" s="7" t="s">
        <v>569</v>
      </c>
      <c r="B436" s="26" t="n">
        <v>10077583054</v>
      </c>
      <c r="C436" s="26" t="n">
        <v>4095930269</v>
      </c>
      <c r="D436" s="26" t="n">
        <v>5981652785</v>
      </c>
      <c r="E436" s="26" t="n">
        <v>214665220</v>
      </c>
      <c r="F436" s="26" t="n">
        <v>3609091968</v>
      </c>
      <c r="G436" s="26" t="n">
        <v>7097376</v>
      </c>
      <c r="H436" s="26" t="n">
        <v>78930080</v>
      </c>
      <c r="I436" s="26" t="n">
        <v>51339095</v>
      </c>
      <c r="J436" s="26" t="n">
        <v>66300761</v>
      </c>
      <c r="K436" s="26" t="n">
        <v>283170989</v>
      </c>
      <c r="L436" s="26" t="n">
        <v>2921136</v>
      </c>
      <c r="M436" s="26" t="n">
        <v>2676277</v>
      </c>
      <c r="N436" s="26" t="n">
        <v>244859</v>
      </c>
      <c r="O436" s="26" t="n">
        <v>0</v>
      </c>
      <c r="P436" s="26" t="n">
        <v>244859</v>
      </c>
      <c r="Q436" s="26" t="n">
        <v>97117</v>
      </c>
      <c r="R436" s="26" t="n">
        <v>26985</v>
      </c>
      <c r="S436" s="26" t="n">
        <v>3045238</v>
      </c>
      <c r="T436" s="26" t="n">
        <v>2596854</v>
      </c>
      <c r="U436" s="26" t="n">
        <v>74733</v>
      </c>
      <c r="V436" s="26" t="n">
        <v>2671587</v>
      </c>
      <c r="W436" s="26" t="n">
        <v>3018253</v>
      </c>
      <c r="X436" s="27" t="n">
        <f aca="false">IF(V436=0,0,(W436-V436)/V436)</f>
        <v>0.129760325978529</v>
      </c>
      <c r="Y436" s="26" t="n">
        <v>2671587</v>
      </c>
      <c r="Z436" s="26" t="n">
        <v>1338073212.79</v>
      </c>
      <c r="AA436" s="26" t="n">
        <v>1279475030.03</v>
      </c>
      <c r="AB436" s="28" t="n">
        <f aca="false">IF(B436=0,0,L436/B436*10000)</f>
        <v>2.89864740816057</v>
      </c>
      <c r="AC436" s="28" t="n">
        <f aca="false">IF(D436=0,0,M436/D436*10000)</f>
        <v>4.47414301062612</v>
      </c>
      <c r="AD436" s="28" t="n">
        <f aca="false">IF(C436=0,0,N436/C436*10000)</f>
        <v>0.597810470195776</v>
      </c>
      <c r="AE436" s="28" t="n">
        <f aca="false">IF(E436=0,0,Q436/E436*10000)</f>
        <v>4.52411433952831</v>
      </c>
    </row>
    <row r="437" customFormat="false" ht="15" hidden="false" customHeight="true" outlineLevel="0" collapsed="false">
      <c r="A437" s="7" t="s">
        <v>570</v>
      </c>
      <c r="B437" s="26" t="n">
        <v>7953730778</v>
      </c>
      <c r="C437" s="26" t="n">
        <v>2701675592</v>
      </c>
      <c r="D437" s="26" t="n">
        <v>5252055186</v>
      </c>
      <c r="E437" s="26" t="n">
        <v>138168410</v>
      </c>
      <c r="F437" s="26" t="n">
        <v>2375975167</v>
      </c>
      <c r="G437" s="26" t="n">
        <v>5100869</v>
      </c>
      <c r="H437" s="26" t="n">
        <v>49378113</v>
      </c>
      <c r="I437" s="26" t="n">
        <v>44872418</v>
      </c>
      <c r="J437" s="26" t="n">
        <v>48823063</v>
      </c>
      <c r="K437" s="26" t="n">
        <v>177525963</v>
      </c>
      <c r="L437" s="26" t="n">
        <v>2569896</v>
      </c>
      <c r="M437" s="26" t="n">
        <v>2404344</v>
      </c>
      <c r="N437" s="26" t="n">
        <v>165552</v>
      </c>
      <c r="O437" s="26" t="n">
        <v>0</v>
      </c>
      <c r="P437" s="26" t="n">
        <v>165552</v>
      </c>
      <c r="Q437" s="26" t="n">
        <v>65840</v>
      </c>
      <c r="R437" s="26" t="n">
        <v>23581</v>
      </c>
      <c r="S437" s="26" t="n">
        <v>2659317</v>
      </c>
      <c r="T437" s="26" t="n">
        <v>2283759</v>
      </c>
      <c r="U437" s="26" t="n">
        <v>50782</v>
      </c>
      <c r="V437" s="26" t="n">
        <v>2334541</v>
      </c>
      <c r="W437" s="26" t="n">
        <v>2635736</v>
      </c>
      <c r="X437" s="27" t="n">
        <f aca="false">IF(V437=0,0,(W437-V437)/V437)</f>
        <v>0.129016796021145</v>
      </c>
      <c r="Y437" s="26" t="n">
        <v>2334541</v>
      </c>
      <c r="Z437" s="26" t="n">
        <v>1338073212.79</v>
      </c>
      <c r="AA437" s="26" t="n">
        <v>1279475030.03</v>
      </c>
      <c r="AB437" s="28" t="n">
        <f aca="false">IF(B437=0,0,L437/B437*10000)</f>
        <v>3.23105731351673</v>
      </c>
      <c r="AC437" s="28" t="n">
        <f aca="false">IF(D437=0,0,M437/D437*10000)</f>
        <v>4.57791076988124</v>
      </c>
      <c r="AD437" s="28" t="n">
        <f aca="false">IF(C437=0,0,N437/C437*10000)</f>
        <v>0.612775273575481</v>
      </c>
      <c r="AE437" s="28" t="n">
        <f aca="false">IF(E437=0,0,Q437/E437*10000)</f>
        <v>4.76519922317989</v>
      </c>
    </row>
    <row r="438" customFormat="false" ht="15" hidden="false" customHeight="true" outlineLevel="0" collapsed="false">
      <c r="A438" s="7" t="s">
        <v>571</v>
      </c>
      <c r="B438" s="26" t="n">
        <v>6478339093</v>
      </c>
      <c r="C438" s="26" t="n">
        <v>2294076704</v>
      </c>
      <c r="D438" s="26" t="n">
        <v>4184262389</v>
      </c>
      <c r="E438" s="26" t="n">
        <v>153775554</v>
      </c>
      <c r="F438" s="26" t="n">
        <v>2034963072</v>
      </c>
      <c r="G438" s="26" t="n">
        <v>2508906</v>
      </c>
      <c r="H438" s="26" t="n">
        <v>45711024</v>
      </c>
      <c r="I438" s="26" t="n">
        <v>35387118</v>
      </c>
      <c r="J438" s="26" t="n">
        <v>30543828</v>
      </c>
      <c r="K438" s="26" t="n">
        <v>144962757</v>
      </c>
      <c r="L438" s="26" t="n">
        <v>1946525</v>
      </c>
      <c r="M438" s="26" t="n">
        <v>1832488</v>
      </c>
      <c r="N438" s="26" t="n">
        <v>114037</v>
      </c>
      <c r="O438" s="26" t="n">
        <v>0</v>
      </c>
      <c r="P438" s="26" t="n">
        <v>114037</v>
      </c>
      <c r="Q438" s="26" t="n">
        <v>79918</v>
      </c>
      <c r="R438" s="26" t="n">
        <v>18307</v>
      </c>
      <c r="S438" s="26" t="n">
        <v>2044750</v>
      </c>
      <c r="T438" s="26" t="n">
        <v>1748526</v>
      </c>
      <c r="U438" s="26" t="n">
        <v>63829</v>
      </c>
      <c r="V438" s="26" t="n">
        <v>1812355</v>
      </c>
      <c r="W438" s="26" t="n">
        <v>2026443</v>
      </c>
      <c r="X438" s="27" t="n">
        <f aca="false">IF(V438=0,0,(W438-V438)/V438)</f>
        <v>0.118126967398771</v>
      </c>
      <c r="Y438" s="26" t="n">
        <v>1812355</v>
      </c>
      <c r="Z438" s="26" t="n">
        <v>1533919875.35</v>
      </c>
      <c r="AA438" s="26" t="n">
        <v>1475296709.71</v>
      </c>
      <c r="AB438" s="28" t="n">
        <f aca="false">IF(B438=0,0,L438/B438*10000)</f>
        <v>3.00466673950931</v>
      </c>
      <c r="AC438" s="28" t="n">
        <f aca="false">IF(D438=0,0,M438/D438*10000)</f>
        <v>4.37947678620114</v>
      </c>
      <c r="AD438" s="28" t="n">
        <f aca="false">IF(C438=0,0,N438/C438*10000)</f>
        <v>0.497093230584499</v>
      </c>
      <c r="AE438" s="28" t="n">
        <f aca="false">IF(E438=0,0,Q438/E438*10000)</f>
        <v>5.19705492330725</v>
      </c>
    </row>
    <row r="439" customFormat="false" ht="15" hidden="false" customHeight="true" outlineLevel="0" collapsed="false">
      <c r="A439" s="7" t="s">
        <v>572</v>
      </c>
      <c r="B439" s="26" t="n">
        <v>6736521063</v>
      </c>
      <c r="C439" s="26" t="n">
        <v>2717272316</v>
      </c>
      <c r="D439" s="26" t="n">
        <v>4019248747</v>
      </c>
      <c r="E439" s="26" t="n">
        <v>157881742</v>
      </c>
      <c r="F439" s="26" t="n">
        <v>2456003375</v>
      </c>
      <c r="G439" s="26" t="n">
        <v>3543025</v>
      </c>
      <c r="H439" s="26" t="n">
        <v>36901009</v>
      </c>
      <c r="I439" s="26" t="n">
        <v>32471416</v>
      </c>
      <c r="J439" s="26" t="n">
        <v>33463085</v>
      </c>
      <c r="K439" s="26" t="n">
        <v>154890406</v>
      </c>
      <c r="L439" s="26" t="n">
        <v>1963750</v>
      </c>
      <c r="M439" s="26" t="n">
        <v>1810505</v>
      </c>
      <c r="N439" s="26" t="n">
        <v>153245</v>
      </c>
      <c r="O439" s="26" t="n">
        <v>0</v>
      </c>
      <c r="P439" s="26" t="n">
        <v>153245</v>
      </c>
      <c r="Q439" s="26" t="n">
        <v>74559</v>
      </c>
      <c r="R439" s="26" t="n">
        <v>18215</v>
      </c>
      <c r="S439" s="26" t="n">
        <v>2056524</v>
      </c>
      <c r="T439" s="26" t="n">
        <v>1748647</v>
      </c>
      <c r="U439" s="26" t="n">
        <v>54617</v>
      </c>
      <c r="V439" s="26" t="n">
        <v>1803264</v>
      </c>
      <c r="W439" s="26" t="n">
        <v>2038309</v>
      </c>
      <c r="X439" s="27" t="n">
        <f aca="false">IF(V439=0,0,(W439-V439)/V439)</f>
        <v>0.130344198076377</v>
      </c>
      <c r="Y439" s="26" t="n">
        <v>1803264</v>
      </c>
      <c r="Z439" s="26" t="n">
        <v>1533919875.35</v>
      </c>
      <c r="AA439" s="26" t="n">
        <v>1475296709.71</v>
      </c>
      <c r="AB439" s="28" t="n">
        <f aca="false">IF(B439=0,0,L439/B439*10000)</f>
        <v>2.91508032356018</v>
      </c>
      <c r="AC439" s="28" t="n">
        <f aca="false">IF(D439=0,0,M439/D439*10000)</f>
        <v>4.50458559289563</v>
      </c>
      <c r="AD439" s="28" t="n">
        <f aca="false">IF(C439=0,0,N439/C439*10000)</f>
        <v>0.563966294793694</v>
      </c>
      <c r="AE439" s="28" t="n">
        <f aca="false">IF(E439=0,0,Q439/E439*10000)</f>
        <v>4.72245866149615</v>
      </c>
    </row>
    <row r="440" customFormat="false" ht="15" hidden="false" customHeight="true" outlineLevel="0" collapsed="false">
      <c r="A440" s="7" t="s">
        <v>573</v>
      </c>
      <c r="B440" s="26" t="n">
        <v>7886594376</v>
      </c>
      <c r="C440" s="26" t="n">
        <v>2099264511</v>
      </c>
      <c r="D440" s="26" t="n">
        <v>5787329865</v>
      </c>
      <c r="E440" s="26" t="n">
        <v>182728315</v>
      </c>
      <c r="F440" s="26" t="n">
        <v>1822903720</v>
      </c>
      <c r="G440" s="26" t="n">
        <v>3060531</v>
      </c>
      <c r="H440" s="26" t="n">
        <v>22582856</v>
      </c>
      <c r="I440" s="26" t="n">
        <v>42877426</v>
      </c>
      <c r="J440" s="26" t="n">
        <v>26162513</v>
      </c>
      <c r="K440" s="26" t="n">
        <v>181677465</v>
      </c>
      <c r="L440" s="26" t="n">
        <v>2653568</v>
      </c>
      <c r="M440" s="26" t="n">
        <v>2536664</v>
      </c>
      <c r="N440" s="26" t="n">
        <v>116904</v>
      </c>
      <c r="O440" s="26" t="n">
        <v>0</v>
      </c>
      <c r="P440" s="26" t="n">
        <v>116904</v>
      </c>
      <c r="Q440" s="26" t="n">
        <v>81922</v>
      </c>
      <c r="R440" s="26" t="n">
        <v>24678</v>
      </c>
      <c r="S440" s="26" t="n">
        <v>2760168</v>
      </c>
      <c r="T440" s="26" t="n">
        <v>2377525</v>
      </c>
      <c r="U440" s="26" t="n">
        <v>65639</v>
      </c>
      <c r="V440" s="26" t="n">
        <v>2443164</v>
      </c>
      <c r="W440" s="26" t="n">
        <v>2735490</v>
      </c>
      <c r="X440" s="27" t="n">
        <f aca="false">IF(V440=0,0,(W440-V440)/V440)</f>
        <v>0.1196505842424</v>
      </c>
      <c r="Y440" s="26" t="n">
        <v>2443164</v>
      </c>
      <c r="Z440" s="26" t="n">
        <v>1533919875.35</v>
      </c>
      <c r="AA440" s="26" t="n">
        <v>1475296709.71</v>
      </c>
      <c r="AB440" s="28" t="n">
        <f aca="false">IF(B440=0,0,L440/B440*10000)</f>
        <v>3.36465636938952</v>
      </c>
      <c r="AC440" s="28" t="n">
        <f aca="false">IF(D440=0,0,M440/D440*10000)</f>
        <v>4.38313360249425</v>
      </c>
      <c r="AD440" s="28" t="n">
        <f aca="false">IF(C440=0,0,N440/C440*10000)</f>
        <v>0.556880752222653</v>
      </c>
      <c r="AE440" s="28" t="n">
        <f aca="false">IF(E440=0,0,Q440/E440*10000)</f>
        <v>4.48326795986709</v>
      </c>
    </row>
    <row r="441" customFormat="false" ht="15" hidden="false" customHeight="true" outlineLevel="0" collapsed="false">
      <c r="A441" s="7" t="s">
        <v>574</v>
      </c>
      <c r="B441" s="26" t="n">
        <v>2487324934</v>
      </c>
      <c r="C441" s="26" t="n">
        <v>639797548</v>
      </c>
      <c r="D441" s="26" t="n">
        <v>1847527386</v>
      </c>
      <c r="E441" s="26" t="n">
        <v>81103244</v>
      </c>
      <c r="F441" s="26" t="n">
        <v>543656820</v>
      </c>
      <c r="G441" s="26" t="n">
        <v>189704</v>
      </c>
      <c r="H441" s="26" t="n">
        <v>8866063</v>
      </c>
      <c r="I441" s="26" t="n">
        <v>12981106</v>
      </c>
      <c r="J441" s="26" t="n">
        <v>11265119</v>
      </c>
      <c r="K441" s="26" t="n">
        <v>62838736</v>
      </c>
      <c r="L441" s="26" t="n">
        <v>899107</v>
      </c>
      <c r="M441" s="26" t="n">
        <v>841815</v>
      </c>
      <c r="N441" s="26" t="n">
        <v>57292</v>
      </c>
      <c r="O441" s="26" t="n">
        <v>0</v>
      </c>
      <c r="P441" s="26" t="n">
        <v>57292</v>
      </c>
      <c r="Q441" s="26" t="n">
        <v>42502</v>
      </c>
      <c r="R441" s="26" t="n">
        <v>8250</v>
      </c>
      <c r="S441" s="26" t="n">
        <v>949859</v>
      </c>
      <c r="T441" s="26" t="n">
        <v>782588</v>
      </c>
      <c r="U441" s="26" t="n">
        <v>34134</v>
      </c>
      <c r="V441" s="26" t="n">
        <v>816722</v>
      </c>
      <c r="W441" s="26" t="n">
        <v>941609</v>
      </c>
      <c r="X441" s="27" t="n">
        <f aca="false">IF(V441=0,0,(W441-V441)/V441)</f>
        <v>0.152912496541051</v>
      </c>
      <c r="Y441" s="26" t="n">
        <v>816722</v>
      </c>
      <c r="Z441" s="26" t="n">
        <v>1533919875.35</v>
      </c>
      <c r="AA441" s="26" t="n">
        <v>1475296709.71</v>
      </c>
      <c r="AB441" s="28" t="n">
        <f aca="false">IF(B441=0,0,L441/B441*10000)</f>
        <v>3.61475490278666</v>
      </c>
      <c r="AC441" s="28" t="n">
        <f aca="false">IF(D441=0,0,M441/D441*10000)</f>
        <v>4.55644125428948</v>
      </c>
      <c r="AD441" s="28" t="n">
        <f aca="false">IF(C441=0,0,N441/C441*10000)</f>
        <v>0.895470765386553</v>
      </c>
      <c r="AE441" s="28" t="n">
        <f aca="false">IF(E441=0,0,Q441/E441*10000)</f>
        <v>5.24048088631325</v>
      </c>
    </row>
    <row r="442" customFormat="false" ht="15" hidden="false" customHeight="true" outlineLevel="0" collapsed="false">
      <c r="A442" s="7" t="s">
        <v>575</v>
      </c>
      <c r="B442" s="26" t="n">
        <v>3893318293</v>
      </c>
      <c r="C442" s="26" t="n">
        <v>965658589</v>
      </c>
      <c r="D442" s="26" t="n">
        <v>2927659704</v>
      </c>
      <c r="E442" s="26" t="n">
        <v>70648682</v>
      </c>
      <c r="F442" s="26" t="n">
        <v>813225701</v>
      </c>
      <c r="G442" s="26" t="n">
        <v>12644993</v>
      </c>
      <c r="H442" s="26" t="n">
        <v>14259540</v>
      </c>
      <c r="I442" s="26" t="n">
        <v>21025116</v>
      </c>
      <c r="J442" s="26" t="n">
        <v>14291639</v>
      </c>
      <c r="K442" s="26" t="n">
        <v>90211599</v>
      </c>
      <c r="L442" s="26" t="n">
        <v>1401696</v>
      </c>
      <c r="M442" s="26" t="n">
        <v>1322762</v>
      </c>
      <c r="N442" s="26" t="n">
        <v>78934</v>
      </c>
      <c r="O442" s="26" t="n">
        <v>0</v>
      </c>
      <c r="P442" s="26" t="n">
        <v>78934</v>
      </c>
      <c r="Q442" s="26" t="n">
        <v>31407</v>
      </c>
      <c r="R442" s="26" t="n">
        <v>12798</v>
      </c>
      <c r="S442" s="26" t="n">
        <v>1445901</v>
      </c>
      <c r="T442" s="26" t="n">
        <v>1244657</v>
      </c>
      <c r="U442" s="26" t="n">
        <v>22322</v>
      </c>
      <c r="V442" s="26" t="n">
        <v>1266979</v>
      </c>
      <c r="W442" s="26" t="n">
        <v>1433103</v>
      </c>
      <c r="X442" s="27" t="n">
        <f aca="false">IF(V442=0,0,(W442-V442)/V442)</f>
        <v>0.131118195329204</v>
      </c>
      <c r="Y442" s="26" t="n">
        <v>1266979</v>
      </c>
      <c r="Z442" s="26" t="n">
        <v>1533919875.35</v>
      </c>
      <c r="AA442" s="26" t="n">
        <v>1475296709.71</v>
      </c>
      <c r="AB442" s="28" t="n">
        <f aca="false">IF(B442=0,0,L442/B442*10000)</f>
        <v>3.60026048350627</v>
      </c>
      <c r="AC442" s="28" t="n">
        <f aca="false">IF(D442=0,0,M442/D442*10000)</f>
        <v>4.51815488730722</v>
      </c>
      <c r="AD442" s="28" t="n">
        <f aca="false">IF(C442=0,0,N442/C442*10000)</f>
        <v>0.81741104878217</v>
      </c>
      <c r="AE442" s="28" t="n">
        <f aca="false">IF(E442=0,0,Q442/E442*10000)</f>
        <v>4.44551817682883</v>
      </c>
    </row>
    <row r="443" customFormat="false" ht="15" hidden="false" customHeight="true" outlineLevel="0" collapsed="false">
      <c r="A443" s="7" t="s">
        <v>576</v>
      </c>
      <c r="B443" s="26" t="n">
        <v>8449016482</v>
      </c>
      <c r="C443" s="26" t="n">
        <v>2053387348</v>
      </c>
      <c r="D443" s="26" t="n">
        <v>6395629134</v>
      </c>
      <c r="E443" s="26" t="n">
        <v>184912298</v>
      </c>
      <c r="F443" s="26" t="n">
        <v>1713918012</v>
      </c>
      <c r="G443" s="26" t="n">
        <v>2763814</v>
      </c>
      <c r="H443" s="26" t="n">
        <v>27619662</v>
      </c>
      <c r="I443" s="26" t="n">
        <v>67828262</v>
      </c>
      <c r="J443" s="26" t="n">
        <v>31192484</v>
      </c>
      <c r="K443" s="26" t="n">
        <v>210065114</v>
      </c>
      <c r="L443" s="26" t="n">
        <v>2864970</v>
      </c>
      <c r="M443" s="26" t="n">
        <v>2743533</v>
      </c>
      <c r="N443" s="26" t="n">
        <v>121437</v>
      </c>
      <c r="O443" s="26" t="n">
        <v>0</v>
      </c>
      <c r="P443" s="26" t="n">
        <v>121437</v>
      </c>
      <c r="Q443" s="26" t="n">
        <v>90856</v>
      </c>
      <c r="R443" s="26" t="n">
        <v>27025</v>
      </c>
      <c r="S443" s="26" t="n">
        <v>2982851</v>
      </c>
      <c r="T443" s="26" t="n">
        <v>2606001</v>
      </c>
      <c r="U443" s="26" t="n">
        <v>69669</v>
      </c>
      <c r="V443" s="26" t="n">
        <v>2675670</v>
      </c>
      <c r="W443" s="26" t="n">
        <v>2955826</v>
      </c>
      <c r="X443" s="27" t="n">
        <f aca="false">IF(V443=0,0,(W443-V443)/V443)</f>
        <v>0.104704989778261</v>
      </c>
      <c r="Y443" s="26" t="n">
        <v>2675670</v>
      </c>
      <c r="Z443" s="26" t="n">
        <v>1533919875.35</v>
      </c>
      <c r="AA443" s="26" t="n">
        <v>1475296709.71</v>
      </c>
      <c r="AB443" s="28" t="n">
        <f aca="false">IF(B443=0,0,L443/B443*10000)</f>
        <v>3.39089171633598</v>
      </c>
      <c r="AC443" s="28" t="n">
        <f aca="false">IF(D443=0,0,M443/D443*10000)</f>
        <v>4.28969995369966</v>
      </c>
      <c r="AD443" s="28" t="n">
        <f aca="false">IF(C443=0,0,N443/C443*10000)</f>
        <v>0.591398403804717</v>
      </c>
      <c r="AE443" s="28" t="n">
        <f aca="false">IF(E443=0,0,Q443/E443*10000)</f>
        <v>4.913464435989</v>
      </c>
    </row>
    <row r="444" customFormat="false" ht="15" hidden="false" customHeight="true" outlineLevel="0" collapsed="false">
      <c r="A444" s="7" t="s">
        <v>577</v>
      </c>
      <c r="B444" s="26" t="n">
        <v>6759298934</v>
      </c>
      <c r="C444" s="26" t="n">
        <v>1419520859</v>
      </c>
      <c r="D444" s="26" t="n">
        <v>5339778075</v>
      </c>
      <c r="E444" s="26" t="n">
        <v>150934969</v>
      </c>
      <c r="F444" s="26" t="n">
        <v>1148194339</v>
      </c>
      <c r="G444" s="26" t="n">
        <v>976721</v>
      </c>
      <c r="H444" s="26" t="n">
        <v>16032957</v>
      </c>
      <c r="I444" s="26" t="n">
        <v>40747928</v>
      </c>
      <c r="J444" s="26" t="n">
        <v>27457141</v>
      </c>
      <c r="K444" s="26" t="n">
        <v>186111774</v>
      </c>
      <c r="L444" s="26" t="n">
        <v>2383712</v>
      </c>
      <c r="M444" s="26" t="n">
        <v>2297896</v>
      </c>
      <c r="N444" s="26" t="n">
        <v>85816</v>
      </c>
      <c r="O444" s="26" t="n">
        <v>0</v>
      </c>
      <c r="P444" s="26" t="n">
        <v>85816</v>
      </c>
      <c r="Q444" s="26" t="n">
        <v>71225</v>
      </c>
      <c r="R444" s="26" t="n">
        <v>22259</v>
      </c>
      <c r="S444" s="26" t="n">
        <v>2477196</v>
      </c>
      <c r="T444" s="26" t="n">
        <v>2149345</v>
      </c>
      <c r="U444" s="26" t="n">
        <v>54316</v>
      </c>
      <c r="V444" s="26" t="n">
        <v>2203661</v>
      </c>
      <c r="W444" s="26" t="n">
        <v>2454937</v>
      </c>
      <c r="X444" s="27" t="n">
        <f aca="false">IF(V444=0,0,(W444-V444)/V444)</f>
        <v>0.114026612986299</v>
      </c>
      <c r="Y444" s="26" t="n">
        <v>2203661</v>
      </c>
      <c r="Z444" s="26" t="n">
        <v>1533919875.35</v>
      </c>
      <c r="AA444" s="26" t="n">
        <v>1475296709.71</v>
      </c>
      <c r="AB444" s="28" t="n">
        <f aca="false">IF(B444=0,0,L444/B444*10000)</f>
        <v>3.526566916592</v>
      </c>
      <c r="AC444" s="28" t="n">
        <f aca="false">IF(D444=0,0,M444/D444*10000)</f>
        <v>4.30335487303936</v>
      </c>
      <c r="AD444" s="28" t="n">
        <f aca="false">IF(C444=0,0,N444/C444*10000)</f>
        <v>0.604542014693988</v>
      </c>
      <c r="AE444" s="28" t="n">
        <f aca="false">IF(E444=0,0,Q444/E444*10000)</f>
        <v>4.71891970905695</v>
      </c>
    </row>
    <row r="445" customFormat="false" ht="15" hidden="false" customHeight="true" outlineLevel="0" collapsed="false">
      <c r="A445" s="7" t="s">
        <v>578</v>
      </c>
      <c r="B445" s="26" t="n">
        <v>8512456073</v>
      </c>
      <c r="C445" s="26" t="n">
        <v>2455343214</v>
      </c>
      <c r="D445" s="26" t="n">
        <v>6057112859</v>
      </c>
      <c r="E445" s="26" t="n">
        <v>201452297</v>
      </c>
      <c r="F445" s="26" t="n">
        <v>2119195063</v>
      </c>
      <c r="G445" s="26" t="n">
        <v>2156628</v>
      </c>
      <c r="H445" s="26" t="n">
        <v>37513701</v>
      </c>
      <c r="I445" s="26" t="n">
        <v>45048379</v>
      </c>
      <c r="J445" s="26" t="n">
        <v>40964086</v>
      </c>
      <c r="K445" s="26" t="n">
        <v>210465358</v>
      </c>
      <c r="L445" s="26" t="n">
        <v>2752355</v>
      </c>
      <c r="M445" s="26" t="n">
        <v>2615791</v>
      </c>
      <c r="N445" s="26" t="n">
        <v>136564</v>
      </c>
      <c r="O445" s="26" t="n">
        <v>0</v>
      </c>
      <c r="P445" s="26" t="n">
        <v>136564</v>
      </c>
      <c r="Q445" s="26" t="n">
        <v>100923</v>
      </c>
      <c r="R445" s="26" t="n">
        <v>26272</v>
      </c>
      <c r="S445" s="26" t="n">
        <v>2879550</v>
      </c>
      <c r="T445" s="26" t="n">
        <v>2514986</v>
      </c>
      <c r="U445" s="26" t="n">
        <v>85894</v>
      </c>
      <c r="V445" s="26" t="n">
        <v>2600880</v>
      </c>
      <c r="W445" s="26" t="n">
        <v>2853278</v>
      </c>
      <c r="X445" s="27" t="n">
        <f aca="false">IF(V445=0,0,(W445-V445)/V445)</f>
        <v>0.0970433084186891</v>
      </c>
      <c r="Y445" s="26" t="n">
        <v>2600880</v>
      </c>
      <c r="Z445" s="26" t="n">
        <v>1774938204.75</v>
      </c>
      <c r="AA445" s="26" t="n">
        <v>1716288783.85</v>
      </c>
      <c r="AB445" s="28" t="n">
        <f aca="false">IF(B445=0,0,L445/B445*10000)</f>
        <v>3.23332652338728</v>
      </c>
      <c r="AC445" s="28" t="n">
        <f aca="false">IF(D445=0,0,M445/D445*10000)</f>
        <v>4.31854426505082</v>
      </c>
      <c r="AD445" s="28" t="n">
        <f aca="false">IF(C445=0,0,N445/C445*10000)</f>
        <v>0.55619108245777</v>
      </c>
      <c r="AE445" s="28" t="n">
        <f aca="false">IF(E445=0,0,Q445/E445*10000)</f>
        <v>5.00977161853856</v>
      </c>
    </row>
    <row r="446" customFormat="false" ht="15" hidden="false" customHeight="true" outlineLevel="0" collapsed="false">
      <c r="A446" s="7" t="s">
        <v>579</v>
      </c>
      <c r="B446" s="26" t="n">
        <v>9366541737</v>
      </c>
      <c r="C446" s="26" t="n">
        <v>3916618768</v>
      </c>
      <c r="D446" s="26" t="n">
        <v>5449922969</v>
      </c>
      <c r="E446" s="26" t="n">
        <v>172378544</v>
      </c>
      <c r="F446" s="26" t="n">
        <v>3556025257</v>
      </c>
      <c r="G446" s="26" t="n">
        <v>5231596</v>
      </c>
      <c r="H446" s="26" t="n">
        <v>57221671</v>
      </c>
      <c r="I446" s="26" t="n">
        <v>37678959</v>
      </c>
      <c r="J446" s="26" t="n">
        <v>43006943</v>
      </c>
      <c r="K446" s="26" t="n">
        <v>217454343</v>
      </c>
      <c r="L446" s="26" t="n">
        <v>2709227</v>
      </c>
      <c r="M446" s="26" t="n">
        <v>2468823</v>
      </c>
      <c r="N446" s="26" t="n">
        <v>240404</v>
      </c>
      <c r="O446" s="26" t="n">
        <v>0</v>
      </c>
      <c r="P446" s="26" t="n">
        <v>240404</v>
      </c>
      <c r="Q446" s="26" t="n">
        <v>85429</v>
      </c>
      <c r="R446" s="26" t="n">
        <v>25691</v>
      </c>
      <c r="S446" s="26" t="n">
        <v>2820347</v>
      </c>
      <c r="T446" s="26" t="n">
        <v>2470527</v>
      </c>
      <c r="U446" s="26" t="n">
        <v>72863</v>
      </c>
      <c r="V446" s="26" t="n">
        <v>2543390</v>
      </c>
      <c r="W446" s="26" t="n">
        <v>2794656</v>
      </c>
      <c r="X446" s="27" t="n">
        <f aca="false">IF(V446=0,0,(W446-V446)/V446)</f>
        <v>0.0987917700391996</v>
      </c>
      <c r="Y446" s="26" t="n">
        <v>2543390</v>
      </c>
      <c r="Z446" s="26" t="n">
        <v>1774938204.75</v>
      </c>
      <c r="AA446" s="26" t="n">
        <v>1716288783.85</v>
      </c>
      <c r="AB446" s="28" t="n">
        <f aca="false">IF(B446=0,0,L446/B446*10000)</f>
        <v>2.89245174587535</v>
      </c>
      <c r="AC446" s="28" t="n">
        <f aca="false">IF(D446=0,0,M446/D446*10000)</f>
        <v>4.53001448652219</v>
      </c>
      <c r="AD446" s="28" t="n">
        <f aca="false">IF(C446=0,0,N446/C446*10000)</f>
        <v>0.613804953303538</v>
      </c>
      <c r="AE446" s="28" t="n">
        <f aca="false">IF(E446=0,0,Q446/E446*10000)</f>
        <v>4.95589520700442</v>
      </c>
    </row>
    <row r="447" customFormat="false" ht="15" hidden="false" customHeight="true" outlineLevel="0" collapsed="false">
      <c r="A447" s="7" t="s">
        <v>580</v>
      </c>
      <c r="B447" s="26" t="n">
        <v>6597275596</v>
      </c>
      <c r="C447" s="26" t="n">
        <v>2327726300</v>
      </c>
      <c r="D447" s="26" t="n">
        <v>4269549296</v>
      </c>
      <c r="E447" s="26" t="n">
        <v>115811184</v>
      </c>
      <c r="F447" s="26" t="n">
        <v>2014554885</v>
      </c>
      <c r="G447" s="26" t="n">
        <v>3546959</v>
      </c>
      <c r="H447" s="26" t="n">
        <v>39488816</v>
      </c>
      <c r="I447" s="26" t="n">
        <v>28927039</v>
      </c>
      <c r="J447" s="26" t="n">
        <v>33295002</v>
      </c>
      <c r="K447" s="26" t="n">
        <v>207913599</v>
      </c>
      <c r="L447" s="26" t="n">
        <v>2041365</v>
      </c>
      <c r="M447" s="26" t="n">
        <v>1893483</v>
      </c>
      <c r="N447" s="26" t="n">
        <v>147882</v>
      </c>
      <c r="O447" s="26" t="n">
        <v>0</v>
      </c>
      <c r="P447" s="26" t="n">
        <v>147882</v>
      </c>
      <c r="Q447" s="26" t="n">
        <v>55418</v>
      </c>
      <c r="R447" s="26" t="n">
        <v>19137</v>
      </c>
      <c r="S447" s="26" t="n">
        <v>2115920</v>
      </c>
      <c r="T447" s="26" t="n">
        <v>1849593</v>
      </c>
      <c r="U447" s="26" t="n">
        <v>44927</v>
      </c>
      <c r="V447" s="26" t="n">
        <v>1894520</v>
      </c>
      <c r="W447" s="26" t="n">
        <v>2096783</v>
      </c>
      <c r="X447" s="27" t="n">
        <f aca="false">IF(V447=0,0,(W447-V447)/V447)</f>
        <v>0.106762134999894</v>
      </c>
      <c r="Y447" s="26" t="n">
        <v>1894520</v>
      </c>
      <c r="Z447" s="26" t="n">
        <v>1774938204.75</v>
      </c>
      <c r="AA447" s="26" t="n">
        <v>1716288783.85</v>
      </c>
      <c r="AB447" s="28" t="n">
        <f aca="false">IF(B447=0,0,L447/B447*10000)</f>
        <v>3.09425454537279</v>
      </c>
      <c r="AC447" s="28" t="n">
        <f aca="false">IF(D447=0,0,M447/D447*10000)</f>
        <v>4.43485452146891</v>
      </c>
      <c r="AD447" s="28" t="n">
        <f aca="false">IF(C447=0,0,N447/C447*10000)</f>
        <v>0.635306650958062</v>
      </c>
      <c r="AE447" s="28" t="n">
        <f aca="false">IF(E447=0,0,Q447/E447*10000)</f>
        <v>4.78520278317852</v>
      </c>
    </row>
    <row r="448" customFormat="false" ht="15" hidden="false" customHeight="true" outlineLevel="0" collapsed="false">
      <c r="A448" s="7" t="s">
        <v>581</v>
      </c>
      <c r="B448" s="26" t="n">
        <v>2150154407</v>
      </c>
      <c r="C448" s="26" t="n">
        <v>385886655</v>
      </c>
      <c r="D448" s="26" t="n">
        <v>1764267752</v>
      </c>
      <c r="E448" s="26" t="n">
        <v>50810059</v>
      </c>
      <c r="F448" s="26" t="n">
        <v>311198721</v>
      </c>
      <c r="G448" s="26" t="n">
        <v>695589</v>
      </c>
      <c r="H448" s="26" t="n">
        <v>2445079</v>
      </c>
      <c r="I448" s="26" t="n">
        <v>10694065</v>
      </c>
      <c r="J448" s="26" t="n">
        <v>6066431</v>
      </c>
      <c r="K448" s="26" t="n">
        <v>54786770</v>
      </c>
      <c r="L448" s="26" t="n">
        <v>844325</v>
      </c>
      <c r="M448" s="26" t="n">
        <v>795707</v>
      </c>
      <c r="N448" s="26" t="n">
        <v>48618</v>
      </c>
      <c r="O448" s="26" t="n">
        <v>8655</v>
      </c>
      <c r="P448" s="26" t="n">
        <v>39963</v>
      </c>
      <c r="Q448" s="26" t="n">
        <v>25527</v>
      </c>
      <c r="R448" s="26" t="n">
        <v>7720</v>
      </c>
      <c r="S448" s="26" t="n">
        <v>877572</v>
      </c>
      <c r="T448" s="26" t="n">
        <v>743654</v>
      </c>
      <c r="U448" s="26" t="n">
        <v>20586</v>
      </c>
      <c r="V448" s="26" t="n">
        <v>764240</v>
      </c>
      <c r="W448" s="26" t="n">
        <v>861197</v>
      </c>
      <c r="X448" s="27" t="n">
        <f aca="false">IF(V448=0,0,(W448-V448)/V448)</f>
        <v>0.126867214487596</v>
      </c>
      <c r="Y448" s="26" t="n">
        <v>764240</v>
      </c>
      <c r="Z448" s="26" t="n">
        <v>1774938204.75</v>
      </c>
      <c r="AA448" s="26" t="n">
        <v>1716288783.85</v>
      </c>
      <c r="AB448" s="28" t="n">
        <f aca="false">IF(B448=0,0,L448/B448*10000)</f>
        <v>3.92681101064757</v>
      </c>
      <c r="AC448" s="28" t="n">
        <f aca="false">IF(D448=0,0,M448/D448*10000)</f>
        <v>4.51012607977431</v>
      </c>
      <c r="AD448" s="28" t="n">
        <f aca="false">IF(C448=0,0,N448/C448*10000)</f>
        <v>1.25990363672981</v>
      </c>
      <c r="AE448" s="28" t="n">
        <f aca="false">IF(E448=0,0,Q448/E448*10000)</f>
        <v>5.0240051876342</v>
      </c>
    </row>
    <row r="449" customFormat="false" ht="15" hidden="false" customHeight="true" outlineLevel="0" collapsed="false">
      <c r="A449" s="7" t="s">
        <v>582</v>
      </c>
      <c r="B449" s="26" t="n">
        <v>4896506139</v>
      </c>
      <c r="C449" s="26" t="n">
        <v>931981429</v>
      </c>
      <c r="D449" s="26" t="n">
        <v>3964524710</v>
      </c>
      <c r="E449" s="26" t="n">
        <v>98254347</v>
      </c>
      <c r="F449" s="26" t="n">
        <v>797358656</v>
      </c>
      <c r="G449" s="26" t="n">
        <v>483948</v>
      </c>
      <c r="H449" s="26" t="n">
        <v>19358651</v>
      </c>
      <c r="I449" s="26" t="n">
        <v>19312373</v>
      </c>
      <c r="J449" s="26" t="n">
        <v>13816511</v>
      </c>
      <c r="K449" s="26" t="n">
        <v>81651290</v>
      </c>
      <c r="L449" s="26" t="n">
        <v>1761091</v>
      </c>
      <c r="M449" s="26" t="n">
        <v>1677968</v>
      </c>
      <c r="N449" s="26" t="n">
        <v>83123</v>
      </c>
      <c r="O449" s="26" t="n">
        <v>27974</v>
      </c>
      <c r="P449" s="26" t="n">
        <v>55149</v>
      </c>
      <c r="Q449" s="26" t="n">
        <v>46563</v>
      </c>
      <c r="R449" s="26" t="n">
        <v>16365</v>
      </c>
      <c r="S449" s="26" t="n">
        <v>1824019</v>
      </c>
      <c r="T449" s="26" t="n">
        <v>1585172</v>
      </c>
      <c r="U449" s="26" t="n">
        <v>34921</v>
      </c>
      <c r="V449" s="26" t="n">
        <v>1620093</v>
      </c>
      <c r="W449" s="26" t="n">
        <v>1779680</v>
      </c>
      <c r="X449" s="27" t="n">
        <f aca="false">IF(V449=0,0,(W449-V449)/V449)</f>
        <v>0.098504838919741</v>
      </c>
      <c r="Y449" s="26" t="n">
        <v>1620093</v>
      </c>
      <c r="Z449" s="26" t="n">
        <v>1774938204.75</v>
      </c>
      <c r="AA449" s="26" t="n">
        <v>1716288783.85</v>
      </c>
      <c r="AB449" s="28" t="n">
        <f aca="false">IF(B449=0,0,L449/B449*10000)</f>
        <v>3.59662777908752</v>
      </c>
      <c r="AC449" s="28" t="n">
        <f aca="false">IF(D449=0,0,M449/D449*10000)</f>
        <v>4.2324569090654</v>
      </c>
      <c r="AD449" s="28" t="n">
        <f aca="false">IF(C449=0,0,N449/C449*10000)</f>
        <v>0.891895454281633</v>
      </c>
      <c r="AE449" s="28" t="n">
        <f aca="false">IF(E449=0,0,Q449/E449*10000)</f>
        <v>4.73902696640994</v>
      </c>
    </row>
    <row r="450" customFormat="false" ht="15" hidden="false" customHeight="true" outlineLevel="0" collapsed="false">
      <c r="A450" s="7" t="s">
        <v>583</v>
      </c>
      <c r="B450" s="26" t="n">
        <v>12275616362</v>
      </c>
      <c r="C450" s="26" t="n">
        <v>5939022744</v>
      </c>
      <c r="D450" s="26" t="n">
        <v>6336593618</v>
      </c>
      <c r="E450" s="26" t="n">
        <v>238315622</v>
      </c>
      <c r="F450" s="26" t="n">
        <v>5312950875</v>
      </c>
      <c r="G450" s="26" t="n">
        <v>9549016</v>
      </c>
      <c r="H450" s="26" t="n">
        <v>63782571</v>
      </c>
      <c r="I450" s="26" t="n">
        <v>39313823</v>
      </c>
      <c r="J450" s="26" t="n">
        <v>49889722</v>
      </c>
      <c r="K450" s="26" t="n">
        <v>463536737</v>
      </c>
      <c r="L450" s="26" t="n">
        <v>3375694</v>
      </c>
      <c r="M450" s="26" t="n">
        <v>2997842</v>
      </c>
      <c r="N450" s="26" t="n">
        <v>377852</v>
      </c>
      <c r="O450" s="26" t="n">
        <v>153142</v>
      </c>
      <c r="P450" s="26" t="n">
        <v>224710</v>
      </c>
      <c r="Q450" s="26" t="n">
        <v>112724</v>
      </c>
      <c r="R450" s="26" t="n">
        <v>32061</v>
      </c>
      <c r="S450" s="26" t="n">
        <v>3520479</v>
      </c>
      <c r="T450" s="26" t="n">
        <v>3081818</v>
      </c>
      <c r="U450" s="26" t="n">
        <v>92233</v>
      </c>
      <c r="V450" s="26" t="n">
        <v>3174051</v>
      </c>
      <c r="W450" s="26" t="n">
        <v>3335276</v>
      </c>
      <c r="X450" s="27" t="n">
        <f aca="false">IF(V450=0,0,(W450-V450)/V450)</f>
        <v>0.05079470997788</v>
      </c>
      <c r="Y450" s="26" t="n">
        <v>3174051</v>
      </c>
      <c r="Z450" s="26" t="n">
        <v>1774938204.75</v>
      </c>
      <c r="AA450" s="26" t="n">
        <v>1716288783.85</v>
      </c>
      <c r="AB450" s="28" t="n">
        <f aca="false">IF(B450=0,0,L450/B450*10000)</f>
        <v>2.74991813075039</v>
      </c>
      <c r="AC450" s="28" t="n">
        <f aca="false">IF(D450=0,0,M450/D450*10000)</f>
        <v>4.73099930455411</v>
      </c>
      <c r="AD450" s="28" t="n">
        <f aca="false">IF(C450=0,0,N450/C450*10000)</f>
        <v>0.636219149660155</v>
      </c>
      <c r="AE450" s="28" t="n">
        <f aca="false">IF(E450=0,0,Q450/E450*10000)</f>
        <v>4.73002982574093</v>
      </c>
    </row>
    <row r="451" customFormat="false" ht="15" hidden="false" customHeight="true" outlineLevel="0" collapsed="false">
      <c r="A451" s="7" t="s">
        <v>584</v>
      </c>
      <c r="B451" s="26" t="n">
        <v>7807656139</v>
      </c>
      <c r="C451" s="26" t="n">
        <v>3469124699</v>
      </c>
      <c r="D451" s="26" t="n">
        <v>4338531440</v>
      </c>
      <c r="E451" s="26" t="n">
        <v>115812748</v>
      </c>
      <c r="F451" s="26" t="n">
        <v>3085052043</v>
      </c>
      <c r="G451" s="26" t="n">
        <v>960808</v>
      </c>
      <c r="H451" s="26" t="n">
        <v>19418291</v>
      </c>
      <c r="I451" s="26" t="n">
        <v>26084369</v>
      </c>
      <c r="J451" s="26" t="n">
        <v>44559737</v>
      </c>
      <c r="K451" s="26" t="n">
        <v>293049453</v>
      </c>
      <c r="L451" s="26" t="n">
        <v>2223736</v>
      </c>
      <c r="M451" s="26" t="n">
        <v>2009017</v>
      </c>
      <c r="N451" s="26" t="n">
        <v>214719</v>
      </c>
      <c r="O451" s="26" t="n">
        <v>84331</v>
      </c>
      <c r="P451" s="26" t="n">
        <v>130388</v>
      </c>
      <c r="Q451" s="26" t="n">
        <v>57914</v>
      </c>
      <c r="R451" s="26" t="n">
        <v>20970</v>
      </c>
      <c r="S451" s="26" t="n">
        <v>2302620</v>
      </c>
      <c r="T451" s="26" t="n">
        <v>2029349</v>
      </c>
      <c r="U451" s="26" t="n">
        <v>46696</v>
      </c>
      <c r="V451" s="26" t="n">
        <v>2076045</v>
      </c>
      <c r="W451" s="26" t="n">
        <v>2197319</v>
      </c>
      <c r="X451" s="27" t="n">
        <f aca="false">IF(V451=0,0,(W451-V451)/V451)</f>
        <v>0.0584158821220157</v>
      </c>
      <c r="Y451" s="26" t="n">
        <v>2076045</v>
      </c>
      <c r="Z451" s="26" t="n">
        <v>1774938204.75</v>
      </c>
      <c r="AA451" s="26" t="n">
        <v>1716288783.85</v>
      </c>
      <c r="AB451" s="28" t="n">
        <f aca="false">IF(B451=0,0,L451/B451*10000)</f>
        <v>2.84814797220926</v>
      </c>
      <c r="AC451" s="28" t="n">
        <f aca="false">IF(D451=0,0,M451/D451*10000)</f>
        <v>4.63063833415484</v>
      </c>
      <c r="AD451" s="28" t="n">
        <f aca="false">IF(C451=0,0,N451/C451*10000)</f>
        <v>0.61894287069558</v>
      </c>
      <c r="AE451" s="28" t="n">
        <f aca="false">IF(E451=0,0,Q451/E451*10000)</f>
        <v>5.00065847673349</v>
      </c>
    </row>
    <row r="452" customFormat="false" ht="15" hidden="false" customHeight="true" outlineLevel="0" collapsed="false">
      <c r="A452" s="7" t="s">
        <v>585</v>
      </c>
      <c r="B452" s="26" t="n">
        <v>7031713385</v>
      </c>
      <c r="C452" s="26" t="n">
        <v>2544010665</v>
      </c>
      <c r="D452" s="26" t="n">
        <v>4487702720</v>
      </c>
      <c r="E452" s="26" t="n">
        <v>91591642</v>
      </c>
      <c r="F452" s="26" t="n">
        <v>2247415437</v>
      </c>
      <c r="G452" s="26" t="n">
        <v>2790527</v>
      </c>
      <c r="H452" s="26" t="n">
        <v>14431824</v>
      </c>
      <c r="I452" s="26" t="n">
        <v>25289705</v>
      </c>
      <c r="J452" s="26" t="n">
        <v>27546640</v>
      </c>
      <c r="K452" s="26" t="n">
        <v>226536532</v>
      </c>
      <c r="L452" s="26" t="n">
        <v>2052280</v>
      </c>
      <c r="M452" s="26" t="n">
        <v>1905581</v>
      </c>
      <c r="N452" s="26" t="n">
        <v>146699</v>
      </c>
      <c r="O452" s="26" t="n">
        <v>51843</v>
      </c>
      <c r="P452" s="26" t="n">
        <v>94856</v>
      </c>
      <c r="Q452" s="26" t="n">
        <v>46508</v>
      </c>
      <c r="R452" s="26" t="n">
        <v>19244</v>
      </c>
      <c r="S452" s="26" t="n">
        <v>2118032</v>
      </c>
      <c r="T452" s="26" t="n">
        <v>1866987</v>
      </c>
      <c r="U452" s="26" t="n">
        <v>38141</v>
      </c>
      <c r="V452" s="26" t="n">
        <v>1905128</v>
      </c>
      <c r="W452" s="26" t="n">
        <v>2046945</v>
      </c>
      <c r="X452" s="27" t="n">
        <f aca="false">IF(V452=0,0,(W452-V452)/V452)</f>
        <v>0.074439617705477</v>
      </c>
      <c r="Y452" s="26" t="n">
        <v>1905128</v>
      </c>
      <c r="Z452" s="26" t="n">
        <v>1717373914.65</v>
      </c>
      <c r="AA452" s="26" t="n">
        <v>1658698705.98</v>
      </c>
      <c r="AB452" s="28" t="n">
        <f aca="false">IF(B452=0,0,L452/B452*10000)</f>
        <v>2.91860587545833</v>
      </c>
      <c r="AC452" s="28" t="n">
        <f aca="false">IF(D452=0,0,M452/D452*10000)</f>
        <v>4.24622823501108</v>
      </c>
      <c r="AD452" s="28" t="n">
        <f aca="false">IF(C452=0,0,N452/C452*10000)</f>
        <v>0.576644595159353</v>
      </c>
      <c r="AE452" s="28" t="n">
        <f aca="false">IF(E452=0,0,Q452/E452*10000)</f>
        <v>5.07775589392753</v>
      </c>
    </row>
    <row r="453" customFormat="false" ht="15" hidden="false" customHeight="true" outlineLevel="0" collapsed="false">
      <c r="A453" s="7" t="s">
        <v>586</v>
      </c>
      <c r="B453" s="26" t="n">
        <v>6720814471</v>
      </c>
      <c r="C453" s="26" t="n">
        <v>2413494093</v>
      </c>
      <c r="D453" s="26" t="n">
        <v>4307320378</v>
      </c>
      <c r="E453" s="26" t="n">
        <v>101819543</v>
      </c>
      <c r="F453" s="26" t="n">
        <v>2183988171</v>
      </c>
      <c r="G453" s="26" t="n">
        <v>2757116</v>
      </c>
      <c r="H453" s="26" t="n">
        <v>19286001</v>
      </c>
      <c r="I453" s="26" t="n">
        <v>22677373</v>
      </c>
      <c r="J453" s="26" t="n">
        <v>24259742</v>
      </c>
      <c r="K453" s="26" t="n">
        <v>160525688</v>
      </c>
      <c r="L453" s="26" t="n">
        <v>2071055</v>
      </c>
      <c r="M453" s="26" t="n">
        <v>1924444</v>
      </c>
      <c r="N453" s="26" t="n">
        <v>146611</v>
      </c>
      <c r="O453" s="26" t="n">
        <v>49014</v>
      </c>
      <c r="P453" s="26" t="n">
        <v>97597</v>
      </c>
      <c r="Q453" s="26" t="n">
        <v>52042</v>
      </c>
      <c r="R453" s="26" t="n">
        <v>19080</v>
      </c>
      <c r="S453" s="26" t="n">
        <v>2142177</v>
      </c>
      <c r="T453" s="26" t="n">
        <v>1850748</v>
      </c>
      <c r="U453" s="26" t="n">
        <v>38198</v>
      </c>
      <c r="V453" s="26" t="n">
        <v>1888946</v>
      </c>
      <c r="W453" s="26" t="n">
        <v>2074083</v>
      </c>
      <c r="X453" s="27" t="n">
        <f aca="false">IF(V453=0,0,(W453-V453)/V453)</f>
        <v>0.0980107424987268</v>
      </c>
      <c r="Y453" s="26" t="n">
        <v>1888946</v>
      </c>
      <c r="Z453" s="26" t="n">
        <v>1717373914.65</v>
      </c>
      <c r="AA453" s="26" t="n">
        <v>1658698705.98</v>
      </c>
      <c r="AB453" s="28" t="n">
        <f aca="false">IF(B453=0,0,L453/B453*10000)</f>
        <v>3.08155359582757</v>
      </c>
      <c r="AC453" s="28" t="n">
        <f aca="false">IF(D453=0,0,M453/D453*10000)</f>
        <v>4.46784504312533</v>
      </c>
      <c r="AD453" s="28" t="n">
        <f aca="false">IF(C453=0,0,N453/C453*10000)</f>
        <v>0.607463678594551</v>
      </c>
      <c r="AE453" s="28" t="n">
        <f aca="false">IF(E453=0,0,Q453/E453*10000)</f>
        <v>5.11119952679418</v>
      </c>
    </row>
    <row r="454" customFormat="false" ht="15" hidden="false" customHeight="true" outlineLevel="0" collapsed="false">
      <c r="A454" s="7" t="s">
        <v>587</v>
      </c>
      <c r="B454" s="26" t="n">
        <v>6267264903</v>
      </c>
      <c r="C454" s="26" t="n">
        <v>2331741264</v>
      </c>
      <c r="D454" s="26" t="n">
        <v>3935523639</v>
      </c>
      <c r="E454" s="26" t="n">
        <v>120863991</v>
      </c>
      <c r="F454" s="26" t="n">
        <v>2069713713</v>
      </c>
      <c r="G454" s="26" t="n">
        <v>4231552</v>
      </c>
      <c r="H454" s="26" t="n">
        <v>21396898</v>
      </c>
      <c r="I454" s="26" t="n">
        <v>23914492</v>
      </c>
      <c r="J454" s="26" t="n">
        <v>27320656</v>
      </c>
      <c r="K454" s="26" t="n">
        <v>185163954</v>
      </c>
      <c r="L454" s="26" t="n">
        <v>2035185</v>
      </c>
      <c r="M454" s="26" t="n">
        <v>1873491</v>
      </c>
      <c r="N454" s="26" t="n">
        <v>161694</v>
      </c>
      <c r="O454" s="26" t="n">
        <v>52842</v>
      </c>
      <c r="P454" s="26" t="n">
        <v>108852</v>
      </c>
      <c r="Q454" s="26" t="n">
        <v>56514</v>
      </c>
      <c r="R454" s="26" t="n">
        <v>18509</v>
      </c>
      <c r="S454" s="26" t="n">
        <v>2110208</v>
      </c>
      <c r="T454" s="26" t="n">
        <v>1791762</v>
      </c>
      <c r="U454" s="26" t="n">
        <v>40677</v>
      </c>
      <c r="V454" s="26" t="n">
        <v>1832439</v>
      </c>
      <c r="W454" s="26" t="n">
        <v>2038857</v>
      </c>
      <c r="X454" s="27" t="n">
        <f aca="false">IF(V454=0,0,(W454-V454)/V454)</f>
        <v>0.112646587417098</v>
      </c>
      <c r="Y454" s="26" t="n">
        <v>1832439</v>
      </c>
      <c r="Z454" s="26" t="n">
        <v>1717373914.65</v>
      </c>
      <c r="AA454" s="26" t="n">
        <v>1658698705.98</v>
      </c>
      <c r="AB454" s="28" t="n">
        <f aca="false">IF(B454=0,0,L454/B454*10000)</f>
        <v>3.24732563805593</v>
      </c>
      <c r="AC454" s="28" t="n">
        <f aca="false">IF(D454=0,0,M454/D454*10000)</f>
        <v>4.76046181360518</v>
      </c>
      <c r="AD454" s="28" t="n">
        <f aca="false">IF(C454=0,0,N454/C454*10000)</f>
        <v>0.693447435598498</v>
      </c>
      <c r="AE454" s="28" t="n">
        <f aca="false">IF(E454=0,0,Q454/E454*10000)</f>
        <v>4.67583434341499</v>
      </c>
    </row>
    <row r="455" customFormat="false" ht="15" hidden="false" customHeight="true" outlineLevel="0" collapsed="false">
      <c r="A455" s="7" t="s">
        <v>588</v>
      </c>
      <c r="B455" s="26" t="n">
        <v>2298677777</v>
      </c>
      <c r="C455" s="26" t="n">
        <v>386148347</v>
      </c>
      <c r="D455" s="26" t="n">
        <v>1912529430</v>
      </c>
      <c r="E455" s="26" t="n">
        <v>74599473</v>
      </c>
      <c r="F455" s="26" t="n">
        <v>335745178</v>
      </c>
      <c r="G455" s="26" t="n">
        <v>350439</v>
      </c>
      <c r="H455" s="26" t="n">
        <v>3522676</v>
      </c>
      <c r="I455" s="26" t="n">
        <v>11911565</v>
      </c>
      <c r="J455" s="26" t="n">
        <v>4681699</v>
      </c>
      <c r="K455" s="26" t="n">
        <v>29936790</v>
      </c>
      <c r="L455" s="26" t="n">
        <v>889966</v>
      </c>
      <c r="M455" s="26" t="n">
        <v>851031</v>
      </c>
      <c r="N455" s="26" t="n">
        <v>38935</v>
      </c>
      <c r="O455" s="26" t="n">
        <v>9378</v>
      </c>
      <c r="P455" s="26" t="n">
        <v>29557</v>
      </c>
      <c r="Q455" s="26" t="n">
        <v>36535</v>
      </c>
      <c r="R455" s="26" t="n">
        <v>8225</v>
      </c>
      <c r="S455" s="26" t="n">
        <v>934726</v>
      </c>
      <c r="T455" s="26" t="n">
        <v>785984</v>
      </c>
      <c r="U455" s="26" t="n">
        <v>28275</v>
      </c>
      <c r="V455" s="26" t="n">
        <v>814259</v>
      </c>
      <c r="W455" s="26" t="n">
        <v>917123</v>
      </c>
      <c r="X455" s="27" t="n">
        <f aca="false">IF(V455=0,0,(W455-V455)/V455)</f>
        <v>0.126328354982874</v>
      </c>
      <c r="Y455" s="26" t="n">
        <v>814259</v>
      </c>
      <c r="Z455" s="26" t="n">
        <v>1717373914.65</v>
      </c>
      <c r="AA455" s="26" t="n">
        <v>1658698705.98</v>
      </c>
      <c r="AB455" s="28" t="n">
        <f aca="false">IF(B455=0,0,L455/B455*10000)</f>
        <v>3.87164311981775</v>
      </c>
      <c r="AC455" s="28" t="n">
        <f aca="false">IF(D455=0,0,M455/D455*10000)</f>
        <v>4.44976682005882</v>
      </c>
      <c r="AD455" s="28" t="n">
        <f aca="false">IF(C455=0,0,N455/C455*10000)</f>
        <v>1.00829125134129</v>
      </c>
      <c r="AE455" s="28" t="n">
        <f aca="false">IF(E455=0,0,Q455/E455*10000)</f>
        <v>4.89748768064353</v>
      </c>
    </row>
    <row r="456" customFormat="false" ht="15" hidden="false" customHeight="true" outlineLevel="0" collapsed="false">
      <c r="A456" s="7" t="s">
        <v>589</v>
      </c>
      <c r="B456" s="26" t="n">
        <v>2818562816</v>
      </c>
      <c r="C456" s="26" t="n">
        <v>644708859</v>
      </c>
      <c r="D456" s="26" t="n">
        <v>2173853957</v>
      </c>
      <c r="E456" s="26" t="n">
        <v>68340801</v>
      </c>
      <c r="F456" s="26" t="n">
        <v>571355281</v>
      </c>
      <c r="G456" s="26" t="n">
        <v>292894</v>
      </c>
      <c r="H456" s="26" t="n">
        <v>7719269</v>
      </c>
      <c r="I456" s="26" t="n">
        <v>15579604</v>
      </c>
      <c r="J456" s="26" t="n">
        <v>9229737</v>
      </c>
      <c r="K456" s="26" t="n">
        <v>40532075</v>
      </c>
      <c r="L456" s="26" t="n">
        <v>1030715</v>
      </c>
      <c r="M456" s="26" t="n">
        <v>976434</v>
      </c>
      <c r="N456" s="26" t="n">
        <v>54281</v>
      </c>
      <c r="O456" s="26" t="n">
        <v>15431</v>
      </c>
      <c r="P456" s="26" t="n">
        <v>38850</v>
      </c>
      <c r="Q456" s="26" t="n">
        <v>31483</v>
      </c>
      <c r="R456" s="26" t="n">
        <v>9462</v>
      </c>
      <c r="S456" s="26" t="n">
        <v>1071660</v>
      </c>
      <c r="T456" s="26" t="n">
        <v>912372</v>
      </c>
      <c r="U456" s="26" t="n">
        <v>24415</v>
      </c>
      <c r="V456" s="26" t="n">
        <v>936787</v>
      </c>
      <c r="W456" s="26" t="n">
        <v>1046767</v>
      </c>
      <c r="X456" s="27" t="n">
        <f aca="false">IF(V456=0,0,(W456-V456)/V456)</f>
        <v>0.11740128759259</v>
      </c>
      <c r="Y456" s="26" t="n">
        <v>936787</v>
      </c>
      <c r="Z456" s="26" t="n">
        <v>1717373914.65</v>
      </c>
      <c r="AA456" s="26" t="n">
        <v>1658698705.98</v>
      </c>
      <c r="AB456" s="28" t="n">
        <f aca="false">IF(B456=0,0,L456/B456*10000)</f>
        <v>3.65688142250721</v>
      </c>
      <c r="AC456" s="28" t="n">
        <f aca="false">IF(D456=0,0,M456/D456*10000)</f>
        <v>4.49171848392022</v>
      </c>
      <c r="AD456" s="28" t="n">
        <f aca="false">IF(C456=0,0,N456/C456*10000)</f>
        <v>0.841945930201651</v>
      </c>
      <c r="AE456" s="28" t="n">
        <f aca="false">IF(E456=0,0,Q456/E456*10000)</f>
        <v>4.60676485193669</v>
      </c>
    </row>
    <row r="457" customFormat="false" ht="15" hidden="false" customHeight="true" outlineLevel="0" collapsed="false">
      <c r="A457" s="7" t="s">
        <v>590</v>
      </c>
      <c r="B457" s="26" t="n">
        <v>6037394491</v>
      </c>
      <c r="C457" s="26" t="n">
        <v>2297079678</v>
      </c>
      <c r="D457" s="26" t="n">
        <v>3740314813</v>
      </c>
      <c r="E457" s="26" t="n">
        <v>110827708</v>
      </c>
      <c r="F457" s="26" t="n">
        <v>2060597257</v>
      </c>
      <c r="G457" s="26" t="n">
        <v>2549876</v>
      </c>
      <c r="H457" s="26" t="n">
        <v>14937266</v>
      </c>
      <c r="I457" s="26" t="n">
        <v>23796691</v>
      </c>
      <c r="J457" s="26" t="n">
        <v>31466847</v>
      </c>
      <c r="K457" s="26" t="n">
        <v>163731741</v>
      </c>
      <c r="L457" s="26" t="n">
        <v>1827243</v>
      </c>
      <c r="M457" s="26" t="n">
        <v>1707841</v>
      </c>
      <c r="N457" s="26" t="n">
        <v>119402</v>
      </c>
      <c r="O457" s="26" t="n">
        <v>42372</v>
      </c>
      <c r="P457" s="26" t="n">
        <v>77030</v>
      </c>
      <c r="Q457" s="26" t="n">
        <v>54539</v>
      </c>
      <c r="R457" s="26" t="n">
        <v>17059</v>
      </c>
      <c r="S457" s="26" t="n">
        <v>1898841</v>
      </c>
      <c r="T457" s="26" t="n">
        <v>1641794</v>
      </c>
      <c r="U457" s="26" t="n">
        <v>47024</v>
      </c>
      <c r="V457" s="26" t="n">
        <v>1688818</v>
      </c>
      <c r="W457" s="26" t="n">
        <v>1839410</v>
      </c>
      <c r="X457" s="27" t="n">
        <f aca="false">IF(V457=0,0,(W457-V457)/V457)</f>
        <v>0.0891700585853538</v>
      </c>
      <c r="Y457" s="26" t="n">
        <v>1688818</v>
      </c>
      <c r="Z457" s="26" t="n">
        <v>1717373914.65</v>
      </c>
      <c r="AA457" s="26" t="n">
        <v>1658698705.98</v>
      </c>
      <c r="AB457" s="28" t="n">
        <f aca="false">IF(B457=0,0,L457/B457*10000)</f>
        <v>3.02654233166954</v>
      </c>
      <c r="AC457" s="28" t="n">
        <f aca="false">IF(D457=0,0,M457/D457*10000)</f>
        <v>4.56603544189423</v>
      </c>
      <c r="AD457" s="28" t="n">
        <f aca="false">IF(C457=0,0,N457/C457*10000)</f>
        <v>0.519799122092098</v>
      </c>
      <c r="AE457" s="28" t="n">
        <f aca="false">IF(E457=0,0,Q457/E457*10000)</f>
        <v>4.92106179801174</v>
      </c>
    </row>
    <row r="458" customFormat="false" ht="15" hidden="false" customHeight="true" outlineLevel="0" collapsed="false">
      <c r="A458" s="7" t="s">
        <v>591</v>
      </c>
      <c r="B458" s="26" t="n">
        <v>9586104104</v>
      </c>
      <c r="C458" s="26" t="n">
        <v>3631296644</v>
      </c>
      <c r="D458" s="26" t="n">
        <v>5954807460</v>
      </c>
      <c r="E458" s="26" t="n">
        <v>133363888</v>
      </c>
      <c r="F458" s="26" t="n">
        <v>3296479925</v>
      </c>
      <c r="G458" s="26" t="n">
        <v>2027571</v>
      </c>
      <c r="H458" s="26" t="n">
        <v>16179292</v>
      </c>
      <c r="I458" s="26" t="n">
        <v>31841372</v>
      </c>
      <c r="J458" s="26" t="n">
        <v>31938321</v>
      </c>
      <c r="K458" s="26" t="n">
        <v>252830162</v>
      </c>
      <c r="L458" s="26" t="n">
        <v>2717385</v>
      </c>
      <c r="M458" s="26" t="n">
        <v>2532768</v>
      </c>
      <c r="N458" s="26" t="n">
        <v>184617</v>
      </c>
      <c r="O458" s="26" t="n">
        <v>70753</v>
      </c>
      <c r="P458" s="26" t="n">
        <v>113864</v>
      </c>
      <c r="Q458" s="26" t="n">
        <v>62621</v>
      </c>
      <c r="R458" s="26" t="n">
        <v>25529</v>
      </c>
      <c r="S458" s="26" t="n">
        <v>2805535</v>
      </c>
      <c r="T458" s="26" t="n">
        <v>2475250</v>
      </c>
      <c r="U458" s="26" t="n">
        <v>52106</v>
      </c>
      <c r="V458" s="26" t="n">
        <v>2527356</v>
      </c>
      <c r="W458" s="26" t="n">
        <v>2709253</v>
      </c>
      <c r="X458" s="27" t="n">
        <f aca="false">IF(V458=0,0,(W458-V458)/V458)</f>
        <v>0.0719712616663422</v>
      </c>
      <c r="Y458" s="26" t="n">
        <v>2527356</v>
      </c>
      <c r="Z458" s="26" t="n">
        <v>1717373914.65</v>
      </c>
      <c r="AA458" s="26" t="n">
        <v>1658698705.98</v>
      </c>
      <c r="AB458" s="28" t="n">
        <f aca="false">IF(B458=0,0,L458/B458*10000)</f>
        <v>2.83471259076575</v>
      </c>
      <c r="AC458" s="28" t="n">
        <f aca="false">IF(D458=0,0,M458/D458*10000)</f>
        <v>4.2533163616343</v>
      </c>
      <c r="AD458" s="28" t="n">
        <f aca="false">IF(C458=0,0,N458/C458*10000)</f>
        <v>0.50840517341111</v>
      </c>
      <c r="AE458" s="28" t="n">
        <f aca="false">IF(E458=0,0,Q458/E458*10000)</f>
        <v>4.69549897945387</v>
      </c>
    </row>
    <row r="459" customFormat="false" ht="15" hidden="false" customHeight="true" outlineLevel="0" collapsed="false">
      <c r="A459" s="7" t="s">
        <v>592</v>
      </c>
      <c r="B459" s="26" t="n">
        <v>8114663671</v>
      </c>
      <c r="C459" s="26" t="n">
        <v>3215167235</v>
      </c>
      <c r="D459" s="26" t="n">
        <v>4899496436</v>
      </c>
      <c r="E459" s="26" t="n">
        <v>96719004</v>
      </c>
      <c r="F459" s="26" t="n">
        <v>2985210731</v>
      </c>
      <c r="G459" s="26" t="n">
        <v>3202885</v>
      </c>
      <c r="H459" s="26" t="n">
        <v>19280972</v>
      </c>
      <c r="I459" s="26" t="n">
        <v>18587503</v>
      </c>
      <c r="J459" s="26" t="n">
        <v>25073080</v>
      </c>
      <c r="K459" s="26" t="n">
        <v>163812065</v>
      </c>
      <c r="L459" s="26" t="n">
        <v>2321769</v>
      </c>
      <c r="M459" s="26" t="n">
        <v>2150607</v>
      </c>
      <c r="N459" s="26" t="n">
        <v>171162</v>
      </c>
      <c r="O459" s="26" t="n">
        <v>59465</v>
      </c>
      <c r="P459" s="26" t="n">
        <v>111697</v>
      </c>
      <c r="Q459" s="26" t="n">
        <v>47354</v>
      </c>
      <c r="R459" s="26" t="n">
        <v>21523</v>
      </c>
      <c r="S459" s="26" t="n">
        <v>2390646</v>
      </c>
      <c r="T459" s="26" t="n">
        <v>2096278</v>
      </c>
      <c r="U459" s="26" t="n">
        <v>34405</v>
      </c>
      <c r="V459" s="26" t="n">
        <v>2130683</v>
      </c>
      <c r="W459" s="26" t="n">
        <v>2309658</v>
      </c>
      <c r="X459" s="27" t="n">
        <f aca="false">IF(V459=0,0,(W459-V459)/V459)</f>
        <v>0.0839988867419508</v>
      </c>
      <c r="Y459" s="26" t="n">
        <v>2130683</v>
      </c>
      <c r="Z459" s="26" t="n">
        <v>1543042091.89</v>
      </c>
      <c r="AA459" s="26" t="n">
        <v>1484341796.83</v>
      </c>
      <c r="AB459" s="28" t="n">
        <f aca="false">IF(B459=0,0,L459/B459*10000)</f>
        <v>2.8612017628007</v>
      </c>
      <c r="AC459" s="28" t="n">
        <f aca="false">IF(D459=0,0,M459/D459*10000)</f>
        <v>4.38944497274862</v>
      </c>
      <c r="AD459" s="28" t="n">
        <f aca="false">IF(C459=0,0,N459/C459*10000)</f>
        <v>0.532358000345198</v>
      </c>
      <c r="AE459" s="28" t="n">
        <f aca="false">IF(E459=0,0,Q459/E459*10000)</f>
        <v>4.89603883844792</v>
      </c>
    </row>
    <row r="460" customFormat="false" ht="15" hidden="false" customHeight="true" outlineLevel="0" collapsed="false">
      <c r="A460" s="7" t="s">
        <v>593</v>
      </c>
      <c r="B460" s="26" t="n">
        <v>9435597976</v>
      </c>
      <c r="C460" s="26" t="n">
        <v>4284546572</v>
      </c>
      <c r="D460" s="26" t="n">
        <v>5151051404</v>
      </c>
      <c r="E460" s="26" t="n">
        <v>119770724</v>
      </c>
      <c r="F460" s="26" t="n">
        <v>3990635016</v>
      </c>
      <c r="G460" s="26" t="n">
        <v>1420337</v>
      </c>
      <c r="H460" s="26" t="n">
        <v>32346383</v>
      </c>
      <c r="I460" s="26" t="n">
        <v>25423152</v>
      </c>
      <c r="J460" s="26" t="n">
        <v>31609126</v>
      </c>
      <c r="K460" s="26" t="n">
        <v>203112558</v>
      </c>
      <c r="L460" s="26" t="n">
        <v>2683884</v>
      </c>
      <c r="M460" s="26" t="n">
        <v>2426934</v>
      </c>
      <c r="N460" s="26" t="n">
        <v>256950</v>
      </c>
      <c r="O460" s="26" t="n">
        <v>96227</v>
      </c>
      <c r="P460" s="26" t="n">
        <v>160723</v>
      </c>
      <c r="Q460" s="26" t="n">
        <v>58823</v>
      </c>
      <c r="R460" s="26" t="n">
        <v>24620</v>
      </c>
      <c r="S460" s="26" t="n">
        <v>2767327</v>
      </c>
      <c r="T460" s="26" t="n">
        <v>2388486</v>
      </c>
      <c r="U460" s="26" t="n">
        <v>49147</v>
      </c>
      <c r="V460" s="26" t="n">
        <v>2437633</v>
      </c>
      <c r="W460" s="26" t="n">
        <v>2646480</v>
      </c>
      <c r="X460" s="27" t="n">
        <f aca="false">IF(V460=0,0,(W460-V460)/V460)</f>
        <v>0.0856761456708208</v>
      </c>
      <c r="Y460" s="26" t="n">
        <v>2437633</v>
      </c>
      <c r="Z460" s="26" t="n">
        <v>1543042091.89</v>
      </c>
      <c r="AA460" s="26" t="n">
        <v>1484341796.83</v>
      </c>
      <c r="AB460" s="28" t="n">
        <f aca="false">IF(B460=0,0,L460/B460*10000)</f>
        <v>2.84442385827228</v>
      </c>
      <c r="AC460" s="28" t="n">
        <f aca="false">IF(D460=0,0,M460/D460*10000)</f>
        <v>4.71153131594724</v>
      </c>
      <c r="AD460" s="28" t="n">
        <f aca="false">IF(C460=0,0,N460/C460*10000)</f>
        <v>0.599713401831591</v>
      </c>
      <c r="AE460" s="28" t="n">
        <f aca="false">IF(E460=0,0,Q460/E460*10000)</f>
        <v>4.91130036084611</v>
      </c>
    </row>
    <row r="461" customFormat="false" ht="15" hidden="false" customHeight="true" outlineLevel="0" collapsed="false">
      <c r="A461" s="7" t="s">
        <v>594</v>
      </c>
      <c r="B461" s="26" t="n">
        <v>2809387897</v>
      </c>
      <c r="C461" s="26" t="n">
        <v>475921997</v>
      </c>
      <c r="D461" s="26" t="n">
        <v>2333465900</v>
      </c>
      <c r="E461" s="26" t="n">
        <v>60250905</v>
      </c>
      <c r="F461" s="26" t="n">
        <v>425481671</v>
      </c>
      <c r="G461" s="26" t="n">
        <v>97190</v>
      </c>
      <c r="H461" s="26" t="n">
        <v>639300</v>
      </c>
      <c r="I461" s="26" t="n">
        <v>11639757</v>
      </c>
      <c r="J461" s="26" t="n">
        <v>4628153</v>
      </c>
      <c r="K461" s="26" t="n">
        <v>33435924</v>
      </c>
      <c r="L461" s="26" t="n">
        <v>1037285</v>
      </c>
      <c r="M461" s="26" t="n">
        <v>993543</v>
      </c>
      <c r="N461" s="26" t="n">
        <v>43742</v>
      </c>
      <c r="O461" s="26" t="n">
        <v>12000</v>
      </c>
      <c r="P461" s="26" t="n">
        <v>31742</v>
      </c>
      <c r="Q461" s="26" t="n">
        <v>28451</v>
      </c>
      <c r="R461" s="26" t="n">
        <v>9673</v>
      </c>
      <c r="S461" s="26" t="n">
        <v>1075409</v>
      </c>
      <c r="T461" s="26" t="n">
        <v>934810</v>
      </c>
      <c r="U461" s="26" t="n">
        <v>22768</v>
      </c>
      <c r="V461" s="26" t="n">
        <v>957578</v>
      </c>
      <c r="W461" s="26" t="n">
        <v>1053736</v>
      </c>
      <c r="X461" s="27" t="n">
        <f aca="false">IF(V461=0,0,(W461-V461)/V461)</f>
        <v>0.100417929401051</v>
      </c>
      <c r="Y461" s="26" t="n">
        <v>957578</v>
      </c>
      <c r="Z461" s="26" t="n">
        <v>1543042091.89</v>
      </c>
      <c r="AA461" s="26" t="n">
        <v>1484341796.83</v>
      </c>
      <c r="AB461" s="28" t="n">
        <f aca="false">IF(B461=0,0,L461/B461*10000)</f>
        <v>3.69220996896749</v>
      </c>
      <c r="AC461" s="28" t="n">
        <f aca="false">IF(D461=0,0,M461/D461*10000)</f>
        <v>4.25779952473272</v>
      </c>
      <c r="AD461" s="28" t="n">
        <f aca="false">IF(C461=0,0,N461/C461*10000)</f>
        <v>0.919100194479979</v>
      </c>
      <c r="AE461" s="28" t="n">
        <f aca="false">IF(E461=0,0,Q461/E461*10000)</f>
        <v>4.72208674707874</v>
      </c>
    </row>
    <row r="462" customFormat="false" ht="15" hidden="false" customHeight="true" outlineLevel="0" collapsed="false">
      <c r="A462" s="7" t="s">
        <v>595</v>
      </c>
      <c r="B462" s="26" t="n">
        <v>1396996824</v>
      </c>
      <c r="C462" s="26" t="n">
        <v>213968572</v>
      </c>
      <c r="D462" s="26" t="n">
        <v>1183028252</v>
      </c>
      <c r="E462" s="26" t="n">
        <v>40329525</v>
      </c>
      <c r="F462" s="26" t="n">
        <v>194305860</v>
      </c>
      <c r="G462" s="26" t="n">
        <v>345960</v>
      </c>
      <c r="H462" s="26" t="n">
        <v>1146979</v>
      </c>
      <c r="I462" s="26" t="n">
        <v>7334763</v>
      </c>
      <c r="J462" s="26" t="n">
        <v>2225582</v>
      </c>
      <c r="K462" s="26" t="n">
        <v>8609427</v>
      </c>
      <c r="L462" s="26" t="n">
        <v>589751</v>
      </c>
      <c r="M462" s="26" t="n">
        <v>567174</v>
      </c>
      <c r="N462" s="26" t="n">
        <v>22577</v>
      </c>
      <c r="O462" s="26" t="n">
        <v>5076</v>
      </c>
      <c r="P462" s="26" t="n">
        <v>17501</v>
      </c>
      <c r="Q462" s="26" t="n">
        <v>23303</v>
      </c>
      <c r="R462" s="26" t="n">
        <v>5333</v>
      </c>
      <c r="S462" s="26" t="n">
        <v>618387</v>
      </c>
      <c r="T462" s="26" t="n">
        <v>511015</v>
      </c>
      <c r="U462" s="26" t="n">
        <v>16977</v>
      </c>
      <c r="V462" s="26" t="n">
        <v>527992</v>
      </c>
      <c r="W462" s="26" t="n">
        <v>607978</v>
      </c>
      <c r="X462" s="27" t="n">
        <f aca="false">IF(V462=0,0,(W462-V462)/V462)</f>
        <v>0.151490931680783</v>
      </c>
      <c r="Y462" s="26" t="n">
        <v>527992</v>
      </c>
      <c r="Z462" s="26" t="n">
        <v>1543042091.89</v>
      </c>
      <c r="AA462" s="26" t="n">
        <v>1484341796.83</v>
      </c>
      <c r="AB462" s="28" t="n">
        <f aca="false">IF(B462=0,0,L462/B462*10000)</f>
        <v>4.22156292604428</v>
      </c>
      <c r="AC462" s="28" t="n">
        <f aca="false">IF(D462=0,0,M462/D462*10000)</f>
        <v>4.79425575036901</v>
      </c>
      <c r="AD462" s="28" t="n">
        <f aca="false">IF(C462=0,0,N462/C462*10000)</f>
        <v>1.05515495986018</v>
      </c>
      <c r="AE462" s="28" t="n">
        <f aca="false">IF(E462=0,0,Q462/E462*10000)</f>
        <v>5.77814888719865</v>
      </c>
    </row>
    <row r="463" customFormat="false" ht="15" hidden="false" customHeight="true" outlineLevel="0" collapsed="false">
      <c r="A463" s="7" t="s">
        <v>596</v>
      </c>
      <c r="B463" s="26" t="n">
        <v>3189707802</v>
      </c>
      <c r="C463" s="26" t="n">
        <v>760846881</v>
      </c>
      <c r="D463" s="26" t="n">
        <v>2428860921</v>
      </c>
      <c r="E463" s="26" t="n">
        <v>57508417</v>
      </c>
      <c r="F463" s="26" t="n">
        <v>679740545</v>
      </c>
      <c r="G463" s="26" t="n">
        <v>112224</v>
      </c>
      <c r="H463" s="26" t="n">
        <v>10585582</v>
      </c>
      <c r="I463" s="26" t="n">
        <v>12207644</v>
      </c>
      <c r="J463" s="26" t="n">
        <v>11899287</v>
      </c>
      <c r="K463" s="26" t="n">
        <v>46301599</v>
      </c>
      <c r="L463" s="26" t="n">
        <v>1153294</v>
      </c>
      <c r="M463" s="26" t="n">
        <v>1103163</v>
      </c>
      <c r="N463" s="26" t="n">
        <v>50131</v>
      </c>
      <c r="O463" s="26" t="n">
        <v>17048</v>
      </c>
      <c r="P463" s="26" t="n">
        <v>33083</v>
      </c>
      <c r="Q463" s="26" t="n">
        <v>33119</v>
      </c>
      <c r="R463" s="26" t="n">
        <v>10642</v>
      </c>
      <c r="S463" s="26" t="n">
        <v>1197055</v>
      </c>
      <c r="T463" s="26" t="n">
        <v>1027751</v>
      </c>
      <c r="U463" s="26" t="n">
        <v>25904</v>
      </c>
      <c r="V463" s="26" t="n">
        <v>1053655</v>
      </c>
      <c r="W463" s="26" t="n">
        <v>1169365</v>
      </c>
      <c r="X463" s="27" t="n">
        <f aca="false">IF(V463=0,0,(W463-V463)/V463)</f>
        <v>0.109817729712287</v>
      </c>
      <c r="Y463" s="26" t="n">
        <v>1053655</v>
      </c>
      <c r="Z463" s="26" t="n">
        <v>1543042091.89</v>
      </c>
      <c r="AA463" s="26" t="n">
        <v>1484341796.83</v>
      </c>
      <c r="AB463" s="28" t="n">
        <f aca="false">IF(B463=0,0,L463/B463*10000)</f>
        <v>3.61567288162529</v>
      </c>
      <c r="AC463" s="28" t="n">
        <f aca="false">IF(D463=0,0,M463/D463*10000)</f>
        <v>4.5418944759744</v>
      </c>
      <c r="AD463" s="28" t="n">
        <f aca="false">IF(C463=0,0,N463/C463*10000)</f>
        <v>0.658884215101356</v>
      </c>
      <c r="AE463" s="28" t="n">
        <f aca="false">IF(E463=0,0,Q463/E463*10000)</f>
        <v>5.75898307199101</v>
      </c>
    </row>
    <row r="464" customFormat="false" ht="15" hidden="false" customHeight="true" outlineLevel="0" collapsed="false">
      <c r="A464" s="7" t="s">
        <v>597</v>
      </c>
      <c r="B464" s="26" t="n">
        <v>7100841311</v>
      </c>
      <c r="C464" s="26" t="n">
        <v>2682336979</v>
      </c>
      <c r="D464" s="26" t="n">
        <v>4418504332</v>
      </c>
      <c r="E464" s="26" t="n">
        <v>92885393</v>
      </c>
      <c r="F464" s="26" t="n">
        <v>2480562625</v>
      </c>
      <c r="G464" s="26" t="n">
        <v>1315598</v>
      </c>
      <c r="H464" s="26" t="n">
        <v>19491674</v>
      </c>
      <c r="I464" s="26" t="n">
        <v>19518218</v>
      </c>
      <c r="J464" s="26" t="n">
        <v>21481768</v>
      </c>
      <c r="K464" s="26" t="n">
        <v>139967096</v>
      </c>
      <c r="L464" s="26" t="n">
        <v>2110359</v>
      </c>
      <c r="M464" s="26" t="n">
        <v>1974568</v>
      </c>
      <c r="N464" s="26" t="n">
        <v>135791</v>
      </c>
      <c r="O464" s="26" t="n">
        <v>47895</v>
      </c>
      <c r="P464" s="26" t="n">
        <v>87896</v>
      </c>
      <c r="Q464" s="26" t="n">
        <v>47287</v>
      </c>
      <c r="R464" s="26" t="n">
        <v>19771</v>
      </c>
      <c r="S464" s="26" t="n">
        <v>2177417</v>
      </c>
      <c r="T464" s="26" t="n">
        <v>1923100</v>
      </c>
      <c r="U464" s="26" t="n">
        <v>34608</v>
      </c>
      <c r="V464" s="26" t="n">
        <v>1957708</v>
      </c>
      <c r="W464" s="26" t="n">
        <v>2109751</v>
      </c>
      <c r="X464" s="27" t="n">
        <f aca="false">IF(V464=0,0,(W464-V464)/V464)</f>
        <v>0.0776637782549798</v>
      </c>
      <c r="Y464" s="26" t="n">
        <v>1957708</v>
      </c>
      <c r="Z464" s="26" t="n">
        <v>1543042091.89</v>
      </c>
      <c r="AA464" s="26" t="n">
        <v>1484341796.83</v>
      </c>
      <c r="AB464" s="28" t="n">
        <f aca="false">IF(B464=0,0,L464/B464*10000)</f>
        <v>2.97198445588527</v>
      </c>
      <c r="AC464" s="28" t="n">
        <f aca="false">IF(D464=0,0,M464/D464*10000)</f>
        <v>4.46886061805948</v>
      </c>
      <c r="AD464" s="28" t="n">
        <f aca="false">IF(C464=0,0,N464/C464*10000)</f>
        <v>0.506241389740017</v>
      </c>
      <c r="AE464" s="28" t="n">
        <f aca="false">IF(E464=0,0,Q464/E464*10000)</f>
        <v>5.09089733840067</v>
      </c>
    </row>
    <row r="465" customFormat="false" ht="15" hidden="false" customHeight="true" outlineLevel="0" collapsed="false">
      <c r="A465" s="7" t="s">
        <v>598</v>
      </c>
      <c r="B465" s="26" t="n">
        <v>11567237621</v>
      </c>
      <c r="C465" s="26" t="n">
        <v>5528092258</v>
      </c>
      <c r="D465" s="26" t="n">
        <v>6039145363</v>
      </c>
      <c r="E465" s="26" t="n">
        <v>156937806</v>
      </c>
      <c r="F465" s="26" t="n">
        <v>5158436434</v>
      </c>
      <c r="G465" s="26" t="n">
        <v>4879118</v>
      </c>
      <c r="H465" s="26" t="n">
        <v>49528426</v>
      </c>
      <c r="I465" s="26" t="n">
        <v>26787085</v>
      </c>
      <c r="J465" s="26" t="n">
        <v>44621158</v>
      </c>
      <c r="K465" s="26" t="n">
        <v>243840037</v>
      </c>
      <c r="L465" s="26" t="n">
        <v>3160539</v>
      </c>
      <c r="M465" s="26" t="n">
        <v>2907425</v>
      </c>
      <c r="N465" s="26" t="n">
        <v>253114</v>
      </c>
      <c r="O465" s="26" t="n">
        <v>95340</v>
      </c>
      <c r="P465" s="26" t="n">
        <v>157774</v>
      </c>
      <c r="Q465" s="26" t="n">
        <v>75695</v>
      </c>
      <c r="R465" s="26" t="n">
        <v>29015</v>
      </c>
      <c r="S465" s="26" t="n">
        <v>3265249</v>
      </c>
      <c r="T465" s="26" t="n">
        <v>2818840</v>
      </c>
      <c r="U465" s="26" t="n">
        <v>53908</v>
      </c>
      <c r="V465" s="26" t="n">
        <v>2872748</v>
      </c>
      <c r="W465" s="26" t="n">
        <v>3140894</v>
      </c>
      <c r="X465" s="27" t="n">
        <f aca="false">IF(V465=0,0,(W465-V465)/V465)</f>
        <v>0.0933412885501965</v>
      </c>
      <c r="Y465" s="26" t="n">
        <v>2872748</v>
      </c>
      <c r="Z465" s="26" t="n">
        <v>1543042091.89</v>
      </c>
      <c r="AA465" s="26" t="n">
        <v>1484341796.83</v>
      </c>
      <c r="AB465" s="28" t="n">
        <f aca="false">IF(B465=0,0,L465/B465*10000)</f>
        <v>2.73231959397301</v>
      </c>
      <c r="AC465" s="28" t="n">
        <f aca="false">IF(D465=0,0,M465/D465*10000)</f>
        <v>4.81429875461006</v>
      </c>
      <c r="AD465" s="28" t="n">
        <f aca="false">IF(C465=0,0,N465/C465*10000)</f>
        <v>0.457868624811218</v>
      </c>
      <c r="AE465" s="28" t="n">
        <f aca="false">IF(E465=0,0,Q465/E465*10000)</f>
        <v>4.82324826179869</v>
      </c>
    </row>
    <row r="466" customFormat="false" ht="15" hidden="false" customHeight="true" outlineLevel="0" collapsed="false">
      <c r="A466" s="7" t="s">
        <v>599</v>
      </c>
      <c r="B466" s="26" t="n">
        <v>9544032256</v>
      </c>
      <c r="C466" s="26" t="n">
        <v>4699564622</v>
      </c>
      <c r="D466" s="26" t="n">
        <v>4844467634</v>
      </c>
      <c r="E466" s="26" t="n">
        <v>187268911</v>
      </c>
      <c r="F466" s="26" t="n">
        <v>4482501576</v>
      </c>
      <c r="G466" s="26" t="n">
        <v>4764318</v>
      </c>
      <c r="H466" s="26" t="n">
        <v>29694267</v>
      </c>
      <c r="I466" s="26" t="n">
        <v>23657220</v>
      </c>
      <c r="J466" s="26" t="n">
        <v>39969401</v>
      </c>
      <c r="K466" s="26" t="n">
        <v>118977840</v>
      </c>
      <c r="L466" s="26" t="n">
        <v>2565015</v>
      </c>
      <c r="M466" s="26" t="n">
        <v>2375763</v>
      </c>
      <c r="N466" s="26" t="n">
        <v>189252</v>
      </c>
      <c r="O466" s="26" t="n">
        <v>74140</v>
      </c>
      <c r="P466" s="26" t="n">
        <v>115112</v>
      </c>
      <c r="Q466" s="26" t="n">
        <v>97142</v>
      </c>
      <c r="R466" s="26" t="n">
        <v>23888</v>
      </c>
      <c r="S466" s="26" t="n">
        <v>2686045</v>
      </c>
      <c r="T466" s="26" t="n">
        <v>2290391</v>
      </c>
      <c r="U466" s="26" t="n">
        <v>74580</v>
      </c>
      <c r="V466" s="26" t="n">
        <v>2364971</v>
      </c>
      <c r="W466" s="26" t="n">
        <v>2588017</v>
      </c>
      <c r="X466" s="27" t="n">
        <f aca="false">IF(V466=0,0,(W466-V466)/V466)</f>
        <v>0.0943123615469281</v>
      </c>
      <c r="Y466" s="26" t="n">
        <v>2364971</v>
      </c>
      <c r="Z466" s="26" t="n">
        <v>1690463952.82</v>
      </c>
      <c r="AA466" s="26" t="n">
        <v>1631738284.64</v>
      </c>
      <c r="AB466" s="28" t="n">
        <f aca="false">IF(B466=0,0,L466/B466*10000)</f>
        <v>2.68755902243254</v>
      </c>
      <c r="AC466" s="28" t="n">
        <f aca="false">IF(D466=0,0,M466/D466*10000)</f>
        <v>4.90407446078522</v>
      </c>
      <c r="AD466" s="28" t="n">
        <f aca="false">IF(C466=0,0,N466/C466*10000)</f>
        <v>0.402701133449804</v>
      </c>
      <c r="AE466" s="28" t="n">
        <f aca="false">IF(E466=0,0,Q466/E466*10000)</f>
        <v>5.18729988236008</v>
      </c>
    </row>
    <row r="467" customFormat="false" ht="15" hidden="false" customHeight="true" outlineLevel="0" collapsed="false">
      <c r="A467" s="7" t="s">
        <v>600</v>
      </c>
      <c r="B467" s="26" t="n">
        <v>8226213381</v>
      </c>
      <c r="C467" s="26" t="n">
        <v>3302527668</v>
      </c>
      <c r="D467" s="26" t="n">
        <v>4923685713</v>
      </c>
      <c r="E467" s="26" t="n">
        <v>117406505</v>
      </c>
      <c r="F467" s="26" t="n">
        <v>3120960825</v>
      </c>
      <c r="G467" s="26" t="n">
        <v>8180708</v>
      </c>
      <c r="H467" s="26" t="n">
        <v>13575855</v>
      </c>
      <c r="I467" s="26" t="n">
        <v>22485541</v>
      </c>
      <c r="J467" s="26" t="n">
        <v>33020037</v>
      </c>
      <c r="K467" s="26" t="n">
        <v>104304701</v>
      </c>
      <c r="L467" s="26" t="n">
        <v>2463897</v>
      </c>
      <c r="M467" s="26" t="n">
        <v>2313000</v>
      </c>
      <c r="N467" s="26" t="n">
        <v>150897</v>
      </c>
      <c r="O467" s="26" t="n">
        <v>57680</v>
      </c>
      <c r="P467" s="26" t="n">
        <v>93217</v>
      </c>
      <c r="Q467" s="26" t="n">
        <v>60612</v>
      </c>
      <c r="R467" s="26" t="n">
        <v>22693</v>
      </c>
      <c r="S467" s="26" t="n">
        <v>2547202</v>
      </c>
      <c r="T467" s="26" t="n">
        <v>2201203</v>
      </c>
      <c r="U467" s="26" t="n">
        <v>45143</v>
      </c>
      <c r="V467" s="26" t="n">
        <v>2246346</v>
      </c>
      <c r="W467" s="26" t="n">
        <v>2466829</v>
      </c>
      <c r="X467" s="27" t="n">
        <f aca="false">IF(V467=0,0,(W467-V467)/V467)</f>
        <v>0.0981518430375374</v>
      </c>
      <c r="Y467" s="26" t="n">
        <v>2246346</v>
      </c>
      <c r="Z467" s="26" t="n">
        <v>1690463952.82</v>
      </c>
      <c r="AA467" s="26" t="n">
        <v>1631738284.64</v>
      </c>
      <c r="AB467" s="28" t="n">
        <f aca="false">IF(B467=0,0,L467/B467*10000)</f>
        <v>2.99517759372841</v>
      </c>
      <c r="AC467" s="28" t="n">
        <f aca="false">IF(D467=0,0,M467/D467*10000)</f>
        <v>4.69770033024852</v>
      </c>
      <c r="AD467" s="28" t="n">
        <f aca="false">IF(C467=0,0,N467/C467*10000)</f>
        <v>0.456913658777559</v>
      </c>
      <c r="AE467" s="28" t="n">
        <f aca="false">IF(E467=0,0,Q467/E467*10000)</f>
        <v>5.16257595778019</v>
      </c>
    </row>
    <row r="468" customFormat="false" ht="15" hidden="false" customHeight="true" outlineLevel="0" collapsed="false">
      <c r="A468" s="7" t="s">
        <v>601</v>
      </c>
      <c r="B468" s="26" t="n">
        <v>5755211158</v>
      </c>
      <c r="C468" s="26" t="n">
        <v>2007679018</v>
      </c>
      <c r="D468" s="26" t="n">
        <v>3747532140</v>
      </c>
      <c r="E468" s="26" t="n">
        <v>126827403</v>
      </c>
      <c r="F468" s="26" t="n">
        <v>1836565957</v>
      </c>
      <c r="G468" s="26" t="n">
        <v>5076266</v>
      </c>
      <c r="H468" s="26" t="n">
        <v>14747544</v>
      </c>
      <c r="I468" s="26" t="n">
        <v>20732384</v>
      </c>
      <c r="J468" s="26" t="n">
        <v>23967557</v>
      </c>
      <c r="K468" s="26" t="n">
        <v>106589311</v>
      </c>
      <c r="L468" s="26" t="n">
        <v>1809888</v>
      </c>
      <c r="M468" s="26" t="n">
        <v>1708321</v>
      </c>
      <c r="N468" s="26" t="n">
        <v>101567</v>
      </c>
      <c r="O468" s="26" t="n">
        <v>37464</v>
      </c>
      <c r="P468" s="26" t="n">
        <v>64103</v>
      </c>
      <c r="Q468" s="26" t="n">
        <v>69574</v>
      </c>
      <c r="R468" s="26" t="n">
        <v>17176</v>
      </c>
      <c r="S468" s="26" t="n">
        <v>1896638</v>
      </c>
      <c r="T468" s="26" t="n">
        <v>1643803</v>
      </c>
      <c r="U468" s="26" t="n">
        <v>56613</v>
      </c>
      <c r="V468" s="26" t="n">
        <v>1700416</v>
      </c>
      <c r="W468" s="26" t="n">
        <v>1841998</v>
      </c>
      <c r="X468" s="27" t="n">
        <f aca="false">IF(V468=0,0,(W468-V468)/V468)</f>
        <v>0.0832631544280929</v>
      </c>
      <c r="Y468" s="26" t="n">
        <v>1700416</v>
      </c>
      <c r="Z468" s="26" t="n">
        <v>1690463952.82</v>
      </c>
      <c r="AA468" s="26" t="n">
        <v>1631738284.64</v>
      </c>
      <c r="AB468" s="28" t="n">
        <f aca="false">IF(B468=0,0,L468/B468*10000)</f>
        <v>3.14478122576645</v>
      </c>
      <c r="AC468" s="28" t="n">
        <f aca="false">IF(D468=0,0,M468/D468*10000)</f>
        <v>4.55852261216364</v>
      </c>
      <c r="AD468" s="28" t="n">
        <f aca="false">IF(C468=0,0,N468/C468*10000)</f>
        <v>0.505892620729675</v>
      </c>
      <c r="AE468" s="28" t="n">
        <f aca="false">IF(E468=0,0,Q468/E468*10000)</f>
        <v>5.48572298685324</v>
      </c>
    </row>
    <row r="469" customFormat="false" ht="15" hidden="false" customHeight="true" outlineLevel="0" collapsed="false">
      <c r="A469" s="7" t="s">
        <v>602</v>
      </c>
      <c r="B469" s="26" t="n">
        <v>2699352324</v>
      </c>
      <c r="C469" s="26" t="n">
        <v>545436419</v>
      </c>
      <c r="D469" s="26" t="n">
        <v>2153915905</v>
      </c>
      <c r="E469" s="26" t="n">
        <v>84074982</v>
      </c>
      <c r="F469" s="26" t="n">
        <v>495082334</v>
      </c>
      <c r="G469" s="26" t="n">
        <v>1232224</v>
      </c>
      <c r="H469" s="26" t="n">
        <v>1491607</v>
      </c>
      <c r="I469" s="26" t="n">
        <v>10897931</v>
      </c>
      <c r="J469" s="26" t="n">
        <v>7942967</v>
      </c>
      <c r="K469" s="26" t="n">
        <v>28789357</v>
      </c>
      <c r="L469" s="26" t="n">
        <v>1075167</v>
      </c>
      <c r="M469" s="26" t="n">
        <v>1028973</v>
      </c>
      <c r="N469" s="26" t="n">
        <v>46194</v>
      </c>
      <c r="O469" s="26" t="n">
        <v>11967</v>
      </c>
      <c r="P469" s="26" t="n">
        <v>34227</v>
      </c>
      <c r="Q469" s="26" t="n">
        <v>49045</v>
      </c>
      <c r="R469" s="26" t="n">
        <v>9902</v>
      </c>
      <c r="S469" s="26" t="n">
        <v>1134114</v>
      </c>
      <c r="T469" s="26" t="n">
        <v>943788</v>
      </c>
      <c r="U469" s="26" t="n">
        <v>36400</v>
      </c>
      <c r="V469" s="26" t="n">
        <v>980188</v>
      </c>
      <c r="W469" s="26" t="n">
        <v>1112245</v>
      </c>
      <c r="X469" s="27" t="n">
        <f aca="false">IF(V469=0,0,(W469-V469)/V469)</f>
        <v>0.134726195382927</v>
      </c>
      <c r="Y469" s="26" t="n">
        <v>980188</v>
      </c>
      <c r="Z469" s="26" t="n">
        <v>1690463952.82</v>
      </c>
      <c r="AA469" s="26" t="n">
        <v>1631738284.64</v>
      </c>
      <c r="AB469" s="28" t="n">
        <f aca="false">IF(B469=0,0,L469/B469*10000)</f>
        <v>3.98305545534263</v>
      </c>
      <c r="AC469" s="28" t="n">
        <f aca="false">IF(D469=0,0,M469/D469*10000)</f>
        <v>4.77721993514877</v>
      </c>
      <c r="AD469" s="28" t="n">
        <f aca="false">IF(C469=0,0,N469/C469*10000)</f>
        <v>0.84691814464263</v>
      </c>
      <c r="AE469" s="28" t="n">
        <f aca="false">IF(E469=0,0,Q469/E469*10000)</f>
        <v>5.83348325902704</v>
      </c>
    </row>
    <row r="470" customFormat="false" ht="15" hidden="false" customHeight="true" outlineLevel="0" collapsed="false">
      <c r="A470" s="7" t="s">
        <v>603</v>
      </c>
      <c r="B470" s="26" t="n">
        <v>5175603997</v>
      </c>
      <c r="C470" s="26" t="n">
        <v>1980231785</v>
      </c>
      <c r="D470" s="26" t="n">
        <v>3195372212</v>
      </c>
      <c r="E470" s="26" t="n">
        <v>85379962</v>
      </c>
      <c r="F470" s="26" t="n">
        <v>1847803034</v>
      </c>
      <c r="G470" s="26" t="n">
        <v>808752</v>
      </c>
      <c r="H470" s="26" t="n">
        <v>9427465</v>
      </c>
      <c r="I470" s="26" t="n">
        <v>13348829</v>
      </c>
      <c r="J470" s="26" t="n">
        <v>21197732</v>
      </c>
      <c r="K470" s="26" t="n">
        <v>87645974</v>
      </c>
      <c r="L470" s="26" t="n">
        <v>1727746</v>
      </c>
      <c r="M470" s="26" t="n">
        <v>1594840</v>
      </c>
      <c r="N470" s="26" t="n">
        <v>132906</v>
      </c>
      <c r="O470" s="26" t="n">
        <v>43429</v>
      </c>
      <c r="P470" s="26" t="n">
        <v>89477</v>
      </c>
      <c r="Q470" s="26" t="n">
        <v>42336</v>
      </c>
      <c r="R470" s="26" t="n">
        <v>15708</v>
      </c>
      <c r="S470" s="26" t="n">
        <v>1785790</v>
      </c>
      <c r="T470" s="26" t="n">
        <v>1523352</v>
      </c>
      <c r="U470" s="26" t="n">
        <v>31665</v>
      </c>
      <c r="V470" s="26" t="n">
        <v>1555017</v>
      </c>
      <c r="W470" s="26" t="n">
        <v>1726653</v>
      </c>
      <c r="X470" s="27" t="n">
        <f aca="false">IF(V470=0,0,(W470-V470)/V470)</f>
        <v>0.110375642195552</v>
      </c>
      <c r="Y470" s="26" t="n">
        <v>1555017</v>
      </c>
      <c r="Z470" s="26" t="n">
        <v>1690463952.82</v>
      </c>
      <c r="AA470" s="26" t="n">
        <v>1631738284.64</v>
      </c>
      <c r="AB470" s="28" t="n">
        <f aca="false">IF(B470=0,0,L470/B470*10000)</f>
        <v>3.33824999169464</v>
      </c>
      <c r="AC470" s="28" t="n">
        <f aca="false">IF(D470=0,0,M470/D470*10000)</f>
        <v>4.99109303764578</v>
      </c>
      <c r="AD470" s="28" t="n">
        <f aca="false">IF(C470=0,0,N470/C470*10000)</f>
        <v>0.671163855699852</v>
      </c>
      <c r="AE470" s="28" t="n">
        <f aca="false">IF(E470=0,0,Q470/E470*10000)</f>
        <v>4.95854050626071</v>
      </c>
    </row>
    <row r="471" customFormat="false" ht="15" hidden="false" customHeight="true" outlineLevel="0" collapsed="false">
      <c r="A471" s="7" t="s">
        <v>604</v>
      </c>
      <c r="B471" s="26" t="n">
        <v>7411625111</v>
      </c>
      <c r="C471" s="26" t="n">
        <v>2678545110</v>
      </c>
      <c r="D471" s="26" t="n">
        <v>4733080001</v>
      </c>
      <c r="E471" s="26" t="n">
        <v>113867245</v>
      </c>
      <c r="F471" s="26" t="n">
        <v>2523561533</v>
      </c>
      <c r="G471" s="26" t="n">
        <v>3988461</v>
      </c>
      <c r="H471" s="26" t="n">
        <v>12065060</v>
      </c>
      <c r="I471" s="26" t="n">
        <v>19040812</v>
      </c>
      <c r="J471" s="26" t="n">
        <v>19293132</v>
      </c>
      <c r="K471" s="26" t="n">
        <v>100596111</v>
      </c>
      <c r="L471" s="26" t="n">
        <v>2246517</v>
      </c>
      <c r="M471" s="26" t="n">
        <v>2104880</v>
      </c>
      <c r="N471" s="26" t="n">
        <v>141637</v>
      </c>
      <c r="O471" s="26" t="n">
        <v>50175</v>
      </c>
      <c r="P471" s="26" t="n">
        <v>91462</v>
      </c>
      <c r="Q471" s="26" t="n">
        <v>59322</v>
      </c>
      <c r="R471" s="26" t="n">
        <v>21173</v>
      </c>
      <c r="S471" s="26" t="n">
        <v>2327012</v>
      </c>
      <c r="T471" s="26" t="n">
        <v>2047727</v>
      </c>
      <c r="U471" s="26" t="n">
        <v>48527</v>
      </c>
      <c r="V471" s="26" t="n">
        <v>2096254</v>
      </c>
      <c r="W471" s="26" t="n">
        <v>2255664</v>
      </c>
      <c r="X471" s="27" t="n">
        <f aca="false">IF(V471=0,0,(W471-V471)/V471)</f>
        <v>0.0760451739149931</v>
      </c>
      <c r="Y471" s="26" t="n">
        <v>2096254</v>
      </c>
      <c r="Z471" s="26" t="n">
        <v>1690463952.82</v>
      </c>
      <c r="AA471" s="26" t="n">
        <v>1631738284.64</v>
      </c>
      <c r="AB471" s="28" t="n">
        <f aca="false">IF(B471=0,0,L471/B471*10000)</f>
        <v>3.03107208790933</v>
      </c>
      <c r="AC471" s="28" t="n">
        <f aca="false">IF(D471=0,0,M471/D471*10000)</f>
        <v>4.44716759394577</v>
      </c>
      <c r="AD471" s="28" t="n">
        <f aca="false">IF(C471=0,0,N471/C471*10000)</f>
        <v>0.52878332894681</v>
      </c>
      <c r="AE471" s="28" t="n">
        <f aca="false">IF(E471=0,0,Q471/E471*10000)</f>
        <v>5.20975105703137</v>
      </c>
    </row>
    <row r="472" customFormat="false" ht="15" hidden="false" customHeight="true" outlineLevel="0" collapsed="false">
      <c r="A472" s="7" t="s">
        <v>605</v>
      </c>
      <c r="B472" s="26" t="n">
        <v>7898985575</v>
      </c>
      <c r="C472" s="26" t="n">
        <v>2231679330</v>
      </c>
      <c r="D472" s="26" t="n">
        <v>5667306245</v>
      </c>
      <c r="E472" s="26" t="n">
        <v>162702381</v>
      </c>
      <c r="F472" s="26" t="n">
        <v>2113131270</v>
      </c>
      <c r="G472" s="26" t="n">
        <v>3515984</v>
      </c>
      <c r="H472" s="26" t="n">
        <v>8135388</v>
      </c>
      <c r="I472" s="26" t="n">
        <v>17173686</v>
      </c>
      <c r="J472" s="26" t="n">
        <v>20363748</v>
      </c>
      <c r="K472" s="26" t="n">
        <v>69359255</v>
      </c>
      <c r="L472" s="26" t="n">
        <v>2674984</v>
      </c>
      <c r="M472" s="26" t="n">
        <v>2563361</v>
      </c>
      <c r="N472" s="26" t="n">
        <v>111623</v>
      </c>
      <c r="O472" s="26" t="n">
        <v>39313</v>
      </c>
      <c r="P472" s="26" t="n">
        <v>72310</v>
      </c>
      <c r="Q472" s="26" t="n">
        <v>83581</v>
      </c>
      <c r="R472" s="26" t="n">
        <v>25368</v>
      </c>
      <c r="S472" s="26" t="n">
        <v>2783933</v>
      </c>
      <c r="T472" s="26" t="n">
        <v>2446802</v>
      </c>
      <c r="U472" s="26" t="n">
        <v>64541</v>
      </c>
      <c r="V472" s="26" t="n">
        <v>2511343</v>
      </c>
      <c r="W472" s="26" t="n">
        <v>2719252</v>
      </c>
      <c r="X472" s="27" t="n">
        <f aca="false">IF(V472=0,0,(W472-V472)/V472)</f>
        <v>0.0827879744025408</v>
      </c>
      <c r="Y472" s="26" t="n">
        <v>2511343</v>
      </c>
      <c r="Z472" s="26" t="n">
        <v>1690463952.82</v>
      </c>
      <c r="AA472" s="26" t="n">
        <v>1631738284.64</v>
      </c>
      <c r="AB472" s="28" t="n">
        <f aca="false">IF(B472=0,0,L472/B472*10000)</f>
        <v>3.38649054945261</v>
      </c>
      <c r="AC472" s="28" t="n">
        <f aca="false">IF(D472=0,0,M472/D472*10000)</f>
        <v>4.52306773127274</v>
      </c>
      <c r="AD472" s="28" t="n">
        <f aca="false">IF(C472=0,0,N472/C472*10000)</f>
        <v>0.500174906401091</v>
      </c>
      <c r="AE472" s="28" t="n">
        <f aca="false">IF(E472=0,0,Q472/E472*10000)</f>
        <v>5.13704836317054</v>
      </c>
    </row>
    <row r="473" customFormat="false" ht="15" hidden="false" customHeight="true" outlineLevel="0" collapsed="false">
      <c r="A473" s="7" t="s">
        <v>606</v>
      </c>
      <c r="B473" s="26" t="n">
        <v>5782108393</v>
      </c>
      <c r="C473" s="26" t="n">
        <v>2053939952</v>
      </c>
      <c r="D473" s="26" t="n">
        <v>3728168441</v>
      </c>
      <c r="E473" s="26" t="n">
        <v>115480502</v>
      </c>
      <c r="F473" s="26" t="n">
        <v>1943140692</v>
      </c>
      <c r="G473" s="26" t="n">
        <v>3088096</v>
      </c>
      <c r="H473" s="26" t="n">
        <v>9903533</v>
      </c>
      <c r="I473" s="26" t="n">
        <v>10406555</v>
      </c>
      <c r="J473" s="26" t="n">
        <v>17511191</v>
      </c>
      <c r="K473" s="26" t="n">
        <v>69889885</v>
      </c>
      <c r="L473" s="26" t="n">
        <v>1823939</v>
      </c>
      <c r="M473" s="26" t="n">
        <v>1715016</v>
      </c>
      <c r="N473" s="26" t="n">
        <v>108923</v>
      </c>
      <c r="O473" s="26" t="n">
        <v>39406</v>
      </c>
      <c r="P473" s="26" t="n">
        <v>69517</v>
      </c>
      <c r="Q473" s="26" t="n">
        <v>58909</v>
      </c>
      <c r="R473" s="26" t="n">
        <v>17220</v>
      </c>
      <c r="S473" s="26" t="n">
        <v>1900068</v>
      </c>
      <c r="T473" s="26" t="n">
        <v>1660601</v>
      </c>
      <c r="U473" s="26" t="n">
        <v>44217</v>
      </c>
      <c r="V473" s="26" t="n">
        <v>1704818</v>
      </c>
      <c r="W473" s="26" t="n">
        <v>1843442</v>
      </c>
      <c r="X473" s="27" t="n">
        <f aca="false">IF(V473=0,0,(W473-V473)/V473)</f>
        <v>0.0813130785808221</v>
      </c>
      <c r="Y473" s="26" t="n">
        <v>1704818</v>
      </c>
      <c r="Z473" s="26" t="n">
        <v>1944588285.97</v>
      </c>
      <c r="AA473" s="26" t="n">
        <v>1885830634.78</v>
      </c>
      <c r="AB473" s="28" t="n">
        <f aca="false">IF(B473=0,0,L473/B473*10000)</f>
        <v>3.15445314413012</v>
      </c>
      <c r="AC473" s="28" t="n">
        <f aca="false">IF(D473=0,0,M473/D473*10000)</f>
        <v>4.6001569594854</v>
      </c>
      <c r="AD473" s="28" t="n">
        <f aca="false">IF(C473=0,0,N473/C473*10000)</f>
        <v>0.530312485006865</v>
      </c>
      <c r="AE473" s="28" t="n">
        <f aca="false">IF(E473=0,0,Q473/E473*10000)</f>
        <v>5.10120747483415</v>
      </c>
    </row>
    <row r="474" customFormat="false" ht="15" hidden="false" customHeight="true" outlineLevel="0" collapsed="false">
      <c r="A474" s="7" t="s">
        <v>607</v>
      </c>
      <c r="B474" s="26" t="n">
        <v>6523677215</v>
      </c>
      <c r="C474" s="26" t="n">
        <v>1795518681</v>
      </c>
      <c r="D474" s="26" t="n">
        <v>4728158534</v>
      </c>
      <c r="E474" s="26" t="n">
        <v>141168806</v>
      </c>
      <c r="F474" s="26" t="n">
        <v>1677636762</v>
      </c>
      <c r="G474" s="26" t="n">
        <v>3010751</v>
      </c>
      <c r="H474" s="26" t="n">
        <v>2999211</v>
      </c>
      <c r="I474" s="26" t="n">
        <v>20984751</v>
      </c>
      <c r="J474" s="26" t="n">
        <v>14790611</v>
      </c>
      <c r="K474" s="26" t="n">
        <v>76096596</v>
      </c>
      <c r="L474" s="26" t="n">
        <v>2177909</v>
      </c>
      <c r="M474" s="26" t="n">
        <v>2088900</v>
      </c>
      <c r="N474" s="26" t="n">
        <v>89009</v>
      </c>
      <c r="O474" s="26" t="n">
        <v>30197</v>
      </c>
      <c r="P474" s="26" t="n">
        <v>58812</v>
      </c>
      <c r="Q474" s="26" t="n">
        <v>79066</v>
      </c>
      <c r="R474" s="26" t="n">
        <v>20548</v>
      </c>
      <c r="S474" s="26" t="n">
        <v>2277523</v>
      </c>
      <c r="T474" s="26" t="n">
        <v>1971385</v>
      </c>
      <c r="U474" s="26" t="n">
        <v>62800</v>
      </c>
      <c r="V474" s="26" t="n">
        <v>2034185</v>
      </c>
      <c r="W474" s="26" t="n">
        <v>2226778</v>
      </c>
      <c r="X474" s="27" t="n">
        <f aca="false">IF(V474=0,0,(W474-V474)/V474)</f>
        <v>0.0946782126502752</v>
      </c>
      <c r="Y474" s="26" t="n">
        <v>2034185</v>
      </c>
      <c r="Z474" s="26" t="n">
        <v>1944588285.97</v>
      </c>
      <c r="AA474" s="26" t="n">
        <v>1885830634.78</v>
      </c>
      <c r="AB474" s="28" t="n">
        <f aca="false">IF(B474=0,0,L474/B474*10000)</f>
        <v>3.33846836411878</v>
      </c>
      <c r="AC474" s="28" t="n">
        <f aca="false">IF(D474=0,0,M474/D474*10000)</f>
        <v>4.41799906872581</v>
      </c>
      <c r="AD474" s="28" t="n">
        <f aca="false">IF(C474=0,0,N474/C474*10000)</f>
        <v>0.495728621160472</v>
      </c>
      <c r="AE474" s="28" t="n">
        <f aca="false">IF(E474=0,0,Q474/E474*10000)</f>
        <v>5.6008124061062</v>
      </c>
    </row>
    <row r="475" customFormat="false" ht="15" hidden="false" customHeight="true" outlineLevel="0" collapsed="false">
      <c r="A475" s="7" t="s">
        <v>608</v>
      </c>
      <c r="B475" s="26" t="n">
        <v>8431310009</v>
      </c>
      <c r="C475" s="26" t="n">
        <v>2653685902</v>
      </c>
      <c r="D475" s="26" t="n">
        <v>5777624107</v>
      </c>
      <c r="E475" s="26" t="n">
        <v>158902450</v>
      </c>
      <c r="F475" s="26" t="n">
        <v>2491312418</v>
      </c>
      <c r="G475" s="26" t="n">
        <v>3463799</v>
      </c>
      <c r="H475" s="26" t="n">
        <v>10718133</v>
      </c>
      <c r="I475" s="26" t="n">
        <v>32587511</v>
      </c>
      <c r="J475" s="26" t="n">
        <v>25322155</v>
      </c>
      <c r="K475" s="26" t="n">
        <v>90281886</v>
      </c>
      <c r="L475" s="26" t="n">
        <v>2788862</v>
      </c>
      <c r="M475" s="26" t="n">
        <v>2657111</v>
      </c>
      <c r="N475" s="26" t="n">
        <v>131751</v>
      </c>
      <c r="O475" s="26" t="n">
        <v>46442</v>
      </c>
      <c r="P475" s="26" t="n">
        <v>85309</v>
      </c>
      <c r="Q475" s="26" t="n">
        <v>84416</v>
      </c>
      <c r="R475" s="26" t="n">
        <v>26035</v>
      </c>
      <c r="S475" s="26" t="n">
        <v>2899313</v>
      </c>
      <c r="T475" s="26" t="n">
        <v>2514980</v>
      </c>
      <c r="U475" s="26" t="n">
        <v>62537</v>
      </c>
      <c r="V475" s="26" t="n">
        <v>2577517</v>
      </c>
      <c r="W475" s="26" t="n">
        <v>2826836</v>
      </c>
      <c r="X475" s="27" t="n">
        <f aca="false">IF(V475=0,0,(W475-V475)/V475)</f>
        <v>0.0967283629943081</v>
      </c>
      <c r="Y475" s="26" t="n">
        <v>2577517</v>
      </c>
      <c r="Z475" s="26" t="n">
        <v>1944588285.97</v>
      </c>
      <c r="AA475" s="26" t="n">
        <v>1885830634.78</v>
      </c>
      <c r="AB475" s="28" t="n">
        <f aca="false">IF(B475=0,0,L475/B475*10000)</f>
        <v>3.30774458183014</v>
      </c>
      <c r="AC475" s="28" t="n">
        <f aca="false">IF(D475=0,0,M475/D475*10000)</f>
        <v>4.5989682796787</v>
      </c>
      <c r="AD475" s="28" t="n">
        <f aca="false">IF(C475=0,0,N475/C475*10000)</f>
        <v>0.496483023483312</v>
      </c>
      <c r="AE475" s="28" t="n">
        <f aca="false">IF(E475=0,0,Q475/E475*10000)</f>
        <v>5.31244168985437</v>
      </c>
    </row>
    <row r="476" customFormat="false" ht="15" hidden="false" customHeight="true" outlineLevel="0" collapsed="false">
      <c r="A476" s="7" t="s">
        <v>609</v>
      </c>
      <c r="B476" s="26" t="n">
        <v>3232445253</v>
      </c>
      <c r="C476" s="26" t="n">
        <v>706595265</v>
      </c>
      <c r="D476" s="26" t="n">
        <v>2525849988</v>
      </c>
      <c r="E476" s="26" t="n">
        <v>73766452</v>
      </c>
      <c r="F476" s="26" t="n">
        <v>642828434</v>
      </c>
      <c r="G476" s="26" t="n">
        <v>858003</v>
      </c>
      <c r="H476" s="26" t="n">
        <v>5440159</v>
      </c>
      <c r="I476" s="26" t="n">
        <v>10809851</v>
      </c>
      <c r="J476" s="26" t="n">
        <v>14332512</v>
      </c>
      <c r="K476" s="26" t="n">
        <v>32326307</v>
      </c>
      <c r="L476" s="26" t="n">
        <v>1253472</v>
      </c>
      <c r="M476" s="26" t="n">
        <v>1189437</v>
      </c>
      <c r="N476" s="26" t="n">
        <v>64035</v>
      </c>
      <c r="O476" s="26" t="n">
        <v>18996</v>
      </c>
      <c r="P476" s="26" t="n">
        <v>45039</v>
      </c>
      <c r="Q476" s="26" t="n">
        <v>38508</v>
      </c>
      <c r="R476" s="26" t="n">
        <v>11519</v>
      </c>
      <c r="S476" s="26" t="n">
        <v>1303499</v>
      </c>
      <c r="T476" s="26" t="n">
        <v>1110003</v>
      </c>
      <c r="U476" s="26" t="n">
        <v>30391</v>
      </c>
      <c r="V476" s="26" t="n">
        <v>1140394</v>
      </c>
      <c r="W476" s="26" t="n">
        <v>1272984</v>
      </c>
      <c r="X476" s="27" t="n">
        <f aca="false">IF(V476=0,0,(W476-V476)/V476)</f>
        <v>0.116266834094181</v>
      </c>
      <c r="Y476" s="26" t="n">
        <v>1140394</v>
      </c>
      <c r="Z476" s="26" t="n">
        <v>1944588285.97</v>
      </c>
      <c r="AA476" s="26" t="n">
        <v>1885830634.78</v>
      </c>
      <c r="AB476" s="28" t="n">
        <f aca="false">IF(B476=0,0,L476/B476*10000)</f>
        <v>3.8777826131368</v>
      </c>
      <c r="AC476" s="28" t="n">
        <f aca="false">IF(D476=0,0,M476/D476*10000)</f>
        <v>4.70905637963801</v>
      </c>
      <c r="AD476" s="28" t="n">
        <f aca="false">IF(C476=0,0,N476/C476*10000)</f>
        <v>0.906247227682739</v>
      </c>
      <c r="AE476" s="28" t="n">
        <f aca="false">IF(E476=0,0,Q476/E476*10000)</f>
        <v>5.22025920400781</v>
      </c>
    </row>
    <row r="477" customFormat="false" ht="15" hidden="false" customHeight="true" outlineLevel="0" collapsed="false">
      <c r="A477" s="7" t="s">
        <v>610</v>
      </c>
      <c r="B477" s="26" t="n">
        <v>4899348751</v>
      </c>
      <c r="C477" s="26" t="n">
        <v>1108742979</v>
      </c>
      <c r="D477" s="26" t="n">
        <v>3790605772</v>
      </c>
      <c r="E477" s="26" t="n">
        <v>119868281</v>
      </c>
      <c r="F477" s="26" t="n">
        <v>1024683497</v>
      </c>
      <c r="G477" s="26" t="n">
        <v>983396</v>
      </c>
      <c r="H477" s="26" t="n">
        <v>5643285</v>
      </c>
      <c r="I477" s="26" t="n">
        <v>12497805</v>
      </c>
      <c r="J477" s="26" t="n">
        <v>14768220</v>
      </c>
      <c r="K477" s="26" t="n">
        <v>50166776</v>
      </c>
      <c r="L477" s="26" t="n">
        <v>1785294</v>
      </c>
      <c r="M477" s="26" t="n">
        <v>1705414</v>
      </c>
      <c r="N477" s="26" t="n">
        <v>79880</v>
      </c>
      <c r="O477" s="26" t="n">
        <v>25193</v>
      </c>
      <c r="P477" s="26" t="n">
        <v>54687</v>
      </c>
      <c r="Q477" s="26" t="n">
        <v>60343</v>
      </c>
      <c r="R477" s="26" t="n">
        <v>16796</v>
      </c>
      <c r="S477" s="26" t="n">
        <v>1862433</v>
      </c>
      <c r="T477" s="26" t="n">
        <v>1614899</v>
      </c>
      <c r="U477" s="26" t="n">
        <v>48237</v>
      </c>
      <c r="V477" s="26" t="n">
        <v>1663136</v>
      </c>
      <c r="W477" s="26" t="n">
        <v>1820444</v>
      </c>
      <c r="X477" s="27" t="n">
        <f aca="false">IF(V477=0,0,(W477-V477)/V477)</f>
        <v>0.0945851692224809</v>
      </c>
      <c r="Y477" s="26" t="n">
        <v>1663136</v>
      </c>
      <c r="Z477" s="26" t="n">
        <v>1944588285.97</v>
      </c>
      <c r="AA477" s="26" t="n">
        <v>1885830634.78</v>
      </c>
      <c r="AB477" s="28" t="n">
        <f aca="false">IF(B477=0,0,L477/B477*10000)</f>
        <v>3.64394145167887</v>
      </c>
      <c r="AC477" s="28" t="n">
        <f aca="false">IF(D477=0,0,M477/D477*10000)</f>
        <v>4.4990539839235</v>
      </c>
      <c r="AD477" s="28" t="n">
        <f aca="false">IF(C477=0,0,N477/C477*10000)</f>
        <v>0.720455520467382</v>
      </c>
      <c r="AE477" s="28" t="n">
        <f aca="false">IF(E477=0,0,Q477/E477*10000)</f>
        <v>5.03410906509955</v>
      </c>
    </row>
    <row r="478" customFormat="false" ht="15" hidden="false" customHeight="true" outlineLevel="0" collapsed="false">
      <c r="A478" s="7" t="s">
        <v>611</v>
      </c>
      <c r="B478" s="26" t="n">
        <v>6077339219</v>
      </c>
      <c r="C478" s="26" t="n">
        <v>2138804366</v>
      </c>
      <c r="D478" s="26" t="n">
        <v>3938534853</v>
      </c>
      <c r="E478" s="26" t="n">
        <v>103370678</v>
      </c>
      <c r="F478" s="26" t="n">
        <v>1961896095</v>
      </c>
      <c r="G478" s="26" t="n">
        <v>7284349</v>
      </c>
      <c r="H478" s="26" t="n">
        <v>7332876</v>
      </c>
      <c r="I478" s="26" t="n">
        <v>25301632</v>
      </c>
      <c r="J478" s="26" t="n">
        <v>25300163</v>
      </c>
      <c r="K478" s="26" t="n">
        <v>111689251</v>
      </c>
      <c r="L478" s="26" t="n">
        <v>1867067</v>
      </c>
      <c r="M478" s="26" t="n">
        <v>1761786</v>
      </c>
      <c r="N478" s="26" t="n">
        <v>105281</v>
      </c>
      <c r="O478" s="26" t="n">
        <v>38269</v>
      </c>
      <c r="P478" s="26" t="n">
        <v>67012</v>
      </c>
      <c r="Q478" s="26" t="n">
        <v>49071</v>
      </c>
      <c r="R478" s="26" t="n">
        <v>17444</v>
      </c>
      <c r="S478" s="26" t="n">
        <v>1933582</v>
      </c>
      <c r="T478" s="26" t="n">
        <v>1691184</v>
      </c>
      <c r="U478" s="26" t="n">
        <v>35796</v>
      </c>
      <c r="V478" s="26" t="n">
        <v>1726980</v>
      </c>
      <c r="W478" s="26" t="n">
        <v>1877869</v>
      </c>
      <c r="X478" s="27" t="n">
        <f aca="false">IF(V478=0,0,(W478-V478)/V478)</f>
        <v>0.0873715966600656</v>
      </c>
      <c r="Y478" s="26" t="n">
        <v>1726980</v>
      </c>
      <c r="Z478" s="26" t="n">
        <v>1766959944.23</v>
      </c>
      <c r="AA478" s="26" t="n">
        <v>1708183445.01</v>
      </c>
      <c r="AB478" s="28" t="n">
        <f aca="false">IF(B478=0,0,L478/B478*10000)</f>
        <v>3.07217835424237</v>
      </c>
      <c r="AC478" s="28" t="n">
        <f aca="false">IF(D478=0,0,M478/D478*10000)</f>
        <v>4.47320149689177</v>
      </c>
      <c r="AD478" s="28" t="n">
        <f aca="false">IF(C478=0,0,N478/C478*10000)</f>
        <v>0.49224230917808</v>
      </c>
      <c r="AE478" s="28" t="n">
        <f aca="false">IF(E478=0,0,Q478/E478*10000)</f>
        <v>4.74709085297864</v>
      </c>
    </row>
    <row r="479" customFormat="false" ht="15" hidden="false" customHeight="true" outlineLevel="0" collapsed="false">
      <c r="A479" s="7" t="s">
        <v>612</v>
      </c>
      <c r="B479" s="26" t="n">
        <v>7379171013</v>
      </c>
      <c r="C479" s="26" t="n">
        <v>2529732384</v>
      </c>
      <c r="D479" s="26" t="n">
        <v>4849438629</v>
      </c>
      <c r="E479" s="26" t="n">
        <v>138769783</v>
      </c>
      <c r="F479" s="26" t="n">
        <v>2390088379</v>
      </c>
      <c r="G479" s="26" t="n">
        <v>2199647</v>
      </c>
      <c r="H479" s="26" t="n">
        <v>8642195</v>
      </c>
      <c r="I479" s="26" t="n">
        <v>14036315</v>
      </c>
      <c r="J479" s="26" t="n">
        <v>21707763</v>
      </c>
      <c r="K479" s="26" t="n">
        <v>93058086</v>
      </c>
      <c r="L479" s="26" t="n">
        <v>2305458</v>
      </c>
      <c r="M479" s="26" t="n">
        <v>2172095</v>
      </c>
      <c r="N479" s="26" t="n">
        <v>133363</v>
      </c>
      <c r="O479" s="26" t="n">
        <v>47499</v>
      </c>
      <c r="P479" s="26" t="n">
        <v>85864</v>
      </c>
      <c r="Q479" s="26" t="n">
        <v>74746</v>
      </c>
      <c r="R479" s="26" t="n">
        <v>21715</v>
      </c>
      <c r="S479" s="26" t="n">
        <v>2401919</v>
      </c>
      <c r="T479" s="26" t="n">
        <v>2093615</v>
      </c>
      <c r="U479" s="26" t="n">
        <v>56201</v>
      </c>
      <c r="V479" s="26" t="n">
        <v>2149816</v>
      </c>
      <c r="W479" s="26" t="n">
        <v>2332705</v>
      </c>
      <c r="X479" s="27" t="n">
        <f aca="false">IF(V479=0,0,(W479-V479)/V479)</f>
        <v>0.0850719317374138</v>
      </c>
      <c r="Y479" s="26" t="n">
        <v>2149816</v>
      </c>
      <c r="Z479" s="26" t="n">
        <v>1766959944.23</v>
      </c>
      <c r="AA479" s="26" t="n">
        <v>1708183445.01</v>
      </c>
      <c r="AB479" s="28" t="n">
        <f aca="false">IF(B479=0,0,L479/B479*10000)</f>
        <v>3.12427777583476</v>
      </c>
      <c r="AC479" s="28" t="n">
        <f aca="false">IF(D479=0,0,M479/D479*10000)</f>
        <v>4.47906482826839</v>
      </c>
      <c r="AD479" s="28" t="n">
        <f aca="false">IF(C479=0,0,N479/C479*10000)</f>
        <v>0.527182246009466</v>
      </c>
      <c r="AE479" s="28" t="n">
        <f aca="false">IF(E479=0,0,Q479/E479*10000)</f>
        <v>5.38633111503821</v>
      </c>
    </row>
    <row r="480" customFormat="false" ht="15" hidden="false" customHeight="true" outlineLevel="0" collapsed="false">
      <c r="A480" s="7" t="s">
        <v>613</v>
      </c>
      <c r="B480" s="26" t="n">
        <v>6524887548</v>
      </c>
      <c r="C480" s="26" t="n">
        <v>1824491494</v>
      </c>
      <c r="D480" s="26" t="n">
        <v>4700396054</v>
      </c>
      <c r="E480" s="26" t="n">
        <v>123714513</v>
      </c>
      <c r="F480" s="26" t="n">
        <v>1702466353</v>
      </c>
      <c r="G480" s="26" t="n">
        <v>4078431</v>
      </c>
      <c r="H480" s="26" t="n">
        <v>4487452</v>
      </c>
      <c r="I480" s="26" t="n">
        <v>23020500</v>
      </c>
      <c r="J480" s="26" t="n">
        <v>16197331</v>
      </c>
      <c r="K480" s="26" t="n">
        <v>74241426</v>
      </c>
      <c r="L480" s="26" t="n">
        <v>2162565</v>
      </c>
      <c r="M480" s="26" t="n">
        <v>2057981</v>
      </c>
      <c r="N480" s="26" t="n">
        <v>104584</v>
      </c>
      <c r="O480" s="26" t="n">
        <v>38229</v>
      </c>
      <c r="P480" s="26" t="n">
        <v>66355</v>
      </c>
      <c r="Q480" s="26" t="n">
        <v>67009</v>
      </c>
      <c r="R480" s="26" t="n">
        <v>20395</v>
      </c>
      <c r="S480" s="26" t="n">
        <v>2249969</v>
      </c>
      <c r="T480" s="26" t="n">
        <v>1971494</v>
      </c>
      <c r="U480" s="26" t="n">
        <v>47656</v>
      </c>
      <c r="V480" s="26" t="n">
        <v>2019150</v>
      </c>
      <c r="W480" s="26" t="n">
        <v>2191345</v>
      </c>
      <c r="X480" s="27" t="n">
        <f aca="false">IF(V480=0,0,(W480-V480)/V480)</f>
        <v>0.0852809350469257</v>
      </c>
      <c r="Y480" s="26" t="n">
        <v>2019150</v>
      </c>
      <c r="Z480" s="26" t="n">
        <v>1766959944.23</v>
      </c>
      <c r="AA480" s="26" t="n">
        <v>1708183445.01</v>
      </c>
      <c r="AB480" s="28" t="n">
        <f aca="false">IF(B480=0,0,L480/B480*10000)</f>
        <v>3.31433298135976</v>
      </c>
      <c r="AC480" s="28" t="n">
        <f aca="false">IF(D480=0,0,M480/D480*10000)</f>
        <v>4.37831403217326</v>
      </c>
      <c r="AD480" s="28" t="n">
        <f aca="false">IF(C480=0,0,N480/C480*10000)</f>
        <v>0.573222732711737</v>
      </c>
      <c r="AE480" s="28" t="n">
        <f aca="false">IF(E480=0,0,Q480/E480*10000)</f>
        <v>5.41642191971446</v>
      </c>
    </row>
    <row r="481" customFormat="false" ht="15" hidden="false" customHeight="true" outlineLevel="0" collapsed="false">
      <c r="A481" s="7" t="s">
        <v>614</v>
      </c>
      <c r="B481" s="26" t="n">
        <v>7571088317</v>
      </c>
      <c r="C481" s="26" t="n">
        <v>2696815733</v>
      </c>
      <c r="D481" s="26" t="n">
        <v>4874272584</v>
      </c>
      <c r="E481" s="26" t="n">
        <v>101104527</v>
      </c>
      <c r="F481" s="26" t="n">
        <v>2494443865</v>
      </c>
      <c r="G481" s="26" t="n">
        <v>4227120</v>
      </c>
      <c r="H481" s="26" t="n">
        <v>8112685</v>
      </c>
      <c r="I481" s="26" t="n">
        <v>35355449</v>
      </c>
      <c r="J481" s="26" t="n">
        <v>19450856</v>
      </c>
      <c r="K481" s="26" t="n">
        <v>135225759</v>
      </c>
      <c r="L481" s="26" t="n">
        <v>2191755</v>
      </c>
      <c r="M481" s="26" t="n">
        <v>2067877</v>
      </c>
      <c r="N481" s="26" t="n">
        <v>123878</v>
      </c>
      <c r="O481" s="26" t="n">
        <v>42729</v>
      </c>
      <c r="P481" s="26" t="n">
        <v>81149</v>
      </c>
      <c r="Q481" s="26" t="n">
        <v>53928</v>
      </c>
      <c r="R481" s="26" t="n">
        <v>20694</v>
      </c>
      <c r="S481" s="26" t="n">
        <v>2266377</v>
      </c>
      <c r="T481" s="26" t="n">
        <v>2009871</v>
      </c>
      <c r="U481" s="26" t="n">
        <v>38869</v>
      </c>
      <c r="V481" s="26" t="n">
        <v>2048740</v>
      </c>
      <c r="W481" s="26" t="n">
        <v>2202954</v>
      </c>
      <c r="X481" s="27" t="n">
        <f aca="false">IF(V481=0,0,(W481-V481)/V481)</f>
        <v>0.0752726065777014</v>
      </c>
      <c r="Y481" s="26" t="n">
        <v>2048740</v>
      </c>
      <c r="Z481" s="26" t="n">
        <v>1766959944.23</v>
      </c>
      <c r="AA481" s="26" t="n">
        <v>1708183445.01</v>
      </c>
      <c r="AB481" s="28" t="n">
        <f aca="false">IF(B481=0,0,L481/B481*10000)</f>
        <v>2.89490084943094</v>
      </c>
      <c r="AC481" s="28" t="n">
        <f aca="false">IF(D481=0,0,M481/D481*10000)</f>
        <v>4.24243200264977</v>
      </c>
      <c r="AD481" s="28" t="n">
        <f aca="false">IF(C481=0,0,N481/C481*10000)</f>
        <v>0.459349144563894</v>
      </c>
      <c r="AE481" s="28" t="n">
        <f aca="false">IF(E481=0,0,Q481/E481*10000)</f>
        <v>5.33388579128608</v>
      </c>
    </row>
    <row r="482" customFormat="false" ht="15" hidden="false" customHeight="true" outlineLevel="0" collapsed="false">
      <c r="A482" s="7" t="s">
        <v>615</v>
      </c>
      <c r="B482" s="26" t="n">
        <v>5419139079</v>
      </c>
      <c r="C482" s="26" t="n">
        <v>2240203300</v>
      </c>
      <c r="D482" s="26" t="n">
        <v>3178935779</v>
      </c>
      <c r="E482" s="26" t="n">
        <v>84954703</v>
      </c>
      <c r="F482" s="26" t="n">
        <v>2054190020</v>
      </c>
      <c r="G482" s="26" t="n">
        <v>5381717</v>
      </c>
      <c r="H482" s="26" t="n">
        <v>6171518</v>
      </c>
      <c r="I482" s="26" t="n">
        <v>7530350</v>
      </c>
      <c r="J482" s="26" t="n">
        <v>16438952</v>
      </c>
      <c r="K482" s="26" t="n">
        <v>150490742</v>
      </c>
      <c r="L482" s="26" t="n">
        <v>1542035</v>
      </c>
      <c r="M482" s="26" t="n">
        <v>1437681</v>
      </c>
      <c r="N482" s="26" t="n">
        <v>104354</v>
      </c>
      <c r="O482" s="26" t="n">
        <v>35163</v>
      </c>
      <c r="P482" s="26" t="n">
        <v>69191</v>
      </c>
      <c r="Q482" s="26" t="n">
        <v>44984</v>
      </c>
      <c r="R482" s="26" t="n">
        <v>14239</v>
      </c>
      <c r="S482" s="26" t="n">
        <v>1601258</v>
      </c>
      <c r="T482" s="26" t="n">
        <v>1378198</v>
      </c>
      <c r="U482" s="26" t="n">
        <v>31477</v>
      </c>
      <c r="V482" s="26" t="n">
        <v>1409675</v>
      </c>
      <c r="W482" s="26" t="n">
        <v>1551856</v>
      </c>
      <c r="X482" s="27" t="n">
        <f aca="false">IF(V482=0,0,(W482-V482)/V482)</f>
        <v>0.100860836717683</v>
      </c>
      <c r="Y482" s="26" t="n">
        <v>1409675</v>
      </c>
      <c r="Z482" s="26" t="n">
        <v>1766959944.23</v>
      </c>
      <c r="AA482" s="26" t="n">
        <v>1708183445.01</v>
      </c>
      <c r="AB482" s="28" t="n">
        <f aca="false">IF(B482=0,0,L482/B482*10000)</f>
        <v>2.84553501491708</v>
      </c>
      <c r="AC482" s="28" t="n">
        <f aca="false">IF(D482=0,0,M482/D482*10000)</f>
        <v>4.5225229446197</v>
      </c>
      <c r="AD482" s="28" t="n">
        <f aca="false">IF(C482=0,0,N482/C482*10000)</f>
        <v>0.465823793760147</v>
      </c>
      <c r="AE482" s="28" t="n">
        <f aca="false">IF(E482=0,0,Q482/E482*10000)</f>
        <v>5.29505706117294</v>
      </c>
    </row>
    <row r="483" customFormat="false" ht="15" hidden="false" customHeight="true" outlineLevel="0" collapsed="false">
      <c r="A483" s="7" t="s">
        <v>616</v>
      </c>
      <c r="B483" s="26" t="n">
        <v>1621255803</v>
      </c>
      <c r="C483" s="26" t="n">
        <v>317463935</v>
      </c>
      <c r="D483" s="26" t="n">
        <v>1303791868</v>
      </c>
      <c r="E483" s="26" t="n">
        <v>42520081</v>
      </c>
      <c r="F483" s="26" t="n">
        <v>293097618</v>
      </c>
      <c r="G483" s="26" t="n">
        <v>204228</v>
      </c>
      <c r="H483" s="26" t="n">
        <v>529600</v>
      </c>
      <c r="I483" s="26" t="n">
        <v>5282142</v>
      </c>
      <c r="J483" s="26" t="n">
        <v>5285230</v>
      </c>
      <c r="K483" s="26" t="n">
        <v>13065118</v>
      </c>
      <c r="L483" s="26" t="n">
        <v>617869</v>
      </c>
      <c r="M483" s="26" t="n">
        <v>591492</v>
      </c>
      <c r="N483" s="26" t="n">
        <v>26377</v>
      </c>
      <c r="O483" s="26" t="n">
        <v>7370</v>
      </c>
      <c r="P483" s="26" t="n">
        <v>19007</v>
      </c>
      <c r="Q483" s="26" t="n">
        <v>28026</v>
      </c>
      <c r="R483" s="26" t="n">
        <v>5717</v>
      </c>
      <c r="S483" s="26" t="n">
        <v>651612</v>
      </c>
      <c r="T483" s="26" t="n">
        <v>544670</v>
      </c>
      <c r="U483" s="26" t="n">
        <v>21311</v>
      </c>
      <c r="V483" s="26" t="n">
        <v>565981</v>
      </c>
      <c r="W483" s="26" t="n">
        <v>638525</v>
      </c>
      <c r="X483" s="27" t="n">
        <f aca="false">IF(V483=0,0,(W483-V483)/V483)</f>
        <v>0.12817391396531</v>
      </c>
      <c r="Y483" s="26" t="n">
        <v>565981</v>
      </c>
      <c r="Z483" s="26" t="n">
        <v>1807244246.27</v>
      </c>
      <c r="AA483" s="26" t="n">
        <v>1748448157.56</v>
      </c>
      <c r="AB483" s="28" t="n">
        <f aca="false">IF(B483=0,0,L483/B483*10000)</f>
        <v>3.81105189481317</v>
      </c>
      <c r="AC483" s="28" t="n">
        <f aca="false">IF(D483=0,0,M483/D483*10000)</f>
        <v>4.53670570063718</v>
      </c>
      <c r="AD483" s="28" t="n">
        <f aca="false">IF(C483=0,0,N483/C483*10000)</f>
        <v>0.830866032073848</v>
      </c>
      <c r="AE483" s="28" t="n">
        <f aca="false">IF(E483=0,0,Q483/E483*10000)</f>
        <v>6.59123861970065</v>
      </c>
    </row>
    <row r="484" customFormat="false" ht="15" hidden="false" customHeight="true" outlineLevel="0" collapsed="false">
      <c r="A484" s="7" t="s">
        <v>617</v>
      </c>
      <c r="B484" s="26" t="n">
        <v>2595372834</v>
      </c>
      <c r="C484" s="26" t="n">
        <v>600112586</v>
      </c>
      <c r="D484" s="26" t="n">
        <v>1995260248</v>
      </c>
      <c r="E484" s="26" t="n">
        <v>64354684</v>
      </c>
      <c r="F484" s="26" t="n">
        <v>517289729</v>
      </c>
      <c r="G484" s="26" t="n">
        <v>652538</v>
      </c>
      <c r="H484" s="26" t="n">
        <v>1965267</v>
      </c>
      <c r="I484" s="26" t="n">
        <v>8368706</v>
      </c>
      <c r="J484" s="26" t="n">
        <v>8365731</v>
      </c>
      <c r="K484" s="26" t="n">
        <v>63470616</v>
      </c>
      <c r="L484" s="26" t="n">
        <v>944308</v>
      </c>
      <c r="M484" s="26" t="n">
        <v>882426</v>
      </c>
      <c r="N484" s="26" t="n">
        <v>61882</v>
      </c>
      <c r="O484" s="26" t="n">
        <v>23199</v>
      </c>
      <c r="P484" s="26" t="n">
        <v>38683</v>
      </c>
      <c r="Q484" s="26" t="n">
        <v>38494</v>
      </c>
      <c r="R484" s="26" t="n">
        <v>8883</v>
      </c>
      <c r="S484" s="26" t="n">
        <v>991685</v>
      </c>
      <c r="T484" s="26" t="n">
        <v>852067</v>
      </c>
      <c r="U484" s="26" t="n">
        <v>27303</v>
      </c>
      <c r="V484" s="26" t="n">
        <v>879370</v>
      </c>
      <c r="W484" s="26" t="n">
        <v>959603</v>
      </c>
      <c r="X484" s="27" t="n">
        <f aca="false">IF(V484=0,0,(W484-V484)/V484)</f>
        <v>0.0912391825966317</v>
      </c>
      <c r="Y484" s="26" t="n">
        <v>879370</v>
      </c>
      <c r="Z484" s="26" t="n">
        <v>1807244246.27</v>
      </c>
      <c r="AA484" s="26" t="n">
        <v>1748448157.56</v>
      </c>
      <c r="AB484" s="28" t="n">
        <f aca="false">IF(B484=0,0,L484/B484*10000)</f>
        <v>3.63842908282518</v>
      </c>
      <c r="AC484" s="28" t="n">
        <f aca="false">IF(D484=0,0,M484/D484*10000)</f>
        <v>4.42261103976046</v>
      </c>
      <c r="AD484" s="28" t="n">
        <f aca="false">IF(C484=0,0,N484/C484*10000)</f>
        <v>1.03117317389507</v>
      </c>
      <c r="AE484" s="28" t="n">
        <f aca="false">IF(E484=0,0,Q484/E484*10000)</f>
        <v>5.98153818920158</v>
      </c>
    </row>
    <row r="485" customFormat="false" ht="15" hidden="false" customHeight="true" outlineLevel="0" collapsed="false">
      <c r="A485" s="7" t="s">
        <v>618</v>
      </c>
      <c r="B485" s="26" t="n">
        <v>5422178103</v>
      </c>
      <c r="C485" s="26" t="n">
        <v>1708465194</v>
      </c>
      <c r="D485" s="26" t="n">
        <v>3713712909</v>
      </c>
      <c r="E485" s="26" t="n">
        <v>100460569</v>
      </c>
      <c r="F485" s="26" t="n">
        <v>1551642393</v>
      </c>
      <c r="G485" s="26" t="n">
        <v>1164629</v>
      </c>
      <c r="H485" s="26" t="n">
        <v>6259039</v>
      </c>
      <c r="I485" s="26" t="n">
        <v>12743472</v>
      </c>
      <c r="J485" s="26" t="n">
        <v>11709016</v>
      </c>
      <c r="K485" s="26" t="n">
        <v>124946646</v>
      </c>
      <c r="L485" s="26" t="n">
        <v>1773183</v>
      </c>
      <c r="M485" s="26" t="n">
        <v>1685938</v>
      </c>
      <c r="N485" s="26" t="n">
        <v>87245</v>
      </c>
      <c r="O485" s="26" t="n">
        <v>31474</v>
      </c>
      <c r="P485" s="26" t="n">
        <v>55771</v>
      </c>
      <c r="Q485" s="26" t="n">
        <v>58044</v>
      </c>
      <c r="R485" s="26" t="n">
        <v>16617</v>
      </c>
      <c r="S485" s="26" t="n">
        <v>1847844</v>
      </c>
      <c r="T485" s="26" t="n">
        <v>1604588</v>
      </c>
      <c r="U485" s="26" t="n">
        <v>40452</v>
      </c>
      <c r="V485" s="26" t="n">
        <v>1645040</v>
      </c>
      <c r="W485" s="26" t="n">
        <v>1799753</v>
      </c>
      <c r="X485" s="27" t="n">
        <f aca="false">IF(V485=0,0,(W485-V485)/V485)</f>
        <v>0.0940481690414823</v>
      </c>
      <c r="Y485" s="26" t="n">
        <v>1645040</v>
      </c>
      <c r="Z485" s="26" t="n">
        <v>1807244246.27</v>
      </c>
      <c r="AA485" s="26" t="n">
        <v>1748448157.56</v>
      </c>
      <c r="AB485" s="28" t="n">
        <f aca="false">IF(B485=0,0,L485/B485*10000)</f>
        <v>3.27024115828827</v>
      </c>
      <c r="AC485" s="28" t="n">
        <f aca="false">IF(D485=0,0,M485/D485*10000)</f>
        <v>4.53976395405852</v>
      </c>
      <c r="AD485" s="28" t="n">
        <f aca="false">IF(C485=0,0,N485/C485*10000)</f>
        <v>0.510663022614671</v>
      </c>
      <c r="AE485" s="28" t="n">
        <f aca="false">IF(E485=0,0,Q485/E485*10000)</f>
        <v>5.77778929362823</v>
      </c>
    </row>
    <row r="486" customFormat="false" ht="15" hidden="false" customHeight="true" outlineLevel="0" collapsed="false">
      <c r="A486" s="7" t="s">
        <v>619</v>
      </c>
      <c r="B486" s="26" t="n">
        <v>5899379713</v>
      </c>
      <c r="C486" s="26" t="n">
        <v>2420248727</v>
      </c>
      <c r="D486" s="26" t="n">
        <v>3479130986</v>
      </c>
      <c r="E486" s="26" t="n">
        <v>90874010</v>
      </c>
      <c r="F486" s="26" t="n">
        <v>2251423880</v>
      </c>
      <c r="G486" s="26" t="n">
        <v>1466457</v>
      </c>
      <c r="H486" s="26" t="n">
        <v>13707723</v>
      </c>
      <c r="I486" s="26" t="n">
        <v>5586397</v>
      </c>
      <c r="J486" s="26" t="n">
        <v>16966164</v>
      </c>
      <c r="K486" s="26" t="n">
        <v>131098106</v>
      </c>
      <c r="L486" s="26" t="n">
        <v>1660525</v>
      </c>
      <c r="M486" s="26" t="n">
        <v>1543119</v>
      </c>
      <c r="N486" s="26" t="n">
        <v>117406</v>
      </c>
      <c r="O486" s="26" t="n">
        <v>42497</v>
      </c>
      <c r="P486" s="26" t="n">
        <v>74909</v>
      </c>
      <c r="Q486" s="26" t="n">
        <v>51372</v>
      </c>
      <c r="R486" s="26" t="n">
        <v>15662</v>
      </c>
      <c r="S486" s="26" t="n">
        <v>1727559</v>
      </c>
      <c r="T486" s="26" t="n">
        <v>1509187</v>
      </c>
      <c r="U486" s="26" t="n">
        <v>41351</v>
      </c>
      <c r="V486" s="26" t="n">
        <v>1550538</v>
      </c>
      <c r="W486" s="26" t="n">
        <v>1669400</v>
      </c>
      <c r="X486" s="27" t="n">
        <f aca="false">IF(V486=0,0,(W486-V486)/V486)</f>
        <v>0.0766585533537392</v>
      </c>
      <c r="Y486" s="26" t="n">
        <v>1550538</v>
      </c>
      <c r="Z486" s="26" t="n">
        <v>1807244246.27</v>
      </c>
      <c r="AA486" s="26" t="n">
        <v>1748448157.56</v>
      </c>
      <c r="AB486" s="28" t="n">
        <f aca="false">IF(B486=0,0,L486/B486*10000)</f>
        <v>2.81474507623375</v>
      </c>
      <c r="AC486" s="28" t="n">
        <f aca="false">IF(D486=0,0,M486/D486*10000)</f>
        <v>4.43535758271103</v>
      </c>
      <c r="AD486" s="28" t="n">
        <f aca="false">IF(C486=0,0,N486/C486*10000)</f>
        <v>0.485098901985705</v>
      </c>
      <c r="AE486" s="28" t="n">
        <f aca="false">IF(E486=0,0,Q486/E486*10000)</f>
        <v>5.65310147532831</v>
      </c>
    </row>
    <row r="487" customFormat="false" ht="15" hidden="false" customHeight="true" outlineLevel="0" collapsed="false">
      <c r="A487" s="7" t="s">
        <v>620</v>
      </c>
      <c r="B487" s="26" t="n">
        <v>7672850639</v>
      </c>
      <c r="C487" s="26" t="n">
        <v>2935442747</v>
      </c>
      <c r="D487" s="26" t="n">
        <v>4737407892</v>
      </c>
      <c r="E487" s="26" t="n">
        <v>105796892</v>
      </c>
      <c r="F487" s="26" t="n">
        <v>2720197847</v>
      </c>
      <c r="G487" s="26" t="n">
        <v>3341775</v>
      </c>
      <c r="H487" s="26" t="n">
        <v>11026298</v>
      </c>
      <c r="I487" s="26" t="n">
        <v>8332818</v>
      </c>
      <c r="J487" s="26" t="n">
        <v>26670380</v>
      </c>
      <c r="K487" s="26" t="n">
        <v>165873627</v>
      </c>
      <c r="L487" s="26" t="n">
        <v>2243462</v>
      </c>
      <c r="M487" s="26" t="n">
        <v>2093872</v>
      </c>
      <c r="N487" s="26" t="n">
        <v>149590</v>
      </c>
      <c r="O487" s="26" t="n">
        <v>54832</v>
      </c>
      <c r="P487" s="26" t="n">
        <v>94758</v>
      </c>
      <c r="Q487" s="26" t="n">
        <v>54836</v>
      </c>
      <c r="R487" s="26" t="n">
        <v>20928</v>
      </c>
      <c r="S487" s="26" t="n">
        <v>2319226</v>
      </c>
      <c r="T487" s="26" t="n">
        <v>2033687</v>
      </c>
      <c r="U487" s="26" t="n">
        <v>38117</v>
      </c>
      <c r="V487" s="26" t="n">
        <v>2071804</v>
      </c>
      <c r="W487" s="26" t="n">
        <v>2243466</v>
      </c>
      <c r="X487" s="27" t="n">
        <f aca="false">IF(V487=0,0,(W487-V487)/V487)</f>
        <v>0.0828562933559352</v>
      </c>
      <c r="Y487" s="26" t="n">
        <v>2071804</v>
      </c>
      <c r="Z487" s="26" t="n">
        <v>1807244246.27</v>
      </c>
      <c r="AA487" s="26" t="n">
        <v>1748448157.56</v>
      </c>
      <c r="AB487" s="28" t="n">
        <f aca="false">IF(B487=0,0,L487/B487*10000)</f>
        <v>2.92389635293668</v>
      </c>
      <c r="AC487" s="28" t="n">
        <f aca="false">IF(D487=0,0,M487/D487*10000)</f>
        <v>4.41986851825847</v>
      </c>
      <c r="AD487" s="28" t="n">
        <f aca="false">IF(C487=0,0,N487/C487*10000)</f>
        <v>0.509599446805358</v>
      </c>
      <c r="AE487" s="28" t="n">
        <f aca="false">IF(E487=0,0,Q487/E487*10000)</f>
        <v>5.18313902831853</v>
      </c>
    </row>
    <row r="488" customFormat="false" ht="15" hidden="false" customHeight="true" outlineLevel="0" collapsed="false">
      <c r="A488" s="7" t="s">
        <v>621</v>
      </c>
      <c r="B488" s="26" t="n">
        <v>6302618156</v>
      </c>
      <c r="C488" s="26" t="n">
        <v>2846404489</v>
      </c>
      <c r="D488" s="26" t="n">
        <v>3456213667</v>
      </c>
      <c r="E488" s="26" t="n">
        <v>89686875</v>
      </c>
      <c r="F488" s="26" t="n">
        <v>2652448757</v>
      </c>
      <c r="G488" s="26" t="n">
        <v>3391786</v>
      </c>
      <c r="H488" s="26" t="n">
        <v>9373061</v>
      </c>
      <c r="I488" s="26" t="n">
        <v>4463805</v>
      </c>
      <c r="J488" s="26" t="n">
        <v>19451940</v>
      </c>
      <c r="K488" s="26" t="n">
        <v>157275139</v>
      </c>
      <c r="L488" s="26" t="n">
        <v>1825340</v>
      </c>
      <c r="M488" s="26" t="n">
        <v>1684899</v>
      </c>
      <c r="N488" s="26" t="n">
        <v>140441</v>
      </c>
      <c r="O488" s="26" t="n">
        <v>49834</v>
      </c>
      <c r="P488" s="26" t="n">
        <v>90607</v>
      </c>
      <c r="Q488" s="26" t="n">
        <v>44667</v>
      </c>
      <c r="R488" s="26" t="n">
        <v>16537</v>
      </c>
      <c r="S488" s="26" t="n">
        <v>1886544</v>
      </c>
      <c r="T488" s="26" t="n">
        <v>1603787</v>
      </c>
      <c r="U488" s="26" t="n">
        <v>33383</v>
      </c>
      <c r="V488" s="26" t="n">
        <v>1637170</v>
      </c>
      <c r="W488" s="26" t="n">
        <v>1820173</v>
      </c>
      <c r="X488" s="27" t="n">
        <f aca="false">IF(V488=0,0,(W488-V488)/V488)</f>
        <v>0.11178008392531</v>
      </c>
      <c r="Y488" s="26" t="n">
        <v>1637170</v>
      </c>
      <c r="Z488" s="26" t="n">
        <v>1732420279.11</v>
      </c>
      <c r="AA488" s="26" t="n">
        <v>1673603316.9</v>
      </c>
      <c r="AB488" s="28" t="n">
        <f aca="false">IF(B488=0,0,L488/B488*10000)</f>
        <v>2.89616149165296</v>
      </c>
      <c r="AC488" s="28" t="n">
        <f aca="false">IF(D488=0,0,M488/D488*10000)</f>
        <v>4.87498506266395</v>
      </c>
      <c r="AD488" s="28" t="n">
        <f aca="false">IF(C488=0,0,N488/C488*10000)</f>
        <v>0.493397900905292</v>
      </c>
      <c r="AE488" s="28" t="n">
        <f aca="false">IF(E488=0,0,Q488/E488*10000)</f>
        <v>4.98032738904104</v>
      </c>
    </row>
    <row r="489" customFormat="false" ht="15" hidden="false" customHeight="true" outlineLevel="0" collapsed="false">
      <c r="A489" s="7" t="s">
        <v>622</v>
      </c>
      <c r="B489" s="26" t="n">
        <v>5952085579</v>
      </c>
      <c r="C489" s="26" t="n">
        <v>2323703914</v>
      </c>
      <c r="D489" s="26" t="n">
        <v>3628381665</v>
      </c>
      <c r="E489" s="26" t="n">
        <v>108148310</v>
      </c>
      <c r="F489" s="26" t="n">
        <v>2177074289</v>
      </c>
      <c r="G489" s="26" t="n">
        <v>5987548</v>
      </c>
      <c r="H489" s="26" t="n">
        <v>8230259</v>
      </c>
      <c r="I489" s="26" t="n">
        <v>7291122</v>
      </c>
      <c r="J489" s="26" t="n">
        <v>20091503</v>
      </c>
      <c r="K489" s="26" t="n">
        <v>105029194</v>
      </c>
      <c r="L489" s="26" t="n">
        <v>1763950</v>
      </c>
      <c r="M489" s="26" t="n">
        <v>1648666</v>
      </c>
      <c r="N489" s="26" t="n">
        <v>115284</v>
      </c>
      <c r="O489" s="26" t="n">
        <v>41008</v>
      </c>
      <c r="P489" s="26" t="n">
        <v>74276</v>
      </c>
      <c r="Q489" s="26" t="n">
        <v>56089</v>
      </c>
      <c r="R489" s="26" t="n">
        <v>16544</v>
      </c>
      <c r="S489" s="26" t="n">
        <v>1836583</v>
      </c>
      <c r="T489" s="26" t="n">
        <v>1597170</v>
      </c>
      <c r="U489" s="26" t="n">
        <v>40707</v>
      </c>
      <c r="V489" s="26" t="n">
        <v>1637877</v>
      </c>
      <c r="W489" s="26" t="n">
        <v>1779031</v>
      </c>
      <c r="X489" s="27" t="n">
        <f aca="false">IF(V489=0,0,(W489-V489)/V489)</f>
        <v>0.0861810746472415</v>
      </c>
      <c r="Y489" s="26" t="n">
        <v>1637877</v>
      </c>
      <c r="Z489" s="26" t="n">
        <v>1732420279.11</v>
      </c>
      <c r="AA489" s="26" t="n">
        <v>1673603316.9</v>
      </c>
      <c r="AB489" s="28" t="n">
        <f aca="false">IF(B489=0,0,L489/B489*10000)</f>
        <v>2.96358306107615</v>
      </c>
      <c r="AC489" s="28" t="n">
        <f aca="false">IF(D489=0,0,M489/D489*10000)</f>
        <v>4.54380534413818</v>
      </c>
      <c r="AD489" s="28" t="n">
        <f aca="false">IF(C489=0,0,N489/C489*10000)</f>
        <v>0.496121727494754</v>
      </c>
      <c r="AE489" s="28" t="n">
        <f aca="false">IF(E489=0,0,Q489/E489*10000)</f>
        <v>5.18630388214111</v>
      </c>
    </row>
    <row r="490" customFormat="false" ht="15" hidden="false" customHeight="true" outlineLevel="0" collapsed="false">
      <c r="A490" s="7" t="s">
        <v>623</v>
      </c>
      <c r="B490" s="26" t="n">
        <v>1830109099</v>
      </c>
      <c r="C490" s="26" t="n">
        <v>230045975</v>
      </c>
      <c r="D490" s="26" t="n">
        <v>1600063124</v>
      </c>
      <c r="E490" s="26" t="n">
        <v>56423380</v>
      </c>
      <c r="F490" s="26" t="n">
        <v>195844298</v>
      </c>
      <c r="G490" s="26" t="n">
        <v>617920</v>
      </c>
      <c r="H490" s="26" t="n">
        <v>667741</v>
      </c>
      <c r="I490" s="26" t="n">
        <v>4611024</v>
      </c>
      <c r="J490" s="26" t="n">
        <v>8850580</v>
      </c>
      <c r="K490" s="26" t="n">
        <v>19454412</v>
      </c>
      <c r="L490" s="26" t="n">
        <v>709629</v>
      </c>
      <c r="M490" s="26" t="n">
        <v>683467</v>
      </c>
      <c r="N490" s="26" t="n">
        <v>26162</v>
      </c>
      <c r="O490" s="26" t="n">
        <v>5558</v>
      </c>
      <c r="P490" s="26" t="n">
        <v>20604</v>
      </c>
      <c r="Q490" s="26" t="n">
        <v>29270</v>
      </c>
      <c r="R490" s="26" t="n">
        <v>6665</v>
      </c>
      <c r="S490" s="26" t="n">
        <v>745564</v>
      </c>
      <c r="T490" s="26" t="n">
        <v>635509</v>
      </c>
      <c r="U490" s="26" t="n">
        <v>24289</v>
      </c>
      <c r="V490" s="26" t="n">
        <v>659798</v>
      </c>
      <c r="W490" s="26" t="n">
        <v>733341</v>
      </c>
      <c r="X490" s="27" t="n">
        <f aca="false">IF(V490=0,0,(W490-V490)/V490)</f>
        <v>0.111462902282214</v>
      </c>
      <c r="Y490" s="26" t="n">
        <v>659798</v>
      </c>
      <c r="Z490" s="26" t="n">
        <v>1732420279.11</v>
      </c>
      <c r="AA490" s="26" t="n">
        <v>1673603316.9</v>
      </c>
      <c r="AB490" s="28" t="n">
        <f aca="false">IF(B490=0,0,L490/B490*10000)</f>
        <v>3.87752293230908</v>
      </c>
      <c r="AC490" s="28" t="n">
        <f aca="false">IF(D490=0,0,M490/D490*10000)</f>
        <v>4.27150022863723</v>
      </c>
      <c r="AD490" s="28" t="n">
        <f aca="false">IF(C490=0,0,N490/C490*10000)</f>
        <v>1.13725093429694</v>
      </c>
      <c r="AE490" s="28" t="n">
        <f aca="false">IF(E490=0,0,Q490/E490*10000)</f>
        <v>5.18756586365439</v>
      </c>
    </row>
    <row r="491" customFormat="false" ht="15" hidden="false" customHeight="true" outlineLevel="0" collapsed="false">
      <c r="A491" s="7" t="s">
        <v>624</v>
      </c>
      <c r="B491" s="26" t="n">
        <v>2769233531</v>
      </c>
      <c r="C491" s="26" t="n">
        <v>689094133</v>
      </c>
      <c r="D491" s="26" t="n">
        <v>2080139398</v>
      </c>
      <c r="E491" s="26" t="n">
        <v>67677761</v>
      </c>
      <c r="F491" s="26" t="n">
        <v>639488459</v>
      </c>
      <c r="G491" s="26" t="n">
        <v>236016</v>
      </c>
      <c r="H491" s="26" t="n">
        <v>4207578</v>
      </c>
      <c r="I491" s="26" t="n">
        <v>5267008</v>
      </c>
      <c r="J491" s="26" t="n">
        <v>14651933</v>
      </c>
      <c r="K491" s="26" t="n">
        <v>25243139</v>
      </c>
      <c r="L491" s="26" t="n">
        <v>1041156</v>
      </c>
      <c r="M491" s="26" t="n">
        <v>982871</v>
      </c>
      <c r="N491" s="26" t="n">
        <v>58285</v>
      </c>
      <c r="O491" s="26" t="n">
        <v>14368</v>
      </c>
      <c r="P491" s="26" t="n">
        <v>43917</v>
      </c>
      <c r="Q491" s="26" t="n">
        <v>32707</v>
      </c>
      <c r="R491" s="26" t="n">
        <v>9493</v>
      </c>
      <c r="S491" s="26" t="n">
        <v>1083356</v>
      </c>
      <c r="T491" s="26" t="n">
        <v>915087</v>
      </c>
      <c r="U491" s="26" t="n">
        <v>24716</v>
      </c>
      <c r="V491" s="26" t="n">
        <v>939803</v>
      </c>
      <c r="W491" s="26" t="n">
        <v>1059495</v>
      </c>
      <c r="X491" s="27" t="n">
        <f aca="false">IF(V491=0,0,(W491-V491)/V491)</f>
        <v>0.127358606005727</v>
      </c>
      <c r="Y491" s="26" t="n">
        <v>939803</v>
      </c>
      <c r="Z491" s="26" t="n">
        <v>1732420279.11</v>
      </c>
      <c r="AA491" s="26" t="n">
        <v>1673603316.9</v>
      </c>
      <c r="AB491" s="28" t="n">
        <f aca="false">IF(B491=0,0,L491/B491*10000)</f>
        <v>3.75972625040412</v>
      </c>
      <c r="AC491" s="28" t="n">
        <f aca="false">IF(D491=0,0,M491/D491*10000)</f>
        <v>4.72502468317751</v>
      </c>
      <c r="AD491" s="28" t="n">
        <f aca="false">IF(C491=0,0,N491/C491*10000)</f>
        <v>0.845820581090334</v>
      </c>
      <c r="AE491" s="28" t="n">
        <f aca="false">IF(E491=0,0,Q491/E491*10000)</f>
        <v>4.83275444056135</v>
      </c>
    </row>
    <row r="492" customFormat="false" ht="15" hidden="false" customHeight="true" outlineLevel="0" collapsed="false">
      <c r="A492" s="7" t="s">
        <v>625</v>
      </c>
      <c r="B492" s="26" t="n">
        <v>9070525211</v>
      </c>
      <c r="C492" s="26" t="n">
        <v>3319107020</v>
      </c>
      <c r="D492" s="26" t="n">
        <v>5751418191</v>
      </c>
      <c r="E492" s="26" t="n">
        <v>138183840</v>
      </c>
      <c r="F492" s="26" t="n">
        <v>3098781606</v>
      </c>
      <c r="G492" s="26" t="n">
        <v>5753810</v>
      </c>
      <c r="H492" s="26" t="n">
        <v>18314974</v>
      </c>
      <c r="I492" s="26" t="n">
        <v>21865513</v>
      </c>
      <c r="J492" s="26" t="n">
        <v>49662592</v>
      </c>
      <c r="K492" s="26" t="n">
        <v>124728526</v>
      </c>
      <c r="L492" s="26" t="n">
        <v>2737965</v>
      </c>
      <c r="M492" s="26" t="n">
        <v>2577080</v>
      </c>
      <c r="N492" s="26" t="n">
        <v>160885</v>
      </c>
      <c r="O492" s="26" t="n">
        <v>57608</v>
      </c>
      <c r="P492" s="26" t="n">
        <v>103277</v>
      </c>
      <c r="Q492" s="26" t="n">
        <v>68796</v>
      </c>
      <c r="R492" s="26" t="n">
        <v>25524</v>
      </c>
      <c r="S492" s="26" t="n">
        <v>2832285</v>
      </c>
      <c r="T492" s="26" t="n">
        <v>2477035</v>
      </c>
      <c r="U492" s="26" t="n">
        <v>49812</v>
      </c>
      <c r="V492" s="26" t="n">
        <v>2526847</v>
      </c>
      <c r="W492" s="26" t="n">
        <v>2749153</v>
      </c>
      <c r="X492" s="27" t="n">
        <f aca="false">IF(V492=0,0,(W492-V492)/V492)</f>
        <v>0.0879776258712934</v>
      </c>
      <c r="Y492" s="26" t="n">
        <v>2526847</v>
      </c>
      <c r="Z492" s="26" t="n">
        <v>1732420279.11</v>
      </c>
      <c r="AA492" s="26" t="n">
        <v>1673603316.9</v>
      </c>
      <c r="AB492" s="28" t="n">
        <f aca="false">IF(B492=0,0,L492/B492*10000)</f>
        <v>3.01852972822303</v>
      </c>
      <c r="AC492" s="28" t="n">
        <f aca="false">IF(D492=0,0,M492/D492*10000)</f>
        <v>4.48077311441671</v>
      </c>
      <c r="AD492" s="28" t="n">
        <f aca="false">IF(C492=0,0,N492/C492*10000)</f>
        <v>0.484723749582501</v>
      </c>
      <c r="AE492" s="28" t="n">
        <f aca="false">IF(E492=0,0,Q492/E492*10000)</f>
        <v>4.97858505017663</v>
      </c>
    </row>
    <row r="493" customFormat="false" ht="15" hidden="false" customHeight="true" outlineLevel="0" collapsed="false">
      <c r="A493" s="7" t="s">
        <v>626</v>
      </c>
      <c r="B493" s="26" t="n">
        <v>7112290359</v>
      </c>
      <c r="C493" s="26" t="n">
        <v>2364574289</v>
      </c>
      <c r="D493" s="26" t="n">
        <v>4747716070</v>
      </c>
      <c r="E493" s="26" t="n">
        <v>138979501</v>
      </c>
      <c r="F493" s="26" t="n">
        <v>2222266023</v>
      </c>
      <c r="G493" s="26" t="n">
        <v>2515226</v>
      </c>
      <c r="H493" s="26" t="n">
        <v>8990168</v>
      </c>
      <c r="I493" s="26" t="n">
        <v>12836424</v>
      </c>
      <c r="J493" s="26" t="n">
        <v>19015260</v>
      </c>
      <c r="K493" s="26" t="n">
        <v>98951188</v>
      </c>
      <c r="L493" s="26" t="n">
        <v>2255905</v>
      </c>
      <c r="M493" s="26" t="n">
        <v>2137291</v>
      </c>
      <c r="N493" s="26" t="n">
        <v>118614</v>
      </c>
      <c r="O493" s="26" t="n">
        <v>41776</v>
      </c>
      <c r="P493" s="26" t="n">
        <v>76838</v>
      </c>
      <c r="Q493" s="26" t="n">
        <v>70963</v>
      </c>
      <c r="R493" s="26" t="n">
        <v>21276</v>
      </c>
      <c r="S493" s="26" t="n">
        <v>2348144</v>
      </c>
      <c r="T493" s="26" t="n">
        <v>2050742</v>
      </c>
      <c r="U493" s="26" t="n">
        <v>55602</v>
      </c>
      <c r="V493" s="26" t="n">
        <v>2106344</v>
      </c>
      <c r="W493" s="26" t="n">
        <v>2285092</v>
      </c>
      <c r="X493" s="27" t="n">
        <f aca="false">IF(V493=0,0,(W493-V493)/V493)</f>
        <v>0.084861731986798</v>
      </c>
      <c r="Y493" s="26" t="n">
        <v>2106344</v>
      </c>
      <c r="Z493" s="26" t="n">
        <v>1948580766.12</v>
      </c>
      <c r="AA493" s="26" t="n">
        <v>1889743121.21</v>
      </c>
      <c r="AB493" s="28" t="n">
        <f aca="false">IF(B493=0,0,L493/B493*10000)</f>
        <v>3.17184041445291</v>
      </c>
      <c r="AC493" s="28" t="n">
        <f aca="false">IF(D493=0,0,M493/D493*10000)</f>
        <v>4.50172455236987</v>
      </c>
      <c r="AD493" s="28" t="n">
        <f aca="false">IF(C493=0,0,N493/C493*10000)</f>
        <v>0.501629407677282</v>
      </c>
      <c r="AE493" s="28" t="n">
        <f aca="false">IF(E493=0,0,Q493/E493*10000)</f>
        <v>5.10600480570153</v>
      </c>
    </row>
    <row r="494" customFormat="false" ht="15" hidden="false" customHeight="true" outlineLevel="0" collapsed="false">
      <c r="A494" s="7" t="s">
        <v>627</v>
      </c>
      <c r="B494" s="26" t="n">
        <v>9371462670</v>
      </c>
      <c r="C494" s="26" t="n">
        <v>3561033304</v>
      </c>
      <c r="D494" s="26" t="n">
        <v>5810429366</v>
      </c>
      <c r="E494" s="26" t="n">
        <v>131146721</v>
      </c>
      <c r="F494" s="26" t="n">
        <v>3383850154</v>
      </c>
      <c r="G494" s="26" t="n">
        <v>3988226</v>
      </c>
      <c r="H494" s="26" t="n">
        <v>19255720</v>
      </c>
      <c r="I494" s="26" t="n">
        <v>12544814</v>
      </c>
      <c r="J494" s="26" t="n">
        <v>24543784</v>
      </c>
      <c r="K494" s="26" t="n">
        <v>116850607</v>
      </c>
      <c r="L494" s="26" t="n">
        <v>2730632</v>
      </c>
      <c r="M494" s="26" t="n">
        <v>2558316</v>
      </c>
      <c r="N494" s="26" t="n">
        <v>172316</v>
      </c>
      <c r="O494" s="26" t="n">
        <v>63142</v>
      </c>
      <c r="P494" s="26" t="n">
        <v>109174</v>
      </c>
      <c r="Q494" s="26" t="n">
        <v>62363</v>
      </c>
      <c r="R494" s="26" t="n">
        <v>25780</v>
      </c>
      <c r="S494" s="26" t="n">
        <v>2818775</v>
      </c>
      <c r="T494" s="26" t="n">
        <v>2503867</v>
      </c>
      <c r="U494" s="26" t="n">
        <v>48312</v>
      </c>
      <c r="V494" s="26" t="n">
        <v>2552179</v>
      </c>
      <c r="W494" s="26" t="n">
        <v>2729853</v>
      </c>
      <c r="X494" s="27" t="n">
        <f aca="false">IF(V494=0,0,(W494-V494)/V494)</f>
        <v>0.0696165903723838</v>
      </c>
      <c r="Y494" s="26" t="n">
        <v>2552179</v>
      </c>
      <c r="Z494" s="26" t="n">
        <v>1948580766.12</v>
      </c>
      <c r="AA494" s="26" t="n">
        <v>1889743121.21</v>
      </c>
      <c r="AB494" s="28" t="n">
        <f aca="false">IF(B494=0,0,L494/B494*10000)</f>
        <v>2.91377354438099</v>
      </c>
      <c r="AC494" s="28" t="n">
        <f aca="false">IF(D494=0,0,M494/D494*10000)</f>
        <v>4.402972377515</v>
      </c>
      <c r="AD494" s="28" t="n">
        <f aca="false">IF(C494=0,0,N494/C494*10000)</f>
        <v>0.48389325594468</v>
      </c>
      <c r="AE494" s="28" t="n">
        <f aca="false">IF(E494=0,0,Q494/E494*10000)</f>
        <v>4.75520848134663</v>
      </c>
    </row>
    <row r="495" customFormat="false" ht="15" hidden="false" customHeight="true" outlineLevel="0" collapsed="false">
      <c r="A495" s="7" t="s">
        <v>628</v>
      </c>
      <c r="B495" s="26" t="n">
        <v>8271060321</v>
      </c>
      <c r="C495" s="26" t="n">
        <v>3650186230</v>
      </c>
      <c r="D495" s="26" t="n">
        <v>4620874091</v>
      </c>
      <c r="E495" s="26" t="n">
        <v>110893957</v>
      </c>
      <c r="F495" s="26" t="n">
        <v>3426525410</v>
      </c>
      <c r="G495" s="26" t="n">
        <v>9406420</v>
      </c>
      <c r="H495" s="26" t="n">
        <v>12421387</v>
      </c>
      <c r="I495" s="26" t="n">
        <v>9285348</v>
      </c>
      <c r="J495" s="26" t="n">
        <v>23087673</v>
      </c>
      <c r="K495" s="26" t="n">
        <v>169459991</v>
      </c>
      <c r="L495" s="26" t="n">
        <v>2236068</v>
      </c>
      <c r="M495" s="26" t="n">
        <v>2072840</v>
      </c>
      <c r="N495" s="26" t="n">
        <v>163228</v>
      </c>
      <c r="O495" s="26" t="n">
        <v>61884</v>
      </c>
      <c r="P495" s="26" t="n">
        <v>101344</v>
      </c>
      <c r="Q495" s="26" t="n">
        <v>51769</v>
      </c>
      <c r="R495" s="26" t="n">
        <v>20969</v>
      </c>
      <c r="S495" s="26" t="n">
        <v>2308806</v>
      </c>
      <c r="T495" s="26" t="n">
        <v>2037475</v>
      </c>
      <c r="U495" s="26" t="n">
        <v>38455</v>
      </c>
      <c r="V495" s="26" t="n">
        <v>2075930</v>
      </c>
      <c r="W495" s="26" t="n">
        <v>2225953</v>
      </c>
      <c r="X495" s="27" t="n">
        <f aca="false">IF(V495=0,0,(W495-V495)/V495)</f>
        <v>0.0722678510354395</v>
      </c>
      <c r="Y495" s="26" t="n">
        <v>2075930</v>
      </c>
      <c r="Z495" s="26" t="n">
        <v>1948580766.12</v>
      </c>
      <c r="AA495" s="26" t="n">
        <v>1889743121.21</v>
      </c>
      <c r="AB495" s="28" t="n">
        <f aca="false">IF(B495=0,0,L495/B495*10000)</f>
        <v>2.70348409178287</v>
      </c>
      <c r="AC495" s="28" t="n">
        <f aca="false">IF(D495=0,0,M495/D495*10000)</f>
        <v>4.48581796253059</v>
      </c>
      <c r="AD495" s="28" t="n">
        <f aca="false">IF(C495=0,0,N495/C495*10000)</f>
        <v>0.447177184162464</v>
      </c>
      <c r="AE495" s="28" t="n">
        <f aca="false">IF(E495=0,0,Q495/E495*10000)</f>
        <v>4.66833373075505</v>
      </c>
    </row>
    <row r="496" customFormat="false" ht="15" hidden="false" customHeight="true" outlineLevel="0" collapsed="false">
      <c r="A496" s="7" t="s">
        <v>629</v>
      </c>
      <c r="B496" s="26" t="n">
        <v>6544879012</v>
      </c>
      <c r="C496" s="26" t="n">
        <v>2412480014</v>
      </c>
      <c r="D496" s="26" t="n">
        <v>4132398998</v>
      </c>
      <c r="E496" s="26" t="n">
        <v>84826141</v>
      </c>
      <c r="F496" s="26" t="n">
        <v>2258913418</v>
      </c>
      <c r="G496" s="26" t="n">
        <v>3909361</v>
      </c>
      <c r="H496" s="26" t="n">
        <v>6816187</v>
      </c>
      <c r="I496" s="26" t="n">
        <v>7680588</v>
      </c>
      <c r="J496" s="26" t="n">
        <v>22430003</v>
      </c>
      <c r="K496" s="26" t="n">
        <v>112730456</v>
      </c>
      <c r="L496" s="26" t="n">
        <v>1889593</v>
      </c>
      <c r="M496" s="26" t="n">
        <v>1768502</v>
      </c>
      <c r="N496" s="26" t="n">
        <v>121091</v>
      </c>
      <c r="O496" s="26" t="n">
        <v>42084</v>
      </c>
      <c r="P496" s="26" t="n">
        <v>79007</v>
      </c>
      <c r="Q496" s="26" t="n">
        <v>41401</v>
      </c>
      <c r="R496" s="26" t="n">
        <v>17633</v>
      </c>
      <c r="S496" s="26" t="n">
        <v>1948627</v>
      </c>
      <c r="T496" s="26" t="n">
        <v>1716503</v>
      </c>
      <c r="U496" s="26" t="n">
        <v>29153</v>
      </c>
      <c r="V496" s="26" t="n">
        <v>1745656</v>
      </c>
      <c r="W496" s="26" t="n">
        <v>1888910</v>
      </c>
      <c r="X496" s="27" t="n">
        <f aca="false">IF(V496=0,0,(W496-V496)/V496)</f>
        <v>0.0820631327134327</v>
      </c>
      <c r="Y496" s="26" t="n">
        <v>1745656</v>
      </c>
      <c r="Z496" s="26" t="n">
        <v>1948580766.12</v>
      </c>
      <c r="AA496" s="26" t="n">
        <v>1889743121.21</v>
      </c>
      <c r="AB496" s="28" t="n">
        <f aca="false">IF(B496=0,0,L496/B496*10000)</f>
        <v>2.88713205627704</v>
      </c>
      <c r="AC496" s="28" t="n">
        <f aca="false">IF(D496=0,0,M496/D496*10000)</f>
        <v>4.27960127000302</v>
      </c>
      <c r="AD496" s="28" t="n">
        <f aca="false">IF(C496=0,0,N496/C496*10000)</f>
        <v>0.501935764430337</v>
      </c>
      <c r="AE496" s="28" t="n">
        <f aca="false">IF(E496=0,0,Q496/E496*10000)</f>
        <v>4.88068884331305</v>
      </c>
    </row>
    <row r="497" customFormat="false" ht="15" hidden="false" customHeight="true" outlineLevel="0" collapsed="false">
      <c r="A497" s="7" t="s">
        <v>630</v>
      </c>
      <c r="B497" s="26" t="n">
        <v>2698812754</v>
      </c>
      <c r="C497" s="26" t="n">
        <v>311628203</v>
      </c>
      <c r="D497" s="26" t="n">
        <v>2387184551</v>
      </c>
      <c r="E497" s="26" t="n">
        <v>71886076</v>
      </c>
      <c r="F497" s="26" t="n">
        <v>280644803</v>
      </c>
      <c r="G497" s="26" t="n">
        <v>7508057</v>
      </c>
      <c r="H497" s="26" t="n">
        <v>231676</v>
      </c>
      <c r="I497" s="26" t="n">
        <v>3467473</v>
      </c>
      <c r="J497" s="26" t="n">
        <v>9588822</v>
      </c>
      <c r="K497" s="26" t="n">
        <v>10187371</v>
      </c>
      <c r="L497" s="26" t="n">
        <v>1118269</v>
      </c>
      <c r="M497" s="26" t="n">
        <v>1086530</v>
      </c>
      <c r="N497" s="26" t="n">
        <v>31739</v>
      </c>
      <c r="O497" s="26" t="n">
        <v>8834</v>
      </c>
      <c r="P497" s="26" t="n">
        <v>22905</v>
      </c>
      <c r="Q497" s="26" t="n">
        <v>36744</v>
      </c>
      <c r="R497" s="26" t="n">
        <v>10440</v>
      </c>
      <c r="S497" s="26" t="n">
        <v>1165453</v>
      </c>
      <c r="T497" s="26" t="n">
        <v>1004023</v>
      </c>
      <c r="U497" s="26" t="n">
        <v>29565</v>
      </c>
      <c r="V497" s="26" t="n">
        <v>1033588</v>
      </c>
      <c r="W497" s="26" t="n">
        <v>1146179</v>
      </c>
      <c r="X497" s="27" t="n">
        <f aca="false">IF(V497=0,0,(W497-V497)/V497)</f>
        <v>0.108932185745191</v>
      </c>
      <c r="Y497" s="26" t="n">
        <v>1033588</v>
      </c>
      <c r="Z497" s="26" t="n">
        <v>1948580766.12</v>
      </c>
      <c r="AA497" s="26" t="n">
        <v>1889743121.21</v>
      </c>
      <c r="AB497" s="28" t="n">
        <f aca="false">IF(B497=0,0,L497/B497*10000)</f>
        <v>4.14355904589</v>
      </c>
      <c r="AC497" s="28" t="n">
        <f aca="false">IF(D497=0,0,M497/D497*10000)</f>
        <v>4.55151236440789</v>
      </c>
      <c r="AD497" s="28" t="n">
        <f aca="false">IF(C497=0,0,N497/C497*10000)</f>
        <v>1.01848933101861</v>
      </c>
      <c r="AE497" s="28" t="n">
        <f aca="false">IF(E497=0,0,Q497/E497*10000)</f>
        <v>5.11142102122809</v>
      </c>
    </row>
    <row r="498" customFormat="false" ht="15" hidden="false" customHeight="true" outlineLevel="0" collapsed="false">
      <c r="A498" s="7" t="s">
        <v>631</v>
      </c>
      <c r="B498" s="26" t="n">
        <v>4470503126</v>
      </c>
      <c r="C498" s="26" t="n">
        <v>835126724</v>
      </c>
      <c r="D498" s="26" t="n">
        <v>3635376402</v>
      </c>
      <c r="E498" s="26" t="n">
        <v>76297993</v>
      </c>
      <c r="F498" s="26" t="n">
        <v>778005500</v>
      </c>
      <c r="G498" s="26" t="n">
        <v>3911564</v>
      </c>
      <c r="H498" s="26" t="n">
        <v>3028619</v>
      </c>
      <c r="I498" s="26" t="n">
        <v>9164716</v>
      </c>
      <c r="J498" s="26" t="n">
        <v>13951137</v>
      </c>
      <c r="K498" s="26" t="n">
        <v>27065189</v>
      </c>
      <c r="L498" s="26" t="n">
        <v>1623984</v>
      </c>
      <c r="M498" s="26" t="n">
        <v>1566028</v>
      </c>
      <c r="N498" s="26" t="n">
        <v>57956</v>
      </c>
      <c r="O498" s="26" t="n">
        <v>19544</v>
      </c>
      <c r="P498" s="26" t="n">
        <v>38412</v>
      </c>
      <c r="Q498" s="26" t="n">
        <v>37280</v>
      </c>
      <c r="R498" s="26" t="n">
        <v>15228</v>
      </c>
      <c r="S498" s="26" t="n">
        <v>1676492</v>
      </c>
      <c r="T498" s="26" t="n">
        <v>1477862</v>
      </c>
      <c r="U498" s="26" t="n">
        <v>29726</v>
      </c>
      <c r="V498" s="26" t="n">
        <v>1507588</v>
      </c>
      <c r="W498" s="26" t="n">
        <v>1641720</v>
      </c>
      <c r="X498" s="27" t="n">
        <f aca="false">IF(V498=0,0,(W498-V498)/V498)</f>
        <v>0.0889712573992364</v>
      </c>
      <c r="Y498" s="26" t="n">
        <v>1507588</v>
      </c>
      <c r="Z498" s="26" t="n">
        <v>1895933128.53</v>
      </c>
      <c r="AA498" s="26" t="n">
        <v>1837075036.59</v>
      </c>
      <c r="AB498" s="28" t="n">
        <f aca="false">IF(B498=0,0,L498/B498*10000)</f>
        <v>3.63266494671499</v>
      </c>
      <c r="AC498" s="28" t="n">
        <f aca="false">IF(D498=0,0,M498/D498*10000)</f>
        <v>4.30774650773012</v>
      </c>
      <c r="AD498" s="28" t="n">
        <f aca="false">IF(C498=0,0,N498/C498*10000)</f>
        <v>0.693978510499683</v>
      </c>
      <c r="AE498" s="28" t="n">
        <f aca="false">IF(E498=0,0,Q498/E498*10000)</f>
        <v>4.88610493332374</v>
      </c>
    </row>
    <row r="499" customFormat="false" ht="15" hidden="false" customHeight="true" outlineLevel="0" collapsed="false">
      <c r="A499" s="7" t="s">
        <v>632</v>
      </c>
      <c r="B499" s="26" t="n">
        <v>6706217177</v>
      </c>
      <c r="C499" s="26" t="n">
        <v>2545256246</v>
      </c>
      <c r="D499" s="26" t="n">
        <v>4160960931</v>
      </c>
      <c r="E499" s="26" t="n">
        <v>94198406</v>
      </c>
      <c r="F499" s="26" t="n">
        <v>2374604777</v>
      </c>
      <c r="G499" s="26" t="n">
        <v>3301707</v>
      </c>
      <c r="H499" s="26" t="n">
        <v>10193962</v>
      </c>
      <c r="I499" s="26" t="n">
        <v>8363639</v>
      </c>
      <c r="J499" s="26" t="n">
        <v>21062925</v>
      </c>
      <c r="K499" s="26" t="n">
        <v>127729236</v>
      </c>
      <c r="L499" s="26" t="n">
        <v>1955647</v>
      </c>
      <c r="M499" s="26" t="n">
        <v>1823286</v>
      </c>
      <c r="N499" s="26" t="n">
        <v>132361</v>
      </c>
      <c r="O499" s="26" t="n">
        <v>48153</v>
      </c>
      <c r="P499" s="26" t="n">
        <v>84208</v>
      </c>
      <c r="Q499" s="26" t="n">
        <v>44212</v>
      </c>
      <c r="R499" s="26" t="n">
        <v>18271</v>
      </c>
      <c r="S499" s="26" t="n">
        <v>2018130</v>
      </c>
      <c r="T499" s="26" t="n">
        <v>1775834</v>
      </c>
      <c r="U499" s="26" t="n">
        <v>32988</v>
      </c>
      <c r="V499" s="26" t="n">
        <v>1808822</v>
      </c>
      <c r="W499" s="26" t="n">
        <v>1951706</v>
      </c>
      <c r="X499" s="27" t="n">
        <f aca="false">IF(V499=0,0,(W499-V499)/V499)</f>
        <v>0.078992847278505</v>
      </c>
      <c r="Y499" s="26" t="n">
        <v>1808822</v>
      </c>
      <c r="Z499" s="26" t="n">
        <v>1895933128.53</v>
      </c>
      <c r="AA499" s="26" t="n">
        <v>1837075036.59</v>
      </c>
      <c r="AB499" s="28" t="n">
        <f aca="false">IF(B499=0,0,L499/B499*10000)</f>
        <v>2.91617009766279</v>
      </c>
      <c r="AC499" s="28" t="n">
        <f aca="false">IF(D499=0,0,M499/D499*10000)</f>
        <v>4.38188685314527</v>
      </c>
      <c r="AD499" s="28" t="n">
        <f aca="false">IF(C499=0,0,N499/C499*10000)</f>
        <v>0.520030154952029</v>
      </c>
      <c r="AE499" s="28" t="n">
        <f aca="false">IF(E499=0,0,Q499/E499*10000)</f>
        <v>4.69349767978027</v>
      </c>
    </row>
    <row r="500" customFormat="false" ht="15" hidden="false" customHeight="true" outlineLevel="0" collapsed="false">
      <c r="A500" s="7" t="s">
        <v>633</v>
      </c>
      <c r="B500" s="26" t="n">
        <v>6201808997</v>
      </c>
      <c r="C500" s="26" t="n">
        <v>2473916223</v>
      </c>
      <c r="D500" s="26" t="n">
        <v>3727892774</v>
      </c>
      <c r="E500" s="26" t="n">
        <v>98551144</v>
      </c>
      <c r="F500" s="26" t="n">
        <v>2276851781</v>
      </c>
      <c r="G500" s="26" t="n">
        <v>5739609</v>
      </c>
      <c r="H500" s="26" t="n">
        <v>6144111</v>
      </c>
      <c r="I500" s="26" t="n">
        <v>5694698</v>
      </c>
      <c r="J500" s="26" t="n">
        <v>22192149</v>
      </c>
      <c r="K500" s="26" t="n">
        <v>157293874</v>
      </c>
      <c r="L500" s="26" t="n">
        <v>1858866</v>
      </c>
      <c r="M500" s="26" t="n">
        <v>1738009</v>
      </c>
      <c r="N500" s="26" t="n">
        <v>120857</v>
      </c>
      <c r="O500" s="26" t="n">
        <v>43025</v>
      </c>
      <c r="P500" s="26" t="n">
        <v>77832</v>
      </c>
      <c r="Q500" s="26" t="n">
        <v>47865</v>
      </c>
      <c r="R500" s="26" t="n">
        <v>17341</v>
      </c>
      <c r="S500" s="26" t="n">
        <v>1924072</v>
      </c>
      <c r="T500" s="26" t="n">
        <v>1679189</v>
      </c>
      <c r="U500" s="26" t="n">
        <v>37575</v>
      </c>
      <c r="V500" s="26" t="n">
        <v>1716764</v>
      </c>
      <c r="W500" s="26" t="n">
        <v>1863706</v>
      </c>
      <c r="X500" s="27" t="n">
        <f aca="false">IF(V500=0,0,(W500-V500)/V500)</f>
        <v>0.085592428545799</v>
      </c>
      <c r="Y500" s="26" t="n">
        <v>1716764</v>
      </c>
      <c r="Z500" s="26" t="n">
        <v>1895933128.53</v>
      </c>
      <c r="AA500" s="26" t="n">
        <v>1837075036.59</v>
      </c>
      <c r="AB500" s="28" t="n">
        <f aca="false">IF(B500=0,0,L500/B500*10000)</f>
        <v>2.99729643544196</v>
      </c>
      <c r="AC500" s="28" t="n">
        <f aca="false">IF(D500=0,0,M500/D500*10000)</f>
        <v>4.66217540408259</v>
      </c>
      <c r="AD500" s="28" t="n">
        <f aca="false">IF(C500=0,0,N500/C500*10000)</f>
        <v>0.488525031188981</v>
      </c>
      <c r="AE500" s="28" t="n">
        <f aca="false">IF(E500=0,0,Q500/E500*10000)</f>
        <v>4.8568690384761</v>
      </c>
    </row>
    <row r="501" customFormat="false" ht="15" hidden="false" customHeight="true" outlineLevel="0" collapsed="false">
      <c r="A501" s="7" t="s">
        <v>634</v>
      </c>
      <c r="B501" s="26" t="n">
        <v>6160055719</v>
      </c>
      <c r="C501" s="26" t="n">
        <v>2379224166</v>
      </c>
      <c r="D501" s="26" t="n">
        <v>3780831553</v>
      </c>
      <c r="E501" s="26" t="n">
        <v>111453205</v>
      </c>
      <c r="F501" s="26" t="n">
        <v>2193817693</v>
      </c>
      <c r="G501" s="26" t="n">
        <v>3413738</v>
      </c>
      <c r="H501" s="26" t="n">
        <v>8609987</v>
      </c>
      <c r="I501" s="26" t="n">
        <v>7579561</v>
      </c>
      <c r="J501" s="26" t="n">
        <v>23870166</v>
      </c>
      <c r="K501" s="26" t="n">
        <v>141933021</v>
      </c>
      <c r="L501" s="26" t="n">
        <v>1905818</v>
      </c>
      <c r="M501" s="26" t="n">
        <v>1781307</v>
      </c>
      <c r="N501" s="26" t="n">
        <v>124511</v>
      </c>
      <c r="O501" s="26" t="n">
        <v>43920</v>
      </c>
      <c r="P501" s="26" t="n">
        <v>80591</v>
      </c>
      <c r="Q501" s="26" t="n">
        <v>52693</v>
      </c>
      <c r="R501" s="26" t="n">
        <v>17797</v>
      </c>
      <c r="S501" s="26" t="n">
        <v>1976308</v>
      </c>
      <c r="T501" s="26" t="n">
        <v>1719687</v>
      </c>
      <c r="U501" s="26" t="n">
        <v>41602</v>
      </c>
      <c r="V501" s="26" t="n">
        <v>1761289</v>
      </c>
      <c r="W501" s="26" t="n">
        <v>1914591</v>
      </c>
      <c r="X501" s="27" t="n">
        <f aca="false">IF(V501=0,0,(W501-V501)/V501)</f>
        <v>0.0870396624290506</v>
      </c>
      <c r="Y501" s="26" t="n">
        <v>1761289</v>
      </c>
      <c r="Z501" s="26" t="n">
        <v>1895933128.53</v>
      </c>
      <c r="AA501" s="26" t="n">
        <v>1837075036.59</v>
      </c>
      <c r="AB501" s="28" t="n">
        <f aca="false">IF(B501=0,0,L501/B501*10000)</f>
        <v>3.09383240499224</v>
      </c>
      <c r="AC501" s="28" t="n">
        <f aca="false">IF(D501=0,0,M501/D501*10000)</f>
        <v>4.71141592802931</v>
      </c>
      <c r="AD501" s="28" t="n">
        <f aca="false">IF(C501=0,0,N501/C501*10000)</f>
        <v>0.523326056364544</v>
      </c>
      <c r="AE501" s="28" t="n">
        <f aca="false">IF(E501=0,0,Q501/E501*10000)</f>
        <v>4.72781379413898</v>
      </c>
    </row>
    <row r="502" customFormat="false" ht="15" hidden="false" customHeight="true" outlineLevel="0" collapsed="false">
      <c r="A502" s="7" t="s">
        <v>635</v>
      </c>
      <c r="B502" s="26" t="n">
        <v>7888398807</v>
      </c>
      <c r="C502" s="26" t="n">
        <v>2779947750</v>
      </c>
      <c r="D502" s="26" t="n">
        <v>5108451057</v>
      </c>
      <c r="E502" s="26" t="n">
        <v>208016733</v>
      </c>
      <c r="F502" s="26" t="n">
        <v>2597838305</v>
      </c>
      <c r="G502" s="26" t="n">
        <v>2490898</v>
      </c>
      <c r="H502" s="26" t="n">
        <v>6949563</v>
      </c>
      <c r="I502" s="26" t="n">
        <v>8088285</v>
      </c>
      <c r="J502" s="26" t="n">
        <v>29199135</v>
      </c>
      <c r="K502" s="26" t="n">
        <v>135381565</v>
      </c>
      <c r="L502" s="26" t="n">
        <v>2438921</v>
      </c>
      <c r="M502" s="26" t="n">
        <v>2300842</v>
      </c>
      <c r="N502" s="26" t="n">
        <v>138079</v>
      </c>
      <c r="O502" s="26" t="n">
        <v>47947</v>
      </c>
      <c r="P502" s="26" t="n">
        <v>90132</v>
      </c>
      <c r="Q502" s="26" t="n">
        <v>103348</v>
      </c>
      <c r="R502" s="26" t="n">
        <v>23169</v>
      </c>
      <c r="S502" s="26" t="n">
        <v>2565438</v>
      </c>
      <c r="T502" s="26" t="n">
        <v>2203452</v>
      </c>
      <c r="U502" s="26" t="n">
        <v>90313</v>
      </c>
      <c r="V502" s="26" t="n">
        <v>2293765</v>
      </c>
      <c r="W502" s="26" t="n">
        <v>2494322</v>
      </c>
      <c r="X502" s="27" t="n">
        <f aca="false">IF(V502=0,0,(W502-V502)/V502)</f>
        <v>0.0874357224911881</v>
      </c>
      <c r="Y502" s="26" t="n">
        <v>2293765</v>
      </c>
      <c r="Z502" s="26" t="n">
        <v>1895933128.53</v>
      </c>
      <c r="AA502" s="26" t="n">
        <v>1837075036.59</v>
      </c>
      <c r="AB502" s="28" t="n">
        <f aca="false">IF(B502=0,0,L502/B502*10000)</f>
        <v>3.09178207095178</v>
      </c>
      <c r="AC502" s="28" t="n">
        <f aca="false">IF(D502=0,0,M502/D502*10000)</f>
        <v>4.50399147281093</v>
      </c>
      <c r="AD502" s="28" t="n">
        <f aca="false">IF(C502=0,0,N502/C502*10000)</f>
        <v>0.496696385750416</v>
      </c>
      <c r="AE502" s="28" t="n">
        <f aca="false">IF(E502=0,0,Q502/E502*10000)</f>
        <v>4.96825416443782</v>
      </c>
    </row>
    <row r="503" customFormat="false" ht="15" hidden="false" customHeight="true" outlineLevel="0" collapsed="false">
      <c r="A503" s="7" t="s">
        <v>636</v>
      </c>
      <c r="B503" s="26" t="n">
        <v>7892510871</v>
      </c>
      <c r="C503" s="26" t="n">
        <v>2943036195</v>
      </c>
      <c r="D503" s="26" t="n">
        <v>4949474676</v>
      </c>
      <c r="E503" s="26" t="n">
        <v>192791720</v>
      </c>
      <c r="F503" s="26" t="n">
        <v>2747914042</v>
      </c>
      <c r="G503" s="26" t="n">
        <v>5107235</v>
      </c>
      <c r="H503" s="26" t="n">
        <v>6501185</v>
      </c>
      <c r="I503" s="26" t="n">
        <v>14619797</v>
      </c>
      <c r="J503" s="26" t="n">
        <v>31376666</v>
      </c>
      <c r="K503" s="26" t="n">
        <v>137517271</v>
      </c>
      <c r="L503" s="26" t="n">
        <v>2346261</v>
      </c>
      <c r="M503" s="26" t="n">
        <v>2203547</v>
      </c>
      <c r="N503" s="26" t="n">
        <v>142714</v>
      </c>
      <c r="O503" s="26" t="n">
        <v>51664</v>
      </c>
      <c r="P503" s="26" t="n">
        <v>91050</v>
      </c>
      <c r="Q503" s="26" t="n">
        <v>94867</v>
      </c>
      <c r="R503" s="26" t="n">
        <v>22443</v>
      </c>
      <c r="S503" s="26" t="n">
        <v>2463571</v>
      </c>
      <c r="T503" s="26" t="n">
        <v>2137741</v>
      </c>
      <c r="U503" s="26" t="n">
        <v>84143</v>
      </c>
      <c r="V503" s="26" t="n">
        <v>2221884</v>
      </c>
      <c r="W503" s="26" t="n">
        <v>2389464</v>
      </c>
      <c r="X503" s="27" t="n">
        <f aca="false">IF(V503=0,0,(W503-V503)/V503)</f>
        <v>0.0754224793013497</v>
      </c>
      <c r="Y503" s="26" t="n">
        <v>2221884</v>
      </c>
      <c r="Z503" s="26" t="n">
        <v>1953705025.22</v>
      </c>
      <c r="AA503" s="26" t="n">
        <v>1894827184.94</v>
      </c>
      <c r="AB503" s="28" t="n">
        <f aca="false">IF(B503=0,0,L503/B503*10000)</f>
        <v>2.97276879100798</v>
      </c>
      <c r="AC503" s="28" t="n">
        <f aca="false">IF(D503=0,0,M503/D503*10000)</f>
        <v>4.45208258299613</v>
      </c>
      <c r="AD503" s="28" t="n">
        <f aca="false">IF(C503=0,0,N503/C503*10000)</f>
        <v>0.484920981408453</v>
      </c>
      <c r="AE503" s="28" t="n">
        <f aca="false">IF(E503=0,0,Q503/E503*10000)</f>
        <v>4.92069887648702</v>
      </c>
    </row>
    <row r="504" customFormat="false" ht="15" hidden="false" customHeight="true" outlineLevel="0" collapsed="false">
      <c r="A504" s="7" t="s">
        <v>637</v>
      </c>
      <c r="B504" s="26" t="n">
        <v>3314898696</v>
      </c>
      <c r="C504" s="26" t="n">
        <v>303261829</v>
      </c>
      <c r="D504" s="26" t="n">
        <v>3011636867</v>
      </c>
      <c r="E504" s="26" t="n">
        <v>127315216</v>
      </c>
      <c r="F504" s="26" t="n">
        <v>277517093</v>
      </c>
      <c r="G504" s="26" t="n">
        <v>743050</v>
      </c>
      <c r="H504" s="26" t="n">
        <v>244206</v>
      </c>
      <c r="I504" s="26" t="n">
        <v>7486886</v>
      </c>
      <c r="J504" s="26" t="n">
        <v>7045336</v>
      </c>
      <c r="K504" s="26" t="n">
        <v>10225258</v>
      </c>
      <c r="L504" s="26" t="n">
        <v>1282475</v>
      </c>
      <c r="M504" s="26" t="n">
        <v>1250492</v>
      </c>
      <c r="N504" s="26" t="n">
        <v>31983</v>
      </c>
      <c r="O504" s="26" t="n">
        <v>9785</v>
      </c>
      <c r="P504" s="26" t="n">
        <v>22198</v>
      </c>
      <c r="Q504" s="26" t="n">
        <v>60919</v>
      </c>
      <c r="R504" s="26" t="n">
        <v>12377</v>
      </c>
      <c r="S504" s="26" t="n">
        <v>1355771</v>
      </c>
      <c r="T504" s="26" t="n">
        <v>1170741</v>
      </c>
      <c r="U504" s="26" t="n">
        <v>54626</v>
      </c>
      <c r="V504" s="26" t="n">
        <v>1225367</v>
      </c>
      <c r="W504" s="26" t="n">
        <v>1333609</v>
      </c>
      <c r="X504" s="27" t="n">
        <f aca="false">IF(V504=0,0,(W504-V504)/V504)</f>
        <v>0.0883343520757455</v>
      </c>
      <c r="Y504" s="26" t="n">
        <v>1225367</v>
      </c>
      <c r="Z504" s="26" t="n">
        <v>1953705025.22</v>
      </c>
      <c r="AA504" s="26" t="n">
        <v>1894827184.94</v>
      </c>
      <c r="AB504" s="28" t="n">
        <f aca="false">IF(B504=0,0,L504/B504*10000)</f>
        <v>3.86882109413337</v>
      </c>
      <c r="AC504" s="28" t="n">
        <f aca="false">IF(D504=0,0,M504/D504*10000)</f>
        <v>4.15220046514326</v>
      </c>
      <c r="AD504" s="28" t="n">
        <f aca="false">IF(C504=0,0,N504/C504*10000)</f>
        <v>1.05463322256755</v>
      </c>
      <c r="AE504" s="28" t="n">
        <f aca="false">IF(E504=0,0,Q504/E504*10000)</f>
        <v>4.78489546763994</v>
      </c>
    </row>
    <row r="505" customFormat="false" ht="15" hidden="false" customHeight="true" outlineLevel="0" collapsed="false">
      <c r="A505" s="7" t="s">
        <v>638</v>
      </c>
      <c r="B505" s="26" t="n">
        <v>3903674923</v>
      </c>
      <c r="C505" s="26" t="n">
        <v>481797307</v>
      </c>
      <c r="D505" s="26" t="n">
        <v>3421877616</v>
      </c>
      <c r="E505" s="26" t="n">
        <v>150653145</v>
      </c>
      <c r="F505" s="26" t="n">
        <v>441748938</v>
      </c>
      <c r="G505" s="26" t="n">
        <v>647474</v>
      </c>
      <c r="H505" s="26" t="n">
        <v>946694</v>
      </c>
      <c r="I505" s="26" t="n">
        <v>13277222</v>
      </c>
      <c r="J505" s="26" t="n">
        <v>6435025</v>
      </c>
      <c r="K505" s="26" t="n">
        <v>18741953</v>
      </c>
      <c r="L505" s="26" t="n">
        <v>1442833</v>
      </c>
      <c r="M505" s="26" t="n">
        <v>1408674</v>
      </c>
      <c r="N505" s="26" t="n">
        <v>34159</v>
      </c>
      <c r="O505" s="26" t="n">
        <v>10075</v>
      </c>
      <c r="P505" s="26" t="n">
        <v>24084</v>
      </c>
      <c r="Q505" s="26" t="n">
        <v>74652</v>
      </c>
      <c r="R505" s="26" t="n">
        <v>14000</v>
      </c>
      <c r="S505" s="26" t="n">
        <v>1531485</v>
      </c>
      <c r="T505" s="26" t="n">
        <v>1319876</v>
      </c>
      <c r="U505" s="26" t="n">
        <v>66106</v>
      </c>
      <c r="V505" s="26" t="n">
        <v>1385982</v>
      </c>
      <c r="W505" s="26" t="n">
        <v>1507410</v>
      </c>
      <c r="X505" s="27" t="n">
        <f aca="false">IF(V505=0,0,(W505-V505)/V505)</f>
        <v>0.0876115274224341</v>
      </c>
      <c r="Y505" s="26" t="n">
        <v>1385982</v>
      </c>
      <c r="Z505" s="26" t="n">
        <v>1953705025.22</v>
      </c>
      <c r="AA505" s="26" t="n">
        <v>1894827184.94</v>
      </c>
      <c r="AB505" s="28" t="n">
        <f aca="false">IF(B505=0,0,L505/B505*10000)</f>
        <v>3.69608901473582</v>
      </c>
      <c r="AC505" s="28" t="n">
        <f aca="false">IF(D505=0,0,M505/D505*10000)</f>
        <v>4.11666972954652</v>
      </c>
      <c r="AD505" s="28" t="n">
        <f aca="false">IF(C505=0,0,N505/C505*10000)</f>
        <v>0.708991094464544</v>
      </c>
      <c r="AE505" s="28" t="n">
        <f aca="false">IF(E505=0,0,Q505/E505*10000)</f>
        <v>4.95522347044265</v>
      </c>
    </row>
    <row r="506" customFormat="false" ht="15" hidden="false" customHeight="true" outlineLevel="0" collapsed="false">
      <c r="A506" s="7" t="s">
        <v>639</v>
      </c>
      <c r="B506" s="26" t="n">
        <v>8515953737</v>
      </c>
      <c r="C506" s="26" t="n">
        <v>3474360784</v>
      </c>
      <c r="D506" s="26" t="n">
        <v>5041592953</v>
      </c>
      <c r="E506" s="26" t="n">
        <v>175295578</v>
      </c>
      <c r="F506" s="26" t="n">
        <v>3239315604</v>
      </c>
      <c r="G506" s="26" t="n">
        <v>9907373</v>
      </c>
      <c r="H506" s="26" t="n">
        <v>17750322</v>
      </c>
      <c r="I506" s="26" t="n">
        <v>22416933</v>
      </c>
      <c r="J506" s="26" t="n">
        <v>26763226</v>
      </c>
      <c r="K506" s="26" t="n">
        <v>158207326</v>
      </c>
      <c r="L506" s="26" t="n">
        <v>2398869</v>
      </c>
      <c r="M506" s="26" t="n">
        <v>2248266</v>
      </c>
      <c r="N506" s="26" t="n">
        <v>150603</v>
      </c>
      <c r="O506" s="26" t="n">
        <v>54984</v>
      </c>
      <c r="P506" s="26" t="n">
        <v>95619</v>
      </c>
      <c r="Q506" s="26" t="n">
        <v>81857</v>
      </c>
      <c r="R506" s="26" t="n">
        <v>22718</v>
      </c>
      <c r="S506" s="26" t="n">
        <v>2503444</v>
      </c>
      <c r="T506" s="26" t="n">
        <v>2178450</v>
      </c>
      <c r="U506" s="26" t="n">
        <v>70649</v>
      </c>
      <c r="V506" s="26" t="n">
        <v>2249099</v>
      </c>
      <c r="W506" s="26" t="n">
        <v>2425742</v>
      </c>
      <c r="X506" s="27" t="n">
        <f aca="false">IF(V506=0,0,(W506-V506)/V506)</f>
        <v>0.0785394506866972</v>
      </c>
      <c r="Y506" s="26" t="n">
        <v>2249099</v>
      </c>
      <c r="Z506" s="26" t="n">
        <v>1953705025.22</v>
      </c>
      <c r="AA506" s="26" t="n">
        <v>1894827184.94</v>
      </c>
      <c r="AB506" s="28" t="n">
        <f aca="false">IF(B506=0,0,L506/B506*10000)</f>
        <v>2.8169117330657</v>
      </c>
      <c r="AC506" s="28" t="n">
        <f aca="false">IF(D506=0,0,M506/D506*10000)</f>
        <v>4.45943577944382</v>
      </c>
      <c r="AD506" s="28" t="n">
        <f aca="false">IF(C506=0,0,N506/C506*10000)</f>
        <v>0.43346966352358</v>
      </c>
      <c r="AE506" s="28" t="n">
        <f aca="false">IF(E506=0,0,Q506/E506*10000)</f>
        <v>4.66965572856607</v>
      </c>
    </row>
    <row r="507" customFormat="false" ht="15" hidden="false" customHeight="true" outlineLevel="0" collapsed="false">
      <c r="A507" s="7" t="s">
        <v>640</v>
      </c>
      <c r="B507" s="26" t="n">
        <v>5808268421</v>
      </c>
      <c r="C507" s="26" t="n">
        <v>2810077104</v>
      </c>
      <c r="D507" s="26" t="n">
        <v>2998191317</v>
      </c>
      <c r="E507" s="26" t="n">
        <v>146149107</v>
      </c>
      <c r="F507" s="26" t="n">
        <v>2636959880</v>
      </c>
      <c r="G507" s="26" t="n">
        <v>5290556</v>
      </c>
      <c r="H507" s="26" t="n">
        <v>10919088</v>
      </c>
      <c r="I507" s="26" t="n">
        <v>12567339</v>
      </c>
      <c r="J507" s="26" t="n">
        <v>13238730</v>
      </c>
      <c r="K507" s="26" t="n">
        <v>131101510</v>
      </c>
      <c r="L507" s="26" t="n">
        <v>1585955</v>
      </c>
      <c r="M507" s="26" t="n">
        <v>1404048</v>
      </c>
      <c r="N507" s="26" t="n">
        <v>181907</v>
      </c>
      <c r="O507" s="26" t="n">
        <v>76157</v>
      </c>
      <c r="P507" s="26" t="n">
        <v>105750</v>
      </c>
      <c r="Q507" s="26" t="n">
        <v>71739</v>
      </c>
      <c r="R507" s="26" t="n">
        <v>15309</v>
      </c>
      <c r="S507" s="26" t="n">
        <v>1673003</v>
      </c>
      <c r="T507" s="26" t="n">
        <v>1451085</v>
      </c>
      <c r="U507" s="26" t="n">
        <v>64462</v>
      </c>
      <c r="V507" s="26" t="n">
        <v>1515547</v>
      </c>
      <c r="W507" s="26" t="n">
        <v>1581537</v>
      </c>
      <c r="X507" s="27" t="n">
        <f aca="false">IF(V507=0,0,(W507-V507)/V507)</f>
        <v>0.0435420346581135</v>
      </c>
      <c r="Y507" s="26" t="n">
        <v>1515547</v>
      </c>
      <c r="Z507" s="26" t="n">
        <v>1953705025.22</v>
      </c>
      <c r="AA507" s="26" t="n">
        <v>1894827184.94</v>
      </c>
      <c r="AB507" s="28" t="n">
        <f aca="false">IF(B507=0,0,L507/B507*10000)</f>
        <v>2.73051258145358</v>
      </c>
      <c r="AC507" s="28" t="n">
        <f aca="false">IF(D507=0,0,M507/D507*10000)</f>
        <v>4.68298334412127</v>
      </c>
      <c r="AD507" s="28" t="n">
        <f aca="false">IF(C507=0,0,N507/C507*10000)</f>
        <v>0.647338109481284</v>
      </c>
      <c r="AE507" s="28" t="n">
        <f aca="false">IF(E507=0,0,Q507/E507*10000)</f>
        <v>4.90861706052025</v>
      </c>
    </row>
    <row r="508" customFormat="false" ht="15" hidden="false" customHeight="true" outlineLevel="0" collapsed="false">
      <c r="A508" s="7" t="s">
        <v>641</v>
      </c>
      <c r="B508" s="26" t="n">
        <v>0</v>
      </c>
      <c r="C508" s="26" t="n">
        <v>162338930</v>
      </c>
      <c r="D508" s="26" t="n">
        <v>-162338930</v>
      </c>
      <c r="E508" s="26" t="n">
        <v>0</v>
      </c>
      <c r="F508" s="26" t="n">
        <v>153536301</v>
      </c>
      <c r="G508" s="26" t="n">
        <v>181140</v>
      </c>
      <c r="H508" s="26" t="n">
        <v>132305</v>
      </c>
      <c r="I508" s="26" t="n">
        <v>702472</v>
      </c>
      <c r="J508" s="26" t="n">
        <v>842317</v>
      </c>
      <c r="K508" s="26" t="n">
        <v>6944395</v>
      </c>
      <c r="L508" s="26" t="n">
        <v>0</v>
      </c>
      <c r="M508" s="26" t="n">
        <v>-7922</v>
      </c>
      <c r="N508" s="26" t="n">
        <v>7922</v>
      </c>
      <c r="O508" s="26" t="n">
        <v>3098</v>
      </c>
      <c r="P508" s="26" t="n">
        <v>4824</v>
      </c>
      <c r="Q508" s="26" t="n">
        <v>0</v>
      </c>
      <c r="R508" s="26" t="n">
        <v>0</v>
      </c>
      <c r="S508" s="26" t="n">
        <v>0</v>
      </c>
      <c r="T508" s="26" t="n">
        <v>0</v>
      </c>
      <c r="U508" s="26" t="n">
        <v>0</v>
      </c>
      <c r="V508" s="26" t="n">
        <v>0</v>
      </c>
      <c r="W508" s="26" t="n">
        <v>-3098</v>
      </c>
      <c r="X508" s="27" t="n">
        <f aca="false">IF(V508=0,0,(W508-V508)/V508)</f>
        <v>0</v>
      </c>
      <c r="Y508" s="26" t="n">
        <v>0</v>
      </c>
      <c r="Z508" s="26" t="n">
        <v>2158705546.89</v>
      </c>
      <c r="AA508" s="26" t="n">
        <v>2099752066.01</v>
      </c>
      <c r="AB508" s="28" t="n">
        <f aca="false">IF(B508=0,0,L508/B508*10000)</f>
        <v>0</v>
      </c>
      <c r="AC508" s="28" t="n">
        <f aca="false">IF(D508=0,0,M508/D508*10000)</f>
        <v>0.487991389372839</v>
      </c>
      <c r="AD508" s="28" t="n">
        <f aca="false">IF(C508=0,0,N508/C508*10000)</f>
        <v>0.487991389372839</v>
      </c>
      <c r="AE508" s="28" t="n">
        <f aca="false">IF(E508=0,0,Q508/E508*10000)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9" min="2" style="1" width="15"/>
  </cols>
  <sheetData>
    <row r="1" customFormat="false" ht="17.25" hidden="false" customHeight="true" outlineLevel="0" collapsed="false">
      <c r="A1" s="2" t="s">
        <v>642</v>
      </c>
    </row>
    <row r="2" customFormat="false" ht="15" hidden="false" customHeight="true" outlineLevel="0" collapsed="false">
      <c r="A2" s="20" t="s">
        <v>36</v>
      </c>
      <c r="B2" s="20" t="s">
        <v>36</v>
      </c>
      <c r="C2" s="20" t="s">
        <v>6</v>
      </c>
      <c r="D2" s="20" t="s">
        <v>41</v>
      </c>
      <c r="E2" s="20" t="s">
        <v>44</v>
      </c>
      <c r="F2" s="20" t="s">
        <v>6</v>
      </c>
      <c r="G2" s="20" t="s">
        <v>6</v>
      </c>
      <c r="H2" s="20" t="s">
        <v>41</v>
      </c>
      <c r="I2" s="20" t="s">
        <v>41</v>
      </c>
      <c r="J2" s="20" t="s">
        <v>44</v>
      </c>
      <c r="K2" s="20" t="s">
        <v>6</v>
      </c>
      <c r="L2" s="20" t="s">
        <v>6</v>
      </c>
      <c r="M2" s="20" t="s">
        <v>6</v>
      </c>
      <c r="N2" s="20" t="s">
        <v>6</v>
      </c>
      <c r="O2" s="20" t="s">
        <v>6</v>
      </c>
      <c r="P2" s="20" t="s">
        <v>44</v>
      </c>
      <c r="Q2" s="20" t="s">
        <v>44</v>
      </c>
      <c r="R2" s="20" t="s">
        <v>6</v>
      </c>
    </row>
    <row r="3" customFormat="false" ht="31.5" hidden="false" customHeight="true" outlineLevel="0" collapsed="false">
      <c r="A3" s="21" t="s">
        <v>643</v>
      </c>
      <c r="B3" s="21" t="s">
        <v>644</v>
      </c>
      <c r="C3" s="22" t="s">
        <v>645</v>
      </c>
      <c r="D3" s="23" t="s">
        <v>646</v>
      </c>
      <c r="E3" s="24" t="s">
        <v>647</v>
      </c>
      <c r="F3" s="22" t="s">
        <v>648</v>
      </c>
      <c r="G3" s="22" t="s">
        <v>649</v>
      </c>
      <c r="H3" s="23" t="s">
        <v>650</v>
      </c>
      <c r="I3" s="23" t="s">
        <v>651</v>
      </c>
      <c r="J3" s="24" t="s">
        <v>652</v>
      </c>
      <c r="K3" s="22" t="s">
        <v>653</v>
      </c>
      <c r="L3" s="22" t="s">
        <v>654</v>
      </c>
      <c r="M3" s="22" t="s">
        <v>655</v>
      </c>
      <c r="N3" s="22" t="s">
        <v>656</v>
      </c>
      <c r="O3" s="22" t="s">
        <v>657</v>
      </c>
      <c r="P3" s="24" t="s">
        <v>658</v>
      </c>
      <c r="Q3" s="24" t="s">
        <v>659</v>
      </c>
      <c r="R3" s="22" t="s">
        <v>660</v>
      </c>
    </row>
    <row r="4" customFormat="false" ht="15" hidden="false" customHeight="true" outlineLevel="0" collapsed="false">
      <c r="A4" s="7" t="s">
        <v>661</v>
      </c>
      <c r="B4" s="29" t="n">
        <v>31</v>
      </c>
      <c r="C4" s="30" t="n">
        <v>197881.595746</v>
      </c>
      <c r="D4" s="30" t="n">
        <v>0</v>
      </c>
      <c r="E4" s="30" t="n">
        <v>197881.595746</v>
      </c>
      <c r="F4" s="30" t="n">
        <v>6627.366463</v>
      </c>
      <c r="G4" s="30" t="n">
        <v>49.756382</v>
      </c>
      <c r="H4" s="30" t="n">
        <v>0</v>
      </c>
      <c r="I4" s="30" t="n">
        <v>0</v>
      </c>
      <c r="J4" s="30" t="n">
        <v>49.756382</v>
      </c>
      <c r="K4" s="30" t="n">
        <v>0.889534</v>
      </c>
      <c r="L4" s="30" t="n">
        <v>1.519687</v>
      </c>
      <c r="M4" s="30" t="n">
        <v>52.165603</v>
      </c>
      <c r="N4" s="30" t="n">
        <v>48.263691</v>
      </c>
      <c r="O4" s="30" t="n">
        <v>0.862851</v>
      </c>
      <c r="P4" s="30" t="n">
        <v>49.126542</v>
      </c>
      <c r="Q4" s="30" t="n">
        <v>50.645916</v>
      </c>
      <c r="R4" s="30" t="n">
        <v>49.126542</v>
      </c>
    </row>
    <row r="5" customFormat="false" ht="15" hidden="false" customHeight="true" outlineLevel="0" collapsed="false">
      <c r="A5" s="7" t="s">
        <v>662</v>
      </c>
      <c r="B5" s="29" t="n">
        <v>28</v>
      </c>
      <c r="C5" s="30" t="n">
        <v>179793.231175</v>
      </c>
      <c r="D5" s="30" t="n">
        <v>0</v>
      </c>
      <c r="E5" s="30" t="n">
        <v>179793.231175</v>
      </c>
      <c r="F5" s="30" t="n">
        <v>5140.215981</v>
      </c>
      <c r="G5" s="30" t="n">
        <v>44.793746</v>
      </c>
      <c r="H5" s="30" t="n">
        <v>0</v>
      </c>
      <c r="I5" s="30" t="n">
        <v>0</v>
      </c>
      <c r="J5" s="30" t="n">
        <v>44.793746</v>
      </c>
      <c r="K5" s="30" t="n">
        <v>0.780052</v>
      </c>
      <c r="L5" s="30" t="n">
        <v>1.011211</v>
      </c>
      <c r="M5" s="30" t="n">
        <v>46.585009</v>
      </c>
      <c r="N5" s="30" t="n">
        <v>43.449933</v>
      </c>
      <c r="O5" s="30" t="n">
        <v>0.756649</v>
      </c>
      <c r="P5" s="30" t="n">
        <v>44.206582</v>
      </c>
      <c r="Q5" s="30" t="n">
        <v>45.573798</v>
      </c>
      <c r="R5" s="30" t="n">
        <v>44.206582</v>
      </c>
    </row>
    <row r="6" customFormat="false" ht="15" hidden="false" customHeight="true" outlineLevel="0" collapsed="false">
      <c r="A6" s="7" t="s">
        <v>663</v>
      </c>
      <c r="B6" s="29" t="n">
        <v>31</v>
      </c>
      <c r="C6" s="30" t="n">
        <v>175572.911308</v>
      </c>
      <c r="D6" s="30" t="n">
        <v>0</v>
      </c>
      <c r="E6" s="30" t="n">
        <v>175572.911308</v>
      </c>
      <c r="F6" s="30" t="n">
        <v>4081.649498</v>
      </c>
      <c r="G6" s="30" t="n">
        <v>39.298433</v>
      </c>
      <c r="H6" s="30" t="n">
        <v>0</v>
      </c>
      <c r="I6" s="30" t="n">
        <v>0</v>
      </c>
      <c r="J6" s="30" t="n">
        <v>39.298433</v>
      </c>
      <c r="K6" s="30" t="n">
        <v>0.585355</v>
      </c>
      <c r="L6" s="30" t="n">
        <v>1.039681</v>
      </c>
      <c r="M6" s="30" t="n">
        <v>40.923469</v>
      </c>
      <c r="N6" s="30" t="n">
        <v>38.11948</v>
      </c>
      <c r="O6" s="30" t="n">
        <v>0.567794</v>
      </c>
      <c r="P6" s="30" t="n">
        <v>38.687274</v>
      </c>
      <c r="Q6" s="30" t="n">
        <v>39.883788</v>
      </c>
      <c r="R6" s="30" t="n">
        <v>38.687274</v>
      </c>
    </row>
    <row r="7" customFormat="false" ht="15" hidden="false" customHeight="true" outlineLevel="0" collapsed="false">
      <c r="A7" s="7" t="s">
        <v>664</v>
      </c>
      <c r="B7" s="29" t="n">
        <v>30</v>
      </c>
      <c r="C7" s="30" t="n">
        <v>187589.104317</v>
      </c>
      <c r="D7" s="30" t="n">
        <v>0</v>
      </c>
      <c r="E7" s="30" t="n">
        <v>187589.104317</v>
      </c>
      <c r="F7" s="30" t="n">
        <v>4134.739373</v>
      </c>
      <c r="G7" s="30" t="n">
        <v>42.393868</v>
      </c>
      <c r="H7" s="30" t="n">
        <v>0</v>
      </c>
      <c r="I7" s="30" t="n">
        <v>0</v>
      </c>
      <c r="J7" s="30" t="n">
        <v>42.393868</v>
      </c>
      <c r="K7" s="30" t="n">
        <v>0.554771</v>
      </c>
      <c r="L7" s="30" t="n">
        <v>1.288459</v>
      </c>
      <c r="M7" s="30" t="n">
        <v>44.237098</v>
      </c>
      <c r="N7" s="30" t="n">
        <v>41.122053</v>
      </c>
      <c r="O7" s="30" t="n">
        <v>0.538127</v>
      </c>
      <c r="P7" s="30" t="n">
        <v>41.66018</v>
      </c>
      <c r="Q7" s="30" t="n">
        <v>42.948639</v>
      </c>
      <c r="R7" s="30" t="n">
        <v>41.66018</v>
      </c>
    </row>
    <row r="8" customFormat="false" ht="15" hidden="false" customHeight="true" outlineLevel="0" collapsed="false">
      <c r="A8" s="7" t="s">
        <v>665</v>
      </c>
      <c r="B8" s="29" t="n">
        <v>31</v>
      </c>
      <c r="C8" s="30" t="n">
        <v>248294.925606</v>
      </c>
      <c r="D8" s="30" t="n">
        <v>0</v>
      </c>
      <c r="E8" s="30" t="n">
        <v>248294.925606</v>
      </c>
      <c r="F8" s="30" t="n">
        <v>7765.229961</v>
      </c>
      <c r="G8" s="30" t="n">
        <v>69.124352</v>
      </c>
      <c r="H8" s="30" t="n">
        <v>0</v>
      </c>
      <c r="I8" s="30" t="n">
        <v>0</v>
      </c>
      <c r="J8" s="30" t="n">
        <v>69.124352</v>
      </c>
      <c r="K8" s="30" t="n">
        <v>1.72839</v>
      </c>
      <c r="L8" s="30" t="n">
        <v>2.125583</v>
      </c>
      <c r="M8" s="30" t="n">
        <v>72.978325</v>
      </c>
      <c r="N8" s="30" t="n">
        <v>67.050622</v>
      </c>
      <c r="O8" s="30" t="n">
        <v>1.676538</v>
      </c>
      <c r="P8" s="30" t="n">
        <v>68.72716</v>
      </c>
      <c r="Q8" s="30" t="n">
        <v>70.852742</v>
      </c>
      <c r="R8" s="30" t="n">
        <v>68.72716</v>
      </c>
    </row>
    <row r="9" customFormat="false" ht="15" hidden="false" customHeight="true" outlineLevel="0" collapsed="false">
      <c r="A9" s="7" t="s">
        <v>666</v>
      </c>
      <c r="B9" s="29" t="n">
        <v>30</v>
      </c>
      <c r="C9" s="30" t="n">
        <v>216324.623517</v>
      </c>
      <c r="D9" s="30" t="n">
        <v>0</v>
      </c>
      <c r="E9" s="30" t="n">
        <v>216324.623517</v>
      </c>
      <c r="F9" s="30" t="n">
        <v>10101.385323</v>
      </c>
      <c r="G9" s="30" t="n">
        <v>59.19409</v>
      </c>
      <c r="H9" s="30" t="n">
        <v>0</v>
      </c>
      <c r="I9" s="30" t="n">
        <v>0</v>
      </c>
      <c r="J9" s="30" t="n">
        <v>59.19409</v>
      </c>
      <c r="K9" s="30" t="n">
        <v>2.105062</v>
      </c>
      <c r="L9" s="30" t="n">
        <v>1.838974</v>
      </c>
      <c r="M9" s="30" t="n">
        <v>63.138126</v>
      </c>
      <c r="N9" s="30" t="n">
        <v>57.418266</v>
      </c>
      <c r="O9" s="30" t="n">
        <v>2.041912</v>
      </c>
      <c r="P9" s="30" t="n">
        <v>59.460178</v>
      </c>
      <c r="Q9" s="30" t="n">
        <v>61.299152</v>
      </c>
      <c r="R9" s="30" t="n">
        <v>59.460178</v>
      </c>
    </row>
    <row r="10" customFormat="false" ht="15" hidden="false" customHeight="true" outlineLevel="0" collapsed="false">
      <c r="A10" s="7" t="s">
        <v>667</v>
      </c>
      <c r="B10" s="29" t="n">
        <v>31</v>
      </c>
      <c r="C10" s="30" t="n">
        <v>319486.708278</v>
      </c>
      <c r="D10" s="30" t="n">
        <v>0</v>
      </c>
      <c r="E10" s="30" t="n">
        <v>319486.708278</v>
      </c>
      <c r="F10" s="30" t="n">
        <v>11326.599754</v>
      </c>
      <c r="G10" s="30" t="n">
        <v>91.064891</v>
      </c>
      <c r="H10" s="30" t="n">
        <v>0</v>
      </c>
      <c r="I10" s="30" t="n">
        <v>0</v>
      </c>
      <c r="J10" s="30" t="n">
        <v>91.064891</v>
      </c>
      <c r="K10" s="30" t="n">
        <v>2.542422</v>
      </c>
      <c r="L10" s="30" t="n">
        <v>2.808048</v>
      </c>
      <c r="M10" s="30" t="n">
        <v>96.415361</v>
      </c>
      <c r="N10" s="30" t="n">
        <v>88.332946</v>
      </c>
      <c r="O10" s="30" t="n">
        <v>2.466148</v>
      </c>
      <c r="P10" s="30" t="n">
        <v>90.799094</v>
      </c>
      <c r="Q10" s="30" t="n">
        <v>93.607313</v>
      </c>
      <c r="R10" s="30" t="n">
        <v>90.799094</v>
      </c>
    </row>
    <row r="11" customFormat="false" ht="15" hidden="false" customHeight="true" outlineLevel="0" collapsed="false">
      <c r="A11" s="7" t="s">
        <v>668</v>
      </c>
      <c r="B11" s="29" t="n">
        <v>31</v>
      </c>
      <c r="C11" s="30" t="n">
        <v>396095.849028</v>
      </c>
      <c r="D11" s="30" t="n">
        <v>0</v>
      </c>
      <c r="E11" s="30" t="n">
        <v>396095.849028</v>
      </c>
      <c r="F11" s="30" t="n">
        <v>22224.177536</v>
      </c>
      <c r="G11" s="30" t="n">
        <v>131.227855</v>
      </c>
      <c r="H11" s="30" t="n">
        <v>0</v>
      </c>
      <c r="I11" s="30" t="n">
        <v>0</v>
      </c>
      <c r="J11" s="30" t="n">
        <v>131.227855</v>
      </c>
      <c r="K11" s="30" t="n">
        <v>10.261574</v>
      </c>
      <c r="L11" s="30" t="n">
        <v>3.906377</v>
      </c>
      <c r="M11" s="30" t="n">
        <v>145.395806</v>
      </c>
      <c r="N11" s="30" t="n">
        <v>121.371245</v>
      </c>
      <c r="O11" s="30" t="n">
        <v>6.357027</v>
      </c>
      <c r="P11" s="30" t="n">
        <v>127.728272</v>
      </c>
      <c r="Q11" s="30" t="n">
        <v>141.489429</v>
      </c>
      <c r="R11" s="30" t="n">
        <v>127.728272</v>
      </c>
    </row>
    <row r="12" customFormat="false" ht="15" hidden="false" customHeight="true" outlineLevel="0" collapsed="false">
      <c r="A12" s="7" t="s">
        <v>669</v>
      </c>
      <c r="B12" s="29" t="n">
        <v>30</v>
      </c>
      <c r="C12" s="30" t="n">
        <v>282473.444157</v>
      </c>
      <c r="D12" s="30" t="n">
        <v>0</v>
      </c>
      <c r="E12" s="30" t="n">
        <v>282473.444157</v>
      </c>
      <c r="F12" s="30" t="n">
        <v>20661.019414</v>
      </c>
      <c r="G12" s="30" t="n">
        <v>99.403444</v>
      </c>
      <c r="H12" s="30" t="n">
        <v>0</v>
      </c>
      <c r="I12" s="30" t="n">
        <v>0</v>
      </c>
      <c r="J12" s="30" t="n">
        <v>99.403444</v>
      </c>
      <c r="K12" s="30" t="n">
        <v>12.740601</v>
      </c>
      <c r="L12" s="30" t="n">
        <v>0.992317</v>
      </c>
      <c r="M12" s="30" t="n">
        <v>113.136362</v>
      </c>
      <c r="N12" s="30" t="n">
        <v>88.401633</v>
      </c>
      <c r="O12" s="30" t="n">
        <v>9.83799</v>
      </c>
      <c r="P12" s="30" t="n">
        <v>98.239623</v>
      </c>
      <c r="Q12" s="30" t="n">
        <v>112.144045</v>
      </c>
      <c r="R12" s="30" t="n">
        <v>98.239623</v>
      </c>
    </row>
    <row r="13" customFormat="false" ht="15" hidden="false" customHeight="true" outlineLevel="0" collapsed="false">
      <c r="A13" s="7" t="s">
        <v>670</v>
      </c>
      <c r="B13" s="29" t="n">
        <v>31</v>
      </c>
      <c r="C13" s="30" t="n">
        <v>308488.050925</v>
      </c>
      <c r="D13" s="30" t="n">
        <v>755.564453</v>
      </c>
      <c r="E13" s="30" t="n">
        <v>307732.486472</v>
      </c>
      <c r="F13" s="30" t="n">
        <v>12465.023766</v>
      </c>
      <c r="G13" s="30" t="n">
        <v>109.273012</v>
      </c>
      <c r="H13" s="30" t="n">
        <v>0.416215</v>
      </c>
      <c r="I13" s="30" t="n">
        <v>0</v>
      </c>
      <c r="J13" s="30" t="n">
        <v>108.856797</v>
      </c>
      <c r="K13" s="30" t="n">
        <v>6.732155</v>
      </c>
      <c r="L13" s="30" t="n">
        <v>1.056061</v>
      </c>
      <c r="M13" s="30" t="n">
        <v>117.061228</v>
      </c>
      <c r="N13" s="30" t="n">
        <v>99.500141</v>
      </c>
      <c r="O13" s="30" t="n">
        <v>5.049906</v>
      </c>
      <c r="P13" s="30" t="n">
        <v>104.550047</v>
      </c>
      <c r="Q13" s="30" t="n">
        <v>116.005167</v>
      </c>
      <c r="R13" s="30" t="n">
        <v>104.550047</v>
      </c>
    </row>
    <row r="14" customFormat="false" ht="15" hidden="false" customHeight="true" outlineLevel="0" collapsed="false">
      <c r="A14" s="7" t="s">
        <v>671</v>
      </c>
      <c r="B14" s="29" t="n">
        <v>30</v>
      </c>
      <c r="C14" s="30" t="n">
        <v>243612.049101</v>
      </c>
      <c r="D14" s="30" t="n">
        <v>4210.247345</v>
      </c>
      <c r="E14" s="30" t="n">
        <v>239401.801756</v>
      </c>
      <c r="F14" s="30" t="n">
        <v>8071.855857</v>
      </c>
      <c r="G14" s="30" t="n">
        <v>95.316191</v>
      </c>
      <c r="H14" s="30" t="n">
        <v>1.151161</v>
      </c>
      <c r="I14" s="30" t="n">
        <v>0</v>
      </c>
      <c r="J14" s="30" t="n">
        <v>94.16503</v>
      </c>
      <c r="K14" s="30" t="n">
        <v>4.487685</v>
      </c>
      <c r="L14" s="30" t="n">
        <v>0.907864</v>
      </c>
      <c r="M14" s="30" t="n">
        <v>100.71174</v>
      </c>
      <c r="N14" s="30" t="n">
        <v>86.4531</v>
      </c>
      <c r="O14" s="30" t="n">
        <v>3.425514</v>
      </c>
      <c r="P14" s="30" t="n">
        <v>89.878614</v>
      </c>
      <c r="Q14" s="30" t="n">
        <v>99.803876</v>
      </c>
      <c r="R14" s="30" t="n">
        <v>89.878614</v>
      </c>
    </row>
    <row r="15" customFormat="false" ht="15" hidden="false" customHeight="true" outlineLevel="0" collapsed="false">
      <c r="A15" s="7" t="s">
        <v>672</v>
      </c>
      <c r="B15" s="29" t="n">
        <v>31</v>
      </c>
      <c r="C15" s="30" t="n">
        <v>169306.017967</v>
      </c>
      <c r="D15" s="30" t="n">
        <v>8131.374255</v>
      </c>
      <c r="E15" s="30" t="n">
        <v>161174.643712</v>
      </c>
      <c r="F15" s="30" t="n">
        <v>4951.119086</v>
      </c>
      <c r="G15" s="30" t="n">
        <v>65.330772</v>
      </c>
      <c r="H15" s="30" t="n">
        <v>0.717269</v>
      </c>
      <c r="I15" s="30" t="n">
        <v>0</v>
      </c>
      <c r="J15" s="30" t="n">
        <v>64.613503</v>
      </c>
      <c r="K15" s="30" t="n">
        <v>2.822667</v>
      </c>
      <c r="L15" s="30" t="n">
        <v>0.612408</v>
      </c>
      <c r="M15" s="30" t="n">
        <v>68.765847</v>
      </c>
      <c r="N15" s="30" t="n">
        <v>58.480425</v>
      </c>
      <c r="O15" s="30" t="n">
        <v>2.147907</v>
      </c>
      <c r="P15" s="30" t="n">
        <v>60.628332</v>
      </c>
      <c r="Q15" s="30" t="n">
        <v>68.153439</v>
      </c>
      <c r="R15" s="30" t="n">
        <v>60.628332</v>
      </c>
    </row>
    <row r="16" customFormat="false" ht="15" hidden="false" customHeight="true" outlineLevel="0" collapsed="false">
      <c r="A16" s="7" t="s">
        <v>673</v>
      </c>
      <c r="B16" s="29" t="n">
        <v>31</v>
      </c>
      <c r="C16" s="30" t="n">
        <v>208671.592616</v>
      </c>
      <c r="D16" s="30" t="n">
        <v>24825.98679</v>
      </c>
      <c r="E16" s="30" t="n">
        <v>183845.605826</v>
      </c>
      <c r="F16" s="30" t="n">
        <v>4574.134229</v>
      </c>
      <c r="G16" s="30" t="n">
        <v>73.349151</v>
      </c>
      <c r="H16" s="30" t="n">
        <v>2.653704</v>
      </c>
      <c r="I16" s="30" t="n">
        <v>0</v>
      </c>
      <c r="J16" s="30" t="n">
        <v>70.695447</v>
      </c>
      <c r="K16" s="30" t="n">
        <v>2.514252</v>
      </c>
      <c r="L16" s="30" t="n">
        <v>0.694856</v>
      </c>
      <c r="M16" s="30" t="n">
        <v>76.558259</v>
      </c>
      <c r="N16" s="30" t="n">
        <v>66.777667</v>
      </c>
      <c r="O16" s="30" t="n">
        <v>2.015236</v>
      </c>
      <c r="P16" s="30" t="n">
        <v>68.792903</v>
      </c>
      <c r="Q16" s="30" t="n">
        <v>75.863403</v>
      </c>
      <c r="R16" s="30" t="n">
        <v>68.792903</v>
      </c>
    </row>
    <row r="17" customFormat="false" ht="15" hidden="false" customHeight="true" outlineLevel="0" collapsed="false">
      <c r="A17" s="7" t="s">
        <v>674</v>
      </c>
      <c r="B17" s="29" t="n">
        <v>28</v>
      </c>
      <c r="C17" s="30" t="n">
        <v>201104.326351</v>
      </c>
      <c r="D17" s="30" t="n">
        <v>40339.358421</v>
      </c>
      <c r="E17" s="30" t="n">
        <v>160764.96793</v>
      </c>
      <c r="F17" s="30" t="n">
        <v>5216.934789</v>
      </c>
      <c r="G17" s="30" t="n">
        <v>66.306576</v>
      </c>
      <c r="H17" s="30" t="n">
        <v>2.696555</v>
      </c>
      <c r="I17" s="30" t="n">
        <v>0</v>
      </c>
      <c r="J17" s="30" t="n">
        <v>63.610021</v>
      </c>
      <c r="K17" s="30" t="n">
        <v>2.342699</v>
      </c>
      <c r="L17" s="30" t="n">
        <v>0.62689</v>
      </c>
      <c r="M17" s="30" t="n">
        <v>69.276165</v>
      </c>
      <c r="N17" s="30" t="n">
        <v>60.233767</v>
      </c>
      <c r="O17" s="30" t="n">
        <v>1.831194</v>
      </c>
      <c r="P17" s="30" t="n">
        <v>62.064961</v>
      </c>
      <c r="Q17" s="30" t="n">
        <v>68.649275</v>
      </c>
      <c r="R17" s="30" t="n">
        <v>62.064961</v>
      </c>
    </row>
    <row r="18" customFormat="false" ht="15" hidden="false" customHeight="true" outlineLevel="0" collapsed="false">
      <c r="A18" s="7" t="s">
        <v>675</v>
      </c>
      <c r="B18" s="29" t="n">
        <v>31</v>
      </c>
      <c r="C18" s="30" t="n">
        <v>209686.753794</v>
      </c>
      <c r="D18" s="30" t="n">
        <v>68503.137992</v>
      </c>
      <c r="E18" s="30" t="n">
        <v>141183.615802</v>
      </c>
      <c r="F18" s="30" t="n">
        <v>4201.658609</v>
      </c>
      <c r="G18" s="30" t="n">
        <v>66.512885</v>
      </c>
      <c r="H18" s="30" t="n">
        <v>4.303042</v>
      </c>
      <c r="I18" s="30" t="n">
        <v>0.565735</v>
      </c>
      <c r="J18" s="30" t="n">
        <v>62.209843</v>
      </c>
      <c r="K18" s="30" t="n">
        <v>1.990095</v>
      </c>
      <c r="L18" s="30" t="n">
        <v>0.620206</v>
      </c>
      <c r="M18" s="30" t="n">
        <v>69.123186</v>
      </c>
      <c r="N18" s="30" t="n">
        <v>59.847312</v>
      </c>
      <c r="O18" s="30" t="n">
        <v>1.552711</v>
      </c>
      <c r="P18" s="30" t="n">
        <v>61.400023</v>
      </c>
      <c r="Q18" s="30" t="n">
        <v>67.937245</v>
      </c>
      <c r="R18" s="30" t="n">
        <v>61.400023</v>
      </c>
    </row>
    <row r="19" customFormat="false" ht="15" hidden="false" customHeight="true" outlineLevel="0" collapsed="false">
      <c r="A19" s="7" t="s">
        <v>676</v>
      </c>
      <c r="B19" s="29" t="n">
        <v>30</v>
      </c>
      <c r="C19" s="30" t="n">
        <v>181679.626949</v>
      </c>
      <c r="D19" s="30" t="n">
        <v>65183.21218</v>
      </c>
      <c r="E19" s="30" t="n">
        <v>116496.414769</v>
      </c>
      <c r="F19" s="30" t="n">
        <v>3156.722969</v>
      </c>
      <c r="G19" s="30" t="n">
        <v>56.583138</v>
      </c>
      <c r="H19" s="30" t="n">
        <v>3.435542</v>
      </c>
      <c r="I19" s="30" t="n">
        <v>1.218548</v>
      </c>
      <c r="J19" s="30" t="n">
        <v>53.147596</v>
      </c>
      <c r="K19" s="30" t="n">
        <v>1.662063</v>
      </c>
      <c r="L19" s="30" t="n">
        <v>0.527434</v>
      </c>
      <c r="M19" s="30" t="n">
        <v>58.772635</v>
      </c>
      <c r="N19" s="30" t="n">
        <v>50.961562</v>
      </c>
      <c r="O19" s="30" t="n">
        <v>1.255284</v>
      </c>
      <c r="P19" s="30" t="n">
        <v>52.216846</v>
      </c>
      <c r="Q19" s="30" t="n">
        <v>57.026653</v>
      </c>
      <c r="R19" s="30" t="n">
        <v>52.216846</v>
      </c>
    </row>
    <row r="20" customFormat="false" ht="15" hidden="false" customHeight="true" outlineLevel="0" collapsed="false">
      <c r="A20" s="7" t="s">
        <v>677</v>
      </c>
      <c r="B20" s="29" t="n">
        <v>20</v>
      </c>
      <c r="C20" s="30" t="n">
        <v>114482.74901</v>
      </c>
      <c r="D20" s="30" t="n">
        <v>40050.19634</v>
      </c>
      <c r="E20" s="30" t="n">
        <v>74432.55267</v>
      </c>
      <c r="F20" s="30" t="n">
        <v>2288.887934</v>
      </c>
      <c r="G20" s="30" t="n">
        <v>35.322796</v>
      </c>
      <c r="H20" s="30" t="n">
        <v>2.090656</v>
      </c>
      <c r="I20" s="30" t="n">
        <v>0.744614</v>
      </c>
      <c r="J20" s="30" t="n">
        <v>33.23214</v>
      </c>
      <c r="K20" s="30" t="n">
        <v>1.119534</v>
      </c>
      <c r="L20" s="30" t="n">
        <v>0.332977</v>
      </c>
      <c r="M20" s="30" t="n">
        <v>36.775307</v>
      </c>
      <c r="N20" s="30" t="n">
        <v>32.051328</v>
      </c>
      <c r="O20" s="30" t="n">
        <v>0.912801</v>
      </c>
      <c r="P20" s="30" t="n">
        <v>32.964129</v>
      </c>
      <c r="Q20" s="30" t="n">
        <v>35.697716</v>
      </c>
      <c r="R20" s="30" t="n">
        <v>32.964129</v>
      </c>
    </row>
    <row r="21" customFormat="false" ht="15" hidden="false" customHeight="true" outlineLevel="0" collapsed="false">
      <c r="A21" s="31" t="s">
        <v>678</v>
      </c>
      <c r="B21" s="32" t="n">
        <f aca="false">SUM(B4:B20)</f>
        <v>505</v>
      </c>
      <c r="C21" s="33" t="n">
        <f aca="false">SUM(C4:C20)</f>
        <v>3840543.559845</v>
      </c>
      <c r="D21" s="33" t="n">
        <f aca="false">SUM(D4:D20)</f>
        <v>251999.077776</v>
      </c>
      <c r="E21" s="33" t="n">
        <f aca="false">SUM(E4:E20)</f>
        <v>3588544.482069</v>
      </c>
      <c r="F21" s="33" t="n">
        <f aca="false">SUM(F4:F20)</f>
        <v>136988.720542</v>
      </c>
      <c r="G21" s="33" t="n">
        <f aca="false">SUM(G4:G20)</f>
        <v>1194.251582</v>
      </c>
      <c r="H21" s="33" t="n">
        <f aca="false">SUM(H4:H20)</f>
        <v>17.464144</v>
      </c>
      <c r="I21" s="33" t="n">
        <f aca="false">SUM(I4:I20)</f>
        <v>2.528897</v>
      </c>
      <c r="J21" s="33" t="n">
        <f aca="false">SUM(J4:J20)</f>
        <v>1176.787438</v>
      </c>
      <c r="K21" s="33" t="n">
        <f aca="false">SUM(K4:K20)</f>
        <v>55.858911</v>
      </c>
      <c r="L21" s="33" t="n">
        <f aca="false">SUM(L4:L20)</f>
        <v>21.909033</v>
      </c>
      <c r="M21" s="33" t="n">
        <f aca="false">SUM(M4:M20)</f>
        <v>1272.019526</v>
      </c>
      <c r="N21" s="33" t="n">
        <f aca="false">SUM(N4:N20)</f>
        <v>1107.835171</v>
      </c>
      <c r="O21" s="33" t="n">
        <f aca="false">SUM(O4:O20)</f>
        <v>43.295589</v>
      </c>
      <c r="P21" s="33" t="n">
        <f aca="false">SUM(P4:P20)</f>
        <v>1151.13076</v>
      </c>
      <c r="Q21" s="33" t="n">
        <f aca="false">SUM(Q4:Q20)</f>
        <v>1247.581596</v>
      </c>
      <c r="R21" s="33" t="n">
        <f aca="false">SUM(R4:R20)</f>
        <v>1151.13076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3" min="2" style="1" width="18"/>
  </cols>
  <sheetData>
    <row r="1" customFormat="false" ht="17.25" hidden="false" customHeight="true" outlineLevel="0" collapsed="false">
      <c r="A1" s="2" t="s">
        <v>679</v>
      </c>
    </row>
    <row r="2" customFormat="false" ht="15" hidden="false" customHeight="true" outlineLevel="0" collapsed="false">
      <c r="A2" s="3" t="s">
        <v>680</v>
      </c>
    </row>
    <row r="3" customFormat="false" ht="15" hidden="false" customHeight="true" outlineLevel="0" collapsed="false">
      <c r="A3" s="34" t="s">
        <v>36</v>
      </c>
      <c r="B3" s="34" t="s">
        <v>6</v>
      </c>
      <c r="C3" s="34" t="s">
        <v>6</v>
      </c>
      <c r="D3" s="34" t="s">
        <v>41</v>
      </c>
      <c r="E3" s="34" t="s">
        <v>44</v>
      </c>
      <c r="F3" s="34" t="s">
        <v>44</v>
      </c>
      <c r="G3" s="34" t="s">
        <v>6</v>
      </c>
      <c r="H3" s="34" t="s">
        <v>92</v>
      </c>
      <c r="I3" s="34" t="s">
        <v>44</v>
      </c>
      <c r="J3" s="34" t="s">
        <v>44</v>
      </c>
      <c r="K3" s="34" t="s">
        <v>44</v>
      </c>
    </row>
    <row r="4" customFormat="false" ht="39.75" hidden="false" customHeight="true" outlineLevel="0" collapsed="false">
      <c r="A4" s="35" t="s">
        <v>643</v>
      </c>
      <c r="B4" s="22" t="s">
        <v>655</v>
      </c>
      <c r="C4" s="22" t="s">
        <v>681</v>
      </c>
      <c r="D4" s="23" t="s">
        <v>651</v>
      </c>
      <c r="E4" s="24" t="s">
        <v>682</v>
      </c>
      <c r="F4" s="24" t="s">
        <v>683</v>
      </c>
      <c r="G4" s="22" t="s">
        <v>684</v>
      </c>
      <c r="H4" s="25" t="s">
        <v>685</v>
      </c>
      <c r="I4" s="24" t="s">
        <v>686</v>
      </c>
      <c r="J4" s="24" t="s">
        <v>687</v>
      </c>
      <c r="K4" s="24" t="s">
        <v>688</v>
      </c>
    </row>
    <row r="5" customFormat="false" ht="15" hidden="false" customHeight="true" outlineLevel="0" collapsed="false">
      <c r="A5" s="7" t="s">
        <v>661</v>
      </c>
      <c r="B5" s="30" t="n">
        <v>52.165603</v>
      </c>
      <c r="C5" s="30" t="n">
        <v>1.519687</v>
      </c>
      <c r="D5" s="30" t="n">
        <v>0</v>
      </c>
      <c r="E5" s="30" t="n">
        <v>50.645916</v>
      </c>
      <c r="F5" s="30" t="n">
        <v>49.12653852</v>
      </c>
      <c r="G5" s="30" t="n">
        <v>49.126542</v>
      </c>
      <c r="H5" s="30" t="n">
        <v>331.94837556</v>
      </c>
      <c r="I5" s="27" t="n">
        <f aca="false">IF(F5=0,0,(G5-F5)/F5)</f>
        <v>7.08374762105954E-008</v>
      </c>
      <c r="J5" s="27" t="n">
        <f aca="false">IF(F5=0,0,(H5-F5)/F5)</f>
        <v>5.75700722176589</v>
      </c>
      <c r="K5" s="27" t="n">
        <f aca="false">IF(H5=0,0,(G5-H5)/H5)</f>
        <v>-0.852005475498643</v>
      </c>
    </row>
    <row r="6" customFormat="false" ht="15" hidden="false" customHeight="true" outlineLevel="0" collapsed="false">
      <c r="A6" s="7" t="s">
        <v>662</v>
      </c>
      <c r="B6" s="30" t="n">
        <v>46.585009</v>
      </c>
      <c r="C6" s="30" t="n">
        <v>1.011211</v>
      </c>
      <c r="D6" s="30" t="n">
        <v>0</v>
      </c>
      <c r="E6" s="30" t="n">
        <v>45.573798</v>
      </c>
      <c r="F6" s="30" t="n">
        <v>44.20658406</v>
      </c>
      <c r="G6" s="30" t="n">
        <v>44.206582</v>
      </c>
      <c r="H6" s="30" t="n">
        <v>-24.09373054</v>
      </c>
      <c r="I6" s="27" t="n">
        <f aca="false">IF(F6=0,0,(G6-F6)/F6)</f>
        <v>-4.65993933645482E-008</v>
      </c>
      <c r="J6" s="27" t="n">
        <f aca="false">IF(F6=0,0,(H6-F6)/F6)</f>
        <v>-1.5450258383977</v>
      </c>
      <c r="K6" s="27" t="n">
        <f aca="false">IF(H6=0,0,(G6-H6)/H6)</f>
        <v>-2.83477531329609</v>
      </c>
    </row>
    <row r="7" customFormat="false" ht="15" hidden="false" customHeight="true" outlineLevel="0" collapsed="false">
      <c r="A7" s="7" t="s">
        <v>663</v>
      </c>
      <c r="B7" s="30" t="n">
        <v>40.923469</v>
      </c>
      <c r="C7" s="30" t="n">
        <v>1.039681</v>
      </c>
      <c r="D7" s="30" t="n">
        <v>0</v>
      </c>
      <c r="E7" s="30" t="n">
        <v>39.883788</v>
      </c>
      <c r="F7" s="30" t="n">
        <v>38.68727436</v>
      </c>
      <c r="G7" s="30" t="n">
        <v>38.687274</v>
      </c>
      <c r="H7" s="30" t="n">
        <v>-55.43123869</v>
      </c>
      <c r="I7" s="27" t="n">
        <f aca="false">IF(F7=0,0,(G7-F7)/F7)</f>
        <v>-9.30538548709546E-009</v>
      </c>
      <c r="J7" s="27" t="n">
        <f aca="false">IF(F7=0,0,(H7-F7)/F7)</f>
        <v>-2.43280289467257</v>
      </c>
      <c r="K7" s="27" t="n">
        <f aca="false">IF(H7=0,0,(G7-H7)/H7)</f>
        <v>-1.69793269849803</v>
      </c>
    </row>
    <row r="8" customFormat="false" ht="15" hidden="false" customHeight="true" outlineLevel="0" collapsed="false">
      <c r="A8" s="7" t="s">
        <v>664</v>
      </c>
      <c r="B8" s="30" t="n">
        <v>44.237098</v>
      </c>
      <c r="C8" s="30" t="n">
        <v>1.288459</v>
      </c>
      <c r="D8" s="30" t="n">
        <v>0</v>
      </c>
      <c r="E8" s="30" t="n">
        <v>42.948639</v>
      </c>
      <c r="F8" s="30" t="n">
        <v>41.66017983</v>
      </c>
      <c r="G8" s="30" t="n">
        <v>41.66018</v>
      </c>
      <c r="H8" s="30" t="n">
        <v>166.76003138</v>
      </c>
      <c r="I8" s="27" t="n">
        <f aca="false">IF(F8=0,0,(G8-F8)/F8)</f>
        <v>4.08063528647059E-009</v>
      </c>
      <c r="J8" s="27" t="n">
        <f aca="false">IF(F8=0,0,(H8-F8)/F8)</f>
        <v>3.00286393530913</v>
      </c>
      <c r="K8" s="27" t="n">
        <f aca="false">IF(H8=0,0,(G8-H8)/H8)</f>
        <v>-0.750178866870875</v>
      </c>
    </row>
    <row r="9" customFormat="false" ht="15" hidden="false" customHeight="true" outlineLevel="0" collapsed="false">
      <c r="A9" s="7" t="s">
        <v>665</v>
      </c>
      <c r="B9" s="30" t="n">
        <v>72.978325</v>
      </c>
      <c r="C9" s="30" t="n">
        <v>2.125583</v>
      </c>
      <c r="D9" s="30" t="n">
        <v>0</v>
      </c>
      <c r="E9" s="30" t="n">
        <v>70.852742</v>
      </c>
      <c r="F9" s="30" t="n">
        <v>68.72715974</v>
      </c>
      <c r="G9" s="30" t="n">
        <v>68.72716</v>
      </c>
      <c r="H9" s="30" t="n">
        <v>366.06118727</v>
      </c>
      <c r="I9" s="27" t="n">
        <f aca="false">IF(F9=0,0,(G9-F9)/F9)</f>
        <v>3.78307490189303E-009</v>
      </c>
      <c r="J9" s="27" t="n">
        <f aca="false">IF(F9=0,0,(H9-F9)/F9)</f>
        <v>4.32629587276467</v>
      </c>
      <c r="K9" s="27" t="n">
        <f aca="false">IF(H9=0,0,(G9-H9)/H9)</f>
        <v>-0.812252261670921</v>
      </c>
    </row>
    <row r="10" customFormat="false" ht="15" hidden="false" customHeight="true" outlineLevel="0" collapsed="false">
      <c r="A10" s="7" t="s">
        <v>666</v>
      </c>
      <c r="B10" s="30" t="n">
        <v>63.138126</v>
      </c>
      <c r="C10" s="30" t="n">
        <v>1.838974</v>
      </c>
      <c r="D10" s="30" t="n">
        <v>0</v>
      </c>
      <c r="E10" s="30" t="n">
        <v>61.299152</v>
      </c>
      <c r="F10" s="30" t="n">
        <v>59.46017744</v>
      </c>
      <c r="G10" s="30" t="n">
        <v>59.460178</v>
      </c>
      <c r="H10" s="30" t="n">
        <v>149.30640076</v>
      </c>
      <c r="I10" s="27" t="n">
        <f aca="false">IF(F10=0,0,(G10-F10)/F10)</f>
        <v>9.41806803657289E-009</v>
      </c>
      <c r="J10" s="27" t="n">
        <f aca="false">IF(F10=0,0,(H10-F10)/F10)</f>
        <v>1.51103187357054</v>
      </c>
      <c r="K10" s="27" t="n">
        <f aca="false">IF(H10=0,0,(G10-H10)/H10)</f>
        <v>-0.601757341297255</v>
      </c>
    </row>
    <row r="11" customFormat="false" ht="15" hidden="false" customHeight="true" outlineLevel="0" collapsed="false">
      <c r="A11" s="7" t="s">
        <v>667</v>
      </c>
      <c r="B11" s="30" t="n">
        <v>96.415361</v>
      </c>
      <c r="C11" s="30" t="n">
        <v>2.808048</v>
      </c>
      <c r="D11" s="30" t="n">
        <v>0</v>
      </c>
      <c r="E11" s="30" t="n">
        <v>93.607313</v>
      </c>
      <c r="F11" s="30" t="n">
        <v>90.79909361</v>
      </c>
      <c r="G11" s="30" t="n">
        <v>90.799094</v>
      </c>
      <c r="H11" s="30" t="n">
        <v>220.8133309</v>
      </c>
      <c r="I11" s="27" t="n">
        <f aca="false">IF(F11=0,0,(G11-F11)/F11)</f>
        <v>4.29519702494757E-009</v>
      </c>
      <c r="J11" s="27" t="n">
        <f aca="false">IF(F11=0,0,(H11-F11)/F11)</f>
        <v>1.43188915352434</v>
      </c>
      <c r="K11" s="27" t="n">
        <f aca="false">IF(H11=0,0,(G11-H11)/H11)</f>
        <v>-0.588797045767494</v>
      </c>
    </row>
    <row r="12" customFormat="false" ht="15" hidden="false" customHeight="true" outlineLevel="0" collapsed="false">
      <c r="A12" s="7" t="s">
        <v>668</v>
      </c>
      <c r="B12" s="30" t="n">
        <v>145.395806</v>
      </c>
      <c r="C12" s="30" t="n">
        <v>3.906377</v>
      </c>
      <c r="D12" s="30" t="n">
        <v>0</v>
      </c>
      <c r="E12" s="30" t="n">
        <v>141.489429</v>
      </c>
      <c r="F12" s="30" t="n">
        <v>137.24474613</v>
      </c>
      <c r="G12" s="30" t="n">
        <v>127.728272</v>
      </c>
      <c r="H12" s="30" t="n">
        <v>258.13408184</v>
      </c>
      <c r="I12" s="27" t="n">
        <f aca="false">IF(F12=0,0,(G12-F12)/F12)</f>
        <v>-0.0693394421159545</v>
      </c>
      <c r="J12" s="27" t="n">
        <f aca="false">IF(F12=0,0,(H12-F12)/F12)</f>
        <v>0.880830334995061</v>
      </c>
      <c r="K12" s="27" t="n">
        <f aca="false">IF(H12=0,0,(G12-H12)/H12)</f>
        <v>-0.505186331500502</v>
      </c>
    </row>
    <row r="13" customFormat="false" ht="15" hidden="false" customHeight="true" outlineLevel="0" collapsed="false">
      <c r="A13" s="7" t="s">
        <v>669</v>
      </c>
      <c r="B13" s="30" t="n">
        <v>113.136362</v>
      </c>
      <c r="C13" s="30" t="n">
        <v>0.992317</v>
      </c>
      <c r="D13" s="30" t="n">
        <v>0</v>
      </c>
      <c r="E13" s="30" t="n">
        <v>112.144045</v>
      </c>
      <c r="F13" s="30" t="n">
        <v>108.77972365</v>
      </c>
      <c r="G13" s="30" t="n">
        <v>98.239623</v>
      </c>
      <c r="H13" s="30" t="n">
        <v>36.9027826700001</v>
      </c>
      <c r="I13" s="27" t="n">
        <f aca="false">IF(F13=0,0,(G13-F13)/F13)</f>
        <v>-0.0968939825947057</v>
      </c>
      <c r="J13" s="27" t="n">
        <f aca="false">IF(F13=0,0,(H13-F13)/F13)</f>
        <v>-0.660756789668493</v>
      </c>
      <c r="K13" s="27" t="n">
        <f aca="false">IF(H13=0,0,(G13-H13)/H13)</f>
        <v>1.66211965310311</v>
      </c>
    </row>
    <row r="14" customFormat="false" ht="15" hidden="false" customHeight="true" outlineLevel="0" collapsed="false">
      <c r="A14" s="7" t="s">
        <v>670</v>
      </c>
      <c r="B14" s="30" t="n">
        <v>117.061228</v>
      </c>
      <c r="C14" s="30" t="n">
        <v>1.056061</v>
      </c>
      <c r="D14" s="30" t="n">
        <v>0</v>
      </c>
      <c r="E14" s="30" t="n">
        <v>116.005167</v>
      </c>
      <c r="F14" s="30" t="n">
        <v>112.52501199</v>
      </c>
      <c r="G14" s="30" t="n">
        <v>104.550047</v>
      </c>
      <c r="H14" s="30" t="n">
        <v>186.03072414</v>
      </c>
      <c r="I14" s="27" t="n">
        <f aca="false">IF(F14=0,0,(G14-F14)/F14)</f>
        <v>-0.0708728206197278</v>
      </c>
      <c r="J14" s="27" t="n">
        <f aca="false">IF(F14=0,0,(H14-F14)/F14)</f>
        <v>0.653238874184989</v>
      </c>
      <c r="K14" s="27" t="n">
        <f aca="false">IF(H14=0,0,(G14-H14)/H14)</f>
        <v>-0.437995806965093</v>
      </c>
    </row>
    <row r="15" customFormat="false" ht="15" hidden="false" customHeight="true" outlineLevel="0" collapsed="false">
      <c r="A15" s="7" t="s">
        <v>671</v>
      </c>
      <c r="B15" s="30" t="n">
        <v>100.71174</v>
      </c>
      <c r="C15" s="30" t="n">
        <v>0.907864</v>
      </c>
      <c r="D15" s="30" t="n">
        <v>0</v>
      </c>
      <c r="E15" s="30" t="n">
        <v>99.803876</v>
      </c>
      <c r="F15" s="30" t="n">
        <v>96.80975972</v>
      </c>
      <c r="G15" s="30" t="n">
        <v>89.878614</v>
      </c>
      <c r="H15" s="30" t="n">
        <v>-329.49424022</v>
      </c>
      <c r="I15" s="27" t="n">
        <f aca="false">IF(F15=0,0,(G15-F15)/F15)</f>
        <v>-0.0715955265259076</v>
      </c>
      <c r="J15" s="27" t="n">
        <f aca="false">IF(F15=0,0,(H15-F15)/F15)</f>
        <v>-4.40352296269494</v>
      </c>
      <c r="K15" s="27" t="n">
        <f aca="false">IF(H15=0,0,(G15-H15)/H15)</f>
        <v>-1.27277749662631</v>
      </c>
    </row>
    <row r="16" customFormat="false" ht="15" hidden="false" customHeight="true" outlineLevel="0" collapsed="false">
      <c r="A16" s="7" t="s">
        <v>672</v>
      </c>
      <c r="B16" s="30" t="n">
        <v>68.765847</v>
      </c>
      <c r="C16" s="30" t="n">
        <v>0.612408</v>
      </c>
      <c r="D16" s="30" t="n">
        <v>0</v>
      </c>
      <c r="E16" s="30" t="n">
        <v>68.153439</v>
      </c>
      <c r="F16" s="30" t="n">
        <v>66.10883583</v>
      </c>
      <c r="G16" s="30" t="n">
        <v>60.628332</v>
      </c>
      <c r="H16" s="30" t="n">
        <v>-337.50073262</v>
      </c>
      <c r="I16" s="27" t="n">
        <f aca="false">IF(F16=0,0,(G16-F16)/F16)</f>
        <v>-0.0829012303906427</v>
      </c>
      <c r="J16" s="27" t="n">
        <f aca="false">IF(F16=0,0,(H16-F16)/F16)</f>
        <v>-6.10522880009397</v>
      </c>
      <c r="K16" s="27" t="n">
        <f aca="false">IF(H16=0,0,(G16-H16)/H16)</f>
        <v>-1.17963911227494</v>
      </c>
    </row>
    <row r="17" customFormat="false" ht="15" hidden="false" customHeight="true" outlineLevel="0" collapsed="false">
      <c r="A17" s="7" t="s">
        <v>673</v>
      </c>
      <c r="B17" s="30" t="n">
        <v>76.558259</v>
      </c>
      <c r="C17" s="30" t="n">
        <v>0.694856</v>
      </c>
      <c r="D17" s="30" t="n">
        <v>0</v>
      </c>
      <c r="E17" s="30" t="n">
        <v>75.863403</v>
      </c>
      <c r="F17" s="30" t="n">
        <v>73.58750091</v>
      </c>
      <c r="G17" s="30" t="n">
        <v>68.792903</v>
      </c>
      <c r="H17" s="30" t="n">
        <v>375.93842386</v>
      </c>
      <c r="I17" s="27" t="n">
        <f aca="false">IF(F17=0,0,(G17-F17)/F17)</f>
        <v>-0.065155058273605</v>
      </c>
      <c r="J17" s="27" t="n">
        <f aca="false">IF(F17=0,0,(H17-F17)/F17)</f>
        <v>4.10872660725067</v>
      </c>
      <c r="K17" s="27" t="n">
        <f aca="false">IF(H17=0,0,(G17-H17)/H17)</f>
        <v>-0.817010184025194</v>
      </c>
    </row>
    <row r="18" customFormat="false" ht="15" hidden="false" customHeight="true" outlineLevel="0" collapsed="false">
      <c r="A18" s="7" t="s">
        <v>674</v>
      </c>
      <c r="B18" s="30" t="n">
        <v>69.276165</v>
      </c>
      <c r="C18" s="30" t="n">
        <v>0.62689</v>
      </c>
      <c r="D18" s="30" t="n">
        <v>0</v>
      </c>
      <c r="E18" s="30" t="n">
        <v>68.649275</v>
      </c>
      <c r="F18" s="30" t="n">
        <v>66.58979675</v>
      </c>
      <c r="G18" s="30" t="n">
        <v>62.064961</v>
      </c>
      <c r="H18" s="30" t="n">
        <v>-151.18939939</v>
      </c>
      <c r="I18" s="27" t="n">
        <f aca="false">IF(F18=0,0,(G18-F18)/F18)</f>
        <v>-0.0679508869352422</v>
      </c>
      <c r="J18" s="27" t="n">
        <f aca="false">IF(F18=0,0,(H18-F18)/F18)</f>
        <v>-3.27045894069349</v>
      </c>
      <c r="K18" s="27" t="n">
        <f aca="false">IF(H18=0,0,(G18-H18)/H18)</f>
        <v>-1.41051132718571</v>
      </c>
    </row>
    <row r="19" customFormat="false" ht="15" hidden="false" customHeight="true" outlineLevel="0" collapsed="false">
      <c r="A19" s="7" t="s">
        <v>675</v>
      </c>
      <c r="B19" s="30" t="n">
        <v>69.123186</v>
      </c>
      <c r="C19" s="30" t="n">
        <v>0.620206</v>
      </c>
      <c r="D19" s="30" t="n">
        <v>0.565735</v>
      </c>
      <c r="E19" s="30" t="n">
        <v>67.937245</v>
      </c>
      <c r="F19" s="30" t="n">
        <v>65.89912765</v>
      </c>
      <c r="G19" s="30" t="n">
        <v>61.400023</v>
      </c>
      <c r="H19" s="30" t="n">
        <v>523.18791773</v>
      </c>
      <c r="I19" s="27" t="n">
        <f aca="false">IF(F19=0,0,(G19-F19)/F19)</f>
        <v>-0.0682725979909083</v>
      </c>
      <c r="J19" s="27" t="n">
        <f aca="false">IF(F19=0,0,(H19-F19)/F19)</f>
        <v>6.93922372552074</v>
      </c>
      <c r="K19" s="27" t="n">
        <f aca="false">IF(H19=0,0,(G19-H19)/H19)</f>
        <v>-0.882642505839199</v>
      </c>
    </row>
    <row r="20" customFormat="false" ht="15" hidden="false" customHeight="true" outlineLevel="0" collapsed="false">
      <c r="A20" s="7" t="s">
        <v>676</v>
      </c>
      <c r="B20" s="30" t="n">
        <v>58.772635</v>
      </c>
      <c r="C20" s="30" t="n">
        <v>0.527434</v>
      </c>
      <c r="D20" s="30" t="n">
        <v>1.218548</v>
      </c>
      <c r="E20" s="30" t="n">
        <v>57.026653</v>
      </c>
      <c r="F20" s="30" t="n">
        <v>55.31585341</v>
      </c>
      <c r="G20" s="30" t="n">
        <v>52.216846</v>
      </c>
      <c r="H20" s="30" t="n">
        <v>15.0463644599998</v>
      </c>
      <c r="I20" s="27" t="n">
        <f aca="false">IF(F20=0,0,(G20-F20)/F20)</f>
        <v>-0.0560238560730542</v>
      </c>
      <c r="J20" s="27" t="n">
        <f aca="false">IF(F20=0,0,(H20-F20)/F20)</f>
        <v>-0.727991822733413</v>
      </c>
      <c r="K20" s="27" t="n">
        <f aca="false">IF(H20=0,0,(G20-H20)/H20)</f>
        <v>2.47039619695618</v>
      </c>
    </row>
    <row r="21" customFormat="false" ht="15" hidden="false" customHeight="true" outlineLevel="0" collapsed="false">
      <c r="A21" s="7" t="s">
        <v>677</v>
      </c>
      <c r="B21" s="30" t="n">
        <v>36.775307</v>
      </c>
      <c r="C21" s="30" t="n">
        <v>0.332977</v>
      </c>
      <c r="D21" s="30" t="n">
        <v>0.744614</v>
      </c>
      <c r="E21" s="30" t="n">
        <v>35.697716</v>
      </c>
      <c r="F21" s="30" t="n">
        <v>34.62678452</v>
      </c>
      <c r="G21" s="30" t="n">
        <v>32.964129</v>
      </c>
      <c r="H21" s="30" t="n">
        <v>426.28526778</v>
      </c>
      <c r="I21" s="27" t="n">
        <f aca="false">IF(F21=0,0,(G21-F21)/F21)</f>
        <v>-0.0480164572901556</v>
      </c>
      <c r="J21" s="27" t="n">
        <f aca="false">IF(F21=0,0,(H21-F21)/F21)</f>
        <v>11.310853395405</v>
      </c>
      <c r="K21" s="27" t="n">
        <f aca="false">IF(H21=0,0,(G21-H21)/H21)</f>
        <v>-0.922671198158759</v>
      </c>
    </row>
    <row r="22" customFormat="false" ht="15" hidden="false" customHeight="true" outlineLevel="0" collapsed="false">
      <c r="A22" s="31" t="s">
        <v>678</v>
      </c>
      <c r="B22" s="33" t="n">
        <f aca="false">SUM(B5:B21)</f>
        <v>1272.019526</v>
      </c>
      <c r="C22" s="33" t="n">
        <f aca="false">SUM(C5:C21)</f>
        <v>21.909033</v>
      </c>
      <c r="D22" s="33" t="n">
        <f aca="false">SUM(D5:D21)</f>
        <v>2.528897</v>
      </c>
      <c r="E22" s="33" t="n">
        <f aca="false">SUM(E5:E21)</f>
        <v>1247.581596</v>
      </c>
      <c r="F22" s="33" t="n">
        <f aca="false">SUM(F5:F21)</f>
        <v>1210.15414812</v>
      </c>
      <c r="G22" s="33" t="n">
        <f aca="false">SUM(G5:G21)</f>
        <v>1151.13076</v>
      </c>
      <c r="H22" s="33" t="n">
        <f aca="false">SUM(H5:H21)</f>
        <v>2158.70554689</v>
      </c>
    </row>
    <row r="24" customFormat="false" ht="15" hidden="false" customHeight="true" outlineLevel="0" collapsed="false">
      <c r="A24" s="36" t="s">
        <v>689</v>
      </c>
    </row>
    <row r="25" customFormat="false" ht="15" hidden="false" customHeight="true" outlineLevel="0" collapsed="false">
      <c r="A25" s="6" t="s">
        <v>690</v>
      </c>
      <c r="B25" s="7" t="s">
        <v>691</v>
      </c>
      <c r="C25" s="3" t="s">
        <v>692</v>
      </c>
    </row>
    <row r="26" customFormat="false" ht="15" hidden="false" customHeight="true" outlineLevel="0" collapsed="false">
      <c r="A26" s="6" t="s">
        <v>693</v>
      </c>
      <c r="B26" s="7" t="s">
        <v>694</v>
      </c>
      <c r="C26" s="3" t="s">
        <v>695</v>
      </c>
    </row>
    <row r="27" customFormat="false" ht="15" hidden="false" customHeight="true" outlineLevel="0" collapsed="false">
      <c r="A27" s="6" t="s">
        <v>696</v>
      </c>
      <c r="B27" s="7" t="s">
        <v>697</v>
      </c>
      <c r="C27" s="3" t="s">
        <v>698</v>
      </c>
    </row>
    <row r="28" customFormat="false" ht="15" hidden="false" customHeight="true" outlineLevel="0" collapsed="false">
      <c r="A28" s="6" t="s">
        <v>699</v>
      </c>
      <c r="B28" s="7" t="s">
        <v>700</v>
      </c>
      <c r="C28" s="3" t="s">
        <v>701</v>
      </c>
    </row>
    <row r="29" customFormat="false" ht="15" hidden="false" customHeight="true" outlineLevel="0" collapsed="false">
      <c r="A29" s="6" t="s">
        <v>702</v>
      </c>
      <c r="B29" s="7" t="s">
        <v>703</v>
      </c>
      <c r="C29" s="3" t="s">
        <v>704</v>
      </c>
    </row>
    <row r="30" customFormat="false" ht="15" hidden="false" customHeight="true" outlineLevel="0" collapsed="false">
      <c r="A30" s="6" t="s">
        <v>705</v>
      </c>
      <c r="B30" s="7" t="s">
        <v>706</v>
      </c>
      <c r="C30" s="3" t="s">
        <v>707</v>
      </c>
    </row>
    <row r="32" customFormat="false" ht="15" hidden="false" customHeight="true" outlineLevel="0" collapsed="false">
      <c r="A32" s="36" t="s">
        <v>708</v>
      </c>
    </row>
    <row r="33" customFormat="false" ht="15" hidden="false" customHeight="true" outlineLevel="0" collapsed="false">
      <c r="A33" s="37" t="s">
        <v>709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customFormat="false" ht="15" hidden="false" customHeight="true" outlineLevel="0" collapsed="false">
      <c r="A34" s="37" t="s">
        <v>710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customFormat="false" ht="15" hidden="false" customHeight="true" outlineLevel="0" collapsed="false">
      <c r="A35" s="37" t="s">
        <v>711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customFormat="false" ht="15" hidden="false" customHeight="true" outlineLevel="0" collapsed="false">
      <c r="A36" s="37" t="s">
        <v>712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customFormat="false" ht="1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</row>
    <row r="38" customFormat="false" ht="15" hidden="false" customHeight="true" outlineLevel="0" collapsed="false">
      <c r="A38" s="37" t="s">
        <v>713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customFormat="false" ht="15" hidden="false" customHeight="true" outlineLevel="0" collapsed="false">
      <c r="A39" s="37" t="s">
        <v>714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customFormat="false" ht="15" hidden="false" customHeight="true" outlineLevel="0" collapsed="false">
      <c r="A40" s="37" t="s">
        <v>715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customFormat="false" ht="15" hidden="false" customHeight="true" outlineLevel="0" collapsed="false">
      <c r="A41" s="37" t="s">
        <v>716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</row>
  </sheetData>
  <mergeCells count="9">
    <mergeCell ref="A33:K33"/>
    <mergeCell ref="A34:K34"/>
    <mergeCell ref="A35:K35"/>
    <mergeCell ref="A36:K36"/>
    <mergeCell ref="A37:K37"/>
    <mergeCell ref="A38:K38"/>
    <mergeCell ref="A39:K39"/>
    <mergeCell ref="A40:K40"/>
    <mergeCell ref="A41:K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7"/>
  </cols>
  <sheetData>
    <row r="1" customFormat="false" ht="17.25" hidden="false" customHeight="true" outlineLevel="0" collapsed="false">
      <c r="A1" s="2" t="s">
        <v>717</v>
      </c>
    </row>
    <row r="3" customFormat="false" ht="31.5" hidden="false" customHeight="true" outlineLevel="0" collapsed="false">
      <c r="A3" s="35" t="s">
        <v>643</v>
      </c>
      <c r="B3" s="23" t="s">
        <v>718</v>
      </c>
      <c r="C3" s="23" t="s">
        <v>719</v>
      </c>
      <c r="D3" s="23" t="s">
        <v>720</v>
      </c>
      <c r="E3" s="23" t="s">
        <v>721</v>
      </c>
      <c r="F3" s="23" t="s">
        <v>722</v>
      </c>
      <c r="G3" s="23" t="s">
        <v>723</v>
      </c>
      <c r="H3" s="24" t="s">
        <v>724</v>
      </c>
    </row>
    <row r="4" customFormat="false" ht="15" hidden="false" customHeight="true" outlineLevel="0" collapsed="false">
      <c r="A4" s="7" t="s">
        <v>661</v>
      </c>
      <c r="B4" s="30" t="n">
        <v>0</v>
      </c>
      <c r="C4" s="30" t="n">
        <v>0</v>
      </c>
      <c r="D4" s="30" t="n">
        <v>0</v>
      </c>
      <c r="E4" s="30" t="n">
        <v>0</v>
      </c>
      <c r="F4" s="30" t="n">
        <v>0</v>
      </c>
      <c r="G4" s="30" t="n">
        <v>0</v>
      </c>
      <c r="H4" s="30" t="n">
        <v>0</v>
      </c>
    </row>
    <row r="5" customFormat="false" ht="15" hidden="false" customHeight="true" outlineLevel="0" collapsed="false">
      <c r="A5" s="7" t="s">
        <v>662</v>
      </c>
      <c r="B5" s="30" t="n">
        <v>0</v>
      </c>
      <c r="C5" s="30" t="n">
        <v>0</v>
      </c>
      <c r="D5" s="30" t="n">
        <v>0</v>
      </c>
      <c r="E5" s="30" t="n">
        <v>0</v>
      </c>
      <c r="F5" s="30" t="n">
        <v>0</v>
      </c>
      <c r="G5" s="30" t="n">
        <v>0</v>
      </c>
      <c r="H5" s="30" t="n">
        <v>0</v>
      </c>
    </row>
    <row r="6" customFormat="false" ht="15" hidden="false" customHeight="true" outlineLevel="0" collapsed="false">
      <c r="A6" s="7" t="s">
        <v>663</v>
      </c>
      <c r="B6" s="30" t="n">
        <v>0</v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30" t="n">
        <v>0</v>
      </c>
    </row>
    <row r="7" customFormat="false" ht="15" hidden="false" customHeight="true" outlineLevel="0" collapsed="false">
      <c r="A7" s="7" t="s">
        <v>664</v>
      </c>
      <c r="B7" s="30" t="n">
        <v>0</v>
      </c>
      <c r="C7" s="30" t="n">
        <v>0</v>
      </c>
      <c r="D7" s="30" t="n">
        <v>0</v>
      </c>
      <c r="E7" s="30" t="n">
        <v>0</v>
      </c>
      <c r="F7" s="30" t="n">
        <v>0</v>
      </c>
      <c r="G7" s="30" t="n">
        <v>0</v>
      </c>
      <c r="H7" s="30" t="n">
        <v>0</v>
      </c>
    </row>
    <row r="8" customFormat="false" ht="15" hidden="false" customHeight="true" outlineLevel="0" collapsed="false">
      <c r="A8" s="7" t="s">
        <v>665</v>
      </c>
      <c r="B8" s="30" t="n">
        <v>0</v>
      </c>
      <c r="C8" s="30" t="n">
        <v>0</v>
      </c>
      <c r="D8" s="30" t="n">
        <v>0</v>
      </c>
      <c r="E8" s="30" t="n">
        <v>0</v>
      </c>
      <c r="F8" s="30" t="n">
        <v>0</v>
      </c>
      <c r="G8" s="30" t="n">
        <v>0</v>
      </c>
      <c r="H8" s="30" t="n">
        <v>0</v>
      </c>
    </row>
    <row r="9" customFormat="false" ht="15" hidden="false" customHeight="true" outlineLevel="0" collapsed="false">
      <c r="A9" s="7" t="s">
        <v>666</v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</row>
    <row r="10" customFormat="false" ht="15" hidden="false" customHeight="true" outlineLevel="0" collapsed="false">
      <c r="A10" s="7" t="s">
        <v>667</v>
      </c>
      <c r="B10" s="30" t="n">
        <v>0</v>
      </c>
      <c r="C10" s="30" t="n">
        <v>0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0</v>
      </c>
    </row>
    <row r="11" customFormat="false" ht="15" hidden="false" customHeight="true" outlineLevel="0" collapsed="false">
      <c r="A11" s="7" t="s">
        <v>668</v>
      </c>
      <c r="B11" s="30" t="n">
        <v>0</v>
      </c>
      <c r="C11" s="30" t="n">
        <v>0</v>
      </c>
      <c r="D11" s="30" t="n">
        <v>0</v>
      </c>
      <c r="E11" s="30" t="n">
        <v>0</v>
      </c>
      <c r="F11" s="30" t="n">
        <v>0</v>
      </c>
      <c r="G11" s="30" t="n">
        <v>0</v>
      </c>
      <c r="H11" s="30" t="n">
        <v>0</v>
      </c>
    </row>
    <row r="12" customFormat="false" ht="15" hidden="false" customHeight="true" outlineLevel="0" collapsed="false">
      <c r="A12" s="7" t="s">
        <v>669</v>
      </c>
      <c r="B12" s="30" t="n">
        <v>0</v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30" t="n">
        <v>0</v>
      </c>
    </row>
    <row r="13" customFormat="false" ht="15" hidden="false" customHeight="true" outlineLevel="0" collapsed="false">
      <c r="A13" s="7" t="s">
        <v>670</v>
      </c>
      <c r="B13" s="30" t="n">
        <v>755.564453</v>
      </c>
      <c r="C13" s="30" t="n">
        <v>0</v>
      </c>
      <c r="D13" s="30" t="n">
        <v>0</v>
      </c>
      <c r="E13" s="30" t="n">
        <v>0</v>
      </c>
      <c r="F13" s="30" t="n">
        <v>0</v>
      </c>
      <c r="G13" s="30" t="n">
        <v>0</v>
      </c>
      <c r="H13" s="30" t="n">
        <v>755.564453</v>
      </c>
    </row>
    <row r="14" customFormat="false" ht="15" hidden="false" customHeight="true" outlineLevel="0" collapsed="false">
      <c r="A14" s="7" t="s">
        <v>671</v>
      </c>
      <c r="B14" s="30" t="n">
        <v>4103.693499</v>
      </c>
      <c r="C14" s="30" t="n">
        <v>27.217278</v>
      </c>
      <c r="D14" s="30" t="n">
        <v>79.336565</v>
      </c>
      <c r="E14" s="30" t="n">
        <v>0</v>
      </c>
      <c r="F14" s="30" t="n">
        <v>0</v>
      </c>
      <c r="G14" s="30" t="n">
        <v>0</v>
      </c>
      <c r="H14" s="30" t="n">
        <v>4210.247345</v>
      </c>
    </row>
    <row r="15" customFormat="false" ht="15" hidden="false" customHeight="true" outlineLevel="0" collapsed="false">
      <c r="A15" s="7" t="s">
        <v>672</v>
      </c>
      <c r="B15" s="30" t="n">
        <v>7506.588711</v>
      </c>
      <c r="C15" s="30" t="n">
        <v>38.160994</v>
      </c>
      <c r="D15" s="30" t="n">
        <v>267.846804</v>
      </c>
      <c r="E15" s="30" t="n">
        <v>318.777751</v>
      </c>
      <c r="F15" s="30" t="n">
        <v>0</v>
      </c>
      <c r="G15" s="30" t="n">
        <v>0</v>
      </c>
      <c r="H15" s="30" t="n">
        <v>8131.374255</v>
      </c>
    </row>
    <row r="16" customFormat="false" ht="15" hidden="false" customHeight="true" outlineLevel="0" collapsed="false">
      <c r="A16" s="7" t="s">
        <v>673</v>
      </c>
      <c r="B16" s="30" t="n">
        <v>21596.307891</v>
      </c>
      <c r="C16" s="30" t="n">
        <v>52.550794</v>
      </c>
      <c r="D16" s="30" t="n">
        <v>834.319594</v>
      </c>
      <c r="E16" s="30" t="n">
        <v>787.798345</v>
      </c>
      <c r="F16" s="30" t="n">
        <v>662.269286</v>
      </c>
      <c r="G16" s="30" t="n">
        <v>892.740871</v>
      </c>
      <c r="H16" s="30" t="n">
        <v>24825.98679</v>
      </c>
    </row>
    <row r="17" customFormat="false" ht="15" hidden="false" customHeight="true" outlineLevel="0" collapsed="false">
      <c r="A17" s="7" t="s">
        <v>674</v>
      </c>
      <c r="B17" s="30" t="n">
        <v>32787.790926</v>
      </c>
      <c r="C17" s="30" t="n">
        <v>197.672747</v>
      </c>
      <c r="D17" s="30" t="n">
        <v>696.817358</v>
      </c>
      <c r="E17" s="30" t="n">
        <v>1025.478349</v>
      </c>
      <c r="F17" s="30" t="n">
        <v>883.351873</v>
      </c>
      <c r="G17" s="30" t="n">
        <v>4748.247163</v>
      </c>
      <c r="H17" s="30" t="n">
        <v>40339.358421</v>
      </c>
    </row>
    <row r="18" customFormat="false" ht="15" hidden="false" customHeight="true" outlineLevel="0" collapsed="false">
      <c r="A18" s="7" t="s">
        <v>675</v>
      </c>
      <c r="B18" s="30" t="n">
        <v>58525.486154</v>
      </c>
      <c r="C18" s="30" t="n">
        <v>106.567974</v>
      </c>
      <c r="D18" s="30" t="n">
        <v>1146.363123</v>
      </c>
      <c r="E18" s="30" t="n">
        <v>997.261225</v>
      </c>
      <c r="F18" s="30" t="n">
        <v>957.863919</v>
      </c>
      <c r="G18" s="30" t="n">
        <v>6769.595602</v>
      </c>
      <c r="H18" s="30" t="n">
        <v>68503.137992</v>
      </c>
    </row>
    <row r="19" customFormat="false" ht="15" hidden="false" customHeight="true" outlineLevel="0" collapsed="false">
      <c r="A19" s="7" t="s">
        <v>676</v>
      </c>
      <c r="B19" s="30" t="n">
        <v>60702.76615</v>
      </c>
      <c r="C19" s="30" t="n">
        <v>83.736747</v>
      </c>
      <c r="D19" s="30" t="n">
        <v>334.468537</v>
      </c>
      <c r="E19" s="30" t="n">
        <v>486.142584</v>
      </c>
      <c r="F19" s="30" t="n">
        <v>581.560943</v>
      </c>
      <c r="G19" s="30" t="n">
        <v>2994.537221</v>
      </c>
      <c r="H19" s="30" t="n">
        <v>65183.21218</v>
      </c>
    </row>
    <row r="20" customFormat="false" ht="15" hidden="false" customHeight="true" outlineLevel="0" collapsed="false">
      <c r="A20" s="7" t="s">
        <v>677</v>
      </c>
      <c r="B20" s="30" t="n">
        <v>37401.498374</v>
      </c>
      <c r="C20" s="30" t="n">
        <v>80.656928</v>
      </c>
      <c r="D20" s="30" t="n">
        <v>150.555732</v>
      </c>
      <c r="E20" s="30" t="n">
        <v>194.810862</v>
      </c>
      <c r="F20" s="30" t="n">
        <v>387.898962</v>
      </c>
      <c r="G20" s="30" t="n">
        <v>1834.775482</v>
      </c>
      <c r="H20" s="30" t="n">
        <v>40050.19634</v>
      </c>
    </row>
    <row r="21" customFormat="false" ht="15" hidden="false" customHeight="true" outlineLevel="0" collapsed="false">
      <c r="A21" s="31" t="s">
        <v>678</v>
      </c>
      <c r="B21" s="33" t="n">
        <f aca="false">SUM(B4:B20)</f>
        <v>223379.696158</v>
      </c>
      <c r="C21" s="33" t="n">
        <f aca="false">SUM(C4:C20)</f>
        <v>586.563462</v>
      </c>
      <c r="D21" s="33" t="n">
        <f aca="false">SUM(D4:D20)</f>
        <v>3509.707713</v>
      </c>
      <c r="E21" s="33" t="n">
        <f aca="false">SUM(E4:E20)</f>
        <v>3810.269116</v>
      </c>
      <c r="F21" s="33" t="n">
        <f aca="false">SUM(F4:F20)</f>
        <v>3472.944983</v>
      </c>
      <c r="G21" s="33" t="n">
        <f aca="false">SUM(G4:G20)</f>
        <v>17239.896339</v>
      </c>
      <c r="H21" s="33" t="n">
        <f aca="false">SUM(H4:H20)</f>
        <v>251999.077776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2026-05-20T08:36:14Z</dcterms:created>
  <dc:creator>openpyxl</dc:creator>
  <dc:description/>
  <dc:language>en-US</dc:language>
  <cp:lastModifiedBy/>
  <dcterms:modified xsi:type="dcterms:W3CDTF">2026-05-20T08:36:43Z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