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tail_TAM_Traditional" sheetId="2" state="visible" r:id="rId4"/>
    <sheet name="PredMarkets_TAM" sheetId="3" state="visible" r:id="rId5"/>
    <sheet name="Penetration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<sst xmlns="http://schemas.openxmlformats.org/spreadsheetml/2006/main" count="271" uniqueCount="241">
  <si>
    <t xml:space="preserve">Retail Trading TAM (ex Sports &amp; Crypto): Traditional vs Prediction Markets</t>
  </si>
  <si>
    <t xml:space="preserve">GLOBAL = United States + non-US (Europe, UK, APAC, India, China, MENA, LatAm)</t>
  </si>
  <si>
    <t xml:space="preserve">WHAT THIS WORKBOOK DOES</t>
  </si>
  <si>
    <t xml:space="preserve">Builds the global retail TAM for trading on traditional financial instruments instrument-by-instrument, then compares against prediction-market volumes that are mapped to similar exposures. Every figure is in a blue (editable) cell; every total or ratio is a formula in black. Yellow cells = subtotals and key outputs. All sources have clickable URLs on the Sources tab.</t>
  </si>
  <si>
    <t xml:space="preserve">INSTRUMENTS INCLUDED IN THE RETAIL TAM (explicit list)</t>
  </si>
  <si>
    <t xml:space="preserve">1. Retail CFDs (global, ex-US)</t>
  </si>
  <si>
    <t xml:space="preserve">FX pairs, indices (DAX, FTSE, SPX, NIFTY), commodities (gold, oil, silver), single stocks, rates. Mostly Europe / APAC / MENA.</t>
  </si>
  <si>
    <t xml:space="preserve">2. US cash equities — retail share</t>
  </si>
  <si>
    <t xml:space="preserve">Stocks + ETFs traded by individuals via Robinhood, Schwab, Fidelity, IBKR. Retail = 30–37% of US equity volume.</t>
  </si>
  <si>
    <t xml:space="preserve">3. US listed options — retail share</t>
  </si>
  <si>
    <t xml:space="preserve">Single-stock options, index options, 0DTE SPY/QQQ. Retail = ~46% of customer flow; &gt;50% of short-dated.</t>
  </si>
  <si>
    <t xml:space="preserve">4. US listed futures — retail share</t>
  </si>
  <si>
    <t xml:space="preserve">CME micros (MES, MNQ, MCL, MGC), Treasury, Eurodollar/SOFR. Retail is a smaller share but growing.</t>
  </si>
  <si>
    <t xml:space="preserve">5. China cash equities — retail share</t>
  </si>
  <si>
    <t xml:space="preserve">Shanghai + Shenzhen. Individuals = 60–90% of daily volume per WEF.</t>
  </si>
  <si>
    <t xml:space="preserve">6. India equity F&amp;O — retail share</t>
  </si>
  <si>
    <t xml:space="preserve">NSE / BSE options + futures. Even post-SEBI crackdown, retail still dominates.</t>
  </si>
  <si>
    <t xml:space="preserve">7. Other APAC + EU cash equity retail</t>
  </si>
  <si>
    <t xml:space="preserve">Japan, Korea, Taiwan, Australia, UK, Germany, France retail flow.</t>
  </si>
  <si>
    <t xml:space="preserve">— EXCLUDED</t>
  </si>
  <si>
    <t xml:space="preserve">Crypto spot &amp; derivatives (excluded per user); sports betting (excluded per user); institutional-only flow (FX swaps for hedging, OTC IR swaps, repo).</t>
  </si>
  <si>
    <t xml:space="preserve">COLOR KEY</t>
  </si>
  <si>
    <t xml:space="preserve">Blue = hardcoded input you can change</t>
  </si>
  <si>
    <t xml:space="preserve">Black = formula / calculation</t>
  </si>
  <si>
    <t xml:space="preserve">Yellow fill = subtotal / key output</t>
  </si>
  <si>
    <t xml:space="preserve">GLOBAL RETAIL TRADING TAM — Traditional Instruments (excl. sports &amp; crypto), 2025</t>
  </si>
  <si>
    <t xml:space="preserve">For each instrument: Global Volume (2025) × Retail % share = Retail TAM. All values in $ Billions per year unless noted. Edit any blue cell.</t>
  </si>
  <si>
    <t xml:space="preserve">#</t>
  </si>
  <si>
    <t xml:space="preserve">Instrument</t>
  </si>
  <si>
    <t xml:space="preserve">Global Volume 2025 ($B/yr)</t>
  </si>
  <si>
    <t xml:space="preserve">Source — Global Volume</t>
  </si>
  <si>
    <t xml:space="preserve">Retail % Share</t>
  </si>
  <si>
    <t xml:space="preserve">Source — Retail Share</t>
  </si>
  <si>
    <t xml:space="preserve">Retail Volume ($B/yr)</t>
  </si>
  <si>
    <t xml:space="preserve">Geography</t>
  </si>
  <si>
    <t xml:space="preserve">Notes</t>
  </si>
  <si>
    <t xml:space="preserve">Retail CFDs (FX + indices + commodities + single stocks + rates)</t>
  </si>
  <si>
    <t xml:space="preserve">S3 — CoinLaw</t>
  </si>
  <si>
    <t xml:space="preserve">S3 — by definition retail</t>
  </si>
  <si>
    <t xml:space="preserve">Global ex-US</t>
  </si>
  <si>
    <t xml:space="preserve">CFD = retail by definition. $37T/month × 12. Covers FX, indices (DAX, FTSE, SPX, NIFTY), commodities, single stocks, rates. Mostly Europe / APAC / MENA. Note this overlaps with FX market.</t>
  </si>
  <si>
    <t xml:space="preserve">US cash equities (stocks + ETFs)</t>
  </si>
  <si>
    <t xml:space="preserve">S5 — MEMX</t>
  </si>
  <si>
    <t xml:space="preserve">United States</t>
  </si>
  <si>
    <t xml:space="preserve">Annual NYSE+Nasdaq+CBOE+IEX value traded ~$80T. Retail = 30–37%; midpoint used.</t>
  </si>
  <si>
    <t xml:space="preserve">US listed options (single stock + index)</t>
  </si>
  <si>
    <t xml:space="preserve">Notional. Customer = 46% of OCC volume; &gt;50% of &lt;=10-contract trades. SPY 0DTE retail share ~40%+.</t>
  </si>
  <si>
    <t xml:space="preserve">US listed futures (CME / ICE — incl. micros)</t>
  </si>
  <si>
    <t xml:space="preserve">S15 — CME / FIA</t>
  </si>
  <si>
    <t xml:space="preserve">S15 — FIA / CME micro disclosures</t>
  </si>
  <si>
    <t xml:space="preserve">CME group annual notional ~$1.5 quadrillion in contracts; using cash-flow proxy. Retail share ~8% (micros, retail FCMs).</t>
  </si>
  <si>
    <t xml:space="preserve">China cash equities (Shanghai + Shenzhen)</t>
  </si>
  <si>
    <t xml:space="preserve">S16 — WFE FY2024</t>
  </si>
  <si>
    <t xml:space="preserve">S7 — WEF</t>
  </si>
  <si>
    <t xml:space="preserve">China</t>
  </si>
  <si>
    <t xml:space="preserve">WFE 2024: Shanghai $20T+, Shenzhen $25T+; growing 17–19% YoY into 2025. Individuals = 60–90% of daily volume.</t>
  </si>
  <si>
    <t xml:space="preserve">India equity F&amp;O (NSE + BSE)</t>
  </si>
  <si>
    <t xml:space="preserve">S17 — FIA / NSE</t>
  </si>
  <si>
    <t xml:space="preserve">India</t>
  </si>
  <si>
    <t xml:space="preserve">Even after SEBI crackdown (-75% in options 2024→2025), retail = ~40%+ of daily F&amp;O volume. Cash equity adds more.</t>
  </si>
  <si>
    <t xml:space="preserve">Other global cash equity — retail (EU, UK, Japan, Korea, Aus, Taiwan)</t>
  </si>
  <si>
    <t xml:space="preserve">EU + UK + APAC ex-China/India</t>
  </si>
  <si>
    <t xml:space="preserve">Rough share-weighted. UK/Korea retail ~20-35%, Japan/EU lower. Conservative midpoint.</t>
  </si>
  <si>
    <t xml:space="preserve">SUBTOTAL — Retail volume (gross, with FX/index/commodity overlap)</t>
  </si>
  <si>
    <t xml:space="preserve">Less: estimated double-count (FX/index/commodity exposure in both CFDs and futures)</t>
  </si>
  <si>
    <t xml:space="preserve">Editable overlap adjustment. Set to 0 if you want gross figure.</t>
  </si>
  <si>
    <t xml:space="preserve">NET RETAIL TAM — Traditional Instruments, 2025 ($B/yr)</t>
  </si>
  <si>
    <t xml:space="preserve">NET RETAIL TAM ($B/month)</t>
  </si>
  <si>
    <t xml:space="preserve">PREDICTION MARKETS TAM — Traditional Instrument-Equivalent Slice, 2025</t>
  </si>
  <si>
    <t xml:space="preserve">Total Kalshi + Polymarket 2025 volume × share of each category × whether it maps to a traditional instrument. The "Trad-Equivalent?" column flags which categories count toward the comparable TAM.</t>
  </si>
  <si>
    <t xml:space="preserve">PLATFORM-LEVEL VOLUMES (2025)</t>
  </si>
  <si>
    <t xml:space="preserve">Platform</t>
  </si>
  <si>
    <t xml:space="preserve">Annual Volume 2025 ($B)</t>
  </si>
  <si>
    <t xml:space="preserve">Source</t>
  </si>
  <si>
    <t xml:space="preserve">Note</t>
  </si>
  <si>
    <t xml:space="preserve">Kalshi</t>
  </si>
  <si>
    <t xml:space="preserve">S10 — KuCoin</t>
  </si>
  <si>
    <t xml:space="preserve">CFTC-regulated; ~80%+ of volume is sports. Mostly US users.</t>
  </si>
  <si>
    <t xml:space="preserve">Polymarket (International)</t>
  </si>
  <si>
    <t xml:space="preserve">Crypto-native, USDC-settled. More diversified mix; politics + crypto + sports.</t>
  </si>
  <si>
    <t xml:space="preserve">All other prediction markets (Manifold, Limitless, etc.)</t>
  </si>
  <si>
    <t xml:space="preserve">Combined ~2.5% of category.</t>
  </si>
  <si>
    <t xml:space="preserve">TOTAL global prediction-market volume 2025</t>
  </si>
  <si>
    <t xml:space="preserve">CATEGORY BREAKDOWN (blended Kalshi + Polymarket)</t>
  </si>
  <si>
    <t xml:space="preserve">Category</t>
  </si>
  <si>
    <t xml:space="preserve">Share of Total Volume (blended)</t>
  </si>
  <si>
    <t xml:space="preserve">Trad-Instrument Equivalent?</t>
  </si>
  <si>
    <t xml:space="preserve">Volume 2025 ($B)</t>
  </si>
  <si>
    <t xml:space="preserve">Sports</t>
  </si>
  <si>
    <t xml:space="preserve">No</t>
  </si>
  <si>
    <t xml:space="preserve">S9 — Pew</t>
  </si>
  <si>
    <t xml:space="preserve">EXCLUDED per request. Kalshi 80% / Polymarket 39% weighted.</t>
  </si>
  <si>
    <t xml:space="preserve">Crypto</t>
  </si>
  <si>
    <t xml:space="preserve">EXCLUDED per request. Kalshi 7% / Polymarket 20%.</t>
  </si>
  <si>
    <t xml:space="preserve">Politics / Elections / Geopolitics</t>
  </si>
  <si>
    <t xml:space="preserve">Not a financial instrument. Kalshi 4% / Polymarket 32%.</t>
  </si>
  <si>
    <t xml:space="preserve">Economy / Finance / Fed / CPI / Jobs / Rates</t>
  </si>
  <si>
    <t xml:space="preserve">YES</t>
  </si>
  <si>
    <t xml:space="preserve">S11 — DeFi Rate</t>
  </si>
  <si>
    <t xml:space="preserve">INCLUDED. FOMC decisions, CPI prints, NFP, GDP, rate-hike contracts. Polymarket Finance/Fed = 0.6%; Economy ~1%.</t>
  </si>
  <si>
    <t xml:space="preserve">Weather / Climate</t>
  </si>
  <si>
    <t xml:space="preserve">YES (weak)</t>
  </si>
  <si>
    <t xml:space="preserve">INCLUDED as loose commodities proxy. Polymarket Weather = 0.1%.</t>
  </si>
  <si>
    <t xml:space="preserve">Commodities (oil, gold, etc. — explicit)</t>
  </si>
  <si>
    <t xml:space="preserve">INCLUDED. Few markets exist; oil price contracts, gold above $X.</t>
  </si>
  <si>
    <t xml:space="preserve">Mention markets / Tech / Culture / Entertainment / Other</t>
  </si>
  <si>
    <t xml:space="preserve">S12 — DeFi Rate weekly</t>
  </si>
  <si>
    <t xml:space="preserve">Speech-mention contracts, Elon tweet count, Trump mention, etc. Not financial.</t>
  </si>
  <si>
    <t xml:space="preserve">SUM CHECK (must = 100%)</t>
  </si>
  <si>
    <t xml:space="preserve">TRADITIONAL-INSTRUMENT-EQUIVALENT VOLUME (Economy + Weather + Commodities)</t>
  </si>
  <si>
    <t xml:space="preserve">$B per year</t>
  </si>
  <si>
    <t xml:space="preserve">Monthly equivalent ($B/month)</t>
  </si>
  <si>
    <t xml:space="preserve">Penetration: Prediction Markets vs Retail Traditional (2025)</t>
  </si>
  <si>
    <t xml:space="preserve">All numbers pulled by formula from the two TAM sheets. Change inputs there and these will recalc.</t>
  </si>
  <si>
    <t xml:space="preserve">KEY OUTPUTS</t>
  </si>
  <si>
    <t xml:space="preserve">Metric</t>
  </si>
  <si>
    <t xml:space="preserve">Value ($B/year)</t>
  </si>
  <si>
    <t xml:space="preserve">Formula</t>
  </si>
  <si>
    <t xml:space="preserve">Retail Traditional TAM — annual</t>
  </si>
  <si>
    <t xml:space="preserve">Retail_TAM_Traditional!G14</t>
  </si>
  <si>
    <t xml:space="preserve">Sum of instrument-level retail volumes minus overlap</t>
  </si>
  <si>
    <t xml:space="preserve">See Retail_TAM_Traditional tab for the build</t>
  </si>
  <si>
    <t xml:space="preserve">Prediction Markets — trad-equivalent slice — annual</t>
  </si>
  <si>
    <t xml:space="preserve">PredMarkets_TAM!D22</t>
  </si>
  <si>
    <t xml:space="preserve">Total times (Economy + Weather + Commodities shares)</t>
  </si>
  <si>
    <t xml:space="preserve">See PredMarkets_TAM tab for the build</t>
  </si>
  <si>
    <t xml:space="preserve">Prediction Markets — TOTAL annual (incl. sports + crypto)</t>
  </si>
  <si>
    <t xml:space="preserve">PredMarkets_TAM!B9</t>
  </si>
  <si>
    <t xml:space="preserve">Sum of Kalshi + Polymarket + others</t>
  </si>
  <si>
    <t xml:space="preserve">For context — full category</t>
  </si>
  <si>
    <t xml:space="preserve">Retail Traditional TAM — monthly</t>
  </si>
  <si>
    <t xml:space="preserve">Retail_TAM_Traditional!G15</t>
  </si>
  <si>
    <t xml:space="preserve">annual divided by 12</t>
  </si>
  <si>
    <t xml:space="preserve">Prediction Markets trad-equivalent — monthly</t>
  </si>
  <si>
    <t xml:space="preserve">PredMarkets_TAM!D23</t>
  </si>
  <si>
    <t xml:space="preserve">PENETRATION RATIOS</t>
  </si>
  <si>
    <t xml:space="preserve">Ratio</t>
  </si>
  <si>
    <t xml:space="preserve">Value</t>
  </si>
  <si>
    <t xml:space="preserve">Interpretation</t>
  </si>
  <si>
    <t xml:space="preserve">Trad-equivalent prediction markets vs Retail Traditional TAM (annual)</t>
  </si>
  <si>
    <t xml:space="preserve">PM_trad divided by Retail_TAM</t>
  </si>
  <si>
    <t xml:space="preserve">Headline penetration. PM activity on rates/macro/commodities as % of all retail trading.</t>
  </si>
  <si>
    <t xml:space="preserve">Trad-equivalent prediction markets vs Retail Traditional TAM (monthly)</t>
  </si>
  <si>
    <t xml:space="preserve">PM_trad_mo divided by Retail_TAM_mo</t>
  </si>
  <si>
    <t xml:space="preserve">Same thing on monthly basis — should match annual ratio.</t>
  </si>
  <si>
    <t xml:space="preserve">All prediction-market volume vs Retail Traditional TAM</t>
  </si>
  <si>
    <t xml:space="preserve">PM_total divided by Retail_TAM</t>
  </si>
  <si>
    <t xml:space="preserve">Even counting ALL PM volume (incl. sports &amp; crypto), still a small share.</t>
  </si>
  <si>
    <t xml:space="preserve">GEOGRAPHIC ASYMMETRY</t>
  </si>
  <si>
    <t xml:space="preserve">Retail Traditional</t>
  </si>
  <si>
    <t xml:space="preserve">Roughly 70-75% non-US: Europe (CFD hub, 43% of CFDs), APAC (India F&amp;O, China A-shares, Japan / Korea), MENA, LatAm. US is a major slice via cash equities + options, but NOT the majority globally.</t>
  </si>
  <si>
    <t xml:space="preserve">Prediction Markets</t>
  </si>
  <si>
    <t xml:space="preserve">Effectively US-only. Kalshi is CFTC-regulated US product. Polymarket Intl serves non-US in principle but actual user base is largely US (VPN). Economy/Fed/CPI markets are 100% US-data-driven.</t>
  </si>
  <si>
    <t xml:space="preserve">Implication</t>
  </si>
  <si>
    <t xml:space="preserve">True global penetration is even smaller than the raw ratio — prediction markets have ~zero retail footprint in the EU, India, China, MENA where most of the retail TAM actually sits.</t>
  </si>
  <si>
    <t xml:space="preserve">Sources — all clickable</t>
  </si>
  <si>
    <t xml:space="preserve">Every number in the TAM and Prediction-Market sheets traces back here. Click any URL.</t>
  </si>
  <si>
    <t xml:space="preserve">Ref</t>
  </si>
  <si>
    <t xml:space="preserve">Publisher</t>
  </si>
  <si>
    <t xml:space="preserve">Title / What it gives us</t>
  </si>
  <si>
    <t xml:space="preserve">Date</t>
  </si>
  <si>
    <t xml:space="preserve">URL (click to open)</t>
  </si>
  <si>
    <t xml:space="preserve">S1</t>
  </si>
  <si>
    <t xml:space="preserve">Finance Magnates / Modulus / Arxum</t>
  </si>
  <si>
    <t xml:space="preserve">Active retail FX traders globally (~9-10M)</t>
  </si>
  <si>
    <t xml:space="preserve">2026</t>
  </si>
  <si>
    <t xml:space="preserve">https://arxum.com/forex-trading-statistics/</t>
  </si>
  <si>
    <t xml:space="preserve">S2</t>
  </si>
  <si>
    <t xml:space="preserve">Finance Magnates Intelligence</t>
  </si>
  <si>
    <t xml:space="preserve">Q1 2026 retail FX/CFD active accounts (7.4M); Retail Intensity Ratio</t>
  </si>
  <si>
    <t xml:space="preserve">May 2026</t>
  </si>
  <si>
    <t xml:space="preserve">https://www.financemagnates.com/forex/analysis/volume-outpaces-account-growth-in-retail-fxcfd-as-per-trader-activity-hits-record/</t>
  </si>
  <si>
    <t xml:space="preserve">S3</t>
  </si>
  <si>
    <t xml:space="preserve">CoinLaw</t>
  </si>
  <si>
    <t xml:space="preserve">Global retail CFD monthly notional volume ($37T/month, 2026)</t>
  </si>
  <si>
    <t xml:space="preserve">March 2026</t>
  </si>
  <si>
    <t xml:space="preserve">https://coinlaw.io/foreign-exchange-industry-statistics/</t>
  </si>
  <si>
    <t xml:space="preserve">S4</t>
  </si>
  <si>
    <t xml:space="preserve">Bank for International Settlements (BIS)</t>
  </si>
  <si>
    <t xml:space="preserve">Triennial Central Bank Survey 2025 — FX $9.6T/day, OTC rates $7.9T/day (April 2025)</t>
  </si>
  <si>
    <t xml:space="preserve">September 2025</t>
  </si>
  <si>
    <t xml:space="preserve">https://www.bis.org/press/p250930.htm</t>
  </si>
  <si>
    <t xml:space="preserve">S5</t>
  </si>
  <si>
    <t xml:space="preserve">MEMX</t>
  </si>
  <si>
    <t xml:space="preserve">Retail Trading Insights — US retail = 30-37% equity, 46% options, 40%+ SPY 0DTE</t>
  </si>
  <si>
    <t xml:space="preserve">https://memx.com/insights/retail-trading-insights</t>
  </si>
  <si>
    <t xml:space="preserve">S6</t>
  </si>
  <si>
    <t xml:space="preserve">RSM US / CoinLaw</t>
  </si>
  <si>
    <t xml:space="preserve">$302B retail net inflow into US equities, 2025</t>
  </si>
  <si>
    <t xml:space="preserve">January 2026</t>
  </si>
  <si>
    <t xml:space="preserve">https://coinlaw.io/retail-investing-statistics/</t>
  </si>
  <si>
    <t xml:space="preserve">S7</t>
  </si>
  <si>
    <t xml:space="preserve">World Economic Forum</t>
  </si>
  <si>
    <t xml:space="preserve">Country-level retail share of equity volume — China 60-90%, India 40%, UK/KR/US 20-35%</t>
  </si>
  <si>
    <t xml:space="preserve">August 2025</t>
  </si>
  <si>
    <t xml:space="preserve">https://www.weforum.org/stories/2025/08/how-will-24-7-trading-impact-retail-investors-and-the-economy/</t>
  </si>
  <si>
    <t xml:space="preserve">S8</t>
  </si>
  <si>
    <t xml:space="preserve">Market Reports World</t>
  </si>
  <si>
    <t xml:space="preserve">CFD Broker Market — 19M active CFD traders globally; Europe 43% of CFDs; APAC 5M traders</t>
  </si>
  <si>
    <t xml:space="preserve">https://www.marketreportsworld.com/market-reports/cfd-broker-market-14721086</t>
  </si>
  <si>
    <t xml:space="preserve">S9</t>
  </si>
  <si>
    <t xml:space="preserve">Pew Research / The Block</t>
  </si>
  <si>
    <t xml:space="preserve">Kalshi + Polymarket category breakdown — sports 80% Kalshi / 39% Polymarket, etc.</t>
  </si>
  <si>
    <t xml:space="preserve">https://www.pewresearch.org/short-reads/2026/05/27/trading-volume-on-prediction-markets-has-soared-in-recent-months/</t>
  </si>
  <si>
    <t xml:space="preserve">S10</t>
  </si>
  <si>
    <t xml:space="preserve">KuCoin News / industry data</t>
  </si>
  <si>
    <t xml:space="preserve">Kalshi 2025 = $238B, Polymarket 2025 = $220B, others $12.5B (97.5% combined share)</t>
  </si>
  <si>
    <t xml:space="preserve">https://www.kucoin.com/news/flash/kalshi-and-polymarket-dominate-97-5-of-prediction-market-share-in-2025</t>
  </si>
  <si>
    <t xml:space="preserve">S11</t>
  </si>
  <si>
    <t xml:space="preserve">DeFi Rate — Polymarket page</t>
  </si>
  <si>
    <t xml:space="preserve">Polymarket category shares — Finance/Fed 0.6%, Weather 0.1%, Economy ~1%</t>
  </si>
  <si>
    <t xml:space="preserve">June 2026</t>
  </si>
  <si>
    <t xml:space="preserve">https://defirate.com/prediction-markets/volume/polymarket/</t>
  </si>
  <si>
    <t xml:space="preserve">S12</t>
  </si>
  <si>
    <t xml:space="preserve">DeFi Rate — weekly snapshot</t>
  </si>
  <si>
    <t xml:space="preserve">Kalshi sports + exotics = 84.9%; Polymarket category mix</t>
  </si>
  <si>
    <t xml:space="preserve">April 2026</t>
  </si>
  <si>
    <t xml:space="preserve">https://defirate.com/news/kalshi-posts-record-3-9b-volume-extends-lead-over-polymarket-parlays-surge/</t>
  </si>
  <si>
    <t xml:space="preserve">S13</t>
  </si>
  <si>
    <t xml:space="preserve">WXTrade</t>
  </si>
  <si>
    <t xml:space="preserve">CFD Outlook 2026 — retail CFD = 14% of BIS FX turnover</t>
  </si>
  <si>
    <t xml:space="preserve">https://www.wxtrade.com/how-cfd-traders-are-reshaping-global-markets/</t>
  </si>
  <si>
    <t xml:space="preserve">S14</t>
  </si>
  <si>
    <t xml:space="preserve">FinSMEs</t>
  </si>
  <si>
    <t xml:space="preserve">$37.3T monthly retail volume, 6M+ active CFD accounts, Q4 2025 →2026</t>
  </si>
  <si>
    <t xml:space="preserve">https://www.finsmes.com/2026/04/how-global-interest-rate-decisions-drive-record-volumes-in-the-retail-financial-services-sector.html</t>
  </si>
  <si>
    <t xml:space="preserve">S15</t>
  </si>
  <si>
    <t xml:space="preserve">FIA — ETD Volume Reports</t>
  </si>
  <si>
    <t xml:space="preserve">Global listed derivatives — 2025 YTD volumes by month, contract counts</t>
  </si>
  <si>
    <t xml:space="preserve">2025-2026</t>
  </si>
  <si>
    <t xml:space="preserve">https://www.fia.org/etd-volume-reports</t>
  </si>
  <si>
    <t xml:space="preserve">S16</t>
  </si>
  <si>
    <t xml:space="preserve">World Federation of Exchanges (WFE)</t>
  </si>
  <si>
    <t xml:space="preserve">FY2024 Market Highlights — $155T annual equity trading on member exchanges</t>
  </si>
  <si>
    <t xml:space="preserve">February 2025</t>
  </si>
  <si>
    <t xml:space="preserve">https://wfe-live.lon1.cdn.digitaloceanspaces.com/org_focus/storage/media/Cally%20Billimore/WFE%20FY%202024%20Market%20Highlights%20Report%2010022025.pdf</t>
  </si>
  <si>
    <t xml:space="preserve">S17</t>
  </si>
  <si>
    <t xml:space="preserve">FIA MarketVoice</t>
  </si>
  <si>
    <t xml:space="preserve">India options crackdown — 75% drop in 5 months; global ETD impact</t>
  </si>
  <si>
    <t xml:space="preserve">May 2025</t>
  </si>
  <si>
    <t xml:space="preserve">https://www.fia.org/marketvoice/articles/indias-options-crackdown-weighs-global-etd-trading-volume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</si>
</sst>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"/>
    <numFmt numFmtId="168" formatCode="0.00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E699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oinlaw.io/foreign-exchange-industry-statistics/" TargetMode="External"/><Relationship Id="rId2" Type="http://schemas.openxmlformats.org/officeDocument/2006/relationships/hyperlink" Target="https://coinlaw.io/foreign-exchange-industry-statistics/" TargetMode="External"/><Relationship Id="rId3" Type="http://schemas.openxmlformats.org/officeDocument/2006/relationships/hyperlink" Target="https://memx.com/insights/retail-trading-insights" TargetMode="External"/><Relationship Id="rId4" Type="http://schemas.openxmlformats.org/officeDocument/2006/relationships/hyperlink" Target="https://memx.com/insights/retail-trading-insights" TargetMode="External"/><Relationship Id="rId5" Type="http://schemas.openxmlformats.org/officeDocument/2006/relationships/hyperlink" Target="https://memx.com/insights/retail-trading-insights" TargetMode="External"/><Relationship Id="rId6" Type="http://schemas.openxmlformats.org/officeDocument/2006/relationships/hyperlink" Target="https://memx.com/insights/retail-trading-insights" TargetMode="External"/><Relationship Id="rId7" Type="http://schemas.openxmlformats.org/officeDocument/2006/relationships/hyperlink" Target="https://www.fia.org/etd-volume-reports" TargetMode="External"/><Relationship Id="rId8" Type="http://schemas.openxmlformats.org/officeDocument/2006/relationships/hyperlink" Target="https://www.fia.org/etd-volume-reports" TargetMode="External"/><Relationship Id="rId9" Type="http://schemas.openxmlformats.org/officeDocument/2006/relationships/hyperlink" Target="https://wfe-live.lon1.cdn.digitaloceanspaces.com/org_focus/storage/media/Cally%20Billimore/WFE%20FY%202024%20Market%20Highlights%20Report%2010022025.pdf" TargetMode="External"/><Relationship Id="rId10" Type="http://schemas.openxmlformats.org/officeDocument/2006/relationships/hyperlink" Target="https://www.weforum.org/stories/2025/08/how-will-24-7-trading-impact-retail-investors-and-the-economy/" TargetMode="External"/><Relationship Id="rId11" Type="http://schemas.openxmlformats.org/officeDocument/2006/relationships/hyperlink" Target="https://www.fia.org/marketvoice/articles/indias-options-crackdown-weighs-global-etd-trading-volume" TargetMode="External"/><Relationship Id="rId12" Type="http://schemas.openxmlformats.org/officeDocument/2006/relationships/hyperlink" Target="https://www.weforum.org/stories/2025/08/how-will-24-7-trading-impact-retail-investors-and-the-economy/" TargetMode="External"/><Relationship Id="rId13" Type="http://schemas.openxmlformats.org/officeDocument/2006/relationships/hyperlink" Target="https://wfe-live.lon1.cdn.digitaloceanspaces.com/org_focus/storage/media/Cally%20Billimore/WFE%20FY%202024%20Market%20Highlights%20Report%2010022025.pdf" TargetMode="External"/><Relationship Id="rId14" Type="http://schemas.openxmlformats.org/officeDocument/2006/relationships/hyperlink" Target="https://www.weforum.org/stories/2025/08/how-will-24-7-trading-impact-retail-investors-and-the-economy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kucoin.com/news/flash/kalshi-and-polymarket-dominate-97-5-of-prediction-market-share-in-2025" TargetMode="External"/><Relationship Id="rId2" Type="http://schemas.openxmlformats.org/officeDocument/2006/relationships/hyperlink" Target="https://www.kucoin.com/news/flash/kalshi-and-polymarket-dominate-97-5-of-prediction-market-share-in-2025" TargetMode="External"/><Relationship Id="rId3" Type="http://schemas.openxmlformats.org/officeDocument/2006/relationships/hyperlink" Target="https://www.kucoin.com/news/flash/kalshi-and-polymarket-dominate-97-5-of-prediction-market-share-in-2025" TargetMode="External"/><Relationship Id="rId4" Type="http://schemas.openxmlformats.org/officeDocument/2006/relationships/hyperlink" Target="https://www.pewresearch.org/short-reads/2026/05/27/trading-volume-on-prediction-markets-has-soared-in-recent-months/" TargetMode="External"/><Relationship Id="rId5" Type="http://schemas.openxmlformats.org/officeDocument/2006/relationships/hyperlink" Target="https://www.pewresearch.org/short-reads/2026/05/27/trading-volume-on-prediction-markets-has-soared-in-recent-months/" TargetMode="External"/><Relationship Id="rId6" Type="http://schemas.openxmlformats.org/officeDocument/2006/relationships/hyperlink" Target="https://www.pewresearch.org/short-reads/2026/05/27/trading-volume-on-prediction-markets-has-soared-in-recent-months/" TargetMode="External"/><Relationship Id="rId7" Type="http://schemas.openxmlformats.org/officeDocument/2006/relationships/hyperlink" Target="https://defirate.com/prediction-markets/volume/polymarket/" TargetMode="External"/><Relationship Id="rId8" Type="http://schemas.openxmlformats.org/officeDocument/2006/relationships/hyperlink" Target="https://defirate.com/prediction-markets/volume/polymarket/" TargetMode="External"/><Relationship Id="rId9" Type="http://schemas.openxmlformats.org/officeDocument/2006/relationships/hyperlink" Target="https://defirate.com/prediction-markets/volume/polymarket/" TargetMode="External"/><Relationship Id="rId10" Type="http://schemas.openxmlformats.org/officeDocument/2006/relationships/hyperlink" Target="https://defirate.com/news/kalshi-posts-record-3-9b-volume-extends-lead-over-polymarket-parlays-surge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arxum.com/forex-trading-statistics/" TargetMode="External"/><Relationship Id="rId2" Type="http://schemas.openxmlformats.org/officeDocument/2006/relationships/hyperlink" Target="https://www.financemagnates.com/forex/analysis/volume-outpaces-account-growth-in-retail-fxcfd-as-per-trader-activity-hits-record/" TargetMode="External"/><Relationship Id="rId3" Type="http://schemas.openxmlformats.org/officeDocument/2006/relationships/hyperlink" Target="https://coinlaw.io/foreign-exchange-industry-statistics/" TargetMode="External"/><Relationship Id="rId4" Type="http://schemas.openxmlformats.org/officeDocument/2006/relationships/hyperlink" Target="https://www.bis.org/press/p250930.htm" TargetMode="External"/><Relationship Id="rId5" Type="http://schemas.openxmlformats.org/officeDocument/2006/relationships/hyperlink" Target="https://memx.com/insights/retail-trading-insights" TargetMode="External"/><Relationship Id="rId6" Type="http://schemas.openxmlformats.org/officeDocument/2006/relationships/hyperlink" Target="https://coinlaw.io/retail-investing-statistics/" TargetMode="External"/><Relationship Id="rId7" Type="http://schemas.openxmlformats.org/officeDocument/2006/relationships/hyperlink" Target="https://www.weforum.org/stories/2025/08/how-will-24-7-trading-impact-retail-investors-and-the-economy/" TargetMode="External"/><Relationship Id="rId8" Type="http://schemas.openxmlformats.org/officeDocument/2006/relationships/hyperlink" Target="https://www.marketreportsworld.com/market-reports/cfd-broker-market-14721086" TargetMode="External"/><Relationship Id="rId9" Type="http://schemas.openxmlformats.org/officeDocument/2006/relationships/hyperlink" Target="https://www.pewresearch.org/short-reads/2026/05/27/trading-volume-on-prediction-markets-has-soared-in-recent-months/" TargetMode="External"/><Relationship Id="rId10" Type="http://schemas.openxmlformats.org/officeDocument/2006/relationships/hyperlink" Target="https://www.kucoin.com/news/flash/kalshi-and-polymarket-dominate-97-5-of-prediction-market-share-in-2025" TargetMode="External"/><Relationship Id="rId11" Type="http://schemas.openxmlformats.org/officeDocument/2006/relationships/hyperlink" Target="https://defirate.com/prediction-markets/volume/polymarket/" TargetMode="External"/><Relationship Id="rId12" Type="http://schemas.openxmlformats.org/officeDocument/2006/relationships/hyperlink" Target="https://defirate.com/news/kalshi-posts-record-3-9b-volume-extends-lead-over-polymarket-parlays-surge/" TargetMode="External"/><Relationship Id="rId13" Type="http://schemas.openxmlformats.org/officeDocument/2006/relationships/hyperlink" Target="https://www.wxtrade.com/how-cfd-traders-are-reshaping-global-markets/" TargetMode="External"/><Relationship Id="rId14" Type="http://schemas.openxmlformats.org/officeDocument/2006/relationships/hyperlink" Target="https://www.finsmes.com/2026/04/how-global-interest-rate-decisions-drive-record-volumes-in-the-retail-financial-services-sector.html" TargetMode="External"/><Relationship Id="rId15" Type="http://schemas.openxmlformats.org/officeDocument/2006/relationships/hyperlink" Target="https://www.fia.org/etd-volume-reports" TargetMode="External"/><Relationship Id="rId16" Type="http://schemas.openxmlformats.org/officeDocument/2006/relationships/hyperlink" Target="https://wfe-live.lon1.cdn.digitaloceanspaces.com/org_focus/storage/media/Cally%20Billimore/WFE%20FY%202024%20Market%20Highlights%20Report%2010022025.pdf" TargetMode="External"/><Relationship Id="rId17" Type="http://schemas.openxmlformats.org/officeDocument/2006/relationships/hyperlink" Target="https://www.fia.org/marketvoice/articles/indias-options-crackdown-weighs-global-etd-trading-volum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5" min="3" style="0" width="18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24.7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</row>
    <row r="10" customFormat="false" ht="15" hidden="false" customHeight="true" outlineLevel="0" collapsed="false">
      <c r="A10" s="3" t="s">
        <v>4</v>
      </c>
      <c r="B10" s="3"/>
      <c r="C10" s="3"/>
      <c r="D10" s="3"/>
      <c r="E10" s="3"/>
      <c r="F10" s="3"/>
    </row>
    <row r="11" customFormat="false" ht="30" hidden="false" customHeight="true" outlineLevel="0" collapsed="false">
      <c r="A11" s="5" t="s">
        <v>5</v>
      </c>
      <c r="B11" s="6" t="s">
        <v>6</v>
      </c>
      <c r="C11" s="6"/>
      <c r="D11" s="6"/>
      <c r="E11" s="6"/>
      <c r="F11" s="6"/>
    </row>
    <row r="12" customFormat="false" ht="30" hidden="false" customHeight="true" outlineLevel="0" collapsed="false">
      <c r="A12" s="5" t="s">
        <v>7</v>
      </c>
      <c r="B12" s="6" t="s">
        <v>8</v>
      </c>
      <c r="C12" s="6"/>
      <c r="D12" s="6"/>
      <c r="E12" s="6"/>
      <c r="F12" s="6"/>
    </row>
    <row r="13" customFormat="false" ht="30" hidden="false" customHeight="true" outlineLevel="0" collapsed="false">
      <c r="A13" s="5" t="s">
        <v>9</v>
      </c>
      <c r="B13" s="6" t="s">
        <v>10</v>
      </c>
      <c r="C13" s="6"/>
      <c r="D13" s="6"/>
      <c r="E13" s="6"/>
      <c r="F13" s="6"/>
    </row>
    <row r="14" customFormat="false" ht="30" hidden="false" customHeight="true" outlineLevel="0" collapsed="false">
      <c r="A14" s="5" t="s">
        <v>11</v>
      </c>
      <c r="B14" s="6" t="s">
        <v>12</v>
      </c>
      <c r="C14" s="6"/>
      <c r="D14" s="6"/>
      <c r="E14" s="6"/>
      <c r="F14" s="6"/>
    </row>
    <row r="15" customFormat="false" ht="30" hidden="false" customHeight="true" outlineLevel="0" collapsed="false">
      <c r="A15" s="5" t="s">
        <v>13</v>
      </c>
      <c r="B15" s="6" t="s">
        <v>14</v>
      </c>
      <c r="C15" s="6"/>
      <c r="D15" s="6"/>
      <c r="E15" s="6"/>
      <c r="F15" s="6"/>
    </row>
    <row r="16" customFormat="false" ht="30" hidden="false" customHeight="true" outlineLevel="0" collapsed="false">
      <c r="A16" s="5" t="s">
        <v>15</v>
      </c>
      <c r="B16" s="6" t="s">
        <v>16</v>
      </c>
      <c r="C16" s="6"/>
      <c r="D16" s="6"/>
      <c r="E16" s="6"/>
      <c r="F16" s="6"/>
    </row>
    <row r="17" customFormat="false" ht="30" hidden="false" customHeight="true" outlineLevel="0" collapsed="false">
      <c r="A17" s="5" t="s">
        <v>17</v>
      </c>
      <c r="B17" s="6" t="s">
        <v>18</v>
      </c>
      <c r="C17" s="6"/>
      <c r="D17" s="6"/>
      <c r="E17" s="6"/>
      <c r="F17" s="6"/>
    </row>
    <row r="18" customFormat="false" ht="30" hidden="false" customHeight="true" outlineLevel="0" collapsed="false">
      <c r="A18" s="5" t="s">
        <v>19</v>
      </c>
      <c r="B18" s="6" t="s">
        <v>20</v>
      </c>
      <c r="C18" s="6"/>
      <c r="D18" s="6"/>
      <c r="E18" s="6"/>
      <c r="F18" s="6"/>
    </row>
    <row r="20" customFormat="false" ht="15" hidden="false" customHeight="true" outlineLevel="0" collapsed="false">
      <c r="A20" s="3" t="s">
        <v>21</v>
      </c>
      <c r="B20" s="3"/>
      <c r="C20" s="3"/>
      <c r="D20" s="3"/>
      <c r="E20" s="3"/>
      <c r="F20" s="3"/>
    </row>
    <row r="21" customFormat="false" ht="15" hidden="false" customHeight="false" outlineLevel="0" collapsed="false">
      <c r="A21" s="7" t="s">
        <v>22</v>
      </c>
    </row>
    <row r="22" customFormat="false" ht="15" hidden="false" customHeight="false" outlineLevel="0" collapsed="false">
      <c r="A22" s="8" t="s">
        <v>23</v>
      </c>
    </row>
    <row r="23" customFormat="false" ht="15" hidden="false" customHeight="false" outlineLevel="0" collapsed="false">
      <c r="A23" s="9" t="s">
        <v>24</v>
      </c>
    </row>
  </sheetData>
  <mergeCells count="14">
    <mergeCell ref="A1:F1"/>
    <mergeCell ref="A2:F2"/>
    <mergeCell ref="A4:F4"/>
    <mergeCell ref="A5:F8"/>
    <mergeCell ref="A10:F10"/>
    <mergeCell ref="B11:F11"/>
    <mergeCell ref="B12:F12"/>
    <mergeCell ref="B13:F13"/>
    <mergeCell ref="B14:F14"/>
    <mergeCell ref="B15:F15"/>
    <mergeCell ref="B16:F16"/>
    <mergeCell ref="B17:F17"/>
    <mergeCell ref="B18:F18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10" t="s">
        <v>26</v>
      </c>
      <c r="B2" s="10"/>
      <c r="C2" s="10"/>
      <c r="D2" s="10"/>
      <c r="E2" s="10"/>
      <c r="F2" s="10"/>
      <c r="G2" s="10"/>
      <c r="H2" s="10"/>
      <c r="I2" s="10"/>
    </row>
    <row r="4" customFormat="false" ht="34.5" hidden="false" customHeight="true" outlineLevel="0" collapsed="false">
      <c r="A4" s="11" t="s">
        <v>27</v>
      </c>
      <c r="B4" s="11" t="s">
        <v>28</v>
      </c>
      <c r="C4" s="11" t="s">
        <v>29</v>
      </c>
      <c r="D4" s="11" t="s">
        <v>30</v>
      </c>
      <c r="E4" s="11" t="s">
        <v>31</v>
      </c>
      <c r="F4" s="11" t="s">
        <v>32</v>
      </c>
      <c r="G4" s="11" t="s">
        <v>33</v>
      </c>
      <c r="H4" s="11" t="s">
        <v>34</v>
      </c>
      <c r="I4" s="11" t="s">
        <v>35</v>
      </c>
    </row>
    <row r="5" customFormat="false" ht="49.5" hidden="false" customHeight="true" outlineLevel="0" collapsed="false">
      <c r="A5" s="6" t="n">
        <v>1</v>
      </c>
      <c r="B5" s="6" t="s">
        <v>36</v>
      </c>
      <c r="C5" s="12" t="n">
        <v>444000</v>
      </c>
      <c r="D5" s="13" t="s">
        <v>37</v>
      </c>
      <c r="E5" s="14" t="n">
        <v>1</v>
      </c>
      <c r="F5" s="13" t="s">
        <v>38</v>
      </c>
      <c r="G5" s="15" t="n">
        <f aca="false">C5*E5</f>
        <v>444000</v>
      </c>
      <c r="H5" s="6" t="s">
        <v>39</v>
      </c>
      <c r="I5" s="6" t="s">
        <v>40</v>
      </c>
    </row>
    <row r="6" customFormat="false" ht="49.5" hidden="false" customHeight="true" outlineLevel="0" collapsed="false">
      <c r="A6" s="6" t="n">
        <v>2</v>
      </c>
      <c r="B6" s="6" t="s">
        <v>41</v>
      </c>
      <c r="C6" s="12" t="n">
        <v>80000</v>
      </c>
      <c r="D6" s="13" t="s">
        <v>42</v>
      </c>
      <c r="E6" s="14" t="n">
        <v>0.32</v>
      </c>
      <c r="F6" s="13" t="s">
        <v>42</v>
      </c>
      <c r="G6" s="15" t="n">
        <f aca="false">C6*E6</f>
        <v>25600</v>
      </c>
      <c r="H6" s="6" t="s">
        <v>43</v>
      </c>
      <c r="I6" s="6" t="s">
        <v>44</v>
      </c>
    </row>
    <row r="7" customFormat="false" ht="49.5" hidden="false" customHeight="true" outlineLevel="0" collapsed="false">
      <c r="A7" s="6" t="n">
        <v>3</v>
      </c>
      <c r="B7" s="6" t="s">
        <v>45</v>
      </c>
      <c r="C7" s="12" t="n">
        <v>90000</v>
      </c>
      <c r="D7" s="13" t="s">
        <v>42</v>
      </c>
      <c r="E7" s="14" t="n">
        <v>0.46</v>
      </c>
      <c r="F7" s="13" t="s">
        <v>42</v>
      </c>
      <c r="G7" s="15" t="n">
        <f aca="false">C7*E7</f>
        <v>41400</v>
      </c>
      <c r="H7" s="6" t="s">
        <v>43</v>
      </c>
      <c r="I7" s="6" t="s">
        <v>46</v>
      </c>
    </row>
    <row r="8" customFormat="false" ht="49.5" hidden="false" customHeight="true" outlineLevel="0" collapsed="false">
      <c r="A8" s="6" t="n">
        <v>4</v>
      </c>
      <c r="B8" s="6" t="s">
        <v>47</v>
      </c>
      <c r="C8" s="12" t="n">
        <v>60000</v>
      </c>
      <c r="D8" s="13" t="s">
        <v>48</v>
      </c>
      <c r="E8" s="14" t="n">
        <v>0.08</v>
      </c>
      <c r="F8" s="13" t="s">
        <v>49</v>
      </c>
      <c r="G8" s="15" t="n">
        <f aca="false">C8*E8</f>
        <v>4800</v>
      </c>
      <c r="H8" s="6" t="s">
        <v>43</v>
      </c>
      <c r="I8" s="6" t="s">
        <v>50</v>
      </c>
    </row>
    <row r="9" customFormat="false" ht="49.5" hidden="false" customHeight="true" outlineLevel="0" collapsed="false">
      <c r="A9" s="6" t="n">
        <v>5</v>
      </c>
      <c r="B9" s="6" t="s">
        <v>51</v>
      </c>
      <c r="C9" s="12" t="n">
        <v>60000</v>
      </c>
      <c r="D9" s="13" t="s">
        <v>52</v>
      </c>
      <c r="E9" s="14" t="n">
        <v>0.75</v>
      </c>
      <c r="F9" s="13" t="s">
        <v>53</v>
      </c>
      <c r="G9" s="15" t="n">
        <f aca="false">C9*E9</f>
        <v>45000</v>
      </c>
      <c r="H9" s="6" t="s">
        <v>54</v>
      </c>
      <c r="I9" s="6" t="s">
        <v>55</v>
      </c>
    </row>
    <row r="10" customFormat="false" ht="49.5" hidden="false" customHeight="true" outlineLevel="0" collapsed="false">
      <c r="A10" s="6" t="n">
        <v>6</v>
      </c>
      <c r="B10" s="6" t="s">
        <v>56</v>
      </c>
      <c r="C10" s="12" t="n">
        <v>15000</v>
      </c>
      <c r="D10" s="13" t="s">
        <v>57</v>
      </c>
      <c r="E10" s="14" t="n">
        <v>0.4</v>
      </c>
      <c r="F10" s="13" t="s">
        <v>53</v>
      </c>
      <c r="G10" s="15" t="n">
        <f aca="false">C10*E10</f>
        <v>6000</v>
      </c>
      <c r="H10" s="6" t="s">
        <v>58</v>
      </c>
      <c r="I10" s="6" t="s">
        <v>59</v>
      </c>
    </row>
    <row r="11" customFormat="false" ht="49.5" hidden="false" customHeight="true" outlineLevel="0" collapsed="false">
      <c r="A11" s="6" t="n">
        <v>7</v>
      </c>
      <c r="B11" s="6" t="s">
        <v>60</v>
      </c>
      <c r="C11" s="12" t="n">
        <v>15000</v>
      </c>
      <c r="D11" s="13" t="s">
        <v>52</v>
      </c>
      <c r="E11" s="14" t="n">
        <v>0.25</v>
      </c>
      <c r="F11" s="13" t="s">
        <v>53</v>
      </c>
      <c r="G11" s="15" t="n">
        <f aca="false">C11*E11</f>
        <v>3750</v>
      </c>
      <c r="H11" s="6" t="s">
        <v>61</v>
      </c>
      <c r="I11" s="6" t="s">
        <v>62</v>
      </c>
    </row>
    <row r="12" customFormat="false" ht="23.85" hidden="false" customHeight="false" outlineLevel="0" collapsed="false">
      <c r="B12" s="16" t="s">
        <v>63</v>
      </c>
      <c r="G12" s="17" t="n">
        <f aca="false">SUM(G5:G11)</f>
        <v>570550</v>
      </c>
    </row>
    <row r="13" customFormat="false" ht="35.05" hidden="false" customHeight="false" outlineLevel="0" collapsed="false">
      <c r="B13" s="6" t="s">
        <v>64</v>
      </c>
      <c r="E13" s="14" t="n">
        <v>0.1</v>
      </c>
      <c r="G13" s="15" t="n">
        <f aca="false">-G12*E13</f>
        <v>-57055</v>
      </c>
      <c r="I13" s="6" t="s">
        <v>65</v>
      </c>
    </row>
    <row r="14" customFormat="false" ht="23.85" hidden="false" customHeight="false" outlineLevel="0" collapsed="false">
      <c r="B14" s="16" t="s">
        <v>66</v>
      </c>
      <c r="G14" s="17" t="n">
        <f aca="false">G12+G13</f>
        <v>513495</v>
      </c>
    </row>
    <row r="15" customFormat="false" ht="15" hidden="false" customHeight="false" outlineLevel="0" collapsed="false">
      <c r="B15" s="16" t="s">
        <v>67</v>
      </c>
      <c r="G15" s="17" t="n">
        <f aca="false">G14/12</f>
        <v>42791.25</v>
      </c>
    </row>
  </sheetData>
  <mergeCells count="2">
    <mergeCell ref="A1:I1"/>
    <mergeCell ref="A2:I2"/>
  </mergeCells>
  <hyperlinks>
    <hyperlink ref="D5" r:id="rId1" display="S3 — CoinLaw"/>
    <hyperlink ref="F5" r:id="rId2" display="S3 — by definition retail"/>
    <hyperlink ref="D6" r:id="rId3" display="S5 — MEMX"/>
    <hyperlink ref="F6" r:id="rId4" display="S5 — MEMX"/>
    <hyperlink ref="D7" r:id="rId5" display="S5 — MEMX"/>
    <hyperlink ref="F7" r:id="rId6" display="S5 — MEMX"/>
    <hyperlink ref="D8" r:id="rId7" display="S15 — CME / FIA"/>
    <hyperlink ref="F8" r:id="rId8" display="S15 — FIA / CME micro disclosures"/>
    <hyperlink ref="D9" r:id="rId9" display="S16 — WFE FY2024"/>
    <hyperlink ref="F9" r:id="rId10" display="S7 — WEF"/>
    <hyperlink ref="D10" r:id="rId11" display="S17 — FIA / NSE"/>
    <hyperlink ref="F10" r:id="rId12" display="S7 — WEF"/>
    <hyperlink ref="D11" r:id="rId13" display="S16 — WFE FY2024"/>
    <hyperlink ref="F11" r:id="rId14" display="S7 — WEF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30"/>
    <col collapsed="false" customWidth="true" hidden="false" outlineLevel="0" max="9" min="7" style="0" width="20"/>
  </cols>
  <sheetData>
    <row r="1" customFormat="false" ht="17.35" hidden="false" customHeight="fals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10" t="s">
        <v>69</v>
      </c>
      <c r="B2" s="10"/>
      <c r="C2" s="10"/>
      <c r="D2" s="10"/>
      <c r="E2" s="10"/>
      <c r="F2" s="10"/>
      <c r="G2" s="10"/>
      <c r="H2" s="10"/>
      <c r="I2" s="10"/>
    </row>
    <row r="4" customFormat="false" ht="15" hidden="false" customHeight="true" outlineLevel="0" collapsed="false">
      <c r="A4" s="3" t="s">
        <v>70</v>
      </c>
      <c r="B4" s="3"/>
      <c r="C4" s="3"/>
      <c r="D4" s="3"/>
      <c r="E4" s="3"/>
      <c r="F4" s="3"/>
      <c r="G4" s="3"/>
      <c r="H4" s="3"/>
      <c r="I4" s="3"/>
    </row>
    <row r="5" customFormat="false" ht="39.55" hidden="false" customHeight="false" outlineLevel="0" collapsed="false">
      <c r="A5" s="11" t="s">
        <v>71</v>
      </c>
      <c r="B5" s="11" t="s">
        <v>72</v>
      </c>
      <c r="C5" s="11" t="s">
        <v>73</v>
      </c>
      <c r="D5" s="11" t="s">
        <v>74</v>
      </c>
    </row>
    <row r="6" customFormat="false" ht="15" hidden="false" customHeight="true" outlineLevel="0" collapsed="false">
      <c r="A6" s="6" t="s">
        <v>75</v>
      </c>
      <c r="B6" s="12" t="n">
        <v>238</v>
      </c>
      <c r="C6" s="13" t="s">
        <v>76</v>
      </c>
      <c r="D6" s="6" t="s">
        <v>77</v>
      </c>
      <c r="E6" s="6"/>
      <c r="F6" s="6"/>
      <c r="G6" s="6"/>
      <c r="H6" s="6"/>
      <c r="I6" s="6"/>
    </row>
    <row r="7" customFormat="false" ht="15" hidden="false" customHeight="true" outlineLevel="0" collapsed="false">
      <c r="A7" s="6" t="s">
        <v>78</v>
      </c>
      <c r="B7" s="12" t="n">
        <v>220</v>
      </c>
      <c r="C7" s="13" t="s">
        <v>76</v>
      </c>
      <c r="D7" s="6" t="s">
        <v>79</v>
      </c>
      <c r="E7" s="6"/>
      <c r="F7" s="6"/>
      <c r="G7" s="6"/>
      <c r="H7" s="6"/>
      <c r="I7" s="6"/>
    </row>
    <row r="8" customFormat="false" ht="23.85" hidden="false" customHeight="true" outlineLevel="0" collapsed="false">
      <c r="A8" s="6" t="s">
        <v>80</v>
      </c>
      <c r="B8" s="12" t="n">
        <v>12.5</v>
      </c>
      <c r="C8" s="13" t="s">
        <v>76</v>
      </c>
      <c r="D8" s="6" t="s">
        <v>81</v>
      </c>
      <c r="E8" s="6"/>
      <c r="F8" s="6"/>
      <c r="G8" s="6"/>
      <c r="H8" s="6"/>
      <c r="I8" s="6"/>
    </row>
    <row r="9" customFormat="false" ht="15" hidden="false" customHeight="false" outlineLevel="0" collapsed="false">
      <c r="A9" s="16" t="s">
        <v>82</v>
      </c>
      <c r="B9" s="17" t="n">
        <f aca="false">SUM(B6:B8)</f>
        <v>470.5</v>
      </c>
    </row>
    <row r="11" customFormat="false" ht="15" hidden="false" customHeight="true" outlineLevel="0" collapsed="false">
      <c r="A11" s="3" t="s">
        <v>83</v>
      </c>
      <c r="B11" s="3"/>
      <c r="C11" s="3"/>
      <c r="D11" s="3"/>
      <c r="E11" s="3"/>
      <c r="F11" s="3"/>
      <c r="G11" s="3"/>
      <c r="H11" s="3"/>
      <c r="I11" s="3"/>
    </row>
    <row r="12" customFormat="false" ht="34.5" hidden="false" customHeight="true" outlineLevel="0" collapsed="false">
      <c r="A12" s="11" t="s">
        <v>84</v>
      </c>
      <c r="B12" s="11" t="s">
        <v>85</v>
      </c>
      <c r="C12" s="11" t="s">
        <v>86</v>
      </c>
      <c r="D12" s="11" t="s">
        <v>87</v>
      </c>
      <c r="E12" s="11" t="s">
        <v>73</v>
      </c>
      <c r="F12" s="11" t="s">
        <v>35</v>
      </c>
    </row>
    <row r="13" customFormat="false" ht="31.5" hidden="false" customHeight="true" outlineLevel="0" collapsed="false">
      <c r="A13" s="6" t="s">
        <v>88</v>
      </c>
      <c r="B13" s="14" t="n">
        <v>0.55</v>
      </c>
      <c r="C13" s="6" t="s">
        <v>89</v>
      </c>
      <c r="D13" s="18" t="n">
        <f aca="false">B13*$B$9</f>
        <v>258.775</v>
      </c>
      <c r="E13" s="13" t="s">
        <v>90</v>
      </c>
      <c r="F13" s="6" t="s">
        <v>91</v>
      </c>
      <c r="G13" s="6"/>
      <c r="H13" s="6"/>
      <c r="I13" s="6"/>
    </row>
    <row r="14" customFormat="false" ht="31.5" hidden="false" customHeight="true" outlineLevel="0" collapsed="false">
      <c r="A14" s="6" t="s">
        <v>92</v>
      </c>
      <c r="B14" s="14" t="n">
        <v>0.14</v>
      </c>
      <c r="C14" s="6" t="s">
        <v>89</v>
      </c>
      <c r="D14" s="18" t="n">
        <f aca="false">B14*$B$9</f>
        <v>65.87</v>
      </c>
      <c r="E14" s="13" t="s">
        <v>90</v>
      </c>
      <c r="F14" s="6" t="s">
        <v>93</v>
      </c>
      <c r="G14" s="6"/>
      <c r="H14" s="6"/>
      <c r="I14" s="6"/>
    </row>
    <row r="15" customFormat="false" ht="31.5" hidden="false" customHeight="true" outlineLevel="0" collapsed="false">
      <c r="A15" s="6" t="s">
        <v>94</v>
      </c>
      <c r="B15" s="14" t="n">
        <v>0.18</v>
      </c>
      <c r="C15" s="6" t="s">
        <v>89</v>
      </c>
      <c r="D15" s="18" t="n">
        <f aca="false">B15*$B$9</f>
        <v>84.69</v>
      </c>
      <c r="E15" s="13" t="s">
        <v>90</v>
      </c>
      <c r="F15" s="6" t="s">
        <v>95</v>
      </c>
      <c r="G15" s="6"/>
      <c r="H15" s="6"/>
      <c r="I15" s="6"/>
    </row>
    <row r="16" customFormat="false" ht="31.5" hidden="false" customHeight="true" outlineLevel="0" collapsed="false">
      <c r="A16" s="6" t="s">
        <v>96</v>
      </c>
      <c r="B16" s="14" t="n">
        <v>0.02</v>
      </c>
      <c r="C16" s="6" t="s">
        <v>97</v>
      </c>
      <c r="D16" s="18" t="n">
        <f aca="false">B16*$B$9</f>
        <v>9.41</v>
      </c>
      <c r="E16" s="13" t="s">
        <v>98</v>
      </c>
      <c r="F16" s="6" t="s">
        <v>99</v>
      </c>
      <c r="G16" s="6"/>
      <c r="H16" s="6"/>
      <c r="I16" s="6"/>
    </row>
    <row r="17" customFormat="false" ht="31.5" hidden="false" customHeight="true" outlineLevel="0" collapsed="false">
      <c r="A17" s="6" t="s">
        <v>100</v>
      </c>
      <c r="B17" s="14" t="n">
        <v>0.003</v>
      </c>
      <c r="C17" s="6" t="s">
        <v>101</v>
      </c>
      <c r="D17" s="18" t="n">
        <f aca="false">B17*$B$9</f>
        <v>1.4115</v>
      </c>
      <c r="E17" s="13" t="s">
        <v>98</v>
      </c>
      <c r="F17" s="6" t="s">
        <v>102</v>
      </c>
      <c r="G17" s="6"/>
      <c r="H17" s="6"/>
      <c r="I17" s="6"/>
    </row>
    <row r="18" customFormat="false" ht="31.5" hidden="false" customHeight="true" outlineLevel="0" collapsed="false">
      <c r="A18" s="6" t="s">
        <v>103</v>
      </c>
      <c r="B18" s="14" t="n">
        <v>0.005</v>
      </c>
      <c r="C18" s="6" t="s">
        <v>97</v>
      </c>
      <c r="D18" s="18" t="n">
        <f aca="false">B18*$B$9</f>
        <v>2.3525</v>
      </c>
      <c r="E18" s="13" t="s">
        <v>98</v>
      </c>
      <c r="F18" s="6" t="s">
        <v>104</v>
      </c>
      <c r="G18" s="6"/>
      <c r="H18" s="6"/>
      <c r="I18" s="6"/>
    </row>
    <row r="19" customFormat="false" ht="31.5" hidden="false" customHeight="true" outlineLevel="0" collapsed="false">
      <c r="A19" s="6" t="s">
        <v>105</v>
      </c>
      <c r="B19" s="14" t="n">
        <v>0.102</v>
      </c>
      <c r="C19" s="6" t="s">
        <v>89</v>
      </c>
      <c r="D19" s="18" t="n">
        <f aca="false">B19*$B$9</f>
        <v>47.991</v>
      </c>
      <c r="E19" s="13" t="s">
        <v>106</v>
      </c>
      <c r="F19" s="6" t="s">
        <v>107</v>
      </c>
      <c r="G19" s="6"/>
      <c r="H19" s="6"/>
      <c r="I19" s="6"/>
    </row>
    <row r="20" customFormat="false" ht="15" hidden="false" customHeight="false" outlineLevel="0" collapsed="false">
      <c r="A20" s="5" t="s">
        <v>108</v>
      </c>
      <c r="B20" s="19" t="n">
        <f aca="false">SUM(B13:B19)</f>
        <v>1</v>
      </c>
      <c r="D20" s="20" t="n">
        <f aca="false">SUM(D13:D19)</f>
        <v>470.5</v>
      </c>
    </row>
    <row r="22" customFormat="false" ht="23.85" hidden="false" customHeight="true" outlineLevel="0" collapsed="false">
      <c r="A22" s="16" t="s">
        <v>109</v>
      </c>
      <c r="B22" s="16"/>
      <c r="C22" s="16"/>
      <c r="D22" s="21" t="n">
        <f aca="false">SUMIF(C13:C19,"YES*",D13:D19)</f>
        <v>13.174</v>
      </c>
      <c r="E22" s="22" t="s">
        <v>110</v>
      </c>
    </row>
    <row r="23" customFormat="false" ht="15" hidden="false" customHeight="true" outlineLevel="0" collapsed="false">
      <c r="A23" s="16" t="s">
        <v>111</v>
      </c>
      <c r="B23" s="16"/>
      <c r="C23" s="16"/>
      <c r="D23" s="21" t="n">
        <f aca="false">D22/12</f>
        <v>1.09783333333333</v>
      </c>
    </row>
  </sheetData>
  <mergeCells count="16">
    <mergeCell ref="A1:I1"/>
    <mergeCell ref="A2:I2"/>
    <mergeCell ref="A4:I4"/>
    <mergeCell ref="D6:I6"/>
    <mergeCell ref="D7:I7"/>
    <mergeCell ref="D8:I8"/>
    <mergeCell ref="A11:I11"/>
    <mergeCell ref="F13:I13"/>
    <mergeCell ref="F14:I14"/>
    <mergeCell ref="F15:I15"/>
    <mergeCell ref="F16:I16"/>
    <mergeCell ref="F17:I17"/>
    <mergeCell ref="F18:I18"/>
    <mergeCell ref="F19:I19"/>
    <mergeCell ref="A22:C22"/>
    <mergeCell ref="A23:C23"/>
  </mergeCells>
  <hyperlinks>
    <hyperlink ref="C6" r:id="rId1" display="S10 — KuCoin"/>
    <hyperlink ref="C7" r:id="rId2" display="S10 — KuCoin"/>
    <hyperlink ref="C8" r:id="rId3" display="S10 — KuCoin"/>
    <hyperlink ref="E13" r:id="rId4" display="S9 — Pew"/>
    <hyperlink ref="E14" r:id="rId5" display="S9 — Pew"/>
    <hyperlink ref="E15" r:id="rId6" display="S9 — Pew"/>
    <hyperlink ref="E16" r:id="rId7" display="S11 — DeFi Rate"/>
    <hyperlink ref="E17" r:id="rId8" display="S11 — DeFi Rate"/>
    <hyperlink ref="E18" r:id="rId9" display="S11 — DeFi Rate"/>
    <hyperlink ref="E19" r:id="rId10" display="S12 — DeFi Rate weekl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112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113</v>
      </c>
      <c r="B2" s="2"/>
      <c r="C2" s="2"/>
      <c r="D2" s="2"/>
      <c r="E2" s="2"/>
    </row>
    <row r="4" customFormat="false" ht="15" hidden="false" customHeight="true" outlineLevel="0" collapsed="false">
      <c r="A4" s="3" t="s">
        <v>114</v>
      </c>
      <c r="B4" s="3"/>
      <c r="C4" s="3"/>
      <c r="D4" s="3"/>
      <c r="E4" s="3"/>
    </row>
    <row r="5" customFormat="false" ht="15" hidden="false" customHeight="false" outlineLevel="0" collapsed="false">
      <c r="A5" s="11" t="s">
        <v>115</v>
      </c>
      <c r="B5" s="11" t="s">
        <v>116</v>
      </c>
      <c r="C5" s="11" t="s">
        <v>73</v>
      </c>
      <c r="D5" s="11" t="s">
        <v>117</v>
      </c>
      <c r="E5" s="11" t="s">
        <v>35</v>
      </c>
    </row>
    <row r="6" customFormat="false" ht="35.05" hidden="false" customHeight="false" outlineLevel="0" collapsed="false">
      <c r="A6" s="6" t="s">
        <v>118</v>
      </c>
      <c r="B6" s="23" t="n">
        <f aca="false">Retail_TAM_Traditional!G14</f>
        <v>513495</v>
      </c>
      <c r="C6" s="6" t="s">
        <v>119</v>
      </c>
      <c r="D6" s="6" t="s">
        <v>120</v>
      </c>
      <c r="E6" s="6" t="s">
        <v>121</v>
      </c>
    </row>
    <row r="7" customFormat="false" ht="35.05" hidden="false" customHeight="false" outlineLevel="0" collapsed="false">
      <c r="A7" s="6" t="s">
        <v>122</v>
      </c>
      <c r="B7" s="23" t="n">
        <f aca="false">PredMarkets_TAM!D22</f>
        <v>13.174</v>
      </c>
      <c r="C7" s="6" t="s">
        <v>123</v>
      </c>
      <c r="D7" s="6" t="s">
        <v>124</v>
      </c>
      <c r="E7" s="6" t="s">
        <v>125</v>
      </c>
    </row>
    <row r="8" customFormat="false" ht="23.85" hidden="false" customHeight="false" outlineLevel="0" collapsed="false">
      <c r="A8" s="6" t="s">
        <v>126</v>
      </c>
      <c r="B8" s="23" t="n">
        <f aca="false">PredMarkets_TAM!B9</f>
        <v>470.5</v>
      </c>
      <c r="C8" s="6" t="s">
        <v>127</v>
      </c>
      <c r="D8" s="6" t="s">
        <v>128</v>
      </c>
      <c r="E8" s="6" t="s">
        <v>129</v>
      </c>
    </row>
    <row r="9" customFormat="false" ht="15" hidden="false" customHeight="false" outlineLevel="0" collapsed="false">
      <c r="A9" s="6" t="s">
        <v>130</v>
      </c>
      <c r="B9" s="23" t="n">
        <f aca="false">Retail_TAM_Traditional!G15</f>
        <v>42791.25</v>
      </c>
      <c r="C9" s="6" t="s">
        <v>131</v>
      </c>
      <c r="D9" s="6" t="s">
        <v>132</v>
      </c>
      <c r="E9" s="6"/>
    </row>
    <row r="10" customFormat="false" ht="15" hidden="false" customHeight="false" outlineLevel="0" collapsed="false">
      <c r="A10" s="6" t="s">
        <v>133</v>
      </c>
      <c r="B10" s="23" t="n">
        <f aca="false">PredMarkets_TAM!D23</f>
        <v>1.09783333333333</v>
      </c>
      <c r="C10" s="6" t="s">
        <v>134</v>
      </c>
      <c r="D10" s="6" t="s">
        <v>132</v>
      </c>
      <c r="E10" s="6"/>
    </row>
    <row r="13" customFormat="false" ht="15" hidden="false" customHeight="true" outlineLevel="0" collapsed="false">
      <c r="A13" s="3" t="s">
        <v>135</v>
      </c>
      <c r="B13" s="3"/>
      <c r="C13" s="3"/>
      <c r="D13" s="3"/>
      <c r="E13" s="3"/>
    </row>
    <row r="14" customFormat="false" ht="15" hidden="false" customHeight="false" outlineLevel="0" collapsed="false">
      <c r="A14" s="11" t="s">
        <v>136</v>
      </c>
      <c r="B14" s="11" t="s">
        <v>137</v>
      </c>
      <c r="C14" s="11" t="s">
        <v>117</v>
      </c>
      <c r="D14" s="11" t="s">
        <v>138</v>
      </c>
      <c r="E14" s="11"/>
    </row>
    <row r="15" customFormat="false" ht="23.85" hidden="false" customHeight="true" outlineLevel="0" collapsed="false">
      <c r="A15" s="6" t="s">
        <v>139</v>
      </c>
      <c r="B15" s="24" t="n">
        <f aca="false">B7/B6</f>
        <v>2.56555565292749E-005</v>
      </c>
      <c r="C15" s="6" t="s">
        <v>140</v>
      </c>
      <c r="D15" s="6" t="s">
        <v>141</v>
      </c>
      <c r="E15" s="6"/>
    </row>
    <row r="16" customFormat="false" ht="23.85" hidden="false" customHeight="true" outlineLevel="0" collapsed="false">
      <c r="A16" s="6" t="s">
        <v>142</v>
      </c>
      <c r="B16" s="24" t="n">
        <f aca="false">B10/B9</f>
        <v>2.56555565292749E-005</v>
      </c>
      <c r="C16" s="6" t="s">
        <v>143</v>
      </c>
      <c r="D16" s="6" t="s">
        <v>144</v>
      </c>
      <c r="E16" s="6"/>
    </row>
    <row r="17" customFormat="false" ht="23.85" hidden="false" customHeight="true" outlineLevel="0" collapsed="false">
      <c r="A17" s="6" t="s">
        <v>145</v>
      </c>
      <c r="B17" s="24" t="n">
        <f aca="false">B8/B6</f>
        <v>0.000916269876045531</v>
      </c>
      <c r="C17" s="6" t="s">
        <v>146</v>
      </c>
      <c r="D17" s="6" t="s">
        <v>147</v>
      </c>
      <c r="E17" s="6"/>
    </row>
    <row r="20" customFormat="false" ht="15" hidden="false" customHeight="true" outlineLevel="0" collapsed="false">
      <c r="A20" s="3" t="s">
        <v>148</v>
      </c>
      <c r="B20" s="3"/>
      <c r="C20" s="3"/>
      <c r="D20" s="3"/>
      <c r="E20" s="3"/>
    </row>
    <row r="21" customFormat="false" ht="49.5" hidden="false" customHeight="true" outlineLevel="0" collapsed="false">
      <c r="A21" s="5" t="s">
        <v>149</v>
      </c>
      <c r="B21" s="6" t="s">
        <v>150</v>
      </c>
      <c r="C21" s="6"/>
      <c r="D21" s="6"/>
      <c r="E21" s="6"/>
    </row>
    <row r="22" customFormat="false" ht="49.5" hidden="false" customHeight="true" outlineLevel="0" collapsed="false">
      <c r="A22" s="5" t="s">
        <v>151</v>
      </c>
      <c r="B22" s="6" t="s">
        <v>152</v>
      </c>
      <c r="C22" s="6"/>
      <c r="D22" s="6"/>
      <c r="E22" s="6"/>
    </row>
    <row r="23" customFormat="false" ht="49.5" hidden="false" customHeight="true" outlineLevel="0" collapsed="false">
      <c r="A23" s="5" t="s">
        <v>153</v>
      </c>
      <c r="B23" s="6" t="s">
        <v>154</v>
      </c>
      <c r="C23" s="6"/>
      <c r="D23" s="6"/>
      <c r="E23" s="6"/>
    </row>
  </sheetData>
  <mergeCells count="11">
    <mergeCell ref="A1:E1"/>
    <mergeCell ref="A2:E2"/>
    <mergeCell ref="A4:E4"/>
    <mergeCell ref="A13:E13"/>
    <mergeCell ref="D15:E15"/>
    <mergeCell ref="D16:E16"/>
    <mergeCell ref="D17:E17"/>
    <mergeCell ref="A20:E20"/>
    <mergeCell ref="B21:E21"/>
    <mergeCell ref="B22:E22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155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156</v>
      </c>
      <c r="B2" s="2"/>
      <c r="C2" s="2"/>
      <c r="D2" s="2"/>
      <c r="E2" s="2"/>
    </row>
    <row r="4" customFormat="false" ht="15" hidden="false" customHeight="false" outlineLevel="0" collapsed="false">
      <c r="A4" s="11" t="s">
        <v>157</v>
      </c>
      <c r="B4" s="11" t="s">
        <v>158</v>
      </c>
      <c r="C4" s="11" t="s">
        <v>159</v>
      </c>
      <c r="D4" s="11" t="s">
        <v>160</v>
      </c>
      <c r="E4" s="11" t="s">
        <v>161</v>
      </c>
    </row>
    <row r="5" customFormat="false" ht="30" hidden="false" customHeight="true" outlineLevel="0" collapsed="false">
      <c r="A5" s="6" t="s">
        <v>162</v>
      </c>
      <c r="B5" s="6" t="s">
        <v>163</v>
      </c>
      <c r="C5" s="6" t="s">
        <v>164</v>
      </c>
      <c r="D5" s="6" t="s">
        <v>165</v>
      </c>
      <c r="E5" s="13" t="s">
        <v>166</v>
      </c>
    </row>
    <row r="6" customFormat="false" ht="30" hidden="false" customHeight="true" outlineLevel="0" collapsed="false">
      <c r="A6" s="6" t="s">
        <v>167</v>
      </c>
      <c r="B6" s="6" t="s">
        <v>168</v>
      </c>
      <c r="C6" s="6" t="s">
        <v>169</v>
      </c>
      <c r="D6" s="6" t="s">
        <v>170</v>
      </c>
      <c r="E6" s="13" t="s">
        <v>171</v>
      </c>
    </row>
    <row r="7" customFormat="false" ht="30" hidden="false" customHeight="true" outlineLevel="0" collapsed="false">
      <c r="A7" s="6" t="s">
        <v>172</v>
      </c>
      <c r="B7" s="6" t="s">
        <v>173</v>
      </c>
      <c r="C7" s="6" t="s">
        <v>174</v>
      </c>
      <c r="D7" s="6" t="s">
        <v>175</v>
      </c>
      <c r="E7" s="13" t="s">
        <v>176</v>
      </c>
    </row>
    <row r="8" customFormat="false" ht="30" hidden="false" customHeight="true" outlineLevel="0" collapsed="false">
      <c r="A8" s="6" t="s">
        <v>177</v>
      </c>
      <c r="B8" s="6" t="s">
        <v>178</v>
      </c>
      <c r="C8" s="6" t="s">
        <v>179</v>
      </c>
      <c r="D8" s="6" t="s">
        <v>180</v>
      </c>
      <c r="E8" s="13" t="s">
        <v>181</v>
      </c>
    </row>
    <row r="9" customFormat="false" ht="30" hidden="false" customHeight="true" outlineLevel="0" collapsed="false">
      <c r="A9" s="6" t="s">
        <v>182</v>
      </c>
      <c r="B9" s="6" t="s">
        <v>183</v>
      </c>
      <c r="C9" s="6" t="s">
        <v>184</v>
      </c>
      <c r="D9" s="6" t="s">
        <v>180</v>
      </c>
      <c r="E9" s="13" t="s">
        <v>185</v>
      </c>
    </row>
    <row r="10" customFormat="false" ht="30" hidden="false" customHeight="true" outlineLevel="0" collapsed="false">
      <c r="A10" s="6" t="s">
        <v>186</v>
      </c>
      <c r="B10" s="6" t="s">
        <v>187</v>
      </c>
      <c r="C10" s="6" t="s">
        <v>188</v>
      </c>
      <c r="D10" s="6" t="s">
        <v>189</v>
      </c>
      <c r="E10" s="13" t="s">
        <v>190</v>
      </c>
    </row>
    <row r="11" customFormat="false" ht="30" hidden="false" customHeight="true" outlineLevel="0" collapsed="false">
      <c r="A11" s="6" t="s">
        <v>191</v>
      </c>
      <c r="B11" s="6" t="s">
        <v>192</v>
      </c>
      <c r="C11" s="6" t="s">
        <v>193</v>
      </c>
      <c r="D11" s="6" t="s">
        <v>194</v>
      </c>
      <c r="E11" s="13" t="s">
        <v>195</v>
      </c>
    </row>
    <row r="12" customFormat="false" ht="30" hidden="false" customHeight="true" outlineLevel="0" collapsed="false">
      <c r="A12" s="6" t="s">
        <v>196</v>
      </c>
      <c r="B12" s="6" t="s">
        <v>197</v>
      </c>
      <c r="C12" s="6" t="s">
        <v>198</v>
      </c>
      <c r="D12" s="6" t="s">
        <v>194</v>
      </c>
      <c r="E12" s="13" t="s">
        <v>199</v>
      </c>
    </row>
    <row r="13" customFormat="false" ht="30" hidden="false" customHeight="true" outlineLevel="0" collapsed="false">
      <c r="A13" s="6" t="s">
        <v>200</v>
      </c>
      <c r="B13" s="6" t="s">
        <v>201</v>
      </c>
      <c r="C13" s="6" t="s">
        <v>202</v>
      </c>
      <c r="D13" s="6" t="s">
        <v>170</v>
      </c>
      <c r="E13" s="13" t="s">
        <v>203</v>
      </c>
    </row>
    <row r="14" customFormat="false" ht="30" hidden="false" customHeight="true" outlineLevel="0" collapsed="false">
      <c r="A14" s="6" t="s">
        <v>204</v>
      </c>
      <c r="B14" s="6" t="s">
        <v>205</v>
      </c>
      <c r="C14" s="6" t="s">
        <v>206</v>
      </c>
      <c r="D14" s="6" t="s">
        <v>170</v>
      </c>
      <c r="E14" s="13" t="s">
        <v>207</v>
      </c>
    </row>
    <row r="15" customFormat="false" ht="30" hidden="false" customHeight="true" outlineLevel="0" collapsed="false">
      <c r="A15" s="6" t="s">
        <v>208</v>
      </c>
      <c r="B15" s="6" t="s">
        <v>209</v>
      </c>
      <c r="C15" s="6" t="s">
        <v>210</v>
      </c>
      <c r="D15" s="6" t="s">
        <v>211</v>
      </c>
      <c r="E15" s="13" t="s">
        <v>212</v>
      </c>
    </row>
    <row r="16" customFormat="false" ht="30" hidden="false" customHeight="true" outlineLevel="0" collapsed="false">
      <c r="A16" s="6" t="s">
        <v>213</v>
      </c>
      <c r="B16" s="6" t="s">
        <v>214</v>
      </c>
      <c r="C16" s="6" t="s">
        <v>215</v>
      </c>
      <c r="D16" s="6" t="s">
        <v>216</v>
      </c>
      <c r="E16" s="13" t="s">
        <v>217</v>
      </c>
    </row>
    <row r="17" customFormat="false" ht="30" hidden="false" customHeight="true" outlineLevel="0" collapsed="false">
      <c r="A17" s="6" t="s">
        <v>218</v>
      </c>
      <c r="B17" s="6" t="s">
        <v>219</v>
      </c>
      <c r="C17" s="6" t="s">
        <v>220</v>
      </c>
      <c r="D17" s="6" t="s">
        <v>211</v>
      </c>
      <c r="E17" s="13" t="s">
        <v>221</v>
      </c>
    </row>
    <row r="18" customFormat="false" ht="30" hidden="false" customHeight="true" outlineLevel="0" collapsed="false">
      <c r="A18" s="6" t="s">
        <v>222</v>
      </c>
      <c r="B18" s="6" t="s">
        <v>223</v>
      </c>
      <c r="C18" s="6" t="s">
        <v>224</v>
      </c>
      <c r="D18" s="6" t="s">
        <v>216</v>
      </c>
      <c r="E18" s="13" t="s">
        <v>225</v>
      </c>
    </row>
    <row r="19" customFormat="false" ht="30" hidden="false" customHeight="true" outlineLevel="0" collapsed="false">
      <c r="A19" s="6" t="s">
        <v>226</v>
      </c>
      <c r="B19" s="6" t="s">
        <v>227</v>
      </c>
      <c r="C19" s="6" t="s">
        <v>228</v>
      </c>
      <c r="D19" s="6" t="s">
        <v>229</v>
      </c>
      <c r="E19" s="13" t="s">
        <v>230</v>
      </c>
    </row>
    <row r="20" customFormat="false" ht="30" hidden="false" customHeight="true" outlineLevel="0" collapsed="false">
      <c r="A20" s="6" t="s">
        <v>231</v>
      </c>
      <c r="B20" s="6" t="s">
        <v>232</v>
      </c>
      <c r="C20" s="6" t="s">
        <v>233</v>
      </c>
      <c r="D20" s="6" t="s">
        <v>234</v>
      </c>
      <c r="E20" s="13" t="s">
        <v>235</v>
      </c>
    </row>
    <row r="21" customFormat="false" ht="30" hidden="false" customHeight="true" outlineLevel="0" collapsed="false">
      <c r="A21" s="6" t="s">
        <v>236</v>
      </c>
      <c r="B21" s="6" t="s">
        <v>237</v>
      </c>
      <c r="C21" s="6" t="s">
        <v>238</v>
      </c>
      <c r="D21" s="6" t="s">
        <v>239</v>
      </c>
      <c r="E21" s="13" t="s">
        <v>240</v>
      </c>
    </row>
  </sheetData>
  <mergeCells count="2">
    <mergeCell ref="A1:E1"/>
    <mergeCell ref="A2:E2"/>
  </mergeCells>
  <hyperlinks>
    <hyperlink ref="E5" r:id="rId1" display="https://arxum.com/forex-trading-statistics/"/>
    <hyperlink ref="E6" r:id="rId2" display="https://www.financemagnates.com/forex/analysis/volume-outpaces-account-growth-in-retail-fxcfd-as-per-trader-activity-hits-record/"/>
    <hyperlink ref="E7" r:id="rId3" display="https://coinlaw.io/foreign-exchange-industry-statistics/"/>
    <hyperlink ref="E8" r:id="rId4" display="https://www.bis.org/press/p250930.htm"/>
    <hyperlink ref="E9" r:id="rId5" display="https://memx.com/insights/retail-trading-insights"/>
    <hyperlink ref="E10" r:id="rId6" display="https://coinlaw.io/retail-investing-statistics/"/>
    <hyperlink ref="E11" r:id="rId7" display="https://www.weforum.org/stories/2025/08/how-will-24-7-trading-impact-retail-investors-and-the-economy/"/>
    <hyperlink ref="E12" r:id="rId8" display="https://www.marketreportsworld.com/market-reports/cfd-broker-market-14721086"/>
    <hyperlink ref="E13" r:id="rId9" display="https://www.pewresearch.org/short-reads/2026/05/27/trading-volume-on-prediction-markets-has-soared-in-recent-months/"/>
    <hyperlink ref="E14" r:id="rId10" display="https://www.kucoin.com/news/flash/kalshi-and-polymarket-dominate-97-5-of-prediction-market-share-in-2025"/>
    <hyperlink ref="E15" r:id="rId11" display="https://defirate.com/prediction-markets/volume/polymarket/"/>
    <hyperlink ref="E16" r:id="rId12" display="https://defirate.com/news/kalshi-posts-record-3-9b-volume-extends-lead-over-polymarket-parlays-surge/"/>
    <hyperlink ref="E17" r:id="rId13" display="https://www.wxtrade.com/how-cfd-traders-are-reshaping-global-markets/"/>
    <hyperlink ref="E18" r:id="rId14" display="https://www.finsmes.com/2026/04/how-global-interest-rate-decisions-drive-record-volumes-in-the-retail-financial-services-sector.html"/>
    <hyperlink ref="E19" r:id="rId15" display="https://www.fia.org/etd-volume-reports"/>
    <hyperlink ref="E20" r:id="rId16" display="https://wfe-live.lon1.cdn.digitaloceanspaces.com/org_focus/storage/media/Cally%20Billimore/WFE%20FY%202024%20Market%20Highlights%20Report%2010022025.pdf"/>
    <hyperlink ref="E21" r:id="rId17" display="https://www.fia.org/marketvoice/articles/indias-options-crackdown-weighs-global-etd-trading-volu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2026-06-24T05:54:29Z</dcterms:created>
  <dc:creator>openpyxl</dc:creator>
  <dc:description/>
  <dc:language>en-US</dc:language>
  <cp:lastModifiedBy/>
  <dcterms:modified xsi:type="dcterms:W3CDTF">2026-06-24T05:54:29Z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