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Quarterly Model" sheetId="3" state="visible" r:id="rId3"/>
    <sheet name="Daily Model" sheetId="4" state="visible" r:id="rId4"/>
    <sheet name="OTS Breakdown" sheetId="5" state="visible" r:id="rId5"/>
    <sheet name="Daily Data" sheetId="6" state="visible" r:id="rId6"/>
    <sheet name="HIP-3 Categories" sheetId="7" state="visible" r:id="rId7"/>
    <sheet name="HIP-3 Symbols" sheetId="8" state="visible" r:id="rId8"/>
    <sheet name="Sources" sheetId="9" state="visible" r:id="rId9"/>
  </sheets>
  <definedNames>
    <definedName name="HLP_Current">Assumptions!$C$4</definedName>
    <definedName name="HLP_Legacy">Assumptions!$C$5</definedName>
    <definedName name="HLP_ChangeDate">Assumptions!$C$6</definedName>
    <definedName name="Team_Genesis">Assumptions!$C$17</definedName>
    <definedName name="Pre_Cliff_Vested">Assumptions!$C$18</definedName>
    <definedName name="Cliff_Date">Assumptions!$C$19</definedName>
    <definedName name="Vest_Months">Assumptions!$C$20</definedName>
    <definedName name="Monthly_Vest">Assumptions!$C$21</definedName>
    <definedName name="Daily_Vest">Assumptions!$C$22</definedName>
    <definedName name="Vest_End_Date">Assumptions!$C$23</definedName>
    <definedName name="_xlnm._FilterDatabase" localSheetId="3" hidden="1">'Daily Model'!$A$3:$V$508</definedName>
    <definedName name="_xlnm._FilterDatabase" localSheetId="4" hidden="1">'OTS Breakdown'!$A$3:$AF$508</definedName>
    <definedName name="_xlnm._FilterDatabase" localSheetId="5" hidden="1">'Daily Data'!$A$3:$W$508</definedName>
    <definedName name="_xlnm._FilterDatabase" localSheetId="6" hidden="1">'HIP-3 Categories'!$A$3:$M$227</definedName>
    <definedName name="_xlnm._FilterDatabase" localSheetId="7" hidden="1">'HIP-3 Symbols'!$A$2:$G$126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0%;(0.00%);&quot;-&quot;"/>
    <numFmt numFmtId="165" formatCode="yyyy-mm-dd"/>
    <numFmt numFmtId="166" formatCode="0.000;(0.000);&quot;-&quot;"/>
    <numFmt numFmtId="167" formatCode="$#,##0.0;($#,##0.0);&quot;-&quot;"/>
    <numFmt numFmtId="168" formatCode="0.00;(0.00);&quot;-&quot;"/>
    <numFmt numFmtId="169" formatCode="$#,##0.00;($#,##0.00);&quot;-&quot;"/>
    <numFmt numFmtId="170" formatCode="0.0%;(0.0%);&quot;-&quot;"/>
    <numFmt numFmtId="171" formatCode="#,##0.000;(#,##0.000);&quot;-&quot;"/>
    <numFmt numFmtId="172" formatCode="#,##0.0;(#,##0.0);&quot;-&quot;"/>
    <numFmt numFmtId="173" formatCode="$#,##0;($#,##0);&quot;-&quot;"/>
    <numFmt numFmtId="174" formatCode="#,##0;(#,##0);&quot;-&quot;"/>
    <numFmt numFmtId="175" formatCode="#,##0;(#,##0);&quot;0&quot;"/>
    <numFmt numFmtId="176" formatCode="0.0%"/>
    <numFmt numFmtId="177" formatCode="#,##0.0"/>
  </numFmts>
  <fonts count="21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i val="1"/>
      <color rgb="00555555"/>
      <sz val="9"/>
    </font>
    <font>
      <name val="Arial"/>
      <b val="1"/>
      <color rgb="000B6E4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1A1A1A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B6E4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FF"/>
      <sz val="9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b val="1"/>
      <color rgb="00000000"/>
      <sz val="9"/>
    </font>
    <font>
      <name val="Arial"/>
      <i val="1"/>
      <color rgb="00888888"/>
      <sz val="9"/>
    </font>
    <font>
      <name val="Arial"/>
      <color rgb="001D4E89"/>
      <sz val="9"/>
    </font>
    <font>
      <name val="Arial"/>
      <b val="1"/>
      <color rgb="000B6E4F"/>
      <sz val="9"/>
    </font>
    <font>
      <name val="Arial"/>
      <i val="1"/>
      <color rgb="007A4FB8"/>
      <sz val="9"/>
    </font>
    <font>
      <name val="Arial"/>
      <color rgb="00888888"/>
      <sz val="9"/>
    </font>
  </fonts>
  <fills count="16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DEBF7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  <fill>
      <patternFill patternType="solid">
        <fgColor rgb="008B4513"/>
      </patternFill>
    </fill>
    <fill>
      <patternFill patternType="solid">
        <fgColor rgb="001A1A1A"/>
      </patternFill>
    </fill>
    <fill>
      <patternFill patternType="solid">
        <fgColor rgb="00444444"/>
      </patternFill>
    </fill>
    <fill>
      <patternFill patternType="solid">
        <fgColor rgb="00B8860B"/>
      </patternFill>
    </fill>
    <fill>
      <patternFill patternType="solid">
        <fgColor rgb="00556B2F"/>
      </patternFill>
    </fill>
    <fill>
      <patternFill patternType="solid">
        <fgColor rgb="004B008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0" pivotButton="0" quotePrefix="0" xfId="0"/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12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3" fontId="12" fillId="2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4" fontId="12" fillId="2" borderId="1" applyAlignment="1" pivotButton="0" quotePrefix="0" xfId="0">
      <alignment horizontal="center" vertical="center"/>
    </xf>
    <xf numFmtId="0" fontId="13" fillId="3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1" fillId="11" borderId="0" applyAlignment="1" pivotButton="0" quotePrefix="0" xfId="0">
      <alignment horizontal="center"/>
    </xf>
    <xf numFmtId="0" fontId="11" fillId="12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 wrapText="1"/>
    </xf>
    <xf numFmtId="49" fontId="8" fillId="0" borderId="1" pivotButton="0" quotePrefix="0" xfId="0"/>
    <xf numFmtId="165" fontId="8" fillId="0" borderId="1" pivotButton="0" quotePrefix="0" xfId="0"/>
    <xf numFmtId="167" fontId="8" fillId="0" borderId="1" pivotButton="0" quotePrefix="0" xfId="0"/>
    <xf numFmtId="168" fontId="8" fillId="0" borderId="1" pivotButton="0" quotePrefix="0" xfId="0"/>
    <xf numFmtId="169" fontId="8" fillId="0" borderId="1" pivotButton="0" quotePrefix="0" xfId="0"/>
    <xf numFmtId="170" fontId="19" fillId="0" borderId="1" pivotButton="0" quotePrefix="0" xfId="0"/>
    <xf numFmtId="167" fontId="15" fillId="0" borderId="1" pivotButton="0" quotePrefix="0" xfId="0"/>
    <xf numFmtId="170" fontId="8" fillId="0" borderId="1" pivotButton="0" quotePrefix="0" xfId="0"/>
    <xf numFmtId="169" fontId="20" fillId="0" borderId="1" pivotButton="0" quotePrefix="0" xfId="0"/>
    <xf numFmtId="171" fontId="8" fillId="0" borderId="1" pivotButton="0" quotePrefix="0" xfId="0"/>
    <xf numFmtId="172" fontId="15" fillId="0" borderId="1" pivotButton="0" quotePrefix="0" xfId="0"/>
    <xf numFmtId="172" fontId="16" fillId="0" borderId="1" pivotButton="0" quotePrefix="0" xfId="0"/>
    <xf numFmtId="0" fontId="13" fillId="6" borderId="0" pivotButton="0" quotePrefix="0" xfId="0"/>
    <xf numFmtId="0" fontId="6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72" fontId="8" fillId="0" borderId="1" pivotButton="0" quotePrefix="0" xfId="0"/>
    <xf numFmtId="172" fontId="12" fillId="2" borderId="1" pivotButton="0" quotePrefix="0" xfId="0"/>
    <xf numFmtId="0" fontId="2" fillId="2" borderId="0" applyAlignment="1" pivotButton="0" quotePrefix="0" xfId="0">
      <alignment vertical="top" wrapText="1"/>
    </xf>
    <xf numFmtId="0" fontId="13" fillId="3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173" fontId="9" fillId="0" borderId="1" pivotButton="0" quotePrefix="0" xfId="0"/>
    <xf numFmtId="173" fontId="8" fillId="0" borderId="1" pivotButton="0" quotePrefix="0" xfId="0"/>
    <xf numFmtId="164" fontId="8" fillId="0" borderId="1" pivotButton="0" quotePrefix="0" xfId="0"/>
    <xf numFmtId="173" fontId="7" fillId="0" borderId="1" pivotButton="0" quotePrefix="0" xfId="0"/>
    <xf numFmtId="173" fontId="15" fillId="0" borderId="1" pivotButton="0" quotePrefix="0" xfId="0"/>
    <xf numFmtId="166" fontId="8" fillId="0" borderId="1" pivotButton="0" quotePrefix="0" xfId="0"/>
    <xf numFmtId="0" fontId="11" fillId="10" borderId="0" applyAlignment="1" pivotButton="0" quotePrefix="0" xfId="0">
      <alignment horizontal="center"/>
    </xf>
    <xf numFmtId="169" fontId="7" fillId="0" borderId="1" pivotButton="0" quotePrefix="0" xfId="0"/>
    <xf numFmtId="174" fontId="7" fillId="0" borderId="1" pivotButton="0" quotePrefix="0" xfId="0"/>
    <xf numFmtId="174" fontId="8" fillId="0" borderId="1" pivotButton="0" quotePrefix="0" xfId="0"/>
    <xf numFmtId="174" fontId="15" fillId="0" borderId="1" pivotButton="0" quotePrefix="0" xfId="0"/>
    <xf numFmtId="3" fontId="8" fillId="0" borderId="1" pivotButton="0" quotePrefix="0" xfId="0"/>
    <xf numFmtId="175" fontId="16" fillId="0" borderId="1" pivotButton="0" quotePrefix="0" xfId="0"/>
    <xf numFmtId="4" fontId="8" fillId="0" borderId="1" pivotButton="0" quotePrefix="0" xfId="0"/>
    <xf numFmtId="4" fontId="7" fillId="0" borderId="1" pivotButton="0" quotePrefix="0" xfId="0"/>
    <xf numFmtId="4" fontId="17" fillId="0" borderId="1" pivotButton="0" quotePrefix="0" xfId="0"/>
    <xf numFmtId="10" fontId="17" fillId="0" borderId="1" pivotButton="0" quotePrefix="0" xfId="0"/>
    <xf numFmtId="176" fontId="17" fillId="0" borderId="1" pivotButton="0" quotePrefix="0" xfId="0"/>
    <xf numFmtId="177" fontId="18" fillId="0" borderId="1" pivotButton="0" quotePrefix="0" xfId="0"/>
    <xf numFmtId="0" fontId="14" fillId="4" borderId="0" applyAlignment="1" pivotButton="0" quotePrefix="0" xfId="0">
      <alignment horizontal="center"/>
    </xf>
    <xf numFmtId="173" fontId="7" fillId="5" borderId="1" pivotButton="0" quotePrefix="0" xfId="0"/>
    <xf numFmtId="0" fontId="6" fillId="0" borderId="1" applyAlignment="1" pivotButton="0" quotePrefix="0" xfId="0">
      <alignment vertical="top" wrapText="1"/>
    </xf>
    <xf numFmtId="167" fontId="8" fillId="0" borderId="1" pivotButton="0" quotePrefix="0" xfId="0"/>
    <xf numFmtId="168" fontId="8" fillId="0" borderId="1" pivotButton="0" quotePrefix="0" xfId="0"/>
    <xf numFmtId="170" fontId="19" fillId="0" borderId="1" pivotButton="0" quotePrefix="0" xfId="0"/>
    <xf numFmtId="167" fontId="15" fillId="0" borderId="1" pivotButton="0" quotePrefix="0" xfId="0"/>
    <xf numFmtId="170" fontId="8" fillId="0" borderId="1" pivotButton="0" quotePrefix="0" xfId="0"/>
    <xf numFmtId="171" fontId="8" fillId="0" borderId="1" pivotButton="0" quotePrefix="0" xfId="0"/>
    <xf numFmtId="172" fontId="15" fillId="0" borderId="1" pivotButton="0" quotePrefix="0" xfId="0"/>
    <xf numFmtId="172" fontId="16" fillId="0" borderId="1" pivotButton="0" quotePrefix="0" xfId="0"/>
    <xf numFmtId="172" fontId="8" fillId="0" borderId="1" pivotButton="0" quotePrefix="0" xfId="0"/>
    <xf numFmtId="172" fontId="12" fillId="2" borderId="1" pivotButton="0" quotePrefix="0" xfId="0"/>
    <xf numFmtId="173" fontId="9" fillId="0" borderId="1" pivotButton="0" quotePrefix="0" xfId="0"/>
    <xf numFmtId="173" fontId="8" fillId="0" borderId="1" pivotButton="0" quotePrefix="0" xfId="0"/>
    <xf numFmtId="173" fontId="7" fillId="0" borderId="1" pivotButton="0" quotePrefix="0" xfId="0"/>
    <xf numFmtId="173" fontId="15" fillId="0" borderId="1" pivotButton="0" quotePrefix="0" xfId="0"/>
    <xf numFmtId="174" fontId="7" fillId="0" borderId="1" pivotButton="0" quotePrefix="0" xfId="0"/>
    <xf numFmtId="174" fontId="8" fillId="0" borderId="1" pivotButton="0" quotePrefix="0" xfId="0"/>
    <xf numFmtId="174" fontId="15" fillId="0" borderId="1" pivotButton="0" quotePrefix="0" xfId="0"/>
    <xf numFmtId="175" fontId="16" fillId="0" borderId="1" pivotButton="0" quotePrefix="0" xfId="0"/>
    <xf numFmtId="176" fontId="17" fillId="0" borderId="1" pivotButton="0" quotePrefix="0" xfId="0"/>
    <xf numFmtId="177" fontId="18" fillId="0" borderId="1" pivotButton="0" quotePrefix="0" xfId="0"/>
    <xf numFmtId="173" fontId="7" fillId="5" borderId="1" pivotButton="0" quotePrefix="0" xfId="0"/>
    <xf numFmtId="0" fontId="10" fillId="3" borderId="0" applyAlignment="1" pivotButton="0" quotePrefix="0" xfId="0">
      <alignment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5" fontId="8" fillId="0" borderId="0" pivotButton="0" quotePrefix="0" xfId="0"/>
    <xf numFmtId="173" fontId="16" fillId="0" borderId="1" pivotButton="0" quotePrefix="0" xfId="0"/>
    <xf numFmtId="0" fontId="15" fillId="0" borderId="0" pivotButton="0" quotePrefix="0" xfId="0"/>
    <xf numFmtId="0" fontId="11" fillId="4" borderId="1" applyAlignment="1" pivotButton="0" quotePrefix="0" xfId="0">
      <alignment horizontal="center"/>
    </xf>
    <xf numFmtId="0" fontId="8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Sources</author>
  </authors>
  <commentList>
    <comment ref="E3" authorId="0" shapeId="0">
      <text>
        <t>SOURCE: hyperscreener.asxn.xyz /buyback/revenues — actual protocol revenue. Already net of HLP, Unit, Deployer.</t>
      </text>
    </comment>
    <comment ref="F3" authorId="0" shapeId="0">
      <text>
        <t>SOURCE: Loris (loris.tools) — HIP-3 gross fees, all builder-deployed DEXs.</t>
      </text>
    </comment>
    <comment ref="G3" authorId="0" shapeId="0">
      <text>
        <t>SOURCE: Loris — deployer share of HIP-3 fees. Zero before 2026-03-21 (growth mode).</t>
      </text>
    </comment>
    <comment ref="H3" authorId="0" shapeId="0">
      <text>
        <t>SOURCE: HIP-3 share that hits HyperCore Revenue = HIP-3 Gross × (1 − HLP rate) − Deployer. The HIP-3 portion of HC Rev.</t>
      </text>
    </comment>
    <comment ref="I3" authorId="0" shapeId="0">
      <text>
        <t>SOURCE: DefiLlama hyperliquid-spot-orderbook dailyHoldersRevenue. Already net of HLP and Unit per DefiLlama methodology. This is the spot piece that hits HC Rev.</t>
      </text>
    </comment>
    <comment ref="M3" authorId="0" shapeId="0">
      <text>
        <t>SOURCE: DefiLlama hyperliquid-spot-orderbook dailyFees — TOTAL spot fees users pay. Matches Daily Data col I exactly. Bridge: Spot Fees = Spot Rev + Unit + HLP_spot.</t>
      </text>
    </comment>
    <comment ref="N3" authorId="0" shapeId="0">
      <text>
        <t>SOURCE: Unit (Hyperunit) fee on spot trades of tokens it deploys. Derived from the spot bridge: Spot Fees = Spot Rev + Unit + HLP_spot, so Unit = Spot Fees × (1 − HLP rate) − Spot Rev. (HLP takes its cut from the non-Unit slice of spot fees.)</t>
      </text>
    </comment>
    <comment ref="O3" authorId="0" shapeId="0">
      <text>
        <t>SOURCE: hyperscreener /node/builders — actual daily total, top-20 builders, from 2025-09-13. Blank before (no data). On-top pass-through (does NOT reduce HC Rev).</t>
      </text>
    </comment>
    <comment ref="P3" authorId="0" shapeId="0">
      <text>
        <t>SOURCE: CALCULATED, not extracted (no public daily HLP feed). Formula: HLP = (Core Perp Fees + HIP-3 Gross Fees + Spot Fees) × HLP rate. Rate = 3% before 2025-08-30, 1% after (DefiLlama hyperliquid-spot-orderbook methodology — explicitly states 1% of spot fees go to HLP; the perps page agrees on 1% for perps). Source confirms HLP draws from all three segments at the same rate.</t>
      </text>
    </comment>
    <comment ref="Q3" authorId="0" shapeId="0">
      <text>
        <t>SOURCE: = Core Perp Protocol Fees × HLP rate. Visible breakdown.</t>
      </text>
    </comment>
    <comment ref="R3" authorId="0" shapeId="0">
      <text>
        <t>SOURCE: = HIP-3 Gross Fees × HLP rate. Visible breakdown. (Applies to gross, before deployer cut.)</t>
      </text>
    </comment>
    <comment ref="S3" authorId="0" shapeId="0">
      <text>
        <t>SOURCE: = Spot Gross Fees × HLP rate. Visible breakdown.</t>
      </text>
    </comment>
  </commentList>
</comments>
</file>

<file path=xl/comments/comment2.xml><?xml version="1.0" encoding="utf-8"?>
<comments xmlns="http://schemas.openxmlformats.org/spreadsheetml/2006/main">
  <authors>
    <author>Sources</author>
  </authors>
  <commentList>
    <comment ref="G3" authorId="0" shapeId="0">
      <text>
        <t>SOURCE: ACTUAL team / core-contributor distributions (discretionary, far below the ~9.9M/month schedule). Source: unlock trackers. Nov-2025..Apr-2026; Dec-2025=0; May-2026 pending. Placed on the 6th.</t>
      </text>
    </comment>
    <comment ref="J3" authorId="0" shapeId="0">
      <text>
        <t>SOURCE: Running balance: reserve(t) = reserve(t−1) − emission(t). Row 4 = starting value from hyperscreener /validators/daily-emissions. WHAT THIS FIELD IS: the HyperBFT native-staking emission reserve, initialised at 428,050,036 HYPE on 2024-12-29 (one day before native staking went live 2024-12-30). It is a DERIVED figure ≈ Max Supply (1bn) − Current Circulating Supply − Core Contributors Locked Allocation (~238M). It is NOT identical to the genesis "Future Emissions &amp; Community Rewards" 38.888% bucket. Only staking emissions draw from it (no active community-rewards distribution). End-of-period drift vs source ≈ +52K HYPE over 505 days (~0.012%, rounding noise).</t>
      </text>
    </comment>
    <comment ref="K3" authorId="0" shapeId="0">
      <text>
        <t>SOURCE: Hyper Foundation budget — genesis allocation 60,000,000 HYPE (6.0%). Fixed reserve, held flat.</t>
      </text>
    </comment>
    <comment ref="M3" authorId="0" shapeId="0">
      <text>
        <t>SOURCE: Community grants — genesis allocation 3,000,000 HYPE (0.3%). Fixed reserve, held flat.</t>
      </text>
    </comment>
    <comment ref="N3" authorId="0" shapeId="0">
      <text>
        <t>SOURCE: = 1,000,000,000 − total supply (hyperscreener /buyback/daily-burn).</t>
      </text>
    </comment>
    <comment ref="O3" authorId="0" shapeId="0">
      <text>
        <t>SOURCE: OTS = Initial Supply − Future Emissions − Hyper Foundation − Assistance Fund − Community Grants − Cumulative Fees Burnt.</t>
      </text>
    </comment>
    <comment ref="Q3" authorId="0" shapeId="0">
      <text>
        <t>J=J_prev − E</t>
      </text>
    </comment>
    <comment ref="R3" authorId="0" shapeId="0">
      <text>
        <t>should ≈ 0</t>
      </text>
    </comment>
    <comment ref="S3" authorId="0" shapeId="0">
      <text>
        <t>L=L_prev + D</t>
      </text>
    </comment>
    <comment ref="T3" authorId="0" shapeId="0">
      <text>
        <t>negative ⇒ AF burned/transferred HYPE</t>
      </text>
    </comment>
    <comment ref="U3" authorId="0" shapeId="0">
      <text>
        <t>N=N_prev + F</t>
      </text>
    </comment>
    <comment ref="V3" authorId="0" shapeId="0">
      <text>
        <t>should ≈ 0</t>
      </text>
    </comment>
    <comment ref="W3" authorId="0" shapeId="0">
      <text>
        <t>= Daily Data!J ÷ C</t>
      </text>
    </comment>
    <comment ref="X3" authorId="0" shapeId="0">
      <text>
        <t>= Daily Data!K ÷ C</t>
      </text>
    </comment>
    <comment ref="Y3" authorId="0" shapeId="0">
      <text>
        <t>= F − EVM − Auction</t>
      </text>
    </comment>
    <comment ref="Z3" authorId="0" shapeId="0">
      <text>
        <t>Active = stake on isActive=true validators (earning rewards). Source: ASXN Total HYPE Staked chart, monthly.</t>
      </text>
    </comment>
    <comment ref="AA3" authorId="0" shapeId="0">
      <text>
        <t>Inactive = stake on inactive/jailed validators + HYPE in 7-day unbonding cooldown (NOT earning). Source: ASXN.</t>
      </text>
    </comment>
    <comment ref="AB3" authorId="0" shapeId="0">
      <text>
        <t>= Active + Inactive. The base used for the implied APR calc (matches HL formula calibration: yield = 2.37% @ 400M total).</t>
      </text>
    </comment>
    <comment ref="AC3" authorId="0" shapeId="0">
      <text>
        <t>= Daily Emission × 365 ÷ (Total Stake × 1M). Should hover at ~2.20–2.30% across the period, avg ≈ 2.25% — verified vs HL Staking Calculator and published validator APRs.</t>
      </text>
    </comment>
    <comment ref="AD3" authorId="0" shapeId="0">
      <text>
        <t>Total Stake ÷ OTS (col O). Shows what share of OTS is bonded.</t>
      </text>
    </comment>
    <comment ref="AE3" authorId="0" shapeId="0">
      <text>
        <t>Team_Genesis (238M) − cumulative team vested (col H). The portion of team allocation still in vesting contracts. Cliff ends 2026-06-06; linear vest at 9.92M/mo thereafter (Assumptions tab).</t>
      </text>
    </comment>
    <comment ref="AF3" authorId="0" shapeId="0">
      <text>
        <t>= OTS − Team Locked Remaining. CoinGecko-style float. Latest historical row ≈ 240M, matches CoinGecko ~238M (vintage diff). Use this for float-based market-cap and per-token dilution analysis.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Hyperliquid — Fee → Revenue DAILY Decomposition</t>
        </is>
      </c>
    </row>
    <row r="2">
      <c r="B2" s="2" t="inlineStr">
        <is>
          <t>Splits the actual HyperCore revenue into core-perp / HIP-3 / spot, every day, by top-down subtraction.</t>
        </is>
      </c>
    </row>
    <row r="3">
      <c r="B3" s="2" t="inlineStr">
        <is>
          <t>Generated 2026-05-26.  Daily, 2025-01-01 → 2026-05-20.</t>
        </is>
      </c>
    </row>
    <row r="5">
      <c r="B5" s="3" t="inlineStr">
        <is>
          <t>THE METHOD  (everything daily — no monthly aggregation)</t>
        </is>
      </c>
    </row>
    <row r="6" ht="44" customHeight="1">
      <c r="B6" s="4" t="inlineStr">
        <is>
          <t>•  NORTH STAR: the actual HyperCore revenue reported by hyperscreener.asxn.xyz (the $ that funds HYPE buybacks). The model never overrides it — it decomposes it.</t>
        </is>
      </c>
    </row>
    <row r="7" ht="44" customHeight="1">
      <c r="B7" s="4" t="inlineStr">
        <is>
          <t>•  STEP 1 — HIP-3: HIP-3 gross fees and deployer fees come from Loris (loris.tools), daily. HIP-3 protocol revenue = gross fees − deployer fees.</t>
        </is>
      </c>
    </row>
    <row r="8" ht="44" customHeight="1">
      <c r="B8" s="4" t="inlineStr">
        <is>
          <t>•  STEP 2 — Spot: spot revenue comes from DefiLlama (hyperliquid-spot-orderbook), daily.</t>
        </is>
      </c>
    </row>
    <row r="9" ht="44" customHeight="1">
      <c r="B9" s="4" t="inlineStr">
        <is>
          <t>•  STEP 3 — Core perp (the plug): Core perp revenue = HyperCore revenue − HIP-3 protocol revenue − spot revenue. Because it is a residual, the three pieces ALWAYS sum back to the north star exactly.</t>
        </is>
      </c>
    </row>
    <row r="10" ht="44" customHeight="1">
      <c r="B10" s="4" t="inlineStr">
        <is>
          <t>•  STEP 4 — Fees &amp; HLP: revenue is grossed up to protocol fees by adding back the HLP provider share — 1% of perp+spot fees, and 3% before 2025-08-30 (DefiLlama methodology). Protocol fee = revenue ÷ (1 − HLP%).</t>
        </is>
      </c>
    </row>
    <row r="11" ht="44" customHeight="1">
      <c r="B11" s="4" t="inlineStr">
        <is>
          <t>•  CROSS-CHECKS: each segment's implied take-rate (fees ÷ volume, in bps) is shown so you can sanity-check it against the Hyperliquid fee schedule.</t>
        </is>
      </c>
    </row>
    <row r="13">
      <c r="B13" s="3" t="inlineStr">
        <is>
          <t>WHAT THE NUMBERS SAY  (read these before using the model)</t>
        </is>
      </c>
    </row>
    <row r="14" ht="48" customHeight="1">
      <c r="B14" s="5" t="inlineStr">
        <is>
          <t>•  HIP-3 is in GROWTH MODE: gross fees are ~0.7 bps of HIP-3 volume — roughly 4x lower than core perp. HIP-3 deployer fees are zero until 2026-03-21 (deployers took 0% in growth mode), so before that the protocol kept 100% of the (small) HIP-3 fees. HIP-3 is huge in volume but tiny in revenue today.</t>
        </is>
      </c>
    </row>
    <row r="15" ht="48" customHeight="1">
      <c r="B15" s="5" t="inlineStr">
        <is>
          <t>•  Core perp take-rate lands around 2–3 bps — well below the 0.045% (4.5 bps) headline taker fee, because most volume is maker and/or at discounted volume tiers. 4.5 bps is a ceiling, not the realised rate.</t>
        </is>
      </c>
    </row>
    <row r="16" ht="48" customHeight="1">
      <c r="B16" s="5" t="inlineStr">
        <is>
          <t>•  HyperCore revenue is hyperscreener from 2025-03-20 — that is where hyperscreener's revenue series BEGINS, NOT where buybacks began. The Assistance Fund was already buying back HYPE well before then: it accumulated ~6.0M HYPE (~$124M at daily prices) between 2025-01-01 and 2025-03-19. For that window the model uses DefiLlama perp+spot holders revenue (cells shaded blue on the Daily Data tab) — ~$121M, which is corroborated by the AF's actual HYPE accumulation (~$124M, a ~2% match). It is a different source from the hyperscreener north star, so expect a small step at the 2025-03-20 seam.</t>
        </is>
      </c>
    </row>
    <row r="17" ht="48" customHeight="1">
      <c r="B17" s="5" t="inlineStr">
        <is>
          <t>•  Spot revenue is from DefiLlama — a different source from the hyperscreener north star — so a small methodology mismatch is absorbed into the core-perp residual. Spot is ~5% of revenue, so the effect is small.</t>
        </is>
      </c>
    </row>
    <row r="18" ht="48" customHeight="1">
      <c r="B18" s="5" t="inlineStr">
        <is>
          <t>•  The last day (2026-05-20) is partial in the Loris/DefiLlama feeds. Spot revenue has 2 gap days (2025-06-08/09) where DefiLlama reported nothing — they read as 0 and the core-perp residual absorbs it.</t>
        </is>
      </c>
    </row>
    <row r="19" ht="48" customHeight="1">
      <c r="B19" s="5" t="inlineStr">
        <is>
          <t>•  Supply reconciliation (Daily Data tab): the Total Supply check is ~0 every day except 2025-04-02 and 2025-12-08, where the source's own reported burn figures contain a small artifact. The check column surfaces this rather than hiding it.</t>
        </is>
      </c>
    </row>
    <row r="20" ht="48" customHeight="1">
      <c r="B20" s="5" t="inlineStr">
        <is>
          <t>•  Builder code fees are ACTUALS from hyperscreener, daily from 2025-09-13 (the first date the data exists); cells before that are left blank — not estimated. The series is the top-20 builders (~65% of the $75.5M all-builder total; the API publishes no daily series for the smaller builders). Builder fees are an on-top pass-through, so this does not affect the core / HIP-3 / spot split or the buyback.</t>
        </is>
      </c>
    </row>
    <row r="22">
      <c r="B22" s="3" t="inlineStr">
        <is>
          <t>TABS</t>
        </is>
      </c>
    </row>
    <row r="23">
      <c r="B23" s="6" t="inlineStr">
        <is>
          <t>Assumptions</t>
        </is>
      </c>
      <c r="D23" s="7" t="inlineStr">
        <is>
          <t>HLP share (1% from 2025-08-30, 3% before). Yellow = editable.</t>
        </is>
      </c>
    </row>
    <row r="24">
      <c r="B24" s="6" t="inlineStr">
        <is>
          <t>Quarterly Model</t>
        </is>
      </c>
      <c r="D24" s="7" t="inlineStr">
        <is>
          <t>Segment-by-segment quarterly view: volumes ($Bn), gross fees ($Mn), take-rates, HyperCore deduction bridge (HLP / Unit / HIP-3 Deployer / Builder), revenue, burns, buyback, supply movements and ending OTS — plus an OTS cross-check vs PURR / CoinGecko at 2026-04-29.</t>
        </is>
      </c>
    </row>
    <row r="25">
      <c r="B25" s="6" t="inlineStr">
        <is>
          <t>Daily Model</t>
        </is>
      </c>
      <c r="D25" s="7" t="inlineStr">
        <is>
          <t>The daily revenue decomposition — volumes → revenue split → implied fees → take-rates. Spot Gross Fees = DefiLlama actual; Unit Protocol Fees = balancing item (Spot Fees − Spot Revenue).</t>
        </is>
      </c>
    </row>
    <row r="26">
      <c r="B26" s="6" t="inlineStr">
        <is>
          <t>OTS Breakdown</t>
        </is>
      </c>
      <c r="D26" s="7" t="inlineStr">
        <is>
          <t>Historical Outstanding Token Supply: supply flows (buyback, emissions, burns, vesting) and the OTS calc per day — the valuation base.</t>
        </is>
      </c>
    </row>
    <row r="27">
      <c r="B27" s="6" t="inlineStr">
        <is>
          <t>Daily Data</t>
        </is>
      </c>
      <c r="D27" s="7" t="inlineStr">
        <is>
          <t>Raw daily inputs from every source, plus the supply reconciliation.</t>
        </is>
      </c>
    </row>
    <row r="28">
      <c r="B28" s="6" t="inlineStr">
        <is>
          <t>Sources</t>
        </is>
      </c>
      <c r="D28" s="7" t="inlineStr">
        <is>
          <t>Each column → its exact source.</t>
        </is>
      </c>
    </row>
    <row r="30">
      <c r="B30" s="6" t="inlineStr">
        <is>
          <t>Colour legend:</t>
        </is>
      </c>
      <c r="C30" s="8" t="inlineStr">
        <is>
          <t>yellow = input</t>
        </is>
      </c>
      <c r="E30" s="9" t="inlineStr">
        <is>
          <t>blue = source value</t>
        </is>
      </c>
      <c r="G30" s="10" t="inlineStr">
        <is>
          <t>black = formula</t>
        </is>
      </c>
      <c r="I30" s="11" t="inlineStr">
        <is>
          <t>green = cross-tab link</t>
        </is>
      </c>
    </row>
  </sheetData>
  <mergeCells count="19">
    <mergeCell ref="D28:J28"/>
    <mergeCell ref="B11:J11"/>
    <mergeCell ref="B14:J14"/>
    <mergeCell ref="D25:J25"/>
    <mergeCell ref="B17:J17"/>
    <mergeCell ref="B8:J8"/>
    <mergeCell ref="D24:J24"/>
    <mergeCell ref="D23:J23"/>
    <mergeCell ref="B19:J19"/>
    <mergeCell ref="B10:J10"/>
    <mergeCell ref="D26:J26"/>
    <mergeCell ref="B9:J9"/>
    <mergeCell ref="B6:J6"/>
    <mergeCell ref="B15:J15"/>
    <mergeCell ref="B20:J20"/>
    <mergeCell ref="D27:J27"/>
    <mergeCell ref="B16:J16"/>
    <mergeCell ref="B7:J7"/>
    <mergeCell ref="B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2" customWidth="1" min="4" max="4"/>
    <col width="72" customWidth="1" min="5" max="5"/>
  </cols>
  <sheetData>
    <row r="1" ht="22" customHeight="1">
      <c r="A1" s="12" t="inlineStr">
        <is>
          <t>ASSUMPTIONS  —  yellow cells are inputs you control</t>
        </is>
      </c>
    </row>
    <row r="3">
      <c r="B3" s="13" t="inlineStr">
        <is>
          <t>Parameter</t>
        </is>
      </c>
      <c r="C3" s="13" t="inlineStr">
        <is>
          <t>Value</t>
        </is>
      </c>
      <c r="D3" s="14" t="inlineStr"/>
      <c r="E3" s="13" t="inlineStr">
        <is>
          <t>Basis / notes</t>
        </is>
      </c>
    </row>
    <row r="4" ht="42" customHeight="1">
      <c r="B4" s="15" t="inlineStr">
        <is>
          <t>HLP provider share — current</t>
        </is>
      </c>
      <c r="C4" s="16" t="n">
        <v>0.01</v>
      </c>
      <c r="D4" s="17">
        <f>C4</f>
        <v/>
      </c>
      <c r="E4" s="18" t="inlineStr">
        <is>
          <t>Share of perp+spot protocol fees paid to HLP liquidity providers, from 2025-08-30. Source: DefiLlama methodology.</t>
        </is>
      </c>
    </row>
    <row r="5" ht="42" customHeight="1">
      <c r="B5" s="15" t="inlineStr">
        <is>
          <t>HLP provider share — legacy (pre-changeover)</t>
        </is>
      </c>
      <c r="C5" s="16" t="n">
        <v>0.03</v>
      </c>
      <c r="D5" s="17">
        <f>C5</f>
        <v/>
      </c>
      <c r="E5" s="18" t="inlineStr">
        <is>
          <t>HLP share before 2025-08-30 (it was 3%, cut to 1%). Source: DefiLlama methodology.</t>
        </is>
      </c>
    </row>
    <row r="6" ht="42" customHeight="1">
      <c r="B6" s="15" t="inlineStr">
        <is>
          <t>HLP rate changeover date</t>
        </is>
      </c>
      <c r="C6" s="19" t="n">
        <v>45899</v>
      </c>
      <c r="D6" s="20" t="n"/>
      <c r="E6" s="18" t="inlineStr">
        <is>
          <t>Date the HLP share dropped from legacy to current.</t>
        </is>
      </c>
    </row>
    <row r="9" ht="30" customHeight="1">
      <c r="B9" s="21" t="inlineStr">
        <is>
          <t>•  Decomposition identity: HyperCore revenue = core perp revenue + HIP-3 protocol revenue + spot revenue (exact, every day).</t>
        </is>
      </c>
    </row>
    <row r="10" ht="30" customHeight="1">
      <c r="B10" s="21" t="inlineStr">
        <is>
          <t>•  HIP-3 (Hyperliquid docs + Loris): users pay ~2x a normal perp fee, but HIP-3 markets run in growth mode — realised HIP-3 fees are very low and the deployer share was 0% until 2026-03-21.</t>
        </is>
      </c>
    </row>
    <row r="11" ht="30" customHeight="1">
      <c r="B11" s="21" t="inlineStr">
        <is>
          <t>•  Hyperliquid fee schedule (reference): perps 0.045%/0.015% taker/maker; spot 0.07%/0.04%; realised rates are far lower due to volume tiers and discounts.</t>
        </is>
      </c>
    </row>
    <row r="13" ht="42" customHeight="1">
      <c r="B13" s="15" t="inlineStr">
        <is>
          <t>Total HYPE Staked — latest snapshot (HYPE)</t>
        </is>
      </c>
      <c r="C13" s="22" t="n">
        <v>431410000</v>
      </c>
      <c r="D13" s="20" t="n"/>
      <c r="E13" s="18" t="inlineStr">
        <is>
          <t>May-2026 Total Stake = 431.41M HYPE. Source: ASXN dashboard Total HYPE Staked chart (Active + Inactive). Cross-checks vs HL /info validatorSummaries (431.43M).</t>
        </is>
      </c>
    </row>
    <row r="14" ht="42" customHeight="1">
      <c r="B14" s="15" t="inlineStr">
        <is>
          <t>Avg Implied APR (observed, validator-network)</t>
        </is>
      </c>
      <c r="C14" s="16" t="n">
        <v>0.0225</v>
      </c>
      <c r="D14" s="17">
        <f>C14</f>
        <v/>
      </c>
      <c r="E14" s="18" t="inlineStr">
        <is>
          <t>Daily Emission × 365 ÷ Total Stake. Hovers in 2.20–2.34% across the full period (averaging ~2.25%) — consistent with HL's published formula yield = 2.37% × √(400M / stake).</t>
        </is>
      </c>
    </row>
    <row r="15" ht="42" customHeight="1">
      <c r="B15" s="15" t="inlineStr">
        <is>
          <t>Staking data snapshot date</t>
        </is>
      </c>
      <c r="C15" s="19" t="n">
        <v>46143</v>
      </c>
      <c r="D15" s="20" t="n"/>
      <c r="E15" s="18" t="inlineStr">
        <is>
          <t>Date the ASXN staking chart was read. Monthly granularity (held flat within each month). For audit only.</t>
        </is>
      </c>
    </row>
    <row r="17" ht="42" customHeight="1">
      <c r="B17" s="15" t="inlineStr">
        <is>
          <t>Core Contributor allocation (genesis, HYPE)</t>
        </is>
      </c>
      <c r="C17" s="22" t="n">
        <v>238000000</v>
      </c>
      <c r="D17" s="20" t="n"/>
      <c r="E17" s="18" t="inlineStr">
        <is>
          <t>Genesis allocation to core contributors / team: 23.80% × 1B = 238M HYPE. Source: HL tokenomics. Subject to vesting (cliff + linear, staggered per-contributor).</t>
        </is>
      </c>
    </row>
    <row r="18" ht="42" customHeight="1">
      <c r="B18" s="15" t="inlineStr">
        <is>
          <t>Pre-cliff already vested (HYPE)</t>
        </is>
      </c>
      <c r="C18" s="22" t="n">
        <v>3515062</v>
      </c>
      <c r="D18" s="20" t="n"/>
      <c r="E18" s="18" t="inlineStr">
        <is>
          <t>Cumulative team-contributor distributions Nov-2025 → Apr-2026 (discretionary early unlocks). Source: insights.unlocks.app + tokenomist.ai unlock-events page. Sum of all monthly events on the 6th: 1.746M + 0 + 1.126M + 0.140M + 0.173M + 0.330M.</t>
        </is>
      </c>
    </row>
    <row r="19" ht="42" customHeight="1">
      <c r="B19" s="15" t="inlineStr">
        <is>
          <t>Team vesting cliff date</t>
        </is>
      </c>
      <c r="C19" s="19" t="n">
        <v>46179</v>
      </c>
      <c r="D19" s="20" t="n"/>
      <c r="E19" s="18" t="inlineStr">
        <is>
          <t>Per Tokenomist.ai: next major unlock = 2026-06-06. The main linear-vest period starts here.</t>
        </is>
      </c>
    </row>
    <row r="20" ht="42" customHeight="1">
      <c r="B20" s="15" t="inlineStr">
        <is>
          <t>Vest duration (months) post-cliff</t>
        </is>
      </c>
      <c r="C20" s="22" t="n">
        <v>24</v>
      </c>
      <c r="D20" s="20" t="n"/>
      <c r="E20" s="18" t="inlineStr">
        <is>
          <t>24 months. Stretches the post-cliff schedule to May 2028 (cliff date + 24 months). Reflects most sources saying vesting completes 2027-2028.</t>
        </is>
      </c>
    </row>
    <row r="21" ht="42" customHeight="1">
      <c r="B21" s="15" t="inlineStr">
        <is>
          <t>Monthly vest post-cliff (HYPE) — DERIVED</t>
        </is>
      </c>
      <c r="C21" s="22">
        <f>(Team_Genesis-Pre_Cliff_Vested)/Vest_Months</f>
        <v/>
      </c>
      <c r="D21" s="23">
        <f>C21</f>
        <v/>
      </c>
      <c r="E21" s="18" t="inlineStr">
        <is>
          <t>FORMULA: (Team_Genesis − Pre_Cliff_Vested) ÷ Vest_Months. Computes ~9.77M HYPE/month (vs Tokenomist's nominal 9.92M — slightly lower because we credit the 3.5M already distributed).</t>
        </is>
      </c>
    </row>
    <row r="22" ht="42" customHeight="1">
      <c r="B22" s="15" t="inlineStr">
        <is>
          <t>Daily vest post-cliff (HYPE) — DERIVED</t>
        </is>
      </c>
      <c r="C22" s="24">
        <f>Monthly_Vest/30.4375</f>
        <v/>
      </c>
      <c r="D22" s="23">
        <f>C22</f>
        <v/>
      </c>
      <c r="E22" s="18" t="inlineStr">
        <is>
          <t>FORMULA: Monthly_Vest ÷ 30.4375 days/month (avg). ≈ 321K HYPE/day. For projection rows on OTS Breakdown, put this in col G (Team Tokens Unlocked) for EVERY day between Cliff_Date (2026-06-06) and Vest_End_Date (Cliff_Date + Vest_Months × 30.4375 days ≈ 2028-06-05). Daily-granularity vesting matches the smooth per-contributor vesting nature better than monthly chunks.</t>
        </is>
      </c>
    </row>
    <row r="23" ht="42" customHeight="1">
      <c r="B23" s="15" t="inlineStr">
        <is>
          <t>Vest end date — DERIVED</t>
        </is>
      </c>
      <c r="C23" s="19">
        <f>Cliff_Date+Vest_Months*30.4375</f>
        <v/>
      </c>
      <c r="D23" s="20" t="n"/>
      <c r="E23" s="18" t="inlineStr">
        <is>
          <t>FORMULA: Cliff_Date + Vest_Months × 30.4375. = 2028-06-05. After this date, projection rows should set Team Tokens Unlocked = 0 (all 238M is vested by then).</t>
        </is>
      </c>
    </row>
  </sheetData>
  <mergeCells count="4">
    <mergeCell ref="B10:E10"/>
    <mergeCell ref="A1:E1"/>
    <mergeCell ref="B9:E9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 ht="42" customHeight="1">
      <c r="A1" s="25" t="inlineStr">
        <is>
          <t>QUARTERLY MODEL — segment fees, HyperCore deduction bridge, capital deployment &amp; supply movements. Volumes in $Bn, fees in $Mn, HYPE in millions. Every figure is a live SUMIFS from Daily Model / Daily Data / OTS Breakdown — changes upstream flow through. BRIDGE: Total Fees − HLP − Unit − HIP-3 Deployer = HyperCore Revenue (north star, ties to hyperscreener buyback). Recon Δ ≈ 0. Builder/Core is an ON-TOP pass-through fee paid by users directly to front-ends — shown for transparency but NOT in the bridge (it never enters HL's revenue).</t>
        </is>
      </c>
    </row>
    <row r="2" ht="16" customHeight="1">
      <c r="D2" s="26" t="inlineStr">
        <is>
          <t>CORE PERPS — CRYPTO</t>
        </is>
      </c>
      <c r="G2" s="27" t="inlineStr">
        <is>
          <t>HIP-3</t>
        </is>
      </c>
      <c r="J2" s="28" t="inlineStr">
        <is>
          <t>SPOT</t>
        </is>
      </c>
      <c r="M2" s="29" t="inlineStr">
        <is>
          <t>HYPERCORE DEDUCTIONS  (Gross Fees → HyperCore Revenue)</t>
        </is>
      </c>
      <c r="R2" s="30" t="inlineStr">
        <is>
          <t>HYPERCORE</t>
        </is>
      </c>
      <c r="V2" s="31" t="inlineStr">
        <is>
          <t>OTHER REVENUE (Burns)</t>
        </is>
      </c>
      <c r="X2" s="26" t="inlineStr">
        <is>
          <t>CAPITAL DEPLOYMENT</t>
        </is>
      </c>
      <c r="AA2" s="27" t="inlineStr">
        <is>
          <t>SUPPLY MOVEMENTS (HYPE, M)</t>
        </is>
      </c>
      <c r="AE2" s="32" t="inlineStr">
        <is>
          <t>OTS COMPOSITION  (OTS = Circulating + Core Contributors)</t>
        </is>
      </c>
    </row>
    <row r="3" ht="44" customHeight="1">
      <c r="A3" s="33" t="inlineStr">
        <is>
          <t>Quarter</t>
        </is>
      </c>
      <c r="B3" s="33" t="inlineStr">
        <is>
          <t>Start Date</t>
        </is>
      </c>
      <c r="C3" s="33" t="inlineStr">
        <is>
          <t>End Date</t>
        </is>
      </c>
      <c r="D3" s="33" t="inlineStr">
        <is>
          <t>Volume ($Bn)</t>
        </is>
      </c>
      <c r="E3" s="33" t="inlineStr">
        <is>
          <t>Fees ($Mn)</t>
        </is>
      </c>
      <c r="F3" s="33" t="inlineStr">
        <is>
          <t>Take-Rate (bps)</t>
        </is>
      </c>
      <c r="G3" s="33" t="inlineStr">
        <is>
          <t>Volume ($Bn)</t>
        </is>
      </c>
      <c r="H3" s="33" t="inlineStr">
        <is>
          <t>Fees ($Mn)</t>
        </is>
      </c>
      <c r="I3" s="33" t="inlineStr">
        <is>
          <t>Take-Rate (bps)</t>
        </is>
      </c>
      <c r="J3" s="33" t="inlineStr">
        <is>
          <t>Volume ($Bn)</t>
        </is>
      </c>
      <c r="K3" s="33" t="inlineStr">
        <is>
          <t>Fees ($Mn)</t>
        </is>
      </c>
      <c r="L3" s="33" t="inlineStr">
        <is>
          <t>Take-Rate (bps)</t>
        </is>
      </c>
      <c r="M3" s="33" t="inlineStr">
        <is>
          <t>HLP ($Mn)</t>
        </is>
      </c>
      <c r="N3" s="33" t="inlineStr">
        <is>
          <t>HLP Eff. Rate</t>
        </is>
      </c>
      <c r="O3" s="33" t="inlineStr">
        <is>
          <t>Unit / Spot ($Mn)</t>
        </is>
      </c>
      <c r="P3" s="33" t="inlineStr">
        <is>
          <t>HIP-3 Deployer ($Mn)</t>
        </is>
      </c>
      <c r="Q3" s="33" t="inlineStr">
        <is>
          <t>Builder / Core ($Mn) — on-top</t>
        </is>
      </c>
      <c r="R3" s="33" t="inlineStr">
        <is>
          <t>Total Fees ($Mn)</t>
        </is>
      </c>
      <c r="S3" s="33" t="inlineStr">
        <is>
          <t>Revenue ($Mn)</t>
        </is>
      </c>
      <c r="T3" s="33" t="inlineStr">
        <is>
          <t>Revenue / Fees (%)</t>
        </is>
      </c>
      <c r="U3" s="33" t="inlineStr">
        <is>
          <t>Recon Δ ($Mn)</t>
        </is>
      </c>
      <c r="V3" s="33" t="inlineStr">
        <is>
          <t>HyperEVM Fees ($Mn)</t>
        </is>
      </c>
      <c r="W3" s="33" t="inlineStr">
        <is>
          <t>Auction Burn ($Mn)</t>
        </is>
      </c>
      <c r="X3" s="33" t="inlineStr">
        <is>
          <t>Revenue → AF ($Mn)</t>
        </is>
      </c>
      <c r="Y3" s="33" t="inlineStr">
        <is>
          <t>HYPE Bought (M)</t>
        </is>
      </c>
      <c r="Z3" s="33" t="inlineStr">
        <is>
          <t>Avg HYPE Price ($)</t>
        </is>
      </c>
      <c r="AA3" s="33" t="inlineStr">
        <is>
          <t>Staking Emissions</t>
        </is>
      </c>
      <c r="AB3" s="33" t="inlineStr">
        <is>
          <t>Team / Vesting</t>
        </is>
      </c>
      <c r="AC3" s="33" t="inlineStr">
        <is>
          <t>Fees Burned</t>
        </is>
      </c>
      <c r="AD3" s="33" t="inlineStr">
        <is>
          <t>Ending OTS (M HYPE)</t>
        </is>
      </c>
      <c r="AE3" s="33" t="inlineStr">
        <is>
          <t>Ending Core Locked (M HYPE)</t>
        </is>
      </c>
      <c r="AF3" s="33" t="inlineStr">
        <is>
          <t>Ending Circulating (M HYPE)</t>
        </is>
      </c>
      <c r="AG3" s="33" t="inlineStr">
        <is>
          <t>Split Check ≈ 0</t>
        </is>
      </c>
    </row>
    <row r="4">
      <c r="A4" s="34" t="inlineStr">
        <is>
          <t>Q1 2025</t>
        </is>
      </c>
      <c r="B4" s="35" t="n">
        <v>45658</v>
      </c>
      <c r="C4" s="35" t="n">
        <v>45747</v>
      </c>
      <c r="D4" s="80">
        <f>SUMIFS('Daily Data'!$B$4:$B$508,'Daily Data'!$A$4:$A$508,"&gt;="&amp;B4,'Daily Data'!$A$4:$A$508,"&lt;="&amp;C4)/1000000000</f>
        <v/>
      </c>
      <c r="E4" s="80">
        <f>SUMIFS('Daily Model'!$L$4:$L$508,'Daily Model'!$A$4:$A$508,"&gt;="&amp;B4,'Daily Model'!$A$4:$A$508,"&lt;="&amp;C4)/1000000</f>
        <v/>
      </c>
      <c r="F4" s="81">
        <f>IF(D4=0,0,E4/(D4*1000)*10000)</f>
        <v/>
      </c>
      <c r="G4" s="80">
        <f>SUMIFS('Daily Data'!$D$4:$D$508,'Daily Data'!$A$4:$A$508,"&gt;="&amp;B4,'Daily Data'!$A$4:$A$508,"&lt;="&amp;C4)/1000000000</f>
        <v/>
      </c>
      <c r="H4" s="80">
        <f>SUMIFS('Daily Data'!$F$4:$F$508,'Daily Data'!$A$4:$A$508,"&gt;="&amp;B4,'Daily Data'!$A$4:$A$508,"&lt;="&amp;C4)/1000000</f>
        <v/>
      </c>
      <c r="I4" s="81">
        <f>IF(G4=0,0,H4/(G4*1000)*10000)</f>
        <v/>
      </c>
      <c r="J4" s="80">
        <f>SUMIFS('Daily Data'!$C$4:$C$508,'Daily Data'!$A$4:$A$508,"&gt;="&amp;B4,'Daily Data'!$A$4:$A$508,"&lt;="&amp;C4)/1000000000</f>
        <v/>
      </c>
      <c r="K4" s="80">
        <f>SUMIFS('Daily Data'!$I$4:$I$508,'Daily Data'!$A$4:$A$508,"&gt;="&amp;B4,'Daily Data'!$A$4:$A$508,"&lt;="&amp;C4)/1000000</f>
        <v/>
      </c>
      <c r="L4" s="81">
        <f>IF(J4=0,0,K4/(J4*1000)*10000)</f>
        <v/>
      </c>
      <c r="M4" s="38">
        <f>SUMIFS('Daily Model'!$P$4:$P$508,'Daily Model'!$A$4:$A$508,"&gt;="&amp;B4,'Daily Model'!$A$4:$A$508,"&lt;="&amp;C4)/1000000</f>
        <v/>
      </c>
      <c r="N4" s="82">
        <f>IF((E4+H4+K4)=0,0,M4/(E4+H4+K4))</f>
        <v/>
      </c>
      <c r="O4" s="38">
        <f>SUMIFS('Daily Model'!$N$4:$N$508,'Daily Model'!$A$4:$A$508,"&gt;="&amp;B4,'Daily Model'!$A$4:$A$508,"&lt;="&amp;C4)/1000000</f>
        <v/>
      </c>
      <c r="P4" s="38">
        <f>SUMIFS('Daily Data'!$G$4:$G$508,'Daily Data'!$A$4:$A$508,"&gt;="&amp;B4,'Daily Data'!$A$4:$A$508,"&lt;="&amp;C4)/1000000</f>
        <v/>
      </c>
      <c r="Q4" s="38">
        <f>SUMIFS('Daily Model'!$O$4:$O$508,'Daily Model'!$A$4:$A$508,"&gt;="&amp;B4,'Daily Model'!$A$4:$A$508,"&lt;="&amp;C4)/1000000</f>
        <v/>
      </c>
      <c r="R4" s="83">
        <f>E4+H4+K4</f>
        <v/>
      </c>
      <c r="S4" s="83">
        <f>SUMIFS('Daily Data'!$E$4:$E$508,'Daily Data'!$A$4:$A$508,"&gt;="&amp;B4,'Daily Data'!$A$4:$A$508,"&lt;="&amp;C4)/1000000</f>
        <v/>
      </c>
      <c r="T4" s="84">
        <f>IF(R4=0,0,S4/R4)</f>
        <v/>
      </c>
      <c r="U4" s="42">
        <f>R4-M4-O4-P4-S4</f>
        <v/>
      </c>
      <c r="V4" s="38">
        <f>SUMIFS('Daily Data'!$J$4:$J$508,'Daily Data'!$A$4:$A$508,"&gt;="&amp;B4,'Daily Data'!$A$4:$A$508,"&lt;="&amp;C4)/1000000</f>
        <v/>
      </c>
      <c r="W4" s="38">
        <f>SUMIFS('Daily Data'!$K$4:$K$508,'Daily Data'!$A$4:$A$508,"&gt;="&amp;B4,'Daily Data'!$A$4:$A$508,"&lt;="&amp;C4)/1000000</f>
        <v/>
      </c>
      <c r="X4" s="80">
        <f>S4</f>
        <v/>
      </c>
      <c r="Y4" s="85">
        <f>SUMIFS('Daily Data'!$L$4:$L$508,'Daily Data'!$A$4:$A$508,"&gt;="&amp;B4,'Daily Data'!$A$4:$A$508,"&lt;="&amp;C4)/1000000</f>
        <v/>
      </c>
      <c r="Z4" s="38">
        <f>IF(Y4=0,"",SUMIFS('Daily Data'!$M$4:$M$508,'Daily Data'!$A$4:$A$508,"&gt;="&amp;B4,'Daily Data'!$A$4:$A$508,"&lt;="&amp;C4)/1000000/Y4)</f>
        <v/>
      </c>
      <c r="AA4" s="85">
        <f>SUMIFS('Daily Data'!$O$4:$O$508,'Daily Data'!$A$4:$A$508,"&gt;="&amp;B4,'Daily Data'!$A$4:$A$508,"&lt;="&amp;C4)/1000000</f>
        <v/>
      </c>
      <c r="AB4" s="85">
        <f>SUMIFS('OTS Breakdown'!$G$4:$G$508,'OTS Breakdown'!$A$4:$A$508,"&gt;="&amp;B4,'OTS Breakdown'!$A$4:$A$508,"&lt;="&amp;C4)/1000000</f>
        <v/>
      </c>
      <c r="AC4" s="85">
        <f>SUMIFS('Daily Data'!$P$4:$P$508,'Daily Data'!$A$4:$A$508,"&gt;="&amp;B4,'Daily Data'!$A$4:$A$508,"&lt;="&amp;C4)/1000000</f>
        <v/>
      </c>
      <c r="AD4" s="86">
        <f>LOOKUP(2,1/(('OTS Breakdown'!$A$4:$A$508&lt;=C4)*('OTS Breakdown'!$O$4:$O$508&lt;&gt;"")),'OTS Breakdown'!$O$4:$O$508)/1000000</f>
        <v/>
      </c>
      <c r="AE4" s="86">
        <f>LOOKUP(2,1/(('OTS Breakdown'!$A$4:$A$508&lt;=C4)*('OTS Breakdown'!$AE$4:$AE$508&lt;&gt;"")),'OTS Breakdown'!$AE$4:$AE$508)</f>
        <v/>
      </c>
      <c r="AF4" s="86">
        <f>LOOKUP(2,1/(('OTS Breakdown'!$A$4:$A$508&lt;=C4)*('OTS Breakdown'!$AF$4:$AF$508&lt;&gt;"")),'OTS Breakdown'!$AF$4:$AF$508)</f>
        <v/>
      </c>
      <c r="AG4" s="87">
        <f>AD4-AE4-AF4</f>
        <v/>
      </c>
    </row>
    <row r="5">
      <c r="A5" s="34" t="inlineStr">
        <is>
          <t>Q2 2025</t>
        </is>
      </c>
      <c r="B5" s="35" t="n">
        <v>45748</v>
      </c>
      <c r="C5" s="35" t="n">
        <v>45838</v>
      </c>
      <c r="D5" s="80">
        <f>SUMIFS('Daily Data'!$B$4:$B$508,'Daily Data'!$A$4:$A$508,"&gt;="&amp;B5,'Daily Data'!$A$4:$A$508,"&lt;="&amp;C5)/1000000000</f>
        <v/>
      </c>
      <c r="E5" s="80">
        <f>SUMIFS('Daily Model'!$L$4:$L$508,'Daily Model'!$A$4:$A$508,"&gt;="&amp;B5,'Daily Model'!$A$4:$A$508,"&lt;="&amp;C5)/1000000</f>
        <v/>
      </c>
      <c r="F5" s="81">
        <f>IF(D5=0,0,E5/(D5*1000)*10000)</f>
        <v/>
      </c>
      <c r="G5" s="80">
        <f>SUMIFS('Daily Data'!$D$4:$D$508,'Daily Data'!$A$4:$A$508,"&gt;="&amp;B5,'Daily Data'!$A$4:$A$508,"&lt;="&amp;C5)/1000000000</f>
        <v/>
      </c>
      <c r="H5" s="80">
        <f>SUMIFS('Daily Data'!$F$4:$F$508,'Daily Data'!$A$4:$A$508,"&gt;="&amp;B5,'Daily Data'!$A$4:$A$508,"&lt;="&amp;C5)/1000000</f>
        <v/>
      </c>
      <c r="I5" s="81">
        <f>IF(G5=0,0,H5/(G5*1000)*10000)</f>
        <v/>
      </c>
      <c r="J5" s="80">
        <f>SUMIFS('Daily Data'!$C$4:$C$508,'Daily Data'!$A$4:$A$508,"&gt;="&amp;B5,'Daily Data'!$A$4:$A$508,"&lt;="&amp;C5)/1000000000</f>
        <v/>
      </c>
      <c r="K5" s="80">
        <f>SUMIFS('Daily Data'!$I$4:$I$508,'Daily Data'!$A$4:$A$508,"&gt;="&amp;B5,'Daily Data'!$A$4:$A$508,"&lt;="&amp;C5)/1000000</f>
        <v/>
      </c>
      <c r="L5" s="81">
        <f>IF(J5=0,0,K5/(J5*1000)*10000)</f>
        <v/>
      </c>
      <c r="M5" s="38">
        <f>SUMIFS('Daily Model'!$P$4:$P$508,'Daily Model'!$A$4:$A$508,"&gt;="&amp;B5,'Daily Model'!$A$4:$A$508,"&lt;="&amp;C5)/1000000</f>
        <v/>
      </c>
      <c r="N5" s="82">
        <f>IF((E5+H5+K5)=0,0,M5/(E5+H5+K5))</f>
        <v/>
      </c>
      <c r="O5" s="38">
        <f>SUMIFS('Daily Model'!$N$4:$N$508,'Daily Model'!$A$4:$A$508,"&gt;="&amp;B5,'Daily Model'!$A$4:$A$508,"&lt;="&amp;C5)/1000000</f>
        <v/>
      </c>
      <c r="P5" s="38">
        <f>SUMIFS('Daily Data'!$G$4:$G$508,'Daily Data'!$A$4:$A$508,"&gt;="&amp;B5,'Daily Data'!$A$4:$A$508,"&lt;="&amp;C5)/1000000</f>
        <v/>
      </c>
      <c r="Q5" s="38">
        <f>SUMIFS('Daily Model'!$O$4:$O$508,'Daily Model'!$A$4:$A$508,"&gt;="&amp;B5,'Daily Model'!$A$4:$A$508,"&lt;="&amp;C5)/1000000</f>
        <v/>
      </c>
      <c r="R5" s="83">
        <f>E5+H5+K5</f>
        <v/>
      </c>
      <c r="S5" s="83">
        <f>SUMIFS('Daily Data'!$E$4:$E$508,'Daily Data'!$A$4:$A$508,"&gt;="&amp;B5,'Daily Data'!$A$4:$A$508,"&lt;="&amp;C5)/1000000</f>
        <v/>
      </c>
      <c r="T5" s="84">
        <f>IF(R5=0,0,S5/R5)</f>
        <v/>
      </c>
      <c r="U5" s="42">
        <f>R5-M5-O5-P5-S5</f>
        <v/>
      </c>
      <c r="V5" s="38">
        <f>SUMIFS('Daily Data'!$J$4:$J$508,'Daily Data'!$A$4:$A$508,"&gt;="&amp;B5,'Daily Data'!$A$4:$A$508,"&lt;="&amp;C5)/1000000</f>
        <v/>
      </c>
      <c r="W5" s="38">
        <f>SUMIFS('Daily Data'!$K$4:$K$508,'Daily Data'!$A$4:$A$508,"&gt;="&amp;B5,'Daily Data'!$A$4:$A$508,"&lt;="&amp;C5)/1000000</f>
        <v/>
      </c>
      <c r="X5" s="80">
        <f>S5</f>
        <v/>
      </c>
      <c r="Y5" s="85">
        <f>SUMIFS('Daily Data'!$L$4:$L$508,'Daily Data'!$A$4:$A$508,"&gt;="&amp;B5,'Daily Data'!$A$4:$A$508,"&lt;="&amp;C5)/1000000</f>
        <v/>
      </c>
      <c r="Z5" s="38">
        <f>IF(Y5=0,"",SUMIFS('Daily Data'!$M$4:$M$508,'Daily Data'!$A$4:$A$508,"&gt;="&amp;B5,'Daily Data'!$A$4:$A$508,"&lt;="&amp;C5)/1000000/Y5)</f>
        <v/>
      </c>
      <c r="AA5" s="85">
        <f>SUMIFS('Daily Data'!$O$4:$O$508,'Daily Data'!$A$4:$A$508,"&gt;="&amp;B5,'Daily Data'!$A$4:$A$508,"&lt;="&amp;C5)/1000000</f>
        <v/>
      </c>
      <c r="AB5" s="85">
        <f>SUMIFS('OTS Breakdown'!$G$4:$G$508,'OTS Breakdown'!$A$4:$A$508,"&gt;="&amp;B5,'OTS Breakdown'!$A$4:$A$508,"&lt;="&amp;C5)/1000000</f>
        <v/>
      </c>
      <c r="AC5" s="85">
        <f>SUMIFS('Daily Data'!$P$4:$P$508,'Daily Data'!$A$4:$A$508,"&gt;="&amp;B5,'Daily Data'!$A$4:$A$508,"&lt;="&amp;C5)/1000000</f>
        <v/>
      </c>
      <c r="AD5" s="86">
        <f>LOOKUP(2,1/(('OTS Breakdown'!$A$4:$A$508&lt;=C5)*('OTS Breakdown'!$O$4:$O$508&lt;&gt;"")),'OTS Breakdown'!$O$4:$O$508)/1000000</f>
        <v/>
      </c>
      <c r="AE5" s="86">
        <f>LOOKUP(2,1/(('OTS Breakdown'!$A$4:$A$508&lt;=C5)*('OTS Breakdown'!$AE$4:$AE$508&lt;&gt;"")),'OTS Breakdown'!$AE$4:$AE$508)</f>
        <v/>
      </c>
      <c r="AF5" s="86">
        <f>LOOKUP(2,1/(('OTS Breakdown'!$A$4:$A$508&lt;=C5)*('OTS Breakdown'!$AF$4:$AF$508&lt;&gt;"")),'OTS Breakdown'!$AF$4:$AF$508)</f>
        <v/>
      </c>
      <c r="AG5" s="87">
        <f>AD5-AE5-AF5</f>
        <v/>
      </c>
    </row>
    <row r="6">
      <c r="A6" s="34" t="inlineStr">
        <is>
          <t>Q3 2025</t>
        </is>
      </c>
      <c r="B6" s="35" t="n">
        <v>45839</v>
      </c>
      <c r="C6" s="35" t="n">
        <v>45930</v>
      </c>
      <c r="D6" s="80">
        <f>SUMIFS('Daily Data'!$B$4:$B$508,'Daily Data'!$A$4:$A$508,"&gt;="&amp;B6,'Daily Data'!$A$4:$A$508,"&lt;="&amp;C6)/1000000000</f>
        <v/>
      </c>
      <c r="E6" s="80">
        <f>SUMIFS('Daily Model'!$L$4:$L$508,'Daily Model'!$A$4:$A$508,"&gt;="&amp;B6,'Daily Model'!$A$4:$A$508,"&lt;="&amp;C6)/1000000</f>
        <v/>
      </c>
      <c r="F6" s="81">
        <f>IF(D6=0,0,E6/(D6*1000)*10000)</f>
        <v/>
      </c>
      <c r="G6" s="80">
        <f>SUMIFS('Daily Data'!$D$4:$D$508,'Daily Data'!$A$4:$A$508,"&gt;="&amp;B6,'Daily Data'!$A$4:$A$508,"&lt;="&amp;C6)/1000000000</f>
        <v/>
      </c>
      <c r="H6" s="80">
        <f>SUMIFS('Daily Data'!$F$4:$F$508,'Daily Data'!$A$4:$A$508,"&gt;="&amp;B6,'Daily Data'!$A$4:$A$508,"&lt;="&amp;C6)/1000000</f>
        <v/>
      </c>
      <c r="I6" s="81">
        <f>IF(G6=0,0,H6/(G6*1000)*10000)</f>
        <v/>
      </c>
      <c r="J6" s="80">
        <f>SUMIFS('Daily Data'!$C$4:$C$508,'Daily Data'!$A$4:$A$508,"&gt;="&amp;B6,'Daily Data'!$A$4:$A$508,"&lt;="&amp;C6)/1000000000</f>
        <v/>
      </c>
      <c r="K6" s="80">
        <f>SUMIFS('Daily Data'!$I$4:$I$508,'Daily Data'!$A$4:$A$508,"&gt;="&amp;B6,'Daily Data'!$A$4:$A$508,"&lt;="&amp;C6)/1000000</f>
        <v/>
      </c>
      <c r="L6" s="81">
        <f>IF(J6=0,0,K6/(J6*1000)*10000)</f>
        <v/>
      </c>
      <c r="M6" s="38">
        <f>SUMIFS('Daily Model'!$P$4:$P$508,'Daily Model'!$A$4:$A$508,"&gt;="&amp;B6,'Daily Model'!$A$4:$A$508,"&lt;="&amp;C6)/1000000</f>
        <v/>
      </c>
      <c r="N6" s="82">
        <f>IF((E6+H6+K6)=0,0,M6/(E6+H6+K6))</f>
        <v/>
      </c>
      <c r="O6" s="38">
        <f>SUMIFS('Daily Model'!$N$4:$N$508,'Daily Model'!$A$4:$A$508,"&gt;="&amp;B6,'Daily Model'!$A$4:$A$508,"&lt;="&amp;C6)/1000000</f>
        <v/>
      </c>
      <c r="P6" s="38">
        <f>SUMIFS('Daily Data'!$G$4:$G$508,'Daily Data'!$A$4:$A$508,"&gt;="&amp;B6,'Daily Data'!$A$4:$A$508,"&lt;="&amp;C6)/1000000</f>
        <v/>
      </c>
      <c r="Q6" s="38">
        <f>SUMIFS('Daily Model'!$O$4:$O$508,'Daily Model'!$A$4:$A$508,"&gt;="&amp;B6,'Daily Model'!$A$4:$A$508,"&lt;="&amp;C6)/1000000</f>
        <v/>
      </c>
      <c r="R6" s="83">
        <f>E6+H6+K6</f>
        <v/>
      </c>
      <c r="S6" s="83">
        <f>SUMIFS('Daily Data'!$E$4:$E$508,'Daily Data'!$A$4:$A$508,"&gt;="&amp;B6,'Daily Data'!$A$4:$A$508,"&lt;="&amp;C6)/1000000</f>
        <v/>
      </c>
      <c r="T6" s="84">
        <f>IF(R6=0,0,S6/R6)</f>
        <v/>
      </c>
      <c r="U6" s="42">
        <f>R6-M6-O6-P6-S6</f>
        <v/>
      </c>
      <c r="V6" s="38">
        <f>SUMIFS('Daily Data'!$J$4:$J$508,'Daily Data'!$A$4:$A$508,"&gt;="&amp;B6,'Daily Data'!$A$4:$A$508,"&lt;="&amp;C6)/1000000</f>
        <v/>
      </c>
      <c r="W6" s="38">
        <f>SUMIFS('Daily Data'!$K$4:$K$508,'Daily Data'!$A$4:$A$508,"&gt;="&amp;B6,'Daily Data'!$A$4:$A$508,"&lt;="&amp;C6)/1000000</f>
        <v/>
      </c>
      <c r="X6" s="80">
        <f>S6</f>
        <v/>
      </c>
      <c r="Y6" s="85">
        <f>SUMIFS('Daily Data'!$L$4:$L$508,'Daily Data'!$A$4:$A$508,"&gt;="&amp;B6,'Daily Data'!$A$4:$A$508,"&lt;="&amp;C6)/1000000</f>
        <v/>
      </c>
      <c r="Z6" s="38">
        <f>IF(Y6=0,"",SUMIFS('Daily Data'!$M$4:$M$508,'Daily Data'!$A$4:$A$508,"&gt;="&amp;B6,'Daily Data'!$A$4:$A$508,"&lt;="&amp;C6)/1000000/Y6)</f>
        <v/>
      </c>
      <c r="AA6" s="85">
        <f>SUMIFS('Daily Data'!$O$4:$O$508,'Daily Data'!$A$4:$A$508,"&gt;="&amp;B6,'Daily Data'!$A$4:$A$508,"&lt;="&amp;C6)/1000000</f>
        <v/>
      </c>
      <c r="AB6" s="85">
        <f>SUMIFS('OTS Breakdown'!$G$4:$G$508,'OTS Breakdown'!$A$4:$A$508,"&gt;="&amp;B6,'OTS Breakdown'!$A$4:$A$508,"&lt;="&amp;C6)/1000000</f>
        <v/>
      </c>
      <c r="AC6" s="85">
        <f>SUMIFS('Daily Data'!$P$4:$P$508,'Daily Data'!$A$4:$A$508,"&gt;="&amp;B6,'Daily Data'!$A$4:$A$508,"&lt;="&amp;C6)/1000000</f>
        <v/>
      </c>
      <c r="AD6" s="86">
        <f>LOOKUP(2,1/(('OTS Breakdown'!$A$4:$A$508&lt;=C6)*('OTS Breakdown'!$O$4:$O$508&lt;&gt;"")),'OTS Breakdown'!$O$4:$O$508)/1000000</f>
        <v/>
      </c>
      <c r="AE6" s="86">
        <f>LOOKUP(2,1/(('OTS Breakdown'!$A$4:$A$508&lt;=C6)*('OTS Breakdown'!$AE$4:$AE$508&lt;&gt;"")),'OTS Breakdown'!$AE$4:$AE$508)</f>
        <v/>
      </c>
      <c r="AF6" s="86">
        <f>LOOKUP(2,1/(('OTS Breakdown'!$A$4:$A$508&lt;=C6)*('OTS Breakdown'!$AF$4:$AF$508&lt;&gt;"")),'OTS Breakdown'!$AF$4:$AF$508)</f>
        <v/>
      </c>
      <c r="AG6" s="87">
        <f>AD6-AE6-AF6</f>
        <v/>
      </c>
    </row>
    <row r="7">
      <c r="A7" s="34" t="inlineStr">
        <is>
          <t>Q4 2025</t>
        </is>
      </c>
      <c r="B7" s="35" t="n">
        <v>45931</v>
      </c>
      <c r="C7" s="35" t="n">
        <v>46022</v>
      </c>
      <c r="D7" s="80">
        <f>SUMIFS('Daily Data'!$B$4:$B$508,'Daily Data'!$A$4:$A$508,"&gt;="&amp;B7,'Daily Data'!$A$4:$A$508,"&lt;="&amp;C7)/1000000000</f>
        <v/>
      </c>
      <c r="E7" s="80">
        <f>SUMIFS('Daily Model'!$L$4:$L$508,'Daily Model'!$A$4:$A$508,"&gt;="&amp;B7,'Daily Model'!$A$4:$A$508,"&lt;="&amp;C7)/1000000</f>
        <v/>
      </c>
      <c r="F7" s="81">
        <f>IF(D7=0,0,E7/(D7*1000)*10000)</f>
        <v/>
      </c>
      <c r="G7" s="80">
        <f>SUMIFS('Daily Data'!$D$4:$D$508,'Daily Data'!$A$4:$A$508,"&gt;="&amp;B7,'Daily Data'!$A$4:$A$508,"&lt;="&amp;C7)/1000000000</f>
        <v/>
      </c>
      <c r="H7" s="80">
        <f>SUMIFS('Daily Data'!$F$4:$F$508,'Daily Data'!$A$4:$A$508,"&gt;="&amp;B7,'Daily Data'!$A$4:$A$508,"&lt;="&amp;C7)/1000000</f>
        <v/>
      </c>
      <c r="I7" s="81">
        <f>IF(G7=0,0,H7/(G7*1000)*10000)</f>
        <v/>
      </c>
      <c r="J7" s="80">
        <f>SUMIFS('Daily Data'!$C$4:$C$508,'Daily Data'!$A$4:$A$508,"&gt;="&amp;B7,'Daily Data'!$A$4:$A$508,"&lt;="&amp;C7)/1000000000</f>
        <v/>
      </c>
      <c r="K7" s="80">
        <f>SUMIFS('Daily Data'!$I$4:$I$508,'Daily Data'!$A$4:$A$508,"&gt;="&amp;B7,'Daily Data'!$A$4:$A$508,"&lt;="&amp;C7)/1000000</f>
        <v/>
      </c>
      <c r="L7" s="81">
        <f>IF(J7=0,0,K7/(J7*1000)*10000)</f>
        <v/>
      </c>
      <c r="M7" s="38">
        <f>SUMIFS('Daily Model'!$P$4:$P$508,'Daily Model'!$A$4:$A$508,"&gt;="&amp;B7,'Daily Model'!$A$4:$A$508,"&lt;="&amp;C7)/1000000</f>
        <v/>
      </c>
      <c r="N7" s="82">
        <f>IF((E7+H7+K7)=0,0,M7/(E7+H7+K7))</f>
        <v/>
      </c>
      <c r="O7" s="38">
        <f>SUMIFS('Daily Model'!$N$4:$N$508,'Daily Model'!$A$4:$A$508,"&gt;="&amp;B7,'Daily Model'!$A$4:$A$508,"&lt;="&amp;C7)/1000000</f>
        <v/>
      </c>
      <c r="P7" s="38">
        <f>SUMIFS('Daily Data'!$G$4:$G$508,'Daily Data'!$A$4:$A$508,"&gt;="&amp;B7,'Daily Data'!$A$4:$A$508,"&lt;="&amp;C7)/1000000</f>
        <v/>
      </c>
      <c r="Q7" s="38">
        <f>SUMIFS('Daily Model'!$O$4:$O$508,'Daily Model'!$A$4:$A$508,"&gt;="&amp;B7,'Daily Model'!$A$4:$A$508,"&lt;="&amp;C7)/1000000</f>
        <v/>
      </c>
      <c r="R7" s="83">
        <f>E7+H7+K7</f>
        <v/>
      </c>
      <c r="S7" s="83">
        <f>SUMIFS('Daily Data'!$E$4:$E$508,'Daily Data'!$A$4:$A$508,"&gt;="&amp;B7,'Daily Data'!$A$4:$A$508,"&lt;="&amp;C7)/1000000</f>
        <v/>
      </c>
      <c r="T7" s="84">
        <f>IF(R7=0,0,S7/R7)</f>
        <v/>
      </c>
      <c r="U7" s="42">
        <f>R7-M7-O7-P7-S7</f>
        <v/>
      </c>
      <c r="V7" s="38">
        <f>SUMIFS('Daily Data'!$J$4:$J$508,'Daily Data'!$A$4:$A$508,"&gt;="&amp;B7,'Daily Data'!$A$4:$A$508,"&lt;="&amp;C7)/1000000</f>
        <v/>
      </c>
      <c r="W7" s="38">
        <f>SUMIFS('Daily Data'!$K$4:$K$508,'Daily Data'!$A$4:$A$508,"&gt;="&amp;B7,'Daily Data'!$A$4:$A$508,"&lt;="&amp;C7)/1000000</f>
        <v/>
      </c>
      <c r="X7" s="80">
        <f>S7</f>
        <v/>
      </c>
      <c r="Y7" s="85">
        <f>SUMIFS('Daily Data'!$L$4:$L$508,'Daily Data'!$A$4:$A$508,"&gt;="&amp;B7,'Daily Data'!$A$4:$A$508,"&lt;="&amp;C7)/1000000</f>
        <v/>
      </c>
      <c r="Z7" s="38">
        <f>IF(Y7=0,"",SUMIFS('Daily Data'!$M$4:$M$508,'Daily Data'!$A$4:$A$508,"&gt;="&amp;B7,'Daily Data'!$A$4:$A$508,"&lt;="&amp;C7)/1000000/Y7)</f>
        <v/>
      </c>
      <c r="AA7" s="85">
        <f>SUMIFS('Daily Data'!$O$4:$O$508,'Daily Data'!$A$4:$A$508,"&gt;="&amp;B7,'Daily Data'!$A$4:$A$508,"&lt;="&amp;C7)/1000000</f>
        <v/>
      </c>
      <c r="AB7" s="85">
        <f>SUMIFS('OTS Breakdown'!$G$4:$G$508,'OTS Breakdown'!$A$4:$A$508,"&gt;="&amp;B7,'OTS Breakdown'!$A$4:$A$508,"&lt;="&amp;C7)/1000000</f>
        <v/>
      </c>
      <c r="AC7" s="85">
        <f>SUMIFS('Daily Data'!$P$4:$P$508,'Daily Data'!$A$4:$A$508,"&gt;="&amp;B7,'Daily Data'!$A$4:$A$508,"&lt;="&amp;C7)/1000000</f>
        <v/>
      </c>
      <c r="AD7" s="86">
        <f>LOOKUP(2,1/(('OTS Breakdown'!$A$4:$A$508&lt;=C7)*('OTS Breakdown'!$O$4:$O$508&lt;&gt;"")),'OTS Breakdown'!$O$4:$O$508)/1000000</f>
        <v/>
      </c>
      <c r="AE7" s="86">
        <f>LOOKUP(2,1/(('OTS Breakdown'!$A$4:$A$508&lt;=C7)*('OTS Breakdown'!$AE$4:$AE$508&lt;&gt;"")),'OTS Breakdown'!$AE$4:$AE$508)</f>
        <v/>
      </c>
      <c r="AF7" s="86">
        <f>LOOKUP(2,1/(('OTS Breakdown'!$A$4:$A$508&lt;=C7)*('OTS Breakdown'!$AF$4:$AF$508&lt;&gt;"")),'OTS Breakdown'!$AF$4:$AF$508)</f>
        <v/>
      </c>
      <c r="AG7" s="87">
        <f>AD7-AE7-AF7</f>
        <v/>
      </c>
    </row>
    <row r="8">
      <c r="A8" s="34" t="inlineStr">
        <is>
          <t>Q1 2026</t>
        </is>
      </c>
      <c r="B8" s="35" t="n">
        <v>46023</v>
      </c>
      <c r="C8" s="35" t="n">
        <v>46112</v>
      </c>
      <c r="D8" s="80">
        <f>SUMIFS('Daily Data'!$B$4:$B$508,'Daily Data'!$A$4:$A$508,"&gt;="&amp;B8,'Daily Data'!$A$4:$A$508,"&lt;="&amp;C8)/1000000000</f>
        <v/>
      </c>
      <c r="E8" s="80">
        <f>SUMIFS('Daily Model'!$L$4:$L$508,'Daily Model'!$A$4:$A$508,"&gt;="&amp;B8,'Daily Model'!$A$4:$A$508,"&lt;="&amp;C8)/1000000</f>
        <v/>
      </c>
      <c r="F8" s="81">
        <f>IF(D8=0,0,E8/(D8*1000)*10000)</f>
        <v/>
      </c>
      <c r="G8" s="80">
        <f>SUMIFS('Daily Data'!$D$4:$D$508,'Daily Data'!$A$4:$A$508,"&gt;="&amp;B8,'Daily Data'!$A$4:$A$508,"&lt;="&amp;C8)/1000000000</f>
        <v/>
      </c>
      <c r="H8" s="80">
        <f>SUMIFS('Daily Data'!$F$4:$F$508,'Daily Data'!$A$4:$A$508,"&gt;="&amp;B8,'Daily Data'!$A$4:$A$508,"&lt;="&amp;C8)/1000000</f>
        <v/>
      </c>
      <c r="I8" s="81">
        <f>IF(G8=0,0,H8/(G8*1000)*10000)</f>
        <v/>
      </c>
      <c r="J8" s="80">
        <f>SUMIFS('Daily Data'!$C$4:$C$508,'Daily Data'!$A$4:$A$508,"&gt;="&amp;B8,'Daily Data'!$A$4:$A$508,"&lt;="&amp;C8)/1000000000</f>
        <v/>
      </c>
      <c r="K8" s="80">
        <f>SUMIFS('Daily Data'!$I$4:$I$508,'Daily Data'!$A$4:$A$508,"&gt;="&amp;B8,'Daily Data'!$A$4:$A$508,"&lt;="&amp;C8)/1000000</f>
        <v/>
      </c>
      <c r="L8" s="81">
        <f>IF(J8=0,0,K8/(J8*1000)*10000)</f>
        <v/>
      </c>
      <c r="M8" s="38">
        <f>SUMIFS('Daily Model'!$P$4:$P$508,'Daily Model'!$A$4:$A$508,"&gt;="&amp;B8,'Daily Model'!$A$4:$A$508,"&lt;="&amp;C8)/1000000</f>
        <v/>
      </c>
      <c r="N8" s="82">
        <f>IF((E8+H8+K8)=0,0,M8/(E8+H8+K8))</f>
        <v/>
      </c>
      <c r="O8" s="38">
        <f>SUMIFS('Daily Model'!$N$4:$N$508,'Daily Model'!$A$4:$A$508,"&gt;="&amp;B8,'Daily Model'!$A$4:$A$508,"&lt;="&amp;C8)/1000000</f>
        <v/>
      </c>
      <c r="P8" s="38">
        <f>SUMIFS('Daily Data'!$G$4:$G$508,'Daily Data'!$A$4:$A$508,"&gt;="&amp;B8,'Daily Data'!$A$4:$A$508,"&lt;="&amp;C8)/1000000</f>
        <v/>
      </c>
      <c r="Q8" s="38">
        <f>SUMIFS('Daily Model'!$O$4:$O$508,'Daily Model'!$A$4:$A$508,"&gt;="&amp;B8,'Daily Model'!$A$4:$A$508,"&lt;="&amp;C8)/1000000</f>
        <v/>
      </c>
      <c r="R8" s="83">
        <f>E8+H8+K8</f>
        <v/>
      </c>
      <c r="S8" s="83">
        <f>SUMIFS('Daily Data'!$E$4:$E$508,'Daily Data'!$A$4:$A$508,"&gt;="&amp;B8,'Daily Data'!$A$4:$A$508,"&lt;="&amp;C8)/1000000</f>
        <v/>
      </c>
      <c r="T8" s="84">
        <f>IF(R8=0,0,S8/R8)</f>
        <v/>
      </c>
      <c r="U8" s="42">
        <f>R8-M8-O8-P8-S8</f>
        <v/>
      </c>
      <c r="V8" s="38">
        <f>SUMIFS('Daily Data'!$J$4:$J$508,'Daily Data'!$A$4:$A$508,"&gt;="&amp;B8,'Daily Data'!$A$4:$A$508,"&lt;="&amp;C8)/1000000</f>
        <v/>
      </c>
      <c r="W8" s="38">
        <f>SUMIFS('Daily Data'!$K$4:$K$508,'Daily Data'!$A$4:$A$508,"&gt;="&amp;B8,'Daily Data'!$A$4:$A$508,"&lt;="&amp;C8)/1000000</f>
        <v/>
      </c>
      <c r="X8" s="80">
        <f>S8</f>
        <v/>
      </c>
      <c r="Y8" s="85">
        <f>SUMIFS('Daily Data'!$L$4:$L$508,'Daily Data'!$A$4:$A$508,"&gt;="&amp;B8,'Daily Data'!$A$4:$A$508,"&lt;="&amp;C8)/1000000</f>
        <v/>
      </c>
      <c r="Z8" s="38">
        <f>IF(Y8=0,"",SUMIFS('Daily Data'!$M$4:$M$508,'Daily Data'!$A$4:$A$508,"&gt;="&amp;B8,'Daily Data'!$A$4:$A$508,"&lt;="&amp;C8)/1000000/Y8)</f>
        <v/>
      </c>
      <c r="AA8" s="85">
        <f>SUMIFS('Daily Data'!$O$4:$O$508,'Daily Data'!$A$4:$A$508,"&gt;="&amp;B8,'Daily Data'!$A$4:$A$508,"&lt;="&amp;C8)/1000000</f>
        <v/>
      </c>
      <c r="AB8" s="85">
        <f>SUMIFS('OTS Breakdown'!$G$4:$G$508,'OTS Breakdown'!$A$4:$A$508,"&gt;="&amp;B8,'OTS Breakdown'!$A$4:$A$508,"&lt;="&amp;C8)/1000000</f>
        <v/>
      </c>
      <c r="AC8" s="85">
        <f>SUMIFS('Daily Data'!$P$4:$P$508,'Daily Data'!$A$4:$A$508,"&gt;="&amp;B8,'Daily Data'!$A$4:$A$508,"&lt;="&amp;C8)/1000000</f>
        <v/>
      </c>
      <c r="AD8" s="86">
        <f>LOOKUP(2,1/(('OTS Breakdown'!$A$4:$A$508&lt;=C8)*('OTS Breakdown'!$O$4:$O$508&lt;&gt;"")),'OTS Breakdown'!$O$4:$O$508)/1000000</f>
        <v/>
      </c>
      <c r="AE8" s="86">
        <f>LOOKUP(2,1/(('OTS Breakdown'!$A$4:$A$508&lt;=C8)*('OTS Breakdown'!$AE$4:$AE$508&lt;&gt;"")),'OTS Breakdown'!$AE$4:$AE$508)</f>
        <v/>
      </c>
      <c r="AF8" s="86">
        <f>LOOKUP(2,1/(('OTS Breakdown'!$A$4:$A$508&lt;=C8)*('OTS Breakdown'!$AF$4:$AF$508&lt;&gt;"")),'OTS Breakdown'!$AF$4:$AF$508)</f>
        <v/>
      </c>
      <c r="AG8" s="87">
        <f>AD8-AE8-AF8</f>
        <v/>
      </c>
    </row>
    <row r="9">
      <c r="A9" s="34" t="inlineStr">
        <is>
          <t>Q2 2026 (partial)</t>
        </is>
      </c>
      <c r="B9" s="35" t="n">
        <v>46113</v>
      </c>
      <c r="C9" s="35" t="n">
        <v>46162</v>
      </c>
      <c r="D9" s="80">
        <f>SUMIFS('Daily Data'!$B$4:$B$508,'Daily Data'!$A$4:$A$508,"&gt;="&amp;B9,'Daily Data'!$A$4:$A$508,"&lt;="&amp;C9)/1000000000</f>
        <v/>
      </c>
      <c r="E9" s="80">
        <f>SUMIFS('Daily Model'!$L$4:$L$508,'Daily Model'!$A$4:$A$508,"&gt;="&amp;B9,'Daily Model'!$A$4:$A$508,"&lt;="&amp;C9)/1000000</f>
        <v/>
      </c>
      <c r="F9" s="81">
        <f>IF(D9=0,0,E9/(D9*1000)*10000)</f>
        <v/>
      </c>
      <c r="G9" s="80">
        <f>SUMIFS('Daily Data'!$D$4:$D$508,'Daily Data'!$A$4:$A$508,"&gt;="&amp;B9,'Daily Data'!$A$4:$A$508,"&lt;="&amp;C9)/1000000000</f>
        <v/>
      </c>
      <c r="H9" s="80">
        <f>SUMIFS('Daily Data'!$F$4:$F$508,'Daily Data'!$A$4:$A$508,"&gt;="&amp;B9,'Daily Data'!$A$4:$A$508,"&lt;="&amp;C9)/1000000</f>
        <v/>
      </c>
      <c r="I9" s="81">
        <f>IF(G9=0,0,H9/(G9*1000)*10000)</f>
        <v/>
      </c>
      <c r="J9" s="80">
        <f>SUMIFS('Daily Data'!$C$4:$C$508,'Daily Data'!$A$4:$A$508,"&gt;="&amp;B9,'Daily Data'!$A$4:$A$508,"&lt;="&amp;C9)/1000000000</f>
        <v/>
      </c>
      <c r="K9" s="80">
        <f>SUMIFS('Daily Data'!$I$4:$I$508,'Daily Data'!$A$4:$A$508,"&gt;="&amp;B9,'Daily Data'!$A$4:$A$508,"&lt;="&amp;C9)/1000000</f>
        <v/>
      </c>
      <c r="L9" s="81">
        <f>IF(J9=0,0,K9/(J9*1000)*10000)</f>
        <v/>
      </c>
      <c r="M9" s="38">
        <f>SUMIFS('Daily Model'!$P$4:$P$508,'Daily Model'!$A$4:$A$508,"&gt;="&amp;B9,'Daily Model'!$A$4:$A$508,"&lt;="&amp;C9)/1000000</f>
        <v/>
      </c>
      <c r="N9" s="82">
        <f>IF((E9+H9+K9)=0,0,M9/(E9+H9+K9))</f>
        <v/>
      </c>
      <c r="O9" s="38">
        <f>SUMIFS('Daily Model'!$N$4:$N$508,'Daily Model'!$A$4:$A$508,"&gt;="&amp;B9,'Daily Model'!$A$4:$A$508,"&lt;="&amp;C9)/1000000</f>
        <v/>
      </c>
      <c r="P9" s="38">
        <f>SUMIFS('Daily Data'!$G$4:$G$508,'Daily Data'!$A$4:$A$508,"&gt;="&amp;B9,'Daily Data'!$A$4:$A$508,"&lt;="&amp;C9)/1000000</f>
        <v/>
      </c>
      <c r="Q9" s="38">
        <f>SUMIFS('Daily Model'!$O$4:$O$508,'Daily Model'!$A$4:$A$508,"&gt;="&amp;B9,'Daily Model'!$A$4:$A$508,"&lt;="&amp;C9)/1000000</f>
        <v/>
      </c>
      <c r="R9" s="83">
        <f>E9+H9+K9</f>
        <v/>
      </c>
      <c r="S9" s="83">
        <f>SUMIFS('Daily Data'!$E$4:$E$508,'Daily Data'!$A$4:$A$508,"&gt;="&amp;B9,'Daily Data'!$A$4:$A$508,"&lt;="&amp;C9)/1000000</f>
        <v/>
      </c>
      <c r="T9" s="84">
        <f>IF(R9=0,0,S9/R9)</f>
        <v/>
      </c>
      <c r="U9" s="42">
        <f>R9-M9-O9-P9-S9</f>
        <v/>
      </c>
      <c r="V9" s="38">
        <f>SUMIFS('Daily Data'!$J$4:$J$508,'Daily Data'!$A$4:$A$508,"&gt;="&amp;B9,'Daily Data'!$A$4:$A$508,"&lt;="&amp;C9)/1000000</f>
        <v/>
      </c>
      <c r="W9" s="38">
        <f>SUMIFS('Daily Data'!$K$4:$K$508,'Daily Data'!$A$4:$A$508,"&gt;="&amp;B9,'Daily Data'!$A$4:$A$508,"&lt;="&amp;C9)/1000000</f>
        <v/>
      </c>
      <c r="X9" s="80">
        <f>S9</f>
        <v/>
      </c>
      <c r="Y9" s="85">
        <f>SUMIFS('Daily Data'!$L$4:$L$508,'Daily Data'!$A$4:$A$508,"&gt;="&amp;B9,'Daily Data'!$A$4:$A$508,"&lt;="&amp;C9)/1000000</f>
        <v/>
      </c>
      <c r="Z9" s="38">
        <f>IF(Y9=0,"",SUMIFS('Daily Data'!$M$4:$M$508,'Daily Data'!$A$4:$A$508,"&gt;="&amp;B9,'Daily Data'!$A$4:$A$508,"&lt;="&amp;C9)/1000000/Y9)</f>
        <v/>
      </c>
      <c r="AA9" s="85">
        <f>SUMIFS('Daily Data'!$O$4:$O$508,'Daily Data'!$A$4:$A$508,"&gt;="&amp;B9,'Daily Data'!$A$4:$A$508,"&lt;="&amp;C9)/1000000</f>
        <v/>
      </c>
      <c r="AB9" s="85">
        <f>SUMIFS('OTS Breakdown'!$G$4:$G$508,'OTS Breakdown'!$A$4:$A$508,"&gt;="&amp;B9,'OTS Breakdown'!$A$4:$A$508,"&lt;="&amp;C9)/1000000</f>
        <v/>
      </c>
      <c r="AC9" s="85">
        <f>SUMIFS('Daily Data'!$P$4:$P$508,'Daily Data'!$A$4:$A$508,"&gt;="&amp;B9,'Daily Data'!$A$4:$A$508,"&lt;="&amp;C9)/1000000</f>
        <v/>
      </c>
      <c r="AD9" s="86">
        <f>LOOKUP(2,1/(('OTS Breakdown'!$A$4:$A$508&lt;=C9)*('OTS Breakdown'!$O$4:$O$508&lt;&gt;"")),'OTS Breakdown'!$O$4:$O$508)/1000000</f>
        <v/>
      </c>
      <c r="AE9" s="86">
        <f>LOOKUP(2,1/(('OTS Breakdown'!$A$4:$A$508&lt;=C9)*('OTS Breakdown'!$AE$4:$AE$508&lt;&gt;"")),'OTS Breakdown'!$AE$4:$AE$508)</f>
        <v/>
      </c>
      <c r="AF9" s="86">
        <f>LOOKUP(2,1/(('OTS Breakdown'!$A$4:$A$508&lt;=C9)*('OTS Breakdown'!$AF$4:$AF$508&lt;&gt;"")),'OTS Breakdown'!$AF$4:$AF$508)</f>
        <v/>
      </c>
      <c r="AG9" s="87">
        <f>AD9-AE9-AF9</f>
        <v/>
      </c>
    </row>
    <row r="12" ht="20" customHeight="1">
      <c r="A12" s="46" t="inlineStr">
        <is>
          <t>OTS CROSS-CHECK  —  reconciles our OTS definition to the public sources (PURR US Equity NAV per HYPE; CoinGecko circulating supply)</t>
        </is>
      </c>
    </row>
    <row r="13" ht="28" customHeight="1">
      <c r="A13" s="47" t="inlineStr">
        <is>
          <t>Snapshot date</t>
        </is>
      </c>
      <c r="B13" s="48" t="n"/>
      <c r="C13" s="49" t="n"/>
      <c r="D13" s="35" t="n">
        <v>46141</v>
      </c>
      <c r="E13" s="48" t="n"/>
      <c r="F13" s="49" t="n"/>
      <c r="G13" s="18" t="inlineStr">
        <is>
          <t>Cross-check anchor (matches PURR US Equity public NAV statement of 29-Apr-2026 referenced by the user).</t>
        </is>
      </c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9" t="n"/>
    </row>
    <row r="14" ht="28" customHeight="1">
      <c r="A14" s="47" t="inlineStr">
        <is>
          <t>ASXN-style OTS  (Initial 1B − Future Emission Reserve − Hyper Foundation − AF − Community Grants − Cumulative Burns)</t>
        </is>
      </c>
      <c r="B14" s="48" t="n"/>
      <c r="C14" s="49" t="n"/>
      <c r="D14" s="86">
        <f>LOOKUP(2,1/(('OTS Breakdown'!$A$4:$A$508=DATE(2026,4,29))*('OTS Breakdown'!$O$4:$O$508&lt;&gt;"")),'OTS Breakdown'!$O$4:$O$508)/1000000</f>
        <v/>
      </c>
      <c r="E14" s="48" t="n"/>
      <c r="F14" s="49" t="n"/>
      <c r="G14" s="18" t="inlineStr">
        <is>
          <t>This model's OTS. The HYPE valuation base. ≈ 477.2M.</t>
        </is>
      </c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9" t="n"/>
    </row>
    <row r="15" ht="28" customHeight="1">
      <c r="A15" s="47" t="inlineStr">
        <is>
          <t>Hyperscreener circulating supply (HYPE)</t>
        </is>
      </c>
      <c r="B15" s="48" t="n"/>
      <c r="C15" s="49" t="n"/>
      <c r="D15" s="88">
        <f>LOOKUP(2,1/(('Daily Data'!$A$4:$A$508=DATE(2026,4,29))*('Daily Data'!$R$4:$R$508&lt;&gt;"")),'Daily Data'!$R$4:$R$508)/1000000</f>
        <v/>
      </c>
      <c r="E15" s="48" t="n"/>
      <c r="F15" s="49" t="n"/>
      <c r="G15" s="18" t="inlineStr">
        <is>
          <t>Hyperscreener /buyback/daily-burn currentDaySupply minus reserves. ≈ 298.7M.</t>
        </is>
      </c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9" t="n"/>
    </row>
    <row r="16" ht="28" customHeight="1">
      <c r="A16" s="47" t="inlineStr">
        <is>
          <t>CoinGecko-style circulating  =  Total Supply − Future Emission Reserve</t>
        </is>
      </c>
      <c r="B16" s="48" t="n"/>
      <c r="C16" s="49" t="n"/>
      <c r="D16" s="88">
        <f>(LOOKUP(2,1/(('Daily Data'!$A$4:$A$508=DATE(2026,4,29))*('Daily Data'!$S$4:$S$508&lt;&gt;"")),'Daily Data'!$S$4:$S$508)-(LOOKUP(2,1/(('OTS Breakdown'!$A$4:$A$508=DATE(2026,4,29))*('OTS Breakdown'!$J$4:$J$508&lt;&gt;"")),'OTS Breakdown'!$J$4:$J$508)))/1000000</f>
        <v/>
      </c>
      <c r="E16" s="48" t="n"/>
      <c r="F16" s="49" t="n"/>
      <c r="G16" s="18" t="inlineStr">
        <is>
          <t>CoinGecko methodology subtracts only the staking emission reserve from total supply (does not exclude HF / AF / Community Grants). ≈ 584.0M.</t>
        </is>
      </c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9" t="n"/>
    </row>
    <row r="17" ht="28" customHeight="1">
      <c r="A17" s="47" t="inlineStr">
        <is>
          <t>PURR US Equity — implied HYPE outstanding (per public NAV statement, 29-Apr-2026)</t>
        </is>
      </c>
      <c r="B17" s="48" t="n"/>
      <c r="C17" s="49" t="n"/>
      <c r="D17" s="89" t="inlineStr"/>
      <c r="E17" s="48" t="n"/>
      <c r="F17" s="49" t="n"/>
      <c r="G17" s="18" t="inlineStr">
        <is>
          <t>Enter the disclosed figure here (NOT auto-pulled — PURR is the OTC HYPE wrapper). Then compare to our ASXN-style OTS above. Difference is the methodology gap (PURR typically uses a fully-diluted-ex-future-emissions basis closer to ASXN).</t>
        </is>
      </c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9" t="n"/>
    </row>
    <row r="18" ht="28" customHeight="1">
      <c r="A18" s="47" t="inlineStr">
        <is>
          <t>Reconciliation: ASXN OTS − Circulating (hyperscreener)</t>
        </is>
      </c>
      <c r="B18" s="48" t="n"/>
      <c r="C18" s="49" t="n"/>
      <c r="D18" s="88">
        <f>LOOKUP(2,1/(('OTS Breakdown'!$A$4:$A$508=DATE(2026,4,29))*('OTS Breakdown'!$O$4:$O$508&lt;&gt;"")),'OTS Breakdown'!$O$4:$O$508)/1000000-(LOOKUP(2,1/(('Daily Data'!$A$4:$A$508=DATE(2026,4,29))*('Daily Data'!$R$4:$R$508&lt;&gt;"")),'Daily Data'!$R$4:$R$508))/1000000</f>
        <v/>
      </c>
      <c r="E18" s="48" t="n"/>
      <c r="F18" s="49" t="n"/>
      <c r="G18" s="18" t="inlineStr">
        <is>
          <t>≈178M HYPE gap = team / core-contributor locked allocation (~238M genesis less ~3.5M discretionary unlocks so far) + small Foundation budget movements. The three reserves explicitly carved out of OTS (HF 60 + AF 44 + CG 3 = 107M) are already subtracted from OTS, so the gap to hyperscreener circulating is the still-locked team bucket. CoinGecko's 584M sits above ASXN because CoinGecko subtracts only the staking emission reserve from total supply.</t>
        </is>
      </c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9" t="n"/>
    </row>
    <row r="20" ht="130" customHeight="1">
      <c r="A20" s="52" t="inlineStr">
        <is>
          <t>Notes:  (i) Core Perp Fees = HC core perp revenue grossed up by HLP (Daily Model col L).  (ii) HIP-3 Fees = Loris gross fees; HIP-3 Deployer = Loris (zero before 2026-03-21).  (iii) Spot Fees = DefiLlama dailyFees (TOTAL spot fees); the prior mismatch between Daily Model spot fees and Daily Data spot fees is now resolved — both equal DefiLlama actual. Unit/Spot deduction = DefiLlama dailyFees − dailyHoldersRevenue (the Unit/Hyperunit on-top fee, the balancing item).  (iv) HLP cut is CALCULATED, not extracted — no public daily HLP-revenue feed exists. Formula:  HLP cut = (Core Perp Fees + HIP-3 Gross + Spot Fees) × HLP rate;  rate = 3% before 2025-08-30, 1% after (per DefiLlama hyperliquid-spot-orderbook methodology — "1% of the spot fees go to HLP vault" — and the same 1%/3% applies to perps and HIP-3 gross).  Daily Model cols Q/R/S show the HLP split across the three segments; col P is their sum.  Col N "HLP Eff. Rate" = HLP $ ÷ (Core + HIP-3 + Spot) — should print 1% post-2025-08-30, 3% before, or a blend mid-Aug-25 (Q3 ≈ 2.4%).  Spot bridge: Spot Fees (DefiLlama) = Spot Rev (post-HLP, post-Unit) + Unit + HLP_spot → Unit = Spot Fees × (1 − HLP rate) − Spot Rev.  (v) Builder/Core = hyperscreener actual builder code fees, top-20 builders (daily from 2025-09-13; blank-treated-as-0 before). These are EXTRA fees front-ends charge on top of protocol fees and pass 100% to themselves — they do NOT reduce HL's revenue, so they are excluded from the Total Fees → Revenue bridge.  (vi) Revenue (R) ties exactly to hyperscreener daily HC Rev sum (the daily-totals match the user asked about); Recon Δ (T) ≈ 0 confirms the segment fees + deductions reconcile.  (vii) Avg HYPE Price = USD buyback ÷ HYPE bought (volume-weighted realised price, not period-average mark).  (viii) Team / Vesting = ACTUAL discretionary unlock claims (insights.unlocks.app / tokenomist) — not the theoretical ~9.92M/month schedule.  (ix) Ending OTS uses LOOKUP into OTS Breakdown col O at quarter-end.  (x) Q2 2026 is partial (through 2026-05-20 — the last day with full Loris/hyperscreener data).</t>
        </is>
      </c>
    </row>
  </sheetData>
  <mergeCells count="30">
    <mergeCell ref="D2:F2"/>
    <mergeCell ref="A1:AG1"/>
    <mergeCell ref="D13:F13"/>
    <mergeCell ref="V2:W2"/>
    <mergeCell ref="AE2:AG2"/>
    <mergeCell ref="G17:AG17"/>
    <mergeCell ref="A18:C18"/>
    <mergeCell ref="D17:F17"/>
    <mergeCell ref="AA2:AD2"/>
    <mergeCell ref="R2:U2"/>
    <mergeCell ref="G13:AG13"/>
    <mergeCell ref="D16:F16"/>
    <mergeCell ref="G18:AG18"/>
    <mergeCell ref="M2:Q2"/>
    <mergeCell ref="A12:AG12"/>
    <mergeCell ref="A14:C14"/>
    <mergeCell ref="G15:AG15"/>
    <mergeCell ref="A17:C17"/>
    <mergeCell ref="D18:F18"/>
    <mergeCell ref="G14:AG14"/>
    <mergeCell ref="D15:F15"/>
    <mergeCell ref="J2:L2"/>
    <mergeCell ref="A13:C13"/>
    <mergeCell ref="D14:F14"/>
    <mergeCell ref="A20:AG20"/>
    <mergeCell ref="G16:AG16"/>
    <mergeCell ref="A15:C15"/>
    <mergeCell ref="G2:I2"/>
    <mergeCell ref="X2:Z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20" customHeight="1">
      <c r="A1" s="53" t="inlineStr">
        <is>
          <t>HYPERLIQUID — DAILY FEE → REVENUE DECOMPOSITION   (HyperCore revenue split into core perp / HIP-3 / spot)</t>
        </is>
      </c>
    </row>
    <row r="2" ht="15" customHeight="1">
      <c r="B2" s="54" t="inlineStr">
        <is>
          <t>VOLUME</t>
        </is>
      </c>
      <c r="E2" s="55" t="inlineStr">
        <is>
          <t>REVENUE DECOMPOSITION</t>
        </is>
      </c>
      <c r="K2" s="56" t="inlineStr">
        <is>
          <t>IMPLIED FEES</t>
        </is>
      </c>
      <c r="T2" s="57" t="inlineStr">
        <is>
          <t>TAKE-RATE CROSS-CHECK</t>
        </is>
      </c>
    </row>
    <row r="3" ht="52" customHeight="1">
      <c r="A3" s="33" t="inlineStr">
        <is>
          <t>Date</t>
        </is>
      </c>
      <c r="B3" s="33" t="inlineStr">
        <is>
          <t>Core Perp Volume ($)</t>
        </is>
      </c>
      <c r="C3" s="33" t="inlineStr">
        <is>
          <t>HIP-3 Volume ($)</t>
        </is>
      </c>
      <c r="D3" s="33" t="inlineStr">
        <is>
          <t>Spot Volume ($)</t>
        </is>
      </c>
      <c r="E3" s="33" t="inlineStr">
        <is>
          <t>HyperCore Revenue — north star ($)</t>
        </is>
      </c>
      <c r="F3" s="33" t="inlineStr">
        <is>
          <t>HIP-3 Gross Fees ($)</t>
        </is>
      </c>
      <c r="G3" s="33" t="inlineStr">
        <is>
          <t>HIP-3 Deployer Fees ($)</t>
        </is>
      </c>
      <c r="H3" s="33" t="inlineStr">
        <is>
          <t>HIP-3 Protocol Revenue in HC (post-HLP, post-Dep) ($)</t>
        </is>
      </c>
      <c r="I3" s="33" t="inlineStr">
        <is>
          <t>Spot Revenue ($) — post-HLP, post-Unit</t>
        </is>
      </c>
      <c r="J3" s="33" t="inlineStr">
        <is>
          <t>Core Perp Revenue — plug, post-HLP ($)</t>
        </is>
      </c>
      <c r="K3" s="33" t="inlineStr">
        <is>
          <t>HLP Rate Applied</t>
        </is>
      </c>
      <c r="L3" s="33" t="inlineStr">
        <is>
          <t>Core Perp Protocol Fees ($)</t>
        </is>
      </c>
      <c r="M3" s="33" t="inlineStr">
        <is>
          <t>Spot Gross Fees ($) — DefiLlama</t>
        </is>
      </c>
      <c r="N3" s="33" t="inlineStr">
        <is>
          <t>Unit Protocol Fees ($) — Spot × (1−HLP) − Spot Rev</t>
        </is>
      </c>
      <c r="O3" s="33" t="inlineStr">
        <is>
          <t>Builder Code Fees ($)</t>
        </is>
      </c>
      <c r="P3" s="33" t="inlineStr">
        <is>
          <t>HLP Cut — TOTAL ($)</t>
        </is>
      </c>
      <c r="Q3" s="33" t="inlineStr">
        <is>
          <t xml:space="preserve">  HLP — Core ($)</t>
        </is>
      </c>
      <c r="R3" s="33" t="inlineStr">
        <is>
          <t xml:space="preserve">  HLP — HIP-3 ($)</t>
        </is>
      </c>
      <c r="S3" s="33" t="inlineStr">
        <is>
          <t xml:space="preserve">  HLP — Spot ($)</t>
        </is>
      </c>
      <c r="T3" s="33" t="inlineStr">
        <is>
          <t>Core Perp Take Rate (bps)</t>
        </is>
      </c>
      <c r="U3" s="33" t="inlineStr">
        <is>
          <t>HIP-3 Take Rate (bps)</t>
        </is>
      </c>
      <c r="V3" s="33" t="inlineStr">
        <is>
          <t>Spot Take Rate (bps)</t>
        </is>
      </c>
    </row>
    <row r="4">
      <c r="A4" s="35" t="n">
        <v>45658</v>
      </c>
      <c r="B4" s="90">
        <f>'Daily Data'!B4</f>
        <v/>
      </c>
      <c r="C4" s="90">
        <f>'Daily Data'!D4</f>
        <v/>
      </c>
      <c r="D4" s="90">
        <f>'Daily Data'!C4</f>
        <v/>
      </c>
      <c r="E4" s="90">
        <f>IF('Daily Data'!E4="","",'Daily Data'!E4)</f>
        <v/>
      </c>
      <c r="F4" s="90">
        <f>IF($E4="","",'Daily Data'!F4)</f>
        <v/>
      </c>
      <c r="G4" s="90">
        <f>IF($E4="","",'Daily Data'!G4)</f>
        <v/>
      </c>
      <c r="H4" s="91">
        <f>IF($E4="","",(1-K4)*F4-G4)</f>
        <v/>
      </c>
      <c r="I4" s="90">
        <f>IF($E4="","",'Daily Data'!H4)</f>
        <v/>
      </c>
      <c r="J4" s="91">
        <f>IF($E4="","",E4-H4-I4)</f>
        <v/>
      </c>
      <c r="K4" s="60">
        <f>IF($E4="","",IF(A4&lt;HLP_ChangeDate,HLP_Legacy,HLP_Current))</f>
        <v/>
      </c>
      <c r="L4" s="91">
        <f>IF($E4="","",J4/(1-K4))</f>
        <v/>
      </c>
      <c r="M4" s="90">
        <f>IF($E4="","",'Daily Data'!I4)</f>
        <v/>
      </c>
      <c r="N4" s="91">
        <f>IF($E4="","",M4*(1-K4)-I4)</f>
        <v/>
      </c>
      <c r="O4" s="92" t="inlineStr"/>
      <c r="P4" s="93">
        <f>IF($E4="","",(L4+F4+M4)*K4)</f>
        <v/>
      </c>
      <c r="Q4" s="91">
        <f>IF($E4="","",L4*K4)</f>
        <v/>
      </c>
      <c r="R4" s="91">
        <f>IF($E4="","",F4*K4)</f>
        <v/>
      </c>
      <c r="S4" s="91">
        <f>IF($E4="","",M4*K4)</f>
        <v/>
      </c>
      <c r="T4" s="63">
        <f>IF(OR($E4="",B4=0),"",L4/B4*10000)</f>
        <v/>
      </c>
      <c r="U4" s="63">
        <f>IF(OR($E4="",C4=0),"",F4/C4*10000)</f>
        <v/>
      </c>
      <c r="V4" s="63">
        <f>IF(OR($E4="",D4=0),"",M4/D4*10000)</f>
        <v/>
      </c>
    </row>
    <row r="5">
      <c r="A5" s="35" t="n">
        <v>45659</v>
      </c>
      <c r="B5" s="90">
        <f>'Daily Data'!B5</f>
        <v/>
      </c>
      <c r="C5" s="90">
        <f>'Daily Data'!D5</f>
        <v/>
      </c>
      <c r="D5" s="90">
        <f>'Daily Data'!C5</f>
        <v/>
      </c>
      <c r="E5" s="90">
        <f>IF('Daily Data'!E5="","",'Daily Data'!E5)</f>
        <v/>
      </c>
      <c r="F5" s="90">
        <f>IF($E5="","",'Daily Data'!F5)</f>
        <v/>
      </c>
      <c r="G5" s="90">
        <f>IF($E5="","",'Daily Data'!G5)</f>
        <v/>
      </c>
      <c r="H5" s="91">
        <f>IF($E5="","",(1-K5)*F5-G5)</f>
        <v/>
      </c>
      <c r="I5" s="90">
        <f>IF($E5="","",'Daily Data'!H5)</f>
        <v/>
      </c>
      <c r="J5" s="91">
        <f>IF($E5="","",E5-H5-I5)</f>
        <v/>
      </c>
      <c r="K5" s="60">
        <f>IF($E5="","",IF(A5&lt;HLP_ChangeDate,HLP_Legacy,HLP_Current))</f>
        <v/>
      </c>
      <c r="L5" s="91">
        <f>IF($E5="","",J5/(1-K5))</f>
        <v/>
      </c>
      <c r="M5" s="90">
        <f>IF($E5="","",'Daily Data'!I5)</f>
        <v/>
      </c>
      <c r="N5" s="91">
        <f>IF($E5="","",M5*(1-K5)-I5)</f>
        <v/>
      </c>
      <c r="O5" s="92" t="inlineStr"/>
      <c r="P5" s="93">
        <f>IF($E5="","",(L5+F5+M5)*K5)</f>
        <v/>
      </c>
      <c r="Q5" s="91">
        <f>IF($E5="","",L5*K5)</f>
        <v/>
      </c>
      <c r="R5" s="91">
        <f>IF($E5="","",F5*K5)</f>
        <v/>
      </c>
      <c r="S5" s="91">
        <f>IF($E5="","",M5*K5)</f>
        <v/>
      </c>
      <c r="T5" s="63">
        <f>IF(OR($E5="",B5=0),"",L5/B5*10000)</f>
        <v/>
      </c>
      <c r="U5" s="63">
        <f>IF(OR($E5="",C5=0),"",F5/C5*10000)</f>
        <v/>
      </c>
      <c r="V5" s="63">
        <f>IF(OR($E5="",D5=0),"",M5/D5*10000)</f>
        <v/>
      </c>
    </row>
    <row r="6">
      <c r="A6" s="35" t="n">
        <v>45660</v>
      </c>
      <c r="B6" s="90">
        <f>'Daily Data'!B6</f>
        <v/>
      </c>
      <c r="C6" s="90">
        <f>'Daily Data'!D6</f>
        <v/>
      </c>
      <c r="D6" s="90">
        <f>'Daily Data'!C6</f>
        <v/>
      </c>
      <c r="E6" s="90">
        <f>IF('Daily Data'!E6="","",'Daily Data'!E6)</f>
        <v/>
      </c>
      <c r="F6" s="90">
        <f>IF($E6="","",'Daily Data'!F6)</f>
        <v/>
      </c>
      <c r="G6" s="90">
        <f>IF($E6="","",'Daily Data'!G6)</f>
        <v/>
      </c>
      <c r="H6" s="91">
        <f>IF($E6="","",(1-K6)*F6-G6)</f>
        <v/>
      </c>
      <c r="I6" s="90">
        <f>IF($E6="","",'Daily Data'!H6)</f>
        <v/>
      </c>
      <c r="J6" s="91">
        <f>IF($E6="","",E6-H6-I6)</f>
        <v/>
      </c>
      <c r="K6" s="60">
        <f>IF($E6="","",IF(A6&lt;HLP_ChangeDate,HLP_Legacy,HLP_Current))</f>
        <v/>
      </c>
      <c r="L6" s="91">
        <f>IF($E6="","",J6/(1-K6))</f>
        <v/>
      </c>
      <c r="M6" s="90">
        <f>IF($E6="","",'Daily Data'!I6)</f>
        <v/>
      </c>
      <c r="N6" s="91">
        <f>IF($E6="","",M6*(1-K6)-I6)</f>
        <v/>
      </c>
      <c r="O6" s="92" t="inlineStr"/>
      <c r="P6" s="93">
        <f>IF($E6="","",(L6+F6+M6)*K6)</f>
        <v/>
      </c>
      <c r="Q6" s="91">
        <f>IF($E6="","",L6*K6)</f>
        <v/>
      </c>
      <c r="R6" s="91">
        <f>IF($E6="","",F6*K6)</f>
        <v/>
      </c>
      <c r="S6" s="91">
        <f>IF($E6="","",M6*K6)</f>
        <v/>
      </c>
      <c r="T6" s="63">
        <f>IF(OR($E6="",B6=0),"",L6/B6*10000)</f>
        <v/>
      </c>
      <c r="U6" s="63">
        <f>IF(OR($E6="",C6=0),"",F6/C6*10000)</f>
        <v/>
      </c>
      <c r="V6" s="63">
        <f>IF(OR($E6="",D6=0),"",M6/D6*10000)</f>
        <v/>
      </c>
    </row>
    <row r="7">
      <c r="A7" s="35" t="n">
        <v>45661</v>
      </c>
      <c r="B7" s="90">
        <f>'Daily Data'!B7</f>
        <v/>
      </c>
      <c r="C7" s="90">
        <f>'Daily Data'!D7</f>
        <v/>
      </c>
      <c r="D7" s="90">
        <f>'Daily Data'!C7</f>
        <v/>
      </c>
      <c r="E7" s="90">
        <f>IF('Daily Data'!E7="","",'Daily Data'!E7)</f>
        <v/>
      </c>
      <c r="F7" s="90">
        <f>IF($E7="","",'Daily Data'!F7)</f>
        <v/>
      </c>
      <c r="G7" s="90">
        <f>IF($E7="","",'Daily Data'!G7)</f>
        <v/>
      </c>
      <c r="H7" s="91">
        <f>IF($E7="","",(1-K7)*F7-G7)</f>
        <v/>
      </c>
      <c r="I7" s="90">
        <f>IF($E7="","",'Daily Data'!H7)</f>
        <v/>
      </c>
      <c r="J7" s="91">
        <f>IF($E7="","",E7-H7-I7)</f>
        <v/>
      </c>
      <c r="K7" s="60">
        <f>IF($E7="","",IF(A7&lt;HLP_ChangeDate,HLP_Legacy,HLP_Current))</f>
        <v/>
      </c>
      <c r="L7" s="91">
        <f>IF($E7="","",J7/(1-K7))</f>
        <v/>
      </c>
      <c r="M7" s="90">
        <f>IF($E7="","",'Daily Data'!I7)</f>
        <v/>
      </c>
      <c r="N7" s="91">
        <f>IF($E7="","",M7*(1-K7)-I7)</f>
        <v/>
      </c>
      <c r="O7" s="92" t="inlineStr"/>
      <c r="P7" s="93">
        <f>IF($E7="","",(L7+F7+M7)*K7)</f>
        <v/>
      </c>
      <c r="Q7" s="91">
        <f>IF($E7="","",L7*K7)</f>
        <v/>
      </c>
      <c r="R7" s="91">
        <f>IF($E7="","",F7*K7)</f>
        <v/>
      </c>
      <c r="S7" s="91">
        <f>IF($E7="","",M7*K7)</f>
        <v/>
      </c>
      <c r="T7" s="63">
        <f>IF(OR($E7="",B7=0),"",L7/B7*10000)</f>
        <v/>
      </c>
      <c r="U7" s="63">
        <f>IF(OR($E7="",C7=0),"",F7/C7*10000)</f>
        <v/>
      </c>
      <c r="V7" s="63">
        <f>IF(OR($E7="",D7=0),"",M7/D7*10000)</f>
        <v/>
      </c>
    </row>
    <row r="8">
      <c r="A8" s="35" t="n">
        <v>45662</v>
      </c>
      <c r="B8" s="90">
        <f>'Daily Data'!B8</f>
        <v/>
      </c>
      <c r="C8" s="90">
        <f>'Daily Data'!D8</f>
        <v/>
      </c>
      <c r="D8" s="90">
        <f>'Daily Data'!C8</f>
        <v/>
      </c>
      <c r="E8" s="90">
        <f>IF('Daily Data'!E8="","",'Daily Data'!E8)</f>
        <v/>
      </c>
      <c r="F8" s="90">
        <f>IF($E8="","",'Daily Data'!F8)</f>
        <v/>
      </c>
      <c r="G8" s="90">
        <f>IF($E8="","",'Daily Data'!G8)</f>
        <v/>
      </c>
      <c r="H8" s="91">
        <f>IF($E8="","",(1-K8)*F8-G8)</f>
        <v/>
      </c>
      <c r="I8" s="90">
        <f>IF($E8="","",'Daily Data'!H8)</f>
        <v/>
      </c>
      <c r="J8" s="91">
        <f>IF($E8="","",E8-H8-I8)</f>
        <v/>
      </c>
      <c r="K8" s="60">
        <f>IF($E8="","",IF(A8&lt;HLP_ChangeDate,HLP_Legacy,HLP_Current))</f>
        <v/>
      </c>
      <c r="L8" s="91">
        <f>IF($E8="","",J8/(1-K8))</f>
        <v/>
      </c>
      <c r="M8" s="90">
        <f>IF($E8="","",'Daily Data'!I8)</f>
        <v/>
      </c>
      <c r="N8" s="91">
        <f>IF($E8="","",M8*(1-K8)-I8)</f>
        <v/>
      </c>
      <c r="O8" s="92" t="inlineStr"/>
      <c r="P8" s="93">
        <f>IF($E8="","",(L8+F8+M8)*K8)</f>
        <v/>
      </c>
      <c r="Q8" s="91">
        <f>IF($E8="","",L8*K8)</f>
        <v/>
      </c>
      <c r="R8" s="91">
        <f>IF($E8="","",F8*K8)</f>
        <v/>
      </c>
      <c r="S8" s="91">
        <f>IF($E8="","",M8*K8)</f>
        <v/>
      </c>
      <c r="T8" s="63">
        <f>IF(OR($E8="",B8=0),"",L8/B8*10000)</f>
        <v/>
      </c>
      <c r="U8" s="63">
        <f>IF(OR($E8="",C8=0),"",F8/C8*10000)</f>
        <v/>
      </c>
      <c r="V8" s="63">
        <f>IF(OR($E8="",D8=0),"",M8/D8*10000)</f>
        <v/>
      </c>
    </row>
    <row r="9">
      <c r="A9" s="35" t="n">
        <v>45663</v>
      </c>
      <c r="B9" s="90">
        <f>'Daily Data'!B9</f>
        <v/>
      </c>
      <c r="C9" s="90">
        <f>'Daily Data'!D9</f>
        <v/>
      </c>
      <c r="D9" s="90">
        <f>'Daily Data'!C9</f>
        <v/>
      </c>
      <c r="E9" s="90">
        <f>IF('Daily Data'!E9="","",'Daily Data'!E9)</f>
        <v/>
      </c>
      <c r="F9" s="90">
        <f>IF($E9="","",'Daily Data'!F9)</f>
        <v/>
      </c>
      <c r="G9" s="90">
        <f>IF($E9="","",'Daily Data'!G9)</f>
        <v/>
      </c>
      <c r="H9" s="91">
        <f>IF($E9="","",(1-K9)*F9-G9)</f>
        <v/>
      </c>
      <c r="I9" s="90">
        <f>IF($E9="","",'Daily Data'!H9)</f>
        <v/>
      </c>
      <c r="J9" s="91">
        <f>IF($E9="","",E9-H9-I9)</f>
        <v/>
      </c>
      <c r="K9" s="60">
        <f>IF($E9="","",IF(A9&lt;HLP_ChangeDate,HLP_Legacy,HLP_Current))</f>
        <v/>
      </c>
      <c r="L9" s="91">
        <f>IF($E9="","",J9/(1-K9))</f>
        <v/>
      </c>
      <c r="M9" s="90">
        <f>IF($E9="","",'Daily Data'!I9)</f>
        <v/>
      </c>
      <c r="N9" s="91">
        <f>IF($E9="","",M9*(1-K9)-I9)</f>
        <v/>
      </c>
      <c r="O9" s="92" t="inlineStr"/>
      <c r="P9" s="93">
        <f>IF($E9="","",(L9+F9+M9)*K9)</f>
        <v/>
      </c>
      <c r="Q9" s="91">
        <f>IF($E9="","",L9*K9)</f>
        <v/>
      </c>
      <c r="R9" s="91">
        <f>IF($E9="","",F9*K9)</f>
        <v/>
      </c>
      <c r="S9" s="91">
        <f>IF($E9="","",M9*K9)</f>
        <v/>
      </c>
      <c r="T9" s="63">
        <f>IF(OR($E9="",B9=0),"",L9/B9*10000)</f>
        <v/>
      </c>
      <c r="U9" s="63">
        <f>IF(OR($E9="",C9=0),"",F9/C9*10000)</f>
        <v/>
      </c>
      <c r="V9" s="63">
        <f>IF(OR($E9="",D9=0),"",M9/D9*10000)</f>
        <v/>
      </c>
    </row>
    <row r="10">
      <c r="A10" s="35" t="n">
        <v>45664</v>
      </c>
      <c r="B10" s="90">
        <f>'Daily Data'!B10</f>
        <v/>
      </c>
      <c r="C10" s="90">
        <f>'Daily Data'!D10</f>
        <v/>
      </c>
      <c r="D10" s="90">
        <f>'Daily Data'!C10</f>
        <v/>
      </c>
      <c r="E10" s="90">
        <f>IF('Daily Data'!E10="","",'Daily Data'!E10)</f>
        <v/>
      </c>
      <c r="F10" s="90">
        <f>IF($E10="","",'Daily Data'!F10)</f>
        <v/>
      </c>
      <c r="G10" s="90">
        <f>IF($E10="","",'Daily Data'!G10)</f>
        <v/>
      </c>
      <c r="H10" s="91">
        <f>IF($E10="","",(1-K10)*F10-G10)</f>
        <v/>
      </c>
      <c r="I10" s="90">
        <f>IF($E10="","",'Daily Data'!H10)</f>
        <v/>
      </c>
      <c r="J10" s="91">
        <f>IF($E10="","",E10-H10-I10)</f>
        <v/>
      </c>
      <c r="K10" s="60">
        <f>IF($E10="","",IF(A10&lt;HLP_ChangeDate,HLP_Legacy,HLP_Current))</f>
        <v/>
      </c>
      <c r="L10" s="91">
        <f>IF($E10="","",J10/(1-K10))</f>
        <v/>
      </c>
      <c r="M10" s="90">
        <f>IF($E10="","",'Daily Data'!I10)</f>
        <v/>
      </c>
      <c r="N10" s="91">
        <f>IF($E10="","",M10*(1-K10)-I10)</f>
        <v/>
      </c>
      <c r="O10" s="92" t="inlineStr"/>
      <c r="P10" s="93">
        <f>IF($E10="","",(L10+F10+M10)*K10)</f>
        <v/>
      </c>
      <c r="Q10" s="91">
        <f>IF($E10="","",L10*K10)</f>
        <v/>
      </c>
      <c r="R10" s="91">
        <f>IF($E10="","",F10*K10)</f>
        <v/>
      </c>
      <c r="S10" s="91">
        <f>IF($E10="","",M10*K10)</f>
        <v/>
      </c>
      <c r="T10" s="63">
        <f>IF(OR($E10="",B10=0),"",L10/B10*10000)</f>
        <v/>
      </c>
      <c r="U10" s="63">
        <f>IF(OR($E10="",C10=0),"",F10/C10*10000)</f>
        <v/>
      </c>
      <c r="V10" s="63">
        <f>IF(OR($E10="",D10=0),"",M10/D10*10000)</f>
        <v/>
      </c>
    </row>
    <row r="11">
      <c r="A11" s="35" t="n">
        <v>45665</v>
      </c>
      <c r="B11" s="90">
        <f>'Daily Data'!B11</f>
        <v/>
      </c>
      <c r="C11" s="90">
        <f>'Daily Data'!D11</f>
        <v/>
      </c>
      <c r="D11" s="90">
        <f>'Daily Data'!C11</f>
        <v/>
      </c>
      <c r="E11" s="90">
        <f>IF('Daily Data'!E11="","",'Daily Data'!E11)</f>
        <v/>
      </c>
      <c r="F11" s="90">
        <f>IF($E11="","",'Daily Data'!F11)</f>
        <v/>
      </c>
      <c r="G11" s="90">
        <f>IF($E11="","",'Daily Data'!G11)</f>
        <v/>
      </c>
      <c r="H11" s="91">
        <f>IF($E11="","",(1-K11)*F11-G11)</f>
        <v/>
      </c>
      <c r="I11" s="90">
        <f>IF($E11="","",'Daily Data'!H11)</f>
        <v/>
      </c>
      <c r="J11" s="91">
        <f>IF($E11="","",E11-H11-I11)</f>
        <v/>
      </c>
      <c r="K11" s="60">
        <f>IF($E11="","",IF(A11&lt;HLP_ChangeDate,HLP_Legacy,HLP_Current))</f>
        <v/>
      </c>
      <c r="L11" s="91">
        <f>IF($E11="","",J11/(1-K11))</f>
        <v/>
      </c>
      <c r="M11" s="90">
        <f>IF($E11="","",'Daily Data'!I11)</f>
        <v/>
      </c>
      <c r="N11" s="91">
        <f>IF($E11="","",M11*(1-K11)-I11)</f>
        <v/>
      </c>
      <c r="O11" s="92" t="inlineStr"/>
      <c r="P11" s="93">
        <f>IF($E11="","",(L11+F11+M11)*K11)</f>
        <v/>
      </c>
      <c r="Q11" s="91">
        <f>IF($E11="","",L11*K11)</f>
        <v/>
      </c>
      <c r="R11" s="91">
        <f>IF($E11="","",F11*K11)</f>
        <v/>
      </c>
      <c r="S11" s="91">
        <f>IF($E11="","",M11*K11)</f>
        <v/>
      </c>
      <c r="T11" s="63">
        <f>IF(OR($E11="",B11=0),"",L11/B11*10000)</f>
        <v/>
      </c>
      <c r="U11" s="63">
        <f>IF(OR($E11="",C11=0),"",F11/C11*10000)</f>
        <v/>
      </c>
      <c r="V11" s="63">
        <f>IF(OR($E11="",D11=0),"",M11/D11*10000)</f>
        <v/>
      </c>
    </row>
    <row r="12">
      <c r="A12" s="35" t="n">
        <v>45666</v>
      </c>
      <c r="B12" s="90">
        <f>'Daily Data'!B12</f>
        <v/>
      </c>
      <c r="C12" s="90">
        <f>'Daily Data'!D12</f>
        <v/>
      </c>
      <c r="D12" s="90">
        <f>'Daily Data'!C12</f>
        <v/>
      </c>
      <c r="E12" s="90">
        <f>IF('Daily Data'!E12="","",'Daily Data'!E12)</f>
        <v/>
      </c>
      <c r="F12" s="90">
        <f>IF($E12="","",'Daily Data'!F12)</f>
        <v/>
      </c>
      <c r="G12" s="90">
        <f>IF($E12="","",'Daily Data'!G12)</f>
        <v/>
      </c>
      <c r="H12" s="91">
        <f>IF($E12="","",(1-K12)*F12-G12)</f>
        <v/>
      </c>
      <c r="I12" s="90">
        <f>IF($E12="","",'Daily Data'!H12)</f>
        <v/>
      </c>
      <c r="J12" s="91">
        <f>IF($E12="","",E12-H12-I12)</f>
        <v/>
      </c>
      <c r="K12" s="60">
        <f>IF($E12="","",IF(A12&lt;HLP_ChangeDate,HLP_Legacy,HLP_Current))</f>
        <v/>
      </c>
      <c r="L12" s="91">
        <f>IF($E12="","",J12/(1-K12))</f>
        <v/>
      </c>
      <c r="M12" s="90">
        <f>IF($E12="","",'Daily Data'!I12)</f>
        <v/>
      </c>
      <c r="N12" s="91">
        <f>IF($E12="","",M12*(1-K12)-I12)</f>
        <v/>
      </c>
      <c r="O12" s="92" t="inlineStr"/>
      <c r="P12" s="93">
        <f>IF($E12="","",(L12+F12+M12)*K12)</f>
        <v/>
      </c>
      <c r="Q12" s="91">
        <f>IF($E12="","",L12*K12)</f>
        <v/>
      </c>
      <c r="R12" s="91">
        <f>IF($E12="","",F12*K12)</f>
        <v/>
      </c>
      <c r="S12" s="91">
        <f>IF($E12="","",M12*K12)</f>
        <v/>
      </c>
      <c r="T12" s="63">
        <f>IF(OR($E12="",B12=0),"",L12/B12*10000)</f>
        <v/>
      </c>
      <c r="U12" s="63">
        <f>IF(OR($E12="",C12=0),"",F12/C12*10000)</f>
        <v/>
      </c>
      <c r="V12" s="63">
        <f>IF(OR($E12="",D12=0),"",M12/D12*10000)</f>
        <v/>
      </c>
    </row>
    <row r="13">
      <c r="A13" s="35" t="n">
        <v>45667</v>
      </c>
      <c r="B13" s="90">
        <f>'Daily Data'!B13</f>
        <v/>
      </c>
      <c r="C13" s="90">
        <f>'Daily Data'!D13</f>
        <v/>
      </c>
      <c r="D13" s="90">
        <f>'Daily Data'!C13</f>
        <v/>
      </c>
      <c r="E13" s="90">
        <f>IF('Daily Data'!E13="","",'Daily Data'!E13)</f>
        <v/>
      </c>
      <c r="F13" s="90">
        <f>IF($E13="","",'Daily Data'!F13)</f>
        <v/>
      </c>
      <c r="G13" s="90">
        <f>IF($E13="","",'Daily Data'!G13)</f>
        <v/>
      </c>
      <c r="H13" s="91">
        <f>IF($E13="","",(1-K13)*F13-G13)</f>
        <v/>
      </c>
      <c r="I13" s="90">
        <f>IF($E13="","",'Daily Data'!H13)</f>
        <v/>
      </c>
      <c r="J13" s="91">
        <f>IF($E13="","",E13-H13-I13)</f>
        <v/>
      </c>
      <c r="K13" s="60">
        <f>IF($E13="","",IF(A13&lt;HLP_ChangeDate,HLP_Legacy,HLP_Current))</f>
        <v/>
      </c>
      <c r="L13" s="91">
        <f>IF($E13="","",J13/(1-K13))</f>
        <v/>
      </c>
      <c r="M13" s="90">
        <f>IF($E13="","",'Daily Data'!I13)</f>
        <v/>
      </c>
      <c r="N13" s="91">
        <f>IF($E13="","",M13*(1-K13)-I13)</f>
        <v/>
      </c>
      <c r="O13" s="92" t="inlineStr"/>
      <c r="P13" s="93">
        <f>IF($E13="","",(L13+F13+M13)*K13)</f>
        <v/>
      </c>
      <c r="Q13" s="91">
        <f>IF($E13="","",L13*K13)</f>
        <v/>
      </c>
      <c r="R13" s="91">
        <f>IF($E13="","",F13*K13)</f>
        <v/>
      </c>
      <c r="S13" s="91">
        <f>IF($E13="","",M13*K13)</f>
        <v/>
      </c>
      <c r="T13" s="63">
        <f>IF(OR($E13="",B13=0),"",L13/B13*10000)</f>
        <v/>
      </c>
      <c r="U13" s="63">
        <f>IF(OR($E13="",C13=0),"",F13/C13*10000)</f>
        <v/>
      </c>
      <c r="V13" s="63">
        <f>IF(OR($E13="",D13=0),"",M13/D13*10000)</f>
        <v/>
      </c>
    </row>
    <row r="14">
      <c r="A14" s="35" t="n">
        <v>45668</v>
      </c>
      <c r="B14" s="90">
        <f>'Daily Data'!B14</f>
        <v/>
      </c>
      <c r="C14" s="90">
        <f>'Daily Data'!D14</f>
        <v/>
      </c>
      <c r="D14" s="90">
        <f>'Daily Data'!C14</f>
        <v/>
      </c>
      <c r="E14" s="90">
        <f>IF('Daily Data'!E14="","",'Daily Data'!E14)</f>
        <v/>
      </c>
      <c r="F14" s="90">
        <f>IF($E14="","",'Daily Data'!F14)</f>
        <v/>
      </c>
      <c r="G14" s="90">
        <f>IF($E14="","",'Daily Data'!G14)</f>
        <v/>
      </c>
      <c r="H14" s="91">
        <f>IF($E14="","",(1-K14)*F14-G14)</f>
        <v/>
      </c>
      <c r="I14" s="90">
        <f>IF($E14="","",'Daily Data'!H14)</f>
        <v/>
      </c>
      <c r="J14" s="91">
        <f>IF($E14="","",E14-H14-I14)</f>
        <v/>
      </c>
      <c r="K14" s="60">
        <f>IF($E14="","",IF(A14&lt;HLP_ChangeDate,HLP_Legacy,HLP_Current))</f>
        <v/>
      </c>
      <c r="L14" s="91">
        <f>IF($E14="","",J14/(1-K14))</f>
        <v/>
      </c>
      <c r="M14" s="90">
        <f>IF($E14="","",'Daily Data'!I14)</f>
        <v/>
      </c>
      <c r="N14" s="91">
        <f>IF($E14="","",M14*(1-K14)-I14)</f>
        <v/>
      </c>
      <c r="O14" s="92" t="inlineStr"/>
      <c r="P14" s="93">
        <f>IF($E14="","",(L14+F14+M14)*K14)</f>
        <v/>
      </c>
      <c r="Q14" s="91">
        <f>IF($E14="","",L14*K14)</f>
        <v/>
      </c>
      <c r="R14" s="91">
        <f>IF($E14="","",F14*K14)</f>
        <v/>
      </c>
      <c r="S14" s="91">
        <f>IF($E14="","",M14*K14)</f>
        <v/>
      </c>
      <c r="T14" s="63">
        <f>IF(OR($E14="",B14=0),"",L14/B14*10000)</f>
        <v/>
      </c>
      <c r="U14" s="63">
        <f>IF(OR($E14="",C14=0),"",F14/C14*10000)</f>
        <v/>
      </c>
      <c r="V14" s="63">
        <f>IF(OR($E14="",D14=0),"",M14/D14*10000)</f>
        <v/>
      </c>
    </row>
    <row r="15">
      <c r="A15" s="35" t="n">
        <v>45669</v>
      </c>
      <c r="B15" s="90">
        <f>'Daily Data'!B15</f>
        <v/>
      </c>
      <c r="C15" s="90">
        <f>'Daily Data'!D15</f>
        <v/>
      </c>
      <c r="D15" s="90">
        <f>'Daily Data'!C15</f>
        <v/>
      </c>
      <c r="E15" s="90">
        <f>IF('Daily Data'!E15="","",'Daily Data'!E15)</f>
        <v/>
      </c>
      <c r="F15" s="90">
        <f>IF($E15="","",'Daily Data'!F15)</f>
        <v/>
      </c>
      <c r="G15" s="90">
        <f>IF($E15="","",'Daily Data'!G15)</f>
        <v/>
      </c>
      <c r="H15" s="91">
        <f>IF($E15="","",(1-K15)*F15-G15)</f>
        <v/>
      </c>
      <c r="I15" s="90">
        <f>IF($E15="","",'Daily Data'!H15)</f>
        <v/>
      </c>
      <c r="J15" s="91">
        <f>IF($E15="","",E15-H15-I15)</f>
        <v/>
      </c>
      <c r="K15" s="60">
        <f>IF($E15="","",IF(A15&lt;HLP_ChangeDate,HLP_Legacy,HLP_Current))</f>
        <v/>
      </c>
      <c r="L15" s="91">
        <f>IF($E15="","",J15/(1-K15))</f>
        <v/>
      </c>
      <c r="M15" s="90">
        <f>IF($E15="","",'Daily Data'!I15)</f>
        <v/>
      </c>
      <c r="N15" s="91">
        <f>IF($E15="","",M15*(1-K15)-I15)</f>
        <v/>
      </c>
      <c r="O15" s="92" t="inlineStr"/>
      <c r="P15" s="93">
        <f>IF($E15="","",(L15+F15+M15)*K15)</f>
        <v/>
      </c>
      <c r="Q15" s="91">
        <f>IF($E15="","",L15*K15)</f>
        <v/>
      </c>
      <c r="R15" s="91">
        <f>IF($E15="","",F15*K15)</f>
        <v/>
      </c>
      <c r="S15" s="91">
        <f>IF($E15="","",M15*K15)</f>
        <v/>
      </c>
      <c r="T15" s="63">
        <f>IF(OR($E15="",B15=0),"",L15/B15*10000)</f>
        <v/>
      </c>
      <c r="U15" s="63">
        <f>IF(OR($E15="",C15=0),"",F15/C15*10000)</f>
        <v/>
      </c>
      <c r="V15" s="63">
        <f>IF(OR($E15="",D15=0),"",M15/D15*10000)</f>
        <v/>
      </c>
    </row>
    <row r="16">
      <c r="A16" s="35" t="n">
        <v>45670</v>
      </c>
      <c r="B16" s="90">
        <f>'Daily Data'!B16</f>
        <v/>
      </c>
      <c r="C16" s="90">
        <f>'Daily Data'!D16</f>
        <v/>
      </c>
      <c r="D16" s="90">
        <f>'Daily Data'!C16</f>
        <v/>
      </c>
      <c r="E16" s="90">
        <f>IF('Daily Data'!E16="","",'Daily Data'!E16)</f>
        <v/>
      </c>
      <c r="F16" s="90">
        <f>IF($E16="","",'Daily Data'!F16)</f>
        <v/>
      </c>
      <c r="G16" s="90">
        <f>IF($E16="","",'Daily Data'!G16)</f>
        <v/>
      </c>
      <c r="H16" s="91">
        <f>IF($E16="","",(1-K16)*F16-G16)</f>
        <v/>
      </c>
      <c r="I16" s="90">
        <f>IF($E16="","",'Daily Data'!H16)</f>
        <v/>
      </c>
      <c r="J16" s="91">
        <f>IF($E16="","",E16-H16-I16)</f>
        <v/>
      </c>
      <c r="K16" s="60">
        <f>IF($E16="","",IF(A16&lt;HLP_ChangeDate,HLP_Legacy,HLP_Current))</f>
        <v/>
      </c>
      <c r="L16" s="91">
        <f>IF($E16="","",J16/(1-K16))</f>
        <v/>
      </c>
      <c r="M16" s="90">
        <f>IF($E16="","",'Daily Data'!I16)</f>
        <v/>
      </c>
      <c r="N16" s="91">
        <f>IF($E16="","",M16*(1-K16)-I16)</f>
        <v/>
      </c>
      <c r="O16" s="92" t="inlineStr"/>
      <c r="P16" s="93">
        <f>IF($E16="","",(L16+F16+M16)*K16)</f>
        <v/>
      </c>
      <c r="Q16" s="91">
        <f>IF($E16="","",L16*K16)</f>
        <v/>
      </c>
      <c r="R16" s="91">
        <f>IF($E16="","",F16*K16)</f>
        <v/>
      </c>
      <c r="S16" s="91">
        <f>IF($E16="","",M16*K16)</f>
        <v/>
      </c>
      <c r="T16" s="63">
        <f>IF(OR($E16="",B16=0),"",L16/B16*10000)</f>
        <v/>
      </c>
      <c r="U16" s="63">
        <f>IF(OR($E16="",C16=0),"",F16/C16*10000)</f>
        <v/>
      </c>
      <c r="V16" s="63">
        <f>IF(OR($E16="",D16=0),"",M16/D16*10000)</f>
        <v/>
      </c>
    </row>
    <row r="17">
      <c r="A17" s="35" t="n">
        <v>45671</v>
      </c>
      <c r="B17" s="90">
        <f>'Daily Data'!B17</f>
        <v/>
      </c>
      <c r="C17" s="90">
        <f>'Daily Data'!D17</f>
        <v/>
      </c>
      <c r="D17" s="90">
        <f>'Daily Data'!C17</f>
        <v/>
      </c>
      <c r="E17" s="90">
        <f>IF('Daily Data'!E17="","",'Daily Data'!E17)</f>
        <v/>
      </c>
      <c r="F17" s="90">
        <f>IF($E17="","",'Daily Data'!F17)</f>
        <v/>
      </c>
      <c r="G17" s="90">
        <f>IF($E17="","",'Daily Data'!G17)</f>
        <v/>
      </c>
      <c r="H17" s="91">
        <f>IF($E17="","",(1-K17)*F17-G17)</f>
        <v/>
      </c>
      <c r="I17" s="90">
        <f>IF($E17="","",'Daily Data'!H17)</f>
        <v/>
      </c>
      <c r="J17" s="91">
        <f>IF($E17="","",E17-H17-I17)</f>
        <v/>
      </c>
      <c r="K17" s="60">
        <f>IF($E17="","",IF(A17&lt;HLP_ChangeDate,HLP_Legacy,HLP_Current))</f>
        <v/>
      </c>
      <c r="L17" s="91">
        <f>IF($E17="","",J17/(1-K17))</f>
        <v/>
      </c>
      <c r="M17" s="90">
        <f>IF($E17="","",'Daily Data'!I17)</f>
        <v/>
      </c>
      <c r="N17" s="91">
        <f>IF($E17="","",M17*(1-K17)-I17)</f>
        <v/>
      </c>
      <c r="O17" s="92" t="inlineStr"/>
      <c r="P17" s="93">
        <f>IF($E17="","",(L17+F17+M17)*K17)</f>
        <v/>
      </c>
      <c r="Q17" s="91">
        <f>IF($E17="","",L17*K17)</f>
        <v/>
      </c>
      <c r="R17" s="91">
        <f>IF($E17="","",F17*K17)</f>
        <v/>
      </c>
      <c r="S17" s="91">
        <f>IF($E17="","",M17*K17)</f>
        <v/>
      </c>
      <c r="T17" s="63">
        <f>IF(OR($E17="",B17=0),"",L17/B17*10000)</f>
        <v/>
      </c>
      <c r="U17" s="63">
        <f>IF(OR($E17="",C17=0),"",F17/C17*10000)</f>
        <v/>
      </c>
      <c r="V17" s="63">
        <f>IF(OR($E17="",D17=0),"",M17/D17*10000)</f>
        <v/>
      </c>
    </row>
    <row r="18">
      <c r="A18" s="35" t="n">
        <v>45672</v>
      </c>
      <c r="B18" s="90">
        <f>'Daily Data'!B18</f>
        <v/>
      </c>
      <c r="C18" s="90">
        <f>'Daily Data'!D18</f>
        <v/>
      </c>
      <c r="D18" s="90">
        <f>'Daily Data'!C18</f>
        <v/>
      </c>
      <c r="E18" s="90">
        <f>IF('Daily Data'!E18="","",'Daily Data'!E18)</f>
        <v/>
      </c>
      <c r="F18" s="90">
        <f>IF($E18="","",'Daily Data'!F18)</f>
        <v/>
      </c>
      <c r="G18" s="90">
        <f>IF($E18="","",'Daily Data'!G18)</f>
        <v/>
      </c>
      <c r="H18" s="91">
        <f>IF($E18="","",(1-K18)*F18-G18)</f>
        <v/>
      </c>
      <c r="I18" s="90">
        <f>IF($E18="","",'Daily Data'!H18)</f>
        <v/>
      </c>
      <c r="J18" s="91">
        <f>IF($E18="","",E18-H18-I18)</f>
        <v/>
      </c>
      <c r="K18" s="60">
        <f>IF($E18="","",IF(A18&lt;HLP_ChangeDate,HLP_Legacy,HLP_Current))</f>
        <v/>
      </c>
      <c r="L18" s="91">
        <f>IF($E18="","",J18/(1-K18))</f>
        <v/>
      </c>
      <c r="M18" s="90">
        <f>IF($E18="","",'Daily Data'!I18)</f>
        <v/>
      </c>
      <c r="N18" s="91">
        <f>IF($E18="","",M18*(1-K18)-I18)</f>
        <v/>
      </c>
      <c r="O18" s="92" t="inlineStr"/>
      <c r="P18" s="93">
        <f>IF($E18="","",(L18+F18+M18)*K18)</f>
        <v/>
      </c>
      <c r="Q18" s="91">
        <f>IF($E18="","",L18*K18)</f>
        <v/>
      </c>
      <c r="R18" s="91">
        <f>IF($E18="","",F18*K18)</f>
        <v/>
      </c>
      <c r="S18" s="91">
        <f>IF($E18="","",M18*K18)</f>
        <v/>
      </c>
      <c r="T18" s="63">
        <f>IF(OR($E18="",B18=0),"",L18/B18*10000)</f>
        <v/>
      </c>
      <c r="U18" s="63">
        <f>IF(OR($E18="",C18=0),"",F18/C18*10000)</f>
        <v/>
      </c>
      <c r="V18" s="63">
        <f>IF(OR($E18="",D18=0),"",M18/D18*10000)</f>
        <v/>
      </c>
    </row>
    <row r="19">
      <c r="A19" s="35" t="n">
        <v>45673</v>
      </c>
      <c r="B19" s="90">
        <f>'Daily Data'!B19</f>
        <v/>
      </c>
      <c r="C19" s="90">
        <f>'Daily Data'!D19</f>
        <v/>
      </c>
      <c r="D19" s="90">
        <f>'Daily Data'!C19</f>
        <v/>
      </c>
      <c r="E19" s="90">
        <f>IF('Daily Data'!E19="","",'Daily Data'!E19)</f>
        <v/>
      </c>
      <c r="F19" s="90">
        <f>IF($E19="","",'Daily Data'!F19)</f>
        <v/>
      </c>
      <c r="G19" s="90">
        <f>IF($E19="","",'Daily Data'!G19)</f>
        <v/>
      </c>
      <c r="H19" s="91">
        <f>IF($E19="","",(1-K19)*F19-G19)</f>
        <v/>
      </c>
      <c r="I19" s="90">
        <f>IF($E19="","",'Daily Data'!H19)</f>
        <v/>
      </c>
      <c r="J19" s="91">
        <f>IF($E19="","",E19-H19-I19)</f>
        <v/>
      </c>
      <c r="K19" s="60">
        <f>IF($E19="","",IF(A19&lt;HLP_ChangeDate,HLP_Legacy,HLP_Current))</f>
        <v/>
      </c>
      <c r="L19" s="91">
        <f>IF($E19="","",J19/(1-K19))</f>
        <v/>
      </c>
      <c r="M19" s="90">
        <f>IF($E19="","",'Daily Data'!I19)</f>
        <v/>
      </c>
      <c r="N19" s="91">
        <f>IF($E19="","",M19*(1-K19)-I19)</f>
        <v/>
      </c>
      <c r="O19" s="92" t="inlineStr"/>
      <c r="P19" s="93">
        <f>IF($E19="","",(L19+F19+M19)*K19)</f>
        <v/>
      </c>
      <c r="Q19" s="91">
        <f>IF($E19="","",L19*K19)</f>
        <v/>
      </c>
      <c r="R19" s="91">
        <f>IF($E19="","",F19*K19)</f>
        <v/>
      </c>
      <c r="S19" s="91">
        <f>IF($E19="","",M19*K19)</f>
        <v/>
      </c>
      <c r="T19" s="63">
        <f>IF(OR($E19="",B19=0),"",L19/B19*10000)</f>
        <v/>
      </c>
      <c r="U19" s="63">
        <f>IF(OR($E19="",C19=0),"",F19/C19*10000)</f>
        <v/>
      </c>
      <c r="V19" s="63">
        <f>IF(OR($E19="",D19=0),"",M19/D19*10000)</f>
        <v/>
      </c>
    </row>
    <row r="20">
      <c r="A20" s="35" t="n">
        <v>45674</v>
      </c>
      <c r="B20" s="90">
        <f>'Daily Data'!B20</f>
        <v/>
      </c>
      <c r="C20" s="90">
        <f>'Daily Data'!D20</f>
        <v/>
      </c>
      <c r="D20" s="90">
        <f>'Daily Data'!C20</f>
        <v/>
      </c>
      <c r="E20" s="90">
        <f>IF('Daily Data'!E20="","",'Daily Data'!E20)</f>
        <v/>
      </c>
      <c r="F20" s="90">
        <f>IF($E20="","",'Daily Data'!F20)</f>
        <v/>
      </c>
      <c r="G20" s="90">
        <f>IF($E20="","",'Daily Data'!G20)</f>
        <v/>
      </c>
      <c r="H20" s="91">
        <f>IF($E20="","",(1-K20)*F20-G20)</f>
        <v/>
      </c>
      <c r="I20" s="90">
        <f>IF($E20="","",'Daily Data'!H20)</f>
        <v/>
      </c>
      <c r="J20" s="91">
        <f>IF($E20="","",E20-H20-I20)</f>
        <v/>
      </c>
      <c r="K20" s="60">
        <f>IF($E20="","",IF(A20&lt;HLP_ChangeDate,HLP_Legacy,HLP_Current))</f>
        <v/>
      </c>
      <c r="L20" s="91">
        <f>IF($E20="","",J20/(1-K20))</f>
        <v/>
      </c>
      <c r="M20" s="90">
        <f>IF($E20="","",'Daily Data'!I20)</f>
        <v/>
      </c>
      <c r="N20" s="91">
        <f>IF($E20="","",M20*(1-K20)-I20)</f>
        <v/>
      </c>
      <c r="O20" s="92" t="inlineStr"/>
      <c r="P20" s="93">
        <f>IF($E20="","",(L20+F20+M20)*K20)</f>
        <v/>
      </c>
      <c r="Q20" s="91">
        <f>IF($E20="","",L20*K20)</f>
        <v/>
      </c>
      <c r="R20" s="91">
        <f>IF($E20="","",F20*K20)</f>
        <v/>
      </c>
      <c r="S20" s="91">
        <f>IF($E20="","",M20*K20)</f>
        <v/>
      </c>
      <c r="T20" s="63">
        <f>IF(OR($E20="",B20=0),"",L20/B20*10000)</f>
        <v/>
      </c>
      <c r="U20" s="63">
        <f>IF(OR($E20="",C20=0),"",F20/C20*10000)</f>
        <v/>
      </c>
      <c r="V20" s="63">
        <f>IF(OR($E20="",D20=0),"",M20/D20*10000)</f>
        <v/>
      </c>
    </row>
    <row r="21">
      <c r="A21" s="35" t="n">
        <v>45675</v>
      </c>
      <c r="B21" s="90">
        <f>'Daily Data'!B21</f>
        <v/>
      </c>
      <c r="C21" s="90">
        <f>'Daily Data'!D21</f>
        <v/>
      </c>
      <c r="D21" s="90">
        <f>'Daily Data'!C21</f>
        <v/>
      </c>
      <c r="E21" s="90">
        <f>IF('Daily Data'!E21="","",'Daily Data'!E21)</f>
        <v/>
      </c>
      <c r="F21" s="90">
        <f>IF($E21="","",'Daily Data'!F21)</f>
        <v/>
      </c>
      <c r="G21" s="90">
        <f>IF($E21="","",'Daily Data'!G21)</f>
        <v/>
      </c>
      <c r="H21" s="91">
        <f>IF($E21="","",(1-K21)*F21-G21)</f>
        <v/>
      </c>
      <c r="I21" s="90">
        <f>IF($E21="","",'Daily Data'!H21)</f>
        <v/>
      </c>
      <c r="J21" s="91">
        <f>IF($E21="","",E21-H21-I21)</f>
        <v/>
      </c>
      <c r="K21" s="60">
        <f>IF($E21="","",IF(A21&lt;HLP_ChangeDate,HLP_Legacy,HLP_Current))</f>
        <v/>
      </c>
      <c r="L21" s="91">
        <f>IF($E21="","",J21/(1-K21))</f>
        <v/>
      </c>
      <c r="M21" s="90">
        <f>IF($E21="","",'Daily Data'!I21)</f>
        <v/>
      </c>
      <c r="N21" s="91">
        <f>IF($E21="","",M21*(1-K21)-I21)</f>
        <v/>
      </c>
      <c r="O21" s="92" t="inlineStr"/>
      <c r="P21" s="93">
        <f>IF($E21="","",(L21+F21+M21)*K21)</f>
        <v/>
      </c>
      <c r="Q21" s="91">
        <f>IF($E21="","",L21*K21)</f>
        <v/>
      </c>
      <c r="R21" s="91">
        <f>IF($E21="","",F21*K21)</f>
        <v/>
      </c>
      <c r="S21" s="91">
        <f>IF($E21="","",M21*K21)</f>
        <v/>
      </c>
      <c r="T21" s="63">
        <f>IF(OR($E21="",B21=0),"",L21/B21*10000)</f>
        <v/>
      </c>
      <c r="U21" s="63">
        <f>IF(OR($E21="",C21=0),"",F21/C21*10000)</f>
        <v/>
      </c>
      <c r="V21" s="63">
        <f>IF(OR($E21="",D21=0),"",M21/D21*10000)</f>
        <v/>
      </c>
    </row>
    <row r="22">
      <c r="A22" s="35" t="n">
        <v>45676</v>
      </c>
      <c r="B22" s="90">
        <f>'Daily Data'!B22</f>
        <v/>
      </c>
      <c r="C22" s="90">
        <f>'Daily Data'!D22</f>
        <v/>
      </c>
      <c r="D22" s="90">
        <f>'Daily Data'!C22</f>
        <v/>
      </c>
      <c r="E22" s="90">
        <f>IF('Daily Data'!E22="","",'Daily Data'!E22)</f>
        <v/>
      </c>
      <c r="F22" s="90">
        <f>IF($E22="","",'Daily Data'!F22)</f>
        <v/>
      </c>
      <c r="G22" s="90">
        <f>IF($E22="","",'Daily Data'!G22)</f>
        <v/>
      </c>
      <c r="H22" s="91">
        <f>IF($E22="","",(1-K22)*F22-G22)</f>
        <v/>
      </c>
      <c r="I22" s="90">
        <f>IF($E22="","",'Daily Data'!H22)</f>
        <v/>
      </c>
      <c r="J22" s="91">
        <f>IF($E22="","",E22-H22-I22)</f>
        <v/>
      </c>
      <c r="K22" s="60">
        <f>IF($E22="","",IF(A22&lt;HLP_ChangeDate,HLP_Legacy,HLP_Current))</f>
        <v/>
      </c>
      <c r="L22" s="91">
        <f>IF($E22="","",J22/(1-K22))</f>
        <v/>
      </c>
      <c r="M22" s="90">
        <f>IF($E22="","",'Daily Data'!I22)</f>
        <v/>
      </c>
      <c r="N22" s="91">
        <f>IF($E22="","",M22*(1-K22)-I22)</f>
        <v/>
      </c>
      <c r="O22" s="92" t="inlineStr"/>
      <c r="P22" s="93">
        <f>IF($E22="","",(L22+F22+M22)*K22)</f>
        <v/>
      </c>
      <c r="Q22" s="91">
        <f>IF($E22="","",L22*K22)</f>
        <v/>
      </c>
      <c r="R22" s="91">
        <f>IF($E22="","",F22*K22)</f>
        <v/>
      </c>
      <c r="S22" s="91">
        <f>IF($E22="","",M22*K22)</f>
        <v/>
      </c>
      <c r="T22" s="63">
        <f>IF(OR($E22="",B22=0),"",L22/B22*10000)</f>
        <v/>
      </c>
      <c r="U22" s="63">
        <f>IF(OR($E22="",C22=0),"",F22/C22*10000)</f>
        <v/>
      </c>
      <c r="V22" s="63">
        <f>IF(OR($E22="",D22=0),"",M22/D22*10000)</f>
        <v/>
      </c>
    </row>
    <row r="23">
      <c r="A23" s="35" t="n">
        <v>45677</v>
      </c>
      <c r="B23" s="90">
        <f>'Daily Data'!B23</f>
        <v/>
      </c>
      <c r="C23" s="90">
        <f>'Daily Data'!D23</f>
        <v/>
      </c>
      <c r="D23" s="90">
        <f>'Daily Data'!C23</f>
        <v/>
      </c>
      <c r="E23" s="90">
        <f>IF('Daily Data'!E23="","",'Daily Data'!E23)</f>
        <v/>
      </c>
      <c r="F23" s="90">
        <f>IF($E23="","",'Daily Data'!F23)</f>
        <v/>
      </c>
      <c r="G23" s="90">
        <f>IF($E23="","",'Daily Data'!G23)</f>
        <v/>
      </c>
      <c r="H23" s="91">
        <f>IF($E23="","",(1-K23)*F23-G23)</f>
        <v/>
      </c>
      <c r="I23" s="90">
        <f>IF($E23="","",'Daily Data'!H23)</f>
        <v/>
      </c>
      <c r="J23" s="91">
        <f>IF($E23="","",E23-H23-I23)</f>
        <v/>
      </c>
      <c r="K23" s="60">
        <f>IF($E23="","",IF(A23&lt;HLP_ChangeDate,HLP_Legacy,HLP_Current))</f>
        <v/>
      </c>
      <c r="L23" s="91">
        <f>IF($E23="","",J23/(1-K23))</f>
        <v/>
      </c>
      <c r="M23" s="90">
        <f>IF($E23="","",'Daily Data'!I23)</f>
        <v/>
      </c>
      <c r="N23" s="91">
        <f>IF($E23="","",M23*(1-K23)-I23)</f>
        <v/>
      </c>
      <c r="O23" s="92" t="inlineStr"/>
      <c r="P23" s="93">
        <f>IF($E23="","",(L23+F23+M23)*K23)</f>
        <v/>
      </c>
      <c r="Q23" s="91">
        <f>IF($E23="","",L23*K23)</f>
        <v/>
      </c>
      <c r="R23" s="91">
        <f>IF($E23="","",F23*K23)</f>
        <v/>
      </c>
      <c r="S23" s="91">
        <f>IF($E23="","",M23*K23)</f>
        <v/>
      </c>
      <c r="T23" s="63">
        <f>IF(OR($E23="",B23=0),"",L23/B23*10000)</f>
        <v/>
      </c>
      <c r="U23" s="63">
        <f>IF(OR($E23="",C23=0),"",F23/C23*10000)</f>
        <v/>
      </c>
      <c r="V23" s="63">
        <f>IF(OR($E23="",D23=0),"",M23/D23*10000)</f>
        <v/>
      </c>
    </row>
    <row r="24">
      <c r="A24" s="35" t="n">
        <v>45678</v>
      </c>
      <c r="B24" s="90">
        <f>'Daily Data'!B24</f>
        <v/>
      </c>
      <c r="C24" s="90">
        <f>'Daily Data'!D24</f>
        <v/>
      </c>
      <c r="D24" s="90">
        <f>'Daily Data'!C24</f>
        <v/>
      </c>
      <c r="E24" s="90">
        <f>IF('Daily Data'!E24="","",'Daily Data'!E24)</f>
        <v/>
      </c>
      <c r="F24" s="90">
        <f>IF($E24="","",'Daily Data'!F24)</f>
        <v/>
      </c>
      <c r="G24" s="90">
        <f>IF($E24="","",'Daily Data'!G24)</f>
        <v/>
      </c>
      <c r="H24" s="91">
        <f>IF($E24="","",(1-K24)*F24-G24)</f>
        <v/>
      </c>
      <c r="I24" s="90">
        <f>IF($E24="","",'Daily Data'!H24)</f>
        <v/>
      </c>
      <c r="J24" s="91">
        <f>IF($E24="","",E24-H24-I24)</f>
        <v/>
      </c>
      <c r="K24" s="60">
        <f>IF($E24="","",IF(A24&lt;HLP_ChangeDate,HLP_Legacy,HLP_Current))</f>
        <v/>
      </c>
      <c r="L24" s="91">
        <f>IF($E24="","",J24/(1-K24))</f>
        <v/>
      </c>
      <c r="M24" s="90">
        <f>IF($E24="","",'Daily Data'!I24)</f>
        <v/>
      </c>
      <c r="N24" s="91">
        <f>IF($E24="","",M24*(1-K24)-I24)</f>
        <v/>
      </c>
      <c r="O24" s="92" t="inlineStr"/>
      <c r="P24" s="93">
        <f>IF($E24="","",(L24+F24+M24)*K24)</f>
        <v/>
      </c>
      <c r="Q24" s="91">
        <f>IF($E24="","",L24*K24)</f>
        <v/>
      </c>
      <c r="R24" s="91">
        <f>IF($E24="","",F24*K24)</f>
        <v/>
      </c>
      <c r="S24" s="91">
        <f>IF($E24="","",M24*K24)</f>
        <v/>
      </c>
      <c r="T24" s="63">
        <f>IF(OR($E24="",B24=0),"",L24/B24*10000)</f>
        <v/>
      </c>
      <c r="U24" s="63">
        <f>IF(OR($E24="",C24=0),"",F24/C24*10000)</f>
        <v/>
      </c>
      <c r="V24" s="63">
        <f>IF(OR($E24="",D24=0),"",M24/D24*10000)</f>
        <v/>
      </c>
    </row>
    <row r="25">
      <c r="A25" s="35" t="n">
        <v>45679</v>
      </c>
      <c r="B25" s="90">
        <f>'Daily Data'!B25</f>
        <v/>
      </c>
      <c r="C25" s="90">
        <f>'Daily Data'!D25</f>
        <v/>
      </c>
      <c r="D25" s="90">
        <f>'Daily Data'!C25</f>
        <v/>
      </c>
      <c r="E25" s="90">
        <f>IF('Daily Data'!E25="","",'Daily Data'!E25)</f>
        <v/>
      </c>
      <c r="F25" s="90">
        <f>IF($E25="","",'Daily Data'!F25)</f>
        <v/>
      </c>
      <c r="G25" s="90">
        <f>IF($E25="","",'Daily Data'!G25)</f>
        <v/>
      </c>
      <c r="H25" s="91">
        <f>IF($E25="","",(1-K25)*F25-G25)</f>
        <v/>
      </c>
      <c r="I25" s="90">
        <f>IF($E25="","",'Daily Data'!H25)</f>
        <v/>
      </c>
      <c r="J25" s="91">
        <f>IF($E25="","",E25-H25-I25)</f>
        <v/>
      </c>
      <c r="K25" s="60">
        <f>IF($E25="","",IF(A25&lt;HLP_ChangeDate,HLP_Legacy,HLP_Current))</f>
        <v/>
      </c>
      <c r="L25" s="91">
        <f>IF($E25="","",J25/(1-K25))</f>
        <v/>
      </c>
      <c r="M25" s="90">
        <f>IF($E25="","",'Daily Data'!I25)</f>
        <v/>
      </c>
      <c r="N25" s="91">
        <f>IF($E25="","",M25*(1-K25)-I25)</f>
        <v/>
      </c>
      <c r="O25" s="92" t="inlineStr"/>
      <c r="P25" s="93">
        <f>IF($E25="","",(L25+F25+M25)*K25)</f>
        <v/>
      </c>
      <c r="Q25" s="91">
        <f>IF($E25="","",L25*K25)</f>
        <v/>
      </c>
      <c r="R25" s="91">
        <f>IF($E25="","",F25*K25)</f>
        <v/>
      </c>
      <c r="S25" s="91">
        <f>IF($E25="","",M25*K25)</f>
        <v/>
      </c>
      <c r="T25" s="63">
        <f>IF(OR($E25="",B25=0),"",L25/B25*10000)</f>
        <v/>
      </c>
      <c r="U25" s="63">
        <f>IF(OR($E25="",C25=0),"",F25/C25*10000)</f>
        <v/>
      </c>
      <c r="V25" s="63">
        <f>IF(OR($E25="",D25=0),"",M25/D25*10000)</f>
        <v/>
      </c>
    </row>
    <row r="26">
      <c r="A26" s="35" t="n">
        <v>45680</v>
      </c>
      <c r="B26" s="90">
        <f>'Daily Data'!B26</f>
        <v/>
      </c>
      <c r="C26" s="90">
        <f>'Daily Data'!D26</f>
        <v/>
      </c>
      <c r="D26" s="90">
        <f>'Daily Data'!C26</f>
        <v/>
      </c>
      <c r="E26" s="90">
        <f>IF('Daily Data'!E26="","",'Daily Data'!E26)</f>
        <v/>
      </c>
      <c r="F26" s="90">
        <f>IF($E26="","",'Daily Data'!F26)</f>
        <v/>
      </c>
      <c r="G26" s="90">
        <f>IF($E26="","",'Daily Data'!G26)</f>
        <v/>
      </c>
      <c r="H26" s="91">
        <f>IF($E26="","",(1-K26)*F26-G26)</f>
        <v/>
      </c>
      <c r="I26" s="90">
        <f>IF($E26="","",'Daily Data'!H26)</f>
        <v/>
      </c>
      <c r="J26" s="91">
        <f>IF($E26="","",E26-H26-I26)</f>
        <v/>
      </c>
      <c r="K26" s="60">
        <f>IF($E26="","",IF(A26&lt;HLP_ChangeDate,HLP_Legacy,HLP_Current))</f>
        <v/>
      </c>
      <c r="L26" s="91">
        <f>IF($E26="","",J26/(1-K26))</f>
        <v/>
      </c>
      <c r="M26" s="90">
        <f>IF($E26="","",'Daily Data'!I26)</f>
        <v/>
      </c>
      <c r="N26" s="91">
        <f>IF($E26="","",M26*(1-K26)-I26)</f>
        <v/>
      </c>
      <c r="O26" s="92" t="inlineStr"/>
      <c r="P26" s="93">
        <f>IF($E26="","",(L26+F26+M26)*K26)</f>
        <v/>
      </c>
      <c r="Q26" s="91">
        <f>IF($E26="","",L26*K26)</f>
        <v/>
      </c>
      <c r="R26" s="91">
        <f>IF($E26="","",F26*K26)</f>
        <v/>
      </c>
      <c r="S26" s="91">
        <f>IF($E26="","",M26*K26)</f>
        <v/>
      </c>
      <c r="T26" s="63">
        <f>IF(OR($E26="",B26=0),"",L26/B26*10000)</f>
        <v/>
      </c>
      <c r="U26" s="63">
        <f>IF(OR($E26="",C26=0),"",F26/C26*10000)</f>
        <v/>
      </c>
      <c r="V26" s="63">
        <f>IF(OR($E26="",D26=0),"",M26/D26*10000)</f>
        <v/>
      </c>
    </row>
    <row r="27">
      <c r="A27" s="35" t="n">
        <v>45681</v>
      </c>
      <c r="B27" s="90">
        <f>'Daily Data'!B27</f>
        <v/>
      </c>
      <c r="C27" s="90">
        <f>'Daily Data'!D27</f>
        <v/>
      </c>
      <c r="D27" s="90">
        <f>'Daily Data'!C27</f>
        <v/>
      </c>
      <c r="E27" s="90">
        <f>IF('Daily Data'!E27="","",'Daily Data'!E27)</f>
        <v/>
      </c>
      <c r="F27" s="90">
        <f>IF($E27="","",'Daily Data'!F27)</f>
        <v/>
      </c>
      <c r="G27" s="90">
        <f>IF($E27="","",'Daily Data'!G27)</f>
        <v/>
      </c>
      <c r="H27" s="91">
        <f>IF($E27="","",(1-K27)*F27-G27)</f>
        <v/>
      </c>
      <c r="I27" s="90">
        <f>IF($E27="","",'Daily Data'!H27)</f>
        <v/>
      </c>
      <c r="J27" s="91">
        <f>IF($E27="","",E27-H27-I27)</f>
        <v/>
      </c>
      <c r="K27" s="60">
        <f>IF($E27="","",IF(A27&lt;HLP_ChangeDate,HLP_Legacy,HLP_Current))</f>
        <v/>
      </c>
      <c r="L27" s="91">
        <f>IF($E27="","",J27/(1-K27))</f>
        <v/>
      </c>
      <c r="M27" s="90">
        <f>IF($E27="","",'Daily Data'!I27)</f>
        <v/>
      </c>
      <c r="N27" s="91">
        <f>IF($E27="","",M27*(1-K27)-I27)</f>
        <v/>
      </c>
      <c r="O27" s="92" t="inlineStr"/>
      <c r="P27" s="93">
        <f>IF($E27="","",(L27+F27+M27)*K27)</f>
        <v/>
      </c>
      <c r="Q27" s="91">
        <f>IF($E27="","",L27*K27)</f>
        <v/>
      </c>
      <c r="R27" s="91">
        <f>IF($E27="","",F27*K27)</f>
        <v/>
      </c>
      <c r="S27" s="91">
        <f>IF($E27="","",M27*K27)</f>
        <v/>
      </c>
      <c r="T27" s="63">
        <f>IF(OR($E27="",B27=0),"",L27/B27*10000)</f>
        <v/>
      </c>
      <c r="U27" s="63">
        <f>IF(OR($E27="",C27=0),"",F27/C27*10000)</f>
        <v/>
      </c>
      <c r="V27" s="63">
        <f>IF(OR($E27="",D27=0),"",M27/D27*10000)</f>
        <v/>
      </c>
    </row>
    <row r="28">
      <c r="A28" s="35" t="n">
        <v>45682</v>
      </c>
      <c r="B28" s="90">
        <f>'Daily Data'!B28</f>
        <v/>
      </c>
      <c r="C28" s="90">
        <f>'Daily Data'!D28</f>
        <v/>
      </c>
      <c r="D28" s="90">
        <f>'Daily Data'!C28</f>
        <v/>
      </c>
      <c r="E28" s="90">
        <f>IF('Daily Data'!E28="","",'Daily Data'!E28)</f>
        <v/>
      </c>
      <c r="F28" s="90">
        <f>IF($E28="","",'Daily Data'!F28)</f>
        <v/>
      </c>
      <c r="G28" s="90">
        <f>IF($E28="","",'Daily Data'!G28)</f>
        <v/>
      </c>
      <c r="H28" s="91">
        <f>IF($E28="","",(1-K28)*F28-G28)</f>
        <v/>
      </c>
      <c r="I28" s="90">
        <f>IF($E28="","",'Daily Data'!H28)</f>
        <v/>
      </c>
      <c r="J28" s="91">
        <f>IF($E28="","",E28-H28-I28)</f>
        <v/>
      </c>
      <c r="K28" s="60">
        <f>IF($E28="","",IF(A28&lt;HLP_ChangeDate,HLP_Legacy,HLP_Current))</f>
        <v/>
      </c>
      <c r="L28" s="91">
        <f>IF($E28="","",J28/(1-K28))</f>
        <v/>
      </c>
      <c r="M28" s="90">
        <f>IF($E28="","",'Daily Data'!I28)</f>
        <v/>
      </c>
      <c r="N28" s="91">
        <f>IF($E28="","",M28*(1-K28)-I28)</f>
        <v/>
      </c>
      <c r="O28" s="92" t="inlineStr"/>
      <c r="P28" s="93">
        <f>IF($E28="","",(L28+F28+M28)*K28)</f>
        <v/>
      </c>
      <c r="Q28" s="91">
        <f>IF($E28="","",L28*K28)</f>
        <v/>
      </c>
      <c r="R28" s="91">
        <f>IF($E28="","",F28*K28)</f>
        <v/>
      </c>
      <c r="S28" s="91">
        <f>IF($E28="","",M28*K28)</f>
        <v/>
      </c>
      <c r="T28" s="63">
        <f>IF(OR($E28="",B28=0),"",L28/B28*10000)</f>
        <v/>
      </c>
      <c r="U28" s="63">
        <f>IF(OR($E28="",C28=0),"",F28/C28*10000)</f>
        <v/>
      </c>
      <c r="V28" s="63">
        <f>IF(OR($E28="",D28=0),"",M28/D28*10000)</f>
        <v/>
      </c>
    </row>
    <row r="29">
      <c r="A29" s="35" t="n">
        <v>45683</v>
      </c>
      <c r="B29" s="90">
        <f>'Daily Data'!B29</f>
        <v/>
      </c>
      <c r="C29" s="90">
        <f>'Daily Data'!D29</f>
        <v/>
      </c>
      <c r="D29" s="90">
        <f>'Daily Data'!C29</f>
        <v/>
      </c>
      <c r="E29" s="90">
        <f>IF('Daily Data'!E29="","",'Daily Data'!E29)</f>
        <v/>
      </c>
      <c r="F29" s="90">
        <f>IF($E29="","",'Daily Data'!F29)</f>
        <v/>
      </c>
      <c r="G29" s="90">
        <f>IF($E29="","",'Daily Data'!G29)</f>
        <v/>
      </c>
      <c r="H29" s="91">
        <f>IF($E29="","",(1-K29)*F29-G29)</f>
        <v/>
      </c>
      <c r="I29" s="90">
        <f>IF($E29="","",'Daily Data'!H29)</f>
        <v/>
      </c>
      <c r="J29" s="91">
        <f>IF($E29="","",E29-H29-I29)</f>
        <v/>
      </c>
      <c r="K29" s="60">
        <f>IF($E29="","",IF(A29&lt;HLP_ChangeDate,HLP_Legacy,HLP_Current))</f>
        <v/>
      </c>
      <c r="L29" s="91">
        <f>IF($E29="","",J29/(1-K29))</f>
        <v/>
      </c>
      <c r="M29" s="90">
        <f>IF($E29="","",'Daily Data'!I29)</f>
        <v/>
      </c>
      <c r="N29" s="91">
        <f>IF($E29="","",M29*(1-K29)-I29)</f>
        <v/>
      </c>
      <c r="O29" s="92" t="inlineStr"/>
      <c r="P29" s="93">
        <f>IF($E29="","",(L29+F29+M29)*K29)</f>
        <v/>
      </c>
      <c r="Q29" s="91">
        <f>IF($E29="","",L29*K29)</f>
        <v/>
      </c>
      <c r="R29" s="91">
        <f>IF($E29="","",F29*K29)</f>
        <v/>
      </c>
      <c r="S29" s="91">
        <f>IF($E29="","",M29*K29)</f>
        <v/>
      </c>
      <c r="T29" s="63">
        <f>IF(OR($E29="",B29=0),"",L29/B29*10000)</f>
        <v/>
      </c>
      <c r="U29" s="63">
        <f>IF(OR($E29="",C29=0),"",F29/C29*10000)</f>
        <v/>
      </c>
      <c r="V29" s="63">
        <f>IF(OR($E29="",D29=0),"",M29/D29*10000)</f>
        <v/>
      </c>
    </row>
    <row r="30">
      <c r="A30" s="35" t="n">
        <v>45684</v>
      </c>
      <c r="B30" s="90">
        <f>'Daily Data'!B30</f>
        <v/>
      </c>
      <c r="C30" s="90">
        <f>'Daily Data'!D30</f>
        <v/>
      </c>
      <c r="D30" s="90">
        <f>'Daily Data'!C30</f>
        <v/>
      </c>
      <c r="E30" s="90">
        <f>IF('Daily Data'!E30="","",'Daily Data'!E30)</f>
        <v/>
      </c>
      <c r="F30" s="90">
        <f>IF($E30="","",'Daily Data'!F30)</f>
        <v/>
      </c>
      <c r="G30" s="90">
        <f>IF($E30="","",'Daily Data'!G30)</f>
        <v/>
      </c>
      <c r="H30" s="91">
        <f>IF($E30="","",(1-K30)*F30-G30)</f>
        <v/>
      </c>
      <c r="I30" s="90">
        <f>IF($E30="","",'Daily Data'!H30)</f>
        <v/>
      </c>
      <c r="J30" s="91">
        <f>IF($E30="","",E30-H30-I30)</f>
        <v/>
      </c>
      <c r="K30" s="60">
        <f>IF($E30="","",IF(A30&lt;HLP_ChangeDate,HLP_Legacy,HLP_Current))</f>
        <v/>
      </c>
      <c r="L30" s="91">
        <f>IF($E30="","",J30/(1-K30))</f>
        <v/>
      </c>
      <c r="M30" s="90">
        <f>IF($E30="","",'Daily Data'!I30)</f>
        <v/>
      </c>
      <c r="N30" s="91">
        <f>IF($E30="","",M30*(1-K30)-I30)</f>
        <v/>
      </c>
      <c r="O30" s="92" t="inlineStr"/>
      <c r="P30" s="93">
        <f>IF($E30="","",(L30+F30+M30)*K30)</f>
        <v/>
      </c>
      <c r="Q30" s="91">
        <f>IF($E30="","",L30*K30)</f>
        <v/>
      </c>
      <c r="R30" s="91">
        <f>IF($E30="","",F30*K30)</f>
        <v/>
      </c>
      <c r="S30" s="91">
        <f>IF($E30="","",M30*K30)</f>
        <v/>
      </c>
      <c r="T30" s="63">
        <f>IF(OR($E30="",B30=0),"",L30/B30*10000)</f>
        <v/>
      </c>
      <c r="U30" s="63">
        <f>IF(OR($E30="",C30=0),"",F30/C30*10000)</f>
        <v/>
      </c>
      <c r="V30" s="63">
        <f>IF(OR($E30="",D30=0),"",M30/D30*10000)</f>
        <v/>
      </c>
    </row>
    <row r="31">
      <c r="A31" s="35" t="n">
        <v>45685</v>
      </c>
      <c r="B31" s="90">
        <f>'Daily Data'!B31</f>
        <v/>
      </c>
      <c r="C31" s="90">
        <f>'Daily Data'!D31</f>
        <v/>
      </c>
      <c r="D31" s="90">
        <f>'Daily Data'!C31</f>
        <v/>
      </c>
      <c r="E31" s="90">
        <f>IF('Daily Data'!E31="","",'Daily Data'!E31)</f>
        <v/>
      </c>
      <c r="F31" s="90">
        <f>IF($E31="","",'Daily Data'!F31)</f>
        <v/>
      </c>
      <c r="G31" s="90">
        <f>IF($E31="","",'Daily Data'!G31)</f>
        <v/>
      </c>
      <c r="H31" s="91">
        <f>IF($E31="","",(1-K31)*F31-G31)</f>
        <v/>
      </c>
      <c r="I31" s="90">
        <f>IF($E31="","",'Daily Data'!H31)</f>
        <v/>
      </c>
      <c r="J31" s="91">
        <f>IF($E31="","",E31-H31-I31)</f>
        <v/>
      </c>
      <c r="K31" s="60">
        <f>IF($E31="","",IF(A31&lt;HLP_ChangeDate,HLP_Legacy,HLP_Current))</f>
        <v/>
      </c>
      <c r="L31" s="91">
        <f>IF($E31="","",J31/(1-K31))</f>
        <v/>
      </c>
      <c r="M31" s="90">
        <f>IF($E31="","",'Daily Data'!I31)</f>
        <v/>
      </c>
      <c r="N31" s="91">
        <f>IF($E31="","",M31*(1-K31)-I31)</f>
        <v/>
      </c>
      <c r="O31" s="92" t="inlineStr"/>
      <c r="P31" s="93">
        <f>IF($E31="","",(L31+F31+M31)*K31)</f>
        <v/>
      </c>
      <c r="Q31" s="91">
        <f>IF($E31="","",L31*K31)</f>
        <v/>
      </c>
      <c r="R31" s="91">
        <f>IF($E31="","",F31*K31)</f>
        <v/>
      </c>
      <c r="S31" s="91">
        <f>IF($E31="","",M31*K31)</f>
        <v/>
      </c>
      <c r="T31" s="63">
        <f>IF(OR($E31="",B31=0),"",L31/B31*10000)</f>
        <v/>
      </c>
      <c r="U31" s="63">
        <f>IF(OR($E31="",C31=0),"",F31/C31*10000)</f>
        <v/>
      </c>
      <c r="V31" s="63">
        <f>IF(OR($E31="",D31=0),"",M31/D31*10000)</f>
        <v/>
      </c>
    </row>
    <row r="32">
      <c r="A32" s="35" t="n">
        <v>45686</v>
      </c>
      <c r="B32" s="90">
        <f>'Daily Data'!B32</f>
        <v/>
      </c>
      <c r="C32" s="90">
        <f>'Daily Data'!D32</f>
        <v/>
      </c>
      <c r="D32" s="90">
        <f>'Daily Data'!C32</f>
        <v/>
      </c>
      <c r="E32" s="90">
        <f>IF('Daily Data'!E32="","",'Daily Data'!E32)</f>
        <v/>
      </c>
      <c r="F32" s="90">
        <f>IF($E32="","",'Daily Data'!F32)</f>
        <v/>
      </c>
      <c r="G32" s="90">
        <f>IF($E32="","",'Daily Data'!G32)</f>
        <v/>
      </c>
      <c r="H32" s="91">
        <f>IF($E32="","",(1-K32)*F32-G32)</f>
        <v/>
      </c>
      <c r="I32" s="90">
        <f>IF($E32="","",'Daily Data'!H32)</f>
        <v/>
      </c>
      <c r="J32" s="91">
        <f>IF($E32="","",E32-H32-I32)</f>
        <v/>
      </c>
      <c r="K32" s="60">
        <f>IF($E32="","",IF(A32&lt;HLP_ChangeDate,HLP_Legacy,HLP_Current))</f>
        <v/>
      </c>
      <c r="L32" s="91">
        <f>IF($E32="","",J32/(1-K32))</f>
        <v/>
      </c>
      <c r="M32" s="90">
        <f>IF($E32="","",'Daily Data'!I32)</f>
        <v/>
      </c>
      <c r="N32" s="91">
        <f>IF($E32="","",M32*(1-K32)-I32)</f>
        <v/>
      </c>
      <c r="O32" s="92" t="inlineStr"/>
      <c r="P32" s="93">
        <f>IF($E32="","",(L32+F32+M32)*K32)</f>
        <v/>
      </c>
      <c r="Q32" s="91">
        <f>IF($E32="","",L32*K32)</f>
        <v/>
      </c>
      <c r="R32" s="91">
        <f>IF($E32="","",F32*K32)</f>
        <v/>
      </c>
      <c r="S32" s="91">
        <f>IF($E32="","",M32*K32)</f>
        <v/>
      </c>
      <c r="T32" s="63">
        <f>IF(OR($E32="",B32=0),"",L32/B32*10000)</f>
        <v/>
      </c>
      <c r="U32" s="63">
        <f>IF(OR($E32="",C32=0),"",F32/C32*10000)</f>
        <v/>
      </c>
      <c r="V32" s="63">
        <f>IF(OR($E32="",D32=0),"",M32/D32*10000)</f>
        <v/>
      </c>
    </row>
    <row r="33">
      <c r="A33" s="35" t="n">
        <v>45687</v>
      </c>
      <c r="B33" s="90">
        <f>'Daily Data'!B33</f>
        <v/>
      </c>
      <c r="C33" s="90">
        <f>'Daily Data'!D33</f>
        <v/>
      </c>
      <c r="D33" s="90">
        <f>'Daily Data'!C33</f>
        <v/>
      </c>
      <c r="E33" s="90">
        <f>IF('Daily Data'!E33="","",'Daily Data'!E33)</f>
        <v/>
      </c>
      <c r="F33" s="90">
        <f>IF($E33="","",'Daily Data'!F33)</f>
        <v/>
      </c>
      <c r="G33" s="90">
        <f>IF($E33="","",'Daily Data'!G33)</f>
        <v/>
      </c>
      <c r="H33" s="91">
        <f>IF($E33="","",(1-K33)*F33-G33)</f>
        <v/>
      </c>
      <c r="I33" s="90">
        <f>IF($E33="","",'Daily Data'!H33)</f>
        <v/>
      </c>
      <c r="J33" s="91">
        <f>IF($E33="","",E33-H33-I33)</f>
        <v/>
      </c>
      <c r="K33" s="60">
        <f>IF($E33="","",IF(A33&lt;HLP_ChangeDate,HLP_Legacy,HLP_Current))</f>
        <v/>
      </c>
      <c r="L33" s="91">
        <f>IF($E33="","",J33/(1-K33))</f>
        <v/>
      </c>
      <c r="M33" s="90">
        <f>IF($E33="","",'Daily Data'!I33)</f>
        <v/>
      </c>
      <c r="N33" s="91">
        <f>IF($E33="","",M33*(1-K33)-I33)</f>
        <v/>
      </c>
      <c r="O33" s="92" t="inlineStr"/>
      <c r="P33" s="93">
        <f>IF($E33="","",(L33+F33+M33)*K33)</f>
        <v/>
      </c>
      <c r="Q33" s="91">
        <f>IF($E33="","",L33*K33)</f>
        <v/>
      </c>
      <c r="R33" s="91">
        <f>IF($E33="","",F33*K33)</f>
        <v/>
      </c>
      <c r="S33" s="91">
        <f>IF($E33="","",M33*K33)</f>
        <v/>
      </c>
      <c r="T33" s="63">
        <f>IF(OR($E33="",B33=0),"",L33/B33*10000)</f>
        <v/>
      </c>
      <c r="U33" s="63">
        <f>IF(OR($E33="",C33=0),"",F33/C33*10000)</f>
        <v/>
      </c>
      <c r="V33" s="63">
        <f>IF(OR($E33="",D33=0),"",M33/D33*10000)</f>
        <v/>
      </c>
    </row>
    <row r="34">
      <c r="A34" s="35" t="n">
        <v>45688</v>
      </c>
      <c r="B34" s="90">
        <f>'Daily Data'!B34</f>
        <v/>
      </c>
      <c r="C34" s="90">
        <f>'Daily Data'!D34</f>
        <v/>
      </c>
      <c r="D34" s="90">
        <f>'Daily Data'!C34</f>
        <v/>
      </c>
      <c r="E34" s="90">
        <f>IF('Daily Data'!E34="","",'Daily Data'!E34)</f>
        <v/>
      </c>
      <c r="F34" s="90">
        <f>IF($E34="","",'Daily Data'!F34)</f>
        <v/>
      </c>
      <c r="G34" s="90">
        <f>IF($E34="","",'Daily Data'!G34)</f>
        <v/>
      </c>
      <c r="H34" s="91">
        <f>IF($E34="","",(1-K34)*F34-G34)</f>
        <v/>
      </c>
      <c r="I34" s="90">
        <f>IF($E34="","",'Daily Data'!H34)</f>
        <v/>
      </c>
      <c r="J34" s="91">
        <f>IF($E34="","",E34-H34-I34)</f>
        <v/>
      </c>
      <c r="K34" s="60">
        <f>IF($E34="","",IF(A34&lt;HLP_ChangeDate,HLP_Legacy,HLP_Current))</f>
        <v/>
      </c>
      <c r="L34" s="91">
        <f>IF($E34="","",J34/(1-K34))</f>
        <v/>
      </c>
      <c r="M34" s="90">
        <f>IF($E34="","",'Daily Data'!I34)</f>
        <v/>
      </c>
      <c r="N34" s="91">
        <f>IF($E34="","",M34*(1-K34)-I34)</f>
        <v/>
      </c>
      <c r="O34" s="92" t="inlineStr"/>
      <c r="P34" s="93">
        <f>IF($E34="","",(L34+F34+M34)*K34)</f>
        <v/>
      </c>
      <c r="Q34" s="91">
        <f>IF($E34="","",L34*K34)</f>
        <v/>
      </c>
      <c r="R34" s="91">
        <f>IF($E34="","",F34*K34)</f>
        <v/>
      </c>
      <c r="S34" s="91">
        <f>IF($E34="","",M34*K34)</f>
        <v/>
      </c>
      <c r="T34" s="63">
        <f>IF(OR($E34="",B34=0),"",L34/B34*10000)</f>
        <v/>
      </c>
      <c r="U34" s="63">
        <f>IF(OR($E34="",C34=0),"",F34/C34*10000)</f>
        <v/>
      </c>
      <c r="V34" s="63">
        <f>IF(OR($E34="",D34=0),"",M34/D34*10000)</f>
        <v/>
      </c>
    </row>
    <row r="35">
      <c r="A35" s="35" t="n">
        <v>45689</v>
      </c>
      <c r="B35" s="90">
        <f>'Daily Data'!B35</f>
        <v/>
      </c>
      <c r="C35" s="90">
        <f>'Daily Data'!D35</f>
        <v/>
      </c>
      <c r="D35" s="90">
        <f>'Daily Data'!C35</f>
        <v/>
      </c>
      <c r="E35" s="90">
        <f>IF('Daily Data'!E35="","",'Daily Data'!E35)</f>
        <v/>
      </c>
      <c r="F35" s="90">
        <f>IF($E35="","",'Daily Data'!F35)</f>
        <v/>
      </c>
      <c r="G35" s="90">
        <f>IF($E35="","",'Daily Data'!G35)</f>
        <v/>
      </c>
      <c r="H35" s="91">
        <f>IF($E35="","",(1-K35)*F35-G35)</f>
        <v/>
      </c>
      <c r="I35" s="90">
        <f>IF($E35="","",'Daily Data'!H35)</f>
        <v/>
      </c>
      <c r="J35" s="91">
        <f>IF($E35="","",E35-H35-I35)</f>
        <v/>
      </c>
      <c r="K35" s="60">
        <f>IF($E35="","",IF(A35&lt;HLP_ChangeDate,HLP_Legacy,HLP_Current))</f>
        <v/>
      </c>
      <c r="L35" s="91">
        <f>IF($E35="","",J35/(1-K35))</f>
        <v/>
      </c>
      <c r="M35" s="90">
        <f>IF($E35="","",'Daily Data'!I35)</f>
        <v/>
      </c>
      <c r="N35" s="91">
        <f>IF($E35="","",M35*(1-K35)-I35)</f>
        <v/>
      </c>
      <c r="O35" s="92" t="inlineStr"/>
      <c r="P35" s="93">
        <f>IF($E35="","",(L35+F35+M35)*K35)</f>
        <v/>
      </c>
      <c r="Q35" s="91">
        <f>IF($E35="","",L35*K35)</f>
        <v/>
      </c>
      <c r="R35" s="91">
        <f>IF($E35="","",F35*K35)</f>
        <v/>
      </c>
      <c r="S35" s="91">
        <f>IF($E35="","",M35*K35)</f>
        <v/>
      </c>
      <c r="T35" s="63">
        <f>IF(OR($E35="",B35=0),"",L35/B35*10000)</f>
        <v/>
      </c>
      <c r="U35" s="63">
        <f>IF(OR($E35="",C35=0),"",F35/C35*10000)</f>
        <v/>
      </c>
      <c r="V35" s="63">
        <f>IF(OR($E35="",D35=0),"",M35/D35*10000)</f>
        <v/>
      </c>
    </row>
    <row r="36">
      <c r="A36" s="35" t="n">
        <v>45690</v>
      </c>
      <c r="B36" s="90">
        <f>'Daily Data'!B36</f>
        <v/>
      </c>
      <c r="C36" s="90">
        <f>'Daily Data'!D36</f>
        <v/>
      </c>
      <c r="D36" s="90">
        <f>'Daily Data'!C36</f>
        <v/>
      </c>
      <c r="E36" s="90">
        <f>IF('Daily Data'!E36="","",'Daily Data'!E36)</f>
        <v/>
      </c>
      <c r="F36" s="90">
        <f>IF($E36="","",'Daily Data'!F36)</f>
        <v/>
      </c>
      <c r="G36" s="90">
        <f>IF($E36="","",'Daily Data'!G36)</f>
        <v/>
      </c>
      <c r="H36" s="91">
        <f>IF($E36="","",(1-K36)*F36-G36)</f>
        <v/>
      </c>
      <c r="I36" s="90">
        <f>IF($E36="","",'Daily Data'!H36)</f>
        <v/>
      </c>
      <c r="J36" s="91">
        <f>IF($E36="","",E36-H36-I36)</f>
        <v/>
      </c>
      <c r="K36" s="60">
        <f>IF($E36="","",IF(A36&lt;HLP_ChangeDate,HLP_Legacy,HLP_Current))</f>
        <v/>
      </c>
      <c r="L36" s="91">
        <f>IF($E36="","",J36/(1-K36))</f>
        <v/>
      </c>
      <c r="M36" s="90">
        <f>IF($E36="","",'Daily Data'!I36)</f>
        <v/>
      </c>
      <c r="N36" s="91">
        <f>IF($E36="","",M36*(1-K36)-I36)</f>
        <v/>
      </c>
      <c r="O36" s="92" t="inlineStr"/>
      <c r="P36" s="93">
        <f>IF($E36="","",(L36+F36+M36)*K36)</f>
        <v/>
      </c>
      <c r="Q36" s="91">
        <f>IF($E36="","",L36*K36)</f>
        <v/>
      </c>
      <c r="R36" s="91">
        <f>IF($E36="","",F36*K36)</f>
        <v/>
      </c>
      <c r="S36" s="91">
        <f>IF($E36="","",M36*K36)</f>
        <v/>
      </c>
      <c r="T36" s="63">
        <f>IF(OR($E36="",B36=0),"",L36/B36*10000)</f>
        <v/>
      </c>
      <c r="U36" s="63">
        <f>IF(OR($E36="",C36=0),"",F36/C36*10000)</f>
        <v/>
      </c>
      <c r="V36" s="63">
        <f>IF(OR($E36="",D36=0),"",M36/D36*10000)</f>
        <v/>
      </c>
    </row>
    <row r="37">
      <c r="A37" s="35" t="n">
        <v>45691</v>
      </c>
      <c r="B37" s="90">
        <f>'Daily Data'!B37</f>
        <v/>
      </c>
      <c r="C37" s="90">
        <f>'Daily Data'!D37</f>
        <v/>
      </c>
      <c r="D37" s="90">
        <f>'Daily Data'!C37</f>
        <v/>
      </c>
      <c r="E37" s="90">
        <f>IF('Daily Data'!E37="","",'Daily Data'!E37)</f>
        <v/>
      </c>
      <c r="F37" s="90">
        <f>IF($E37="","",'Daily Data'!F37)</f>
        <v/>
      </c>
      <c r="G37" s="90">
        <f>IF($E37="","",'Daily Data'!G37)</f>
        <v/>
      </c>
      <c r="H37" s="91">
        <f>IF($E37="","",(1-K37)*F37-G37)</f>
        <v/>
      </c>
      <c r="I37" s="90">
        <f>IF($E37="","",'Daily Data'!H37)</f>
        <v/>
      </c>
      <c r="J37" s="91">
        <f>IF($E37="","",E37-H37-I37)</f>
        <v/>
      </c>
      <c r="K37" s="60">
        <f>IF($E37="","",IF(A37&lt;HLP_ChangeDate,HLP_Legacy,HLP_Current))</f>
        <v/>
      </c>
      <c r="L37" s="91">
        <f>IF($E37="","",J37/(1-K37))</f>
        <v/>
      </c>
      <c r="M37" s="90">
        <f>IF($E37="","",'Daily Data'!I37)</f>
        <v/>
      </c>
      <c r="N37" s="91">
        <f>IF($E37="","",M37*(1-K37)-I37)</f>
        <v/>
      </c>
      <c r="O37" s="92" t="inlineStr"/>
      <c r="P37" s="93">
        <f>IF($E37="","",(L37+F37+M37)*K37)</f>
        <v/>
      </c>
      <c r="Q37" s="91">
        <f>IF($E37="","",L37*K37)</f>
        <v/>
      </c>
      <c r="R37" s="91">
        <f>IF($E37="","",F37*K37)</f>
        <v/>
      </c>
      <c r="S37" s="91">
        <f>IF($E37="","",M37*K37)</f>
        <v/>
      </c>
      <c r="T37" s="63">
        <f>IF(OR($E37="",B37=0),"",L37/B37*10000)</f>
        <v/>
      </c>
      <c r="U37" s="63">
        <f>IF(OR($E37="",C37=0),"",F37/C37*10000)</f>
        <v/>
      </c>
      <c r="V37" s="63">
        <f>IF(OR($E37="",D37=0),"",M37/D37*10000)</f>
        <v/>
      </c>
    </row>
    <row r="38">
      <c r="A38" s="35" t="n">
        <v>45692</v>
      </c>
      <c r="B38" s="90">
        <f>'Daily Data'!B38</f>
        <v/>
      </c>
      <c r="C38" s="90">
        <f>'Daily Data'!D38</f>
        <v/>
      </c>
      <c r="D38" s="90">
        <f>'Daily Data'!C38</f>
        <v/>
      </c>
      <c r="E38" s="90">
        <f>IF('Daily Data'!E38="","",'Daily Data'!E38)</f>
        <v/>
      </c>
      <c r="F38" s="90">
        <f>IF($E38="","",'Daily Data'!F38)</f>
        <v/>
      </c>
      <c r="G38" s="90">
        <f>IF($E38="","",'Daily Data'!G38)</f>
        <v/>
      </c>
      <c r="H38" s="91">
        <f>IF($E38="","",(1-K38)*F38-G38)</f>
        <v/>
      </c>
      <c r="I38" s="90">
        <f>IF($E38="","",'Daily Data'!H38)</f>
        <v/>
      </c>
      <c r="J38" s="91">
        <f>IF($E38="","",E38-H38-I38)</f>
        <v/>
      </c>
      <c r="K38" s="60">
        <f>IF($E38="","",IF(A38&lt;HLP_ChangeDate,HLP_Legacy,HLP_Current))</f>
        <v/>
      </c>
      <c r="L38" s="91">
        <f>IF($E38="","",J38/(1-K38))</f>
        <v/>
      </c>
      <c r="M38" s="90">
        <f>IF($E38="","",'Daily Data'!I38)</f>
        <v/>
      </c>
      <c r="N38" s="91">
        <f>IF($E38="","",M38*(1-K38)-I38)</f>
        <v/>
      </c>
      <c r="O38" s="92" t="inlineStr"/>
      <c r="P38" s="93">
        <f>IF($E38="","",(L38+F38+M38)*K38)</f>
        <v/>
      </c>
      <c r="Q38" s="91">
        <f>IF($E38="","",L38*K38)</f>
        <v/>
      </c>
      <c r="R38" s="91">
        <f>IF($E38="","",F38*K38)</f>
        <v/>
      </c>
      <c r="S38" s="91">
        <f>IF($E38="","",M38*K38)</f>
        <v/>
      </c>
      <c r="T38" s="63">
        <f>IF(OR($E38="",B38=0),"",L38/B38*10000)</f>
        <v/>
      </c>
      <c r="U38" s="63">
        <f>IF(OR($E38="",C38=0),"",F38/C38*10000)</f>
        <v/>
      </c>
      <c r="V38" s="63">
        <f>IF(OR($E38="",D38=0),"",M38/D38*10000)</f>
        <v/>
      </c>
    </row>
    <row r="39">
      <c r="A39" s="35" t="n">
        <v>45693</v>
      </c>
      <c r="B39" s="90">
        <f>'Daily Data'!B39</f>
        <v/>
      </c>
      <c r="C39" s="90">
        <f>'Daily Data'!D39</f>
        <v/>
      </c>
      <c r="D39" s="90">
        <f>'Daily Data'!C39</f>
        <v/>
      </c>
      <c r="E39" s="90">
        <f>IF('Daily Data'!E39="","",'Daily Data'!E39)</f>
        <v/>
      </c>
      <c r="F39" s="90">
        <f>IF($E39="","",'Daily Data'!F39)</f>
        <v/>
      </c>
      <c r="G39" s="90">
        <f>IF($E39="","",'Daily Data'!G39)</f>
        <v/>
      </c>
      <c r="H39" s="91">
        <f>IF($E39="","",(1-K39)*F39-G39)</f>
        <v/>
      </c>
      <c r="I39" s="90">
        <f>IF($E39="","",'Daily Data'!H39)</f>
        <v/>
      </c>
      <c r="J39" s="91">
        <f>IF($E39="","",E39-H39-I39)</f>
        <v/>
      </c>
      <c r="K39" s="60">
        <f>IF($E39="","",IF(A39&lt;HLP_ChangeDate,HLP_Legacy,HLP_Current))</f>
        <v/>
      </c>
      <c r="L39" s="91">
        <f>IF($E39="","",J39/(1-K39))</f>
        <v/>
      </c>
      <c r="M39" s="90">
        <f>IF($E39="","",'Daily Data'!I39)</f>
        <v/>
      </c>
      <c r="N39" s="91">
        <f>IF($E39="","",M39*(1-K39)-I39)</f>
        <v/>
      </c>
      <c r="O39" s="92" t="inlineStr"/>
      <c r="P39" s="93">
        <f>IF($E39="","",(L39+F39+M39)*K39)</f>
        <v/>
      </c>
      <c r="Q39" s="91">
        <f>IF($E39="","",L39*K39)</f>
        <v/>
      </c>
      <c r="R39" s="91">
        <f>IF($E39="","",F39*K39)</f>
        <v/>
      </c>
      <c r="S39" s="91">
        <f>IF($E39="","",M39*K39)</f>
        <v/>
      </c>
      <c r="T39" s="63">
        <f>IF(OR($E39="",B39=0),"",L39/B39*10000)</f>
        <v/>
      </c>
      <c r="U39" s="63">
        <f>IF(OR($E39="",C39=0),"",F39/C39*10000)</f>
        <v/>
      </c>
      <c r="V39" s="63">
        <f>IF(OR($E39="",D39=0),"",M39/D39*10000)</f>
        <v/>
      </c>
    </row>
    <row r="40">
      <c r="A40" s="35" t="n">
        <v>45694</v>
      </c>
      <c r="B40" s="90">
        <f>'Daily Data'!B40</f>
        <v/>
      </c>
      <c r="C40" s="90">
        <f>'Daily Data'!D40</f>
        <v/>
      </c>
      <c r="D40" s="90">
        <f>'Daily Data'!C40</f>
        <v/>
      </c>
      <c r="E40" s="90">
        <f>IF('Daily Data'!E40="","",'Daily Data'!E40)</f>
        <v/>
      </c>
      <c r="F40" s="90">
        <f>IF($E40="","",'Daily Data'!F40)</f>
        <v/>
      </c>
      <c r="G40" s="90">
        <f>IF($E40="","",'Daily Data'!G40)</f>
        <v/>
      </c>
      <c r="H40" s="91">
        <f>IF($E40="","",(1-K40)*F40-G40)</f>
        <v/>
      </c>
      <c r="I40" s="90">
        <f>IF($E40="","",'Daily Data'!H40)</f>
        <v/>
      </c>
      <c r="J40" s="91">
        <f>IF($E40="","",E40-H40-I40)</f>
        <v/>
      </c>
      <c r="K40" s="60">
        <f>IF($E40="","",IF(A40&lt;HLP_ChangeDate,HLP_Legacy,HLP_Current))</f>
        <v/>
      </c>
      <c r="L40" s="91">
        <f>IF($E40="","",J40/(1-K40))</f>
        <v/>
      </c>
      <c r="M40" s="90">
        <f>IF($E40="","",'Daily Data'!I40)</f>
        <v/>
      </c>
      <c r="N40" s="91">
        <f>IF($E40="","",M40*(1-K40)-I40)</f>
        <v/>
      </c>
      <c r="O40" s="92" t="inlineStr"/>
      <c r="P40" s="93">
        <f>IF($E40="","",(L40+F40+M40)*K40)</f>
        <v/>
      </c>
      <c r="Q40" s="91">
        <f>IF($E40="","",L40*K40)</f>
        <v/>
      </c>
      <c r="R40" s="91">
        <f>IF($E40="","",F40*K40)</f>
        <v/>
      </c>
      <c r="S40" s="91">
        <f>IF($E40="","",M40*K40)</f>
        <v/>
      </c>
      <c r="T40" s="63">
        <f>IF(OR($E40="",B40=0),"",L40/B40*10000)</f>
        <v/>
      </c>
      <c r="U40" s="63">
        <f>IF(OR($E40="",C40=0),"",F40/C40*10000)</f>
        <v/>
      </c>
      <c r="V40" s="63">
        <f>IF(OR($E40="",D40=0),"",M40/D40*10000)</f>
        <v/>
      </c>
    </row>
    <row r="41">
      <c r="A41" s="35" t="n">
        <v>45695</v>
      </c>
      <c r="B41" s="90">
        <f>'Daily Data'!B41</f>
        <v/>
      </c>
      <c r="C41" s="90">
        <f>'Daily Data'!D41</f>
        <v/>
      </c>
      <c r="D41" s="90">
        <f>'Daily Data'!C41</f>
        <v/>
      </c>
      <c r="E41" s="90">
        <f>IF('Daily Data'!E41="","",'Daily Data'!E41)</f>
        <v/>
      </c>
      <c r="F41" s="90">
        <f>IF($E41="","",'Daily Data'!F41)</f>
        <v/>
      </c>
      <c r="G41" s="90">
        <f>IF($E41="","",'Daily Data'!G41)</f>
        <v/>
      </c>
      <c r="H41" s="91">
        <f>IF($E41="","",(1-K41)*F41-G41)</f>
        <v/>
      </c>
      <c r="I41" s="90">
        <f>IF($E41="","",'Daily Data'!H41)</f>
        <v/>
      </c>
      <c r="J41" s="91">
        <f>IF($E41="","",E41-H41-I41)</f>
        <v/>
      </c>
      <c r="K41" s="60">
        <f>IF($E41="","",IF(A41&lt;HLP_ChangeDate,HLP_Legacy,HLP_Current))</f>
        <v/>
      </c>
      <c r="L41" s="91">
        <f>IF($E41="","",J41/(1-K41))</f>
        <v/>
      </c>
      <c r="M41" s="90">
        <f>IF($E41="","",'Daily Data'!I41)</f>
        <v/>
      </c>
      <c r="N41" s="91">
        <f>IF($E41="","",M41*(1-K41)-I41)</f>
        <v/>
      </c>
      <c r="O41" s="92" t="inlineStr"/>
      <c r="P41" s="93">
        <f>IF($E41="","",(L41+F41+M41)*K41)</f>
        <v/>
      </c>
      <c r="Q41" s="91">
        <f>IF($E41="","",L41*K41)</f>
        <v/>
      </c>
      <c r="R41" s="91">
        <f>IF($E41="","",F41*K41)</f>
        <v/>
      </c>
      <c r="S41" s="91">
        <f>IF($E41="","",M41*K41)</f>
        <v/>
      </c>
      <c r="T41" s="63">
        <f>IF(OR($E41="",B41=0),"",L41/B41*10000)</f>
        <v/>
      </c>
      <c r="U41" s="63">
        <f>IF(OR($E41="",C41=0),"",F41/C41*10000)</f>
        <v/>
      </c>
      <c r="V41" s="63">
        <f>IF(OR($E41="",D41=0),"",M41/D41*10000)</f>
        <v/>
      </c>
    </row>
    <row r="42">
      <c r="A42" s="35" t="n">
        <v>45696</v>
      </c>
      <c r="B42" s="90">
        <f>'Daily Data'!B42</f>
        <v/>
      </c>
      <c r="C42" s="90">
        <f>'Daily Data'!D42</f>
        <v/>
      </c>
      <c r="D42" s="90">
        <f>'Daily Data'!C42</f>
        <v/>
      </c>
      <c r="E42" s="90">
        <f>IF('Daily Data'!E42="","",'Daily Data'!E42)</f>
        <v/>
      </c>
      <c r="F42" s="90">
        <f>IF($E42="","",'Daily Data'!F42)</f>
        <v/>
      </c>
      <c r="G42" s="90">
        <f>IF($E42="","",'Daily Data'!G42)</f>
        <v/>
      </c>
      <c r="H42" s="91">
        <f>IF($E42="","",(1-K42)*F42-G42)</f>
        <v/>
      </c>
      <c r="I42" s="90">
        <f>IF($E42="","",'Daily Data'!H42)</f>
        <v/>
      </c>
      <c r="J42" s="91">
        <f>IF($E42="","",E42-H42-I42)</f>
        <v/>
      </c>
      <c r="K42" s="60">
        <f>IF($E42="","",IF(A42&lt;HLP_ChangeDate,HLP_Legacy,HLP_Current))</f>
        <v/>
      </c>
      <c r="L42" s="91">
        <f>IF($E42="","",J42/(1-K42))</f>
        <v/>
      </c>
      <c r="M42" s="90">
        <f>IF($E42="","",'Daily Data'!I42)</f>
        <v/>
      </c>
      <c r="N42" s="91">
        <f>IF($E42="","",M42*(1-K42)-I42)</f>
        <v/>
      </c>
      <c r="O42" s="92" t="inlineStr"/>
      <c r="P42" s="93">
        <f>IF($E42="","",(L42+F42+M42)*K42)</f>
        <v/>
      </c>
      <c r="Q42" s="91">
        <f>IF($E42="","",L42*K42)</f>
        <v/>
      </c>
      <c r="R42" s="91">
        <f>IF($E42="","",F42*K42)</f>
        <v/>
      </c>
      <c r="S42" s="91">
        <f>IF($E42="","",M42*K42)</f>
        <v/>
      </c>
      <c r="T42" s="63">
        <f>IF(OR($E42="",B42=0),"",L42/B42*10000)</f>
        <v/>
      </c>
      <c r="U42" s="63">
        <f>IF(OR($E42="",C42=0),"",F42/C42*10000)</f>
        <v/>
      </c>
      <c r="V42" s="63">
        <f>IF(OR($E42="",D42=0),"",M42/D42*10000)</f>
        <v/>
      </c>
    </row>
    <row r="43">
      <c r="A43" s="35" t="n">
        <v>45697</v>
      </c>
      <c r="B43" s="90">
        <f>'Daily Data'!B43</f>
        <v/>
      </c>
      <c r="C43" s="90">
        <f>'Daily Data'!D43</f>
        <v/>
      </c>
      <c r="D43" s="90">
        <f>'Daily Data'!C43</f>
        <v/>
      </c>
      <c r="E43" s="90">
        <f>IF('Daily Data'!E43="","",'Daily Data'!E43)</f>
        <v/>
      </c>
      <c r="F43" s="90">
        <f>IF($E43="","",'Daily Data'!F43)</f>
        <v/>
      </c>
      <c r="G43" s="90">
        <f>IF($E43="","",'Daily Data'!G43)</f>
        <v/>
      </c>
      <c r="H43" s="91">
        <f>IF($E43="","",(1-K43)*F43-G43)</f>
        <v/>
      </c>
      <c r="I43" s="90">
        <f>IF($E43="","",'Daily Data'!H43)</f>
        <v/>
      </c>
      <c r="J43" s="91">
        <f>IF($E43="","",E43-H43-I43)</f>
        <v/>
      </c>
      <c r="K43" s="60">
        <f>IF($E43="","",IF(A43&lt;HLP_ChangeDate,HLP_Legacy,HLP_Current))</f>
        <v/>
      </c>
      <c r="L43" s="91">
        <f>IF($E43="","",J43/(1-K43))</f>
        <v/>
      </c>
      <c r="M43" s="90">
        <f>IF($E43="","",'Daily Data'!I43)</f>
        <v/>
      </c>
      <c r="N43" s="91">
        <f>IF($E43="","",M43*(1-K43)-I43)</f>
        <v/>
      </c>
      <c r="O43" s="92" t="inlineStr"/>
      <c r="P43" s="93">
        <f>IF($E43="","",(L43+F43+M43)*K43)</f>
        <v/>
      </c>
      <c r="Q43" s="91">
        <f>IF($E43="","",L43*K43)</f>
        <v/>
      </c>
      <c r="R43" s="91">
        <f>IF($E43="","",F43*K43)</f>
        <v/>
      </c>
      <c r="S43" s="91">
        <f>IF($E43="","",M43*K43)</f>
        <v/>
      </c>
      <c r="T43" s="63">
        <f>IF(OR($E43="",B43=0),"",L43/B43*10000)</f>
        <v/>
      </c>
      <c r="U43" s="63">
        <f>IF(OR($E43="",C43=0),"",F43/C43*10000)</f>
        <v/>
      </c>
      <c r="V43" s="63">
        <f>IF(OR($E43="",D43=0),"",M43/D43*10000)</f>
        <v/>
      </c>
    </row>
    <row r="44">
      <c r="A44" s="35" t="n">
        <v>45698</v>
      </c>
      <c r="B44" s="90">
        <f>'Daily Data'!B44</f>
        <v/>
      </c>
      <c r="C44" s="90">
        <f>'Daily Data'!D44</f>
        <v/>
      </c>
      <c r="D44" s="90">
        <f>'Daily Data'!C44</f>
        <v/>
      </c>
      <c r="E44" s="90">
        <f>IF('Daily Data'!E44="","",'Daily Data'!E44)</f>
        <v/>
      </c>
      <c r="F44" s="90">
        <f>IF($E44="","",'Daily Data'!F44)</f>
        <v/>
      </c>
      <c r="G44" s="90">
        <f>IF($E44="","",'Daily Data'!G44)</f>
        <v/>
      </c>
      <c r="H44" s="91">
        <f>IF($E44="","",(1-K44)*F44-G44)</f>
        <v/>
      </c>
      <c r="I44" s="90">
        <f>IF($E44="","",'Daily Data'!H44)</f>
        <v/>
      </c>
      <c r="J44" s="91">
        <f>IF($E44="","",E44-H44-I44)</f>
        <v/>
      </c>
      <c r="K44" s="60">
        <f>IF($E44="","",IF(A44&lt;HLP_ChangeDate,HLP_Legacy,HLP_Current))</f>
        <v/>
      </c>
      <c r="L44" s="91">
        <f>IF($E44="","",J44/(1-K44))</f>
        <v/>
      </c>
      <c r="M44" s="90">
        <f>IF($E44="","",'Daily Data'!I44)</f>
        <v/>
      </c>
      <c r="N44" s="91">
        <f>IF($E44="","",M44*(1-K44)-I44)</f>
        <v/>
      </c>
      <c r="O44" s="92" t="inlineStr"/>
      <c r="P44" s="93">
        <f>IF($E44="","",(L44+F44+M44)*K44)</f>
        <v/>
      </c>
      <c r="Q44" s="91">
        <f>IF($E44="","",L44*K44)</f>
        <v/>
      </c>
      <c r="R44" s="91">
        <f>IF($E44="","",F44*K44)</f>
        <v/>
      </c>
      <c r="S44" s="91">
        <f>IF($E44="","",M44*K44)</f>
        <v/>
      </c>
      <c r="T44" s="63">
        <f>IF(OR($E44="",B44=0),"",L44/B44*10000)</f>
        <v/>
      </c>
      <c r="U44" s="63">
        <f>IF(OR($E44="",C44=0),"",F44/C44*10000)</f>
        <v/>
      </c>
      <c r="V44" s="63">
        <f>IF(OR($E44="",D44=0),"",M44/D44*10000)</f>
        <v/>
      </c>
    </row>
    <row r="45">
      <c r="A45" s="35" t="n">
        <v>45699</v>
      </c>
      <c r="B45" s="90">
        <f>'Daily Data'!B45</f>
        <v/>
      </c>
      <c r="C45" s="90">
        <f>'Daily Data'!D45</f>
        <v/>
      </c>
      <c r="D45" s="90">
        <f>'Daily Data'!C45</f>
        <v/>
      </c>
      <c r="E45" s="90">
        <f>IF('Daily Data'!E45="","",'Daily Data'!E45)</f>
        <v/>
      </c>
      <c r="F45" s="90">
        <f>IF($E45="","",'Daily Data'!F45)</f>
        <v/>
      </c>
      <c r="G45" s="90">
        <f>IF($E45="","",'Daily Data'!G45)</f>
        <v/>
      </c>
      <c r="H45" s="91">
        <f>IF($E45="","",(1-K45)*F45-G45)</f>
        <v/>
      </c>
      <c r="I45" s="90">
        <f>IF($E45="","",'Daily Data'!H45)</f>
        <v/>
      </c>
      <c r="J45" s="91">
        <f>IF($E45="","",E45-H45-I45)</f>
        <v/>
      </c>
      <c r="K45" s="60">
        <f>IF($E45="","",IF(A45&lt;HLP_ChangeDate,HLP_Legacy,HLP_Current))</f>
        <v/>
      </c>
      <c r="L45" s="91">
        <f>IF($E45="","",J45/(1-K45))</f>
        <v/>
      </c>
      <c r="M45" s="90">
        <f>IF($E45="","",'Daily Data'!I45)</f>
        <v/>
      </c>
      <c r="N45" s="91">
        <f>IF($E45="","",M45*(1-K45)-I45)</f>
        <v/>
      </c>
      <c r="O45" s="92" t="inlineStr"/>
      <c r="P45" s="93">
        <f>IF($E45="","",(L45+F45+M45)*K45)</f>
        <v/>
      </c>
      <c r="Q45" s="91">
        <f>IF($E45="","",L45*K45)</f>
        <v/>
      </c>
      <c r="R45" s="91">
        <f>IF($E45="","",F45*K45)</f>
        <v/>
      </c>
      <c r="S45" s="91">
        <f>IF($E45="","",M45*K45)</f>
        <v/>
      </c>
      <c r="T45" s="63">
        <f>IF(OR($E45="",B45=0),"",L45/B45*10000)</f>
        <v/>
      </c>
      <c r="U45" s="63">
        <f>IF(OR($E45="",C45=0),"",F45/C45*10000)</f>
        <v/>
      </c>
      <c r="V45" s="63">
        <f>IF(OR($E45="",D45=0),"",M45/D45*10000)</f>
        <v/>
      </c>
    </row>
    <row r="46">
      <c r="A46" s="35" t="n">
        <v>45700</v>
      </c>
      <c r="B46" s="90">
        <f>'Daily Data'!B46</f>
        <v/>
      </c>
      <c r="C46" s="90">
        <f>'Daily Data'!D46</f>
        <v/>
      </c>
      <c r="D46" s="90">
        <f>'Daily Data'!C46</f>
        <v/>
      </c>
      <c r="E46" s="90">
        <f>IF('Daily Data'!E46="","",'Daily Data'!E46)</f>
        <v/>
      </c>
      <c r="F46" s="90">
        <f>IF($E46="","",'Daily Data'!F46)</f>
        <v/>
      </c>
      <c r="G46" s="90">
        <f>IF($E46="","",'Daily Data'!G46)</f>
        <v/>
      </c>
      <c r="H46" s="91">
        <f>IF($E46="","",(1-K46)*F46-G46)</f>
        <v/>
      </c>
      <c r="I46" s="90">
        <f>IF($E46="","",'Daily Data'!H46)</f>
        <v/>
      </c>
      <c r="J46" s="91">
        <f>IF($E46="","",E46-H46-I46)</f>
        <v/>
      </c>
      <c r="K46" s="60">
        <f>IF($E46="","",IF(A46&lt;HLP_ChangeDate,HLP_Legacy,HLP_Current))</f>
        <v/>
      </c>
      <c r="L46" s="91">
        <f>IF($E46="","",J46/(1-K46))</f>
        <v/>
      </c>
      <c r="M46" s="90">
        <f>IF($E46="","",'Daily Data'!I46)</f>
        <v/>
      </c>
      <c r="N46" s="91">
        <f>IF($E46="","",M46*(1-K46)-I46)</f>
        <v/>
      </c>
      <c r="O46" s="92" t="inlineStr"/>
      <c r="P46" s="93">
        <f>IF($E46="","",(L46+F46+M46)*K46)</f>
        <v/>
      </c>
      <c r="Q46" s="91">
        <f>IF($E46="","",L46*K46)</f>
        <v/>
      </c>
      <c r="R46" s="91">
        <f>IF($E46="","",F46*K46)</f>
        <v/>
      </c>
      <c r="S46" s="91">
        <f>IF($E46="","",M46*K46)</f>
        <v/>
      </c>
      <c r="T46" s="63">
        <f>IF(OR($E46="",B46=0),"",L46/B46*10000)</f>
        <v/>
      </c>
      <c r="U46" s="63">
        <f>IF(OR($E46="",C46=0),"",F46/C46*10000)</f>
        <v/>
      </c>
      <c r="V46" s="63">
        <f>IF(OR($E46="",D46=0),"",M46/D46*10000)</f>
        <v/>
      </c>
    </row>
    <row r="47">
      <c r="A47" s="35" t="n">
        <v>45701</v>
      </c>
      <c r="B47" s="90">
        <f>'Daily Data'!B47</f>
        <v/>
      </c>
      <c r="C47" s="90">
        <f>'Daily Data'!D47</f>
        <v/>
      </c>
      <c r="D47" s="90">
        <f>'Daily Data'!C47</f>
        <v/>
      </c>
      <c r="E47" s="90">
        <f>IF('Daily Data'!E47="","",'Daily Data'!E47)</f>
        <v/>
      </c>
      <c r="F47" s="90">
        <f>IF($E47="","",'Daily Data'!F47)</f>
        <v/>
      </c>
      <c r="G47" s="90">
        <f>IF($E47="","",'Daily Data'!G47)</f>
        <v/>
      </c>
      <c r="H47" s="91">
        <f>IF($E47="","",(1-K47)*F47-G47)</f>
        <v/>
      </c>
      <c r="I47" s="90">
        <f>IF($E47="","",'Daily Data'!H47)</f>
        <v/>
      </c>
      <c r="J47" s="91">
        <f>IF($E47="","",E47-H47-I47)</f>
        <v/>
      </c>
      <c r="K47" s="60">
        <f>IF($E47="","",IF(A47&lt;HLP_ChangeDate,HLP_Legacy,HLP_Current))</f>
        <v/>
      </c>
      <c r="L47" s="91">
        <f>IF($E47="","",J47/(1-K47))</f>
        <v/>
      </c>
      <c r="M47" s="90">
        <f>IF($E47="","",'Daily Data'!I47)</f>
        <v/>
      </c>
      <c r="N47" s="91">
        <f>IF($E47="","",M47*(1-K47)-I47)</f>
        <v/>
      </c>
      <c r="O47" s="92" t="inlineStr"/>
      <c r="P47" s="93">
        <f>IF($E47="","",(L47+F47+M47)*K47)</f>
        <v/>
      </c>
      <c r="Q47" s="91">
        <f>IF($E47="","",L47*K47)</f>
        <v/>
      </c>
      <c r="R47" s="91">
        <f>IF($E47="","",F47*K47)</f>
        <v/>
      </c>
      <c r="S47" s="91">
        <f>IF($E47="","",M47*K47)</f>
        <v/>
      </c>
      <c r="T47" s="63">
        <f>IF(OR($E47="",B47=0),"",L47/B47*10000)</f>
        <v/>
      </c>
      <c r="U47" s="63">
        <f>IF(OR($E47="",C47=0),"",F47/C47*10000)</f>
        <v/>
      </c>
      <c r="V47" s="63">
        <f>IF(OR($E47="",D47=0),"",M47/D47*10000)</f>
        <v/>
      </c>
    </row>
    <row r="48">
      <c r="A48" s="35" t="n">
        <v>45702</v>
      </c>
      <c r="B48" s="90">
        <f>'Daily Data'!B48</f>
        <v/>
      </c>
      <c r="C48" s="90">
        <f>'Daily Data'!D48</f>
        <v/>
      </c>
      <c r="D48" s="90">
        <f>'Daily Data'!C48</f>
        <v/>
      </c>
      <c r="E48" s="90">
        <f>IF('Daily Data'!E48="","",'Daily Data'!E48)</f>
        <v/>
      </c>
      <c r="F48" s="90">
        <f>IF($E48="","",'Daily Data'!F48)</f>
        <v/>
      </c>
      <c r="G48" s="90">
        <f>IF($E48="","",'Daily Data'!G48)</f>
        <v/>
      </c>
      <c r="H48" s="91">
        <f>IF($E48="","",(1-K48)*F48-G48)</f>
        <v/>
      </c>
      <c r="I48" s="90">
        <f>IF($E48="","",'Daily Data'!H48)</f>
        <v/>
      </c>
      <c r="J48" s="91">
        <f>IF($E48="","",E48-H48-I48)</f>
        <v/>
      </c>
      <c r="K48" s="60">
        <f>IF($E48="","",IF(A48&lt;HLP_ChangeDate,HLP_Legacy,HLP_Current))</f>
        <v/>
      </c>
      <c r="L48" s="91">
        <f>IF($E48="","",J48/(1-K48))</f>
        <v/>
      </c>
      <c r="M48" s="90">
        <f>IF($E48="","",'Daily Data'!I48)</f>
        <v/>
      </c>
      <c r="N48" s="91">
        <f>IF($E48="","",M48*(1-K48)-I48)</f>
        <v/>
      </c>
      <c r="O48" s="92" t="inlineStr"/>
      <c r="P48" s="93">
        <f>IF($E48="","",(L48+F48+M48)*K48)</f>
        <v/>
      </c>
      <c r="Q48" s="91">
        <f>IF($E48="","",L48*K48)</f>
        <v/>
      </c>
      <c r="R48" s="91">
        <f>IF($E48="","",F48*K48)</f>
        <v/>
      </c>
      <c r="S48" s="91">
        <f>IF($E48="","",M48*K48)</f>
        <v/>
      </c>
      <c r="T48" s="63">
        <f>IF(OR($E48="",B48=0),"",L48/B48*10000)</f>
        <v/>
      </c>
      <c r="U48" s="63">
        <f>IF(OR($E48="",C48=0),"",F48/C48*10000)</f>
        <v/>
      </c>
      <c r="V48" s="63">
        <f>IF(OR($E48="",D48=0),"",M48/D48*10000)</f>
        <v/>
      </c>
    </row>
    <row r="49">
      <c r="A49" s="35" t="n">
        <v>45703</v>
      </c>
      <c r="B49" s="90">
        <f>'Daily Data'!B49</f>
        <v/>
      </c>
      <c r="C49" s="90">
        <f>'Daily Data'!D49</f>
        <v/>
      </c>
      <c r="D49" s="90">
        <f>'Daily Data'!C49</f>
        <v/>
      </c>
      <c r="E49" s="90">
        <f>IF('Daily Data'!E49="","",'Daily Data'!E49)</f>
        <v/>
      </c>
      <c r="F49" s="90">
        <f>IF($E49="","",'Daily Data'!F49)</f>
        <v/>
      </c>
      <c r="G49" s="90">
        <f>IF($E49="","",'Daily Data'!G49)</f>
        <v/>
      </c>
      <c r="H49" s="91">
        <f>IF($E49="","",(1-K49)*F49-G49)</f>
        <v/>
      </c>
      <c r="I49" s="90">
        <f>IF($E49="","",'Daily Data'!H49)</f>
        <v/>
      </c>
      <c r="J49" s="91">
        <f>IF($E49="","",E49-H49-I49)</f>
        <v/>
      </c>
      <c r="K49" s="60">
        <f>IF($E49="","",IF(A49&lt;HLP_ChangeDate,HLP_Legacy,HLP_Current))</f>
        <v/>
      </c>
      <c r="L49" s="91">
        <f>IF($E49="","",J49/(1-K49))</f>
        <v/>
      </c>
      <c r="M49" s="90">
        <f>IF($E49="","",'Daily Data'!I49)</f>
        <v/>
      </c>
      <c r="N49" s="91">
        <f>IF($E49="","",M49*(1-K49)-I49)</f>
        <v/>
      </c>
      <c r="O49" s="92" t="inlineStr"/>
      <c r="P49" s="93">
        <f>IF($E49="","",(L49+F49+M49)*K49)</f>
        <v/>
      </c>
      <c r="Q49" s="91">
        <f>IF($E49="","",L49*K49)</f>
        <v/>
      </c>
      <c r="R49" s="91">
        <f>IF($E49="","",F49*K49)</f>
        <v/>
      </c>
      <c r="S49" s="91">
        <f>IF($E49="","",M49*K49)</f>
        <v/>
      </c>
      <c r="T49" s="63">
        <f>IF(OR($E49="",B49=0),"",L49/B49*10000)</f>
        <v/>
      </c>
      <c r="U49" s="63">
        <f>IF(OR($E49="",C49=0),"",F49/C49*10000)</f>
        <v/>
      </c>
      <c r="V49" s="63">
        <f>IF(OR($E49="",D49=0),"",M49/D49*10000)</f>
        <v/>
      </c>
    </row>
    <row r="50">
      <c r="A50" s="35" t="n">
        <v>45704</v>
      </c>
      <c r="B50" s="90">
        <f>'Daily Data'!B50</f>
        <v/>
      </c>
      <c r="C50" s="90">
        <f>'Daily Data'!D50</f>
        <v/>
      </c>
      <c r="D50" s="90">
        <f>'Daily Data'!C50</f>
        <v/>
      </c>
      <c r="E50" s="90">
        <f>IF('Daily Data'!E50="","",'Daily Data'!E50)</f>
        <v/>
      </c>
      <c r="F50" s="90">
        <f>IF($E50="","",'Daily Data'!F50)</f>
        <v/>
      </c>
      <c r="G50" s="90">
        <f>IF($E50="","",'Daily Data'!G50)</f>
        <v/>
      </c>
      <c r="H50" s="91">
        <f>IF($E50="","",(1-K50)*F50-G50)</f>
        <v/>
      </c>
      <c r="I50" s="90">
        <f>IF($E50="","",'Daily Data'!H50)</f>
        <v/>
      </c>
      <c r="J50" s="91">
        <f>IF($E50="","",E50-H50-I50)</f>
        <v/>
      </c>
      <c r="K50" s="60">
        <f>IF($E50="","",IF(A50&lt;HLP_ChangeDate,HLP_Legacy,HLP_Current))</f>
        <v/>
      </c>
      <c r="L50" s="91">
        <f>IF($E50="","",J50/(1-K50))</f>
        <v/>
      </c>
      <c r="M50" s="90">
        <f>IF($E50="","",'Daily Data'!I50)</f>
        <v/>
      </c>
      <c r="N50" s="91">
        <f>IF($E50="","",M50*(1-K50)-I50)</f>
        <v/>
      </c>
      <c r="O50" s="92" t="inlineStr"/>
      <c r="P50" s="93">
        <f>IF($E50="","",(L50+F50+M50)*K50)</f>
        <v/>
      </c>
      <c r="Q50" s="91">
        <f>IF($E50="","",L50*K50)</f>
        <v/>
      </c>
      <c r="R50" s="91">
        <f>IF($E50="","",F50*K50)</f>
        <v/>
      </c>
      <c r="S50" s="91">
        <f>IF($E50="","",M50*K50)</f>
        <v/>
      </c>
      <c r="T50" s="63">
        <f>IF(OR($E50="",B50=0),"",L50/B50*10000)</f>
        <v/>
      </c>
      <c r="U50" s="63">
        <f>IF(OR($E50="",C50=0),"",F50/C50*10000)</f>
        <v/>
      </c>
      <c r="V50" s="63">
        <f>IF(OR($E50="",D50=0),"",M50/D50*10000)</f>
        <v/>
      </c>
    </row>
    <row r="51">
      <c r="A51" s="35" t="n">
        <v>45705</v>
      </c>
      <c r="B51" s="90">
        <f>'Daily Data'!B51</f>
        <v/>
      </c>
      <c r="C51" s="90">
        <f>'Daily Data'!D51</f>
        <v/>
      </c>
      <c r="D51" s="90">
        <f>'Daily Data'!C51</f>
        <v/>
      </c>
      <c r="E51" s="90">
        <f>IF('Daily Data'!E51="","",'Daily Data'!E51)</f>
        <v/>
      </c>
      <c r="F51" s="90">
        <f>IF($E51="","",'Daily Data'!F51)</f>
        <v/>
      </c>
      <c r="G51" s="90">
        <f>IF($E51="","",'Daily Data'!G51)</f>
        <v/>
      </c>
      <c r="H51" s="91">
        <f>IF($E51="","",(1-K51)*F51-G51)</f>
        <v/>
      </c>
      <c r="I51" s="90">
        <f>IF($E51="","",'Daily Data'!H51)</f>
        <v/>
      </c>
      <c r="J51" s="91">
        <f>IF($E51="","",E51-H51-I51)</f>
        <v/>
      </c>
      <c r="K51" s="60">
        <f>IF($E51="","",IF(A51&lt;HLP_ChangeDate,HLP_Legacy,HLP_Current))</f>
        <v/>
      </c>
      <c r="L51" s="91">
        <f>IF($E51="","",J51/(1-K51))</f>
        <v/>
      </c>
      <c r="M51" s="90">
        <f>IF($E51="","",'Daily Data'!I51)</f>
        <v/>
      </c>
      <c r="N51" s="91">
        <f>IF($E51="","",M51*(1-K51)-I51)</f>
        <v/>
      </c>
      <c r="O51" s="92" t="inlineStr"/>
      <c r="P51" s="93">
        <f>IF($E51="","",(L51+F51+M51)*K51)</f>
        <v/>
      </c>
      <c r="Q51" s="91">
        <f>IF($E51="","",L51*K51)</f>
        <v/>
      </c>
      <c r="R51" s="91">
        <f>IF($E51="","",F51*K51)</f>
        <v/>
      </c>
      <c r="S51" s="91">
        <f>IF($E51="","",M51*K51)</f>
        <v/>
      </c>
      <c r="T51" s="63">
        <f>IF(OR($E51="",B51=0),"",L51/B51*10000)</f>
        <v/>
      </c>
      <c r="U51" s="63">
        <f>IF(OR($E51="",C51=0),"",F51/C51*10000)</f>
        <v/>
      </c>
      <c r="V51" s="63">
        <f>IF(OR($E51="",D51=0),"",M51/D51*10000)</f>
        <v/>
      </c>
    </row>
    <row r="52">
      <c r="A52" s="35" t="n">
        <v>45706</v>
      </c>
      <c r="B52" s="90">
        <f>'Daily Data'!B52</f>
        <v/>
      </c>
      <c r="C52" s="90">
        <f>'Daily Data'!D52</f>
        <v/>
      </c>
      <c r="D52" s="90">
        <f>'Daily Data'!C52</f>
        <v/>
      </c>
      <c r="E52" s="90">
        <f>IF('Daily Data'!E52="","",'Daily Data'!E52)</f>
        <v/>
      </c>
      <c r="F52" s="90">
        <f>IF($E52="","",'Daily Data'!F52)</f>
        <v/>
      </c>
      <c r="G52" s="90">
        <f>IF($E52="","",'Daily Data'!G52)</f>
        <v/>
      </c>
      <c r="H52" s="91">
        <f>IF($E52="","",(1-K52)*F52-G52)</f>
        <v/>
      </c>
      <c r="I52" s="90">
        <f>IF($E52="","",'Daily Data'!H52)</f>
        <v/>
      </c>
      <c r="J52" s="91">
        <f>IF($E52="","",E52-H52-I52)</f>
        <v/>
      </c>
      <c r="K52" s="60">
        <f>IF($E52="","",IF(A52&lt;HLP_ChangeDate,HLP_Legacy,HLP_Current))</f>
        <v/>
      </c>
      <c r="L52" s="91">
        <f>IF($E52="","",J52/(1-K52))</f>
        <v/>
      </c>
      <c r="M52" s="90">
        <f>IF($E52="","",'Daily Data'!I52)</f>
        <v/>
      </c>
      <c r="N52" s="91">
        <f>IF($E52="","",M52*(1-K52)-I52)</f>
        <v/>
      </c>
      <c r="O52" s="92" t="inlineStr"/>
      <c r="P52" s="93">
        <f>IF($E52="","",(L52+F52+M52)*K52)</f>
        <v/>
      </c>
      <c r="Q52" s="91">
        <f>IF($E52="","",L52*K52)</f>
        <v/>
      </c>
      <c r="R52" s="91">
        <f>IF($E52="","",F52*K52)</f>
        <v/>
      </c>
      <c r="S52" s="91">
        <f>IF($E52="","",M52*K52)</f>
        <v/>
      </c>
      <c r="T52" s="63">
        <f>IF(OR($E52="",B52=0),"",L52/B52*10000)</f>
        <v/>
      </c>
      <c r="U52" s="63">
        <f>IF(OR($E52="",C52=0),"",F52/C52*10000)</f>
        <v/>
      </c>
      <c r="V52" s="63">
        <f>IF(OR($E52="",D52=0),"",M52/D52*10000)</f>
        <v/>
      </c>
    </row>
    <row r="53">
      <c r="A53" s="35" t="n">
        <v>45707</v>
      </c>
      <c r="B53" s="90">
        <f>'Daily Data'!B53</f>
        <v/>
      </c>
      <c r="C53" s="90">
        <f>'Daily Data'!D53</f>
        <v/>
      </c>
      <c r="D53" s="90">
        <f>'Daily Data'!C53</f>
        <v/>
      </c>
      <c r="E53" s="90">
        <f>IF('Daily Data'!E53="","",'Daily Data'!E53)</f>
        <v/>
      </c>
      <c r="F53" s="90">
        <f>IF($E53="","",'Daily Data'!F53)</f>
        <v/>
      </c>
      <c r="G53" s="90">
        <f>IF($E53="","",'Daily Data'!G53)</f>
        <v/>
      </c>
      <c r="H53" s="91">
        <f>IF($E53="","",(1-K53)*F53-G53)</f>
        <v/>
      </c>
      <c r="I53" s="90">
        <f>IF($E53="","",'Daily Data'!H53)</f>
        <v/>
      </c>
      <c r="J53" s="91">
        <f>IF($E53="","",E53-H53-I53)</f>
        <v/>
      </c>
      <c r="K53" s="60">
        <f>IF($E53="","",IF(A53&lt;HLP_ChangeDate,HLP_Legacy,HLP_Current))</f>
        <v/>
      </c>
      <c r="L53" s="91">
        <f>IF($E53="","",J53/(1-K53))</f>
        <v/>
      </c>
      <c r="M53" s="90">
        <f>IF($E53="","",'Daily Data'!I53)</f>
        <v/>
      </c>
      <c r="N53" s="91">
        <f>IF($E53="","",M53*(1-K53)-I53)</f>
        <v/>
      </c>
      <c r="O53" s="92" t="inlineStr"/>
      <c r="P53" s="93">
        <f>IF($E53="","",(L53+F53+M53)*K53)</f>
        <v/>
      </c>
      <c r="Q53" s="91">
        <f>IF($E53="","",L53*K53)</f>
        <v/>
      </c>
      <c r="R53" s="91">
        <f>IF($E53="","",F53*K53)</f>
        <v/>
      </c>
      <c r="S53" s="91">
        <f>IF($E53="","",M53*K53)</f>
        <v/>
      </c>
      <c r="T53" s="63">
        <f>IF(OR($E53="",B53=0),"",L53/B53*10000)</f>
        <v/>
      </c>
      <c r="U53" s="63">
        <f>IF(OR($E53="",C53=0),"",F53/C53*10000)</f>
        <v/>
      </c>
      <c r="V53" s="63">
        <f>IF(OR($E53="",D53=0),"",M53/D53*10000)</f>
        <v/>
      </c>
    </row>
    <row r="54">
      <c r="A54" s="35" t="n">
        <v>45708</v>
      </c>
      <c r="B54" s="90">
        <f>'Daily Data'!B54</f>
        <v/>
      </c>
      <c r="C54" s="90">
        <f>'Daily Data'!D54</f>
        <v/>
      </c>
      <c r="D54" s="90">
        <f>'Daily Data'!C54</f>
        <v/>
      </c>
      <c r="E54" s="90">
        <f>IF('Daily Data'!E54="","",'Daily Data'!E54)</f>
        <v/>
      </c>
      <c r="F54" s="90">
        <f>IF($E54="","",'Daily Data'!F54)</f>
        <v/>
      </c>
      <c r="G54" s="90">
        <f>IF($E54="","",'Daily Data'!G54)</f>
        <v/>
      </c>
      <c r="H54" s="91">
        <f>IF($E54="","",(1-K54)*F54-G54)</f>
        <v/>
      </c>
      <c r="I54" s="90">
        <f>IF($E54="","",'Daily Data'!H54)</f>
        <v/>
      </c>
      <c r="J54" s="91">
        <f>IF($E54="","",E54-H54-I54)</f>
        <v/>
      </c>
      <c r="K54" s="60">
        <f>IF($E54="","",IF(A54&lt;HLP_ChangeDate,HLP_Legacy,HLP_Current))</f>
        <v/>
      </c>
      <c r="L54" s="91">
        <f>IF($E54="","",J54/(1-K54))</f>
        <v/>
      </c>
      <c r="M54" s="90">
        <f>IF($E54="","",'Daily Data'!I54)</f>
        <v/>
      </c>
      <c r="N54" s="91">
        <f>IF($E54="","",M54*(1-K54)-I54)</f>
        <v/>
      </c>
      <c r="O54" s="92" t="inlineStr"/>
      <c r="P54" s="93">
        <f>IF($E54="","",(L54+F54+M54)*K54)</f>
        <v/>
      </c>
      <c r="Q54" s="91">
        <f>IF($E54="","",L54*K54)</f>
        <v/>
      </c>
      <c r="R54" s="91">
        <f>IF($E54="","",F54*K54)</f>
        <v/>
      </c>
      <c r="S54" s="91">
        <f>IF($E54="","",M54*K54)</f>
        <v/>
      </c>
      <c r="T54" s="63">
        <f>IF(OR($E54="",B54=0),"",L54/B54*10000)</f>
        <v/>
      </c>
      <c r="U54" s="63">
        <f>IF(OR($E54="",C54=0),"",F54/C54*10000)</f>
        <v/>
      </c>
      <c r="V54" s="63">
        <f>IF(OR($E54="",D54=0),"",M54/D54*10000)</f>
        <v/>
      </c>
    </row>
    <row r="55">
      <c r="A55" s="35" t="n">
        <v>45709</v>
      </c>
      <c r="B55" s="90">
        <f>'Daily Data'!B55</f>
        <v/>
      </c>
      <c r="C55" s="90">
        <f>'Daily Data'!D55</f>
        <v/>
      </c>
      <c r="D55" s="90">
        <f>'Daily Data'!C55</f>
        <v/>
      </c>
      <c r="E55" s="90">
        <f>IF('Daily Data'!E55="","",'Daily Data'!E55)</f>
        <v/>
      </c>
      <c r="F55" s="90">
        <f>IF($E55="","",'Daily Data'!F55)</f>
        <v/>
      </c>
      <c r="G55" s="90">
        <f>IF($E55="","",'Daily Data'!G55)</f>
        <v/>
      </c>
      <c r="H55" s="91">
        <f>IF($E55="","",(1-K55)*F55-G55)</f>
        <v/>
      </c>
      <c r="I55" s="90">
        <f>IF($E55="","",'Daily Data'!H55)</f>
        <v/>
      </c>
      <c r="J55" s="91">
        <f>IF($E55="","",E55-H55-I55)</f>
        <v/>
      </c>
      <c r="K55" s="60">
        <f>IF($E55="","",IF(A55&lt;HLP_ChangeDate,HLP_Legacy,HLP_Current))</f>
        <v/>
      </c>
      <c r="L55" s="91">
        <f>IF($E55="","",J55/(1-K55))</f>
        <v/>
      </c>
      <c r="M55" s="90">
        <f>IF($E55="","",'Daily Data'!I55)</f>
        <v/>
      </c>
      <c r="N55" s="91">
        <f>IF($E55="","",M55*(1-K55)-I55)</f>
        <v/>
      </c>
      <c r="O55" s="92" t="inlineStr"/>
      <c r="P55" s="93">
        <f>IF($E55="","",(L55+F55+M55)*K55)</f>
        <v/>
      </c>
      <c r="Q55" s="91">
        <f>IF($E55="","",L55*K55)</f>
        <v/>
      </c>
      <c r="R55" s="91">
        <f>IF($E55="","",F55*K55)</f>
        <v/>
      </c>
      <c r="S55" s="91">
        <f>IF($E55="","",M55*K55)</f>
        <v/>
      </c>
      <c r="T55" s="63">
        <f>IF(OR($E55="",B55=0),"",L55/B55*10000)</f>
        <v/>
      </c>
      <c r="U55" s="63">
        <f>IF(OR($E55="",C55=0),"",F55/C55*10000)</f>
        <v/>
      </c>
      <c r="V55" s="63">
        <f>IF(OR($E55="",D55=0),"",M55/D55*10000)</f>
        <v/>
      </c>
    </row>
    <row r="56">
      <c r="A56" s="35" t="n">
        <v>45710</v>
      </c>
      <c r="B56" s="90">
        <f>'Daily Data'!B56</f>
        <v/>
      </c>
      <c r="C56" s="90">
        <f>'Daily Data'!D56</f>
        <v/>
      </c>
      <c r="D56" s="90">
        <f>'Daily Data'!C56</f>
        <v/>
      </c>
      <c r="E56" s="90">
        <f>IF('Daily Data'!E56="","",'Daily Data'!E56)</f>
        <v/>
      </c>
      <c r="F56" s="90">
        <f>IF($E56="","",'Daily Data'!F56)</f>
        <v/>
      </c>
      <c r="G56" s="90">
        <f>IF($E56="","",'Daily Data'!G56)</f>
        <v/>
      </c>
      <c r="H56" s="91">
        <f>IF($E56="","",(1-K56)*F56-G56)</f>
        <v/>
      </c>
      <c r="I56" s="90">
        <f>IF($E56="","",'Daily Data'!H56)</f>
        <v/>
      </c>
      <c r="J56" s="91">
        <f>IF($E56="","",E56-H56-I56)</f>
        <v/>
      </c>
      <c r="K56" s="60">
        <f>IF($E56="","",IF(A56&lt;HLP_ChangeDate,HLP_Legacy,HLP_Current))</f>
        <v/>
      </c>
      <c r="L56" s="91">
        <f>IF($E56="","",J56/(1-K56))</f>
        <v/>
      </c>
      <c r="M56" s="90">
        <f>IF($E56="","",'Daily Data'!I56)</f>
        <v/>
      </c>
      <c r="N56" s="91">
        <f>IF($E56="","",M56*(1-K56)-I56)</f>
        <v/>
      </c>
      <c r="O56" s="92" t="inlineStr"/>
      <c r="P56" s="93">
        <f>IF($E56="","",(L56+F56+M56)*K56)</f>
        <v/>
      </c>
      <c r="Q56" s="91">
        <f>IF($E56="","",L56*K56)</f>
        <v/>
      </c>
      <c r="R56" s="91">
        <f>IF($E56="","",F56*K56)</f>
        <v/>
      </c>
      <c r="S56" s="91">
        <f>IF($E56="","",M56*K56)</f>
        <v/>
      </c>
      <c r="T56" s="63">
        <f>IF(OR($E56="",B56=0),"",L56/B56*10000)</f>
        <v/>
      </c>
      <c r="U56" s="63">
        <f>IF(OR($E56="",C56=0),"",F56/C56*10000)</f>
        <v/>
      </c>
      <c r="V56" s="63">
        <f>IF(OR($E56="",D56=0),"",M56/D56*10000)</f>
        <v/>
      </c>
    </row>
    <row r="57">
      <c r="A57" s="35" t="n">
        <v>45711</v>
      </c>
      <c r="B57" s="90">
        <f>'Daily Data'!B57</f>
        <v/>
      </c>
      <c r="C57" s="90">
        <f>'Daily Data'!D57</f>
        <v/>
      </c>
      <c r="D57" s="90">
        <f>'Daily Data'!C57</f>
        <v/>
      </c>
      <c r="E57" s="90">
        <f>IF('Daily Data'!E57="","",'Daily Data'!E57)</f>
        <v/>
      </c>
      <c r="F57" s="90">
        <f>IF($E57="","",'Daily Data'!F57)</f>
        <v/>
      </c>
      <c r="G57" s="90">
        <f>IF($E57="","",'Daily Data'!G57)</f>
        <v/>
      </c>
      <c r="H57" s="91">
        <f>IF($E57="","",(1-K57)*F57-G57)</f>
        <v/>
      </c>
      <c r="I57" s="90">
        <f>IF($E57="","",'Daily Data'!H57)</f>
        <v/>
      </c>
      <c r="J57" s="91">
        <f>IF($E57="","",E57-H57-I57)</f>
        <v/>
      </c>
      <c r="K57" s="60">
        <f>IF($E57="","",IF(A57&lt;HLP_ChangeDate,HLP_Legacy,HLP_Current))</f>
        <v/>
      </c>
      <c r="L57" s="91">
        <f>IF($E57="","",J57/(1-K57))</f>
        <v/>
      </c>
      <c r="M57" s="90">
        <f>IF($E57="","",'Daily Data'!I57)</f>
        <v/>
      </c>
      <c r="N57" s="91">
        <f>IF($E57="","",M57*(1-K57)-I57)</f>
        <v/>
      </c>
      <c r="O57" s="92" t="inlineStr"/>
      <c r="P57" s="93">
        <f>IF($E57="","",(L57+F57+M57)*K57)</f>
        <v/>
      </c>
      <c r="Q57" s="91">
        <f>IF($E57="","",L57*K57)</f>
        <v/>
      </c>
      <c r="R57" s="91">
        <f>IF($E57="","",F57*K57)</f>
        <v/>
      </c>
      <c r="S57" s="91">
        <f>IF($E57="","",M57*K57)</f>
        <v/>
      </c>
      <c r="T57" s="63">
        <f>IF(OR($E57="",B57=0),"",L57/B57*10000)</f>
        <v/>
      </c>
      <c r="U57" s="63">
        <f>IF(OR($E57="",C57=0),"",F57/C57*10000)</f>
        <v/>
      </c>
      <c r="V57" s="63">
        <f>IF(OR($E57="",D57=0),"",M57/D57*10000)</f>
        <v/>
      </c>
    </row>
    <row r="58">
      <c r="A58" s="35" t="n">
        <v>45712</v>
      </c>
      <c r="B58" s="90">
        <f>'Daily Data'!B58</f>
        <v/>
      </c>
      <c r="C58" s="90">
        <f>'Daily Data'!D58</f>
        <v/>
      </c>
      <c r="D58" s="90">
        <f>'Daily Data'!C58</f>
        <v/>
      </c>
      <c r="E58" s="90">
        <f>IF('Daily Data'!E58="","",'Daily Data'!E58)</f>
        <v/>
      </c>
      <c r="F58" s="90">
        <f>IF($E58="","",'Daily Data'!F58)</f>
        <v/>
      </c>
      <c r="G58" s="90">
        <f>IF($E58="","",'Daily Data'!G58)</f>
        <v/>
      </c>
      <c r="H58" s="91">
        <f>IF($E58="","",(1-K58)*F58-G58)</f>
        <v/>
      </c>
      <c r="I58" s="90">
        <f>IF($E58="","",'Daily Data'!H58)</f>
        <v/>
      </c>
      <c r="J58" s="91">
        <f>IF($E58="","",E58-H58-I58)</f>
        <v/>
      </c>
      <c r="K58" s="60">
        <f>IF($E58="","",IF(A58&lt;HLP_ChangeDate,HLP_Legacy,HLP_Current))</f>
        <v/>
      </c>
      <c r="L58" s="91">
        <f>IF($E58="","",J58/(1-K58))</f>
        <v/>
      </c>
      <c r="M58" s="90">
        <f>IF($E58="","",'Daily Data'!I58)</f>
        <v/>
      </c>
      <c r="N58" s="91">
        <f>IF($E58="","",M58*(1-K58)-I58)</f>
        <v/>
      </c>
      <c r="O58" s="92" t="inlineStr"/>
      <c r="P58" s="93">
        <f>IF($E58="","",(L58+F58+M58)*K58)</f>
        <v/>
      </c>
      <c r="Q58" s="91">
        <f>IF($E58="","",L58*K58)</f>
        <v/>
      </c>
      <c r="R58" s="91">
        <f>IF($E58="","",F58*K58)</f>
        <v/>
      </c>
      <c r="S58" s="91">
        <f>IF($E58="","",M58*K58)</f>
        <v/>
      </c>
      <c r="T58" s="63">
        <f>IF(OR($E58="",B58=0),"",L58/B58*10000)</f>
        <v/>
      </c>
      <c r="U58" s="63">
        <f>IF(OR($E58="",C58=0),"",F58/C58*10000)</f>
        <v/>
      </c>
      <c r="V58" s="63">
        <f>IF(OR($E58="",D58=0),"",M58/D58*10000)</f>
        <v/>
      </c>
    </row>
    <row r="59">
      <c r="A59" s="35" t="n">
        <v>45713</v>
      </c>
      <c r="B59" s="90">
        <f>'Daily Data'!B59</f>
        <v/>
      </c>
      <c r="C59" s="90">
        <f>'Daily Data'!D59</f>
        <v/>
      </c>
      <c r="D59" s="90">
        <f>'Daily Data'!C59</f>
        <v/>
      </c>
      <c r="E59" s="90">
        <f>IF('Daily Data'!E59="","",'Daily Data'!E59)</f>
        <v/>
      </c>
      <c r="F59" s="90">
        <f>IF($E59="","",'Daily Data'!F59)</f>
        <v/>
      </c>
      <c r="G59" s="90">
        <f>IF($E59="","",'Daily Data'!G59)</f>
        <v/>
      </c>
      <c r="H59" s="91">
        <f>IF($E59="","",(1-K59)*F59-G59)</f>
        <v/>
      </c>
      <c r="I59" s="90">
        <f>IF($E59="","",'Daily Data'!H59)</f>
        <v/>
      </c>
      <c r="J59" s="91">
        <f>IF($E59="","",E59-H59-I59)</f>
        <v/>
      </c>
      <c r="K59" s="60">
        <f>IF($E59="","",IF(A59&lt;HLP_ChangeDate,HLP_Legacy,HLP_Current))</f>
        <v/>
      </c>
      <c r="L59" s="91">
        <f>IF($E59="","",J59/(1-K59))</f>
        <v/>
      </c>
      <c r="M59" s="90">
        <f>IF($E59="","",'Daily Data'!I59)</f>
        <v/>
      </c>
      <c r="N59" s="91">
        <f>IF($E59="","",M59*(1-K59)-I59)</f>
        <v/>
      </c>
      <c r="O59" s="92" t="inlineStr"/>
      <c r="P59" s="93">
        <f>IF($E59="","",(L59+F59+M59)*K59)</f>
        <v/>
      </c>
      <c r="Q59" s="91">
        <f>IF($E59="","",L59*K59)</f>
        <v/>
      </c>
      <c r="R59" s="91">
        <f>IF($E59="","",F59*K59)</f>
        <v/>
      </c>
      <c r="S59" s="91">
        <f>IF($E59="","",M59*K59)</f>
        <v/>
      </c>
      <c r="T59" s="63">
        <f>IF(OR($E59="",B59=0),"",L59/B59*10000)</f>
        <v/>
      </c>
      <c r="U59" s="63">
        <f>IF(OR($E59="",C59=0),"",F59/C59*10000)</f>
        <v/>
      </c>
      <c r="V59" s="63">
        <f>IF(OR($E59="",D59=0),"",M59/D59*10000)</f>
        <v/>
      </c>
    </row>
    <row r="60">
      <c r="A60" s="35" t="n">
        <v>45714</v>
      </c>
      <c r="B60" s="90">
        <f>'Daily Data'!B60</f>
        <v/>
      </c>
      <c r="C60" s="90">
        <f>'Daily Data'!D60</f>
        <v/>
      </c>
      <c r="D60" s="90">
        <f>'Daily Data'!C60</f>
        <v/>
      </c>
      <c r="E60" s="90">
        <f>IF('Daily Data'!E60="","",'Daily Data'!E60)</f>
        <v/>
      </c>
      <c r="F60" s="90">
        <f>IF($E60="","",'Daily Data'!F60)</f>
        <v/>
      </c>
      <c r="G60" s="90">
        <f>IF($E60="","",'Daily Data'!G60)</f>
        <v/>
      </c>
      <c r="H60" s="91">
        <f>IF($E60="","",(1-K60)*F60-G60)</f>
        <v/>
      </c>
      <c r="I60" s="90">
        <f>IF($E60="","",'Daily Data'!H60)</f>
        <v/>
      </c>
      <c r="J60" s="91">
        <f>IF($E60="","",E60-H60-I60)</f>
        <v/>
      </c>
      <c r="K60" s="60">
        <f>IF($E60="","",IF(A60&lt;HLP_ChangeDate,HLP_Legacy,HLP_Current))</f>
        <v/>
      </c>
      <c r="L60" s="91">
        <f>IF($E60="","",J60/(1-K60))</f>
        <v/>
      </c>
      <c r="M60" s="90">
        <f>IF($E60="","",'Daily Data'!I60)</f>
        <v/>
      </c>
      <c r="N60" s="91">
        <f>IF($E60="","",M60*(1-K60)-I60)</f>
        <v/>
      </c>
      <c r="O60" s="92" t="inlineStr"/>
      <c r="P60" s="93">
        <f>IF($E60="","",(L60+F60+M60)*K60)</f>
        <v/>
      </c>
      <c r="Q60" s="91">
        <f>IF($E60="","",L60*K60)</f>
        <v/>
      </c>
      <c r="R60" s="91">
        <f>IF($E60="","",F60*K60)</f>
        <v/>
      </c>
      <c r="S60" s="91">
        <f>IF($E60="","",M60*K60)</f>
        <v/>
      </c>
      <c r="T60" s="63">
        <f>IF(OR($E60="",B60=0),"",L60/B60*10000)</f>
        <v/>
      </c>
      <c r="U60" s="63">
        <f>IF(OR($E60="",C60=0),"",F60/C60*10000)</f>
        <v/>
      </c>
      <c r="V60" s="63">
        <f>IF(OR($E60="",D60=0),"",M60/D60*10000)</f>
        <v/>
      </c>
    </row>
    <row r="61">
      <c r="A61" s="35" t="n">
        <v>45715</v>
      </c>
      <c r="B61" s="90">
        <f>'Daily Data'!B61</f>
        <v/>
      </c>
      <c r="C61" s="90">
        <f>'Daily Data'!D61</f>
        <v/>
      </c>
      <c r="D61" s="90">
        <f>'Daily Data'!C61</f>
        <v/>
      </c>
      <c r="E61" s="90">
        <f>IF('Daily Data'!E61="","",'Daily Data'!E61)</f>
        <v/>
      </c>
      <c r="F61" s="90">
        <f>IF($E61="","",'Daily Data'!F61)</f>
        <v/>
      </c>
      <c r="G61" s="90">
        <f>IF($E61="","",'Daily Data'!G61)</f>
        <v/>
      </c>
      <c r="H61" s="91">
        <f>IF($E61="","",(1-K61)*F61-G61)</f>
        <v/>
      </c>
      <c r="I61" s="90">
        <f>IF($E61="","",'Daily Data'!H61)</f>
        <v/>
      </c>
      <c r="J61" s="91">
        <f>IF($E61="","",E61-H61-I61)</f>
        <v/>
      </c>
      <c r="K61" s="60">
        <f>IF($E61="","",IF(A61&lt;HLP_ChangeDate,HLP_Legacy,HLP_Current))</f>
        <v/>
      </c>
      <c r="L61" s="91">
        <f>IF($E61="","",J61/(1-K61))</f>
        <v/>
      </c>
      <c r="M61" s="90">
        <f>IF($E61="","",'Daily Data'!I61)</f>
        <v/>
      </c>
      <c r="N61" s="91">
        <f>IF($E61="","",M61*(1-K61)-I61)</f>
        <v/>
      </c>
      <c r="O61" s="92" t="inlineStr"/>
      <c r="P61" s="93">
        <f>IF($E61="","",(L61+F61+M61)*K61)</f>
        <v/>
      </c>
      <c r="Q61" s="91">
        <f>IF($E61="","",L61*K61)</f>
        <v/>
      </c>
      <c r="R61" s="91">
        <f>IF($E61="","",F61*K61)</f>
        <v/>
      </c>
      <c r="S61" s="91">
        <f>IF($E61="","",M61*K61)</f>
        <v/>
      </c>
      <c r="T61" s="63">
        <f>IF(OR($E61="",B61=0),"",L61/B61*10000)</f>
        <v/>
      </c>
      <c r="U61" s="63">
        <f>IF(OR($E61="",C61=0),"",F61/C61*10000)</f>
        <v/>
      </c>
      <c r="V61" s="63">
        <f>IF(OR($E61="",D61=0),"",M61/D61*10000)</f>
        <v/>
      </c>
    </row>
    <row r="62">
      <c r="A62" s="35" t="n">
        <v>45716</v>
      </c>
      <c r="B62" s="90">
        <f>'Daily Data'!B62</f>
        <v/>
      </c>
      <c r="C62" s="90">
        <f>'Daily Data'!D62</f>
        <v/>
      </c>
      <c r="D62" s="90">
        <f>'Daily Data'!C62</f>
        <v/>
      </c>
      <c r="E62" s="90">
        <f>IF('Daily Data'!E62="","",'Daily Data'!E62)</f>
        <v/>
      </c>
      <c r="F62" s="90">
        <f>IF($E62="","",'Daily Data'!F62)</f>
        <v/>
      </c>
      <c r="G62" s="90">
        <f>IF($E62="","",'Daily Data'!G62)</f>
        <v/>
      </c>
      <c r="H62" s="91">
        <f>IF($E62="","",(1-K62)*F62-G62)</f>
        <v/>
      </c>
      <c r="I62" s="90">
        <f>IF($E62="","",'Daily Data'!H62)</f>
        <v/>
      </c>
      <c r="J62" s="91">
        <f>IF($E62="","",E62-H62-I62)</f>
        <v/>
      </c>
      <c r="K62" s="60">
        <f>IF($E62="","",IF(A62&lt;HLP_ChangeDate,HLP_Legacy,HLP_Current))</f>
        <v/>
      </c>
      <c r="L62" s="91">
        <f>IF($E62="","",J62/(1-K62))</f>
        <v/>
      </c>
      <c r="M62" s="90">
        <f>IF($E62="","",'Daily Data'!I62)</f>
        <v/>
      </c>
      <c r="N62" s="91">
        <f>IF($E62="","",M62*(1-K62)-I62)</f>
        <v/>
      </c>
      <c r="O62" s="92" t="inlineStr"/>
      <c r="P62" s="93">
        <f>IF($E62="","",(L62+F62+M62)*K62)</f>
        <v/>
      </c>
      <c r="Q62" s="91">
        <f>IF($E62="","",L62*K62)</f>
        <v/>
      </c>
      <c r="R62" s="91">
        <f>IF($E62="","",F62*K62)</f>
        <v/>
      </c>
      <c r="S62" s="91">
        <f>IF($E62="","",M62*K62)</f>
        <v/>
      </c>
      <c r="T62" s="63">
        <f>IF(OR($E62="",B62=0),"",L62/B62*10000)</f>
        <v/>
      </c>
      <c r="U62" s="63">
        <f>IF(OR($E62="",C62=0),"",F62/C62*10000)</f>
        <v/>
      </c>
      <c r="V62" s="63">
        <f>IF(OR($E62="",D62=0),"",M62/D62*10000)</f>
        <v/>
      </c>
    </row>
    <row r="63">
      <c r="A63" s="35" t="n">
        <v>45717</v>
      </c>
      <c r="B63" s="90">
        <f>'Daily Data'!B63</f>
        <v/>
      </c>
      <c r="C63" s="90">
        <f>'Daily Data'!D63</f>
        <v/>
      </c>
      <c r="D63" s="90">
        <f>'Daily Data'!C63</f>
        <v/>
      </c>
      <c r="E63" s="90">
        <f>IF('Daily Data'!E63="","",'Daily Data'!E63)</f>
        <v/>
      </c>
      <c r="F63" s="90">
        <f>IF($E63="","",'Daily Data'!F63)</f>
        <v/>
      </c>
      <c r="G63" s="90">
        <f>IF($E63="","",'Daily Data'!G63)</f>
        <v/>
      </c>
      <c r="H63" s="91">
        <f>IF($E63="","",(1-K63)*F63-G63)</f>
        <v/>
      </c>
      <c r="I63" s="90">
        <f>IF($E63="","",'Daily Data'!H63)</f>
        <v/>
      </c>
      <c r="J63" s="91">
        <f>IF($E63="","",E63-H63-I63)</f>
        <v/>
      </c>
      <c r="K63" s="60">
        <f>IF($E63="","",IF(A63&lt;HLP_ChangeDate,HLP_Legacy,HLP_Current))</f>
        <v/>
      </c>
      <c r="L63" s="91">
        <f>IF($E63="","",J63/(1-K63))</f>
        <v/>
      </c>
      <c r="M63" s="90">
        <f>IF($E63="","",'Daily Data'!I63)</f>
        <v/>
      </c>
      <c r="N63" s="91">
        <f>IF($E63="","",M63*(1-K63)-I63)</f>
        <v/>
      </c>
      <c r="O63" s="92" t="inlineStr"/>
      <c r="P63" s="93">
        <f>IF($E63="","",(L63+F63+M63)*K63)</f>
        <v/>
      </c>
      <c r="Q63" s="91">
        <f>IF($E63="","",L63*K63)</f>
        <v/>
      </c>
      <c r="R63" s="91">
        <f>IF($E63="","",F63*K63)</f>
        <v/>
      </c>
      <c r="S63" s="91">
        <f>IF($E63="","",M63*K63)</f>
        <v/>
      </c>
      <c r="T63" s="63">
        <f>IF(OR($E63="",B63=0),"",L63/B63*10000)</f>
        <v/>
      </c>
      <c r="U63" s="63">
        <f>IF(OR($E63="",C63=0),"",F63/C63*10000)</f>
        <v/>
      </c>
      <c r="V63" s="63">
        <f>IF(OR($E63="",D63=0),"",M63/D63*10000)</f>
        <v/>
      </c>
    </row>
    <row r="64">
      <c r="A64" s="35" t="n">
        <v>45718</v>
      </c>
      <c r="B64" s="90">
        <f>'Daily Data'!B64</f>
        <v/>
      </c>
      <c r="C64" s="90">
        <f>'Daily Data'!D64</f>
        <v/>
      </c>
      <c r="D64" s="90">
        <f>'Daily Data'!C64</f>
        <v/>
      </c>
      <c r="E64" s="90">
        <f>IF('Daily Data'!E64="","",'Daily Data'!E64)</f>
        <v/>
      </c>
      <c r="F64" s="90">
        <f>IF($E64="","",'Daily Data'!F64)</f>
        <v/>
      </c>
      <c r="G64" s="90">
        <f>IF($E64="","",'Daily Data'!G64)</f>
        <v/>
      </c>
      <c r="H64" s="91">
        <f>IF($E64="","",(1-K64)*F64-G64)</f>
        <v/>
      </c>
      <c r="I64" s="90">
        <f>IF($E64="","",'Daily Data'!H64)</f>
        <v/>
      </c>
      <c r="J64" s="91">
        <f>IF($E64="","",E64-H64-I64)</f>
        <v/>
      </c>
      <c r="K64" s="60">
        <f>IF($E64="","",IF(A64&lt;HLP_ChangeDate,HLP_Legacy,HLP_Current))</f>
        <v/>
      </c>
      <c r="L64" s="91">
        <f>IF($E64="","",J64/(1-K64))</f>
        <v/>
      </c>
      <c r="M64" s="90">
        <f>IF($E64="","",'Daily Data'!I64)</f>
        <v/>
      </c>
      <c r="N64" s="91">
        <f>IF($E64="","",M64*(1-K64)-I64)</f>
        <v/>
      </c>
      <c r="O64" s="92" t="inlineStr"/>
      <c r="P64" s="93">
        <f>IF($E64="","",(L64+F64+M64)*K64)</f>
        <v/>
      </c>
      <c r="Q64" s="91">
        <f>IF($E64="","",L64*K64)</f>
        <v/>
      </c>
      <c r="R64" s="91">
        <f>IF($E64="","",F64*K64)</f>
        <v/>
      </c>
      <c r="S64" s="91">
        <f>IF($E64="","",M64*K64)</f>
        <v/>
      </c>
      <c r="T64" s="63">
        <f>IF(OR($E64="",B64=0),"",L64/B64*10000)</f>
        <v/>
      </c>
      <c r="U64" s="63">
        <f>IF(OR($E64="",C64=0),"",F64/C64*10000)</f>
        <v/>
      </c>
      <c r="V64" s="63">
        <f>IF(OR($E64="",D64=0),"",M64/D64*10000)</f>
        <v/>
      </c>
    </row>
    <row r="65">
      <c r="A65" s="35" t="n">
        <v>45719</v>
      </c>
      <c r="B65" s="90">
        <f>'Daily Data'!B65</f>
        <v/>
      </c>
      <c r="C65" s="90">
        <f>'Daily Data'!D65</f>
        <v/>
      </c>
      <c r="D65" s="90">
        <f>'Daily Data'!C65</f>
        <v/>
      </c>
      <c r="E65" s="90">
        <f>IF('Daily Data'!E65="","",'Daily Data'!E65)</f>
        <v/>
      </c>
      <c r="F65" s="90">
        <f>IF($E65="","",'Daily Data'!F65)</f>
        <v/>
      </c>
      <c r="G65" s="90">
        <f>IF($E65="","",'Daily Data'!G65)</f>
        <v/>
      </c>
      <c r="H65" s="91">
        <f>IF($E65="","",(1-K65)*F65-G65)</f>
        <v/>
      </c>
      <c r="I65" s="90">
        <f>IF($E65="","",'Daily Data'!H65)</f>
        <v/>
      </c>
      <c r="J65" s="91">
        <f>IF($E65="","",E65-H65-I65)</f>
        <v/>
      </c>
      <c r="K65" s="60">
        <f>IF($E65="","",IF(A65&lt;HLP_ChangeDate,HLP_Legacy,HLP_Current))</f>
        <v/>
      </c>
      <c r="L65" s="91">
        <f>IF($E65="","",J65/(1-K65))</f>
        <v/>
      </c>
      <c r="M65" s="90">
        <f>IF($E65="","",'Daily Data'!I65)</f>
        <v/>
      </c>
      <c r="N65" s="91">
        <f>IF($E65="","",M65*(1-K65)-I65)</f>
        <v/>
      </c>
      <c r="O65" s="92" t="inlineStr"/>
      <c r="P65" s="93">
        <f>IF($E65="","",(L65+F65+M65)*K65)</f>
        <v/>
      </c>
      <c r="Q65" s="91">
        <f>IF($E65="","",L65*K65)</f>
        <v/>
      </c>
      <c r="R65" s="91">
        <f>IF($E65="","",F65*K65)</f>
        <v/>
      </c>
      <c r="S65" s="91">
        <f>IF($E65="","",M65*K65)</f>
        <v/>
      </c>
      <c r="T65" s="63">
        <f>IF(OR($E65="",B65=0),"",L65/B65*10000)</f>
        <v/>
      </c>
      <c r="U65" s="63">
        <f>IF(OR($E65="",C65=0),"",F65/C65*10000)</f>
        <v/>
      </c>
      <c r="V65" s="63">
        <f>IF(OR($E65="",D65=0),"",M65/D65*10000)</f>
        <v/>
      </c>
    </row>
    <row r="66">
      <c r="A66" s="35" t="n">
        <v>45720</v>
      </c>
      <c r="B66" s="90">
        <f>'Daily Data'!B66</f>
        <v/>
      </c>
      <c r="C66" s="90">
        <f>'Daily Data'!D66</f>
        <v/>
      </c>
      <c r="D66" s="90">
        <f>'Daily Data'!C66</f>
        <v/>
      </c>
      <c r="E66" s="90">
        <f>IF('Daily Data'!E66="","",'Daily Data'!E66)</f>
        <v/>
      </c>
      <c r="F66" s="90">
        <f>IF($E66="","",'Daily Data'!F66)</f>
        <v/>
      </c>
      <c r="G66" s="90">
        <f>IF($E66="","",'Daily Data'!G66)</f>
        <v/>
      </c>
      <c r="H66" s="91">
        <f>IF($E66="","",(1-K66)*F66-G66)</f>
        <v/>
      </c>
      <c r="I66" s="90">
        <f>IF($E66="","",'Daily Data'!H66)</f>
        <v/>
      </c>
      <c r="J66" s="91">
        <f>IF($E66="","",E66-H66-I66)</f>
        <v/>
      </c>
      <c r="K66" s="60">
        <f>IF($E66="","",IF(A66&lt;HLP_ChangeDate,HLP_Legacy,HLP_Current))</f>
        <v/>
      </c>
      <c r="L66" s="91">
        <f>IF($E66="","",J66/(1-K66))</f>
        <v/>
      </c>
      <c r="M66" s="90">
        <f>IF($E66="","",'Daily Data'!I66)</f>
        <v/>
      </c>
      <c r="N66" s="91">
        <f>IF($E66="","",M66*(1-K66)-I66)</f>
        <v/>
      </c>
      <c r="O66" s="92" t="inlineStr"/>
      <c r="P66" s="93">
        <f>IF($E66="","",(L66+F66+M66)*K66)</f>
        <v/>
      </c>
      <c r="Q66" s="91">
        <f>IF($E66="","",L66*K66)</f>
        <v/>
      </c>
      <c r="R66" s="91">
        <f>IF($E66="","",F66*K66)</f>
        <v/>
      </c>
      <c r="S66" s="91">
        <f>IF($E66="","",M66*K66)</f>
        <v/>
      </c>
      <c r="T66" s="63">
        <f>IF(OR($E66="",B66=0),"",L66/B66*10000)</f>
        <v/>
      </c>
      <c r="U66" s="63">
        <f>IF(OR($E66="",C66=0),"",F66/C66*10000)</f>
        <v/>
      </c>
      <c r="V66" s="63">
        <f>IF(OR($E66="",D66=0),"",M66/D66*10000)</f>
        <v/>
      </c>
    </row>
    <row r="67">
      <c r="A67" s="35" t="n">
        <v>45721</v>
      </c>
      <c r="B67" s="90">
        <f>'Daily Data'!B67</f>
        <v/>
      </c>
      <c r="C67" s="90">
        <f>'Daily Data'!D67</f>
        <v/>
      </c>
      <c r="D67" s="90">
        <f>'Daily Data'!C67</f>
        <v/>
      </c>
      <c r="E67" s="90">
        <f>IF('Daily Data'!E67="","",'Daily Data'!E67)</f>
        <v/>
      </c>
      <c r="F67" s="90">
        <f>IF($E67="","",'Daily Data'!F67)</f>
        <v/>
      </c>
      <c r="G67" s="90">
        <f>IF($E67="","",'Daily Data'!G67)</f>
        <v/>
      </c>
      <c r="H67" s="91">
        <f>IF($E67="","",(1-K67)*F67-G67)</f>
        <v/>
      </c>
      <c r="I67" s="90">
        <f>IF($E67="","",'Daily Data'!H67)</f>
        <v/>
      </c>
      <c r="J67" s="91">
        <f>IF($E67="","",E67-H67-I67)</f>
        <v/>
      </c>
      <c r="K67" s="60">
        <f>IF($E67="","",IF(A67&lt;HLP_ChangeDate,HLP_Legacy,HLP_Current))</f>
        <v/>
      </c>
      <c r="L67" s="91">
        <f>IF($E67="","",J67/(1-K67))</f>
        <v/>
      </c>
      <c r="M67" s="90">
        <f>IF($E67="","",'Daily Data'!I67)</f>
        <v/>
      </c>
      <c r="N67" s="91">
        <f>IF($E67="","",M67*(1-K67)-I67)</f>
        <v/>
      </c>
      <c r="O67" s="92" t="inlineStr"/>
      <c r="P67" s="93">
        <f>IF($E67="","",(L67+F67+M67)*K67)</f>
        <v/>
      </c>
      <c r="Q67" s="91">
        <f>IF($E67="","",L67*K67)</f>
        <v/>
      </c>
      <c r="R67" s="91">
        <f>IF($E67="","",F67*K67)</f>
        <v/>
      </c>
      <c r="S67" s="91">
        <f>IF($E67="","",M67*K67)</f>
        <v/>
      </c>
      <c r="T67" s="63">
        <f>IF(OR($E67="",B67=0),"",L67/B67*10000)</f>
        <v/>
      </c>
      <c r="U67" s="63">
        <f>IF(OR($E67="",C67=0),"",F67/C67*10000)</f>
        <v/>
      </c>
      <c r="V67" s="63">
        <f>IF(OR($E67="",D67=0),"",M67/D67*10000)</f>
        <v/>
      </c>
    </row>
    <row r="68">
      <c r="A68" s="35" t="n">
        <v>45722</v>
      </c>
      <c r="B68" s="90">
        <f>'Daily Data'!B68</f>
        <v/>
      </c>
      <c r="C68" s="90">
        <f>'Daily Data'!D68</f>
        <v/>
      </c>
      <c r="D68" s="90">
        <f>'Daily Data'!C68</f>
        <v/>
      </c>
      <c r="E68" s="90">
        <f>IF('Daily Data'!E68="","",'Daily Data'!E68)</f>
        <v/>
      </c>
      <c r="F68" s="90">
        <f>IF($E68="","",'Daily Data'!F68)</f>
        <v/>
      </c>
      <c r="G68" s="90">
        <f>IF($E68="","",'Daily Data'!G68)</f>
        <v/>
      </c>
      <c r="H68" s="91">
        <f>IF($E68="","",(1-K68)*F68-G68)</f>
        <v/>
      </c>
      <c r="I68" s="90">
        <f>IF($E68="","",'Daily Data'!H68)</f>
        <v/>
      </c>
      <c r="J68" s="91">
        <f>IF($E68="","",E68-H68-I68)</f>
        <v/>
      </c>
      <c r="K68" s="60">
        <f>IF($E68="","",IF(A68&lt;HLP_ChangeDate,HLP_Legacy,HLP_Current))</f>
        <v/>
      </c>
      <c r="L68" s="91">
        <f>IF($E68="","",J68/(1-K68))</f>
        <v/>
      </c>
      <c r="M68" s="90">
        <f>IF($E68="","",'Daily Data'!I68)</f>
        <v/>
      </c>
      <c r="N68" s="91">
        <f>IF($E68="","",M68*(1-K68)-I68)</f>
        <v/>
      </c>
      <c r="O68" s="92" t="inlineStr"/>
      <c r="P68" s="93">
        <f>IF($E68="","",(L68+F68+M68)*K68)</f>
        <v/>
      </c>
      <c r="Q68" s="91">
        <f>IF($E68="","",L68*K68)</f>
        <v/>
      </c>
      <c r="R68" s="91">
        <f>IF($E68="","",F68*K68)</f>
        <v/>
      </c>
      <c r="S68" s="91">
        <f>IF($E68="","",M68*K68)</f>
        <v/>
      </c>
      <c r="T68" s="63">
        <f>IF(OR($E68="",B68=0),"",L68/B68*10000)</f>
        <v/>
      </c>
      <c r="U68" s="63">
        <f>IF(OR($E68="",C68=0),"",F68/C68*10000)</f>
        <v/>
      </c>
      <c r="V68" s="63">
        <f>IF(OR($E68="",D68=0),"",M68/D68*10000)</f>
        <v/>
      </c>
    </row>
    <row r="69">
      <c r="A69" s="35" t="n">
        <v>45723</v>
      </c>
      <c r="B69" s="90">
        <f>'Daily Data'!B69</f>
        <v/>
      </c>
      <c r="C69" s="90">
        <f>'Daily Data'!D69</f>
        <v/>
      </c>
      <c r="D69" s="90">
        <f>'Daily Data'!C69</f>
        <v/>
      </c>
      <c r="E69" s="90">
        <f>IF('Daily Data'!E69="","",'Daily Data'!E69)</f>
        <v/>
      </c>
      <c r="F69" s="90">
        <f>IF($E69="","",'Daily Data'!F69)</f>
        <v/>
      </c>
      <c r="G69" s="90">
        <f>IF($E69="","",'Daily Data'!G69)</f>
        <v/>
      </c>
      <c r="H69" s="91">
        <f>IF($E69="","",(1-K69)*F69-G69)</f>
        <v/>
      </c>
      <c r="I69" s="90">
        <f>IF($E69="","",'Daily Data'!H69)</f>
        <v/>
      </c>
      <c r="J69" s="91">
        <f>IF($E69="","",E69-H69-I69)</f>
        <v/>
      </c>
      <c r="K69" s="60">
        <f>IF($E69="","",IF(A69&lt;HLP_ChangeDate,HLP_Legacy,HLP_Current))</f>
        <v/>
      </c>
      <c r="L69" s="91">
        <f>IF($E69="","",J69/(1-K69))</f>
        <v/>
      </c>
      <c r="M69" s="90">
        <f>IF($E69="","",'Daily Data'!I69)</f>
        <v/>
      </c>
      <c r="N69" s="91">
        <f>IF($E69="","",M69*(1-K69)-I69)</f>
        <v/>
      </c>
      <c r="O69" s="92" t="inlineStr"/>
      <c r="P69" s="93">
        <f>IF($E69="","",(L69+F69+M69)*K69)</f>
        <v/>
      </c>
      <c r="Q69" s="91">
        <f>IF($E69="","",L69*K69)</f>
        <v/>
      </c>
      <c r="R69" s="91">
        <f>IF($E69="","",F69*K69)</f>
        <v/>
      </c>
      <c r="S69" s="91">
        <f>IF($E69="","",M69*K69)</f>
        <v/>
      </c>
      <c r="T69" s="63">
        <f>IF(OR($E69="",B69=0),"",L69/B69*10000)</f>
        <v/>
      </c>
      <c r="U69" s="63">
        <f>IF(OR($E69="",C69=0),"",F69/C69*10000)</f>
        <v/>
      </c>
      <c r="V69" s="63">
        <f>IF(OR($E69="",D69=0),"",M69/D69*10000)</f>
        <v/>
      </c>
    </row>
    <row r="70">
      <c r="A70" s="35" t="n">
        <v>45724</v>
      </c>
      <c r="B70" s="90">
        <f>'Daily Data'!B70</f>
        <v/>
      </c>
      <c r="C70" s="90">
        <f>'Daily Data'!D70</f>
        <v/>
      </c>
      <c r="D70" s="90">
        <f>'Daily Data'!C70</f>
        <v/>
      </c>
      <c r="E70" s="90">
        <f>IF('Daily Data'!E70="","",'Daily Data'!E70)</f>
        <v/>
      </c>
      <c r="F70" s="90">
        <f>IF($E70="","",'Daily Data'!F70)</f>
        <v/>
      </c>
      <c r="G70" s="90">
        <f>IF($E70="","",'Daily Data'!G70)</f>
        <v/>
      </c>
      <c r="H70" s="91">
        <f>IF($E70="","",(1-K70)*F70-G70)</f>
        <v/>
      </c>
      <c r="I70" s="90">
        <f>IF($E70="","",'Daily Data'!H70)</f>
        <v/>
      </c>
      <c r="J70" s="91">
        <f>IF($E70="","",E70-H70-I70)</f>
        <v/>
      </c>
      <c r="K70" s="60">
        <f>IF($E70="","",IF(A70&lt;HLP_ChangeDate,HLP_Legacy,HLP_Current))</f>
        <v/>
      </c>
      <c r="L70" s="91">
        <f>IF($E70="","",J70/(1-K70))</f>
        <v/>
      </c>
      <c r="M70" s="90">
        <f>IF($E70="","",'Daily Data'!I70)</f>
        <v/>
      </c>
      <c r="N70" s="91">
        <f>IF($E70="","",M70*(1-K70)-I70)</f>
        <v/>
      </c>
      <c r="O70" s="92" t="inlineStr"/>
      <c r="P70" s="93">
        <f>IF($E70="","",(L70+F70+M70)*K70)</f>
        <v/>
      </c>
      <c r="Q70" s="91">
        <f>IF($E70="","",L70*K70)</f>
        <v/>
      </c>
      <c r="R70" s="91">
        <f>IF($E70="","",F70*K70)</f>
        <v/>
      </c>
      <c r="S70" s="91">
        <f>IF($E70="","",M70*K70)</f>
        <v/>
      </c>
      <c r="T70" s="63">
        <f>IF(OR($E70="",B70=0),"",L70/B70*10000)</f>
        <v/>
      </c>
      <c r="U70" s="63">
        <f>IF(OR($E70="",C70=0),"",F70/C70*10000)</f>
        <v/>
      </c>
      <c r="V70" s="63">
        <f>IF(OR($E70="",D70=0),"",M70/D70*10000)</f>
        <v/>
      </c>
    </row>
    <row r="71">
      <c r="A71" s="35" t="n">
        <v>45725</v>
      </c>
      <c r="B71" s="90">
        <f>'Daily Data'!B71</f>
        <v/>
      </c>
      <c r="C71" s="90">
        <f>'Daily Data'!D71</f>
        <v/>
      </c>
      <c r="D71" s="90">
        <f>'Daily Data'!C71</f>
        <v/>
      </c>
      <c r="E71" s="90">
        <f>IF('Daily Data'!E71="","",'Daily Data'!E71)</f>
        <v/>
      </c>
      <c r="F71" s="90">
        <f>IF($E71="","",'Daily Data'!F71)</f>
        <v/>
      </c>
      <c r="G71" s="90">
        <f>IF($E71="","",'Daily Data'!G71)</f>
        <v/>
      </c>
      <c r="H71" s="91">
        <f>IF($E71="","",(1-K71)*F71-G71)</f>
        <v/>
      </c>
      <c r="I71" s="90">
        <f>IF($E71="","",'Daily Data'!H71)</f>
        <v/>
      </c>
      <c r="J71" s="91">
        <f>IF($E71="","",E71-H71-I71)</f>
        <v/>
      </c>
      <c r="K71" s="60">
        <f>IF($E71="","",IF(A71&lt;HLP_ChangeDate,HLP_Legacy,HLP_Current))</f>
        <v/>
      </c>
      <c r="L71" s="91">
        <f>IF($E71="","",J71/(1-K71))</f>
        <v/>
      </c>
      <c r="M71" s="90">
        <f>IF($E71="","",'Daily Data'!I71)</f>
        <v/>
      </c>
      <c r="N71" s="91">
        <f>IF($E71="","",M71*(1-K71)-I71)</f>
        <v/>
      </c>
      <c r="O71" s="92" t="inlineStr"/>
      <c r="P71" s="93">
        <f>IF($E71="","",(L71+F71+M71)*K71)</f>
        <v/>
      </c>
      <c r="Q71" s="91">
        <f>IF($E71="","",L71*K71)</f>
        <v/>
      </c>
      <c r="R71" s="91">
        <f>IF($E71="","",F71*K71)</f>
        <v/>
      </c>
      <c r="S71" s="91">
        <f>IF($E71="","",M71*K71)</f>
        <v/>
      </c>
      <c r="T71" s="63">
        <f>IF(OR($E71="",B71=0),"",L71/B71*10000)</f>
        <v/>
      </c>
      <c r="U71" s="63">
        <f>IF(OR($E71="",C71=0),"",F71/C71*10000)</f>
        <v/>
      </c>
      <c r="V71" s="63">
        <f>IF(OR($E71="",D71=0),"",M71/D71*10000)</f>
        <v/>
      </c>
    </row>
    <row r="72">
      <c r="A72" s="35" t="n">
        <v>45726</v>
      </c>
      <c r="B72" s="90">
        <f>'Daily Data'!B72</f>
        <v/>
      </c>
      <c r="C72" s="90">
        <f>'Daily Data'!D72</f>
        <v/>
      </c>
      <c r="D72" s="90">
        <f>'Daily Data'!C72</f>
        <v/>
      </c>
      <c r="E72" s="90">
        <f>IF('Daily Data'!E72="","",'Daily Data'!E72)</f>
        <v/>
      </c>
      <c r="F72" s="90">
        <f>IF($E72="","",'Daily Data'!F72)</f>
        <v/>
      </c>
      <c r="G72" s="90">
        <f>IF($E72="","",'Daily Data'!G72)</f>
        <v/>
      </c>
      <c r="H72" s="91">
        <f>IF($E72="","",(1-K72)*F72-G72)</f>
        <v/>
      </c>
      <c r="I72" s="90">
        <f>IF($E72="","",'Daily Data'!H72)</f>
        <v/>
      </c>
      <c r="J72" s="91">
        <f>IF($E72="","",E72-H72-I72)</f>
        <v/>
      </c>
      <c r="K72" s="60">
        <f>IF($E72="","",IF(A72&lt;HLP_ChangeDate,HLP_Legacy,HLP_Current))</f>
        <v/>
      </c>
      <c r="L72" s="91">
        <f>IF($E72="","",J72/(1-K72))</f>
        <v/>
      </c>
      <c r="M72" s="90">
        <f>IF($E72="","",'Daily Data'!I72)</f>
        <v/>
      </c>
      <c r="N72" s="91">
        <f>IF($E72="","",M72*(1-K72)-I72)</f>
        <v/>
      </c>
      <c r="O72" s="92" t="inlineStr"/>
      <c r="P72" s="93">
        <f>IF($E72="","",(L72+F72+M72)*K72)</f>
        <v/>
      </c>
      <c r="Q72" s="91">
        <f>IF($E72="","",L72*K72)</f>
        <v/>
      </c>
      <c r="R72" s="91">
        <f>IF($E72="","",F72*K72)</f>
        <v/>
      </c>
      <c r="S72" s="91">
        <f>IF($E72="","",M72*K72)</f>
        <v/>
      </c>
      <c r="T72" s="63">
        <f>IF(OR($E72="",B72=0),"",L72/B72*10000)</f>
        <v/>
      </c>
      <c r="U72" s="63">
        <f>IF(OR($E72="",C72=0),"",F72/C72*10000)</f>
        <v/>
      </c>
      <c r="V72" s="63">
        <f>IF(OR($E72="",D72=0),"",M72/D72*10000)</f>
        <v/>
      </c>
    </row>
    <row r="73">
      <c r="A73" s="35" t="n">
        <v>45727</v>
      </c>
      <c r="B73" s="90">
        <f>'Daily Data'!B73</f>
        <v/>
      </c>
      <c r="C73" s="90">
        <f>'Daily Data'!D73</f>
        <v/>
      </c>
      <c r="D73" s="90">
        <f>'Daily Data'!C73</f>
        <v/>
      </c>
      <c r="E73" s="90">
        <f>IF('Daily Data'!E73="","",'Daily Data'!E73)</f>
        <v/>
      </c>
      <c r="F73" s="90">
        <f>IF($E73="","",'Daily Data'!F73)</f>
        <v/>
      </c>
      <c r="G73" s="90">
        <f>IF($E73="","",'Daily Data'!G73)</f>
        <v/>
      </c>
      <c r="H73" s="91">
        <f>IF($E73="","",(1-K73)*F73-G73)</f>
        <v/>
      </c>
      <c r="I73" s="90">
        <f>IF($E73="","",'Daily Data'!H73)</f>
        <v/>
      </c>
      <c r="J73" s="91">
        <f>IF($E73="","",E73-H73-I73)</f>
        <v/>
      </c>
      <c r="K73" s="60">
        <f>IF($E73="","",IF(A73&lt;HLP_ChangeDate,HLP_Legacy,HLP_Current))</f>
        <v/>
      </c>
      <c r="L73" s="91">
        <f>IF($E73="","",J73/(1-K73))</f>
        <v/>
      </c>
      <c r="M73" s="90">
        <f>IF($E73="","",'Daily Data'!I73)</f>
        <v/>
      </c>
      <c r="N73" s="91">
        <f>IF($E73="","",M73*(1-K73)-I73)</f>
        <v/>
      </c>
      <c r="O73" s="92" t="inlineStr"/>
      <c r="P73" s="93">
        <f>IF($E73="","",(L73+F73+M73)*K73)</f>
        <v/>
      </c>
      <c r="Q73" s="91">
        <f>IF($E73="","",L73*K73)</f>
        <v/>
      </c>
      <c r="R73" s="91">
        <f>IF($E73="","",F73*K73)</f>
        <v/>
      </c>
      <c r="S73" s="91">
        <f>IF($E73="","",M73*K73)</f>
        <v/>
      </c>
      <c r="T73" s="63">
        <f>IF(OR($E73="",B73=0),"",L73/B73*10000)</f>
        <v/>
      </c>
      <c r="U73" s="63">
        <f>IF(OR($E73="",C73=0),"",F73/C73*10000)</f>
        <v/>
      </c>
      <c r="V73" s="63">
        <f>IF(OR($E73="",D73=0),"",M73/D73*10000)</f>
        <v/>
      </c>
    </row>
    <row r="74">
      <c r="A74" s="35" t="n">
        <v>45728</v>
      </c>
      <c r="B74" s="90">
        <f>'Daily Data'!B74</f>
        <v/>
      </c>
      <c r="C74" s="90">
        <f>'Daily Data'!D74</f>
        <v/>
      </c>
      <c r="D74" s="90">
        <f>'Daily Data'!C74</f>
        <v/>
      </c>
      <c r="E74" s="90">
        <f>IF('Daily Data'!E74="","",'Daily Data'!E74)</f>
        <v/>
      </c>
      <c r="F74" s="90">
        <f>IF($E74="","",'Daily Data'!F74)</f>
        <v/>
      </c>
      <c r="G74" s="90">
        <f>IF($E74="","",'Daily Data'!G74)</f>
        <v/>
      </c>
      <c r="H74" s="91">
        <f>IF($E74="","",(1-K74)*F74-G74)</f>
        <v/>
      </c>
      <c r="I74" s="90">
        <f>IF($E74="","",'Daily Data'!H74)</f>
        <v/>
      </c>
      <c r="J74" s="91">
        <f>IF($E74="","",E74-H74-I74)</f>
        <v/>
      </c>
      <c r="K74" s="60">
        <f>IF($E74="","",IF(A74&lt;HLP_ChangeDate,HLP_Legacy,HLP_Current))</f>
        <v/>
      </c>
      <c r="L74" s="91">
        <f>IF($E74="","",J74/(1-K74))</f>
        <v/>
      </c>
      <c r="M74" s="90">
        <f>IF($E74="","",'Daily Data'!I74)</f>
        <v/>
      </c>
      <c r="N74" s="91">
        <f>IF($E74="","",M74*(1-K74)-I74)</f>
        <v/>
      </c>
      <c r="O74" s="92" t="inlineStr"/>
      <c r="P74" s="93">
        <f>IF($E74="","",(L74+F74+M74)*K74)</f>
        <v/>
      </c>
      <c r="Q74" s="91">
        <f>IF($E74="","",L74*K74)</f>
        <v/>
      </c>
      <c r="R74" s="91">
        <f>IF($E74="","",F74*K74)</f>
        <v/>
      </c>
      <c r="S74" s="91">
        <f>IF($E74="","",M74*K74)</f>
        <v/>
      </c>
      <c r="T74" s="63">
        <f>IF(OR($E74="",B74=0),"",L74/B74*10000)</f>
        <v/>
      </c>
      <c r="U74" s="63">
        <f>IF(OR($E74="",C74=0),"",F74/C74*10000)</f>
        <v/>
      </c>
      <c r="V74" s="63">
        <f>IF(OR($E74="",D74=0),"",M74/D74*10000)</f>
        <v/>
      </c>
    </row>
    <row r="75">
      <c r="A75" s="35" t="n">
        <v>45729</v>
      </c>
      <c r="B75" s="90">
        <f>'Daily Data'!B75</f>
        <v/>
      </c>
      <c r="C75" s="90">
        <f>'Daily Data'!D75</f>
        <v/>
      </c>
      <c r="D75" s="90">
        <f>'Daily Data'!C75</f>
        <v/>
      </c>
      <c r="E75" s="90">
        <f>IF('Daily Data'!E75="","",'Daily Data'!E75)</f>
        <v/>
      </c>
      <c r="F75" s="90">
        <f>IF($E75="","",'Daily Data'!F75)</f>
        <v/>
      </c>
      <c r="G75" s="90">
        <f>IF($E75="","",'Daily Data'!G75)</f>
        <v/>
      </c>
      <c r="H75" s="91">
        <f>IF($E75="","",(1-K75)*F75-G75)</f>
        <v/>
      </c>
      <c r="I75" s="90">
        <f>IF($E75="","",'Daily Data'!H75)</f>
        <v/>
      </c>
      <c r="J75" s="91">
        <f>IF($E75="","",E75-H75-I75)</f>
        <v/>
      </c>
      <c r="K75" s="60">
        <f>IF($E75="","",IF(A75&lt;HLP_ChangeDate,HLP_Legacy,HLP_Current))</f>
        <v/>
      </c>
      <c r="L75" s="91">
        <f>IF($E75="","",J75/(1-K75))</f>
        <v/>
      </c>
      <c r="M75" s="90">
        <f>IF($E75="","",'Daily Data'!I75)</f>
        <v/>
      </c>
      <c r="N75" s="91">
        <f>IF($E75="","",M75*(1-K75)-I75)</f>
        <v/>
      </c>
      <c r="O75" s="92" t="inlineStr"/>
      <c r="P75" s="93">
        <f>IF($E75="","",(L75+F75+M75)*K75)</f>
        <v/>
      </c>
      <c r="Q75" s="91">
        <f>IF($E75="","",L75*K75)</f>
        <v/>
      </c>
      <c r="R75" s="91">
        <f>IF($E75="","",F75*K75)</f>
        <v/>
      </c>
      <c r="S75" s="91">
        <f>IF($E75="","",M75*K75)</f>
        <v/>
      </c>
      <c r="T75" s="63">
        <f>IF(OR($E75="",B75=0),"",L75/B75*10000)</f>
        <v/>
      </c>
      <c r="U75" s="63">
        <f>IF(OR($E75="",C75=0),"",F75/C75*10000)</f>
        <v/>
      </c>
      <c r="V75" s="63">
        <f>IF(OR($E75="",D75=0),"",M75/D75*10000)</f>
        <v/>
      </c>
    </row>
    <row r="76">
      <c r="A76" s="35" t="n">
        <v>45730</v>
      </c>
      <c r="B76" s="90">
        <f>'Daily Data'!B76</f>
        <v/>
      </c>
      <c r="C76" s="90">
        <f>'Daily Data'!D76</f>
        <v/>
      </c>
      <c r="D76" s="90">
        <f>'Daily Data'!C76</f>
        <v/>
      </c>
      <c r="E76" s="90">
        <f>IF('Daily Data'!E76="","",'Daily Data'!E76)</f>
        <v/>
      </c>
      <c r="F76" s="90">
        <f>IF($E76="","",'Daily Data'!F76)</f>
        <v/>
      </c>
      <c r="G76" s="90">
        <f>IF($E76="","",'Daily Data'!G76)</f>
        <v/>
      </c>
      <c r="H76" s="91">
        <f>IF($E76="","",(1-K76)*F76-G76)</f>
        <v/>
      </c>
      <c r="I76" s="90">
        <f>IF($E76="","",'Daily Data'!H76)</f>
        <v/>
      </c>
      <c r="J76" s="91">
        <f>IF($E76="","",E76-H76-I76)</f>
        <v/>
      </c>
      <c r="K76" s="60">
        <f>IF($E76="","",IF(A76&lt;HLP_ChangeDate,HLP_Legacy,HLP_Current))</f>
        <v/>
      </c>
      <c r="L76" s="91">
        <f>IF($E76="","",J76/(1-K76))</f>
        <v/>
      </c>
      <c r="M76" s="90">
        <f>IF($E76="","",'Daily Data'!I76)</f>
        <v/>
      </c>
      <c r="N76" s="91">
        <f>IF($E76="","",M76*(1-K76)-I76)</f>
        <v/>
      </c>
      <c r="O76" s="92" t="inlineStr"/>
      <c r="P76" s="93">
        <f>IF($E76="","",(L76+F76+M76)*K76)</f>
        <v/>
      </c>
      <c r="Q76" s="91">
        <f>IF($E76="","",L76*K76)</f>
        <v/>
      </c>
      <c r="R76" s="91">
        <f>IF($E76="","",F76*K76)</f>
        <v/>
      </c>
      <c r="S76" s="91">
        <f>IF($E76="","",M76*K76)</f>
        <v/>
      </c>
      <c r="T76" s="63">
        <f>IF(OR($E76="",B76=0),"",L76/B76*10000)</f>
        <v/>
      </c>
      <c r="U76" s="63">
        <f>IF(OR($E76="",C76=0),"",F76/C76*10000)</f>
        <v/>
      </c>
      <c r="V76" s="63">
        <f>IF(OR($E76="",D76=0),"",M76/D76*10000)</f>
        <v/>
      </c>
    </row>
    <row r="77">
      <c r="A77" s="35" t="n">
        <v>45731</v>
      </c>
      <c r="B77" s="90">
        <f>'Daily Data'!B77</f>
        <v/>
      </c>
      <c r="C77" s="90">
        <f>'Daily Data'!D77</f>
        <v/>
      </c>
      <c r="D77" s="90">
        <f>'Daily Data'!C77</f>
        <v/>
      </c>
      <c r="E77" s="90">
        <f>IF('Daily Data'!E77="","",'Daily Data'!E77)</f>
        <v/>
      </c>
      <c r="F77" s="90">
        <f>IF($E77="","",'Daily Data'!F77)</f>
        <v/>
      </c>
      <c r="G77" s="90">
        <f>IF($E77="","",'Daily Data'!G77)</f>
        <v/>
      </c>
      <c r="H77" s="91">
        <f>IF($E77="","",(1-K77)*F77-G77)</f>
        <v/>
      </c>
      <c r="I77" s="90">
        <f>IF($E77="","",'Daily Data'!H77)</f>
        <v/>
      </c>
      <c r="J77" s="91">
        <f>IF($E77="","",E77-H77-I77)</f>
        <v/>
      </c>
      <c r="K77" s="60">
        <f>IF($E77="","",IF(A77&lt;HLP_ChangeDate,HLP_Legacy,HLP_Current))</f>
        <v/>
      </c>
      <c r="L77" s="91">
        <f>IF($E77="","",J77/(1-K77))</f>
        <v/>
      </c>
      <c r="M77" s="90">
        <f>IF($E77="","",'Daily Data'!I77)</f>
        <v/>
      </c>
      <c r="N77" s="91">
        <f>IF($E77="","",M77*(1-K77)-I77)</f>
        <v/>
      </c>
      <c r="O77" s="92" t="inlineStr"/>
      <c r="P77" s="93">
        <f>IF($E77="","",(L77+F77+M77)*K77)</f>
        <v/>
      </c>
      <c r="Q77" s="91">
        <f>IF($E77="","",L77*K77)</f>
        <v/>
      </c>
      <c r="R77" s="91">
        <f>IF($E77="","",F77*K77)</f>
        <v/>
      </c>
      <c r="S77" s="91">
        <f>IF($E77="","",M77*K77)</f>
        <v/>
      </c>
      <c r="T77" s="63">
        <f>IF(OR($E77="",B77=0),"",L77/B77*10000)</f>
        <v/>
      </c>
      <c r="U77" s="63">
        <f>IF(OR($E77="",C77=0),"",F77/C77*10000)</f>
        <v/>
      </c>
      <c r="V77" s="63">
        <f>IF(OR($E77="",D77=0),"",M77/D77*10000)</f>
        <v/>
      </c>
    </row>
    <row r="78">
      <c r="A78" s="35" t="n">
        <v>45732</v>
      </c>
      <c r="B78" s="90">
        <f>'Daily Data'!B78</f>
        <v/>
      </c>
      <c r="C78" s="90">
        <f>'Daily Data'!D78</f>
        <v/>
      </c>
      <c r="D78" s="90">
        <f>'Daily Data'!C78</f>
        <v/>
      </c>
      <c r="E78" s="90">
        <f>IF('Daily Data'!E78="","",'Daily Data'!E78)</f>
        <v/>
      </c>
      <c r="F78" s="90">
        <f>IF($E78="","",'Daily Data'!F78)</f>
        <v/>
      </c>
      <c r="G78" s="90">
        <f>IF($E78="","",'Daily Data'!G78)</f>
        <v/>
      </c>
      <c r="H78" s="91">
        <f>IF($E78="","",(1-K78)*F78-G78)</f>
        <v/>
      </c>
      <c r="I78" s="90">
        <f>IF($E78="","",'Daily Data'!H78)</f>
        <v/>
      </c>
      <c r="J78" s="91">
        <f>IF($E78="","",E78-H78-I78)</f>
        <v/>
      </c>
      <c r="K78" s="60">
        <f>IF($E78="","",IF(A78&lt;HLP_ChangeDate,HLP_Legacy,HLP_Current))</f>
        <v/>
      </c>
      <c r="L78" s="91">
        <f>IF($E78="","",J78/(1-K78))</f>
        <v/>
      </c>
      <c r="M78" s="90">
        <f>IF($E78="","",'Daily Data'!I78)</f>
        <v/>
      </c>
      <c r="N78" s="91">
        <f>IF($E78="","",M78*(1-K78)-I78)</f>
        <v/>
      </c>
      <c r="O78" s="92" t="inlineStr"/>
      <c r="P78" s="93">
        <f>IF($E78="","",(L78+F78+M78)*K78)</f>
        <v/>
      </c>
      <c r="Q78" s="91">
        <f>IF($E78="","",L78*K78)</f>
        <v/>
      </c>
      <c r="R78" s="91">
        <f>IF($E78="","",F78*K78)</f>
        <v/>
      </c>
      <c r="S78" s="91">
        <f>IF($E78="","",M78*K78)</f>
        <v/>
      </c>
      <c r="T78" s="63">
        <f>IF(OR($E78="",B78=0),"",L78/B78*10000)</f>
        <v/>
      </c>
      <c r="U78" s="63">
        <f>IF(OR($E78="",C78=0),"",F78/C78*10000)</f>
        <v/>
      </c>
      <c r="V78" s="63">
        <f>IF(OR($E78="",D78=0),"",M78/D78*10000)</f>
        <v/>
      </c>
    </row>
    <row r="79">
      <c r="A79" s="35" t="n">
        <v>45733</v>
      </c>
      <c r="B79" s="90">
        <f>'Daily Data'!B79</f>
        <v/>
      </c>
      <c r="C79" s="90">
        <f>'Daily Data'!D79</f>
        <v/>
      </c>
      <c r="D79" s="90">
        <f>'Daily Data'!C79</f>
        <v/>
      </c>
      <c r="E79" s="90">
        <f>IF('Daily Data'!E79="","",'Daily Data'!E79)</f>
        <v/>
      </c>
      <c r="F79" s="90">
        <f>IF($E79="","",'Daily Data'!F79)</f>
        <v/>
      </c>
      <c r="G79" s="90">
        <f>IF($E79="","",'Daily Data'!G79)</f>
        <v/>
      </c>
      <c r="H79" s="91">
        <f>IF($E79="","",(1-K79)*F79-G79)</f>
        <v/>
      </c>
      <c r="I79" s="90">
        <f>IF($E79="","",'Daily Data'!H79)</f>
        <v/>
      </c>
      <c r="J79" s="91">
        <f>IF($E79="","",E79-H79-I79)</f>
        <v/>
      </c>
      <c r="K79" s="60">
        <f>IF($E79="","",IF(A79&lt;HLP_ChangeDate,HLP_Legacy,HLP_Current))</f>
        <v/>
      </c>
      <c r="L79" s="91">
        <f>IF($E79="","",J79/(1-K79))</f>
        <v/>
      </c>
      <c r="M79" s="90">
        <f>IF($E79="","",'Daily Data'!I79)</f>
        <v/>
      </c>
      <c r="N79" s="91">
        <f>IF($E79="","",M79*(1-K79)-I79)</f>
        <v/>
      </c>
      <c r="O79" s="92" t="inlineStr"/>
      <c r="P79" s="93">
        <f>IF($E79="","",(L79+F79+M79)*K79)</f>
        <v/>
      </c>
      <c r="Q79" s="91">
        <f>IF($E79="","",L79*K79)</f>
        <v/>
      </c>
      <c r="R79" s="91">
        <f>IF($E79="","",F79*K79)</f>
        <v/>
      </c>
      <c r="S79" s="91">
        <f>IF($E79="","",M79*K79)</f>
        <v/>
      </c>
      <c r="T79" s="63">
        <f>IF(OR($E79="",B79=0),"",L79/B79*10000)</f>
        <v/>
      </c>
      <c r="U79" s="63">
        <f>IF(OR($E79="",C79=0),"",F79/C79*10000)</f>
        <v/>
      </c>
      <c r="V79" s="63">
        <f>IF(OR($E79="",D79=0),"",M79/D79*10000)</f>
        <v/>
      </c>
    </row>
    <row r="80">
      <c r="A80" s="35" t="n">
        <v>45734</v>
      </c>
      <c r="B80" s="90">
        <f>'Daily Data'!B80</f>
        <v/>
      </c>
      <c r="C80" s="90">
        <f>'Daily Data'!D80</f>
        <v/>
      </c>
      <c r="D80" s="90">
        <f>'Daily Data'!C80</f>
        <v/>
      </c>
      <c r="E80" s="90">
        <f>IF('Daily Data'!E80="","",'Daily Data'!E80)</f>
        <v/>
      </c>
      <c r="F80" s="90">
        <f>IF($E80="","",'Daily Data'!F80)</f>
        <v/>
      </c>
      <c r="G80" s="90">
        <f>IF($E80="","",'Daily Data'!G80)</f>
        <v/>
      </c>
      <c r="H80" s="91">
        <f>IF($E80="","",(1-K80)*F80-G80)</f>
        <v/>
      </c>
      <c r="I80" s="90">
        <f>IF($E80="","",'Daily Data'!H80)</f>
        <v/>
      </c>
      <c r="J80" s="91">
        <f>IF($E80="","",E80-H80-I80)</f>
        <v/>
      </c>
      <c r="K80" s="60">
        <f>IF($E80="","",IF(A80&lt;HLP_ChangeDate,HLP_Legacy,HLP_Current))</f>
        <v/>
      </c>
      <c r="L80" s="91">
        <f>IF($E80="","",J80/(1-K80))</f>
        <v/>
      </c>
      <c r="M80" s="90">
        <f>IF($E80="","",'Daily Data'!I80)</f>
        <v/>
      </c>
      <c r="N80" s="91">
        <f>IF($E80="","",M80*(1-K80)-I80)</f>
        <v/>
      </c>
      <c r="O80" s="92" t="inlineStr"/>
      <c r="P80" s="93">
        <f>IF($E80="","",(L80+F80+M80)*K80)</f>
        <v/>
      </c>
      <c r="Q80" s="91">
        <f>IF($E80="","",L80*K80)</f>
        <v/>
      </c>
      <c r="R80" s="91">
        <f>IF($E80="","",F80*K80)</f>
        <v/>
      </c>
      <c r="S80" s="91">
        <f>IF($E80="","",M80*K80)</f>
        <v/>
      </c>
      <c r="T80" s="63">
        <f>IF(OR($E80="",B80=0),"",L80/B80*10000)</f>
        <v/>
      </c>
      <c r="U80" s="63">
        <f>IF(OR($E80="",C80=0),"",F80/C80*10000)</f>
        <v/>
      </c>
      <c r="V80" s="63">
        <f>IF(OR($E80="",D80=0),"",M80/D80*10000)</f>
        <v/>
      </c>
    </row>
    <row r="81">
      <c r="A81" s="35" t="n">
        <v>45735</v>
      </c>
      <c r="B81" s="90">
        <f>'Daily Data'!B81</f>
        <v/>
      </c>
      <c r="C81" s="90">
        <f>'Daily Data'!D81</f>
        <v/>
      </c>
      <c r="D81" s="90">
        <f>'Daily Data'!C81</f>
        <v/>
      </c>
      <c r="E81" s="90">
        <f>IF('Daily Data'!E81="","",'Daily Data'!E81)</f>
        <v/>
      </c>
      <c r="F81" s="90">
        <f>IF($E81="","",'Daily Data'!F81)</f>
        <v/>
      </c>
      <c r="G81" s="90">
        <f>IF($E81="","",'Daily Data'!G81)</f>
        <v/>
      </c>
      <c r="H81" s="91">
        <f>IF($E81="","",(1-K81)*F81-G81)</f>
        <v/>
      </c>
      <c r="I81" s="90">
        <f>IF($E81="","",'Daily Data'!H81)</f>
        <v/>
      </c>
      <c r="J81" s="91">
        <f>IF($E81="","",E81-H81-I81)</f>
        <v/>
      </c>
      <c r="K81" s="60">
        <f>IF($E81="","",IF(A81&lt;HLP_ChangeDate,HLP_Legacy,HLP_Current))</f>
        <v/>
      </c>
      <c r="L81" s="91">
        <f>IF($E81="","",J81/(1-K81))</f>
        <v/>
      </c>
      <c r="M81" s="90">
        <f>IF($E81="","",'Daily Data'!I81)</f>
        <v/>
      </c>
      <c r="N81" s="91">
        <f>IF($E81="","",M81*(1-K81)-I81)</f>
        <v/>
      </c>
      <c r="O81" s="92" t="inlineStr"/>
      <c r="P81" s="93">
        <f>IF($E81="","",(L81+F81+M81)*K81)</f>
        <v/>
      </c>
      <c r="Q81" s="91">
        <f>IF($E81="","",L81*K81)</f>
        <v/>
      </c>
      <c r="R81" s="91">
        <f>IF($E81="","",F81*K81)</f>
        <v/>
      </c>
      <c r="S81" s="91">
        <f>IF($E81="","",M81*K81)</f>
        <v/>
      </c>
      <c r="T81" s="63">
        <f>IF(OR($E81="",B81=0),"",L81/B81*10000)</f>
        <v/>
      </c>
      <c r="U81" s="63">
        <f>IF(OR($E81="",C81=0),"",F81/C81*10000)</f>
        <v/>
      </c>
      <c r="V81" s="63">
        <f>IF(OR($E81="",D81=0),"",M81/D81*10000)</f>
        <v/>
      </c>
    </row>
    <row r="82">
      <c r="A82" s="35" t="n">
        <v>45736</v>
      </c>
      <c r="B82" s="90">
        <f>'Daily Data'!B82</f>
        <v/>
      </c>
      <c r="C82" s="90">
        <f>'Daily Data'!D82</f>
        <v/>
      </c>
      <c r="D82" s="90">
        <f>'Daily Data'!C82</f>
        <v/>
      </c>
      <c r="E82" s="90">
        <f>IF('Daily Data'!E82="","",'Daily Data'!E82)</f>
        <v/>
      </c>
      <c r="F82" s="90">
        <f>IF($E82="","",'Daily Data'!F82)</f>
        <v/>
      </c>
      <c r="G82" s="90">
        <f>IF($E82="","",'Daily Data'!G82)</f>
        <v/>
      </c>
      <c r="H82" s="91">
        <f>IF($E82="","",(1-K82)*F82-G82)</f>
        <v/>
      </c>
      <c r="I82" s="90">
        <f>IF($E82="","",'Daily Data'!H82)</f>
        <v/>
      </c>
      <c r="J82" s="91">
        <f>IF($E82="","",E82-H82-I82)</f>
        <v/>
      </c>
      <c r="K82" s="60">
        <f>IF($E82="","",IF(A82&lt;HLP_ChangeDate,HLP_Legacy,HLP_Current))</f>
        <v/>
      </c>
      <c r="L82" s="91">
        <f>IF($E82="","",J82/(1-K82))</f>
        <v/>
      </c>
      <c r="M82" s="90">
        <f>IF($E82="","",'Daily Data'!I82)</f>
        <v/>
      </c>
      <c r="N82" s="91">
        <f>IF($E82="","",M82*(1-K82)-I82)</f>
        <v/>
      </c>
      <c r="O82" s="92" t="inlineStr"/>
      <c r="P82" s="93">
        <f>IF($E82="","",(L82+F82+M82)*K82)</f>
        <v/>
      </c>
      <c r="Q82" s="91">
        <f>IF($E82="","",L82*K82)</f>
        <v/>
      </c>
      <c r="R82" s="91">
        <f>IF($E82="","",F82*K82)</f>
        <v/>
      </c>
      <c r="S82" s="91">
        <f>IF($E82="","",M82*K82)</f>
        <v/>
      </c>
      <c r="T82" s="63">
        <f>IF(OR($E82="",B82=0),"",L82/B82*10000)</f>
        <v/>
      </c>
      <c r="U82" s="63">
        <f>IF(OR($E82="",C82=0),"",F82/C82*10000)</f>
        <v/>
      </c>
      <c r="V82" s="63">
        <f>IF(OR($E82="",D82=0),"",M82/D82*10000)</f>
        <v/>
      </c>
    </row>
    <row r="83">
      <c r="A83" s="35" t="n">
        <v>45737</v>
      </c>
      <c r="B83" s="90">
        <f>'Daily Data'!B83</f>
        <v/>
      </c>
      <c r="C83" s="90">
        <f>'Daily Data'!D83</f>
        <v/>
      </c>
      <c r="D83" s="90">
        <f>'Daily Data'!C83</f>
        <v/>
      </c>
      <c r="E83" s="90">
        <f>IF('Daily Data'!E83="","",'Daily Data'!E83)</f>
        <v/>
      </c>
      <c r="F83" s="90">
        <f>IF($E83="","",'Daily Data'!F83)</f>
        <v/>
      </c>
      <c r="G83" s="90">
        <f>IF($E83="","",'Daily Data'!G83)</f>
        <v/>
      </c>
      <c r="H83" s="91">
        <f>IF($E83="","",(1-K83)*F83-G83)</f>
        <v/>
      </c>
      <c r="I83" s="90">
        <f>IF($E83="","",'Daily Data'!H83)</f>
        <v/>
      </c>
      <c r="J83" s="91">
        <f>IF($E83="","",E83-H83-I83)</f>
        <v/>
      </c>
      <c r="K83" s="60">
        <f>IF($E83="","",IF(A83&lt;HLP_ChangeDate,HLP_Legacy,HLP_Current))</f>
        <v/>
      </c>
      <c r="L83" s="91">
        <f>IF($E83="","",J83/(1-K83))</f>
        <v/>
      </c>
      <c r="M83" s="90">
        <f>IF($E83="","",'Daily Data'!I83)</f>
        <v/>
      </c>
      <c r="N83" s="91">
        <f>IF($E83="","",M83*(1-K83)-I83)</f>
        <v/>
      </c>
      <c r="O83" s="92" t="inlineStr"/>
      <c r="P83" s="93">
        <f>IF($E83="","",(L83+F83+M83)*K83)</f>
        <v/>
      </c>
      <c r="Q83" s="91">
        <f>IF($E83="","",L83*K83)</f>
        <v/>
      </c>
      <c r="R83" s="91">
        <f>IF($E83="","",F83*K83)</f>
        <v/>
      </c>
      <c r="S83" s="91">
        <f>IF($E83="","",M83*K83)</f>
        <v/>
      </c>
      <c r="T83" s="63">
        <f>IF(OR($E83="",B83=0),"",L83/B83*10000)</f>
        <v/>
      </c>
      <c r="U83" s="63">
        <f>IF(OR($E83="",C83=0),"",F83/C83*10000)</f>
        <v/>
      </c>
      <c r="V83" s="63">
        <f>IF(OR($E83="",D83=0),"",M83/D83*10000)</f>
        <v/>
      </c>
    </row>
    <row r="84">
      <c r="A84" s="35" t="n">
        <v>45738</v>
      </c>
      <c r="B84" s="90">
        <f>'Daily Data'!B84</f>
        <v/>
      </c>
      <c r="C84" s="90">
        <f>'Daily Data'!D84</f>
        <v/>
      </c>
      <c r="D84" s="90">
        <f>'Daily Data'!C84</f>
        <v/>
      </c>
      <c r="E84" s="90">
        <f>IF('Daily Data'!E84="","",'Daily Data'!E84)</f>
        <v/>
      </c>
      <c r="F84" s="90">
        <f>IF($E84="","",'Daily Data'!F84)</f>
        <v/>
      </c>
      <c r="G84" s="90">
        <f>IF($E84="","",'Daily Data'!G84)</f>
        <v/>
      </c>
      <c r="H84" s="91">
        <f>IF($E84="","",(1-K84)*F84-G84)</f>
        <v/>
      </c>
      <c r="I84" s="90">
        <f>IF($E84="","",'Daily Data'!H84)</f>
        <v/>
      </c>
      <c r="J84" s="91">
        <f>IF($E84="","",E84-H84-I84)</f>
        <v/>
      </c>
      <c r="K84" s="60">
        <f>IF($E84="","",IF(A84&lt;HLP_ChangeDate,HLP_Legacy,HLP_Current))</f>
        <v/>
      </c>
      <c r="L84" s="91">
        <f>IF($E84="","",J84/(1-K84))</f>
        <v/>
      </c>
      <c r="M84" s="90">
        <f>IF($E84="","",'Daily Data'!I84)</f>
        <v/>
      </c>
      <c r="N84" s="91">
        <f>IF($E84="","",M84*(1-K84)-I84)</f>
        <v/>
      </c>
      <c r="O84" s="92" t="inlineStr"/>
      <c r="P84" s="93">
        <f>IF($E84="","",(L84+F84+M84)*K84)</f>
        <v/>
      </c>
      <c r="Q84" s="91">
        <f>IF($E84="","",L84*K84)</f>
        <v/>
      </c>
      <c r="R84" s="91">
        <f>IF($E84="","",F84*K84)</f>
        <v/>
      </c>
      <c r="S84" s="91">
        <f>IF($E84="","",M84*K84)</f>
        <v/>
      </c>
      <c r="T84" s="63">
        <f>IF(OR($E84="",B84=0),"",L84/B84*10000)</f>
        <v/>
      </c>
      <c r="U84" s="63">
        <f>IF(OR($E84="",C84=0),"",F84/C84*10000)</f>
        <v/>
      </c>
      <c r="V84" s="63">
        <f>IF(OR($E84="",D84=0),"",M84/D84*10000)</f>
        <v/>
      </c>
    </row>
    <row r="85">
      <c r="A85" s="35" t="n">
        <v>45739</v>
      </c>
      <c r="B85" s="90">
        <f>'Daily Data'!B85</f>
        <v/>
      </c>
      <c r="C85" s="90">
        <f>'Daily Data'!D85</f>
        <v/>
      </c>
      <c r="D85" s="90">
        <f>'Daily Data'!C85</f>
        <v/>
      </c>
      <c r="E85" s="90">
        <f>IF('Daily Data'!E85="","",'Daily Data'!E85)</f>
        <v/>
      </c>
      <c r="F85" s="90">
        <f>IF($E85="","",'Daily Data'!F85)</f>
        <v/>
      </c>
      <c r="G85" s="90">
        <f>IF($E85="","",'Daily Data'!G85)</f>
        <v/>
      </c>
      <c r="H85" s="91">
        <f>IF($E85="","",(1-K85)*F85-G85)</f>
        <v/>
      </c>
      <c r="I85" s="90">
        <f>IF($E85="","",'Daily Data'!H85)</f>
        <v/>
      </c>
      <c r="J85" s="91">
        <f>IF($E85="","",E85-H85-I85)</f>
        <v/>
      </c>
      <c r="K85" s="60">
        <f>IF($E85="","",IF(A85&lt;HLP_ChangeDate,HLP_Legacy,HLP_Current))</f>
        <v/>
      </c>
      <c r="L85" s="91">
        <f>IF($E85="","",J85/(1-K85))</f>
        <v/>
      </c>
      <c r="M85" s="90">
        <f>IF($E85="","",'Daily Data'!I85)</f>
        <v/>
      </c>
      <c r="N85" s="91">
        <f>IF($E85="","",M85*(1-K85)-I85)</f>
        <v/>
      </c>
      <c r="O85" s="92" t="inlineStr"/>
      <c r="P85" s="93">
        <f>IF($E85="","",(L85+F85+M85)*K85)</f>
        <v/>
      </c>
      <c r="Q85" s="91">
        <f>IF($E85="","",L85*K85)</f>
        <v/>
      </c>
      <c r="R85" s="91">
        <f>IF($E85="","",F85*K85)</f>
        <v/>
      </c>
      <c r="S85" s="91">
        <f>IF($E85="","",M85*K85)</f>
        <v/>
      </c>
      <c r="T85" s="63">
        <f>IF(OR($E85="",B85=0),"",L85/B85*10000)</f>
        <v/>
      </c>
      <c r="U85" s="63">
        <f>IF(OR($E85="",C85=0),"",F85/C85*10000)</f>
        <v/>
      </c>
      <c r="V85" s="63">
        <f>IF(OR($E85="",D85=0),"",M85/D85*10000)</f>
        <v/>
      </c>
    </row>
    <row r="86">
      <c r="A86" s="35" t="n">
        <v>45740</v>
      </c>
      <c r="B86" s="90">
        <f>'Daily Data'!B86</f>
        <v/>
      </c>
      <c r="C86" s="90">
        <f>'Daily Data'!D86</f>
        <v/>
      </c>
      <c r="D86" s="90">
        <f>'Daily Data'!C86</f>
        <v/>
      </c>
      <c r="E86" s="90">
        <f>IF('Daily Data'!E86="","",'Daily Data'!E86)</f>
        <v/>
      </c>
      <c r="F86" s="90">
        <f>IF($E86="","",'Daily Data'!F86)</f>
        <v/>
      </c>
      <c r="G86" s="90">
        <f>IF($E86="","",'Daily Data'!G86)</f>
        <v/>
      </c>
      <c r="H86" s="91">
        <f>IF($E86="","",(1-K86)*F86-G86)</f>
        <v/>
      </c>
      <c r="I86" s="90">
        <f>IF($E86="","",'Daily Data'!H86)</f>
        <v/>
      </c>
      <c r="J86" s="91">
        <f>IF($E86="","",E86-H86-I86)</f>
        <v/>
      </c>
      <c r="K86" s="60">
        <f>IF($E86="","",IF(A86&lt;HLP_ChangeDate,HLP_Legacy,HLP_Current))</f>
        <v/>
      </c>
      <c r="L86" s="91">
        <f>IF($E86="","",J86/(1-K86))</f>
        <v/>
      </c>
      <c r="M86" s="90">
        <f>IF($E86="","",'Daily Data'!I86)</f>
        <v/>
      </c>
      <c r="N86" s="91">
        <f>IF($E86="","",M86*(1-K86)-I86)</f>
        <v/>
      </c>
      <c r="O86" s="92" t="inlineStr"/>
      <c r="P86" s="93">
        <f>IF($E86="","",(L86+F86+M86)*K86)</f>
        <v/>
      </c>
      <c r="Q86" s="91">
        <f>IF($E86="","",L86*K86)</f>
        <v/>
      </c>
      <c r="R86" s="91">
        <f>IF($E86="","",F86*K86)</f>
        <v/>
      </c>
      <c r="S86" s="91">
        <f>IF($E86="","",M86*K86)</f>
        <v/>
      </c>
      <c r="T86" s="63">
        <f>IF(OR($E86="",B86=0),"",L86/B86*10000)</f>
        <v/>
      </c>
      <c r="U86" s="63">
        <f>IF(OR($E86="",C86=0),"",F86/C86*10000)</f>
        <v/>
      </c>
      <c r="V86" s="63">
        <f>IF(OR($E86="",D86=0),"",M86/D86*10000)</f>
        <v/>
      </c>
    </row>
    <row r="87">
      <c r="A87" s="35" t="n">
        <v>45741</v>
      </c>
      <c r="B87" s="90">
        <f>'Daily Data'!B87</f>
        <v/>
      </c>
      <c r="C87" s="90">
        <f>'Daily Data'!D87</f>
        <v/>
      </c>
      <c r="D87" s="90">
        <f>'Daily Data'!C87</f>
        <v/>
      </c>
      <c r="E87" s="90">
        <f>IF('Daily Data'!E87="","",'Daily Data'!E87)</f>
        <v/>
      </c>
      <c r="F87" s="90">
        <f>IF($E87="","",'Daily Data'!F87)</f>
        <v/>
      </c>
      <c r="G87" s="90">
        <f>IF($E87="","",'Daily Data'!G87)</f>
        <v/>
      </c>
      <c r="H87" s="91">
        <f>IF($E87="","",(1-K87)*F87-G87)</f>
        <v/>
      </c>
      <c r="I87" s="90">
        <f>IF($E87="","",'Daily Data'!H87)</f>
        <v/>
      </c>
      <c r="J87" s="91">
        <f>IF($E87="","",E87-H87-I87)</f>
        <v/>
      </c>
      <c r="K87" s="60">
        <f>IF($E87="","",IF(A87&lt;HLP_ChangeDate,HLP_Legacy,HLP_Current))</f>
        <v/>
      </c>
      <c r="L87" s="91">
        <f>IF($E87="","",J87/(1-K87))</f>
        <v/>
      </c>
      <c r="M87" s="90">
        <f>IF($E87="","",'Daily Data'!I87)</f>
        <v/>
      </c>
      <c r="N87" s="91">
        <f>IF($E87="","",M87*(1-K87)-I87)</f>
        <v/>
      </c>
      <c r="O87" s="92" t="inlineStr"/>
      <c r="P87" s="93">
        <f>IF($E87="","",(L87+F87+M87)*K87)</f>
        <v/>
      </c>
      <c r="Q87" s="91">
        <f>IF($E87="","",L87*K87)</f>
        <v/>
      </c>
      <c r="R87" s="91">
        <f>IF($E87="","",F87*K87)</f>
        <v/>
      </c>
      <c r="S87" s="91">
        <f>IF($E87="","",M87*K87)</f>
        <v/>
      </c>
      <c r="T87" s="63">
        <f>IF(OR($E87="",B87=0),"",L87/B87*10000)</f>
        <v/>
      </c>
      <c r="U87" s="63">
        <f>IF(OR($E87="",C87=0),"",F87/C87*10000)</f>
        <v/>
      </c>
      <c r="V87" s="63">
        <f>IF(OR($E87="",D87=0),"",M87/D87*10000)</f>
        <v/>
      </c>
    </row>
    <row r="88">
      <c r="A88" s="35" t="n">
        <v>45742</v>
      </c>
      <c r="B88" s="90">
        <f>'Daily Data'!B88</f>
        <v/>
      </c>
      <c r="C88" s="90">
        <f>'Daily Data'!D88</f>
        <v/>
      </c>
      <c r="D88" s="90">
        <f>'Daily Data'!C88</f>
        <v/>
      </c>
      <c r="E88" s="90">
        <f>IF('Daily Data'!E88="","",'Daily Data'!E88)</f>
        <v/>
      </c>
      <c r="F88" s="90">
        <f>IF($E88="","",'Daily Data'!F88)</f>
        <v/>
      </c>
      <c r="G88" s="90">
        <f>IF($E88="","",'Daily Data'!G88)</f>
        <v/>
      </c>
      <c r="H88" s="91">
        <f>IF($E88="","",(1-K88)*F88-G88)</f>
        <v/>
      </c>
      <c r="I88" s="90">
        <f>IF($E88="","",'Daily Data'!H88)</f>
        <v/>
      </c>
      <c r="J88" s="91">
        <f>IF($E88="","",E88-H88-I88)</f>
        <v/>
      </c>
      <c r="K88" s="60">
        <f>IF($E88="","",IF(A88&lt;HLP_ChangeDate,HLP_Legacy,HLP_Current))</f>
        <v/>
      </c>
      <c r="L88" s="91">
        <f>IF($E88="","",J88/(1-K88))</f>
        <v/>
      </c>
      <c r="M88" s="90">
        <f>IF($E88="","",'Daily Data'!I88)</f>
        <v/>
      </c>
      <c r="N88" s="91">
        <f>IF($E88="","",M88*(1-K88)-I88)</f>
        <v/>
      </c>
      <c r="O88" s="92" t="inlineStr"/>
      <c r="P88" s="93">
        <f>IF($E88="","",(L88+F88+M88)*K88)</f>
        <v/>
      </c>
      <c r="Q88" s="91">
        <f>IF($E88="","",L88*K88)</f>
        <v/>
      </c>
      <c r="R88" s="91">
        <f>IF($E88="","",F88*K88)</f>
        <v/>
      </c>
      <c r="S88" s="91">
        <f>IF($E88="","",M88*K88)</f>
        <v/>
      </c>
      <c r="T88" s="63">
        <f>IF(OR($E88="",B88=0),"",L88/B88*10000)</f>
        <v/>
      </c>
      <c r="U88" s="63">
        <f>IF(OR($E88="",C88=0),"",F88/C88*10000)</f>
        <v/>
      </c>
      <c r="V88" s="63">
        <f>IF(OR($E88="",D88=0),"",M88/D88*10000)</f>
        <v/>
      </c>
    </row>
    <row r="89">
      <c r="A89" s="35" t="n">
        <v>45743</v>
      </c>
      <c r="B89" s="90">
        <f>'Daily Data'!B89</f>
        <v/>
      </c>
      <c r="C89" s="90">
        <f>'Daily Data'!D89</f>
        <v/>
      </c>
      <c r="D89" s="90">
        <f>'Daily Data'!C89</f>
        <v/>
      </c>
      <c r="E89" s="90">
        <f>IF('Daily Data'!E89="","",'Daily Data'!E89)</f>
        <v/>
      </c>
      <c r="F89" s="90">
        <f>IF($E89="","",'Daily Data'!F89)</f>
        <v/>
      </c>
      <c r="G89" s="90">
        <f>IF($E89="","",'Daily Data'!G89)</f>
        <v/>
      </c>
      <c r="H89" s="91">
        <f>IF($E89="","",(1-K89)*F89-G89)</f>
        <v/>
      </c>
      <c r="I89" s="90">
        <f>IF($E89="","",'Daily Data'!H89)</f>
        <v/>
      </c>
      <c r="J89" s="91">
        <f>IF($E89="","",E89-H89-I89)</f>
        <v/>
      </c>
      <c r="K89" s="60">
        <f>IF($E89="","",IF(A89&lt;HLP_ChangeDate,HLP_Legacy,HLP_Current))</f>
        <v/>
      </c>
      <c r="L89" s="91">
        <f>IF($E89="","",J89/(1-K89))</f>
        <v/>
      </c>
      <c r="M89" s="90">
        <f>IF($E89="","",'Daily Data'!I89)</f>
        <v/>
      </c>
      <c r="N89" s="91">
        <f>IF($E89="","",M89*(1-K89)-I89)</f>
        <v/>
      </c>
      <c r="O89" s="92" t="inlineStr"/>
      <c r="P89" s="93">
        <f>IF($E89="","",(L89+F89+M89)*K89)</f>
        <v/>
      </c>
      <c r="Q89" s="91">
        <f>IF($E89="","",L89*K89)</f>
        <v/>
      </c>
      <c r="R89" s="91">
        <f>IF($E89="","",F89*K89)</f>
        <v/>
      </c>
      <c r="S89" s="91">
        <f>IF($E89="","",M89*K89)</f>
        <v/>
      </c>
      <c r="T89" s="63">
        <f>IF(OR($E89="",B89=0),"",L89/B89*10000)</f>
        <v/>
      </c>
      <c r="U89" s="63">
        <f>IF(OR($E89="",C89=0),"",F89/C89*10000)</f>
        <v/>
      </c>
      <c r="V89" s="63">
        <f>IF(OR($E89="",D89=0),"",M89/D89*10000)</f>
        <v/>
      </c>
    </row>
    <row r="90">
      <c r="A90" s="35" t="n">
        <v>45744</v>
      </c>
      <c r="B90" s="90">
        <f>'Daily Data'!B90</f>
        <v/>
      </c>
      <c r="C90" s="90">
        <f>'Daily Data'!D90</f>
        <v/>
      </c>
      <c r="D90" s="90">
        <f>'Daily Data'!C90</f>
        <v/>
      </c>
      <c r="E90" s="90">
        <f>IF('Daily Data'!E90="","",'Daily Data'!E90)</f>
        <v/>
      </c>
      <c r="F90" s="90">
        <f>IF($E90="","",'Daily Data'!F90)</f>
        <v/>
      </c>
      <c r="G90" s="90">
        <f>IF($E90="","",'Daily Data'!G90)</f>
        <v/>
      </c>
      <c r="H90" s="91">
        <f>IF($E90="","",(1-K90)*F90-G90)</f>
        <v/>
      </c>
      <c r="I90" s="90">
        <f>IF($E90="","",'Daily Data'!H90)</f>
        <v/>
      </c>
      <c r="J90" s="91">
        <f>IF($E90="","",E90-H90-I90)</f>
        <v/>
      </c>
      <c r="K90" s="60">
        <f>IF($E90="","",IF(A90&lt;HLP_ChangeDate,HLP_Legacy,HLP_Current))</f>
        <v/>
      </c>
      <c r="L90" s="91">
        <f>IF($E90="","",J90/(1-K90))</f>
        <v/>
      </c>
      <c r="M90" s="90">
        <f>IF($E90="","",'Daily Data'!I90)</f>
        <v/>
      </c>
      <c r="N90" s="91">
        <f>IF($E90="","",M90*(1-K90)-I90)</f>
        <v/>
      </c>
      <c r="O90" s="92" t="inlineStr"/>
      <c r="P90" s="93">
        <f>IF($E90="","",(L90+F90+M90)*K90)</f>
        <v/>
      </c>
      <c r="Q90" s="91">
        <f>IF($E90="","",L90*K90)</f>
        <v/>
      </c>
      <c r="R90" s="91">
        <f>IF($E90="","",F90*K90)</f>
        <v/>
      </c>
      <c r="S90" s="91">
        <f>IF($E90="","",M90*K90)</f>
        <v/>
      </c>
      <c r="T90" s="63">
        <f>IF(OR($E90="",B90=0),"",L90/B90*10000)</f>
        <v/>
      </c>
      <c r="U90" s="63">
        <f>IF(OR($E90="",C90=0),"",F90/C90*10000)</f>
        <v/>
      </c>
      <c r="V90" s="63">
        <f>IF(OR($E90="",D90=0),"",M90/D90*10000)</f>
        <v/>
      </c>
    </row>
    <row r="91">
      <c r="A91" s="35" t="n">
        <v>45745</v>
      </c>
      <c r="B91" s="90">
        <f>'Daily Data'!B91</f>
        <v/>
      </c>
      <c r="C91" s="90">
        <f>'Daily Data'!D91</f>
        <v/>
      </c>
      <c r="D91" s="90">
        <f>'Daily Data'!C91</f>
        <v/>
      </c>
      <c r="E91" s="90">
        <f>IF('Daily Data'!E91="","",'Daily Data'!E91)</f>
        <v/>
      </c>
      <c r="F91" s="90">
        <f>IF($E91="","",'Daily Data'!F91)</f>
        <v/>
      </c>
      <c r="G91" s="90">
        <f>IF($E91="","",'Daily Data'!G91)</f>
        <v/>
      </c>
      <c r="H91" s="91">
        <f>IF($E91="","",(1-K91)*F91-G91)</f>
        <v/>
      </c>
      <c r="I91" s="90">
        <f>IF($E91="","",'Daily Data'!H91)</f>
        <v/>
      </c>
      <c r="J91" s="91">
        <f>IF($E91="","",E91-H91-I91)</f>
        <v/>
      </c>
      <c r="K91" s="60">
        <f>IF($E91="","",IF(A91&lt;HLP_ChangeDate,HLP_Legacy,HLP_Current))</f>
        <v/>
      </c>
      <c r="L91" s="91">
        <f>IF($E91="","",J91/(1-K91))</f>
        <v/>
      </c>
      <c r="M91" s="90">
        <f>IF($E91="","",'Daily Data'!I91)</f>
        <v/>
      </c>
      <c r="N91" s="91">
        <f>IF($E91="","",M91*(1-K91)-I91)</f>
        <v/>
      </c>
      <c r="O91" s="92" t="inlineStr"/>
      <c r="P91" s="93">
        <f>IF($E91="","",(L91+F91+M91)*K91)</f>
        <v/>
      </c>
      <c r="Q91" s="91">
        <f>IF($E91="","",L91*K91)</f>
        <v/>
      </c>
      <c r="R91" s="91">
        <f>IF($E91="","",F91*K91)</f>
        <v/>
      </c>
      <c r="S91" s="91">
        <f>IF($E91="","",M91*K91)</f>
        <v/>
      </c>
      <c r="T91" s="63">
        <f>IF(OR($E91="",B91=0),"",L91/B91*10000)</f>
        <v/>
      </c>
      <c r="U91" s="63">
        <f>IF(OR($E91="",C91=0),"",F91/C91*10000)</f>
        <v/>
      </c>
      <c r="V91" s="63">
        <f>IF(OR($E91="",D91=0),"",M91/D91*10000)</f>
        <v/>
      </c>
    </row>
    <row r="92">
      <c r="A92" s="35" t="n">
        <v>45746</v>
      </c>
      <c r="B92" s="90">
        <f>'Daily Data'!B92</f>
        <v/>
      </c>
      <c r="C92" s="90">
        <f>'Daily Data'!D92</f>
        <v/>
      </c>
      <c r="D92" s="90">
        <f>'Daily Data'!C92</f>
        <v/>
      </c>
      <c r="E92" s="90">
        <f>IF('Daily Data'!E92="","",'Daily Data'!E92)</f>
        <v/>
      </c>
      <c r="F92" s="90">
        <f>IF($E92="","",'Daily Data'!F92)</f>
        <v/>
      </c>
      <c r="G92" s="90">
        <f>IF($E92="","",'Daily Data'!G92)</f>
        <v/>
      </c>
      <c r="H92" s="91">
        <f>IF($E92="","",(1-K92)*F92-G92)</f>
        <v/>
      </c>
      <c r="I92" s="90">
        <f>IF($E92="","",'Daily Data'!H92)</f>
        <v/>
      </c>
      <c r="J92" s="91">
        <f>IF($E92="","",E92-H92-I92)</f>
        <v/>
      </c>
      <c r="K92" s="60">
        <f>IF($E92="","",IF(A92&lt;HLP_ChangeDate,HLP_Legacy,HLP_Current))</f>
        <v/>
      </c>
      <c r="L92" s="91">
        <f>IF($E92="","",J92/(1-K92))</f>
        <v/>
      </c>
      <c r="M92" s="90">
        <f>IF($E92="","",'Daily Data'!I92)</f>
        <v/>
      </c>
      <c r="N92" s="91">
        <f>IF($E92="","",M92*(1-K92)-I92)</f>
        <v/>
      </c>
      <c r="O92" s="92" t="inlineStr"/>
      <c r="P92" s="93">
        <f>IF($E92="","",(L92+F92+M92)*K92)</f>
        <v/>
      </c>
      <c r="Q92" s="91">
        <f>IF($E92="","",L92*K92)</f>
        <v/>
      </c>
      <c r="R92" s="91">
        <f>IF($E92="","",F92*K92)</f>
        <v/>
      </c>
      <c r="S92" s="91">
        <f>IF($E92="","",M92*K92)</f>
        <v/>
      </c>
      <c r="T92" s="63">
        <f>IF(OR($E92="",B92=0),"",L92/B92*10000)</f>
        <v/>
      </c>
      <c r="U92" s="63">
        <f>IF(OR($E92="",C92=0),"",F92/C92*10000)</f>
        <v/>
      </c>
      <c r="V92" s="63">
        <f>IF(OR($E92="",D92=0),"",M92/D92*10000)</f>
        <v/>
      </c>
    </row>
    <row r="93">
      <c r="A93" s="35" t="n">
        <v>45747</v>
      </c>
      <c r="B93" s="90">
        <f>'Daily Data'!B93</f>
        <v/>
      </c>
      <c r="C93" s="90">
        <f>'Daily Data'!D93</f>
        <v/>
      </c>
      <c r="D93" s="90">
        <f>'Daily Data'!C93</f>
        <v/>
      </c>
      <c r="E93" s="90">
        <f>IF('Daily Data'!E93="","",'Daily Data'!E93)</f>
        <v/>
      </c>
      <c r="F93" s="90">
        <f>IF($E93="","",'Daily Data'!F93)</f>
        <v/>
      </c>
      <c r="G93" s="90">
        <f>IF($E93="","",'Daily Data'!G93)</f>
        <v/>
      </c>
      <c r="H93" s="91">
        <f>IF($E93="","",(1-K93)*F93-G93)</f>
        <v/>
      </c>
      <c r="I93" s="90">
        <f>IF($E93="","",'Daily Data'!H93)</f>
        <v/>
      </c>
      <c r="J93" s="91">
        <f>IF($E93="","",E93-H93-I93)</f>
        <v/>
      </c>
      <c r="K93" s="60">
        <f>IF($E93="","",IF(A93&lt;HLP_ChangeDate,HLP_Legacy,HLP_Current))</f>
        <v/>
      </c>
      <c r="L93" s="91">
        <f>IF($E93="","",J93/(1-K93))</f>
        <v/>
      </c>
      <c r="M93" s="90">
        <f>IF($E93="","",'Daily Data'!I93)</f>
        <v/>
      </c>
      <c r="N93" s="91">
        <f>IF($E93="","",M93*(1-K93)-I93)</f>
        <v/>
      </c>
      <c r="O93" s="92" t="inlineStr"/>
      <c r="P93" s="93">
        <f>IF($E93="","",(L93+F93+M93)*K93)</f>
        <v/>
      </c>
      <c r="Q93" s="91">
        <f>IF($E93="","",L93*K93)</f>
        <v/>
      </c>
      <c r="R93" s="91">
        <f>IF($E93="","",F93*K93)</f>
        <v/>
      </c>
      <c r="S93" s="91">
        <f>IF($E93="","",M93*K93)</f>
        <v/>
      </c>
      <c r="T93" s="63">
        <f>IF(OR($E93="",B93=0),"",L93/B93*10000)</f>
        <v/>
      </c>
      <c r="U93" s="63">
        <f>IF(OR($E93="",C93=0),"",F93/C93*10000)</f>
        <v/>
      </c>
      <c r="V93" s="63">
        <f>IF(OR($E93="",D93=0),"",M93/D93*10000)</f>
        <v/>
      </c>
    </row>
    <row r="94">
      <c r="A94" s="35" t="n">
        <v>45748</v>
      </c>
      <c r="B94" s="90">
        <f>'Daily Data'!B94</f>
        <v/>
      </c>
      <c r="C94" s="90">
        <f>'Daily Data'!D94</f>
        <v/>
      </c>
      <c r="D94" s="90">
        <f>'Daily Data'!C94</f>
        <v/>
      </c>
      <c r="E94" s="90">
        <f>IF('Daily Data'!E94="","",'Daily Data'!E94)</f>
        <v/>
      </c>
      <c r="F94" s="90">
        <f>IF($E94="","",'Daily Data'!F94)</f>
        <v/>
      </c>
      <c r="G94" s="90">
        <f>IF($E94="","",'Daily Data'!G94)</f>
        <v/>
      </c>
      <c r="H94" s="91">
        <f>IF($E94="","",(1-K94)*F94-G94)</f>
        <v/>
      </c>
      <c r="I94" s="90">
        <f>IF($E94="","",'Daily Data'!H94)</f>
        <v/>
      </c>
      <c r="J94" s="91">
        <f>IF($E94="","",E94-H94-I94)</f>
        <v/>
      </c>
      <c r="K94" s="60">
        <f>IF($E94="","",IF(A94&lt;HLP_ChangeDate,HLP_Legacy,HLP_Current))</f>
        <v/>
      </c>
      <c r="L94" s="91">
        <f>IF($E94="","",J94/(1-K94))</f>
        <v/>
      </c>
      <c r="M94" s="90">
        <f>IF($E94="","",'Daily Data'!I94)</f>
        <v/>
      </c>
      <c r="N94" s="91">
        <f>IF($E94="","",M94*(1-K94)-I94)</f>
        <v/>
      </c>
      <c r="O94" s="92" t="inlineStr"/>
      <c r="P94" s="93">
        <f>IF($E94="","",(L94+F94+M94)*K94)</f>
        <v/>
      </c>
      <c r="Q94" s="91">
        <f>IF($E94="","",L94*K94)</f>
        <v/>
      </c>
      <c r="R94" s="91">
        <f>IF($E94="","",F94*K94)</f>
        <v/>
      </c>
      <c r="S94" s="91">
        <f>IF($E94="","",M94*K94)</f>
        <v/>
      </c>
      <c r="T94" s="63">
        <f>IF(OR($E94="",B94=0),"",L94/B94*10000)</f>
        <v/>
      </c>
      <c r="U94" s="63">
        <f>IF(OR($E94="",C94=0),"",F94/C94*10000)</f>
        <v/>
      </c>
      <c r="V94" s="63">
        <f>IF(OR($E94="",D94=0),"",M94/D94*10000)</f>
        <v/>
      </c>
    </row>
    <row r="95">
      <c r="A95" s="35" t="n">
        <v>45749</v>
      </c>
      <c r="B95" s="90">
        <f>'Daily Data'!B95</f>
        <v/>
      </c>
      <c r="C95" s="90">
        <f>'Daily Data'!D95</f>
        <v/>
      </c>
      <c r="D95" s="90">
        <f>'Daily Data'!C95</f>
        <v/>
      </c>
      <c r="E95" s="90">
        <f>IF('Daily Data'!E95="","",'Daily Data'!E95)</f>
        <v/>
      </c>
      <c r="F95" s="90">
        <f>IF($E95="","",'Daily Data'!F95)</f>
        <v/>
      </c>
      <c r="G95" s="90">
        <f>IF($E95="","",'Daily Data'!G95)</f>
        <v/>
      </c>
      <c r="H95" s="91">
        <f>IF($E95="","",(1-K95)*F95-G95)</f>
        <v/>
      </c>
      <c r="I95" s="90">
        <f>IF($E95="","",'Daily Data'!H95)</f>
        <v/>
      </c>
      <c r="J95" s="91">
        <f>IF($E95="","",E95-H95-I95)</f>
        <v/>
      </c>
      <c r="K95" s="60">
        <f>IF($E95="","",IF(A95&lt;HLP_ChangeDate,HLP_Legacy,HLP_Current))</f>
        <v/>
      </c>
      <c r="L95" s="91">
        <f>IF($E95="","",J95/(1-K95))</f>
        <v/>
      </c>
      <c r="M95" s="90">
        <f>IF($E95="","",'Daily Data'!I95)</f>
        <v/>
      </c>
      <c r="N95" s="91">
        <f>IF($E95="","",M95*(1-K95)-I95)</f>
        <v/>
      </c>
      <c r="O95" s="92" t="inlineStr"/>
      <c r="P95" s="93">
        <f>IF($E95="","",(L95+F95+M95)*K95)</f>
        <v/>
      </c>
      <c r="Q95" s="91">
        <f>IF($E95="","",L95*K95)</f>
        <v/>
      </c>
      <c r="R95" s="91">
        <f>IF($E95="","",F95*K95)</f>
        <v/>
      </c>
      <c r="S95" s="91">
        <f>IF($E95="","",M95*K95)</f>
        <v/>
      </c>
      <c r="T95" s="63">
        <f>IF(OR($E95="",B95=0),"",L95/B95*10000)</f>
        <v/>
      </c>
      <c r="U95" s="63">
        <f>IF(OR($E95="",C95=0),"",F95/C95*10000)</f>
        <v/>
      </c>
      <c r="V95" s="63">
        <f>IF(OR($E95="",D95=0),"",M95/D95*10000)</f>
        <v/>
      </c>
    </row>
    <row r="96">
      <c r="A96" s="35" t="n">
        <v>45750</v>
      </c>
      <c r="B96" s="90">
        <f>'Daily Data'!B96</f>
        <v/>
      </c>
      <c r="C96" s="90">
        <f>'Daily Data'!D96</f>
        <v/>
      </c>
      <c r="D96" s="90">
        <f>'Daily Data'!C96</f>
        <v/>
      </c>
      <c r="E96" s="90">
        <f>IF('Daily Data'!E96="","",'Daily Data'!E96)</f>
        <v/>
      </c>
      <c r="F96" s="90">
        <f>IF($E96="","",'Daily Data'!F96)</f>
        <v/>
      </c>
      <c r="G96" s="90">
        <f>IF($E96="","",'Daily Data'!G96)</f>
        <v/>
      </c>
      <c r="H96" s="91">
        <f>IF($E96="","",(1-K96)*F96-G96)</f>
        <v/>
      </c>
      <c r="I96" s="90">
        <f>IF($E96="","",'Daily Data'!H96)</f>
        <v/>
      </c>
      <c r="J96" s="91">
        <f>IF($E96="","",E96-H96-I96)</f>
        <v/>
      </c>
      <c r="K96" s="60">
        <f>IF($E96="","",IF(A96&lt;HLP_ChangeDate,HLP_Legacy,HLP_Current))</f>
        <v/>
      </c>
      <c r="L96" s="91">
        <f>IF($E96="","",J96/(1-K96))</f>
        <v/>
      </c>
      <c r="M96" s="90">
        <f>IF($E96="","",'Daily Data'!I96)</f>
        <v/>
      </c>
      <c r="N96" s="91">
        <f>IF($E96="","",M96*(1-K96)-I96)</f>
        <v/>
      </c>
      <c r="O96" s="92" t="inlineStr"/>
      <c r="P96" s="93">
        <f>IF($E96="","",(L96+F96+M96)*K96)</f>
        <v/>
      </c>
      <c r="Q96" s="91">
        <f>IF($E96="","",L96*K96)</f>
        <v/>
      </c>
      <c r="R96" s="91">
        <f>IF($E96="","",F96*K96)</f>
        <v/>
      </c>
      <c r="S96" s="91">
        <f>IF($E96="","",M96*K96)</f>
        <v/>
      </c>
      <c r="T96" s="63">
        <f>IF(OR($E96="",B96=0),"",L96/B96*10000)</f>
        <v/>
      </c>
      <c r="U96" s="63">
        <f>IF(OR($E96="",C96=0),"",F96/C96*10000)</f>
        <v/>
      </c>
      <c r="V96" s="63">
        <f>IF(OR($E96="",D96=0),"",M96/D96*10000)</f>
        <v/>
      </c>
    </row>
    <row r="97">
      <c r="A97" s="35" t="n">
        <v>45751</v>
      </c>
      <c r="B97" s="90">
        <f>'Daily Data'!B97</f>
        <v/>
      </c>
      <c r="C97" s="90">
        <f>'Daily Data'!D97</f>
        <v/>
      </c>
      <c r="D97" s="90">
        <f>'Daily Data'!C97</f>
        <v/>
      </c>
      <c r="E97" s="90">
        <f>IF('Daily Data'!E97="","",'Daily Data'!E97)</f>
        <v/>
      </c>
      <c r="F97" s="90">
        <f>IF($E97="","",'Daily Data'!F97)</f>
        <v/>
      </c>
      <c r="G97" s="90">
        <f>IF($E97="","",'Daily Data'!G97)</f>
        <v/>
      </c>
      <c r="H97" s="91">
        <f>IF($E97="","",(1-K97)*F97-G97)</f>
        <v/>
      </c>
      <c r="I97" s="90">
        <f>IF($E97="","",'Daily Data'!H97)</f>
        <v/>
      </c>
      <c r="J97" s="91">
        <f>IF($E97="","",E97-H97-I97)</f>
        <v/>
      </c>
      <c r="K97" s="60">
        <f>IF($E97="","",IF(A97&lt;HLP_ChangeDate,HLP_Legacy,HLP_Current))</f>
        <v/>
      </c>
      <c r="L97" s="91">
        <f>IF($E97="","",J97/(1-K97))</f>
        <v/>
      </c>
      <c r="M97" s="90">
        <f>IF($E97="","",'Daily Data'!I97)</f>
        <v/>
      </c>
      <c r="N97" s="91">
        <f>IF($E97="","",M97*(1-K97)-I97)</f>
        <v/>
      </c>
      <c r="O97" s="92" t="inlineStr"/>
      <c r="P97" s="93">
        <f>IF($E97="","",(L97+F97+M97)*K97)</f>
        <v/>
      </c>
      <c r="Q97" s="91">
        <f>IF($E97="","",L97*K97)</f>
        <v/>
      </c>
      <c r="R97" s="91">
        <f>IF($E97="","",F97*K97)</f>
        <v/>
      </c>
      <c r="S97" s="91">
        <f>IF($E97="","",M97*K97)</f>
        <v/>
      </c>
      <c r="T97" s="63">
        <f>IF(OR($E97="",B97=0),"",L97/B97*10000)</f>
        <v/>
      </c>
      <c r="U97" s="63">
        <f>IF(OR($E97="",C97=0),"",F97/C97*10000)</f>
        <v/>
      </c>
      <c r="V97" s="63">
        <f>IF(OR($E97="",D97=0),"",M97/D97*10000)</f>
        <v/>
      </c>
    </row>
    <row r="98">
      <c r="A98" s="35" t="n">
        <v>45752</v>
      </c>
      <c r="B98" s="90">
        <f>'Daily Data'!B98</f>
        <v/>
      </c>
      <c r="C98" s="90">
        <f>'Daily Data'!D98</f>
        <v/>
      </c>
      <c r="D98" s="90">
        <f>'Daily Data'!C98</f>
        <v/>
      </c>
      <c r="E98" s="90">
        <f>IF('Daily Data'!E98="","",'Daily Data'!E98)</f>
        <v/>
      </c>
      <c r="F98" s="90">
        <f>IF($E98="","",'Daily Data'!F98)</f>
        <v/>
      </c>
      <c r="G98" s="90">
        <f>IF($E98="","",'Daily Data'!G98)</f>
        <v/>
      </c>
      <c r="H98" s="91">
        <f>IF($E98="","",(1-K98)*F98-G98)</f>
        <v/>
      </c>
      <c r="I98" s="90">
        <f>IF($E98="","",'Daily Data'!H98)</f>
        <v/>
      </c>
      <c r="J98" s="91">
        <f>IF($E98="","",E98-H98-I98)</f>
        <v/>
      </c>
      <c r="K98" s="60">
        <f>IF($E98="","",IF(A98&lt;HLP_ChangeDate,HLP_Legacy,HLP_Current))</f>
        <v/>
      </c>
      <c r="L98" s="91">
        <f>IF($E98="","",J98/(1-K98))</f>
        <v/>
      </c>
      <c r="M98" s="90">
        <f>IF($E98="","",'Daily Data'!I98)</f>
        <v/>
      </c>
      <c r="N98" s="91">
        <f>IF($E98="","",M98*(1-K98)-I98)</f>
        <v/>
      </c>
      <c r="O98" s="92" t="inlineStr"/>
      <c r="P98" s="93">
        <f>IF($E98="","",(L98+F98+M98)*K98)</f>
        <v/>
      </c>
      <c r="Q98" s="91">
        <f>IF($E98="","",L98*K98)</f>
        <v/>
      </c>
      <c r="R98" s="91">
        <f>IF($E98="","",F98*K98)</f>
        <v/>
      </c>
      <c r="S98" s="91">
        <f>IF($E98="","",M98*K98)</f>
        <v/>
      </c>
      <c r="T98" s="63">
        <f>IF(OR($E98="",B98=0),"",L98/B98*10000)</f>
        <v/>
      </c>
      <c r="U98" s="63">
        <f>IF(OR($E98="",C98=0),"",F98/C98*10000)</f>
        <v/>
      </c>
      <c r="V98" s="63">
        <f>IF(OR($E98="",D98=0),"",M98/D98*10000)</f>
        <v/>
      </c>
    </row>
    <row r="99">
      <c r="A99" s="35" t="n">
        <v>45753</v>
      </c>
      <c r="B99" s="90">
        <f>'Daily Data'!B99</f>
        <v/>
      </c>
      <c r="C99" s="90">
        <f>'Daily Data'!D99</f>
        <v/>
      </c>
      <c r="D99" s="90">
        <f>'Daily Data'!C99</f>
        <v/>
      </c>
      <c r="E99" s="90">
        <f>IF('Daily Data'!E99="","",'Daily Data'!E99)</f>
        <v/>
      </c>
      <c r="F99" s="90">
        <f>IF($E99="","",'Daily Data'!F99)</f>
        <v/>
      </c>
      <c r="G99" s="90">
        <f>IF($E99="","",'Daily Data'!G99)</f>
        <v/>
      </c>
      <c r="H99" s="91">
        <f>IF($E99="","",(1-K99)*F99-G99)</f>
        <v/>
      </c>
      <c r="I99" s="90">
        <f>IF($E99="","",'Daily Data'!H99)</f>
        <v/>
      </c>
      <c r="J99" s="91">
        <f>IF($E99="","",E99-H99-I99)</f>
        <v/>
      </c>
      <c r="K99" s="60">
        <f>IF($E99="","",IF(A99&lt;HLP_ChangeDate,HLP_Legacy,HLP_Current))</f>
        <v/>
      </c>
      <c r="L99" s="91">
        <f>IF($E99="","",J99/(1-K99))</f>
        <v/>
      </c>
      <c r="M99" s="90">
        <f>IF($E99="","",'Daily Data'!I99)</f>
        <v/>
      </c>
      <c r="N99" s="91">
        <f>IF($E99="","",M99*(1-K99)-I99)</f>
        <v/>
      </c>
      <c r="O99" s="92" t="inlineStr"/>
      <c r="P99" s="93">
        <f>IF($E99="","",(L99+F99+M99)*K99)</f>
        <v/>
      </c>
      <c r="Q99" s="91">
        <f>IF($E99="","",L99*K99)</f>
        <v/>
      </c>
      <c r="R99" s="91">
        <f>IF($E99="","",F99*K99)</f>
        <v/>
      </c>
      <c r="S99" s="91">
        <f>IF($E99="","",M99*K99)</f>
        <v/>
      </c>
      <c r="T99" s="63">
        <f>IF(OR($E99="",B99=0),"",L99/B99*10000)</f>
        <v/>
      </c>
      <c r="U99" s="63">
        <f>IF(OR($E99="",C99=0),"",F99/C99*10000)</f>
        <v/>
      </c>
      <c r="V99" s="63">
        <f>IF(OR($E99="",D99=0),"",M99/D99*10000)</f>
        <v/>
      </c>
    </row>
    <row r="100">
      <c r="A100" s="35" t="n">
        <v>45754</v>
      </c>
      <c r="B100" s="90">
        <f>'Daily Data'!B100</f>
        <v/>
      </c>
      <c r="C100" s="90">
        <f>'Daily Data'!D100</f>
        <v/>
      </c>
      <c r="D100" s="90">
        <f>'Daily Data'!C100</f>
        <v/>
      </c>
      <c r="E100" s="90">
        <f>IF('Daily Data'!E100="","",'Daily Data'!E100)</f>
        <v/>
      </c>
      <c r="F100" s="90">
        <f>IF($E100="","",'Daily Data'!F100)</f>
        <v/>
      </c>
      <c r="G100" s="90">
        <f>IF($E100="","",'Daily Data'!G100)</f>
        <v/>
      </c>
      <c r="H100" s="91">
        <f>IF($E100="","",(1-K100)*F100-G100)</f>
        <v/>
      </c>
      <c r="I100" s="90">
        <f>IF($E100="","",'Daily Data'!H100)</f>
        <v/>
      </c>
      <c r="J100" s="91">
        <f>IF($E100="","",E100-H100-I100)</f>
        <v/>
      </c>
      <c r="K100" s="60">
        <f>IF($E100="","",IF(A100&lt;HLP_ChangeDate,HLP_Legacy,HLP_Current))</f>
        <v/>
      </c>
      <c r="L100" s="91">
        <f>IF($E100="","",J100/(1-K100))</f>
        <v/>
      </c>
      <c r="M100" s="90">
        <f>IF($E100="","",'Daily Data'!I100)</f>
        <v/>
      </c>
      <c r="N100" s="91">
        <f>IF($E100="","",M100*(1-K100)-I100)</f>
        <v/>
      </c>
      <c r="O100" s="92" t="inlineStr"/>
      <c r="P100" s="93">
        <f>IF($E100="","",(L100+F100+M100)*K100)</f>
        <v/>
      </c>
      <c r="Q100" s="91">
        <f>IF($E100="","",L100*K100)</f>
        <v/>
      </c>
      <c r="R100" s="91">
        <f>IF($E100="","",F100*K100)</f>
        <v/>
      </c>
      <c r="S100" s="91">
        <f>IF($E100="","",M100*K100)</f>
        <v/>
      </c>
      <c r="T100" s="63">
        <f>IF(OR($E100="",B100=0),"",L100/B100*10000)</f>
        <v/>
      </c>
      <c r="U100" s="63">
        <f>IF(OR($E100="",C100=0),"",F100/C100*10000)</f>
        <v/>
      </c>
      <c r="V100" s="63">
        <f>IF(OR($E100="",D100=0),"",M100/D100*10000)</f>
        <v/>
      </c>
    </row>
    <row r="101">
      <c r="A101" s="35" t="n">
        <v>45755</v>
      </c>
      <c r="B101" s="90">
        <f>'Daily Data'!B101</f>
        <v/>
      </c>
      <c r="C101" s="90">
        <f>'Daily Data'!D101</f>
        <v/>
      </c>
      <c r="D101" s="90">
        <f>'Daily Data'!C101</f>
        <v/>
      </c>
      <c r="E101" s="90">
        <f>IF('Daily Data'!E101="","",'Daily Data'!E101)</f>
        <v/>
      </c>
      <c r="F101" s="90">
        <f>IF($E101="","",'Daily Data'!F101)</f>
        <v/>
      </c>
      <c r="G101" s="90">
        <f>IF($E101="","",'Daily Data'!G101)</f>
        <v/>
      </c>
      <c r="H101" s="91">
        <f>IF($E101="","",(1-K101)*F101-G101)</f>
        <v/>
      </c>
      <c r="I101" s="90">
        <f>IF($E101="","",'Daily Data'!H101)</f>
        <v/>
      </c>
      <c r="J101" s="91">
        <f>IF($E101="","",E101-H101-I101)</f>
        <v/>
      </c>
      <c r="K101" s="60">
        <f>IF($E101="","",IF(A101&lt;HLP_ChangeDate,HLP_Legacy,HLP_Current))</f>
        <v/>
      </c>
      <c r="L101" s="91">
        <f>IF($E101="","",J101/(1-K101))</f>
        <v/>
      </c>
      <c r="M101" s="90">
        <f>IF($E101="","",'Daily Data'!I101)</f>
        <v/>
      </c>
      <c r="N101" s="91">
        <f>IF($E101="","",M101*(1-K101)-I101)</f>
        <v/>
      </c>
      <c r="O101" s="92" t="inlineStr"/>
      <c r="P101" s="93">
        <f>IF($E101="","",(L101+F101+M101)*K101)</f>
        <v/>
      </c>
      <c r="Q101" s="91">
        <f>IF($E101="","",L101*K101)</f>
        <v/>
      </c>
      <c r="R101" s="91">
        <f>IF($E101="","",F101*K101)</f>
        <v/>
      </c>
      <c r="S101" s="91">
        <f>IF($E101="","",M101*K101)</f>
        <v/>
      </c>
      <c r="T101" s="63">
        <f>IF(OR($E101="",B101=0),"",L101/B101*10000)</f>
        <v/>
      </c>
      <c r="U101" s="63">
        <f>IF(OR($E101="",C101=0),"",F101/C101*10000)</f>
        <v/>
      </c>
      <c r="V101" s="63">
        <f>IF(OR($E101="",D101=0),"",M101/D101*10000)</f>
        <v/>
      </c>
    </row>
    <row r="102">
      <c r="A102" s="35" t="n">
        <v>45756</v>
      </c>
      <c r="B102" s="90">
        <f>'Daily Data'!B102</f>
        <v/>
      </c>
      <c r="C102" s="90">
        <f>'Daily Data'!D102</f>
        <v/>
      </c>
      <c r="D102" s="90">
        <f>'Daily Data'!C102</f>
        <v/>
      </c>
      <c r="E102" s="90">
        <f>IF('Daily Data'!E102="","",'Daily Data'!E102)</f>
        <v/>
      </c>
      <c r="F102" s="90">
        <f>IF($E102="","",'Daily Data'!F102)</f>
        <v/>
      </c>
      <c r="G102" s="90">
        <f>IF($E102="","",'Daily Data'!G102)</f>
        <v/>
      </c>
      <c r="H102" s="91">
        <f>IF($E102="","",(1-K102)*F102-G102)</f>
        <v/>
      </c>
      <c r="I102" s="90">
        <f>IF($E102="","",'Daily Data'!H102)</f>
        <v/>
      </c>
      <c r="J102" s="91">
        <f>IF($E102="","",E102-H102-I102)</f>
        <v/>
      </c>
      <c r="K102" s="60">
        <f>IF($E102="","",IF(A102&lt;HLP_ChangeDate,HLP_Legacy,HLP_Current))</f>
        <v/>
      </c>
      <c r="L102" s="91">
        <f>IF($E102="","",J102/(1-K102))</f>
        <v/>
      </c>
      <c r="M102" s="90">
        <f>IF($E102="","",'Daily Data'!I102)</f>
        <v/>
      </c>
      <c r="N102" s="91">
        <f>IF($E102="","",M102*(1-K102)-I102)</f>
        <v/>
      </c>
      <c r="O102" s="92" t="inlineStr"/>
      <c r="P102" s="93">
        <f>IF($E102="","",(L102+F102+M102)*K102)</f>
        <v/>
      </c>
      <c r="Q102" s="91">
        <f>IF($E102="","",L102*K102)</f>
        <v/>
      </c>
      <c r="R102" s="91">
        <f>IF($E102="","",F102*K102)</f>
        <v/>
      </c>
      <c r="S102" s="91">
        <f>IF($E102="","",M102*K102)</f>
        <v/>
      </c>
      <c r="T102" s="63">
        <f>IF(OR($E102="",B102=0),"",L102/B102*10000)</f>
        <v/>
      </c>
      <c r="U102" s="63">
        <f>IF(OR($E102="",C102=0),"",F102/C102*10000)</f>
        <v/>
      </c>
      <c r="V102" s="63">
        <f>IF(OR($E102="",D102=0),"",M102/D102*10000)</f>
        <v/>
      </c>
    </row>
    <row r="103">
      <c r="A103" s="35" t="n">
        <v>45757</v>
      </c>
      <c r="B103" s="90">
        <f>'Daily Data'!B103</f>
        <v/>
      </c>
      <c r="C103" s="90">
        <f>'Daily Data'!D103</f>
        <v/>
      </c>
      <c r="D103" s="90">
        <f>'Daily Data'!C103</f>
        <v/>
      </c>
      <c r="E103" s="90">
        <f>IF('Daily Data'!E103="","",'Daily Data'!E103)</f>
        <v/>
      </c>
      <c r="F103" s="90">
        <f>IF($E103="","",'Daily Data'!F103)</f>
        <v/>
      </c>
      <c r="G103" s="90">
        <f>IF($E103="","",'Daily Data'!G103)</f>
        <v/>
      </c>
      <c r="H103" s="91">
        <f>IF($E103="","",(1-K103)*F103-G103)</f>
        <v/>
      </c>
      <c r="I103" s="90">
        <f>IF($E103="","",'Daily Data'!H103)</f>
        <v/>
      </c>
      <c r="J103" s="91">
        <f>IF($E103="","",E103-H103-I103)</f>
        <v/>
      </c>
      <c r="K103" s="60">
        <f>IF($E103="","",IF(A103&lt;HLP_ChangeDate,HLP_Legacy,HLP_Current))</f>
        <v/>
      </c>
      <c r="L103" s="91">
        <f>IF($E103="","",J103/(1-K103))</f>
        <v/>
      </c>
      <c r="M103" s="90">
        <f>IF($E103="","",'Daily Data'!I103)</f>
        <v/>
      </c>
      <c r="N103" s="91">
        <f>IF($E103="","",M103*(1-K103)-I103)</f>
        <v/>
      </c>
      <c r="O103" s="92" t="inlineStr"/>
      <c r="P103" s="93">
        <f>IF($E103="","",(L103+F103+M103)*K103)</f>
        <v/>
      </c>
      <c r="Q103" s="91">
        <f>IF($E103="","",L103*K103)</f>
        <v/>
      </c>
      <c r="R103" s="91">
        <f>IF($E103="","",F103*K103)</f>
        <v/>
      </c>
      <c r="S103" s="91">
        <f>IF($E103="","",M103*K103)</f>
        <v/>
      </c>
      <c r="T103" s="63">
        <f>IF(OR($E103="",B103=0),"",L103/B103*10000)</f>
        <v/>
      </c>
      <c r="U103" s="63">
        <f>IF(OR($E103="",C103=0),"",F103/C103*10000)</f>
        <v/>
      </c>
      <c r="V103" s="63">
        <f>IF(OR($E103="",D103=0),"",M103/D103*10000)</f>
        <v/>
      </c>
    </row>
    <row r="104">
      <c r="A104" s="35" t="n">
        <v>45758</v>
      </c>
      <c r="B104" s="90">
        <f>'Daily Data'!B104</f>
        <v/>
      </c>
      <c r="C104" s="90">
        <f>'Daily Data'!D104</f>
        <v/>
      </c>
      <c r="D104" s="90">
        <f>'Daily Data'!C104</f>
        <v/>
      </c>
      <c r="E104" s="90">
        <f>IF('Daily Data'!E104="","",'Daily Data'!E104)</f>
        <v/>
      </c>
      <c r="F104" s="90">
        <f>IF($E104="","",'Daily Data'!F104)</f>
        <v/>
      </c>
      <c r="G104" s="90">
        <f>IF($E104="","",'Daily Data'!G104)</f>
        <v/>
      </c>
      <c r="H104" s="91">
        <f>IF($E104="","",(1-K104)*F104-G104)</f>
        <v/>
      </c>
      <c r="I104" s="90">
        <f>IF($E104="","",'Daily Data'!H104)</f>
        <v/>
      </c>
      <c r="J104" s="91">
        <f>IF($E104="","",E104-H104-I104)</f>
        <v/>
      </c>
      <c r="K104" s="60">
        <f>IF($E104="","",IF(A104&lt;HLP_ChangeDate,HLP_Legacy,HLP_Current))</f>
        <v/>
      </c>
      <c r="L104" s="91">
        <f>IF($E104="","",J104/(1-K104))</f>
        <v/>
      </c>
      <c r="M104" s="90">
        <f>IF($E104="","",'Daily Data'!I104)</f>
        <v/>
      </c>
      <c r="N104" s="91">
        <f>IF($E104="","",M104*(1-K104)-I104)</f>
        <v/>
      </c>
      <c r="O104" s="92" t="inlineStr"/>
      <c r="P104" s="93">
        <f>IF($E104="","",(L104+F104+M104)*K104)</f>
        <v/>
      </c>
      <c r="Q104" s="91">
        <f>IF($E104="","",L104*K104)</f>
        <v/>
      </c>
      <c r="R104" s="91">
        <f>IF($E104="","",F104*K104)</f>
        <v/>
      </c>
      <c r="S104" s="91">
        <f>IF($E104="","",M104*K104)</f>
        <v/>
      </c>
      <c r="T104" s="63">
        <f>IF(OR($E104="",B104=0),"",L104/B104*10000)</f>
        <v/>
      </c>
      <c r="U104" s="63">
        <f>IF(OR($E104="",C104=0),"",F104/C104*10000)</f>
        <v/>
      </c>
      <c r="V104" s="63">
        <f>IF(OR($E104="",D104=0),"",M104/D104*10000)</f>
        <v/>
      </c>
    </row>
    <row r="105">
      <c r="A105" s="35" t="n">
        <v>45759</v>
      </c>
      <c r="B105" s="90">
        <f>'Daily Data'!B105</f>
        <v/>
      </c>
      <c r="C105" s="90">
        <f>'Daily Data'!D105</f>
        <v/>
      </c>
      <c r="D105" s="90">
        <f>'Daily Data'!C105</f>
        <v/>
      </c>
      <c r="E105" s="90">
        <f>IF('Daily Data'!E105="","",'Daily Data'!E105)</f>
        <v/>
      </c>
      <c r="F105" s="90">
        <f>IF($E105="","",'Daily Data'!F105)</f>
        <v/>
      </c>
      <c r="G105" s="90">
        <f>IF($E105="","",'Daily Data'!G105)</f>
        <v/>
      </c>
      <c r="H105" s="91">
        <f>IF($E105="","",(1-K105)*F105-G105)</f>
        <v/>
      </c>
      <c r="I105" s="90">
        <f>IF($E105="","",'Daily Data'!H105)</f>
        <v/>
      </c>
      <c r="J105" s="91">
        <f>IF($E105="","",E105-H105-I105)</f>
        <v/>
      </c>
      <c r="K105" s="60">
        <f>IF($E105="","",IF(A105&lt;HLP_ChangeDate,HLP_Legacy,HLP_Current))</f>
        <v/>
      </c>
      <c r="L105" s="91">
        <f>IF($E105="","",J105/(1-K105))</f>
        <v/>
      </c>
      <c r="M105" s="90">
        <f>IF($E105="","",'Daily Data'!I105)</f>
        <v/>
      </c>
      <c r="N105" s="91">
        <f>IF($E105="","",M105*(1-K105)-I105)</f>
        <v/>
      </c>
      <c r="O105" s="92" t="inlineStr"/>
      <c r="P105" s="93">
        <f>IF($E105="","",(L105+F105+M105)*K105)</f>
        <v/>
      </c>
      <c r="Q105" s="91">
        <f>IF($E105="","",L105*K105)</f>
        <v/>
      </c>
      <c r="R105" s="91">
        <f>IF($E105="","",F105*K105)</f>
        <v/>
      </c>
      <c r="S105" s="91">
        <f>IF($E105="","",M105*K105)</f>
        <v/>
      </c>
      <c r="T105" s="63">
        <f>IF(OR($E105="",B105=0),"",L105/B105*10000)</f>
        <v/>
      </c>
      <c r="U105" s="63">
        <f>IF(OR($E105="",C105=0),"",F105/C105*10000)</f>
        <v/>
      </c>
      <c r="V105" s="63">
        <f>IF(OR($E105="",D105=0),"",M105/D105*10000)</f>
        <v/>
      </c>
    </row>
    <row r="106">
      <c r="A106" s="35" t="n">
        <v>45760</v>
      </c>
      <c r="B106" s="90">
        <f>'Daily Data'!B106</f>
        <v/>
      </c>
      <c r="C106" s="90">
        <f>'Daily Data'!D106</f>
        <v/>
      </c>
      <c r="D106" s="90">
        <f>'Daily Data'!C106</f>
        <v/>
      </c>
      <c r="E106" s="90">
        <f>IF('Daily Data'!E106="","",'Daily Data'!E106)</f>
        <v/>
      </c>
      <c r="F106" s="90">
        <f>IF($E106="","",'Daily Data'!F106)</f>
        <v/>
      </c>
      <c r="G106" s="90">
        <f>IF($E106="","",'Daily Data'!G106)</f>
        <v/>
      </c>
      <c r="H106" s="91">
        <f>IF($E106="","",(1-K106)*F106-G106)</f>
        <v/>
      </c>
      <c r="I106" s="90">
        <f>IF($E106="","",'Daily Data'!H106)</f>
        <v/>
      </c>
      <c r="J106" s="91">
        <f>IF($E106="","",E106-H106-I106)</f>
        <v/>
      </c>
      <c r="K106" s="60">
        <f>IF($E106="","",IF(A106&lt;HLP_ChangeDate,HLP_Legacy,HLP_Current))</f>
        <v/>
      </c>
      <c r="L106" s="91">
        <f>IF($E106="","",J106/(1-K106))</f>
        <v/>
      </c>
      <c r="M106" s="90">
        <f>IF($E106="","",'Daily Data'!I106)</f>
        <v/>
      </c>
      <c r="N106" s="91">
        <f>IF($E106="","",M106*(1-K106)-I106)</f>
        <v/>
      </c>
      <c r="O106" s="92" t="inlineStr"/>
      <c r="P106" s="93">
        <f>IF($E106="","",(L106+F106+M106)*K106)</f>
        <v/>
      </c>
      <c r="Q106" s="91">
        <f>IF($E106="","",L106*K106)</f>
        <v/>
      </c>
      <c r="R106" s="91">
        <f>IF($E106="","",F106*K106)</f>
        <v/>
      </c>
      <c r="S106" s="91">
        <f>IF($E106="","",M106*K106)</f>
        <v/>
      </c>
      <c r="T106" s="63">
        <f>IF(OR($E106="",B106=0),"",L106/B106*10000)</f>
        <v/>
      </c>
      <c r="U106" s="63">
        <f>IF(OR($E106="",C106=0),"",F106/C106*10000)</f>
        <v/>
      </c>
      <c r="V106" s="63">
        <f>IF(OR($E106="",D106=0),"",M106/D106*10000)</f>
        <v/>
      </c>
    </row>
    <row r="107">
      <c r="A107" s="35" t="n">
        <v>45761</v>
      </c>
      <c r="B107" s="90">
        <f>'Daily Data'!B107</f>
        <v/>
      </c>
      <c r="C107" s="90">
        <f>'Daily Data'!D107</f>
        <v/>
      </c>
      <c r="D107" s="90">
        <f>'Daily Data'!C107</f>
        <v/>
      </c>
      <c r="E107" s="90">
        <f>IF('Daily Data'!E107="","",'Daily Data'!E107)</f>
        <v/>
      </c>
      <c r="F107" s="90">
        <f>IF($E107="","",'Daily Data'!F107)</f>
        <v/>
      </c>
      <c r="G107" s="90">
        <f>IF($E107="","",'Daily Data'!G107)</f>
        <v/>
      </c>
      <c r="H107" s="91">
        <f>IF($E107="","",(1-K107)*F107-G107)</f>
        <v/>
      </c>
      <c r="I107" s="90">
        <f>IF($E107="","",'Daily Data'!H107)</f>
        <v/>
      </c>
      <c r="J107" s="91">
        <f>IF($E107="","",E107-H107-I107)</f>
        <v/>
      </c>
      <c r="K107" s="60">
        <f>IF($E107="","",IF(A107&lt;HLP_ChangeDate,HLP_Legacy,HLP_Current))</f>
        <v/>
      </c>
      <c r="L107" s="91">
        <f>IF($E107="","",J107/(1-K107))</f>
        <v/>
      </c>
      <c r="M107" s="90">
        <f>IF($E107="","",'Daily Data'!I107)</f>
        <v/>
      </c>
      <c r="N107" s="91">
        <f>IF($E107="","",M107*(1-K107)-I107)</f>
        <v/>
      </c>
      <c r="O107" s="92" t="inlineStr"/>
      <c r="P107" s="93">
        <f>IF($E107="","",(L107+F107+M107)*K107)</f>
        <v/>
      </c>
      <c r="Q107" s="91">
        <f>IF($E107="","",L107*K107)</f>
        <v/>
      </c>
      <c r="R107" s="91">
        <f>IF($E107="","",F107*K107)</f>
        <v/>
      </c>
      <c r="S107" s="91">
        <f>IF($E107="","",M107*K107)</f>
        <v/>
      </c>
      <c r="T107" s="63">
        <f>IF(OR($E107="",B107=0),"",L107/B107*10000)</f>
        <v/>
      </c>
      <c r="U107" s="63">
        <f>IF(OR($E107="",C107=0),"",F107/C107*10000)</f>
        <v/>
      </c>
      <c r="V107" s="63">
        <f>IF(OR($E107="",D107=0),"",M107/D107*10000)</f>
        <v/>
      </c>
    </row>
    <row r="108">
      <c r="A108" s="35" t="n">
        <v>45762</v>
      </c>
      <c r="B108" s="90">
        <f>'Daily Data'!B108</f>
        <v/>
      </c>
      <c r="C108" s="90">
        <f>'Daily Data'!D108</f>
        <v/>
      </c>
      <c r="D108" s="90">
        <f>'Daily Data'!C108</f>
        <v/>
      </c>
      <c r="E108" s="90">
        <f>IF('Daily Data'!E108="","",'Daily Data'!E108)</f>
        <v/>
      </c>
      <c r="F108" s="90">
        <f>IF($E108="","",'Daily Data'!F108)</f>
        <v/>
      </c>
      <c r="G108" s="90">
        <f>IF($E108="","",'Daily Data'!G108)</f>
        <v/>
      </c>
      <c r="H108" s="91">
        <f>IF($E108="","",(1-K108)*F108-G108)</f>
        <v/>
      </c>
      <c r="I108" s="90">
        <f>IF($E108="","",'Daily Data'!H108)</f>
        <v/>
      </c>
      <c r="J108" s="91">
        <f>IF($E108="","",E108-H108-I108)</f>
        <v/>
      </c>
      <c r="K108" s="60">
        <f>IF($E108="","",IF(A108&lt;HLP_ChangeDate,HLP_Legacy,HLP_Current))</f>
        <v/>
      </c>
      <c r="L108" s="91">
        <f>IF($E108="","",J108/(1-K108))</f>
        <v/>
      </c>
      <c r="M108" s="90">
        <f>IF($E108="","",'Daily Data'!I108)</f>
        <v/>
      </c>
      <c r="N108" s="91">
        <f>IF($E108="","",M108*(1-K108)-I108)</f>
        <v/>
      </c>
      <c r="O108" s="92" t="inlineStr"/>
      <c r="P108" s="93">
        <f>IF($E108="","",(L108+F108+M108)*K108)</f>
        <v/>
      </c>
      <c r="Q108" s="91">
        <f>IF($E108="","",L108*K108)</f>
        <v/>
      </c>
      <c r="R108" s="91">
        <f>IF($E108="","",F108*K108)</f>
        <v/>
      </c>
      <c r="S108" s="91">
        <f>IF($E108="","",M108*K108)</f>
        <v/>
      </c>
      <c r="T108" s="63">
        <f>IF(OR($E108="",B108=0),"",L108/B108*10000)</f>
        <v/>
      </c>
      <c r="U108" s="63">
        <f>IF(OR($E108="",C108=0),"",F108/C108*10000)</f>
        <v/>
      </c>
      <c r="V108" s="63">
        <f>IF(OR($E108="",D108=0),"",M108/D108*10000)</f>
        <v/>
      </c>
    </row>
    <row r="109">
      <c r="A109" s="35" t="n">
        <v>45763</v>
      </c>
      <c r="B109" s="90">
        <f>'Daily Data'!B109</f>
        <v/>
      </c>
      <c r="C109" s="90">
        <f>'Daily Data'!D109</f>
        <v/>
      </c>
      <c r="D109" s="90">
        <f>'Daily Data'!C109</f>
        <v/>
      </c>
      <c r="E109" s="90">
        <f>IF('Daily Data'!E109="","",'Daily Data'!E109)</f>
        <v/>
      </c>
      <c r="F109" s="90">
        <f>IF($E109="","",'Daily Data'!F109)</f>
        <v/>
      </c>
      <c r="G109" s="90">
        <f>IF($E109="","",'Daily Data'!G109)</f>
        <v/>
      </c>
      <c r="H109" s="91">
        <f>IF($E109="","",(1-K109)*F109-G109)</f>
        <v/>
      </c>
      <c r="I109" s="90">
        <f>IF($E109="","",'Daily Data'!H109)</f>
        <v/>
      </c>
      <c r="J109" s="91">
        <f>IF($E109="","",E109-H109-I109)</f>
        <v/>
      </c>
      <c r="K109" s="60">
        <f>IF($E109="","",IF(A109&lt;HLP_ChangeDate,HLP_Legacy,HLP_Current))</f>
        <v/>
      </c>
      <c r="L109" s="91">
        <f>IF($E109="","",J109/(1-K109))</f>
        <v/>
      </c>
      <c r="M109" s="90">
        <f>IF($E109="","",'Daily Data'!I109)</f>
        <v/>
      </c>
      <c r="N109" s="91">
        <f>IF($E109="","",M109*(1-K109)-I109)</f>
        <v/>
      </c>
      <c r="O109" s="92" t="inlineStr"/>
      <c r="P109" s="93">
        <f>IF($E109="","",(L109+F109+M109)*K109)</f>
        <v/>
      </c>
      <c r="Q109" s="91">
        <f>IF($E109="","",L109*K109)</f>
        <v/>
      </c>
      <c r="R109" s="91">
        <f>IF($E109="","",F109*K109)</f>
        <v/>
      </c>
      <c r="S109" s="91">
        <f>IF($E109="","",M109*K109)</f>
        <v/>
      </c>
      <c r="T109" s="63">
        <f>IF(OR($E109="",B109=0),"",L109/B109*10000)</f>
        <v/>
      </c>
      <c r="U109" s="63">
        <f>IF(OR($E109="",C109=0),"",F109/C109*10000)</f>
        <v/>
      </c>
      <c r="V109" s="63">
        <f>IF(OR($E109="",D109=0),"",M109/D109*10000)</f>
        <v/>
      </c>
    </row>
    <row r="110">
      <c r="A110" s="35" t="n">
        <v>45764</v>
      </c>
      <c r="B110" s="90">
        <f>'Daily Data'!B110</f>
        <v/>
      </c>
      <c r="C110" s="90">
        <f>'Daily Data'!D110</f>
        <v/>
      </c>
      <c r="D110" s="90">
        <f>'Daily Data'!C110</f>
        <v/>
      </c>
      <c r="E110" s="90">
        <f>IF('Daily Data'!E110="","",'Daily Data'!E110)</f>
        <v/>
      </c>
      <c r="F110" s="90">
        <f>IF($E110="","",'Daily Data'!F110)</f>
        <v/>
      </c>
      <c r="G110" s="90">
        <f>IF($E110="","",'Daily Data'!G110)</f>
        <v/>
      </c>
      <c r="H110" s="91">
        <f>IF($E110="","",(1-K110)*F110-G110)</f>
        <v/>
      </c>
      <c r="I110" s="90">
        <f>IF($E110="","",'Daily Data'!H110)</f>
        <v/>
      </c>
      <c r="J110" s="91">
        <f>IF($E110="","",E110-H110-I110)</f>
        <v/>
      </c>
      <c r="K110" s="60">
        <f>IF($E110="","",IF(A110&lt;HLP_ChangeDate,HLP_Legacy,HLP_Current))</f>
        <v/>
      </c>
      <c r="L110" s="91">
        <f>IF($E110="","",J110/(1-K110))</f>
        <v/>
      </c>
      <c r="M110" s="90">
        <f>IF($E110="","",'Daily Data'!I110)</f>
        <v/>
      </c>
      <c r="N110" s="91">
        <f>IF($E110="","",M110*(1-K110)-I110)</f>
        <v/>
      </c>
      <c r="O110" s="92" t="inlineStr"/>
      <c r="P110" s="93">
        <f>IF($E110="","",(L110+F110+M110)*K110)</f>
        <v/>
      </c>
      <c r="Q110" s="91">
        <f>IF($E110="","",L110*K110)</f>
        <v/>
      </c>
      <c r="R110" s="91">
        <f>IF($E110="","",F110*K110)</f>
        <v/>
      </c>
      <c r="S110" s="91">
        <f>IF($E110="","",M110*K110)</f>
        <v/>
      </c>
      <c r="T110" s="63">
        <f>IF(OR($E110="",B110=0),"",L110/B110*10000)</f>
        <v/>
      </c>
      <c r="U110" s="63">
        <f>IF(OR($E110="",C110=0),"",F110/C110*10000)</f>
        <v/>
      </c>
      <c r="V110" s="63">
        <f>IF(OR($E110="",D110=0),"",M110/D110*10000)</f>
        <v/>
      </c>
    </row>
    <row r="111">
      <c r="A111" s="35" t="n">
        <v>45765</v>
      </c>
      <c r="B111" s="90">
        <f>'Daily Data'!B111</f>
        <v/>
      </c>
      <c r="C111" s="90">
        <f>'Daily Data'!D111</f>
        <v/>
      </c>
      <c r="D111" s="90">
        <f>'Daily Data'!C111</f>
        <v/>
      </c>
      <c r="E111" s="90">
        <f>IF('Daily Data'!E111="","",'Daily Data'!E111)</f>
        <v/>
      </c>
      <c r="F111" s="90">
        <f>IF($E111="","",'Daily Data'!F111)</f>
        <v/>
      </c>
      <c r="G111" s="90">
        <f>IF($E111="","",'Daily Data'!G111)</f>
        <v/>
      </c>
      <c r="H111" s="91">
        <f>IF($E111="","",(1-K111)*F111-G111)</f>
        <v/>
      </c>
      <c r="I111" s="90">
        <f>IF($E111="","",'Daily Data'!H111)</f>
        <v/>
      </c>
      <c r="J111" s="91">
        <f>IF($E111="","",E111-H111-I111)</f>
        <v/>
      </c>
      <c r="K111" s="60">
        <f>IF($E111="","",IF(A111&lt;HLP_ChangeDate,HLP_Legacy,HLP_Current))</f>
        <v/>
      </c>
      <c r="L111" s="91">
        <f>IF($E111="","",J111/(1-K111))</f>
        <v/>
      </c>
      <c r="M111" s="90">
        <f>IF($E111="","",'Daily Data'!I111)</f>
        <v/>
      </c>
      <c r="N111" s="91">
        <f>IF($E111="","",M111*(1-K111)-I111)</f>
        <v/>
      </c>
      <c r="O111" s="92" t="inlineStr"/>
      <c r="P111" s="93">
        <f>IF($E111="","",(L111+F111+M111)*K111)</f>
        <v/>
      </c>
      <c r="Q111" s="91">
        <f>IF($E111="","",L111*K111)</f>
        <v/>
      </c>
      <c r="R111" s="91">
        <f>IF($E111="","",F111*K111)</f>
        <v/>
      </c>
      <c r="S111" s="91">
        <f>IF($E111="","",M111*K111)</f>
        <v/>
      </c>
      <c r="T111" s="63">
        <f>IF(OR($E111="",B111=0),"",L111/B111*10000)</f>
        <v/>
      </c>
      <c r="U111" s="63">
        <f>IF(OR($E111="",C111=0),"",F111/C111*10000)</f>
        <v/>
      </c>
      <c r="V111" s="63">
        <f>IF(OR($E111="",D111=0),"",M111/D111*10000)</f>
        <v/>
      </c>
    </row>
    <row r="112">
      <c r="A112" s="35" t="n">
        <v>45766</v>
      </c>
      <c r="B112" s="90">
        <f>'Daily Data'!B112</f>
        <v/>
      </c>
      <c r="C112" s="90">
        <f>'Daily Data'!D112</f>
        <v/>
      </c>
      <c r="D112" s="90">
        <f>'Daily Data'!C112</f>
        <v/>
      </c>
      <c r="E112" s="90">
        <f>IF('Daily Data'!E112="","",'Daily Data'!E112)</f>
        <v/>
      </c>
      <c r="F112" s="90">
        <f>IF($E112="","",'Daily Data'!F112)</f>
        <v/>
      </c>
      <c r="G112" s="90">
        <f>IF($E112="","",'Daily Data'!G112)</f>
        <v/>
      </c>
      <c r="H112" s="91">
        <f>IF($E112="","",(1-K112)*F112-G112)</f>
        <v/>
      </c>
      <c r="I112" s="90">
        <f>IF($E112="","",'Daily Data'!H112)</f>
        <v/>
      </c>
      <c r="J112" s="91">
        <f>IF($E112="","",E112-H112-I112)</f>
        <v/>
      </c>
      <c r="K112" s="60">
        <f>IF($E112="","",IF(A112&lt;HLP_ChangeDate,HLP_Legacy,HLP_Current))</f>
        <v/>
      </c>
      <c r="L112" s="91">
        <f>IF($E112="","",J112/(1-K112))</f>
        <v/>
      </c>
      <c r="M112" s="90">
        <f>IF($E112="","",'Daily Data'!I112)</f>
        <v/>
      </c>
      <c r="N112" s="91">
        <f>IF($E112="","",M112*(1-K112)-I112)</f>
        <v/>
      </c>
      <c r="O112" s="92" t="inlineStr"/>
      <c r="P112" s="93">
        <f>IF($E112="","",(L112+F112+M112)*K112)</f>
        <v/>
      </c>
      <c r="Q112" s="91">
        <f>IF($E112="","",L112*K112)</f>
        <v/>
      </c>
      <c r="R112" s="91">
        <f>IF($E112="","",F112*K112)</f>
        <v/>
      </c>
      <c r="S112" s="91">
        <f>IF($E112="","",M112*K112)</f>
        <v/>
      </c>
      <c r="T112" s="63">
        <f>IF(OR($E112="",B112=0),"",L112/B112*10000)</f>
        <v/>
      </c>
      <c r="U112" s="63">
        <f>IF(OR($E112="",C112=0),"",F112/C112*10000)</f>
        <v/>
      </c>
      <c r="V112" s="63">
        <f>IF(OR($E112="",D112=0),"",M112/D112*10000)</f>
        <v/>
      </c>
    </row>
    <row r="113">
      <c r="A113" s="35" t="n">
        <v>45767</v>
      </c>
      <c r="B113" s="90">
        <f>'Daily Data'!B113</f>
        <v/>
      </c>
      <c r="C113" s="90">
        <f>'Daily Data'!D113</f>
        <v/>
      </c>
      <c r="D113" s="90">
        <f>'Daily Data'!C113</f>
        <v/>
      </c>
      <c r="E113" s="90">
        <f>IF('Daily Data'!E113="","",'Daily Data'!E113)</f>
        <v/>
      </c>
      <c r="F113" s="90">
        <f>IF($E113="","",'Daily Data'!F113)</f>
        <v/>
      </c>
      <c r="G113" s="90">
        <f>IF($E113="","",'Daily Data'!G113)</f>
        <v/>
      </c>
      <c r="H113" s="91">
        <f>IF($E113="","",(1-K113)*F113-G113)</f>
        <v/>
      </c>
      <c r="I113" s="90">
        <f>IF($E113="","",'Daily Data'!H113)</f>
        <v/>
      </c>
      <c r="J113" s="91">
        <f>IF($E113="","",E113-H113-I113)</f>
        <v/>
      </c>
      <c r="K113" s="60">
        <f>IF($E113="","",IF(A113&lt;HLP_ChangeDate,HLP_Legacy,HLP_Current))</f>
        <v/>
      </c>
      <c r="L113" s="91">
        <f>IF($E113="","",J113/(1-K113))</f>
        <v/>
      </c>
      <c r="M113" s="90">
        <f>IF($E113="","",'Daily Data'!I113)</f>
        <v/>
      </c>
      <c r="N113" s="91">
        <f>IF($E113="","",M113*(1-K113)-I113)</f>
        <v/>
      </c>
      <c r="O113" s="92" t="inlineStr"/>
      <c r="P113" s="93">
        <f>IF($E113="","",(L113+F113+M113)*K113)</f>
        <v/>
      </c>
      <c r="Q113" s="91">
        <f>IF($E113="","",L113*K113)</f>
        <v/>
      </c>
      <c r="R113" s="91">
        <f>IF($E113="","",F113*K113)</f>
        <v/>
      </c>
      <c r="S113" s="91">
        <f>IF($E113="","",M113*K113)</f>
        <v/>
      </c>
      <c r="T113" s="63">
        <f>IF(OR($E113="",B113=0),"",L113/B113*10000)</f>
        <v/>
      </c>
      <c r="U113" s="63">
        <f>IF(OR($E113="",C113=0),"",F113/C113*10000)</f>
        <v/>
      </c>
      <c r="V113" s="63">
        <f>IF(OR($E113="",D113=0),"",M113/D113*10000)</f>
        <v/>
      </c>
    </row>
    <row r="114">
      <c r="A114" s="35" t="n">
        <v>45768</v>
      </c>
      <c r="B114" s="90">
        <f>'Daily Data'!B114</f>
        <v/>
      </c>
      <c r="C114" s="90">
        <f>'Daily Data'!D114</f>
        <v/>
      </c>
      <c r="D114" s="90">
        <f>'Daily Data'!C114</f>
        <v/>
      </c>
      <c r="E114" s="90">
        <f>IF('Daily Data'!E114="","",'Daily Data'!E114)</f>
        <v/>
      </c>
      <c r="F114" s="90">
        <f>IF($E114="","",'Daily Data'!F114)</f>
        <v/>
      </c>
      <c r="G114" s="90">
        <f>IF($E114="","",'Daily Data'!G114)</f>
        <v/>
      </c>
      <c r="H114" s="91">
        <f>IF($E114="","",(1-K114)*F114-G114)</f>
        <v/>
      </c>
      <c r="I114" s="90">
        <f>IF($E114="","",'Daily Data'!H114)</f>
        <v/>
      </c>
      <c r="J114" s="91">
        <f>IF($E114="","",E114-H114-I114)</f>
        <v/>
      </c>
      <c r="K114" s="60">
        <f>IF($E114="","",IF(A114&lt;HLP_ChangeDate,HLP_Legacy,HLP_Current))</f>
        <v/>
      </c>
      <c r="L114" s="91">
        <f>IF($E114="","",J114/(1-K114))</f>
        <v/>
      </c>
      <c r="M114" s="90">
        <f>IF($E114="","",'Daily Data'!I114)</f>
        <v/>
      </c>
      <c r="N114" s="91">
        <f>IF($E114="","",M114*(1-K114)-I114)</f>
        <v/>
      </c>
      <c r="O114" s="92" t="inlineStr"/>
      <c r="P114" s="93">
        <f>IF($E114="","",(L114+F114+M114)*K114)</f>
        <v/>
      </c>
      <c r="Q114" s="91">
        <f>IF($E114="","",L114*K114)</f>
        <v/>
      </c>
      <c r="R114" s="91">
        <f>IF($E114="","",F114*K114)</f>
        <v/>
      </c>
      <c r="S114" s="91">
        <f>IF($E114="","",M114*K114)</f>
        <v/>
      </c>
      <c r="T114" s="63">
        <f>IF(OR($E114="",B114=0),"",L114/B114*10000)</f>
        <v/>
      </c>
      <c r="U114" s="63">
        <f>IF(OR($E114="",C114=0),"",F114/C114*10000)</f>
        <v/>
      </c>
      <c r="V114" s="63">
        <f>IF(OR($E114="",D114=0),"",M114/D114*10000)</f>
        <v/>
      </c>
    </row>
    <row r="115">
      <c r="A115" s="35" t="n">
        <v>45769</v>
      </c>
      <c r="B115" s="90">
        <f>'Daily Data'!B115</f>
        <v/>
      </c>
      <c r="C115" s="90">
        <f>'Daily Data'!D115</f>
        <v/>
      </c>
      <c r="D115" s="90">
        <f>'Daily Data'!C115</f>
        <v/>
      </c>
      <c r="E115" s="90">
        <f>IF('Daily Data'!E115="","",'Daily Data'!E115)</f>
        <v/>
      </c>
      <c r="F115" s="90">
        <f>IF($E115="","",'Daily Data'!F115)</f>
        <v/>
      </c>
      <c r="G115" s="90">
        <f>IF($E115="","",'Daily Data'!G115)</f>
        <v/>
      </c>
      <c r="H115" s="91">
        <f>IF($E115="","",(1-K115)*F115-G115)</f>
        <v/>
      </c>
      <c r="I115" s="90">
        <f>IF($E115="","",'Daily Data'!H115)</f>
        <v/>
      </c>
      <c r="J115" s="91">
        <f>IF($E115="","",E115-H115-I115)</f>
        <v/>
      </c>
      <c r="K115" s="60">
        <f>IF($E115="","",IF(A115&lt;HLP_ChangeDate,HLP_Legacy,HLP_Current))</f>
        <v/>
      </c>
      <c r="L115" s="91">
        <f>IF($E115="","",J115/(1-K115))</f>
        <v/>
      </c>
      <c r="M115" s="90">
        <f>IF($E115="","",'Daily Data'!I115)</f>
        <v/>
      </c>
      <c r="N115" s="91">
        <f>IF($E115="","",M115*(1-K115)-I115)</f>
        <v/>
      </c>
      <c r="O115" s="92" t="inlineStr"/>
      <c r="P115" s="93">
        <f>IF($E115="","",(L115+F115+M115)*K115)</f>
        <v/>
      </c>
      <c r="Q115" s="91">
        <f>IF($E115="","",L115*K115)</f>
        <v/>
      </c>
      <c r="R115" s="91">
        <f>IF($E115="","",F115*K115)</f>
        <v/>
      </c>
      <c r="S115" s="91">
        <f>IF($E115="","",M115*K115)</f>
        <v/>
      </c>
      <c r="T115" s="63">
        <f>IF(OR($E115="",B115=0),"",L115/B115*10000)</f>
        <v/>
      </c>
      <c r="U115" s="63">
        <f>IF(OR($E115="",C115=0),"",F115/C115*10000)</f>
        <v/>
      </c>
      <c r="V115" s="63">
        <f>IF(OR($E115="",D115=0),"",M115/D115*10000)</f>
        <v/>
      </c>
    </row>
    <row r="116">
      <c r="A116" s="35" t="n">
        <v>45770</v>
      </c>
      <c r="B116" s="90">
        <f>'Daily Data'!B116</f>
        <v/>
      </c>
      <c r="C116" s="90">
        <f>'Daily Data'!D116</f>
        <v/>
      </c>
      <c r="D116" s="90">
        <f>'Daily Data'!C116</f>
        <v/>
      </c>
      <c r="E116" s="90">
        <f>IF('Daily Data'!E116="","",'Daily Data'!E116)</f>
        <v/>
      </c>
      <c r="F116" s="90">
        <f>IF($E116="","",'Daily Data'!F116)</f>
        <v/>
      </c>
      <c r="G116" s="90">
        <f>IF($E116="","",'Daily Data'!G116)</f>
        <v/>
      </c>
      <c r="H116" s="91">
        <f>IF($E116="","",(1-K116)*F116-G116)</f>
        <v/>
      </c>
      <c r="I116" s="90">
        <f>IF($E116="","",'Daily Data'!H116)</f>
        <v/>
      </c>
      <c r="J116" s="91">
        <f>IF($E116="","",E116-H116-I116)</f>
        <v/>
      </c>
      <c r="K116" s="60">
        <f>IF($E116="","",IF(A116&lt;HLP_ChangeDate,HLP_Legacy,HLP_Current))</f>
        <v/>
      </c>
      <c r="L116" s="91">
        <f>IF($E116="","",J116/(1-K116))</f>
        <v/>
      </c>
      <c r="M116" s="90">
        <f>IF($E116="","",'Daily Data'!I116)</f>
        <v/>
      </c>
      <c r="N116" s="91">
        <f>IF($E116="","",M116*(1-K116)-I116)</f>
        <v/>
      </c>
      <c r="O116" s="92" t="inlineStr"/>
      <c r="P116" s="93">
        <f>IF($E116="","",(L116+F116+M116)*K116)</f>
        <v/>
      </c>
      <c r="Q116" s="91">
        <f>IF($E116="","",L116*K116)</f>
        <v/>
      </c>
      <c r="R116" s="91">
        <f>IF($E116="","",F116*K116)</f>
        <v/>
      </c>
      <c r="S116" s="91">
        <f>IF($E116="","",M116*K116)</f>
        <v/>
      </c>
      <c r="T116" s="63">
        <f>IF(OR($E116="",B116=0),"",L116/B116*10000)</f>
        <v/>
      </c>
      <c r="U116" s="63">
        <f>IF(OR($E116="",C116=0),"",F116/C116*10000)</f>
        <v/>
      </c>
      <c r="V116" s="63">
        <f>IF(OR($E116="",D116=0),"",M116/D116*10000)</f>
        <v/>
      </c>
    </row>
    <row r="117">
      <c r="A117" s="35" t="n">
        <v>45771</v>
      </c>
      <c r="B117" s="90">
        <f>'Daily Data'!B117</f>
        <v/>
      </c>
      <c r="C117" s="90">
        <f>'Daily Data'!D117</f>
        <v/>
      </c>
      <c r="D117" s="90">
        <f>'Daily Data'!C117</f>
        <v/>
      </c>
      <c r="E117" s="90">
        <f>IF('Daily Data'!E117="","",'Daily Data'!E117)</f>
        <v/>
      </c>
      <c r="F117" s="90">
        <f>IF($E117="","",'Daily Data'!F117)</f>
        <v/>
      </c>
      <c r="G117" s="90">
        <f>IF($E117="","",'Daily Data'!G117)</f>
        <v/>
      </c>
      <c r="H117" s="91">
        <f>IF($E117="","",(1-K117)*F117-G117)</f>
        <v/>
      </c>
      <c r="I117" s="90">
        <f>IF($E117="","",'Daily Data'!H117)</f>
        <v/>
      </c>
      <c r="J117" s="91">
        <f>IF($E117="","",E117-H117-I117)</f>
        <v/>
      </c>
      <c r="K117" s="60">
        <f>IF($E117="","",IF(A117&lt;HLP_ChangeDate,HLP_Legacy,HLP_Current))</f>
        <v/>
      </c>
      <c r="L117" s="91">
        <f>IF($E117="","",J117/(1-K117))</f>
        <v/>
      </c>
      <c r="M117" s="90">
        <f>IF($E117="","",'Daily Data'!I117)</f>
        <v/>
      </c>
      <c r="N117" s="91">
        <f>IF($E117="","",M117*(1-K117)-I117)</f>
        <v/>
      </c>
      <c r="O117" s="92" t="inlineStr"/>
      <c r="P117" s="93">
        <f>IF($E117="","",(L117+F117+M117)*K117)</f>
        <v/>
      </c>
      <c r="Q117" s="91">
        <f>IF($E117="","",L117*K117)</f>
        <v/>
      </c>
      <c r="R117" s="91">
        <f>IF($E117="","",F117*K117)</f>
        <v/>
      </c>
      <c r="S117" s="91">
        <f>IF($E117="","",M117*K117)</f>
        <v/>
      </c>
      <c r="T117" s="63">
        <f>IF(OR($E117="",B117=0),"",L117/B117*10000)</f>
        <v/>
      </c>
      <c r="U117" s="63">
        <f>IF(OR($E117="",C117=0),"",F117/C117*10000)</f>
        <v/>
      </c>
      <c r="V117" s="63">
        <f>IF(OR($E117="",D117=0),"",M117/D117*10000)</f>
        <v/>
      </c>
    </row>
    <row r="118">
      <c r="A118" s="35" t="n">
        <v>45772</v>
      </c>
      <c r="B118" s="90">
        <f>'Daily Data'!B118</f>
        <v/>
      </c>
      <c r="C118" s="90">
        <f>'Daily Data'!D118</f>
        <v/>
      </c>
      <c r="D118" s="90">
        <f>'Daily Data'!C118</f>
        <v/>
      </c>
      <c r="E118" s="90">
        <f>IF('Daily Data'!E118="","",'Daily Data'!E118)</f>
        <v/>
      </c>
      <c r="F118" s="90">
        <f>IF($E118="","",'Daily Data'!F118)</f>
        <v/>
      </c>
      <c r="G118" s="90">
        <f>IF($E118="","",'Daily Data'!G118)</f>
        <v/>
      </c>
      <c r="H118" s="91">
        <f>IF($E118="","",(1-K118)*F118-G118)</f>
        <v/>
      </c>
      <c r="I118" s="90">
        <f>IF($E118="","",'Daily Data'!H118)</f>
        <v/>
      </c>
      <c r="J118" s="91">
        <f>IF($E118="","",E118-H118-I118)</f>
        <v/>
      </c>
      <c r="K118" s="60">
        <f>IF($E118="","",IF(A118&lt;HLP_ChangeDate,HLP_Legacy,HLP_Current))</f>
        <v/>
      </c>
      <c r="L118" s="91">
        <f>IF($E118="","",J118/(1-K118))</f>
        <v/>
      </c>
      <c r="M118" s="90">
        <f>IF($E118="","",'Daily Data'!I118)</f>
        <v/>
      </c>
      <c r="N118" s="91">
        <f>IF($E118="","",M118*(1-K118)-I118)</f>
        <v/>
      </c>
      <c r="O118" s="92" t="inlineStr"/>
      <c r="P118" s="93">
        <f>IF($E118="","",(L118+F118+M118)*K118)</f>
        <v/>
      </c>
      <c r="Q118" s="91">
        <f>IF($E118="","",L118*K118)</f>
        <v/>
      </c>
      <c r="R118" s="91">
        <f>IF($E118="","",F118*K118)</f>
        <v/>
      </c>
      <c r="S118" s="91">
        <f>IF($E118="","",M118*K118)</f>
        <v/>
      </c>
      <c r="T118" s="63">
        <f>IF(OR($E118="",B118=0),"",L118/B118*10000)</f>
        <v/>
      </c>
      <c r="U118" s="63">
        <f>IF(OR($E118="",C118=0),"",F118/C118*10000)</f>
        <v/>
      </c>
      <c r="V118" s="63">
        <f>IF(OR($E118="",D118=0),"",M118/D118*10000)</f>
        <v/>
      </c>
    </row>
    <row r="119">
      <c r="A119" s="35" t="n">
        <v>45773</v>
      </c>
      <c r="B119" s="90">
        <f>'Daily Data'!B119</f>
        <v/>
      </c>
      <c r="C119" s="90">
        <f>'Daily Data'!D119</f>
        <v/>
      </c>
      <c r="D119" s="90">
        <f>'Daily Data'!C119</f>
        <v/>
      </c>
      <c r="E119" s="90">
        <f>IF('Daily Data'!E119="","",'Daily Data'!E119)</f>
        <v/>
      </c>
      <c r="F119" s="90">
        <f>IF($E119="","",'Daily Data'!F119)</f>
        <v/>
      </c>
      <c r="G119" s="90">
        <f>IF($E119="","",'Daily Data'!G119)</f>
        <v/>
      </c>
      <c r="H119" s="91">
        <f>IF($E119="","",(1-K119)*F119-G119)</f>
        <v/>
      </c>
      <c r="I119" s="90">
        <f>IF($E119="","",'Daily Data'!H119)</f>
        <v/>
      </c>
      <c r="J119" s="91">
        <f>IF($E119="","",E119-H119-I119)</f>
        <v/>
      </c>
      <c r="K119" s="60">
        <f>IF($E119="","",IF(A119&lt;HLP_ChangeDate,HLP_Legacy,HLP_Current))</f>
        <v/>
      </c>
      <c r="L119" s="91">
        <f>IF($E119="","",J119/(1-K119))</f>
        <v/>
      </c>
      <c r="M119" s="90">
        <f>IF($E119="","",'Daily Data'!I119)</f>
        <v/>
      </c>
      <c r="N119" s="91">
        <f>IF($E119="","",M119*(1-K119)-I119)</f>
        <v/>
      </c>
      <c r="O119" s="92" t="inlineStr"/>
      <c r="P119" s="93">
        <f>IF($E119="","",(L119+F119+M119)*K119)</f>
        <v/>
      </c>
      <c r="Q119" s="91">
        <f>IF($E119="","",L119*K119)</f>
        <v/>
      </c>
      <c r="R119" s="91">
        <f>IF($E119="","",F119*K119)</f>
        <v/>
      </c>
      <c r="S119" s="91">
        <f>IF($E119="","",M119*K119)</f>
        <v/>
      </c>
      <c r="T119" s="63">
        <f>IF(OR($E119="",B119=0),"",L119/B119*10000)</f>
        <v/>
      </c>
      <c r="U119" s="63">
        <f>IF(OR($E119="",C119=0),"",F119/C119*10000)</f>
        <v/>
      </c>
      <c r="V119" s="63">
        <f>IF(OR($E119="",D119=0),"",M119/D119*10000)</f>
        <v/>
      </c>
    </row>
    <row r="120">
      <c r="A120" s="35" t="n">
        <v>45774</v>
      </c>
      <c r="B120" s="90">
        <f>'Daily Data'!B120</f>
        <v/>
      </c>
      <c r="C120" s="90">
        <f>'Daily Data'!D120</f>
        <v/>
      </c>
      <c r="D120" s="90">
        <f>'Daily Data'!C120</f>
        <v/>
      </c>
      <c r="E120" s="90">
        <f>IF('Daily Data'!E120="","",'Daily Data'!E120)</f>
        <v/>
      </c>
      <c r="F120" s="90">
        <f>IF($E120="","",'Daily Data'!F120)</f>
        <v/>
      </c>
      <c r="G120" s="90">
        <f>IF($E120="","",'Daily Data'!G120)</f>
        <v/>
      </c>
      <c r="H120" s="91">
        <f>IF($E120="","",(1-K120)*F120-G120)</f>
        <v/>
      </c>
      <c r="I120" s="90">
        <f>IF($E120="","",'Daily Data'!H120)</f>
        <v/>
      </c>
      <c r="J120" s="91">
        <f>IF($E120="","",E120-H120-I120)</f>
        <v/>
      </c>
      <c r="K120" s="60">
        <f>IF($E120="","",IF(A120&lt;HLP_ChangeDate,HLP_Legacy,HLP_Current))</f>
        <v/>
      </c>
      <c r="L120" s="91">
        <f>IF($E120="","",J120/(1-K120))</f>
        <v/>
      </c>
      <c r="M120" s="90">
        <f>IF($E120="","",'Daily Data'!I120)</f>
        <v/>
      </c>
      <c r="N120" s="91">
        <f>IF($E120="","",M120*(1-K120)-I120)</f>
        <v/>
      </c>
      <c r="O120" s="92" t="inlineStr"/>
      <c r="P120" s="93">
        <f>IF($E120="","",(L120+F120+M120)*K120)</f>
        <v/>
      </c>
      <c r="Q120" s="91">
        <f>IF($E120="","",L120*K120)</f>
        <v/>
      </c>
      <c r="R120" s="91">
        <f>IF($E120="","",F120*K120)</f>
        <v/>
      </c>
      <c r="S120" s="91">
        <f>IF($E120="","",M120*K120)</f>
        <v/>
      </c>
      <c r="T120" s="63">
        <f>IF(OR($E120="",B120=0),"",L120/B120*10000)</f>
        <v/>
      </c>
      <c r="U120" s="63">
        <f>IF(OR($E120="",C120=0),"",F120/C120*10000)</f>
        <v/>
      </c>
      <c r="V120" s="63">
        <f>IF(OR($E120="",D120=0),"",M120/D120*10000)</f>
        <v/>
      </c>
    </row>
    <row r="121">
      <c r="A121" s="35" t="n">
        <v>45775</v>
      </c>
      <c r="B121" s="90">
        <f>'Daily Data'!B121</f>
        <v/>
      </c>
      <c r="C121" s="90">
        <f>'Daily Data'!D121</f>
        <v/>
      </c>
      <c r="D121" s="90">
        <f>'Daily Data'!C121</f>
        <v/>
      </c>
      <c r="E121" s="90">
        <f>IF('Daily Data'!E121="","",'Daily Data'!E121)</f>
        <v/>
      </c>
      <c r="F121" s="90">
        <f>IF($E121="","",'Daily Data'!F121)</f>
        <v/>
      </c>
      <c r="G121" s="90">
        <f>IF($E121="","",'Daily Data'!G121)</f>
        <v/>
      </c>
      <c r="H121" s="91">
        <f>IF($E121="","",(1-K121)*F121-G121)</f>
        <v/>
      </c>
      <c r="I121" s="90">
        <f>IF($E121="","",'Daily Data'!H121)</f>
        <v/>
      </c>
      <c r="J121" s="91">
        <f>IF($E121="","",E121-H121-I121)</f>
        <v/>
      </c>
      <c r="K121" s="60">
        <f>IF($E121="","",IF(A121&lt;HLP_ChangeDate,HLP_Legacy,HLP_Current))</f>
        <v/>
      </c>
      <c r="L121" s="91">
        <f>IF($E121="","",J121/(1-K121))</f>
        <v/>
      </c>
      <c r="M121" s="90">
        <f>IF($E121="","",'Daily Data'!I121)</f>
        <v/>
      </c>
      <c r="N121" s="91">
        <f>IF($E121="","",M121*(1-K121)-I121)</f>
        <v/>
      </c>
      <c r="O121" s="92" t="inlineStr"/>
      <c r="P121" s="93">
        <f>IF($E121="","",(L121+F121+M121)*K121)</f>
        <v/>
      </c>
      <c r="Q121" s="91">
        <f>IF($E121="","",L121*K121)</f>
        <v/>
      </c>
      <c r="R121" s="91">
        <f>IF($E121="","",F121*K121)</f>
        <v/>
      </c>
      <c r="S121" s="91">
        <f>IF($E121="","",M121*K121)</f>
        <v/>
      </c>
      <c r="T121" s="63">
        <f>IF(OR($E121="",B121=0),"",L121/B121*10000)</f>
        <v/>
      </c>
      <c r="U121" s="63">
        <f>IF(OR($E121="",C121=0),"",F121/C121*10000)</f>
        <v/>
      </c>
      <c r="V121" s="63">
        <f>IF(OR($E121="",D121=0),"",M121/D121*10000)</f>
        <v/>
      </c>
    </row>
    <row r="122">
      <c r="A122" s="35" t="n">
        <v>45776</v>
      </c>
      <c r="B122" s="90">
        <f>'Daily Data'!B122</f>
        <v/>
      </c>
      <c r="C122" s="90">
        <f>'Daily Data'!D122</f>
        <v/>
      </c>
      <c r="D122" s="90">
        <f>'Daily Data'!C122</f>
        <v/>
      </c>
      <c r="E122" s="90">
        <f>IF('Daily Data'!E122="","",'Daily Data'!E122)</f>
        <v/>
      </c>
      <c r="F122" s="90">
        <f>IF($E122="","",'Daily Data'!F122)</f>
        <v/>
      </c>
      <c r="G122" s="90">
        <f>IF($E122="","",'Daily Data'!G122)</f>
        <v/>
      </c>
      <c r="H122" s="91">
        <f>IF($E122="","",(1-K122)*F122-G122)</f>
        <v/>
      </c>
      <c r="I122" s="90">
        <f>IF($E122="","",'Daily Data'!H122)</f>
        <v/>
      </c>
      <c r="J122" s="91">
        <f>IF($E122="","",E122-H122-I122)</f>
        <v/>
      </c>
      <c r="K122" s="60">
        <f>IF($E122="","",IF(A122&lt;HLP_ChangeDate,HLP_Legacy,HLP_Current))</f>
        <v/>
      </c>
      <c r="L122" s="91">
        <f>IF($E122="","",J122/(1-K122))</f>
        <v/>
      </c>
      <c r="M122" s="90">
        <f>IF($E122="","",'Daily Data'!I122)</f>
        <v/>
      </c>
      <c r="N122" s="91">
        <f>IF($E122="","",M122*(1-K122)-I122)</f>
        <v/>
      </c>
      <c r="O122" s="92" t="inlineStr"/>
      <c r="P122" s="93">
        <f>IF($E122="","",(L122+F122+M122)*K122)</f>
        <v/>
      </c>
      <c r="Q122" s="91">
        <f>IF($E122="","",L122*K122)</f>
        <v/>
      </c>
      <c r="R122" s="91">
        <f>IF($E122="","",F122*K122)</f>
        <v/>
      </c>
      <c r="S122" s="91">
        <f>IF($E122="","",M122*K122)</f>
        <v/>
      </c>
      <c r="T122" s="63">
        <f>IF(OR($E122="",B122=0),"",L122/B122*10000)</f>
        <v/>
      </c>
      <c r="U122" s="63">
        <f>IF(OR($E122="",C122=0),"",F122/C122*10000)</f>
        <v/>
      </c>
      <c r="V122" s="63">
        <f>IF(OR($E122="",D122=0),"",M122/D122*10000)</f>
        <v/>
      </c>
    </row>
    <row r="123">
      <c r="A123" s="35" t="n">
        <v>45777</v>
      </c>
      <c r="B123" s="90">
        <f>'Daily Data'!B123</f>
        <v/>
      </c>
      <c r="C123" s="90">
        <f>'Daily Data'!D123</f>
        <v/>
      </c>
      <c r="D123" s="90">
        <f>'Daily Data'!C123</f>
        <v/>
      </c>
      <c r="E123" s="90">
        <f>IF('Daily Data'!E123="","",'Daily Data'!E123)</f>
        <v/>
      </c>
      <c r="F123" s="90">
        <f>IF($E123="","",'Daily Data'!F123)</f>
        <v/>
      </c>
      <c r="G123" s="90">
        <f>IF($E123="","",'Daily Data'!G123)</f>
        <v/>
      </c>
      <c r="H123" s="91">
        <f>IF($E123="","",(1-K123)*F123-G123)</f>
        <v/>
      </c>
      <c r="I123" s="90">
        <f>IF($E123="","",'Daily Data'!H123)</f>
        <v/>
      </c>
      <c r="J123" s="91">
        <f>IF($E123="","",E123-H123-I123)</f>
        <v/>
      </c>
      <c r="K123" s="60">
        <f>IF($E123="","",IF(A123&lt;HLP_ChangeDate,HLP_Legacy,HLP_Current))</f>
        <v/>
      </c>
      <c r="L123" s="91">
        <f>IF($E123="","",J123/(1-K123))</f>
        <v/>
      </c>
      <c r="M123" s="90">
        <f>IF($E123="","",'Daily Data'!I123)</f>
        <v/>
      </c>
      <c r="N123" s="91">
        <f>IF($E123="","",M123*(1-K123)-I123)</f>
        <v/>
      </c>
      <c r="O123" s="92" t="inlineStr"/>
      <c r="P123" s="93">
        <f>IF($E123="","",(L123+F123+M123)*K123)</f>
        <v/>
      </c>
      <c r="Q123" s="91">
        <f>IF($E123="","",L123*K123)</f>
        <v/>
      </c>
      <c r="R123" s="91">
        <f>IF($E123="","",F123*K123)</f>
        <v/>
      </c>
      <c r="S123" s="91">
        <f>IF($E123="","",M123*K123)</f>
        <v/>
      </c>
      <c r="T123" s="63">
        <f>IF(OR($E123="",B123=0),"",L123/B123*10000)</f>
        <v/>
      </c>
      <c r="U123" s="63">
        <f>IF(OR($E123="",C123=0),"",F123/C123*10000)</f>
        <v/>
      </c>
      <c r="V123" s="63">
        <f>IF(OR($E123="",D123=0),"",M123/D123*10000)</f>
        <v/>
      </c>
    </row>
    <row r="124">
      <c r="A124" s="35" t="n">
        <v>45778</v>
      </c>
      <c r="B124" s="90">
        <f>'Daily Data'!B124</f>
        <v/>
      </c>
      <c r="C124" s="90">
        <f>'Daily Data'!D124</f>
        <v/>
      </c>
      <c r="D124" s="90">
        <f>'Daily Data'!C124</f>
        <v/>
      </c>
      <c r="E124" s="90">
        <f>IF('Daily Data'!E124="","",'Daily Data'!E124)</f>
        <v/>
      </c>
      <c r="F124" s="90">
        <f>IF($E124="","",'Daily Data'!F124)</f>
        <v/>
      </c>
      <c r="G124" s="90">
        <f>IF($E124="","",'Daily Data'!G124)</f>
        <v/>
      </c>
      <c r="H124" s="91">
        <f>IF($E124="","",(1-K124)*F124-G124)</f>
        <v/>
      </c>
      <c r="I124" s="90">
        <f>IF($E124="","",'Daily Data'!H124)</f>
        <v/>
      </c>
      <c r="J124" s="91">
        <f>IF($E124="","",E124-H124-I124)</f>
        <v/>
      </c>
      <c r="K124" s="60">
        <f>IF($E124="","",IF(A124&lt;HLP_ChangeDate,HLP_Legacy,HLP_Current))</f>
        <v/>
      </c>
      <c r="L124" s="91">
        <f>IF($E124="","",J124/(1-K124))</f>
        <v/>
      </c>
      <c r="M124" s="90">
        <f>IF($E124="","",'Daily Data'!I124)</f>
        <v/>
      </c>
      <c r="N124" s="91">
        <f>IF($E124="","",M124*(1-K124)-I124)</f>
        <v/>
      </c>
      <c r="O124" s="92" t="inlineStr"/>
      <c r="P124" s="93">
        <f>IF($E124="","",(L124+F124+M124)*K124)</f>
        <v/>
      </c>
      <c r="Q124" s="91">
        <f>IF($E124="","",L124*K124)</f>
        <v/>
      </c>
      <c r="R124" s="91">
        <f>IF($E124="","",F124*K124)</f>
        <v/>
      </c>
      <c r="S124" s="91">
        <f>IF($E124="","",M124*K124)</f>
        <v/>
      </c>
      <c r="T124" s="63">
        <f>IF(OR($E124="",B124=0),"",L124/B124*10000)</f>
        <v/>
      </c>
      <c r="U124" s="63">
        <f>IF(OR($E124="",C124=0),"",F124/C124*10000)</f>
        <v/>
      </c>
      <c r="V124" s="63">
        <f>IF(OR($E124="",D124=0),"",M124/D124*10000)</f>
        <v/>
      </c>
    </row>
    <row r="125">
      <c r="A125" s="35" t="n">
        <v>45779</v>
      </c>
      <c r="B125" s="90">
        <f>'Daily Data'!B125</f>
        <v/>
      </c>
      <c r="C125" s="90">
        <f>'Daily Data'!D125</f>
        <v/>
      </c>
      <c r="D125" s="90">
        <f>'Daily Data'!C125</f>
        <v/>
      </c>
      <c r="E125" s="90">
        <f>IF('Daily Data'!E125="","",'Daily Data'!E125)</f>
        <v/>
      </c>
      <c r="F125" s="90">
        <f>IF($E125="","",'Daily Data'!F125)</f>
        <v/>
      </c>
      <c r="G125" s="90">
        <f>IF($E125="","",'Daily Data'!G125)</f>
        <v/>
      </c>
      <c r="H125" s="91">
        <f>IF($E125="","",(1-K125)*F125-G125)</f>
        <v/>
      </c>
      <c r="I125" s="90">
        <f>IF($E125="","",'Daily Data'!H125)</f>
        <v/>
      </c>
      <c r="J125" s="91">
        <f>IF($E125="","",E125-H125-I125)</f>
        <v/>
      </c>
      <c r="K125" s="60">
        <f>IF($E125="","",IF(A125&lt;HLP_ChangeDate,HLP_Legacy,HLP_Current))</f>
        <v/>
      </c>
      <c r="L125" s="91">
        <f>IF($E125="","",J125/(1-K125))</f>
        <v/>
      </c>
      <c r="M125" s="90">
        <f>IF($E125="","",'Daily Data'!I125)</f>
        <v/>
      </c>
      <c r="N125" s="91">
        <f>IF($E125="","",M125*(1-K125)-I125)</f>
        <v/>
      </c>
      <c r="O125" s="92" t="inlineStr"/>
      <c r="P125" s="93">
        <f>IF($E125="","",(L125+F125+M125)*K125)</f>
        <v/>
      </c>
      <c r="Q125" s="91">
        <f>IF($E125="","",L125*K125)</f>
        <v/>
      </c>
      <c r="R125" s="91">
        <f>IF($E125="","",F125*K125)</f>
        <v/>
      </c>
      <c r="S125" s="91">
        <f>IF($E125="","",M125*K125)</f>
        <v/>
      </c>
      <c r="T125" s="63">
        <f>IF(OR($E125="",B125=0),"",L125/B125*10000)</f>
        <v/>
      </c>
      <c r="U125" s="63">
        <f>IF(OR($E125="",C125=0),"",F125/C125*10000)</f>
        <v/>
      </c>
      <c r="V125" s="63">
        <f>IF(OR($E125="",D125=0),"",M125/D125*10000)</f>
        <v/>
      </c>
    </row>
    <row r="126">
      <c r="A126" s="35" t="n">
        <v>45780</v>
      </c>
      <c r="B126" s="90">
        <f>'Daily Data'!B126</f>
        <v/>
      </c>
      <c r="C126" s="90">
        <f>'Daily Data'!D126</f>
        <v/>
      </c>
      <c r="D126" s="90">
        <f>'Daily Data'!C126</f>
        <v/>
      </c>
      <c r="E126" s="90">
        <f>IF('Daily Data'!E126="","",'Daily Data'!E126)</f>
        <v/>
      </c>
      <c r="F126" s="90">
        <f>IF($E126="","",'Daily Data'!F126)</f>
        <v/>
      </c>
      <c r="G126" s="90">
        <f>IF($E126="","",'Daily Data'!G126)</f>
        <v/>
      </c>
      <c r="H126" s="91">
        <f>IF($E126="","",(1-K126)*F126-G126)</f>
        <v/>
      </c>
      <c r="I126" s="90">
        <f>IF($E126="","",'Daily Data'!H126)</f>
        <v/>
      </c>
      <c r="J126" s="91">
        <f>IF($E126="","",E126-H126-I126)</f>
        <v/>
      </c>
      <c r="K126" s="60">
        <f>IF($E126="","",IF(A126&lt;HLP_ChangeDate,HLP_Legacy,HLP_Current))</f>
        <v/>
      </c>
      <c r="L126" s="91">
        <f>IF($E126="","",J126/(1-K126))</f>
        <v/>
      </c>
      <c r="M126" s="90">
        <f>IF($E126="","",'Daily Data'!I126)</f>
        <v/>
      </c>
      <c r="N126" s="91">
        <f>IF($E126="","",M126*(1-K126)-I126)</f>
        <v/>
      </c>
      <c r="O126" s="92" t="inlineStr"/>
      <c r="P126" s="93">
        <f>IF($E126="","",(L126+F126+M126)*K126)</f>
        <v/>
      </c>
      <c r="Q126" s="91">
        <f>IF($E126="","",L126*K126)</f>
        <v/>
      </c>
      <c r="R126" s="91">
        <f>IF($E126="","",F126*K126)</f>
        <v/>
      </c>
      <c r="S126" s="91">
        <f>IF($E126="","",M126*K126)</f>
        <v/>
      </c>
      <c r="T126" s="63">
        <f>IF(OR($E126="",B126=0),"",L126/B126*10000)</f>
        <v/>
      </c>
      <c r="U126" s="63">
        <f>IF(OR($E126="",C126=0),"",F126/C126*10000)</f>
        <v/>
      </c>
      <c r="V126" s="63">
        <f>IF(OR($E126="",D126=0),"",M126/D126*10000)</f>
        <v/>
      </c>
    </row>
    <row r="127">
      <c r="A127" s="35" t="n">
        <v>45781</v>
      </c>
      <c r="B127" s="90">
        <f>'Daily Data'!B127</f>
        <v/>
      </c>
      <c r="C127" s="90">
        <f>'Daily Data'!D127</f>
        <v/>
      </c>
      <c r="D127" s="90">
        <f>'Daily Data'!C127</f>
        <v/>
      </c>
      <c r="E127" s="90">
        <f>IF('Daily Data'!E127="","",'Daily Data'!E127)</f>
        <v/>
      </c>
      <c r="F127" s="90">
        <f>IF($E127="","",'Daily Data'!F127)</f>
        <v/>
      </c>
      <c r="G127" s="90">
        <f>IF($E127="","",'Daily Data'!G127)</f>
        <v/>
      </c>
      <c r="H127" s="91">
        <f>IF($E127="","",(1-K127)*F127-G127)</f>
        <v/>
      </c>
      <c r="I127" s="90">
        <f>IF($E127="","",'Daily Data'!H127)</f>
        <v/>
      </c>
      <c r="J127" s="91">
        <f>IF($E127="","",E127-H127-I127)</f>
        <v/>
      </c>
      <c r="K127" s="60">
        <f>IF($E127="","",IF(A127&lt;HLP_ChangeDate,HLP_Legacy,HLP_Current))</f>
        <v/>
      </c>
      <c r="L127" s="91">
        <f>IF($E127="","",J127/(1-K127))</f>
        <v/>
      </c>
      <c r="M127" s="90">
        <f>IF($E127="","",'Daily Data'!I127)</f>
        <v/>
      </c>
      <c r="N127" s="91">
        <f>IF($E127="","",M127*(1-K127)-I127)</f>
        <v/>
      </c>
      <c r="O127" s="92" t="inlineStr"/>
      <c r="P127" s="93">
        <f>IF($E127="","",(L127+F127+M127)*K127)</f>
        <v/>
      </c>
      <c r="Q127" s="91">
        <f>IF($E127="","",L127*K127)</f>
        <v/>
      </c>
      <c r="R127" s="91">
        <f>IF($E127="","",F127*K127)</f>
        <v/>
      </c>
      <c r="S127" s="91">
        <f>IF($E127="","",M127*K127)</f>
        <v/>
      </c>
      <c r="T127" s="63">
        <f>IF(OR($E127="",B127=0),"",L127/B127*10000)</f>
        <v/>
      </c>
      <c r="U127" s="63">
        <f>IF(OR($E127="",C127=0),"",F127/C127*10000)</f>
        <v/>
      </c>
      <c r="V127" s="63">
        <f>IF(OR($E127="",D127=0),"",M127/D127*10000)</f>
        <v/>
      </c>
    </row>
    <row r="128">
      <c r="A128" s="35" t="n">
        <v>45782</v>
      </c>
      <c r="B128" s="90">
        <f>'Daily Data'!B128</f>
        <v/>
      </c>
      <c r="C128" s="90">
        <f>'Daily Data'!D128</f>
        <v/>
      </c>
      <c r="D128" s="90">
        <f>'Daily Data'!C128</f>
        <v/>
      </c>
      <c r="E128" s="90">
        <f>IF('Daily Data'!E128="","",'Daily Data'!E128)</f>
        <v/>
      </c>
      <c r="F128" s="90">
        <f>IF($E128="","",'Daily Data'!F128)</f>
        <v/>
      </c>
      <c r="G128" s="90">
        <f>IF($E128="","",'Daily Data'!G128)</f>
        <v/>
      </c>
      <c r="H128" s="91">
        <f>IF($E128="","",(1-K128)*F128-G128)</f>
        <v/>
      </c>
      <c r="I128" s="90">
        <f>IF($E128="","",'Daily Data'!H128)</f>
        <v/>
      </c>
      <c r="J128" s="91">
        <f>IF($E128="","",E128-H128-I128)</f>
        <v/>
      </c>
      <c r="K128" s="60">
        <f>IF($E128="","",IF(A128&lt;HLP_ChangeDate,HLP_Legacy,HLP_Current))</f>
        <v/>
      </c>
      <c r="L128" s="91">
        <f>IF($E128="","",J128/(1-K128))</f>
        <v/>
      </c>
      <c r="M128" s="90">
        <f>IF($E128="","",'Daily Data'!I128)</f>
        <v/>
      </c>
      <c r="N128" s="91">
        <f>IF($E128="","",M128*(1-K128)-I128)</f>
        <v/>
      </c>
      <c r="O128" s="92" t="inlineStr"/>
      <c r="P128" s="93">
        <f>IF($E128="","",(L128+F128+M128)*K128)</f>
        <v/>
      </c>
      <c r="Q128" s="91">
        <f>IF($E128="","",L128*K128)</f>
        <v/>
      </c>
      <c r="R128" s="91">
        <f>IF($E128="","",F128*K128)</f>
        <v/>
      </c>
      <c r="S128" s="91">
        <f>IF($E128="","",M128*K128)</f>
        <v/>
      </c>
      <c r="T128" s="63">
        <f>IF(OR($E128="",B128=0),"",L128/B128*10000)</f>
        <v/>
      </c>
      <c r="U128" s="63">
        <f>IF(OR($E128="",C128=0),"",F128/C128*10000)</f>
        <v/>
      </c>
      <c r="V128" s="63">
        <f>IF(OR($E128="",D128=0),"",M128/D128*10000)</f>
        <v/>
      </c>
    </row>
    <row r="129">
      <c r="A129" s="35" t="n">
        <v>45783</v>
      </c>
      <c r="B129" s="90">
        <f>'Daily Data'!B129</f>
        <v/>
      </c>
      <c r="C129" s="90">
        <f>'Daily Data'!D129</f>
        <v/>
      </c>
      <c r="D129" s="90">
        <f>'Daily Data'!C129</f>
        <v/>
      </c>
      <c r="E129" s="90">
        <f>IF('Daily Data'!E129="","",'Daily Data'!E129)</f>
        <v/>
      </c>
      <c r="F129" s="90">
        <f>IF($E129="","",'Daily Data'!F129)</f>
        <v/>
      </c>
      <c r="G129" s="90">
        <f>IF($E129="","",'Daily Data'!G129)</f>
        <v/>
      </c>
      <c r="H129" s="91">
        <f>IF($E129="","",(1-K129)*F129-G129)</f>
        <v/>
      </c>
      <c r="I129" s="90">
        <f>IF($E129="","",'Daily Data'!H129)</f>
        <v/>
      </c>
      <c r="J129" s="91">
        <f>IF($E129="","",E129-H129-I129)</f>
        <v/>
      </c>
      <c r="K129" s="60">
        <f>IF($E129="","",IF(A129&lt;HLP_ChangeDate,HLP_Legacy,HLP_Current))</f>
        <v/>
      </c>
      <c r="L129" s="91">
        <f>IF($E129="","",J129/(1-K129))</f>
        <v/>
      </c>
      <c r="M129" s="90">
        <f>IF($E129="","",'Daily Data'!I129)</f>
        <v/>
      </c>
      <c r="N129" s="91">
        <f>IF($E129="","",M129*(1-K129)-I129)</f>
        <v/>
      </c>
      <c r="O129" s="92" t="inlineStr"/>
      <c r="P129" s="93">
        <f>IF($E129="","",(L129+F129+M129)*K129)</f>
        <v/>
      </c>
      <c r="Q129" s="91">
        <f>IF($E129="","",L129*K129)</f>
        <v/>
      </c>
      <c r="R129" s="91">
        <f>IF($E129="","",F129*K129)</f>
        <v/>
      </c>
      <c r="S129" s="91">
        <f>IF($E129="","",M129*K129)</f>
        <v/>
      </c>
      <c r="T129" s="63">
        <f>IF(OR($E129="",B129=0),"",L129/B129*10000)</f>
        <v/>
      </c>
      <c r="U129" s="63">
        <f>IF(OR($E129="",C129=0),"",F129/C129*10000)</f>
        <v/>
      </c>
      <c r="V129" s="63">
        <f>IF(OR($E129="",D129=0),"",M129/D129*10000)</f>
        <v/>
      </c>
    </row>
    <row r="130">
      <c r="A130" s="35" t="n">
        <v>45784</v>
      </c>
      <c r="B130" s="90">
        <f>'Daily Data'!B130</f>
        <v/>
      </c>
      <c r="C130" s="90">
        <f>'Daily Data'!D130</f>
        <v/>
      </c>
      <c r="D130" s="90">
        <f>'Daily Data'!C130</f>
        <v/>
      </c>
      <c r="E130" s="90">
        <f>IF('Daily Data'!E130="","",'Daily Data'!E130)</f>
        <v/>
      </c>
      <c r="F130" s="90">
        <f>IF($E130="","",'Daily Data'!F130)</f>
        <v/>
      </c>
      <c r="G130" s="90">
        <f>IF($E130="","",'Daily Data'!G130)</f>
        <v/>
      </c>
      <c r="H130" s="91">
        <f>IF($E130="","",(1-K130)*F130-G130)</f>
        <v/>
      </c>
      <c r="I130" s="90">
        <f>IF($E130="","",'Daily Data'!H130)</f>
        <v/>
      </c>
      <c r="J130" s="91">
        <f>IF($E130="","",E130-H130-I130)</f>
        <v/>
      </c>
      <c r="K130" s="60">
        <f>IF($E130="","",IF(A130&lt;HLP_ChangeDate,HLP_Legacy,HLP_Current))</f>
        <v/>
      </c>
      <c r="L130" s="91">
        <f>IF($E130="","",J130/(1-K130))</f>
        <v/>
      </c>
      <c r="M130" s="90">
        <f>IF($E130="","",'Daily Data'!I130)</f>
        <v/>
      </c>
      <c r="N130" s="91">
        <f>IF($E130="","",M130*(1-K130)-I130)</f>
        <v/>
      </c>
      <c r="O130" s="92" t="inlineStr"/>
      <c r="P130" s="93">
        <f>IF($E130="","",(L130+F130+M130)*K130)</f>
        <v/>
      </c>
      <c r="Q130" s="91">
        <f>IF($E130="","",L130*K130)</f>
        <v/>
      </c>
      <c r="R130" s="91">
        <f>IF($E130="","",F130*K130)</f>
        <v/>
      </c>
      <c r="S130" s="91">
        <f>IF($E130="","",M130*K130)</f>
        <v/>
      </c>
      <c r="T130" s="63">
        <f>IF(OR($E130="",B130=0),"",L130/B130*10000)</f>
        <v/>
      </c>
      <c r="U130" s="63">
        <f>IF(OR($E130="",C130=0),"",F130/C130*10000)</f>
        <v/>
      </c>
      <c r="V130" s="63">
        <f>IF(OR($E130="",D130=0),"",M130/D130*10000)</f>
        <v/>
      </c>
    </row>
    <row r="131">
      <c r="A131" s="35" t="n">
        <v>45785</v>
      </c>
      <c r="B131" s="90">
        <f>'Daily Data'!B131</f>
        <v/>
      </c>
      <c r="C131" s="90">
        <f>'Daily Data'!D131</f>
        <v/>
      </c>
      <c r="D131" s="90">
        <f>'Daily Data'!C131</f>
        <v/>
      </c>
      <c r="E131" s="90">
        <f>IF('Daily Data'!E131="","",'Daily Data'!E131)</f>
        <v/>
      </c>
      <c r="F131" s="90">
        <f>IF($E131="","",'Daily Data'!F131)</f>
        <v/>
      </c>
      <c r="G131" s="90">
        <f>IF($E131="","",'Daily Data'!G131)</f>
        <v/>
      </c>
      <c r="H131" s="91">
        <f>IF($E131="","",(1-K131)*F131-G131)</f>
        <v/>
      </c>
      <c r="I131" s="90">
        <f>IF($E131="","",'Daily Data'!H131)</f>
        <v/>
      </c>
      <c r="J131" s="91">
        <f>IF($E131="","",E131-H131-I131)</f>
        <v/>
      </c>
      <c r="K131" s="60">
        <f>IF($E131="","",IF(A131&lt;HLP_ChangeDate,HLP_Legacy,HLP_Current))</f>
        <v/>
      </c>
      <c r="L131" s="91">
        <f>IF($E131="","",J131/(1-K131))</f>
        <v/>
      </c>
      <c r="M131" s="90">
        <f>IF($E131="","",'Daily Data'!I131)</f>
        <v/>
      </c>
      <c r="N131" s="91">
        <f>IF($E131="","",M131*(1-K131)-I131)</f>
        <v/>
      </c>
      <c r="O131" s="92" t="inlineStr"/>
      <c r="P131" s="93">
        <f>IF($E131="","",(L131+F131+M131)*K131)</f>
        <v/>
      </c>
      <c r="Q131" s="91">
        <f>IF($E131="","",L131*K131)</f>
        <v/>
      </c>
      <c r="R131" s="91">
        <f>IF($E131="","",F131*K131)</f>
        <v/>
      </c>
      <c r="S131" s="91">
        <f>IF($E131="","",M131*K131)</f>
        <v/>
      </c>
      <c r="T131" s="63">
        <f>IF(OR($E131="",B131=0),"",L131/B131*10000)</f>
        <v/>
      </c>
      <c r="U131" s="63">
        <f>IF(OR($E131="",C131=0),"",F131/C131*10000)</f>
        <v/>
      </c>
      <c r="V131" s="63">
        <f>IF(OR($E131="",D131=0),"",M131/D131*10000)</f>
        <v/>
      </c>
    </row>
    <row r="132">
      <c r="A132" s="35" t="n">
        <v>45786</v>
      </c>
      <c r="B132" s="90">
        <f>'Daily Data'!B132</f>
        <v/>
      </c>
      <c r="C132" s="90">
        <f>'Daily Data'!D132</f>
        <v/>
      </c>
      <c r="D132" s="90">
        <f>'Daily Data'!C132</f>
        <v/>
      </c>
      <c r="E132" s="90">
        <f>IF('Daily Data'!E132="","",'Daily Data'!E132)</f>
        <v/>
      </c>
      <c r="F132" s="90">
        <f>IF($E132="","",'Daily Data'!F132)</f>
        <v/>
      </c>
      <c r="G132" s="90">
        <f>IF($E132="","",'Daily Data'!G132)</f>
        <v/>
      </c>
      <c r="H132" s="91">
        <f>IF($E132="","",(1-K132)*F132-G132)</f>
        <v/>
      </c>
      <c r="I132" s="90">
        <f>IF($E132="","",'Daily Data'!H132)</f>
        <v/>
      </c>
      <c r="J132" s="91">
        <f>IF($E132="","",E132-H132-I132)</f>
        <v/>
      </c>
      <c r="K132" s="60">
        <f>IF($E132="","",IF(A132&lt;HLP_ChangeDate,HLP_Legacy,HLP_Current))</f>
        <v/>
      </c>
      <c r="L132" s="91">
        <f>IF($E132="","",J132/(1-K132))</f>
        <v/>
      </c>
      <c r="M132" s="90">
        <f>IF($E132="","",'Daily Data'!I132)</f>
        <v/>
      </c>
      <c r="N132" s="91">
        <f>IF($E132="","",M132*(1-K132)-I132)</f>
        <v/>
      </c>
      <c r="O132" s="92" t="inlineStr"/>
      <c r="P132" s="93">
        <f>IF($E132="","",(L132+F132+M132)*K132)</f>
        <v/>
      </c>
      <c r="Q132" s="91">
        <f>IF($E132="","",L132*K132)</f>
        <v/>
      </c>
      <c r="R132" s="91">
        <f>IF($E132="","",F132*K132)</f>
        <v/>
      </c>
      <c r="S132" s="91">
        <f>IF($E132="","",M132*K132)</f>
        <v/>
      </c>
      <c r="T132" s="63">
        <f>IF(OR($E132="",B132=0),"",L132/B132*10000)</f>
        <v/>
      </c>
      <c r="U132" s="63">
        <f>IF(OR($E132="",C132=0),"",F132/C132*10000)</f>
        <v/>
      </c>
      <c r="V132" s="63">
        <f>IF(OR($E132="",D132=0),"",M132/D132*10000)</f>
        <v/>
      </c>
    </row>
    <row r="133">
      <c r="A133" s="35" t="n">
        <v>45787</v>
      </c>
      <c r="B133" s="90">
        <f>'Daily Data'!B133</f>
        <v/>
      </c>
      <c r="C133" s="90">
        <f>'Daily Data'!D133</f>
        <v/>
      </c>
      <c r="D133" s="90">
        <f>'Daily Data'!C133</f>
        <v/>
      </c>
      <c r="E133" s="90">
        <f>IF('Daily Data'!E133="","",'Daily Data'!E133)</f>
        <v/>
      </c>
      <c r="F133" s="90">
        <f>IF($E133="","",'Daily Data'!F133)</f>
        <v/>
      </c>
      <c r="G133" s="90">
        <f>IF($E133="","",'Daily Data'!G133)</f>
        <v/>
      </c>
      <c r="H133" s="91">
        <f>IF($E133="","",(1-K133)*F133-G133)</f>
        <v/>
      </c>
      <c r="I133" s="90">
        <f>IF($E133="","",'Daily Data'!H133)</f>
        <v/>
      </c>
      <c r="J133" s="91">
        <f>IF($E133="","",E133-H133-I133)</f>
        <v/>
      </c>
      <c r="K133" s="60">
        <f>IF($E133="","",IF(A133&lt;HLP_ChangeDate,HLP_Legacy,HLP_Current))</f>
        <v/>
      </c>
      <c r="L133" s="91">
        <f>IF($E133="","",J133/(1-K133))</f>
        <v/>
      </c>
      <c r="M133" s="90">
        <f>IF($E133="","",'Daily Data'!I133)</f>
        <v/>
      </c>
      <c r="N133" s="91">
        <f>IF($E133="","",M133*(1-K133)-I133)</f>
        <v/>
      </c>
      <c r="O133" s="92" t="inlineStr"/>
      <c r="P133" s="93">
        <f>IF($E133="","",(L133+F133+M133)*K133)</f>
        <v/>
      </c>
      <c r="Q133" s="91">
        <f>IF($E133="","",L133*K133)</f>
        <v/>
      </c>
      <c r="R133" s="91">
        <f>IF($E133="","",F133*K133)</f>
        <v/>
      </c>
      <c r="S133" s="91">
        <f>IF($E133="","",M133*K133)</f>
        <v/>
      </c>
      <c r="T133" s="63">
        <f>IF(OR($E133="",B133=0),"",L133/B133*10000)</f>
        <v/>
      </c>
      <c r="U133" s="63">
        <f>IF(OR($E133="",C133=0),"",F133/C133*10000)</f>
        <v/>
      </c>
      <c r="V133" s="63">
        <f>IF(OR($E133="",D133=0),"",M133/D133*10000)</f>
        <v/>
      </c>
    </row>
    <row r="134">
      <c r="A134" s="35" t="n">
        <v>45788</v>
      </c>
      <c r="B134" s="90">
        <f>'Daily Data'!B134</f>
        <v/>
      </c>
      <c r="C134" s="90">
        <f>'Daily Data'!D134</f>
        <v/>
      </c>
      <c r="D134" s="90">
        <f>'Daily Data'!C134</f>
        <v/>
      </c>
      <c r="E134" s="90">
        <f>IF('Daily Data'!E134="","",'Daily Data'!E134)</f>
        <v/>
      </c>
      <c r="F134" s="90">
        <f>IF($E134="","",'Daily Data'!F134)</f>
        <v/>
      </c>
      <c r="G134" s="90">
        <f>IF($E134="","",'Daily Data'!G134)</f>
        <v/>
      </c>
      <c r="H134" s="91">
        <f>IF($E134="","",(1-K134)*F134-G134)</f>
        <v/>
      </c>
      <c r="I134" s="90">
        <f>IF($E134="","",'Daily Data'!H134)</f>
        <v/>
      </c>
      <c r="J134" s="91">
        <f>IF($E134="","",E134-H134-I134)</f>
        <v/>
      </c>
      <c r="K134" s="60">
        <f>IF($E134="","",IF(A134&lt;HLP_ChangeDate,HLP_Legacy,HLP_Current))</f>
        <v/>
      </c>
      <c r="L134" s="91">
        <f>IF($E134="","",J134/(1-K134))</f>
        <v/>
      </c>
      <c r="M134" s="90">
        <f>IF($E134="","",'Daily Data'!I134)</f>
        <v/>
      </c>
      <c r="N134" s="91">
        <f>IF($E134="","",M134*(1-K134)-I134)</f>
        <v/>
      </c>
      <c r="O134" s="92" t="inlineStr"/>
      <c r="P134" s="93">
        <f>IF($E134="","",(L134+F134+M134)*K134)</f>
        <v/>
      </c>
      <c r="Q134" s="91">
        <f>IF($E134="","",L134*K134)</f>
        <v/>
      </c>
      <c r="R134" s="91">
        <f>IF($E134="","",F134*K134)</f>
        <v/>
      </c>
      <c r="S134" s="91">
        <f>IF($E134="","",M134*K134)</f>
        <v/>
      </c>
      <c r="T134" s="63">
        <f>IF(OR($E134="",B134=0),"",L134/B134*10000)</f>
        <v/>
      </c>
      <c r="U134" s="63">
        <f>IF(OR($E134="",C134=0),"",F134/C134*10000)</f>
        <v/>
      </c>
      <c r="V134" s="63">
        <f>IF(OR($E134="",D134=0),"",M134/D134*10000)</f>
        <v/>
      </c>
    </row>
    <row r="135">
      <c r="A135" s="35" t="n">
        <v>45789</v>
      </c>
      <c r="B135" s="90">
        <f>'Daily Data'!B135</f>
        <v/>
      </c>
      <c r="C135" s="90">
        <f>'Daily Data'!D135</f>
        <v/>
      </c>
      <c r="D135" s="90">
        <f>'Daily Data'!C135</f>
        <v/>
      </c>
      <c r="E135" s="90">
        <f>IF('Daily Data'!E135="","",'Daily Data'!E135)</f>
        <v/>
      </c>
      <c r="F135" s="90">
        <f>IF($E135="","",'Daily Data'!F135)</f>
        <v/>
      </c>
      <c r="G135" s="90">
        <f>IF($E135="","",'Daily Data'!G135)</f>
        <v/>
      </c>
      <c r="H135" s="91">
        <f>IF($E135="","",(1-K135)*F135-G135)</f>
        <v/>
      </c>
      <c r="I135" s="90">
        <f>IF($E135="","",'Daily Data'!H135)</f>
        <v/>
      </c>
      <c r="J135" s="91">
        <f>IF($E135="","",E135-H135-I135)</f>
        <v/>
      </c>
      <c r="K135" s="60">
        <f>IF($E135="","",IF(A135&lt;HLP_ChangeDate,HLP_Legacy,HLP_Current))</f>
        <v/>
      </c>
      <c r="L135" s="91">
        <f>IF($E135="","",J135/(1-K135))</f>
        <v/>
      </c>
      <c r="M135" s="90">
        <f>IF($E135="","",'Daily Data'!I135)</f>
        <v/>
      </c>
      <c r="N135" s="91">
        <f>IF($E135="","",M135*(1-K135)-I135)</f>
        <v/>
      </c>
      <c r="O135" s="92" t="inlineStr"/>
      <c r="P135" s="93">
        <f>IF($E135="","",(L135+F135+M135)*K135)</f>
        <v/>
      </c>
      <c r="Q135" s="91">
        <f>IF($E135="","",L135*K135)</f>
        <v/>
      </c>
      <c r="R135" s="91">
        <f>IF($E135="","",F135*K135)</f>
        <v/>
      </c>
      <c r="S135" s="91">
        <f>IF($E135="","",M135*K135)</f>
        <v/>
      </c>
      <c r="T135" s="63">
        <f>IF(OR($E135="",B135=0),"",L135/B135*10000)</f>
        <v/>
      </c>
      <c r="U135" s="63">
        <f>IF(OR($E135="",C135=0),"",F135/C135*10000)</f>
        <v/>
      </c>
      <c r="V135" s="63">
        <f>IF(OR($E135="",D135=0),"",M135/D135*10000)</f>
        <v/>
      </c>
    </row>
    <row r="136">
      <c r="A136" s="35" t="n">
        <v>45790</v>
      </c>
      <c r="B136" s="90">
        <f>'Daily Data'!B136</f>
        <v/>
      </c>
      <c r="C136" s="90">
        <f>'Daily Data'!D136</f>
        <v/>
      </c>
      <c r="D136" s="90">
        <f>'Daily Data'!C136</f>
        <v/>
      </c>
      <c r="E136" s="90">
        <f>IF('Daily Data'!E136="","",'Daily Data'!E136)</f>
        <v/>
      </c>
      <c r="F136" s="90">
        <f>IF($E136="","",'Daily Data'!F136)</f>
        <v/>
      </c>
      <c r="G136" s="90">
        <f>IF($E136="","",'Daily Data'!G136)</f>
        <v/>
      </c>
      <c r="H136" s="91">
        <f>IF($E136="","",(1-K136)*F136-G136)</f>
        <v/>
      </c>
      <c r="I136" s="90">
        <f>IF($E136="","",'Daily Data'!H136)</f>
        <v/>
      </c>
      <c r="J136" s="91">
        <f>IF($E136="","",E136-H136-I136)</f>
        <v/>
      </c>
      <c r="K136" s="60">
        <f>IF($E136="","",IF(A136&lt;HLP_ChangeDate,HLP_Legacy,HLP_Current))</f>
        <v/>
      </c>
      <c r="L136" s="91">
        <f>IF($E136="","",J136/(1-K136))</f>
        <v/>
      </c>
      <c r="M136" s="90">
        <f>IF($E136="","",'Daily Data'!I136)</f>
        <v/>
      </c>
      <c r="N136" s="91">
        <f>IF($E136="","",M136*(1-K136)-I136)</f>
        <v/>
      </c>
      <c r="O136" s="92" t="inlineStr"/>
      <c r="P136" s="93">
        <f>IF($E136="","",(L136+F136+M136)*K136)</f>
        <v/>
      </c>
      <c r="Q136" s="91">
        <f>IF($E136="","",L136*K136)</f>
        <v/>
      </c>
      <c r="R136" s="91">
        <f>IF($E136="","",F136*K136)</f>
        <v/>
      </c>
      <c r="S136" s="91">
        <f>IF($E136="","",M136*K136)</f>
        <v/>
      </c>
      <c r="T136" s="63">
        <f>IF(OR($E136="",B136=0),"",L136/B136*10000)</f>
        <v/>
      </c>
      <c r="U136" s="63">
        <f>IF(OR($E136="",C136=0),"",F136/C136*10000)</f>
        <v/>
      </c>
      <c r="V136" s="63">
        <f>IF(OR($E136="",D136=0),"",M136/D136*10000)</f>
        <v/>
      </c>
    </row>
    <row r="137">
      <c r="A137" s="35" t="n">
        <v>45791</v>
      </c>
      <c r="B137" s="90">
        <f>'Daily Data'!B137</f>
        <v/>
      </c>
      <c r="C137" s="90">
        <f>'Daily Data'!D137</f>
        <v/>
      </c>
      <c r="D137" s="90">
        <f>'Daily Data'!C137</f>
        <v/>
      </c>
      <c r="E137" s="90">
        <f>IF('Daily Data'!E137="","",'Daily Data'!E137)</f>
        <v/>
      </c>
      <c r="F137" s="90">
        <f>IF($E137="","",'Daily Data'!F137)</f>
        <v/>
      </c>
      <c r="G137" s="90">
        <f>IF($E137="","",'Daily Data'!G137)</f>
        <v/>
      </c>
      <c r="H137" s="91">
        <f>IF($E137="","",(1-K137)*F137-G137)</f>
        <v/>
      </c>
      <c r="I137" s="90">
        <f>IF($E137="","",'Daily Data'!H137)</f>
        <v/>
      </c>
      <c r="J137" s="91">
        <f>IF($E137="","",E137-H137-I137)</f>
        <v/>
      </c>
      <c r="K137" s="60">
        <f>IF($E137="","",IF(A137&lt;HLP_ChangeDate,HLP_Legacy,HLP_Current))</f>
        <v/>
      </c>
      <c r="L137" s="91">
        <f>IF($E137="","",J137/(1-K137))</f>
        <v/>
      </c>
      <c r="M137" s="90">
        <f>IF($E137="","",'Daily Data'!I137)</f>
        <v/>
      </c>
      <c r="N137" s="91">
        <f>IF($E137="","",M137*(1-K137)-I137)</f>
        <v/>
      </c>
      <c r="O137" s="92" t="inlineStr"/>
      <c r="P137" s="93">
        <f>IF($E137="","",(L137+F137+M137)*K137)</f>
        <v/>
      </c>
      <c r="Q137" s="91">
        <f>IF($E137="","",L137*K137)</f>
        <v/>
      </c>
      <c r="R137" s="91">
        <f>IF($E137="","",F137*K137)</f>
        <v/>
      </c>
      <c r="S137" s="91">
        <f>IF($E137="","",M137*K137)</f>
        <v/>
      </c>
      <c r="T137" s="63">
        <f>IF(OR($E137="",B137=0),"",L137/B137*10000)</f>
        <v/>
      </c>
      <c r="U137" s="63">
        <f>IF(OR($E137="",C137=0),"",F137/C137*10000)</f>
        <v/>
      </c>
      <c r="V137" s="63">
        <f>IF(OR($E137="",D137=0),"",M137/D137*10000)</f>
        <v/>
      </c>
    </row>
    <row r="138">
      <c r="A138" s="35" t="n">
        <v>45792</v>
      </c>
      <c r="B138" s="90">
        <f>'Daily Data'!B138</f>
        <v/>
      </c>
      <c r="C138" s="90">
        <f>'Daily Data'!D138</f>
        <v/>
      </c>
      <c r="D138" s="90">
        <f>'Daily Data'!C138</f>
        <v/>
      </c>
      <c r="E138" s="90">
        <f>IF('Daily Data'!E138="","",'Daily Data'!E138)</f>
        <v/>
      </c>
      <c r="F138" s="90">
        <f>IF($E138="","",'Daily Data'!F138)</f>
        <v/>
      </c>
      <c r="G138" s="90">
        <f>IF($E138="","",'Daily Data'!G138)</f>
        <v/>
      </c>
      <c r="H138" s="91">
        <f>IF($E138="","",(1-K138)*F138-G138)</f>
        <v/>
      </c>
      <c r="I138" s="90">
        <f>IF($E138="","",'Daily Data'!H138)</f>
        <v/>
      </c>
      <c r="J138" s="91">
        <f>IF($E138="","",E138-H138-I138)</f>
        <v/>
      </c>
      <c r="K138" s="60">
        <f>IF($E138="","",IF(A138&lt;HLP_ChangeDate,HLP_Legacy,HLP_Current))</f>
        <v/>
      </c>
      <c r="L138" s="91">
        <f>IF($E138="","",J138/(1-K138))</f>
        <v/>
      </c>
      <c r="M138" s="90">
        <f>IF($E138="","",'Daily Data'!I138)</f>
        <v/>
      </c>
      <c r="N138" s="91">
        <f>IF($E138="","",M138*(1-K138)-I138)</f>
        <v/>
      </c>
      <c r="O138" s="92" t="inlineStr"/>
      <c r="P138" s="93">
        <f>IF($E138="","",(L138+F138+M138)*K138)</f>
        <v/>
      </c>
      <c r="Q138" s="91">
        <f>IF($E138="","",L138*K138)</f>
        <v/>
      </c>
      <c r="R138" s="91">
        <f>IF($E138="","",F138*K138)</f>
        <v/>
      </c>
      <c r="S138" s="91">
        <f>IF($E138="","",M138*K138)</f>
        <v/>
      </c>
      <c r="T138" s="63">
        <f>IF(OR($E138="",B138=0),"",L138/B138*10000)</f>
        <v/>
      </c>
      <c r="U138" s="63">
        <f>IF(OR($E138="",C138=0),"",F138/C138*10000)</f>
        <v/>
      </c>
      <c r="V138" s="63">
        <f>IF(OR($E138="",D138=0),"",M138/D138*10000)</f>
        <v/>
      </c>
    </row>
    <row r="139">
      <c r="A139" s="35" t="n">
        <v>45793</v>
      </c>
      <c r="B139" s="90">
        <f>'Daily Data'!B139</f>
        <v/>
      </c>
      <c r="C139" s="90">
        <f>'Daily Data'!D139</f>
        <v/>
      </c>
      <c r="D139" s="90">
        <f>'Daily Data'!C139</f>
        <v/>
      </c>
      <c r="E139" s="90">
        <f>IF('Daily Data'!E139="","",'Daily Data'!E139)</f>
        <v/>
      </c>
      <c r="F139" s="90">
        <f>IF($E139="","",'Daily Data'!F139)</f>
        <v/>
      </c>
      <c r="G139" s="90">
        <f>IF($E139="","",'Daily Data'!G139)</f>
        <v/>
      </c>
      <c r="H139" s="91">
        <f>IF($E139="","",(1-K139)*F139-G139)</f>
        <v/>
      </c>
      <c r="I139" s="90">
        <f>IF($E139="","",'Daily Data'!H139)</f>
        <v/>
      </c>
      <c r="J139" s="91">
        <f>IF($E139="","",E139-H139-I139)</f>
        <v/>
      </c>
      <c r="K139" s="60">
        <f>IF($E139="","",IF(A139&lt;HLP_ChangeDate,HLP_Legacy,HLP_Current))</f>
        <v/>
      </c>
      <c r="L139" s="91">
        <f>IF($E139="","",J139/(1-K139))</f>
        <v/>
      </c>
      <c r="M139" s="90">
        <f>IF($E139="","",'Daily Data'!I139)</f>
        <v/>
      </c>
      <c r="N139" s="91">
        <f>IF($E139="","",M139*(1-K139)-I139)</f>
        <v/>
      </c>
      <c r="O139" s="92" t="inlineStr"/>
      <c r="P139" s="93">
        <f>IF($E139="","",(L139+F139+M139)*K139)</f>
        <v/>
      </c>
      <c r="Q139" s="91">
        <f>IF($E139="","",L139*K139)</f>
        <v/>
      </c>
      <c r="R139" s="91">
        <f>IF($E139="","",F139*K139)</f>
        <v/>
      </c>
      <c r="S139" s="91">
        <f>IF($E139="","",M139*K139)</f>
        <v/>
      </c>
      <c r="T139" s="63">
        <f>IF(OR($E139="",B139=0),"",L139/B139*10000)</f>
        <v/>
      </c>
      <c r="U139" s="63">
        <f>IF(OR($E139="",C139=0),"",F139/C139*10000)</f>
        <v/>
      </c>
      <c r="V139" s="63">
        <f>IF(OR($E139="",D139=0),"",M139/D139*10000)</f>
        <v/>
      </c>
    </row>
    <row r="140">
      <c r="A140" s="35" t="n">
        <v>45794</v>
      </c>
      <c r="B140" s="90">
        <f>'Daily Data'!B140</f>
        <v/>
      </c>
      <c r="C140" s="90">
        <f>'Daily Data'!D140</f>
        <v/>
      </c>
      <c r="D140" s="90">
        <f>'Daily Data'!C140</f>
        <v/>
      </c>
      <c r="E140" s="90">
        <f>IF('Daily Data'!E140="","",'Daily Data'!E140)</f>
        <v/>
      </c>
      <c r="F140" s="90">
        <f>IF($E140="","",'Daily Data'!F140)</f>
        <v/>
      </c>
      <c r="G140" s="90">
        <f>IF($E140="","",'Daily Data'!G140)</f>
        <v/>
      </c>
      <c r="H140" s="91">
        <f>IF($E140="","",(1-K140)*F140-G140)</f>
        <v/>
      </c>
      <c r="I140" s="90">
        <f>IF($E140="","",'Daily Data'!H140)</f>
        <v/>
      </c>
      <c r="J140" s="91">
        <f>IF($E140="","",E140-H140-I140)</f>
        <v/>
      </c>
      <c r="K140" s="60">
        <f>IF($E140="","",IF(A140&lt;HLP_ChangeDate,HLP_Legacy,HLP_Current))</f>
        <v/>
      </c>
      <c r="L140" s="91">
        <f>IF($E140="","",J140/(1-K140))</f>
        <v/>
      </c>
      <c r="M140" s="90">
        <f>IF($E140="","",'Daily Data'!I140)</f>
        <v/>
      </c>
      <c r="N140" s="91">
        <f>IF($E140="","",M140*(1-K140)-I140)</f>
        <v/>
      </c>
      <c r="O140" s="92" t="inlineStr"/>
      <c r="P140" s="93">
        <f>IF($E140="","",(L140+F140+M140)*K140)</f>
        <v/>
      </c>
      <c r="Q140" s="91">
        <f>IF($E140="","",L140*K140)</f>
        <v/>
      </c>
      <c r="R140" s="91">
        <f>IF($E140="","",F140*K140)</f>
        <v/>
      </c>
      <c r="S140" s="91">
        <f>IF($E140="","",M140*K140)</f>
        <v/>
      </c>
      <c r="T140" s="63">
        <f>IF(OR($E140="",B140=0),"",L140/B140*10000)</f>
        <v/>
      </c>
      <c r="U140" s="63">
        <f>IF(OR($E140="",C140=0),"",F140/C140*10000)</f>
        <v/>
      </c>
      <c r="V140" s="63">
        <f>IF(OR($E140="",D140=0),"",M140/D140*10000)</f>
        <v/>
      </c>
    </row>
    <row r="141">
      <c r="A141" s="35" t="n">
        <v>45795</v>
      </c>
      <c r="B141" s="90">
        <f>'Daily Data'!B141</f>
        <v/>
      </c>
      <c r="C141" s="90">
        <f>'Daily Data'!D141</f>
        <v/>
      </c>
      <c r="D141" s="90">
        <f>'Daily Data'!C141</f>
        <v/>
      </c>
      <c r="E141" s="90">
        <f>IF('Daily Data'!E141="","",'Daily Data'!E141)</f>
        <v/>
      </c>
      <c r="F141" s="90">
        <f>IF($E141="","",'Daily Data'!F141)</f>
        <v/>
      </c>
      <c r="G141" s="90">
        <f>IF($E141="","",'Daily Data'!G141)</f>
        <v/>
      </c>
      <c r="H141" s="91">
        <f>IF($E141="","",(1-K141)*F141-G141)</f>
        <v/>
      </c>
      <c r="I141" s="90">
        <f>IF($E141="","",'Daily Data'!H141)</f>
        <v/>
      </c>
      <c r="J141" s="91">
        <f>IF($E141="","",E141-H141-I141)</f>
        <v/>
      </c>
      <c r="K141" s="60">
        <f>IF($E141="","",IF(A141&lt;HLP_ChangeDate,HLP_Legacy,HLP_Current))</f>
        <v/>
      </c>
      <c r="L141" s="91">
        <f>IF($E141="","",J141/(1-K141))</f>
        <v/>
      </c>
      <c r="M141" s="90">
        <f>IF($E141="","",'Daily Data'!I141)</f>
        <v/>
      </c>
      <c r="N141" s="91">
        <f>IF($E141="","",M141*(1-K141)-I141)</f>
        <v/>
      </c>
      <c r="O141" s="92" t="inlineStr"/>
      <c r="P141" s="93">
        <f>IF($E141="","",(L141+F141+M141)*K141)</f>
        <v/>
      </c>
      <c r="Q141" s="91">
        <f>IF($E141="","",L141*K141)</f>
        <v/>
      </c>
      <c r="R141" s="91">
        <f>IF($E141="","",F141*K141)</f>
        <v/>
      </c>
      <c r="S141" s="91">
        <f>IF($E141="","",M141*K141)</f>
        <v/>
      </c>
      <c r="T141" s="63">
        <f>IF(OR($E141="",B141=0),"",L141/B141*10000)</f>
        <v/>
      </c>
      <c r="U141" s="63">
        <f>IF(OR($E141="",C141=0),"",F141/C141*10000)</f>
        <v/>
      </c>
      <c r="V141" s="63">
        <f>IF(OR($E141="",D141=0),"",M141/D141*10000)</f>
        <v/>
      </c>
    </row>
    <row r="142">
      <c r="A142" s="35" t="n">
        <v>45796</v>
      </c>
      <c r="B142" s="90">
        <f>'Daily Data'!B142</f>
        <v/>
      </c>
      <c r="C142" s="90">
        <f>'Daily Data'!D142</f>
        <v/>
      </c>
      <c r="D142" s="90">
        <f>'Daily Data'!C142</f>
        <v/>
      </c>
      <c r="E142" s="90">
        <f>IF('Daily Data'!E142="","",'Daily Data'!E142)</f>
        <v/>
      </c>
      <c r="F142" s="90">
        <f>IF($E142="","",'Daily Data'!F142)</f>
        <v/>
      </c>
      <c r="G142" s="90">
        <f>IF($E142="","",'Daily Data'!G142)</f>
        <v/>
      </c>
      <c r="H142" s="91">
        <f>IF($E142="","",(1-K142)*F142-G142)</f>
        <v/>
      </c>
      <c r="I142" s="90">
        <f>IF($E142="","",'Daily Data'!H142)</f>
        <v/>
      </c>
      <c r="J142" s="91">
        <f>IF($E142="","",E142-H142-I142)</f>
        <v/>
      </c>
      <c r="K142" s="60">
        <f>IF($E142="","",IF(A142&lt;HLP_ChangeDate,HLP_Legacy,HLP_Current))</f>
        <v/>
      </c>
      <c r="L142" s="91">
        <f>IF($E142="","",J142/(1-K142))</f>
        <v/>
      </c>
      <c r="M142" s="90">
        <f>IF($E142="","",'Daily Data'!I142)</f>
        <v/>
      </c>
      <c r="N142" s="91">
        <f>IF($E142="","",M142*(1-K142)-I142)</f>
        <v/>
      </c>
      <c r="O142" s="92" t="inlineStr"/>
      <c r="P142" s="93">
        <f>IF($E142="","",(L142+F142+M142)*K142)</f>
        <v/>
      </c>
      <c r="Q142" s="91">
        <f>IF($E142="","",L142*K142)</f>
        <v/>
      </c>
      <c r="R142" s="91">
        <f>IF($E142="","",F142*K142)</f>
        <v/>
      </c>
      <c r="S142" s="91">
        <f>IF($E142="","",M142*K142)</f>
        <v/>
      </c>
      <c r="T142" s="63">
        <f>IF(OR($E142="",B142=0),"",L142/B142*10000)</f>
        <v/>
      </c>
      <c r="U142" s="63">
        <f>IF(OR($E142="",C142=0),"",F142/C142*10000)</f>
        <v/>
      </c>
      <c r="V142" s="63">
        <f>IF(OR($E142="",D142=0),"",M142/D142*10000)</f>
        <v/>
      </c>
    </row>
    <row r="143">
      <c r="A143" s="35" t="n">
        <v>45797</v>
      </c>
      <c r="B143" s="90">
        <f>'Daily Data'!B143</f>
        <v/>
      </c>
      <c r="C143" s="90">
        <f>'Daily Data'!D143</f>
        <v/>
      </c>
      <c r="D143" s="90">
        <f>'Daily Data'!C143</f>
        <v/>
      </c>
      <c r="E143" s="90">
        <f>IF('Daily Data'!E143="","",'Daily Data'!E143)</f>
        <v/>
      </c>
      <c r="F143" s="90">
        <f>IF($E143="","",'Daily Data'!F143)</f>
        <v/>
      </c>
      <c r="G143" s="90">
        <f>IF($E143="","",'Daily Data'!G143)</f>
        <v/>
      </c>
      <c r="H143" s="91">
        <f>IF($E143="","",(1-K143)*F143-G143)</f>
        <v/>
      </c>
      <c r="I143" s="90">
        <f>IF($E143="","",'Daily Data'!H143)</f>
        <v/>
      </c>
      <c r="J143" s="91">
        <f>IF($E143="","",E143-H143-I143)</f>
        <v/>
      </c>
      <c r="K143" s="60">
        <f>IF($E143="","",IF(A143&lt;HLP_ChangeDate,HLP_Legacy,HLP_Current))</f>
        <v/>
      </c>
      <c r="L143" s="91">
        <f>IF($E143="","",J143/(1-K143))</f>
        <v/>
      </c>
      <c r="M143" s="90">
        <f>IF($E143="","",'Daily Data'!I143)</f>
        <v/>
      </c>
      <c r="N143" s="91">
        <f>IF($E143="","",M143*(1-K143)-I143)</f>
        <v/>
      </c>
      <c r="O143" s="92" t="inlineStr"/>
      <c r="P143" s="93">
        <f>IF($E143="","",(L143+F143+M143)*K143)</f>
        <v/>
      </c>
      <c r="Q143" s="91">
        <f>IF($E143="","",L143*K143)</f>
        <v/>
      </c>
      <c r="R143" s="91">
        <f>IF($E143="","",F143*K143)</f>
        <v/>
      </c>
      <c r="S143" s="91">
        <f>IF($E143="","",M143*K143)</f>
        <v/>
      </c>
      <c r="T143" s="63">
        <f>IF(OR($E143="",B143=0),"",L143/B143*10000)</f>
        <v/>
      </c>
      <c r="U143" s="63">
        <f>IF(OR($E143="",C143=0),"",F143/C143*10000)</f>
        <v/>
      </c>
      <c r="V143" s="63">
        <f>IF(OR($E143="",D143=0),"",M143/D143*10000)</f>
        <v/>
      </c>
    </row>
    <row r="144">
      <c r="A144" s="35" t="n">
        <v>45798</v>
      </c>
      <c r="B144" s="90">
        <f>'Daily Data'!B144</f>
        <v/>
      </c>
      <c r="C144" s="90">
        <f>'Daily Data'!D144</f>
        <v/>
      </c>
      <c r="D144" s="90">
        <f>'Daily Data'!C144</f>
        <v/>
      </c>
      <c r="E144" s="90">
        <f>IF('Daily Data'!E144="","",'Daily Data'!E144)</f>
        <v/>
      </c>
      <c r="F144" s="90">
        <f>IF($E144="","",'Daily Data'!F144)</f>
        <v/>
      </c>
      <c r="G144" s="90">
        <f>IF($E144="","",'Daily Data'!G144)</f>
        <v/>
      </c>
      <c r="H144" s="91">
        <f>IF($E144="","",(1-K144)*F144-G144)</f>
        <v/>
      </c>
      <c r="I144" s="90">
        <f>IF($E144="","",'Daily Data'!H144)</f>
        <v/>
      </c>
      <c r="J144" s="91">
        <f>IF($E144="","",E144-H144-I144)</f>
        <v/>
      </c>
      <c r="K144" s="60">
        <f>IF($E144="","",IF(A144&lt;HLP_ChangeDate,HLP_Legacy,HLP_Current))</f>
        <v/>
      </c>
      <c r="L144" s="91">
        <f>IF($E144="","",J144/(1-K144))</f>
        <v/>
      </c>
      <c r="M144" s="90">
        <f>IF($E144="","",'Daily Data'!I144)</f>
        <v/>
      </c>
      <c r="N144" s="91">
        <f>IF($E144="","",M144*(1-K144)-I144)</f>
        <v/>
      </c>
      <c r="O144" s="92" t="inlineStr"/>
      <c r="P144" s="93">
        <f>IF($E144="","",(L144+F144+M144)*K144)</f>
        <v/>
      </c>
      <c r="Q144" s="91">
        <f>IF($E144="","",L144*K144)</f>
        <v/>
      </c>
      <c r="R144" s="91">
        <f>IF($E144="","",F144*K144)</f>
        <v/>
      </c>
      <c r="S144" s="91">
        <f>IF($E144="","",M144*K144)</f>
        <v/>
      </c>
      <c r="T144" s="63">
        <f>IF(OR($E144="",B144=0),"",L144/B144*10000)</f>
        <v/>
      </c>
      <c r="U144" s="63">
        <f>IF(OR($E144="",C144=0),"",F144/C144*10000)</f>
        <v/>
      </c>
      <c r="V144" s="63">
        <f>IF(OR($E144="",D144=0),"",M144/D144*10000)</f>
        <v/>
      </c>
    </row>
    <row r="145">
      <c r="A145" s="35" t="n">
        <v>45799</v>
      </c>
      <c r="B145" s="90">
        <f>'Daily Data'!B145</f>
        <v/>
      </c>
      <c r="C145" s="90">
        <f>'Daily Data'!D145</f>
        <v/>
      </c>
      <c r="D145" s="90">
        <f>'Daily Data'!C145</f>
        <v/>
      </c>
      <c r="E145" s="90">
        <f>IF('Daily Data'!E145="","",'Daily Data'!E145)</f>
        <v/>
      </c>
      <c r="F145" s="90">
        <f>IF($E145="","",'Daily Data'!F145)</f>
        <v/>
      </c>
      <c r="G145" s="90">
        <f>IF($E145="","",'Daily Data'!G145)</f>
        <v/>
      </c>
      <c r="H145" s="91">
        <f>IF($E145="","",(1-K145)*F145-G145)</f>
        <v/>
      </c>
      <c r="I145" s="90">
        <f>IF($E145="","",'Daily Data'!H145)</f>
        <v/>
      </c>
      <c r="J145" s="91">
        <f>IF($E145="","",E145-H145-I145)</f>
        <v/>
      </c>
      <c r="K145" s="60">
        <f>IF($E145="","",IF(A145&lt;HLP_ChangeDate,HLP_Legacy,HLP_Current))</f>
        <v/>
      </c>
      <c r="L145" s="91">
        <f>IF($E145="","",J145/(1-K145))</f>
        <v/>
      </c>
      <c r="M145" s="90">
        <f>IF($E145="","",'Daily Data'!I145)</f>
        <v/>
      </c>
      <c r="N145" s="91">
        <f>IF($E145="","",M145*(1-K145)-I145)</f>
        <v/>
      </c>
      <c r="O145" s="92" t="inlineStr"/>
      <c r="P145" s="93">
        <f>IF($E145="","",(L145+F145+M145)*K145)</f>
        <v/>
      </c>
      <c r="Q145" s="91">
        <f>IF($E145="","",L145*K145)</f>
        <v/>
      </c>
      <c r="R145" s="91">
        <f>IF($E145="","",F145*K145)</f>
        <v/>
      </c>
      <c r="S145" s="91">
        <f>IF($E145="","",M145*K145)</f>
        <v/>
      </c>
      <c r="T145" s="63">
        <f>IF(OR($E145="",B145=0),"",L145/B145*10000)</f>
        <v/>
      </c>
      <c r="U145" s="63">
        <f>IF(OR($E145="",C145=0),"",F145/C145*10000)</f>
        <v/>
      </c>
      <c r="V145" s="63">
        <f>IF(OR($E145="",D145=0),"",M145/D145*10000)</f>
        <v/>
      </c>
    </row>
    <row r="146">
      <c r="A146" s="35" t="n">
        <v>45800</v>
      </c>
      <c r="B146" s="90">
        <f>'Daily Data'!B146</f>
        <v/>
      </c>
      <c r="C146" s="90">
        <f>'Daily Data'!D146</f>
        <v/>
      </c>
      <c r="D146" s="90">
        <f>'Daily Data'!C146</f>
        <v/>
      </c>
      <c r="E146" s="90">
        <f>IF('Daily Data'!E146="","",'Daily Data'!E146)</f>
        <v/>
      </c>
      <c r="F146" s="90">
        <f>IF($E146="","",'Daily Data'!F146)</f>
        <v/>
      </c>
      <c r="G146" s="90">
        <f>IF($E146="","",'Daily Data'!G146)</f>
        <v/>
      </c>
      <c r="H146" s="91">
        <f>IF($E146="","",(1-K146)*F146-G146)</f>
        <v/>
      </c>
      <c r="I146" s="90">
        <f>IF($E146="","",'Daily Data'!H146)</f>
        <v/>
      </c>
      <c r="J146" s="91">
        <f>IF($E146="","",E146-H146-I146)</f>
        <v/>
      </c>
      <c r="K146" s="60">
        <f>IF($E146="","",IF(A146&lt;HLP_ChangeDate,HLP_Legacy,HLP_Current))</f>
        <v/>
      </c>
      <c r="L146" s="91">
        <f>IF($E146="","",J146/(1-K146))</f>
        <v/>
      </c>
      <c r="M146" s="90">
        <f>IF($E146="","",'Daily Data'!I146)</f>
        <v/>
      </c>
      <c r="N146" s="91">
        <f>IF($E146="","",M146*(1-K146)-I146)</f>
        <v/>
      </c>
      <c r="O146" s="92" t="inlineStr"/>
      <c r="P146" s="93">
        <f>IF($E146="","",(L146+F146+M146)*K146)</f>
        <v/>
      </c>
      <c r="Q146" s="91">
        <f>IF($E146="","",L146*K146)</f>
        <v/>
      </c>
      <c r="R146" s="91">
        <f>IF($E146="","",F146*K146)</f>
        <v/>
      </c>
      <c r="S146" s="91">
        <f>IF($E146="","",M146*K146)</f>
        <v/>
      </c>
      <c r="T146" s="63">
        <f>IF(OR($E146="",B146=0),"",L146/B146*10000)</f>
        <v/>
      </c>
      <c r="U146" s="63">
        <f>IF(OR($E146="",C146=0),"",F146/C146*10000)</f>
        <v/>
      </c>
      <c r="V146" s="63">
        <f>IF(OR($E146="",D146=0),"",M146/D146*10000)</f>
        <v/>
      </c>
    </row>
    <row r="147">
      <c r="A147" s="35" t="n">
        <v>45801</v>
      </c>
      <c r="B147" s="90">
        <f>'Daily Data'!B147</f>
        <v/>
      </c>
      <c r="C147" s="90">
        <f>'Daily Data'!D147</f>
        <v/>
      </c>
      <c r="D147" s="90">
        <f>'Daily Data'!C147</f>
        <v/>
      </c>
      <c r="E147" s="90">
        <f>IF('Daily Data'!E147="","",'Daily Data'!E147)</f>
        <v/>
      </c>
      <c r="F147" s="90">
        <f>IF($E147="","",'Daily Data'!F147)</f>
        <v/>
      </c>
      <c r="G147" s="90">
        <f>IF($E147="","",'Daily Data'!G147)</f>
        <v/>
      </c>
      <c r="H147" s="91">
        <f>IF($E147="","",(1-K147)*F147-G147)</f>
        <v/>
      </c>
      <c r="I147" s="90">
        <f>IF($E147="","",'Daily Data'!H147)</f>
        <v/>
      </c>
      <c r="J147" s="91">
        <f>IF($E147="","",E147-H147-I147)</f>
        <v/>
      </c>
      <c r="K147" s="60">
        <f>IF($E147="","",IF(A147&lt;HLP_ChangeDate,HLP_Legacy,HLP_Current))</f>
        <v/>
      </c>
      <c r="L147" s="91">
        <f>IF($E147="","",J147/(1-K147))</f>
        <v/>
      </c>
      <c r="M147" s="90">
        <f>IF($E147="","",'Daily Data'!I147)</f>
        <v/>
      </c>
      <c r="N147" s="91">
        <f>IF($E147="","",M147*(1-K147)-I147)</f>
        <v/>
      </c>
      <c r="O147" s="92" t="inlineStr"/>
      <c r="P147" s="93">
        <f>IF($E147="","",(L147+F147+M147)*K147)</f>
        <v/>
      </c>
      <c r="Q147" s="91">
        <f>IF($E147="","",L147*K147)</f>
        <v/>
      </c>
      <c r="R147" s="91">
        <f>IF($E147="","",F147*K147)</f>
        <v/>
      </c>
      <c r="S147" s="91">
        <f>IF($E147="","",M147*K147)</f>
        <v/>
      </c>
      <c r="T147" s="63">
        <f>IF(OR($E147="",B147=0),"",L147/B147*10000)</f>
        <v/>
      </c>
      <c r="U147" s="63">
        <f>IF(OR($E147="",C147=0),"",F147/C147*10000)</f>
        <v/>
      </c>
      <c r="V147" s="63">
        <f>IF(OR($E147="",D147=0),"",M147/D147*10000)</f>
        <v/>
      </c>
    </row>
    <row r="148">
      <c r="A148" s="35" t="n">
        <v>45802</v>
      </c>
      <c r="B148" s="90">
        <f>'Daily Data'!B148</f>
        <v/>
      </c>
      <c r="C148" s="90">
        <f>'Daily Data'!D148</f>
        <v/>
      </c>
      <c r="D148" s="90">
        <f>'Daily Data'!C148</f>
        <v/>
      </c>
      <c r="E148" s="90">
        <f>IF('Daily Data'!E148="","",'Daily Data'!E148)</f>
        <v/>
      </c>
      <c r="F148" s="90">
        <f>IF($E148="","",'Daily Data'!F148)</f>
        <v/>
      </c>
      <c r="G148" s="90">
        <f>IF($E148="","",'Daily Data'!G148)</f>
        <v/>
      </c>
      <c r="H148" s="91">
        <f>IF($E148="","",(1-K148)*F148-G148)</f>
        <v/>
      </c>
      <c r="I148" s="90">
        <f>IF($E148="","",'Daily Data'!H148)</f>
        <v/>
      </c>
      <c r="J148" s="91">
        <f>IF($E148="","",E148-H148-I148)</f>
        <v/>
      </c>
      <c r="K148" s="60">
        <f>IF($E148="","",IF(A148&lt;HLP_ChangeDate,HLP_Legacy,HLP_Current))</f>
        <v/>
      </c>
      <c r="L148" s="91">
        <f>IF($E148="","",J148/(1-K148))</f>
        <v/>
      </c>
      <c r="M148" s="90">
        <f>IF($E148="","",'Daily Data'!I148)</f>
        <v/>
      </c>
      <c r="N148" s="91">
        <f>IF($E148="","",M148*(1-K148)-I148)</f>
        <v/>
      </c>
      <c r="O148" s="92" t="inlineStr"/>
      <c r="P148" s="93">
        <f>IF($E148="","",(L148+F148+M148)*K148)</f>
        <v/>
      </c>
      <c r="Q148" s="91">
        <f>IF($E148="","",L148*K148)</f>
        <v/>
      </c>
      <c r="R148" s="91">
        <f>IF($E148="","",F148*K148)</f>
        <v/>
      </c>
      <c r="S148" s="91">
        <f>IF($E148="","",M148*K148)</f>
        <v/>
      </c>
      <c r="T148" s="63">
        <f>IF(OR($E148="",B148=0),"",L148/B148*10000)</f>
        <v/>
      </c>
      <c r="U148" s="63">
        <f>IF(OR($E148="",C148=0),"",F148/C148*10000)</f>
        <v/>
      </c>
      <c r="V148" s="63">
        <f>IF(OR($E148="",D148=0),"",M148/D148*10000)</f>
        <v/>
      </c>
    </row>
    <row r="149">
      <c r="A149" s="35" t="n">
        <v>45803</v>
      </c>
      <c r="B149" s="90">
        <f>'Daily Data'!B149</f>
        <v/>
      </c>
      <c r="C149" s="90">
        <f>'Daily Data'!D149</f>
        <v/>
      </c>
      <c r="D149" s="90">
        <f>'Daily Data'!C149</f>
        <v/>
      </c>
      <c r="E149" s="90">
        <f>IF('Daily Data'!E149="","",'Daily Data'!E149)</f>
        <v/>
      </c>
      <c r="F149" s="90">
        <f>IF($E149="","",'Daily Data'!F149)</f>
        <v/>
      </c>
      <c r="G149" s="90">
        <f>IF($E149="","",'Daily Data'!G149)</f>
        <v/>
      </c>
      <c r="H149" s="91">
        <f>IF($E149="","",(1-K149)*F149-G149)</f>
        <v/>
      </c>
      <c r="I149" s="90">
        <f>IF($E149="","",'Daily Data'!H149)</f>
        <v/>
      </c>
      <c r="J149" s="91">
        <f>IF($E149="","",E149-H149-I149)</f>
        <v/>
      </c>
      <c r="K149" s="60">
        <f>IF($E149="","",IF(A149&lt;HLP_ChangeDate,HLP_Legacy,HLP_Current))</f>
        <v/>
      </c>
      <c r="L149" s="91">
        <f>IF($E149="","",J149/(1-K149))</f>
        <v/>
      </c>
      <c r="M149" s="90">
        <f>IF($E149="","",'Daily Data'!I149)</f>
        <v/>
      </c>
      <c r="N149" s="91">
        <f>IF($E149="","",M149*(1-K149)-I149)</f>
        <v/>
      </c>
      <c r="O149" s="92" t="inlineStr"/>
      <c r="P149" s="93">
        <f>IF($E149="","",(L149+F149+M149)*K149)</f>
        <v/>
      </c>
      <c r="Q149" s="91">
        <f>IF($E149="","",L149*K149)</f>
        <v/>
      </c>
      <c r="R149" s="91">
        <f>IF($E149="","",F149*K149)</f>
        <v/>
      </c>
      <c r="S149" s="91">
        <f>IF($E149="","",M149*K149)</f>
        <v/>
      </c>
      <c r="T149" s="63">
        <f>IF(OR($E149="",B149=0),"",L149/B149*10000)</f>
        <v/>
      </c>
      <c r="U149" s="63">
        <f>IF(OR($E149="",C149=0),"",F149/C149*10000)</f>
        <v/>
      </c>
      <c r="V149" s="63">
        <f>IF(OR($E149="",D149=0),"",M149/D149*10000)</f>
        <v/>
      </c>
    </row>
    <row r="150">
      <c r="A150" s="35" t="n">
        <v>45804</v>
      </c>
      <c r="B150" s="90">
        <f>'Daily Data'!B150</f>
        <v/>
      </c>
      <c r="C150" s="90">
        <f>'Daily Data'!D150</f>
        <v/>
      </c>
      <c r="D150" s="90">
        <f>'Daily Data'!C150</f>
        <v/>
      </c>
      <c r="E150" s="90">
        <f>IF('Daily Data'!E150="","",'Daily Data'!E150)</f>
        <v/>
      </c>
      <c r="F150" s="90">
        <f>IF($E150="","",'Daily Data'!F150)</f>
        <v/>
      </c>
      <c r="G150" s="90">
        <f>IF($E150="","",'Daily Data'!G150)</f>
        <v/>
      </c>
      <c r="H150" s="91">
        <f>IF($E150="","",(1-K150)*F150-G150)</f>
        <v/>
      </c>
      <c r="I150" s="90">
        <f>IF($E150="","",'Daily Data'!H150)</f>
        <v/>
      </c>
      <c r="J150" s="91">
        <f>IF($E150="","",E150-H150-I150)</f>
        <v/>
      </c>
      <c r="K150" s="60">
        <f>IF($E150="","",IF(A150&lt;HLP_ChangeDate,HLP_Legacy,HLP_Current))</f>
        <v/>
      </c>
      <c r="L150" s="91">
        <f>IF($E150="","",J150/(1-K150))</f>
        <v/>
      </c>
      <c r="M150" s="90">
        <f>IF($E150="","",'Daily Data'!I150)</f>
        <v/>
      </c>
      <c r="N150" s="91">
        <f>IF($E150="","",M150*(1-K150)-I150)</f>
        <v/>
      </c>
      <c r="O150" s="92" t="inlineStr"/>
      <c r="P150" s="93">
        <f>IF($E150="","",(L150+F150+M150)*K150)</f>
        <v/>
      </c>
      <c r="Q150" s="91">
        <f>IF($E150="","",L150*K150)</f>
        <v/>
      </c>
      <c r="R150" s="91">
        <f>IF($E150="","",F150*K150)</f>
        <v/>
      </c>
      <c r="S150" s="91">
        <f>IF($E150="","",M150*K150)</f>
        <v/>
      </c>
      <c r="T150" s="63">
        <f>IF(OR($E150="",B150=0),"",L150/B150*10000)</f>
        <v/>
      </c>
      <c r="U150" s="63">
        <f>IF(OR($E150="",C150=0),"",F150/C150*10000)</f>
        <v/>
      </c>
      <c r="V150" s="63">
        <f>IF(OR($E150="",D150=0),"",M150/D150*10000)</f>
        <v/>
      </c>
    </row>
    <row r="151">
      <c r="A151" s="35" t="n">
        <v>45805</v>
      </c>
      <c r="B151" s="90">
        <f>'Daily Data'!B151</f>
        <v/>
      </c>
      <c r="C151" s="90">
        <f>'Daily Data'!D151</f>
        <v/>
      </c>
      <c r="D151" s="90">
        <f>'Daily Data'!C151</f>
        <v/>
      </c>
      <c r="E151" s="90">
        <f>IF('Daily Data'!E151="","",'Daily Data'!E151)</f>
        <v/>
      </c>
      <c r="F151" s="90">
        <f>IF($E151="","",'Daily Data'!F151)</f>
        <v/>
      </c>
      <c r="G151" s="90">
        <f>IF($E151="","",'Daily Data'!G151)</f>
        <v/>
      </c>
      <c r="H151" s="91">
        <f>IF($E151="","",(1-K151)*F151-G151)</f>
        <v/>
      </c>
      <c r="I151" s="90">
        <f>IF($E151="","",'Daily Data'!H151)</f>
        <v/>
      </c>
      <c r="J151" s="91">
        <f>IF($E151="","",E151-H151-I151)</f>
        <v/>
      </c>
      <c r="K151" s="60">
        <f>IF($E151="","",IF(A151&lt;HLP_ChangeDate,HLP_Legacy,HLP_Current))</f>
        <v/>
      </c>
      <c r="L151" s="91">
        <f>IF($E151="","",J151/(1-K151))</f>
        <v/>
      </c>
      <c r="M151" s="90">
        <f>IF($E151="","",'Daily Data'!I151)</f>
        <v/>
      </c>
      <c r="N151" s="91">
        <f>IF($E151="","",M151*(1-K151)-I151)</f>
        <v/>
      </c>
      <c r="O151" s="92" t="inlineStr"/>
      <c r="P151" s="93">
        <f>IF($E151="","",(L151+F151+M151)*K151)</f>
        <v/>
      </c>
      <c r="Q151" s="91">
        <f>IF($E151="","",L151*K151)</f>
        <v/>
      </c>
      <c r="R151" s="91">
        <f>IF($E151="","",F151*K151)</f>
        <v/>
      </c>
      <c r="S151" s="91">
        <f>IF($E151="","",M151*K151)</f>
        <v/>
      </c>
      <c r="T151" s="63">
        <f>IF(OR($E151="",B151=0),"",L151/B151*10000)</f>
        <v/>
      </c>
      <c r="U151" s="63">
        <f>IF(OR($E151="",C151=0),"",F151/C151*10000)</f>
        <v/>
      </c>
      <c r="V151" s="63">
        <f>IF(OR($E151="",D151=0),"",M151/D151*10000)</f>
        <v/>
      </c>
    </row>
    <row r="152">
      <c r="A152" s="35" t="n">
        <v>45806</v>
      </c>
      <c r="B152" s="90">
        <f>'Daily Data'!B152</f>
        <v/>
      </c>
      <c r="C152" s="90">
        <f>'Daily Data'!D152</f>
        <v/>
      </c>
      <c r="D152" s="90">
        <f>'Daily Data'!C152</f>
        <v/>
      </c>
      <c r="E152" s="90">
        <f>IF('Daily Data'!E152="","",'Daily Data'!E152)</f>
        <v/>
      </c>
      <c r="F152" s="90">
        <f>IF($E152="","",'Daily Data'!F152)</f>
        <v/>
      </c>
      <c r="G152" s="90">
        <f>IF($E152="","",'Daily Data'!G152)</f>
        <v/>
      </c>
      <c r="H152" s="91">
        <f>IF($E152="","",(1-K152)*F152-G152)</f>
        <v/>
      </c>
      <c r="I152" s="90">
        <f>IF($E152="","",'Daily Data'!H152)</f>
        <v/>
      </c>
      <c r="J152" s="91">
        <f>IF($E152="","",E152-H152-I152)</f>
        <v/>
      </c>
      <c r="K152" s="60">
        <f>IF($E152="","",IF(A152&lt;HLP_ChangeDate,HLP_Legacy,HLP_Current))</f>
        <v/>
      </c>
      <c r="L152" s="91">
        <f>IF($E152="","",J152/(1-K152))</f>
        <v/>
      </c>
      <c r="M152" s="90">
        <f>IF($E152="","",'Daily Data'!I152)</f>
        <v/>
      </c>
      <c r="N152" s="91">
        <f>IF($E152="","",M152*(1-K152)-I152)</f>
        <v/>
      </c>
      <c r="O152" s="92" t="inlineStr"/>
      <c r="P152" s="93">
        <f>IF($E152="","",(L152+F152+M152)*K152)</f>
        <v/>
      </c>
      <c r="Q152" s="91">
        <f>IF($E152="","",L152*K152)</f>
        <v/>
      </c>
      <c r="R152" s="91">
        <f>IF($E152="","",F152*K152)</f>
        <v/>
      </c>
      <c r="S152" s="91">
        <f>IF($E152="","",M152*K152)</f>
        <v/>
      </c>
      <c r="T152" s="63">
        <f>IF(OR($E152="",B152=0),"",L152/B152*10000)</f>
        <v/>
      </c>
      <c r="U152" s="63">
        <f>IF(OR($E152="",C152=0),"",F152/C152*10000)</f>
        <v/>
      </c>
      <c r="V152" s="63">
        <f>IF(OR($E152="",D152=0),"",M152/D152*10000)</f>
        <v/>
      </c>
    </row>
    <row r="153">
      <c r="A153" s="35" t="n">
        <v>45807</v>
      </c>
      <c r="B153" s="90">
        <f>'Daily Data'!B153</f>
        <v/>
      </c>
      <c r="C153" s="90">
        <f>'Daily Data'!D153</f>
        <v/>
      </c>
      <c r="D153" s="90">
        <f>'Daily Data'!C153</f>
        <v/>
      </c>
      <c r="E153" s="90">
        <f>IF('Daily Data'!E153="","",'Daily Data'!E153)</f>
        <v/>
      </c>
      <c r="F153" s="90">
        <f>IF($E153="","",'Daily Data'!F153)</f>
        <v/>
      </c>
      <c r="G153" s="90">
        <f>IF($E153="","",'Daily Data'!G153)</f>
        <v/>
      </c>
      <c r="H153" s="91">
        <f>IF($E153="","",(1-K153)*F153-G153)</f>
        <v/>
      </c>
      <c r="I153" s="90">
        <f>IF($E153="","",'Daily Data'!H153)</f>
        <v/>
      </c>
      <c r="J153" s="91">
        <f>IF($E153="","",E153-H153-I153)</f>
        <v/>
      </c>
      <c r="K153" s="60">
        <f>IF($E153="","",IF(A153&lt;HLP_ChangeDate,HLP_Legacy,HLP_Current))</f>
        <v/>
      </c>
      <c r="L153" s="91">
        <f>IF($E153="","",J153/(1-K153))</f>
        <v/>
      </c>
      <c r="M153" s="90">
        <f>IF($E153="","",'Daily Data'!I153)</f>
        <v/>
      </c>
      <c r="N153" s="91">
        <f>IF($E153="","",M153*(1-K153)-I153)</f>
        <v/>
      </c>
      <c r="O153" s="92" t="inlineStr"/>
      <c r="P153" s="93">
        <f>IF($E153="","",(L153+F153+M153)*K153)</f>
        <v/>
      </c>
      <c r="Q153" s="91">
        <f>IF($E153="","",L153*K153)</f>
        <v/>
      </c>
      <c r="R153" s="91">
        <f>IF($E153="","",F153*K153)</f>
        <v/>
      </c>
      <c r="S153" s="91">
        <f>IF($E153="","",M153*K153)</f>
        <v/>
      </c>
      <c r="T153" s="63">
        <f>IF(OR($E153="",B153=0),"",L153/B153*10000)</f>
        <v/>
      </c>
      <c r="U153" s="63">
        <f>IF(OR($E153="",C153=0),"",F153/C153*10000)</f>
        <v/>
      </c>
      <c r="V153" s="63">
        <f>IF(OR($E153="",D153=0),"",M153/D153*10000)</f>
        <v/>
      </c>
    </row>
    <row r="154">
      <c r="A154" s="35" t="n">
        <v>45808</v>
      </c>
      <c r="B154" s="90">
        <f>'Daily Data'!B154</f>
        <v/>
      </c>
      <c r="C154" s="90">
        <f>'Daily Data'!D154</f>
        <v/>
      </c>
      <c r="D154" s="90">
        <f>'Daily Data'!C154</f>
        <v/>
      </c>
      <c r="E154" s="90">
        <f>IF('Daily Data'!E154="","",'Daily Data'!E154)</f>
        <v/>
      </c>
      <c r="F154" s="90">
        <f>IF($E154="","",'Daily Data'!F154)</f>
        <v/>
      </c>
      <c r="G154" s="90">
        <f>IF($E154="","",'Daily Data'!G154)</f>
        <v/>
      </c>
      <c r="H154" s="91">
        <f>IF($E154="","",(1-K154)*F154-G154)</f>
        <v/>
      </c>
      <c r="I154" s="90">
        <f>IF($E154="","",'Daily Data'!H154)</f>
        <v/>
      </c>
      <c r="J154" s="91">
        <f>IF($E154="","",E154-H154-I154)</f>
        <v/>
      </c>
      <c r="K154" s="60">
        <f>IF($E154="","",IF(A154&lt;HLP_ChangeDate,HLP_Legacy,HLP_Current))</f>
        <v/>
      </c>
      <c r="L154" s="91">
        <f>IF($E154="","",J154/(1-K154))</f>
        <v/>
      </c>
      <c r="M154" s="90">
        <f>IF($E154="","",'Daily Data'!I154)</f>
        <v/>
      </c>
      <c r="N154" s="91">
        <f>IF($E154="","",M154*(1-K154)-I154)</f>
        <v/>
      </c>
      <c r="O154" s="92" t="inlineStr"/>
      <c r="P154" s="93">
        <f>IF($E154="","",(L154+F154+M154)*K154)</f>
        <v/>
      </c>
      <c r="Q154" s="91">
        <f>IF($E154="","",L154*K154)</f>
        <v/>
      </c>
      <c r="R154" s="91">
        <f>IF($E154="","",F154*K154)</f>
        <v/>
      </c>
      <c r="S154" s="91">
        <f>IF($E154="","",M154*K154)</f>
        <v/>
      </c>
      <c r="T154" s="63">
        <f>IF(OR($E154="",B154=0),"",L154/B154*10000)</f>
        <v/>
      </c>
      <c r="U154" s="63">
        <f>IF(OR($E154="",C154=0),"",F154/C154*10000)</f>
        <v/>
      </c>
      <c r="V154" s="63">
        <f>IF(OR($E154="",D154=0),"",M154/D154*10000)</f>
        <v/>
      </c>
    </row>
    <row r="155">
      <c r="A155" s="35" t="n">
        <v>45809</v>
      </c>
      <c r="B155" s="90">
        <f>'Daily Data'!B155</f>
        <v/>
      </c>
      <c r="C155" s="90">
        <f>'Daily Data'!D155</f>
        <v/>
      </c>
      <c r="D155" s="90">
        <f>'Daily Data'!C155</f>
        <v/>
      </c>
      <c r="E155" s="90">
        <f>IF('Daily Data'!E155="","",'Daily Data'!E155)</f>
        <v/>
      </c>
      <c r="F155" s="90">
        <f>IF($E155="","",'Daily Data'!F155)</f>
        <v/>
      </c>
      <c r="G155" s="90">
        <f>IF($E155="","",'Daily Data'!G155)</f>
        <v/>
      </c>
      <c r="H155" s="91">
        <f>IF($E155="","",(1-K155)*F155-G155)</f>
        <v/>
      </c>
      <c r="I155" s="90">
        <f>IF($E155="","",'Daily Data'!H155)</f>
        <v/>
      </c>
      <c r="J155" s="91">
        <f>IF($E155="","",E155-H155-I155)</f>
        <v/>
      </c>
      <c r="K155" s="60">
        <f>IF($E155="","",IF(A155&lt;HLP_ChangeDate,HLP_Legacy,HLP_Current))</f>
        <v/>
      </c>
      <c r="L155" s="91">
        <f>IF($E155="","",J155/(1-K155))</f>
        <v/>
      </c>
      <c r="M155" s="90">
        <f>IF($E155="","",'Daily Data'!I155)</f>
        <v/>
      </c>
      <c r="N155" s="91">
        <f>IF($E155="","",M155*(1-K155)-I155)</f>
        <v/>
      </c>
      <c r="O155" s="92" t="inlineStr"/>
      <c r="P155" s="93">
        <f>IF($E155="","",(L155+F155+M155)*K155)</f>
        <v/>
      </c>
      <c r="Q155" s="91">
        <f>IF($E155="","",L155*K155)</f>
        <v/>
      </c>
      <c r="R155" s="91">
        <f>IF($E155="","",F155*K155)</f>
        <v/>
      </c>
      <c r="S155" s="91">
        <f>IF($E155="","",M155*K155)</f>
        <v/>
      </c>
      <c r="T155" s="63">
        <f>IF(OR($E155="",B155=0),"",L155/B155*10000)</f>
        <v/>
      </c>
      <c r="U155" s="63">
        <f>IF(OR($E155="",C155=0),"",F155/C155*10000)</f>
        <v/>
      </c>
      <c r="V155" s="63">
        <f>IF(OR($E155="",D155=0),"",M155/D155*10000)</f>
        <v/>
      </c>
    </row>
    <row r="156">
      <c r="A156" s="35" t="n">
        <v>45810</v>
      </c>
      <c r="B156" s="90">
        <f>'Daily Data'!B156</f>
        <v/>
      </c>
      <c r="C156" s="90">
        <f>'Daily Data'!D156</f>
        <v/>
      </c>
      <c r="D156" s="90">
        <f>'Daily Data'!C156</f>
        <v/>
      </c>
      <c r="E156" s="90">
        <f>IF('Daily Data'!E156="","",'Daily Data'!E156)</f>
        <v/>
      </c>
      <c r="F156" s="90">
        <f>IF($E156="","",'Daily Data'!F156)</f>
        <v/>
      </c>
      <c r="G156" s="90">
        <f>IF($E156="","",'Daily Data'!G156)</f>
        <v/>
      </c>
      <c r="H156" s="91">
        <f>IF($E156="","",(1-K156)*F156-G156)</f>
        <v/>
      </c>
      <c r="I156" s="90">
        <f>IF($E156="","",'Daily Data'!H156)</f>
        <v/>
      </c>
      <c r="J156" s="91">
        <f>IF($E156="","",E156-H156-I156)</f>
        <v/>
      </c>
      <c r="K156" s="60">
        <f>IF($E156="","",IF(A156&lt;HLP_ChangeDate,HLP_Legacy,HLP_Current))</f>
        <v/>
      </c>
      <c r="L156" s="91">
        <f>IF($E156="","",J156/(1-K156))</f>
        <v/>
      </c>
      <c r="M156" s="90">
        <f>IF($E156="","",'Daily Data'!I156)</f>
        <v/>
      </c>
      <c r="N156" s="91">
        <f>IF($E156="","",M156*(1-K156)-I156)</f>
        <v/>
      </c>
      <c r="O156" s="92" t="inlineStr"/>
      <c r="P156" s="93">
        <f>IF($E156="","",(L156+F156+M156)*K156)</f>
        <v/>
      </c>
      <c r="Q156" s="91">
        <f>IF($E156="","",L156*K156)</f>
        <v/>
      </c>
      <c r="R156" s="91">
        <f>IF($E156="","",F156*K156)</f>
        <v/>
      </c>
      <c r="S156" s="91">
        <f>IF($E156="","",M156*K156)</f>
        <v/>
      </c>
      <c r="T156" s="63">
        <f>IF(OR($E156="",B156=0),"",L156/B156*10000)</f>
        <v/>
      </c>
      <c r="U156" s="63">
        <f>IF(OR($E156="",C156=0),"",F156/C156*10000)</f>
        <v/>
      </c>
      <c r="V156" s="63">
        <f>IF(OR($E156="",D156=0),"",M156/D156*10000)</f>
        <v/>
      </c>
    </row>
    <row r="157">
      <c r="A157" s="35" t="n">
        <v>45811</v>
      </c>
      <c r="B157" s="90">
        <f>'Daily Data'!B157</f>
        <v/>
      </c>
      <c r="C157" s="90">
        <f>'Daily Data'!D157</f>
        <v/>
      </c>
      <c r="D157" s="90">
        <f>'Daily Data'!C157</f>
        <v/>
      </c>
      <c r="E157" s="90">
        <f>IF('Daily Data'!E157="","",'Daily Data'!E157)</f>
        <v/>
      </c>
      <c r="F157" s="90">
        <f>IF($E157="","",'Daily Data'!F157)</f>
        <v/>
      </c>
      <c r="G157" s="90">
        <f>IF($E157="","",'Daily Data'!G157)</f>
        <v/>
      </c>
      <c r="H157" s="91">
        <f>IF($E157="","",(1-K157)*F157-G157)</f>
        <v/>
      </c>
      <c r="I157" s="90">
        <f>IF($E157="","",'Daily Data'!H157)</f>
        <v/>
      </c>
      <c r="J157" s="91">
        <f>IF($E157="","",E157-H157-I157)</f>
        <v/>
      </c>
      <c r="K157" s="60">
        <f>IF($E157="","",IF(A157&lt;HLP_ChangeDate,HLP_Legacy,HLP_Current))</f>
        <v/>
      </c>
      <c r="L157" s="91">
        <f>IF($E157="","",J157/(1-K157))</f>
        <v/>
      </c>
      <c r="M157" s="90">
        <f>IF($E157="","",'Daily Data'!I157)</f>
        <v/>
      </c>
      <c r="N157" s="91">
        <f>IF($E157="","",M157*(1-K157)-I157)</f>
        <v/>
      </c>
      <c r="O157" s="92" t="inlineStr"/>
      <c r="P157" s="93">
        <f>IF($E157="","",(L157+F157+M157)*K157)</f>
        <v/>
      </c>
      <c r="Q157" s="91">
        <f>IF($E157="","",L157*K157)</f>
        <v/>
      </c>
      <c r="R157" s="91">
        <f>IF($E157="","",F157*K157)</f>
        <v/>
      </c>
      <c r="S157" s="91">
        <f>IF($E157="","",M157*K157)</f>
        <v/>
      </c>
      <c r="T157" s="63">
        <f>IF(OR($E157="",B157=0),"",L157/B157*10000)</f>
        <v/>
      </c>
      <c r="U157" s="63">
        <f>IF(OR($E157="",C157=0),"",F157/C157*10000)</f>
        <v/>
      </c>
      <c r="V157" s="63">
        <f>IF(OR($E157="",D157=0),"",M157/D157*10000)</f>
        <v/>
      </c>
    </row>
    <row r="158">
      <c r="A158" s="35" t="n">
        <v>45812</v>
      </c>
      <c r="B158" s="90">
        <f>'Daily Data'!B158</f>
        <v/>
      </c>
      <c r="C158" s="90">
        <f>'Daily Data'!D158</f>
        <v/>
      </c>
      <c r="D158" s="90">
        <f>'Daily Data'!C158</f>
        <v/>
      </c>
      <c r="E158" s="90">
        <f>IF('Daily Data'!E158="","",'Daily Data'!E158)</f>
        <v/>
      </c>
      <c r="F158" s="90">
        <f>IF($E158="","",'Daily Data'!F158)</f>
        <v/>
      </c>
      <c r="G158" s="90">
        <f>IF($E158="","",'Daily Data'!G158)</f>
        <v/>
      </c>
      <c r="H158" s="91">
        <f>IF($E158="","",(1-K158)*F158-G158)</f>
        <v/>
      </c>
      <c r="I158" s="90">
        <f>IF($E158="","",'Daily Data'!H158)</f>
        <v/>
      </c>
      <c r="J158" s="91">
        <f>IF($E158="","",E158-H158-I158)</f>
        <v/>
      </c>
      <c r="K158" s="60">
        <f>IF($E158="","",IF(A158&lt;HLP_ChangeDate,HLP_Legacy,HLP_Current))</f>
        <v/>
      </c>
      <c r="L158" s="91">
        <f>IF($E158="","",J158/(1-K158))</f>
        <v/>
      </c>
      <c r="M158" s="90">
        <f>IF($E158="","",'Daily Data'!I158)</f>
        <v/>
      </c>
      <c r="N158" s="91">
        <f>IF($E158="","",M158*(1-K158)-I158)</f>
        <v/>
      </c>
      <c r="O158" s="92" t="inlineStr"/>
      <c r="P158" s="93">
        <f>IF($E158="","",(L158+F158+M158)*K158)</f>
        <v/>
      </c>
      <c r="Q158" s="91">
        <f>IF($E158="","",L158*K158)</f>
        <v/>
      </c>
      <c r="R158" s="91">
        <f>IF($E158="","",F158*K158)</f>
        <v/>
      </c>
      <c r="S158" s="91">
        <f>IF($E158="","",M158*K158)</f>
        <v/>
      </c>
      <c r="T158" s="63">
        <f>IF(OR($E158="",B158=0),"",L158/B158*10000)</f>
        <v/>
      </c>
      <c r="U158" s="63">
        <f>IF(OR($E158="",C158=0),"",F158/C158*10000)</f>
        <v/>
      </c>
      <c r="V158" s="63">
        <f>IF(OR($E158="",D158=0),"",M158/D158*10000)</f>
        <v/>
      </c>
    </row>
    <row r="159">
      <c r="A159" s="35" t="n">
        <v>45813</v>
      </c>
      <c r="B159" s="90">
        <f>'Daily Data'!B159</f>
        <v/>
      </c>
      <c r="C159" s="90">
        <f>'Daily Data'!D159</f>
        <v/>
      </c>
      <c r="D159" s="90">
        <f>'Daily Data'!C159</f>
        <v/>
      </c>
      <c r="E159" s="90">
        <f>IF('Daily Data'!E159="","",'Daily Data'!E159)</f>
        <v/>
      </c>
      <c r="F159" s="90">
        <f>IF($E159="","",'Daily Data'!F159)</f>
        <v/>
      </c>
      <c r="G159" s="90">
        <f>IF($E159="","",'Daily Data'!G159)</f>
        <v/>
      </c>
      <c r="H159" s="91">
        <f>IF($E159="","",(1-K159)*F159-G159)</f>
        <v/>
      </c>
      <c r="I159" s="90">
        <f>IF($E159="","",'Daily Data'!H159)</f>
        <v/>
      </c>
      <c r="J159" s="91">
        <f>IF($E159="","",E159-H159-I159)</f>
        <v/>
      </c>
      <c r="K159" s="60">
        <f>IF($E159="","",IF(A159&lt;HLP_ChangeDate,HLP_Legacy,HLP_Current))</f>
        <v/>
      </c>
      <c r="L159" s="91">
        <f>IF($E159="","",J159/(1-K159))</f>
        <v/>
      </c>
      <c r="M159" s="90">
        <f>IF($E159="","",'Daily Data'!I159)</f>
        <v/>
      </c>
      <c r="N159" s="91">
        <f>IF($E159="","",M159*(1-K159)-I159)</f>
        <v/>
      </c>
      <c r="O159" s="92" t="inlineStr"/>
      <c r="P159" s="93">
        <f>IF($E159="","",(L159+F159+M159)*K159)</f>
        <v/>
      </c>
      <c r="Q159" s="91">
        <f>IF($E159="","",L159*K159)</f>
        <v/>
      </c>
      <c r="R159" s="91">
        <f>IF($E159="","",F159*K159)</f>
        <v/>
      </c>
      <c r="S159" s="91">
        <f>IF($E159="","",M159*K159)</f>
        <v/>
      </c>
      <c r="T159" s="63">
        <f>IF(OR($E159="",B159=0),"",L159/B159*10000)</f>
        <v/>
      </c>
      <c r="U159" s="63">
        <f>IF(OR($E159="",C159=0),"",F159/C159*10000)</f>
        <v/>
      </c>
      <c r="V159" s="63">
        <f>IF(OR($E159="",D159=0),"",M159/D159*10000)</f>
        <v/>
      </c>
    </row>
    <row r="160">
      <c r="A160" s="35" t="n">
        <v>45814</v>
      </c>
      <c r="B160" s="90">
        <f>'Daily Data'!B160</f>
        <v/>
      </c>
      <c r="C160" s="90">
        <f>'Daily Data'!D160</f>
        <v/>
      </c>
      <c r="D160" s="90">
        <f>'Daily Data'!C160</f>
        <v/>
      </c>
      <c r="E160" s="90">
        <f>IF('Daily Data'!E160="","",'Daily Data'!E160)</f>
        <v/>
      </c>
      <c r="F160" s="90">
        <f>IF($E160="","",'Daily Data'!F160)</f>
        <v/>
      </c>
      <c r="G160" s="90">
        <f>IF($E160="","",'Daily Data'!G160)</f>
        <v/>
      </c>
      <c r="H160" s="91">
        <f>IF($E160="","",(1-K160)*F160-G160)</f>
        <v/>
      </c>
      <c r="I160" s="90">
        <f>IF($E160="","",'Daily Data'!H160)</f>
        <v/>
      </c>
      <c r="J160" s="91">
        <f>IF($E160="","",E160-H160-I160)</f>
        <v/>
      </c>
      <c r="K160" s="60">
        <f>IF($E160="","",IF(A160&lt;HLP_ChangeDate,HLP_Legacy,HLP_Current))</f>
        <v/>
      </c>
      <c r="L160" s="91">
        <f>IF($E160="","",J160/(1-K160))</f>
        <v/>
      </c>
      <c r="M160" s="90">
        <f>IF($E160="","",'Daily Data'!I160)</f>
        <v/>
      </c>
      <c r="N160" s="91">
        <f>IF($E160="","",M160*(1-K160)-I160)</f>
        <v/>
      </c>
      <c r="O160" s="92" t="inlineStr"/>
      <c r="P160" s="93">
        <f>IF($E160="","",(L160+F160+M160)*K160)</f>
        <v/>
      </c>
      <c r="Q160" s="91">
        <f>IF($E160="","",L160*K160)</f>
        <v/>
      </c>
      <c r="R160" s="91">
        <f>IF($E160="","",F160*K160)</f>
        <v/>
      </c>
      <c r="S160" s="91">
        <f>IF($E160="","",M160*K160)</f>
        <v/>
      </c>
      <c r="T160" s="63">
        <f>IF(OR($E160="",B160=0),"",L160/B160*10000)</f>
        <v/>
      </c>
      <c r="U160" s="63">
        <f>IF(OR($E160="",C160=0),"",F160/C160*10000)</f>
        <v/>
      </c>
      <c r="V160" s="63">
        <f>IF(OR($E160="",D160=0),"",M160/D160*10000)</f>
        <v/>
      </c>
    </row>
    <row r="161">
      <c r="A161" s="35" t="n">
        <v>45815</v>
      </c>
      <c r="B161" s="90">
        <f>'Daily Data'!B161</f>
        <v/>
      </c>
      <c r="C161" s="90">
        <f>'Daily Data'!D161</f>
        <v/>
      </c>
      <c r="D161" s="90">
        <f>'Daily Data'!C161</f>
        <v/>
      </c>
      <c r="E161" s="90">
        <f>IF('Daily Data'!E161="","",'Daily Data'!E161)</f>
        <v/>
      </c>
      <c r="F161" s="90">
        <f>IF($E161="","",'Daily Data'!F161)</f>
        <v/>
      </c>
      <c r="G161" s="90">
        <f>IF($E161="","",'Daily Data'!G161)</f>
        <v/>
      </c>
      <c r="H161" s="91">
        <f>IF($E161="","",(1-K161)*F161-G161)</f>
        <v/>
      </c>
      <c r="I161" s="90">
        <f>IF($E161="","",'Daily Data'!H161)</f>
        <v/>
      </c>
      <c r="J161" s="91">
        <f>IF($E161="","",E161-H161-I161)</f>
        <v/>
      </c>
      <c r="K161" s="60">
        <f>IF($E161="","",IF(A161&lt;HLP_ChangeDate,HLP_Legacy,HLP_Current))</f>
        <v/>
      </c>
      <c r="L161" s="91">
        <f>IF($E161="","",J161/(1-K161))</f>
        <v/>
      </c>
      <c r="M161" s="90">
        <f>IF($E161="","",'Daily Data'!I161)</f>
        <v/>
      </c>
      <c r="N161" s="91">
        <f>IF($E161="","",M161*(1-K161)-I161)</f>
        <v/>
      </c>
      <c r="O161" s="92" t="inlineStr"/>
      <c r="P161" s="93">
        <f>IF($E161="","",(L161+F161+M161)*K161)</f>
        <v/>
      </c>
      <c r="Q161" s="91">
        <f>IF($E161="","",L161*K161)</f>
        <v/>
      </c>
      <c r="R161" s="91">
        <f>IF($E161="","",F161*K161)</f>
        <v/>
      </c>
      <c r="S161" s="91">
        <f>IF($E161="","",M161*K161)</f>
        <v/>
      </c>
      <c r="T161" s="63">
        <f>IF(OR($E161="",B161=0),"",L161/B161*10000)</f>
        <v/>
      </c>
      <c r="U161" s="63">
        <f>IF(OR($E161="",C161=0),"",F161/C161*10000)</f>
        <v/>
      </c>
      <c r="V161" s="63">
        <f>IF(OR($E161="",D161=0),"",M161/D161*10000)</f>
        <v/>
      </c>
    </row>
    <row r="162">
      <c r="A162" s="35" t="n">
        <v>45816</v>
      </c>
      <c r="B162" s="90">
        <f>'Daily Data'!B162</f>
        <v/>
      </c>
      <c r="C162" s="90">
        <f>'Daily Data'!D162</f>
        <v/>
      </c>
      <c r="D162" s="90">
        <f>'Daily Data'!C162</f>
        <v/>
      </c>
      <c r="E162" s="90">
        <f>IF('Daily Data'!E162="","",'Daily Data'!E162)</f>
        <v/>
      </c>
      <c r="F162" s="90">
        <f>IF($E162="","",'Daily Data'!F162)</f>
        <v/>
      </c>
      <c r="G162" s="90">
        <f>IF($E162="","",'Daily Data'!G162)</f>
        <v/>
      </c>
      <c r="H162" s="91">
        <f>IF($E162="","",(1-K162)*F162-G162)</f>
        <v/>
      </c>
      <c r="I162" s="90">
        <f>IF($E162="","",'Daily Data'!H162)</f>
        <v/>
      </c>
      <c r="J162" s="91">
        <f>IF($E162="","",E162-H162-I162)</f>
        <v/>
      </c>
      <c r="K162" s="60">
        <f>IF($E162="","",IF(A162&lt;HLP_ChangeDate,HLP_Legacy,HLP_Current))</f>
        <v/>
      </c>
      <c r="L162" s="91">
        <f>IF($E162="","",J162/(1-K162))</f>
        <v/>
      </c>
      <c r="M162" s="90">
        <f>IF($E162="","",'Daily Data'!I162)</f>
        <v/>
      </c>
      <c r="N162" s="91">
        <f>IF($E162="","",M162*(1-K162)-I162)</f>
        <v/>
      </c>
      <c r="O162" s="92" t="inlineStr"/>
      <c r="P162" s="93">
        <f>IF($E162="","",(L162+F162+M162)*K162)</f>
        <v/>
      </c>
      <c r="Q162" s="91">
        <f>IF($E162="","",L162*K162)</f>
        <v/>
      </c>
      <c r="R162" s="91">
        <f>IF($E162="","",F162*K162)</f>
        <v/>
      </c>
      <c r="S162" s="91">
        <f>IF($E162="","",M162*K162)</f>
        <v/>
      </c>
      <c r="T162" s="63">
        <f>IF(OR($E162="",B162=0),"",L162/B162*10000)</f>
        <v/>
      </c>
      <c r="U162" s="63">
        <f>IF(OR($E162="",C162=0),"",F162/C162*10000)</f>
        <v/>
      </c>
      <c r="V162" s="63">
        <f>IF(OR($E162="",D162=0),"",M162/D162*10000)</f>
        <v/>
      </c>
    </row>
    <row r="163">
      <c r="A163" s="35" t="n">
        <v>45817</v>
      </c>
      <c r="B163" s="90">
        <f>'Daily Data'!B163</f>
        <v/>
      </c>
      <c r="C163" s="90">
        <f>'Daily Data'!D163</f>
        <v/>
      </c>
      <c r="D163" s="90">
        <f>'Daily Data'!C163</f>
        <v/>
      </c>
      <c r="E163" s="90">
        <f>IF('Daily Data'!E163="","",'Daily Data'!E163)</f>
        <v/>
      </c>
      <c r="F163" s="90">
        <f>IF($E163="","",'Daily Data'!F163)</f>
        <v/>
      </c>
      <c r="G163" s="90">
        <f>IF($E163="","",'Daily Data'!G163)</f>
        <v/>
      </c>
      <c r="H163" s="91">
        <f>IF($E163="","",(1-K163)*F163-G163)</f>
        <v/>
      </c>
      <c r="I163" s="90">
        <f>IF($E163="","",'Daily Data'!H163)</f>
        <v/>
      </c>
      <c r="J163" s="91">
        <f>IF($E163="","",E163-H163-I163)</f>
        <v/>
      </c>
      <c r="K163" s="60">
        <f>IF($E163="","",IF(A163&lt;HLP_ChangeDate,HLP_Legacy,HLP_Current))</f>
        <v/>
      </c>
      <c r="L163" s="91">
        <f>IF($E163="","",J163/(1-K163))</f>
        <v/>
      </c>
      <c r="M163" s="90">
        <f>IF($E163="","",'Daily Data'!I163)</f>
        <v/>
      </c>
      <c r="N163" s="91">
        <f>IF($E163="","",M163*(1-K163)-I163)</f>
        <v/>
      </c>
      <c r="O163" s="92" t="inlineStr"/>
      <c r="P163" s="93">
        <f>IF($E163="","",(L163+F163+M163)*K163)</f>
        <v/>
      </c>
      <c r="Q163" s="91">
        <f>IF($E163="","",L163*K163)</f>
        <v/>
      </c>
      <c r="R163" s="91">
        <f>IF($E163="","",F163*K163)</f>
        <v/>
      </c>
      <c r="S163" s="91">
        <f>IF($E163="","",M163*K163)</f>
        <v/>
      </c>
      <c r="T163" s="63">
        <f>IF(OR($E163="",B163=0),"",L163/B163*10000)</f>
        <v/>
      </c>
      <c r="U163" s="63">
        <f>IF(OR($E163="",C163=0),"",F163/C163*10000)</f>
        <v/>
      </c>
      <c r="V163" s="63">
        <f>IF(OR($E163="",D163=0),"",M163/D163*10000)</f>
        <v/>
      </c>
    </row>
    <row r="164">
      <c r="A164" s="35" t="n">
        <v>45818</v>
      </c>
      <c r="B164" s="90">
        <f>'Daily Data'!B164</f>
        <v/>
      </c>
      <c r="C164" s="90">
        <f>'Daily Data'!D164</f>
        <v/>
      </c>
      <c r="D164" s="90">
        <f>'Daily Data'!C164</f>
        <v/>
      </c>
      <c r="E164" s="90">
        <f>IF('Daily Data'!E164="","",'Daily Data'!E164)</f>
        <v/>
      </c>
      <c r="F164" s="90">
        <f>IF($E164="","",'Daily Data'!F164)</f>
        <v/>
      </c>
      <c r="G164" s="90">
        <f>IF($E164="","",'Daily Data'!G164)</f>
        <v/>
      </c>
      <c r="H164" s="91">
        <f>IF($E164="","",(1-K164)*F164-G164)</f>
        <v/>
      </c>
      <c r="I164" s="90">
        <f>IF($E164="","",'Daily Data'!H164)</f>
        <v/>
      </c>
      <c r="J164" s="91">
        <f>IF($E164="","",E164-H164-I164)</f>
        <v/>
      </c>
      <c r="K164" s="60">
        <f>IF($E164="","",IF(A164&lt;HLP_ChangeDate,HLP_Legacy,HLP_Current))</f>
        <v/>
      </c>
      <c r="L164" s="91">
        <f>IF($E164="","",J164/(1-K164))</f>
        <v/>
      </c>
      <c r="M164" s="90">
        <f>IF($E164="","",'Daily Data'!I164)</f>
        <v/>
      </c>
      <c r="N164" s="91">
        <f>IF($E164="","",M164*(1-K164)-I164)</f>
        <v/>
      </c>
      <c r="O164" s="92" t="inlineStr"/>
      <c r="P164" s="93">
        <f>IF($E164="","",(L164+F164+M164)*K164)</f>
        <v/>
      </c>
      <c r="Q164" s="91">
        <f>IF($E164="","",L164*K164)</f>
        <v/>
      </c>
      <c r="R164" s="91">
        <f>IF($E164="","",F164*K164)</f>
        <v/>
      </c>
      <c r="S164" s="91">
        <f>IF($E164="","",M164*K164)</f>
        <v/>
      </c>
      <c r="T164" s="63">
        <f>IF(OR($E164="",B164=0),"",L164/B164*10000)</f>
        <v/>
      </c>
      <c r="U164" s="63">
        <f>IF(OR($E164="",C164=0),"",F164/C164*10000)</f>
        <v/>
      </c>
      <c r="V164" s="63">
        <f>IF(OR($E164="",D164=0),"",M164/D164*10000)</f>
        <v/>
      </c>
    </row>
    <row r="165">
      <c r="A165" s="35" t="n">
        <v>45819</v>
      </c>
      <c r="B165" s="90">
        <f>'Daily Data'!B165</f>
        <v/>
      </c>
      <c r="C165" s="90">
        <f>'Daily Data'!D165</f>
        <v/>
      </c>
      <c r="D165" s="90">
        <f>'Daily Data'!C165</f>
        <v/>
      </c>
      <c r="E165" s="90">
        <f>IF('Daily Data'!E165="","",'Daily Data'!E165)</f>
        <v/>
      </c>
      <c r="F165" s="90">
        <f>IF($E165="","",'Daily Data'!F165)</f>
        <v/>
      </c>
      <c r="G165" s="90">
        <f>IF($E165="","",'Daily Data'!G165)</f>
        <v/>
      </c>
      <c r="H165" s="91">
        <f>IF($E165="","",(1-K165)*F165-G165)</f>
        <v/>
      </c>
      <c r="I165" s="90">
        <f>IF($E165="","",'Daily Data'!H165)</f>
        <v/>
      </c>
      <c r="J165" s="91">
        <f>IF($E165="","",E165-H165-I165)</f>
        <v/>
      </c>
      <c r="K165" s="60">
        <f>IF($E165="","",IF(A165&lt;HLP_ChangeDate,HLP_Legacy,HLP_Current))</f>
        <v/>
      </c>
      <c r="L165" s="91">
        <f>IF($E165="","",J165/(1-K165))</f>
        <v/>
      </c>
      <c r="M165" s="90">
        <f>IF($E165="","",'Daily Data'!I165)</f>
        <v/>
      </c>
      <c r="N165" s="91">
        <f>IF($E165="","",M165*(1-K165)-I165)</f>
        <v/>
      </c>
      <c r="O165" s="92" t="inlineStr"/>
      <c r="P165" s="93">
        <f>IF($E165="","",(L165+F165+M165)*K165)</f>
        <v/>
      </c>
      <c r="Q165" s="91">
        <f>IF($E165="","",L165*K165)</f>
        <v/>
      </c>
      <c r="R165" s="91">
        <f>IF($E165="","",F165*K165)</f>
        <v/>
      </c>
      <c r="S165" s="91">
        <f>IF($E165="","",M165*K165)</f>
        <v/>
      </c>
      <c r="T165" s="63">
        <f>IF(OR($E165="",B165=0),"",L165/B165*10000)</f>
        <v/>
      </c>
      <c r="U165" s="63">
        <f>IF(OR($E165="",C165=0),"",F165/C165*10000)</f>
        <v/>
      </c>
      <c r="V165" s="63">
        <f>IF(OR($E165="",D165=0),"",M165/D165*10000)</f>
        <v/>
      </c>
    </row>
    <row r="166">
      <c r="A166" s="35" t="n">
        <v>45820</v>
      </c>
      <c r="B166" s="90">
        <f>'Daily Data'!B166</f>
        <v/>
      </c>
      <c r="C166" s="90">
        <f>'Daily Data'!D166</f>
        <v/>
      </c>
      <c r="D166" s="90">
        <f>'Daily Data'!C166</f>
        <v/>
      </c>
      <c r="E166" s="90">
        <f>IF('Daily Data'!E166="","",'Daily Data'!E166)</f>
        <v/>
      </c>
      <c r="F166" s="90">
        <f>IF($E166="","",'Daily Data'!F166)</f>
        <v/>
      </c>
      <c r="G166" s="90">
        <f>IF($E166="","",'Daily Data'!G166)</f>
        <v/>
      </c>
      <c r="H166" s="91">
        <f>IF($E166="","",(1-K166)*F166-G166)</f>
        <v/>
      </c>
      <c r="I166" s="90">
        <f>IF($E166="","",'Daily Data'!H166)</f>
        <v/>
      </c>
      <c r="J166" s="91">
        <f>IF($E166="","",E166-H166-I166)</f>
        <v/>
      </c>
      <c r="K166" s="60">
        <f>IF($E166="","",IF(A166&lt;HLP_ChangeDate,HLP_Legacy,HLP_Current))</f>
        <v/>
      </c>
      <c r="L166" s="91">
        <f>IF($E166="","",J166/(1-K166))</f>
        <v/>
      </c>
      <c r="M166" s="90">
        <f>IF($E166="","",'Daily Data'!I166)</f>
        <v/>
      </c>
      <c r="N166" s="91">
        <f>IF($E166="","",M166*(1-K166)-I166)</f>
        <v/>
      </c>
      <c r="O166" s="92" t="inlineStr"/>
      <c r="P166" s="93">
        <f>IF($E166="","",(L166+F166+M166)*K166)</f>
        <v/>
      </c>
      <c r="Q166" s="91">
        <f>IF($E166="","",L166*K166)</f>
        <v/>
      </c>
      <c r="R166" s="91">
        <f>IF($E166="","",F166*K166)</f>
        <v/>
      </c>
      <c r="S166" s="91">
        <f>IF($E166="","",M166*K166)</f>
        <v/>
      </c>
      <c r="T166" s="63">
        <f>IF(OR($E166="",B166=0),"",L166/B166*10000)</f>
        <v/>
      </c>
      <c r="U166" s="63">
        <f>IF(OR($E166="",C166=0),"",F166/C166*10000)</f>
        <v/>
      </c>
      <c r="V166" s="63">
        <f>IF(OR($E166="",D166=0),"",M166/D166*10000)</f>
        <v/>
      </c>
    </row>
    <row r="167">
      <c r="A167" s="35" t="n">
        <v>45821</v>
      </c>
      <c r="B167" s="90">
        <f>'Daily Data'!B167</f>
        <v/>
      </c>
      <c r="C167" s="90">
        <f>'Daily Data'!D167</f>
        <v/>
      </c>
      <c r="D167" s="90">
        <f>'Daily Data'!C167</f>
        <v/>
      </c>
      <c r="E167" s="90">
        <f>IF('Daily Data'!E167="","",'Daily Data'!E167)</f>
        <v/>
      </c>
      <c r="F167" s="90">
        <f>IF($E167="","",'Daily Data'!F167)</f>
        <v/>
      </c>
      <c r="G167" s="90">
        <f>IF($E167="","",'Daily Data'!G167)</f>
        <v/>
      </c>
      <c r="H167" s="91">
        <f>IF($E167="","",(1-K167)*F167-G167)</f>
        <v/>
      </c>
      <c r="I167" s="90">
        <f>IF($E167="","",'Daily Data'!H167)</f>
        <v/>
      </c>
      <c r="J167" s="91">
        <f>IF($E167="","",E167-H167-I167)</f>
        <v/>
      </c>
      <c r="K167" s="60">
        <f>IF($E167="","",IF(A167&lt;HLP_ChangeDate,HLP_Legacy,HLP_Current))</f>
        <v/>
      </c>
      <c r="L167" s="91">
        <f>IF($E167="","",J167/(1-K167))</f>
        <v/>
      </c>
      <c r="M167" s="90">
        <f>IF($E167="","",'Daily Data'!I167)</f>
        <v/>
      </c>
      <c r="N167" s="91">
        <f>IF($E167="","",M167*(1-K167)-I167)</f>
        <v/>
      </c>
      <c r="O167" s="92" t="inlineStr"/>
      <c r="P167" s="93">
        <f>IF($E167="","",(L167+F167+M167)*K167)</f>
        <v/>
      </c>
      <c r="Q167" s="91">
        <f>IF($E167="","",L167*K167)</f>
        <v/>
      </c>
      <c r="R167" s="91">
        <f>IF($E167="","",F167*K167)</f>
        <v/>
      </c>
      <c r="S167" s="91">
        <f>IF($E167="","",M167*K167)</f>
        <v/>
      </c>
      <c r="T167" s="63">
        <f>IF(OR($E167="",B167=0),"",L167/B167*10000)</f>
        <v/>
      </c>
      <c r="U167" s="63">
        <f>IF(OR($E167="",C167=0),"",F167/C167*10000)</f>
        <v/>
      </c>
      <c r="V167" s="63">
        <f>IF(OR($E167="",D167=0),"",M167/D167*10000)</f>
        <v/>
      </c>
    </row>
    <row r="168">
      <c r="A168" s="35" t="n">
        <v>45822</v>
      </c>
      <c r="B168" s="90">
        <f>'Daily Data'!B168</f>
        <v/>
      </c>
      <c r="C168" s="90">
        <f>'Daily Data'!D168</f>
        <v/>
      </c>
      <c r="D168" s="90">
        <f>'Daily Data'!C168</f>
        <v/>
      </c>
      <c r="E168" s="90">
        <f>IF('Daily Data'!E168="","",'Daily Data'!E168)</f>
        <v/>
      </c>
      <c r="F168" s="90">
        <f>IF($E168="","",'Daily Data'!F168)</f>
        <v/>
      </c>
      <c r="G168" s="90">
        <f>IF($E168="","",'Daily Data'!G168)</f>
        <v/>
      </c>
      <c r="H168" s="91">
        <f>IF($E168="","",(1-K168)*F168-G168)</f>
        <v/>
      </c>
      <c r="I168" s="90">
        <f>IF($E168="","",'Daily Data'!H168)</f>
        <v/>
      </c>
      <c r="J168" s="91">
        <f>IF($E168="","",E168-H168-I168)</f>
        <v/>
      </c>
      <c r="K168" s="60">
        <f>IF($E168="","",IF(A168&lt;HLP_ChangeDate,HLP_Legacy,HLP_Current))</f>
        <v/>
      </c>
      <c r="L168" s="91">
        <f>IF($E168="","",J168/(1-K168))</f>
        <v/>
      </c>
      <c r="M168" s="90">
        <f>IF($E168="","",'Daily Data'!I168)</f>
        <v/>
      </c>
      <c r="N168" s="91">
        <f>IF($E168="","",M168*(1-K168)-I168)</f>
        <v/>
      </c>
      <c r="O168" s="92" t="inlineStr"/>
      <c r="P168" s="93">
        <f>IF($E168="","",(L168+F168+M168)*K168)</f>
        <v/>
      </c>
      <c r="Q168" s="91">
        <f>IF($E168="","",L168*K168)</f>
        <v/>
      </c>
      <c r="R168" s="91">
        <f>IF($E168="","",F168*K168)</f>
        <v/>
      </c>
      <c r="S168" s="91">
        <f>IF($E168="","",M168*K168)</f>
        <v/>
      </c>
      <c r="T168" s="63">
        <f>IF(OR($E168="",B168=0),"",L168/B168*10000)</f>
        <v/>
      </c>
      <c r="U168" s="63">
        <f>IF(OR($E168="",C168=0),"",F168/C168*10000)</f>
        <v/>
      </c>
      <c r="V168" s="63">
        <f>IF(OR($E168="",D168=0),"",M168/D168*10000)</f>
        <v/>
      </c>
    </row>
    <row r="169">
      <c r="A169" s="35" t="n">
        <v>45823</v>
      </c>
      <c r="B169" s="90">
        <f>'Daily Data'!B169</f>
        <v/>
      </c>
      <c r="C169" s="90">
        <f>'Daily Data'!D169</f>
        <v/>
      </c>
      <c r="D169" s="90">
        <f>'Daily Data'!C169</f>
        <v/>
      </c>
      <c r="E169" s="90">
        <f>IF('Daily Data'!E169="","",'Daily Data'!E169)</f>
        <v/>
      </c>
      <c r="F169" s="90">
        <f>IF($E169="","",'Daily Data'!F169)</f>
        <v/>
      </c>
      <c r="G169" s="90">
        <f>IF($E169="","",'Daily Data'!G169)</f>
        <v/>
      </c>
      <c r="H169" s="91">
        <f>IF($E169="","",(1-K169)*F169-G169)</f>
        <v/>
      </c>
      <c r="I169" s="90">
        <f>IF($E169="","",'Daily Data'!H169)</f>
        <v/>
      </c>
      <c r="J169" s="91">
        <f>IF($E169="","",E169-H169-I169)</f>
        <v/>
      </c>
      <c r="K169" s="60">
        <f>IF($E169="","",IF(A169&lt;HLP_ChangeDate,HLP_Legacy,HLP_Current))</f>
        <v/>
      </c>
      <c r="L169" s="91">
        <f>IF($E169="","",J169/(1-K169))</f>
        <v/>
      </c>
      <c r="M169" s="90">
        <f>IF($E169="","",'Daily Data'!I169)</f>
        <v/>
      </c>
      <c r="N169" s="91">
        <f>IF($E169="","",M169*(1-K169)-I169)</f>
        <v/>
      </c>
      <c r="O169" s="92" t="inlineStr"/>
      <c r="P169" s="93">
        <f>IF($E169="","",(L169+F169+M169)*K169)</f>
        <v/>
      </c>
      <c r="Q169" s="91">
        <f>IF($E169="","",L169*K169)</f>
        <v/>
      </c>
      <c r="R169" s="91">
        <f>IF($E169="","",F169*K169)</f>
        <v/>
      </c>
      <c r="S169" s="91">
        <f>IF($E169="","",M169*K169)</f>
        <v/>
      </c>
      <c r="T169" s="63">
        <f>IF(OR($E169="",B169=0),"",L169/B169*10000)</f>
        <v/>
      </c>
      <c r="U169" s="63">
        <f>IF(OR($E169="",C169=0),"",F169/C169*10000)</f>
        <v/>
      </c>
      <c r="V169" s="63">
        <f>IF(OR($E169="",D169=0),"",M169/D169*10000)</f>
        <v/>
      </c>
    </row>
    <row r="170">
      <c r="A170" s="35" t="n">
        <v>45824</v>
      </c>
      <c r="B170" s="90">
        <f>'Daily Data'!B170</f>
        <v/>
      </c>
      <c r="C170" s="90">
        <f>'Daily Data'!D170</f>
        <v/>
      </c>
      <c r="D170" s="90">
        <f>'Daily Data'!C170</f>
        <v/>
      </c>
      <c r="E170" s="90">
        <f>IF('Daily Data'!E170="","",'Daily Data'!E170)</f>
        <v/>
      </c>
      <c r="F170" s="90">
        <f>IF($E170="","",'Daily Data'!F170)</f>
        <v/>
      </c>
      <c r="G170" s="90">
        <f>IF($E170="","",'Daily Data'!G170)</f>
        <v/>
      </c>
      <c r="H170" s="91">
        <f>IF($E170="","",(1-K170)*F170-G170)</f>
        <v/>
      </c>
      <c r="I170" s="90">
        <f>IF($E170="","",'Daily Data'!H170)</f>
        <v/>
      </c>
      <c r="J170" s="91">
        <f>IF($E170="","",E170-H170-I170)</f>
        <v/>
      </c>
      <c r="K170" s="60">
        <f>IF($E170="","",IF(A170&lt;HLP_ChangeDate,HLP_Legacy,HLP_Current))</f>
        <v/>
      </c>
      <c r="L170" s="91">
        <f>IF($E170="","",J170/(1-K170))</f>
        <v/>
      </c>
      <c r="M170" s="90">
        <f>IF($E170="","",'Daily Data'!I170)</f>
        <v/>
      </c>
      <c r="N170" s="91">
        <f>IF($E170="","",M170*(1-K170)-I170)</f>
        <v/>
      </c>
      <c r="O170" s="92" t="inlineStr"/>
      <c r="P170" s="93">
        <f>IF($E170="","",(L170+F170+M170)*K170)</f>
        <v/>
      </c>
      <c r="Q170" s="91">
        <f>IF($E170="","",L170*K170)</f>
        <v/>
      </c>
      <c r="R170" s="91">
        <f>IF($E170="","",F170*K170)</f>
        <v/>
      </c>
      <c r="S170" s="91">
        <f>IF($E170="","",M170*K170)</f>
        <v/>
      </c>
      <c r="T170" s="63">
        <f>IF(OR($E170="",B170=0),"",L170/B170*10000)</f>
        <v/>
      </c>
      <c r="U170" s="63">
        <f>IF(OR($E170="",C170=0),"",F170/C170*10000)</f>
        <v/>
      </c>
      <c r="V170" s="63">
        <f>IF(OR($E170="",D170=0),"",M170/D170*10000)</f>
        <v/>
      </c>
    </row>
    <row r="171">
      <c r="A171" s="35" t="n">
        <v>45825</v>
      </c>
      <c r="B171" s="90">
        <f>'Daily Data'!B171</f>
        <v/>
      </c>
      <c r="C171" s="90">
        <f>'Daily Data'!D171</f>
        <v/>
      </c>
      <c r="D171" s="90">
        <f>'Daily Data'!C171</f>
        <v/>
      </c>
      <c r="E171" s="90">
        <f>IF('Daily Data'!E171="","",'Daily Data'!E171)</f>
        <v/>
      </c>
      <c r="F171" s="90">
        <f>IF($E171="","",'Daily Data'!F171)</f>
        <v/>
      </c>
      <c r="G171" s="90">
        <f>IF($E171="","",'Daily Data'!G171)</f>
        <v/>
      </c>
      <c r="H171" s="91">
        <f>IF($E171="","",(1-K171)*F171-G171)</f>
        <v/>
      </c>
      <c r="I171" s="90">
        <f>IF($E171="","",'Daily Data'!H171)</f>
        <v/>
      </c>
      <c r="J171" s="91">
        <f>IF($E171="","",E171-H171-I171)</f>
        <v/>
      </c>
      <c r="K171" s="60">
        <f>IF($E171="","",IF(A171&lt;HLP_ChangeDate,HLP_Legacy,HLP_Current))</f>
        <v/>
      </c>
      <c r="L171" s="91">
        <f>IF($E171="","",J171/(1-K171))</f>
        <v/>
      </c>
      <c r="M171" s="90">
        <f>IF($E171="","",'Daily Data'!I171)</f>
        <v/>
      </c>
      <c r="N171" s="91">
        <f>IF($E171="","",M171*(1-K171)-I171)</f>
        <v/>
      </c>
      <c r="O171" s="92" t="inlineStr"/>
      <c r="P171" s="93">
        <f>IF($E171="","",(L171+F171+M171)*K171)</f>
        <v/>
      </c>
      <c r="Q171" s="91">
        <f>IF($E171="","",L171*K171)</f>
        <v/>
      </c>
      <c r="R171" s="91">
        <f>IF($E171="","",F171*K171)</f>
        <v/>
      </c>
      <c r="S171" s="91">
        <f>IF($E171="","",M171*K171)</f>
        <v/>
      </c>
      <c r="T171" s="63">
        <f>IF(OR($E171="",B171=0),"",L171/B171*10000)</f>
        <v/>
      </c>
      <c r="U171" s="63">
        <f>IF(OR($E171="",C171=0),"",F171/C171*10000)</f>
        <v/>
      </c>
      <c r="V171" s="63">
        <f>IF(OR($E171="",D171=0),"",M171/D171*10000)</f>
        <v/>
      </c>
    </row>
    <row r="172">
      <c r="A172" s="35" t="n">
        <v>45826</v>
      </c>
      <c r="B172" s="90">
        <f>'Daily Data'!B172</f>
        <v/>
      </c>
      <c r="C172" s="90">
        <f>'Daily Data'!D172</f>
        <v/>
      </c>
      <c r="D172" s="90">
        <f>'Daily Data'!C172</f>
        <v/>
      </c>
      <c r="E172" s="90">
        <f>IF('Daily Data'!E172="","",'Daily Data'!E172)</f>
        <v/>
      </c>
      <c r="F172" s="90">
        <f>IF($E172="","",'Daily Data'!F172)</f>
        <v/>
      </c>
      <c r="G172" s="90">
        <f>IF($E172="","",'Daily Data'!G172)</f>
        <v/>
      </c>
      <c r="H172" s="91">
        <f>IF($E172="","",(1-K172)*F172-G172)</f>
        <v/>
      </c>
      <c r="I172" s="90">
        <f>IF($E172="","",'Daily Data'!H172)</f>
        <v/>
      </c>
      <c r="J172" s="91">
        <f>IF($E172="","",E172-H172-I172)</f>
        <v/>
      </c>
      <c r="K172" s="60">
        <f>IF($E172="","",IF(A172&lt;HLP_ChangeDate,HLP_Legacy,HLP_Current))</f>
        <v/>
      </c>
      <c r="L172" s="91">
        <f>IF($E172="","",J172/(1-K172))</f>
        <v/>
      </c>
      <c r="M172" s="90">
        <f>IF($E172="","",'Daily Data'!I172)</f>
        <v/>
      </c>
      <c r="N172" s="91">
        <f>IF($E172="","",M172*(1-K172)-I172)</f>
        <v/>
      </c>
      <c r="O172" s="92" t="inlineStr"/>
      <c r="P172" s="93">
        <f>IF($E172="","",(L172+F172+M172)*K172)</f>
        <v/>
      </c>
      <c r="Q172" s="91">
        <f>IF($E172="","",L172*K172)</f>
        <v/>
      </c>
      <c r="R172" s="91">
        <f>IF($E172="","",F172*K172)</f>
        <v/>
      </c>
      <c r="S172" s="91">
        <f>IF($E172="","",M172*K172)</f>
        <v/>
      </c>
      <c r="T172" s="63">
        <f>IF(OR($E172="",B172=0),"",L172/B172*10000)</f>
        <v/>
      </c>
      <c r="U172" s="63">
        <f>IF(OR($E172="",C172=0),"",F172/C172*10000)</f>
        <v/>
      </c>
      <c r="V172" s="63">
        <f>IF(OR($E172="",D172=0),"",M172/D172*10000)</f>
        <v/>
      </c>
    </row>
    <row r="173">
      <c r="A173" s="35" t="n">
        <v>45827</v>
      </c>
      <c r="B173" s="90">
        <f>'Daily Data'!B173</f>
        <v/>
      </c>
      <c r="C173" s="90">
        <f>'Daily Data'!D173</f>
        <v/>
      </c>
      <c r="D173" s="90">
        <f>'Daily Data'!C173</f>
        <v/>
      </c>
      <c r="E173" s="90">
        <f>IF('Daily Data'!E173="","",'Daily Data'!E173)</f>
        <v/>
      </c>
      <c r="F173" s="90">
        <f>IF($E173="","",'Daily Data'!F173)</f>
        <v/>
      </c>
      <c r="G173" s="90">
        <f>IF($E173="","",'Daily Data'!G173)</f>
        <v/>
      </c>
      <c r="H173" s="91">
        <f>IF($E173="","",(1-K173)*F173-G173)</f>
        <v/>
      </c>
      <c r="I173" s="90">
        <f>IF($E173="","",'Daily Data'!H173)</f>
        <v/>
      </c>
      <c r="J173" s="91">
        <f>IF($E173="","",E173-H173-I173)</f>
        <v/>
      </c>
      <c r="K173" s="60">
        <f>IF($E173="","",IF(A173&lt;HLP_ChangeDate,HLP_Legacy,HLP_Current))</f>
        <v/>
      </c>
      <c r="L173" s="91">
        <f>IF($E173="","",J173/(1-K173))</f>
        <v/>
      </c>
      <c r="M173" s="90">
        <f>IF($E173="","",'Daily Data'!I173)</f>
        <v/>
      </c>
      <c r="N173" s="91">
        <f>IF($E173="","",M173*(1-K173)-I173)</f>
        <v/>
      </c>
      <c r="O173" s="92" t="inlineStr"/>
      <c r="P173" s="93">
        <f>IF($E173="","",(L173+F173+M173)*K173)</f>
        <v/>
      </c>
      <c r="Q173" s="91">
        <f>IF($E173="","",L173*K173)</f>
        <v/>
      </c>
      <c r="R173" s="91">
        <f>IF($E173="","",F173*K173)</f>
        <v/>
      </c>
      <c r="S173" s="91">
        <f>IF($E173="","",M173*K173)</f>
        <v/>
      </c>
      <c r="T173" s="63">
        <f>IF(OR($E173="",B173=0),"",L173/B173*10000)</f>
        <v/>
      </c>
      <c r="U173" s="63">
        <f>IF(OR($E173="",C173=0),"",F173/C173*10000)</f>
        <v/>
      </c>
      <c r="V173" s="63">
        <f>IF(OR($E173="",D173=0),"",M173/D173*10000)</f>
        <v/>
      </c>
    </row>
    <row r="174">
      <c r="A174" s="35" t="n">
        <v>45828</v>
      </c>
      <c r="B174" s="90">
        <f>'Daily Data'!B174</f>
        <v/>
      </c>
      <c r="C174" s="90">
        <f>'Daily Data'!D174</f>
        <v/>
      </c>
      <c r="D174" s="90">
        <f>'Daily Data'!C174</f>
        <v/>
      </c>
      <c r="E174" s="90">
        <f>IF('Daily Data'!E174="","",'Daily Data'!E174)</f>
        <v/>
      </c>
      <c r="F174" s="90">
        <f>IF($E174="","",'Daily Data'!F174)</f>
        <v/>
      </c>
      <c r="G174" s="90">
        <f>IF($E174="","",'Daily Data'!G174)</f>
        <v/>
      </c>
      <c r="H174" s="91">
        <f>IF($E174="","",(1-K174)*F174-G174)</f>
        <v/>
      </c>
      <c r="I174" s="90">
        <f>IF($E174="","",'Daily Data'!H174)</f>
        <v/>
      </c>
      <c r="J174" s="91">
        <f>IF($E174="","",E174-H174-I174)</f>
        <v/>
      </c>
      <c r="K174" s="60">
        <f>IF($E174="","",IF(A174&lt;HLP_ChangeDate,HLP_Legacy,HLP_Current))</f>
        <v/>
      </c>
      <c r="L174" s="91">
        <f>IF($E174="","",J174/(1-K174))</f>
        <v/>
      </c>
      <c r="M174" s="90">
        <f>IF($E174="","",'Daily Data'!I174)</f>
        <v/>
      </c>
      <c r="N174" s="91">
        <f>IF($E174="","",M174*(1-K174)-I174)</f>
        <v/>
      </c>
      <c r="O174" s="92" t="inlineStr"/>
      <c r="P174" s="93">
        <f>IF($E174="","",(L174+F174+M174)*K174)</f>
        <v/>
      </c>
      <c r="Q174" s="91">
        <f>IF($E174="","",L174*K174)</f>
        <v/>
      </c>
      <c r="R174" s="91">
        <f>IF($E174="","",F174*K174)</f>
        <v/>
      </c>
      <c r="S174" s="91">
        <f>IF($E174="","",M174*K174)</f>
        <v/>
      </c>
      <c r="T174" s="63">
        <f>IF(OR($E174="",B174=0),"",L174/B174*10000)</f>
        <v/>
      </c>
      <c r="U174" s="63">
        <f>IF(OR($E174="",C174=0),"",F174/C174*10000)</f>
        <v/>
      </c>
      <c r="V174" s="63">
        <f>IF(OR($E174="",D174=0),"",M174/D174*10000)</f>
        <v/>
      </c>
    </row>
    <row r="175">
      <c r="A175" s="35" t="n">
        <v>45829</v>
      </c>
      <c r="B175" s="90">
        <f>'Daily Data'!B175</f>
        <v/>
      </c>
      <c r="C175" s="90">
        <f>'Daily Data'!D175</f>
        <v/>
      </c>
      <c r="D175" s="90">
        <f>'Daily Data'!C175</f>
        <v/>
      </c>
      <c r="E175" s="90">
        <f>IF('Daily Data'!E175="","",'Daily Data'!E175)</f>
        <v/>
      </c>
      <c r="F175" s="90">
        <f>IF($E175="","",'Daily Data'!F175)</f>
        <v/>
      </c>
      <c r="G175" s="90">
        <f>IF($E175="","",'Daily Data'!G175)</f>
        <v/>
      </c>
      <c r="H175" s="91">
        <f>IF($E175="","",(1-K175)*F175-G175)</f>
        <v/>
      </c>
      <c r="I175" s="90">
        <f>IF($E175="","",'Daily Data'!H175)</f>
        <v/>
      </c>
      <c r="J175" s="91">
        <f>IF($E175="","",E175-H175-I175)</f>
        <v/>
      </c>
      <c r="K175" s="60">
        <f>IF($E175="","",IF(A175&lt;HLP_ChangeDate,HLP_Legacy,HLP_Current))</f>
        <v/>
      </c>
      <c r="L175" s="91">
        <f>IF($E175="","",J175/(1-K175))</f>
        <v/>
      </c>
      <c r="M175" s="90">
        <f>IF($E175="","",'Daily Data'!I175)</f>
        <v/>
      </c>
      <c r="N175" s="91">
        <f>IF($E175="","",M175*(1-K175)-I175)</f>
        <v/>
      </c>
      <c r="O175" s="92" t="inlineStr"/>
      <c r="P175" s="93">
        <f>IF($E175="","",(L175+F175+M175)*K175)</f>
        <v/>
      </c>
      <c r="Q175" s="91">
        <f>IF($E175="","",L175*K175)</f>
        <v/>
      </c>
      <c r="R175" s="91">
        <f>IF($E175="","",F175*K175)</f>
        <v/>
      </c>
      <c r="S175" s="91">
        <f>IF($E175="","",M175*K175)</f>
        <v/>
      </c>
      <c r="T175" s="63">
        <f>IF(OR($E175="",B175=0),"",L175/B175*10000)</f>
        <v/>
      </c>
      <c r="U175" s="63">
        <f>IF(OR($E175="",C175=0),"",F175/C175*10000)</f>
        <v/>
      </c>
      <c r="V175" s="63">
        <f>IF(OR($E175="",D175=0),"",M175/D175*10000)</f>
        <v/>
      </c>
    </row>
    <row r="176">
      <c r="A176" s="35" t="n">
        <v>45830</v>
      </c>
      <c r="B176" s="90">
        <f>'Daily Data'!B176</f>
        <v/>
      </c>
      <c r="C176" s="90">
        <f>'Daily Data'!D176</f>
        <v/>
      </c>
      <c r="D176" s="90">
        <f>'Daily Data'!C176</f>
        <v/>
      </c>
      <c r="E176" s="90">
        <f>IF('Daily Data'!E176="","",'Daily Data'!E176)</f>
        <v/>
      </c>
      <c r="F176" s="90">
        <f>IF($E176="","",'Daily Data'!F176)</f>
        <v/>
      </c>
      <c r="G176" s="90">
        <f>IF($E176="","",'Daily Data'!G176)</f>
        <v/>
      </c>
      <c r="H176" s="91">
        <f>IF($E176="","",(1-K176)*F176-G176)</f>
        <v/>
      </c>
      <c r="I176" s="90">
        <f>IF($E176="","",'Daily Data'!H176)</f>
        <v/>
      </c>
      <c r="J176" s="91">
        <f>IF($E176="","",E176-H176-I176)</f>
        <v/>
      </c>
      <c r="K176" s="60">
        <f>IF($E176="","",IF(A176&lt;HLP_ChangeDate,HLP_Legacy,HLP_Current))</f>
        <v/>
      </c>
      <c r="L176" s="91">
        <f>IF($E176="","",J176/(1-K176))</f>
        <v/>
      </c>
      <c r="M176" s="90">
        <f>IF($E176="","",'Daily Data'!I176)</f>
        <v/>
      </c>
      <c r="N176" s="91">
        <f>IF($E176="","",M176*(1-K176)-I176)</f>
        <v/>
      </c>
      <c r="O176" s="92" t="inlineStr"/>
      <c r="P176" s="93">
        <f>IF($E176="","",(L176+F176+M176)*K176)</f>
        <v/>
      </c>
      <c r="Q176" s="91">
        <f>IF($E176="","",L176*K176)</f>
        <v/>
      </c>
      <c r="R176" s="91">
        <f>IF($E176="","",F176*K176)</f>
        <v/>
      </c>
      <c r="S176" s="91">
        <f>IF($E176="","",M176*K176)</f>
        <v/>
      </c>
      <c r="T176" s="63">
        <f>IF(OR($E176="",B176=0),"",L176/B176*10000)</f>
        <v/>
      </c>
      <c r="U176" s="63">
        <f>IF(OR($E176="",C176=0),"",F176/C176*10000)</f>
        <v/>
      </c>
      <c r="V176" s="63">
        <f>IF(OR($E176="",D176=0),"",M176/D176*10000)</f>
        <v/>
      </c>
    </row>
    <row r="177">
      <c r="A177" s="35" t="n">
        <v>45831</v>
      </c>
      <c r="B177" s="90">
        <f>'Daily Data'!B177</f>
        <v/>
      </c>
      <c r="C177" s="90">
        <f>'Daily Data'!D177</f>
        <v/>
      </c>
      <c r="D177" s="90">
        <f>'Daily Data'!C177</f>
        <v/>
      </c>
      <c r="E177" s="90">
        <f>IF('Daily Data'!E177="","",'Daily Data'!E177)</f>
        <v/>
      </c>
      <c r="F177" s="90">
        <f>IF($E177="","",'Daily Data'!F177)</f>
        <v/>
      </c>
      <c r="G177" s="90">
        <f>IF($E177="","",'Daily Data'!G177)</f>
        <v/>
      </c>
      <c r="H177" s="91">
        <f>IF($E177="","",(1-K177)*F177-G177)</f>
        <v/>
      </c>
      <c r="I177" s="90">
        <f>IF($E177="","",'Daily Data'!H177)</f>
        <v/>
      </c>
      <c r="J177" s="91">
        <f>IF($E177="","",E177-H177-I177)</f>
        <v/>
      </c>
      <c r="K177" s="60">
        <f>IF($E177="","",IF(A177&lt;HLP_ChangeDate,HLP_Legacy,HLP_Current))</f>
        <v/>
      </c>
      <c r="L177" s="91">
        <f>IF($E177="","",J177/(1-K177))</f>
        <v/>
      </c>
      <c r="M177" s="90">
        <f>IF($E177="","",'Daily Data'!I177)</f>
        <v/>
      </c>
      <c r="N177" s="91">
        <f>IF($E177="","",M177*(1-K177)-I177)</f>
        <v/>
      </c>
      <c r="O177" s="92" t="inlineStr"/>
      <c r="P177" s="93">
        <f>IF($E177="","",(L177+F177+M177)*K177)</f>
        <v/>
      </c>
      <c r="Q177" s="91">
        <f>IF($E177="","",L177*K177)</f>
        <v/>
      </c>
      <c r="R177" s="91">
        <f>IF($E177="","",F177*K177)</f>
        <v/>
      </c>
      <c r="S177" s="91">
        <f>IF($E177="","",M177*K177)</f>
        <v/>
      </c>
      <c r="T177" s="63">
        <f>IF(OR($E177="",B177=0),"",L177/B177*10000)</f>
        <v/>
      </c>
      <c r="U177" s="63">
        <f>IF(OR($E177="",C177=0),"",F177/C177*10000)</f>
        <v/>
      </c>
      <c r="V177" s="63">
        <f>IF(OR($E177="",D177=0),"",M177/D177*10000)</f>
        <v/>
      </c>
    </row>
    <row r="178">
      <c r="A178" s="35" t="n">
        <v>45832</v>
      </c>
      <c r="B178" s="90">
        <f>'Daily Data'!B178</f>
        <v/>
      </c>
      <c r="C178" s="90">
        <f>'Daily Data'!D178</f>
        <v/>
      </c>
      <c r="D178" s="90">
        <f>'Daily Data'!C178</f>
        <v/>
      </c>
      <c r="E178" s="90">
        <f>IF('Daily Data'!E178="","",'Daily Data'!E178)</f>
        <v/>
      </c>
      <c r="F178" s="90">
        <f>IF($E178="","",'Daily Data'!F178)</f>
        <v/>
      </c>
      <c r="G178" s="90">
        <f>IF($E178="","",'Daily Data'!G178)</f>
        <v/>
      </c>
      <c r="H178" s="91">
        <f>IF($E178="","",(1-K178)*F178-G178)</f>
        <v/>
      </c>
      <c r="I178" s="90">
        <f>IF($E178="","",'Daily Data'!H178)</f>
        <v/>
      </c>
      <c r="J178" s="91">
        <f>IF($E178="","",E178-H178-I178)</f>
        <v/>
      </c>
      <c r="K178" s="60">
        <f>IF($E178="","",IF(A178&lt;HLP_ChangeDate,HLP_Legacy,HLP_Current))</f>
        <v/>
      </c>
      <c r="L178" s="91">
        <f>IF($E178="","",J178/(1-K178))</f>
        <v/>
      </c>
      <c r="M178" s="90">
        <f>IF($E178="","",'Daily Data'!I178)</f>
        <v/>
      </c>
      <c r="N178" s="91">
        <f>IF($E178="","",M178*(1-K178)-I178)</f>
        <v/>
      </c>
      <c r="O178" s="92" t="inlineStr"/>
      <c r="P178" s="93">
        <f>IF($E178="","",(L178+F178+M178)*K178)</f>
        <v/>
      </c>
      <c r="Q178" s="91">
        <f>IF($E178="","",L178*K178)</f>
        <v/>
      </c>
      <c r="R178" s="91">
        <f>IF($E178="","",F178*K178)</f>
        <v/>
      </c>
      <c r="S178" s="91">
        <f>IF($E178="","",M178*K178)</f>
        <v/>
      </c>
      <c r="T178" s="63">
        <f>IF(OR($E178="",B178=0),"",L178/B178*10000)</f>
        <v/>
      </c>
      <c r="U178" s="63">
        <f>IF(OR($E178="",C178=0),"",F178/C178*10000)</f>
        <v/>
      </c>
      <c r="V178" s="63">
        <f>IF(OR($E178="",D178=0),"",M178/D178*10000)</f>
        <v/>
      </c>
    </row>
    <row r="179">
      <c r="A179" s="35" t="n">
        <v>45833</v>
      </c>
      <c r="B179" s="90">
        <f>'Daily Data'!B179</f>
        <v/>
      </c>
      <c r="C179" s="90">
        <f>'Daily Data'!D179</f>
        <v/>
      </c>
      <c r="D179" s="90">
        <f>'Daily Data'!C179</f>
        <v/>
      </c>
      <c r="E179" s="90">
        <f>IF('Daily Data'!E179="","",'Daily Data'!E179)</f>
        <v/>
      </c>
      <c r="F179" s="90">
        <f>IF($E179="","",'Daily Data'!F179)</f>
        <v/>
      </c>
      <c r="G179" s="90">
        <f>IF($E179="","",'Daily Data'!G179)</f>
        <v/>
      </c>
      <c r="H179" s="91">
        <f>IF($E179="","",(1-K179)*F179-G179)</f>
        <v/>
      </c>
      <c r="I179" s="90">
        <f>IF($E179="","",'Daily Data'!H179)</f>
        <v/>
      </c>
      <c r="J179" s="91">
        <f>IF($E179="","",E179-H179-I179)</f>
        <v/>
      </c>
      <c r="K179" s="60">
        <f>IF($E179="","",IF(A179&lt;HLP_ChangeDate,HLP_Legacy,HLP_Current))</f>
        <v/>
      </c>
      <c r="L179" s="91">
        <f>IF($E179="","",J179/(1-K179))</f>
        <v/>
      </c>
      <c r="M179" s="90">
        <f>IF($E179="","",'Daily Data'!I179)</f>
        <v/>
      </c>
      <c r="N179" s="91">
        <f>IF($E179="","",M179*(1-K179)-I179)</f>
        <v/>
      </c>
      <c r="O179" s="92" t="inlineStr"/>
      <c r="P179" s="93">
        <f>IF($E179="","",(L179+F179+M179)*K179)</f>
        <v/>
      </c>
      <c r="Q179" s="91">
        <f>IF($E179="","",L179*K179)</f>
        <v/>
      </c>
      <c r="R179" s="91">
        <f>IF($E179="","",F179*K179)</f>
        <v/>
      </c>
      <c r="S179" s="91">
        <f>IF($E179="","",M179*K179)</f>
        <v/>
      </c>
      <c r="T179" s="63">
        <f>IF(OR($E179="",B179=0),"",L179/B179*10000)</f>
        <v/>
      </c>
      <c r="U179" s="63">
        <f>IF(OR($E179="",C179=0),"",F179/C179*10000)</f>
        <v/>
      </c>
      <c r="V179" s="63">
        <f>IF(OR($E179="",D179=0),"",M179/D179*10000)</f>
        <v/>
      </c>
    </row>
    <row r="180">
      <c r="A180" s="35" t="n">
        <v>45834</v>
      </c>
      <c r="B180" s="90">
        <f>'Daily Data'!B180</f>
        <v/>
      </c>
      <c r="C180" s="90">
        <f>'Daily Data'!D180</f>
        <v/>
      </c>
      <c r="D180" s="90">
        <f>'Daily Data'!C180</f>
        <v/>
      </c>
      <c r="E180" s="90">
        <f>IF('Daily Data'!E180="","",'Daily Data'!E180)</f>
        <v/>
      </c>
      <c r="F180" s="90">
        <f>IF($E180="","",'Daily Data'!F180)</f>
        <v/>
      </c>
      <c r="G180" s="90">
        <f>IF($E180="","",'Daily Data'!G180)</f>
        <v/>
      </c>
      <c r="H180" s="91">
        <f>IF($E180="","",(1-K180)*F180-G180)</f>
        <v/>
      </c>
      <c r="I180" s="90">
        <f>IF($E180="","",'Daily Data'!H180)</f>
        <v/>
      </c>
      <c r="J180" s="91">
        <f>IF($E180="","",E180-H180-I180)</f>
        <v/>
      </c>
      <c r="K180" s="60">
        <f>IF($E180="","",IF(A180&lt;HLP_ChangeDate,HLP_Legacy,HLP_Current))</f>
        <v/>
      </c>
      <c r="L180" s="91">
        <f>IF($E180="","",J180/(1-K180))</f>
        <v/>
      </c>
      <c r="M180" s="90">
        <f>IF($E180="","",'Daily Data'!I180)</f>
        <v/>
      </c>
      <c r="N180" s="91">
        <f>IF($E180="","",M180*(1-K180)-I180)</f>
        <v/>
      </c>
      <c r="O180" s="92" t="inlineStr"/>
      <c r="P180" s="93">
        <f>IF($E180="","",(L180+F180+M180)*K180)</f>
        <v/>
      </c>
      <c r="Q180" s="91">
        <f>IF($E180="","",L180*K180)</f>
        <v/>
      </c>
      <c r="R180" s="91">
        <f>IF($E180="","",F180*K180)</f>
        <v/>
      </c>
      <c r="S180" s="91">
        <f>IF($E180="","",M180*K180)</f>
        <v/>
      </c>
      <c r="T180" s="63">
        <f>IF(OR($E180="",B180=0),"",L180/B180*10000)</f>
        <v/>
      </c>
      <c r="U180" s="63">
        <f>IF(OR($E180="",C180=0),"",F180/C180*10000)</f>
        <v/>
      </c>
      <c r="V180" s="63">
        <f>IF(OR($E180="",D180=0),"",M180/D180*10000)</f>
        <v/>
      </c>
    </row>
    <row r="181">
      <c r="A181" s="35" t="n">
        <v>45835</v>
      </c>
      <c r="B181" s="90">
        <f>'Daily Data'!B181</f>
        <v/>
      </c>
      <c r="C181" s="90">
        <f>'Daily Data'!D181</f>
        <v/>
      </c>
      <c r="D181" s="90">
        <f>'Daily Data'!C181</f>
        <v/>
      </c>
      <c r="E181" s="90">
        <f>IF('Daily Data'!E181="","",'Daily Data'!E181)</f>
        <v/>
      </c>
      <c r="F181" s="90">
        <f>IF($E181="","",'Daily Data'!F181)</f>
        <v/>
      </c>
      <c r="G181" s="90">
        <f>IF($E181="","",'Daily Data'!G181)</f>
        <v/>
      </c>
      <c r="H181" s="91">
        <f>IF($E181="","",(1-K181)*F181-G181)</f>
        <v/>
      </c>
      <c r="I181" s="90">
        <f>IF($E181="","",'Daily Data'!H181)</f>
        <v/>
      </c>
      <c r="J181" s="91">
        <f>IF($E181="","",E181-H181-I181)</f>
        <v/>
      </c>
      <c r="K181" s="60">
        <f>IF($E181="","",IF(A181&lt;HLP_ChangeDate,HLP_Legacy,HLP_Current))</f>
        <v/>
      </c>
      <c r="L181" s="91">
        <f>IF($E181="","",J181/(1-K181))</f>
        <v/>
      </c>
      <c r="M181" s="90">
        <f>IF($E181="","",'Daily Data'!I181)</f>
        <v/>
      </c>
      <c r="N181" s="91">
        <f>IF($E181="","",M181*(1-K181)-I181)</f>
        <v/>
      </c>
      <c r="O181" s="92" t="inlineStr"/>
      <c r="P181" s="93">
        <f>IF($E181="","",(L181+F181+M181)*K181)</f>
        <v/>
      </c>
      <c r="Q181" s="91">
        <f>IF($E181="","",L181*K181)</f>
        <v/>
      </c>
      <c r="R181" s="91">
        <f>IF($E181="","",F181*K181)</f>
        <v/>
      </c>
      <c r="S181" s="91">
        <f>IF($E181="","",M181*K181)</f>
        <v/>
      </c>
      <c r="T181" s="63">
        <f>IF(OR($E181="",B181=0),"",L181/B181*10000)</f>
        <v/>
      </c>
      <c r="U181" s="63">
        <f>IF(OR($E181="",C181=0),"",F181/C181*10000)</f>
        <v/>
      </c>
      <c r="V181" s="63">
        <f>IF(OR($E181="",D181=0),"",M181/D181*10000)</f>
        <v/>
      </c>
    </row>
    <row r="182">
      <c r="A182" s="35" t="n">
        <v>45836</v>
      </c>
      <c r="B182" s="90">
        <f>'Daily Data'!B182</f>
        <v/>
      </c>
      <c r="C182" s="90">
        <f>'Daily Data'!D182</f>
        <v/>
      </c>
      <c r="D182" s="90">
        <f>'Daily Data'!C182</f>
        <v/>
      </c>
      <c r="E182" s="90">
        <f>IF('Daily Data'!E182="","",'Daily Data'!E182)</f>
        <v/>
      </c>
      <c r="F182" s="90">
        <f>IF($E182="","",'Daily Data'!F182)</f>
        <v/>
      </c>
      <c r="G182" s="90">
        <f>IF($E182="","",'Daily Data'!G182)</f>
        <v/>
      </c>
      <c r="H182" s="91">
        <f>IF($E182="","",(1-K182)*F182-G182)</f>
        <v/>
      </c>
      <c r="I182" s="90">
        <f>IF($E182="","",'Daily Data'!H182)</f>
        <v/>
      </c>
      <c r="J182" s="91">
        <f>IF($E182="","",E182-H182-I182)</f>
        <v/>
      </c>
      <c r="K182" s="60">
        <f>IF($E182="","",IF(A182&lt;HLP_ChangeDate,HLP_Legacy,HLP_Current))</f>
        <v/>
      </c>
      <c r="L182" s="91">
        <f>IF($E182="","",J182/(1-K182))</f>
        <v/>
      </c>
      <c r="M182" s="90">
        <f>IF($E182="","",'Daily Data'!I182)</f>
        <v/>
      </c>
      <c r="N182" s="91">
        <f>IF($E182="","",M182*(1-K182)-I182)</f>
        <v/>
      </c>
      <c r="O182" s="92" t="inlineStr"/>
      <c r="P182" s="93">
        <f>IF($E182="","",(L182+F182+M182)*K182)</f>
        <v/>
      </c>
      <c r="Q182" s="91">
        <f>IF($E182="","",L182*K182)</f>
        <v/>
      </c>
      <c r="R182" s="91">
        <f>IF($E182="","",F182*K182)</f>
        <v/>
      </c>
      <c r="S182" s="91">
        <f>IF($E182="","",M182*K182)</f>
        <v/>
      </c>
      <c r="T182" s="63">
        <f>IF(OR($E182="",B182=0),"",L182/B182*10000)</f>
        <v/>
      </c>
      <c r="U182" s="63">
        <f>IF(OR($E182="",C182=0),"",F182/C182*10000)</f>
        <v/>
      </c>
      <c r="V182" s="63">
        <f>IF(OR($E182="",D182=0),"",M182/D182*10000)</f>
        <v/>
      </c>
    </row>
    <row r="183">
      <c r="A183" s="35" t="n">
        <v>45837</v>
      </c>
      <c r="B183" s="90">
        <f>'Daily Data'!B183</f>
        <v/>
      </c>
      <c r="C183" s="90">
        <f>'Daily Data'!D183</f>
        <v/>
      </c>
      <c r="D183" s="90">
        <f>'Daily Data'!C183</f>
        <v/>
      </c>
      <c r="E183" s="90">
        <f>IF('Daily Data'!E183="","",'Daily Data'!E183)</f>
        <v/>
      </c>
      <c r="F183" s="90">
        <f>IF($E183="","",'Daily Data'!F183)</f>
        <v/>
      </c>
      <c r="G183" s="90">
        <f>IF($E183="","",'Daily Data'!G183)</f>
        <v/>
      </c>
      <c r="H183" s="91">
        <f>IF($E183="","",(1-K183)*F183-G183)</f>
        <v/>
      </c>
      <c r="I183" s="90">
        <f>IF($E183="","",'Daily Data'!H183)</f>
        <v/>
      </c>
      <c r="J183" s="91">
        <f>IF($E183="","",E183-H183-I183)</f>
        <v/>
      </c>
      <c r="K183" s="60">
        <f>IF($E183="","",IF(A183&lt;HLP_ChangeDate,HLP_Legacy,HLP_Current))</f>
        <v/>
      </c>
      <c r="L183" s="91">
        <f>IF($E183="","",J183/(1-K183))</f>
        <v/>
      </c>
      <c r="M183" s="90">
        <f>IF($E183="","",'Daily Data'!I183)</f>
        <v/>
      </c>
      <c r="N183" s="91">
        <f>IF($E183="","",M183*(1-K183)-I183)</f>
        <v/>
      </c>
      <c r="O183" s="92" t="inlineStr"/>
      <c r="P183" s="93">
        <f>IF($E183="","",(L183+F183+M183)*K183)</f>
        <v/>
      </c>
      <c r="Q183" s="91">
        <f>IF($E183="","",L183*K183)</f>
        <v/>
      </c>
      <c r="R183" s="91">
        <f>IF($E183="","",F183*K183)</f>
        <v/>
      </c>
      <c r="S183" s="91">
        <f>IF($E183="","",M183*K183)</f>
        <v/>
      </c>
      <c r="T183" s="63">
        <f>IF(OR($E183="",B183=0),"",L183/B183*10000)</f>
        <v/>
      </c>
      <c r="U183" s="63">
        <f>IF(OR($E183="",C183=0),"",F183/C183*10000)</f>
        <v/>
      </c>
      <c r="V183" s="63">
        <f>IF(OR($E183="",D183=0),"",M183/D183*10000)</f>
        <v/>
      </c>
    </row>
    <row r="184">
      <c r="A184" s="35" t="n">
        <v>45838</v>
      </c>
      <c r="B184" s="90">
        <f>'Daily Data'!B184</f>
        <v/>
      </c>
      <c r="C184" s="90">
        <f>'Daily Data'!D184</f>
        <v/>
      </c>
      <c r="D184" s="90">
        <f>'Daily Data'!C184</f>
        <v/>
      </c>
      <c r="E184" s="90">
        <f>IF('Daily Data'!E184="","",'Daily Data'!E184)</f>
        <v/>
      </c>
      <c r="F184" s="90">
        <f>IF($E184="","",'Daily Data'!F184)</f>
        <v/>
      </c>
      <c r="G184" s="90">
        <f>IF($E184="","",'Daily Data'!G184)</f>
        <v/>
      </c>
      <c r="H184" s="91">
        <f>IF($E184="","",(1-K184)*F184-G184)</f>
        <v/>
      </c>
      <c r="I184" s="90">
        <f>IF($E184="","",'Daily Data'!H184)</f>
        <v/>
      </c>
      <c r="J184" s="91">
        <f>IF($E184="","",E184-H184-I184)</f>
        <v/>
      </c>
      <c r="K184" s="60">
        <f>IF($E184="","",IF(A184&lt;HLP_ChangeDate,HLP_Legacy,HLP_Current))</f>
        <v/>
      </c>
      <c r="L184" s="91">
        <f>IF($E184="","",J184/(1-K184))</f>
        <v/>
      </c>
      <c r="M184" s="90">
        <f>IF($E184="","",'Daily Data'!I184)</f>
        <v/>
      </c>
      <c r="N184" s="91">
        <f>IF($E184="","",M184*(1-K184)-I184)</f>
        <v/>
      </c>
      <c r="O184" s="92" t="inlineStr"/>
      <c r="P184" s="93">
        <f>IF($E184="","",(L184+F184+M184)*K184)</f>
        <v/>
      </c>
      <c r="Q184" s="91">
        <f>IF($E184="","",L184*K184)</f>
        <v/>
      </c>
      <c r="R184" s="91">
        <f>IF($E184="","",F184*K184)</f>
        <v/>
      </c>
      <c r="S184" s="91">
        <f>IF($E184="","",M184*K184)</f>
        <v/>
      </c>
      <c r="T184" s="63">
        <f>IF(OR($E184="",B184=0),"",L184/B184*10000)</f>
        <v/>
      </c>
      <c r="U184" s="63">
        <f>IF(OR($E184="",C184=0),"",F184/C184*10000)</f>
        <v/>
      </c>
      <c r="V184" s="63">
        <f>IF(OR($E184="",D184=0),"",M184/D184*10000)</f>
        <v/>
      </c>
    </row>
    <row r="185">
      <c r="A185" s="35" t="n">
        <v>45839</v>
      </c>
      <c r="B185" s="90">
        <f>'Daily Data'!B185</f>
        <v/>
      </c>
      <c r="C185" s="90">
        <f>'Daily Data'!D185</f>
        <v/>
      </c>
      <c r="D185" s="90">
        <f>'Daily Data'!C185</f>
        <v/>
      </c>
      <c r="E185" s="90">
        <f>IF('Daily Data'!E185="","",'Daily Data'!E185)</f>
        <v/>
      </c>
      <c r="F185" s="90">
        <f>IF($E185="","",'Daily Data'!F185)</f>
        <v/>
      </c>
      <c r="G185" s="90">
        <f>IF($E185="","",'Daily Data'!G185)</f>
        <v/>
      </c>
      <c r="H185" s="91">
        <f>IF($E185="","",(1-K185)*F185-G185)</f>
        <v/>
      </c>
      <c r="I185" s="90">
        <f>IF($E185="","",'Daily Data'!H185)</f>
        <v/>
      </c>
      <c r="J185" s="91">
        <f>IF($E185="","",E185-H185-I185)</f>
        <v/>
      </c>
      <c r="K185" s="60">
        <f>IF($E185="","",IF(A185&lt;HLP_ChangeDate,HLP_Legacy,HLP_Current))</f>
        <v/>
      </c>
      <c r="L185" s="91">
        <f>IF($E185="","",J185/(1-K185))</f>
        <v/>
      </c>
      <c r="M185" s="90">
        <f>IF($E185="","",'Daily Data'!I185)</f>
        <v/>
      </c>
      <c r="N185" s="91">
        <f>IF($E185="","",M185*(1-K185)-I185)</f>
        <v/>
      </c>
      <c r="O185" s="92" t="inlineStr"/>
      <c r="P185" s="93">
        <f>IF($E185="","",(L185+F185+M185)*K185)</f>
        <v/>
      </c>
      <c r="Q185" s="91">
        <f>IF($E185="","",L185*K185)</f>
        <v/>
      </c>
      <c r="R185" s="91">
        <f>IF($E185="","",F185*K185)</f>
        <v/>
      </c>
      <c r="S185" s="91">
        <f>IF($E185="","",M185*K185)</f>
        <v/>
      </c>
      <c r="T185" s="63">
        <f>IF(OR($E185="",B185=0),"",L185/B185*10000)</f>
        <v/>
      </c>
      <c r="U185" s="63">
        <f>IF(OR($E185="",C185=0),"",F185/C185*10000)</f>
        <v/>
      </c>
      <c r="V185" s="63">
        <f>IF(OR($E185="",D185=0),"",M185/D185*10000)</f>
        <v/>
      </c>
    </row>
    <row r="186">
      <c r="A186" s="35" t="n">
        <v>45840</v>
      </c>
      <c r="B186" s="90">
        <f>'Daily Data'!B186</f>
        <v/>
      </c>
      <c r="C186" s="90">
        <f>'Daily Data'!D186</f>
        <v/>
      </c>
      <c r="D186" s="90">
        <f>'Daily Data'!C186</f>
        <v/>
      </c>
      <c r="E186" s="90">
        <f>IF('Daily Data'!E186="","",'Daily Data'!E186)</f>
        <v/>
      </c>
      <c r="F186" s="90">
        <f>IF($E186="","",'Daily Data'!F186)</f>
        <v/>
      </c>
      <c r="G186" s="90">
        <f>IF($E186="","",'Daily Data'!G186)</f>
        <v/>
      </c>
      <c r="H186" s="91">
        <f>IF($E186="","",(1-K186)*F186-G186)</f>
        <v/>
      </c>
      <c r="I186" s="90">
        <f>IF($E186="","",'Daily Data'!H186)</f>
        <v/>
      </c>
      <c r="J186" s="91">
        <f>IF($E186="","",E186-H186-I186)</f>
        <v/>
      </c>
      <c r="K186" s="60">
        <f>IF($E186="","",IF(A186&lt;HLP_ChangeDate,HLP_Legacy,HLP_Current))</f>
        <v/>
      </c>
      <c r="L186" s="91">
        <f>IF($E186="","",J186/(1-K186))</f>
        <v/>
      </c>
      <c r="M186" s="90">
        <f>IF($E186="","",'Daily Data'!I186)</f>
        <v/>
      </c>
      <c r="N186" s="91">
        <f>IF($E186="","",M186*(1-K186)-I186)</f>
        <v/>
      </c>
      <c r="O186" s="92" t="inlineStr"/>
      <c r="P186" s="93">
        <f>IF($E186="","",(L186+F186+M186)*K186)</f>
        <v/>
      </c>
      <c r="Q186" s="91">
        <f>IF($E186="","",L186*K186)</f>
        <v/>
      </c>
      <c r="R186" s="91">
        <f>IF($E186="","",F186*K186)</f>
        <v/>
      </c>
      <c r="S186" s="91">
        <f>IF($E186="","",M186*K186)</f>
        <v/>
      </c>
      <c r="T186" s="63">
        <f>IF(OR($E186="",B186=0),"",L186/B186*10000)</f>
        <v/>
      </c>
      <c r="U186" s="63">
        <f>IF(OR($E186="",C186=0),"",F186/C186*10000)</f>
        <v/>
      </c>
      <c r="V186" s="63">
        <f>IF(OR($E186="",D186=0),"",M186/D186*10000)</f>
        <v/>
      </c>
    </row>
    <row r="187">
      <c r="A187" s="35" t="n">
        <v>45841</v>
      </c>
      <c r="B187" s="90">
        <f>'Daily Data'!B187</f>
        <v/>
      </c>
      <c r="C187" s="90">
        <f>'Daily Data'!D187</f>
        <v/>
      </c>
      <c r="D187" s="90">
        <f>'Daily Data'!C187</f>
        <v/>
      </c>
      <c r="E187" s="90">
        <f>IF('Daily Data'!E187="","",'Daily Data'!E187)</f>
        <v/>
      </c>
      <c r="F187" s="90">
        <f>IF($E187="","",'Daily Data'!F187)</f>
        <v/>
      </c>
      <c r="G187" s="90">
        <f>IF($E187="","",'Daily Data'!G187)</f>
        <v/>
      </c>
      <c r="H187" s="91">
        <f>IF($E187="","",(1-K187)*F187-G187)</f>
        <v/>
      </c>
      <c r="I187" s="90">
        <f>IF($E187="","",'Daily Data'!H187)</f>
        <v/>
      </c>
      <c r="J187" s="91">
        <f>IF($E187="","",E187-H187-I187)</f>
        <v/>
      </c>
      <c r="K187" s="60">
        <f>IF($E187="","",IF(A187&lt;HLP_ChangeDate,HLP_Legacy,HLP_Current))</f>
        <v/>
      </c>
      <c r="L187" s="91">
        <f>IF($E187="","",J187/(1-K187))</f>
        <v/>
      </c>
      <c r="M187" s="90">
        <f>IF($E187="","",'Daily Data'!I187)</f>
        <v/>
      </c>
      <c r="N187" s="91">
        <f>IF($E187="","",M187*(1-K187)-I187)</f>
        <v/>
      </c>
      <c r="O187" s="92" t="inlineStr"/>
      <c r="P187" s="93">
        <f>IF($E187="","",(L187+F187+M187)*K187)</f>
        <v/>
      </c>
      <c r="Q187" s="91">
        <f>IF($E187="","",L187*K187)</f>
        <v/>
      </c>
      <c r="R187" s="91">
        <f>IF($E187="","",F187*K187)</f>
        <v/>
      </c>
      <c r="S187" s="91">
        <f>IF($E187="","",M187*K187)</f>
        <v/>
      </c>
      <c r="T187" s="63">
        <f>IF(OR($E187="",B187=0),"",L187/B187*10000)</f>
        <v/>
      </c>
      <c r="U187" s="63">
        <f>IF(OR($E187="",C187=0),"",F187/C187*10000)</f>
        <v/>
      </c>
      <c r="V187" s="63">
        <f>IF(OR($E187="",D187=0),"",M187/D187*10000)</f>
        <v/>
      </c>
    </row>
    <row r="188">
      <c r="A188" s="35" t="n">
        <v>45842</v>
      </c>
      <c r="B188" s="90">
        <f>'Daily Data'!B188</f>
        <v/>
      </c>
      <c r="C188" s="90">
        <f>'Daily Data'!D188</f>
        <v/>
      </c>
      <c r="D188" s="90">
        <f>'Daily Data'!C188</f>
        <v/>
      </c>
      <c r="E188" s="90">
        <f>IF('Daily Data'!E188="","",'Daily Data'!E188)</f>
        <v/>
      </c>
      <c r="F188" s="90">
        <f>IF($E188="","",'Daily Data'!F188)</f>
        <v/>
      </c>
      <c r="G188" s="90">
        <f>IF($E188="","",'Daily Data'!G188)</f>
        <v/>
      </c>
      <c r="H188" s="91">
        <f>IF($E188="","",(1-K188)*F188-G188)</f>
        <v/>
      </c>
      <c r="I188" s="90">
        <f>IF($E188="","",'Daily Data'!H188)</f>
        <v/>
      </c>
      <c r="J188" s="91">
        <f>IF($E188="","",E188-H188-I188)</f>
        <v/>
      </c>
      <c r="K188" s="60">
        <f>IF($E188="","",IF(A188&lt;HLP_ChangeDate,HLP_Legacy,HLP_Current))</f>
        <v/>
      </c>
      <c r="L188" s="91">
        <f>IF($E188="","",J188/(1-K188))</f>
        <v/>
      </c>
      <c r="M188" s="90">
        <f>IF($E188="","",'Daily Data'!I188)</f>
        <v/>
      </c>
      <c r="N188" s="91">
        <f>IF($E188="","",M188*(1-K188)-I188)</f>
        <v/>
      </c>
      <c r="O188" s="92" t="inlineStr"/>
      <c r="P188" s="93">
        <f>IF($E188="","",(L188+F188+M188)*K188)</f>
        <v/>
      </c>
      <c r="Q188" s="91">
        <f>IF($E188="","",L188*K188)</f>
        <v/>
      </c>
      <c r="R188" s="91">
        <f>IF($E188="","",F188*K188)</f>
        <v/>
      </c>
      <c r="S188" s="91">
        <f>IF($E188="","",M188*K188)</f>
        <v/>
      </c>
      <c r="T188" s="63">
        <f>IF(OR($E188="",B188=0),"",L188/B188*10000)</f>
        <v/>
      </c>
      <c r="U188" s="63">
        <f>IF(OR($E188="",C188=0),"",F188/C188*10000)</f>
        <v/>
      </c>
      <c r="V188" s="63">
        <f>IF(OR($E188="",D188=0),"",M188/D188*10000)</f>
        <v/>
      </c>
    </row>
    <row r="189">
      <c r="A189" s="35" t="n">
        <v>45843</v>
      </c>
      <c r="B189" s="90">
        <f>'Daily Data'!B189</f>
        <v/>
      </c>
      <c r="C189" s="90">
        <f>'Daily Data'!D189</f>
        <v/>
      </c>
      <c r="D189" s="90">
        <f>'Daily Data'!C189</f>
        <v/>
      </c>
      <c r="E189" s="90">
        <f>IF('Daily Data'!E189="","",'Daily Data'!E189)</f>
        <v/>
      </c>
      <c r="F189" s="90">
        <f>IF($E189="","",'Daily Data'!F189)</f>
        <v/>
      </c>
      <c r="G189" s="90">
        <f>IF($E189="","",'Daily Data'!G189)</f>
        <v/>
      </c>
      <c r="H189" s="91">
        <f>IF($E189="","",(1-K189)*F189-G189)</f>
        <v/>
      </c>
      <c r="I189" s="90">
        <f>IF($E189="","",'Daily Data'!H189)</f>
        <v/>
      </c>
      <c r="J189" s="91">
        <f>IF($E189="","",E189-H189-I189)</f>
        <v/>
      </c>
      <c r="K189" s="60">
        <f>IF($E189="","",IF(A189&lt;HLP_ChangeDate,HLP_Legacy,HLP_Current))</f>
        <v/>
      </c>
      <c r="L189" s="91">
        <f>IF($E189="","",J189/(1-K189))</f>
        <v/>
      </c>
      <c r="M189" s="90">
        <f>IF($E189="","",'Daily Data'!I189)</f>
        <v/>
      </c>
      <c r="N189" s="91">
        <f>IF($E189="","",M189*(1-K189)-I189)</f>
        <v/>
      </c>
      <c r="O189" s="92" t="inlineStr"/>
      <c r="P189" s="93">
        <f>IF($E189="","",(L189+F189+M189)*K189)</f>
        <v/>
      </c>
      <c r="Q189" s="91">
        <f>IF($E189="","",L189*K189)</f>
        <v/>
      </c>
      <c r="R189" s="91">
        <f>IF($E189="","",F189*K189)</f>
        <v/>
      </c>
      <c r="S189" s="91">
        <f>IF($E189="","",M189*K189)</f>
        <v/>
      </c>
      <c r="T189" s="63">
        <f>IF(OR($E189="",B189=0),"",L189/B189*10000)</f>
        <v/>
      </c>
      <c r="U189" s="63">
        <f>IF(OR($E189="",C189=0),"",F189/C189*10000)</f>
        <v/>
      </c>
      <c r="V189" s="63">
        <f>IF(OR($E189="",D189=0),"",M189/D189*10000)</f>
        <v/>
      </c>
    </row>
    <row r="190">
      <c r="A190" s="35" t="n">
        <v>45844</v>
      </c>
      <c r="B190" s="90">
        <f>'Daily Data'!B190</f>
        <v/>
      </c>
      <c r="C190" s="90">
        <f>'Daily Data'!D190</f>
        <v/>
      </c>
      <c r="D190" s="90">
        <f>'Daily Data'!C190</f>
        <v/>
      </c>
      <c r="E190" s="90">
        <f>IF('Daily Data'!E190="","",'Daily Data'!E190)</f>
        <v/>
      </c>
      <c r="F190" s="90">
        <f>IF($E190="","",'Daily Data'!F190)</f>
        <v/>
      </c>
      <c r="G190" s="90">
        <f>IF($E190="","",'Daily Data'!G190)</f>
        <v/>
      </c>
      <c r="H190" s="91">
        <f>IF($E190="","",(1-K190)*F190-G190)</f>
        <v/>
      </c>
      <c r="I190" s="90">
        <f>IF($E190="","",'Daily Data'!H190)</f>
        <v/>
      </c>
      <c r="J190" s="91">
        <f>IF($E190="","",E190-H190-I190)</f>
        <v/>
      </c>
      <c r="K190" s="60">
        <f>IF($E190="","",IF(A190&lt;HLP_ChangeDate,HLP_Legacy,HLP_Current))</f>
        <v/>
      </c>
      <c r="L190" s="91">
        <f>IF($E190="","",J190/(1-K190))</f>
        <v/>
      </c>
      <c r="M190" s="90">
        <f>IF($E190="","",'Daily Data'!I190)</f>
        <v/>
      </c>
      <c r="N190" s="91">
        <f>IF($E190="","",M190*(1-K190)-I190)</f>
        <v/>
      </c>
      <c r="O190" s="92" t="inlineStr"/>
      <c r="P190" s="93">
        <f>IF($E190="","",(L190+F190+M190)*K190)</f>
        <v/>
      </c>
      <c r="Q190" s="91">
        <f>IF($E190="","",L190*K190)</f>
        <v/>
      </c>
      <c r="R190" s="91">
        <f>IF($E190="","",F190*K190)</f>
        <v/>
      </c>
      <c r="S190" s="91">
        <f>IF($E190="","",M190*K190)</f>
        <v/>
      </c>
      <c r="T190" s="63">
        <f>IF(OR($E190="",B190=0),"",L190/B190*10000)</f>
        <v/>
      </c>
      <c r="U190" s="63">
        <f>IF(OR($E190="",C190=0),"",F190/C190*10000)</f>
        <v/>
      </c>
      <c r="V190" s="63">
        <f>IF(OR($E190="",D190=0),"",M190/D190*10000)</f>
        <v/>
      </c>
    </row>
    <row r="191">
      <c r="A191" s="35" t="n">
        <v>45845</v>
      </c>
      <c r="B191" s="90">
        <f>'Daily Data'!B191</f>
        <v/>
      </c>
      <c r="C191" s="90">
        <f>'Daily Data'!D191</f>
        <v/>
      </c>
      <c r="D191" s="90">
        <f>'Daily Data'!C191</f>
        <v/>
      </c>
      <c r="E191" s="90">
        <f>IF('Daily Data'!E191="","",'Daily Data'!E191)</f>
        <v/>
      </c>
      <c r="F191" s="90">
        <f>IF($E191="","",'Daily Data'!F191)</f>
        <v/>
      </c>
      <c r="G191" s="90">
        <f>IF($E191="","",'Daily Data'!G191)</f>
        <v/>
      </c>
      <c r="H191" s="91">
        <f>IF($E191="","",(1-K191)*F191-G191)</f>
        <v/>
      </c>
      <c r="I191" s="90">
        <f>IF($E191="","",'Daily Data'!H191)</f>
        <v/>
      </c>
      <c r="J191" s="91">
        <f>IF($E191="","",E191-H191-I191)</f>
        <v/>
      </c>
      <c r="K191" s="60">
        <f>IF($E191="","",IF(A191&lt;HLP_ChangeDate,HLP_Legacy,HLP_Current))</f>
        <v/>
      </c>
      <c r="L191" s="91">
        <f>IF($E191="","",J191/(1-K191))</f>
        <v/>
      </c>
      <c r="M191" s="90">
        <f>IF($E191="","",'Daily Data'!I191)</f>
        <v/>
      </c>
      <c r="N191" s="91">
        <f>IF($E191="","",M191*(1-K191)-I191)</f>
        <v/>
      </c>
      <c r="O191" s="92" t="inlineStr"/>
      <c r="P191" s="93">
        <f>IF($E191="","",(L191+F191+M191)*K191)</f>
        <v/>
      </c>
      <c r="Q191" s="91">
        <f>IF($E191="","",L191*K191)</f>
        <v/>
      </c>
      <c r="R191" s="91">
        <f>IF($E191="","",F191*K191)</f>
        <v/>
      </c>
      <c r="S191" s="91">
        <f>IF($E191="","",M191*K191)</f>
        <v/>
      </c>
      <c r="T191" s="63">
        <f>IF(OR($E191="",B191=0),"",L191/B191*10000)</f>
        <v/>
      </c>
      <c r="U191" s="63">
        <f>IF(OR($E191="",C191=0),"",F191/C191*10000)</f>
        <v/>
      </c>
      <c r="V191" s="63">
        <f>IF(OR($E191="",D191=0),"",M191/D191*10000)</f>
        <v/>
      </c>
    </row>
    <row r="192">
      <c r="A192" s="35" t="n">
        <v>45846</v>
      </c>
      <c r="B192" s="90">
        <f>'Daily Data'!B192</f>
        <v/>
      </c>
      <c r="C192" s="90">
        <f>'Daily Data'!D192</f>
        <v/>
      </c>
      <c r="D192" s="90">
        <f>'Daily Data'!C192</f>
        <v/>
      </c>
      <c r="E192" s="90">
        <f>IF('Daily Data'!E192="","",'Daily Data'!E192)</f>
        <v/>
      </c>
      <c r="F192" s="90">
        <f>IF($E192="","",'Daily Data'!F192)</f>
        <v/>
      </c>
      <c r="G192" s="90">
        <f>IF($E192="","",'Daily Data'!G192)</f>
        <v/>
      </c>
      <c r="H192" s="91">
        <f>IF($E192="","",(1-K192)*F192-G192)</f>
        <v/>
      </c>
      <c r="I192" s="90">
        <f>IF($E192="","",'Daily Data'!H192)</f>
        <v/>
      </c>
      <c r="J192" s="91">
        <f>IF($E192="","",E192-H192-I192)</f>
        <v/>
      </c>
      <c r="K192" s="60">
        <f>IF($E192="","",IF(A192&lt;HLP_ChangeDate,HLP_Legacy,HLP_Current))</f>
        <v/>
      </c>
      <c r="L192" s="91">
        <f>IF($E192="","",J192/(1-K192))</f>
        <v/>
      </c>
      <c r="M192" s="90">
        <f>IF($E192="","",'Daily Data'!I192)</f>
        <v/>
      </c>
      <c r="N192" s="91">
        <f>IF($E192="","",M192*(1-K192)-I192)</f>
        <v/>
      </c>
      <c r="O192" s="92" t="inlineStr"/>
      <c r="P192" s="93">
        <f>IF($E192="","",(L192+F192+M192)*K192)</f>
        <v/>
      </c>
      <c r="Q192" s="91">
        <f>IF($E192="","",L192*K192)</f>
        <v/>
      </c>
      <c r="R192" s="91">
        <f>IF($E192="","",F192*K192)</f>
        <v/>
      </c>
      <c r="S192" s="91">
        <f>IF($E192="","",M192*K192)</f>
        <v/>
      </c>
      <c r="T192" s="63">
        <f>IF(OR($E192="",B192=0),"",L192/B192*10000)</f>
        <v/>
      </c>
      <c r="U192" s="63">
        <f>IF(OR($E192="",C192=0),"",F192/C192*10000)</f>
        <v/>
      </c>
      <c r="V192" s="63">
        <f>IF(OR($E192="",D192=0),"",M192/D192*10000)</f>
        <v/>
      </c>
    </row>
    <row r="193">
      <c r="A193" s="35" t="n">
        <v>45847</v>
      </c>
      <c r="B193" s="90">
        <f>'Daily Data'!B193</f>
        <v/>
      </c>
      <c r="C193" s="90">
        <f>'Daily Data'!D193</f>
        <v/>
      </c>
      <c r="D193" s="90">
        <f>'Daily Data'!C193</f>
        <v/>
      </c>
      <c r="E193" s="90">
        <f>IF('Daily Data'!E193="","",'Daily Data'!E193)</f>
        <v/>
      </c>
      <c r="F193" s="90">
        <f>IF($E193="","",'Daily Data'!F193)</f>
        <v/>
      </c>
      <c r="G193" s="90">
        <f>IF($E193="","",'Daily Data'!G193)</f>
        <v/>
      </c>
      <c r="H193" s="91">
        <f>IF($E193="","",(1-K193)*F193-G193)</f>
        <v/>
      </c>
      <c r="I193" s="90">
        <f>IF($E193="","",'Daily Data'!H193)</f>
        <v/>
      </c>
      <c r="J193" s="91">
        <f>IF($E193="","",E193-H193-I193)</f>
        <v/>
      </c>
      <c r="K193" s="60">
        <f>IF($E193="","",IF(A193&lt;HLP_ChangeDate,HLP_Legacy,HLP_Current))</f>
        <v/>
      </c>
      <c r="L193" s="91">
        <f>IF($E193="","",J193/(1-K193))</f>
        <v/>
      </c>
      <c r="M193" s="90">
        <f>IF($E193="","",'Daily Data'!I193)</f>
        <v/>
      </c>
      <c r="N193" s="91">
        <f>IF($E193="","",M193*(1-K193)-I193)</f>
        <v/>
      </c>
      <c r="O193" s="92" t="inlineStr"/>
      <c r="P193" s="93">
        <f>IF($E193="","",(L193+F193+M193)*K193)</f>
        <v/>
      </c>
      <c r="Q193" s="91">
        <f>IF($E193="","",L193*K193)</f>
        <v/>
      </c>
      <c r="R193" s="91">
        <f>IF($E193="","",F193*K193)</f>
        <v/>
      </c>
      <c r="S193" s="91">
        <f>IF($E193="","",M193*K193)</f>
        <v/>
      </c>
      <c r="T193" s="63">
        <f>IF(OR($E193="",B193=0),"",L193/B193*10000)</f>
        <v/>
      </c>
      <c r="U193" s="63">
        <f>IF(OR($E193="",C193=0),"",F193/C193*10000)</f>
        <v/>
      </c>
      <c r="V193" s="63">
        <f>IF(OR($E193="",D193=0),"",M193/D193*10000)</f>
        <v/>
      </c>
    </row>
    <row r="194">
      <c r="A194" s="35" t="n">
        <v>45848</v>
      </c>
      <c r="B194" s="90">
        <f>'Daily Data'!B194</f>
        <v/>
      </c>
      <c r="C194" s="90">
        <f>'Daily Data'!D194</f>
        <v/>
      </c>
      <c r="D194" s="90">
        <f>'Daily Data'!C194</f>
        <v/>
      </c>
      <c r="E194" s="90">
        <f>IF('Daily Data'!E194="","",'Daily Data'!E194)</f>
        <v/>
      </c>
      <c r="F194" s="90">
        <f>IF($E194="","",'Daily Data'!F194)</f>
        <v/>
      </c>
      <c r="G194" s="90">
        <f>IF($E194="","",'Daily Data'!G194)</f>
        <v/>
      </c>
      <c r="H194" s="91">
        <f>IF($E194="","",(1-K194)*F194-G194)</f>
        <v/>
      </c>
      <c r="I194" s="90">
        <f>IF($E194="","",'Daily Data'!H194)</f>
        <v/>
      </c>
      <c r="J194" s="91">
        <f>IF($E194="","",E194-H194-I194)</f>
        <v/>
      </c>
      <c r="K194" s="60">
        <f>IF($E194="","",IF(A194&lt;HLP_ChangeDate,HLP_Legacy,HLP_Current))</f>
        <v/>
      </c>
      <c r="L194" s="91">
        <f>IF($E194="","",J194/(1-K194))</f>
        <v/>
      </c>
      <c r="M194" s="90">
        <f>IF($E194="","",'Daily Data'!I194)</f>
        <v/>
      </c>
      <c r="N194" s="91">
        <f>IF($E194="","",M194*(1-K194)-I194)</f>
        <v/>
      </c>
      <c r="O194" s="92" t="inlineStr"/>
      <c r="P194" s="93">
        <f>IF($E194="","",(L194+F194+M194)*K194)</f>
        <v/>
      </c>
      <c r="Q194" s="91">
        <f>IF($E194="","",L194*K194)</f>
        <v/>
      </c>
      <c r="R194" s="91">
        <f>IF($E194="","",F194*K194)</f>
        <v/>
      </c>
      <c r="S194" s="91">
        <f>IF($E194="","",M194*K194)</f>
        <v/>
      </c>
      <c r="T194" s="63">
        <f>IF(OR($E194="",B194=0),"",L194/B194*10000)</f>
        <v/>
      </c>
      <c r="U194" s="63">
        <f>IF(OR($E194="",C194=0),"",F194/C194*10000)</f>
        <v/>
      </c>
      <c r="V194" s="63">
        <f>IF(OR($E194="",D194=0),"",M194/D194*10000)</f>
        <v/>
      </c>
    </row>
    <row r="195">
      <c r="A195" s="35" t="n">
        <v>45849</v>
      </c>
      <c r="B195" s="90">
        <f>'Daily Data'!B195</f>
        <v/>
      </c>
      <c r="C195" s="90">
        <f>'Daily Data'!D195</f>
        <v/>
      </c>
      <c r="D195" s="90">
        <f>'Daily Data'!C195</f>
        <v/>
      </c>
      <c r="E195" s="90">
        <f>IF('Daily Data'!E195="","",'Daily Data'!E195)</f>
        <v/>
      </c>
      <c r="F195" s="90">
        <f>IF($E195="","",'Daily Data'!F195)</f>
        <v/>
      </c>
      <c r="G195" s="90">
        <f>IF($E195="","",'Daily Data'!G195)</f>
        <v/>
      </c>
      <c r="H195" s="91">
        <f>IF($E195="","",(1-K195)*F195-G195)</f>
        <v/>
      </c>
      <c r="I195" s="90">
        <f>IF($E195="","",'Daily Data'!H195)</f>
        <v/>
      </c>
      <c r="J195" s="91">
        <f>IF($E195="","",E195-H195-I195)</f>
        <v/>
      </c>
      <c r="K195" s="60">
        <f>IF($E195="","",IF(A195&lt;HLP_ChangeDate,HLP_Legacy,HLP_Current))</f>
        <v/>
      </c>
      <c r="L195" s="91">
        <f>IF($E195="","",J195/(1-K195))</f>
        <v/>
      </c>
      <c r="M195" s="90">
        <f>IF($E195="","",'Daily Data'!I195)</f>
        <v/>
      </c>
      <c r="N195" s="91">
        <f>IF($E195="","",M195*(1-K195)-I195)</f>
        <v/>
      </c>
      <c r="O195" s="92" t="inlineStr"/>
      <c r="P195" s="93">
        <f>IF($E195="","",(L195+F195+M195)*K195)</f>
        <v/>
      </c>
      <c r="Q195" s="91">
        <f>IF($E195="","",L195*K195)</f>
        <v/>
      </c>
      <c r="R195" s="91">
        <f>IF($E195="","",F195*K195)</f>
        <v/>
      </c>
      <c r="S195" s="91">
        <f>IF($E195="","",M195*K195)</f>
        <v/>
      </c>
      <c r="T195" s="63">
        <f>IF(OR($E195="",B195=0),"",L195/B195*10000)</f>
        <v/>
      </c>
      <c r="U195" s="63">
        <f>IF(OR($E195="",C195=0),"",F195/C195*10000)</f>
        <v/>
      </c>
      <c r="V195" s="63">
        <f>IF(OR($E195="",D195=0),"",M195/D195*10000)</f>
        <v/>
      </c>
    </row>
    <row r="196">
      <c r="A196" s="35" t="n">
        <v>45850</v>
      </c>
      <c r="B196" s="90">
        <f>'Daily Data'!B196</f>
        <v/>
      </c>
      <c r="C196" s="90">
        <f>'Daily Data'!D196</f>
        <v/>
      </c>
      <c r="D196" s="90">
        <f>'Daily Data'!C196</f>
        <v/>
      </c>
      <c r="E196" s="90">
        <f>IF('Daily Data'!E196="","",'Daily Data'!E196)</f>
        <v/>
      </c>
      <c r="F196" s="90">
        <f>IF($E196="","",'Daily Data'!F196)</f>
        <v/>
      </c>
      <c r="G196" s="90">
        <f>IF($E196="","",'Daily Data'!G196)</f>
        <v/>
      </c>
      <c r="H196" s="91">
        <f>IF($E196="","",(1-K196)*F196-G196)</f>
        <v/>
      </c>
      <c r="I196" s="90">
        <f>IF($E196="","",'Daily Data'!H196)</f>
        <v/>
      </c>
      <c r="J196" s="91">
        <f>IF($E196="","",E196-H196-I196)</f>
        <v/>
      </c>
      <c r="K196" s="60">
        <f>IF($E196="","",IF(A196&lt;HLP_ChangeDate,HLP_Legacy,HLP_Current))</f>
        <v/>
      </c>
      <c r="L196" s="91">
        <f>IF($E196="","",J196/(1-K196))</f>
        <v/>
      </c>
      <c r="M196" s="90">
        <f>IF($E196="","",'Daily Data'!I196)</f>
        <v/>
      </c>
      <c r="N196" s="91">
        <f>IF($E196="","",M196*(1-K196)-I196)</f>
        <v/>
      </c>
      <c r="O196" s="92" t="inlineStr"/>
      <c r="P196" s="93">
        <f>IF($E196="","",(L196+F196+M196)*K196)</f>
        <v/>
      </c>
      <c r="Q196" s="91">
        <f>IF($E196="","",L196*K196)</f>
        <v/>
      </c>
      <c r="R196" s="91">
        <f>IF($E196="","",F196*K196)</f>
        <v/>
      </c>
      <c r="S196" s="91">
        <f>IF($E196="","",M196*K196)</f>
        <v/>
      </c>
      <c r="T196" s="63">
        <f>IF(OR($E196="",B196=0),"",L196/B196*10000)</f>
        <v/>
      </c>
      <c r="U196" s="63">
        <f>IF(OR($E196="",C196=0),"",F196/C196*10000)</f>
        <v/>
      </c>
      <c r="V196" s="63">
        <f>IF(OR($E196="",D196=0),"",M196/D196*10000)</f>
        <v/>
      </c>
    </row>
    <row r="197">
      <c r="A197" s="35" t="n">
        <v>45851</v>
      </c>
      <c r="B197" s="90">
        <f>'Daily Data'!B197</f>
        <v/>
      </c>
      <c r="C197" s="90">
        <f>'Daily Data'!D197</f>
        <v/>
      </c>
      <c r="D197" s="90">
        <f>'Daily Data'!C197</f>
        <v/>
      </c>
      <c r="E197" s="90">
        <f>IF('Daily Data'!E197="","",'Daily Data'!E197)</f>
        <v/>
      </c>
      <c r="F197" s="90">
        <f>IF($E197="","",'Daily Data'!F197)</f>
        <v/>
      </c>
      <c r="G197" s="90">
        <f>IF($E197="","",'Daily Data'!G197)</f>
        <v/>
      </c>
      <c r="H197" s="91">
        <f>IF($E197="","",(1-K197)*F197-G197)</f>
        <v/>
      </c>
      <c r="I197" s="90">
        <f>IF($E197="","",'Daily Data'!H197)</f>
        <v/>
      </c>
      <c r="J197" s="91">
        <f>IF($E197="","",E197-H197-I197)</f>
        <v/>
      </c>
      <c r="K197" s="60">
        <f>IF($E197="","",IF(A197&lt;HLP_ChangeDate,HLP_Legacy,HLP_Current))</f>
        <v/>
      </c>
      <c r="L197" s="91">
        <f>IF($E197="","",J197/(1-K197))</f>
        <v/>
      </c>
      <c r="M197" s="90">
        <f>IF($E197="","",'Daily Data'!I197)</f>
        <v/>
      </c>
      <c r="N197" s="91">
        <f>IF($E197="","",M197*(1-K197)-I197)</f>
        <v/>
      </c>
      <c r="O197" s="92" t="inlineStr"/>
      <c r="P197" s="93">
        <f>IF($E197="","",(L197+F197+M197)*K197)</f>
        <v/>
      </c>
      <c r="Q197" s="91">
        <f>IF($E197="","",L197*K197)</f>
        <v/>
      </c>
      <c r="R197" s="91">
        <f>IF($E197="","",F197*K197)</f>
        <v/>
      </c>
      <c r="S197" s="91">
        <f>IF($E197="","",M197*K197)</f>
        <v/>
      </c>
      <c r="T197" s="63">
        <f>IF(OR($E197="",B197=0),"",L197/B197*10000)</f>
        <v/>
      </c>
      <c r="U197" s="63">
        <f>IF(OR($E197="",C197=0),"",F197/C197*10000)</f>
        <v/>
      </c>
      <c r="V197" s="63">
        <f>IF(OR($E197="",D197=0),"",M197/D197*10000)</f>
        <v/>
      </c>
    </row>
    <row r="198">
      <c r="A198" s="35" t="n">
        <v>45852</v>
      </c>
      <c r="B198" s="90">
        <f>'Daily Data'!B198</f>
        <v/>
      </c>
      <c r="C198" s="90">
        <f>'Daily Data'!D198</f>
        <v/>
      </c>
      <c r="D198" s="90">
        <f>'Daily Data'!C198</f>
        <v/>
      </c>
      <c r="E198" s="90">
        <f>IF('Daily Data'!E198="","",'Daily Data'!E198)</f>
        <v/>
      </c>
      <c r="F198" s="90">
        <f>IF($E198="","",'Daily Data'!F198)</f>
        <v/>
      </c>
      <c r="G198" s="90">
        <f>IF($E198="","",'Daily Data'!G198)</f>
        <v/>
      </c>
      <c r="H198" s="91">
        <f>IF($E198="","",(1-K198)*F198-G198)</f>
        <v/>
      </c>
      <c r="I198" s="90">
        <f>IF($E198="","",'Daily Data'!H198)</f>
        <v/>
      </c>
      <c r="J198" s="91">
        <f>IF($E198="","",E198-H198-I198)</f>
        <v/>
      </c>
      <c r="K198" s="60">
        <f>IF($E198="","",IF(A198&lt;HLP_ChangeDate,HLP_Legacy,HLP_Current))</f>
        <v/>
      </c>
      <c r="L198" s="91">
        <f>IF($E198="","",J198/(1-K198))</f>
        <v/>
      </c>
      <c r="M198" s="90">
        <f>IF($E198="","",'Daily Data'!I198)</f>
        <v/>
      </c>
      <c r="N198" s="91">
        <f>IF($E198="","",M198*(1-K198)-I198)</f>
        <v/>
      </c>
      <c r="O198" s="92" t="inlineStr"/>
      <c r="P198" s="93">
        <f>IF($E198="","",(L198+F198+M198)*K198)</f>
        <v/>
      </c>
      <c r="Q198" s="91">
        <f>IF($E198="","",L198*K198)</f>
        <v/>
      </c>
      <c r="R198" s="91">
        <f>IF($E198="","",F198*K198)</f>
        <v/>
      </c>
      <c r="S198" s="91">
        <f>IF($E198="","",M198*K198)</f>
        <v/>
      </c>
      <c r="T198" s="63">
        <f>IF(OR($E198="",B198=0),"",L198/B198*10000)</f>
        <v/>
      </c>
      <c r="U198" s="63">
        <f>IF(OR($E198="",C198=0),"",F198/C198*10000)</f>
        <v/>
      </c>
      <c r="V198" s="63">
        <f>IF(OR($E198="",D198=0),"",M198/D198*10000)</f>
        <v/>
      </c>
    </row>
    <row r="199">
      <c r="A199" s="35" t="n">
        <v>45853</v>
      </c>
      <c r="B199" s="90">
        <f>'Daily Data'!B199</f>
        <v/>
      </c>
      <c r="C199" s="90">
        <f>'Daily Data'!D199</f>
        <v/>
      </c>
      <c r="D199" s="90">
        <f>'Daily Data'!C199</f>
        <v/>
      </c>
      <c r="E199" s="90">
        <f>IF('Daily Data'!E199="","",'Daily Data'!E199)</f>
        <v/>
      </c>
      <c r="F199" s="90">
        <f>IF($E199="","",'Daily Data'!F199)</f>
        <v/>
      </c>
      <c r="G199" s="90">
        <f>IF($E199="","",'Daily Data'!G199)</f>
        <v/>
      </c>
      <c r="H199" s="91">
        <f>IF($E199="","",(1-K199)*F199-G199)</f>
        <v/>
      </c>
      <c r="I199" s="90">
        <f>IF($E199="","",'Daily Data'!H199)</f>
        <v/>
      </c>
      <c r="J199" s="91">
        <f>IF($E199="","",E199-H199-I199)</f>
        <v/>
      </c>
      <c r="K199" s="60">
        <f>IF($E199="","",IF(A199&lt;HLP_ChangeDate,HLP_Legacy,HLP_Current))</f>
        <v/>
      </c>
      <c r="L199" s="91">
        <f>IF($E199="","",J199/(1-K199))</f>
        <v/>
      </c>
      <c r="M199" s="90">
        <f>IF($E199="","",'Daily Data'!I199)</f>
        <v/>
      </c>
      <c r="N199" s="91">
        <f>IF($E199="","",M199*(1-K199)-I199)</f>
        <v/>
      </c>
      <c r="O199" s="92" t="inlineStr"/>
      <c r="P199" s="93">
        <f>IF($E199="","",(L199+F199+M199)*K199)</f>
        <v/>
      </c>
      <c r="Q199" s="91">
        <f>IF($E199="","",L199*K199)</f>
        <v/>
      </c>
      <c r="R199" s="91">
        <f>IF($E199="","",F199*K199)</f>
        <v/>
      </c>
      <c r="S199" s="91">
        <f>IF($E199="","",M199*K199)</f>
        <v/>
      </c>
      <c r="T199" s="63">
        <f>IF(OR($E199="",B199=0),"",L199/B199*10000)</f>
        <v/>
      </c>
      <c r="U199" s="63">
        <f>IF(OR($E199="",C199=0),"",F199/C199*10000)</f>
        <v/>
      </c>
      <c r="V199" s="63">
        <f>IF(OR($E199="",D199=0),"",M199/D199*10000)</f>
        <v/>
      </c>
    </row>
    <row r="200">
      <c r="A200" s="35" t="n">
        <v>45854</v>
      </c>
      <c r="B200" s="90">
        <f>'Daily Data'!B200</f>
        <v/>
      </c>
      <c r="C200" s="90">
        <f>'Daily Data'!D200</f>
        <v/>
      </c>
      <c r="D200" s="90">
        <f>'Daily Data'!C200</f>
        <v/>
      </c>
      <c r="E200" s="90">
        <f>IF('Daily Data'!E200="","",'Daily Data'!E200)</f>
        <v/>
      </c>
      <c r="F200" s="90">
        <f>IF($E200="","",'Daily Data'!F200)</f>
        <v/>
      </c>
      <c r="G200" s="90">
        <f>IF($E200="","",'Daily Data'!G200)</f>
        <v/>
      </c>
      <c r="H200" s="91">
        <f>IF($E200="","",(1-K200)*F200-G200)</f>
        <v/>
      </c>
      <c r="I200" s="90">
        <f>IF($E200="","",'Daily Data'!H200)</f>
        <v/>
      </c>
      <c r="J200" s="91">
        <f>IF($E200="","",E200-H200-I200)</f>
        <v/>
      </c>
      <c r="K200" s="60">
        <f>IF($E200="","",IF(A200&lt;HLP_ChangeDate,HLP_Legacy,HLP_Current))</f>
        <v/>
      </c>
      <c r="L200" s="91">
        <f>IF($E200="","",J200/(1-K200))</f>
        <v/>
      </c>
      <c r="M200" s="90">
        <f>IF($E200="","",'Daily Data'!I200)</f>
        <v/>
      </c>
      <c r="N200" s="91">
        <f>IF($E200="","",M200*(1-K200)-I200)</f>
        <v/>
      </c>
      <c r="O200" s="92" t="inlineStr"/>
      <c r="P200" s="93">
        <f>IF($E200="","",(L200+F200+M200)*K200)</f>
        <v/>
      </c>
      <c r="Q200" s="91">
        <f>IF($E200="","",L200*K200)</f>
        <v/>
      </c>
      <c r="R200" s="91">
        <f>IF($E200="","",F200*K200)</f>
        <v/>
      </c>
      <c r="S200" s="91">
        <f>IF($E200="","",M200*K200)</f>
        <v/>
      </c>
      <c r="T200" s="63">
        <f>IF(OR($E200="",B200=0),"",L200/B200*10000)</f>
        <v/>
      </c>
      <c r="U200" s="63">
        <f>IF(OR($E200="",C200=0),"",F200/C200*10000)</f>
        <v/>
      </c>
      <c r="V200" s="63">
        <f>IF(OR($E200="",D200=0),"",M200/D200*10000)</f>
        <v/>
      </c>
    </row>
    <row r="201">
      <c r="A201" s="35" t="n">
        <v>45855</v>
      </c>
      <c r="B201" s="90">
        <f>'Daily Data'!B201</f>
        <v/>
      </c>
      <c r="C201" s="90">
        <f>'Daily Data'!D201</f>
        <v/>
      </c>
      <c r="D201" s="90">
        <f>'Daily Data'!C201</f>
        <v/>
      </c>
      <c r="E201" s="90">
        <f>IF('Daily Data'!E201="","",'Daily Data'!E201)</f>
        <v/>
      </c>
      <c r="F201" s="90">
        <f>IF($E201="","",'Daily Data'!F201)</f>
        <v/>
      </c>
      <c r="G201" s="90">
        <f>IF($E201="","",'Daily Data'!G201)</f>
        <v/>
      </c>
      <c r="H201" s="91">
        <f>IF($E201="","",(1-K201)*F201-G201)</f>
        <v/>
      </c>
      <c r="I201" s="90">
        <f>IF($E201="","",'Daily Data'!H201)</f>
        <v/>
      </c>
      <c r="J201" s="91">
        <f>IF($E201="","",E201-H201-I201)</f>
        <v/>
      </c>
      <c r="K201" s="60">
        <f>IF($E201="","",IF(A201&lt;HLP_ChangeDate,HLP_Legacy,HLP_Current))</f>
        <v/>
      </c>
      <c r="L201" s="91">
        <f>IF($E201="","",J201/(1-K201))</f>
        <v/>
      </c>
      <c r="M201" s="90">
        <f>IF($E201="","",'Daily Data'!I201)</f>
        <v/>
      </c>
      <c r="N201" s="91">
        <f>IF($E201="","",M201*(1-K201)-I201)</f>
        <v/>
      </c>
      <c r="O201" s="92" t="inlineStr"/>
      <c r="P201" s="93">
        <f>IF($E201="","",(L201+F201+M201)*K201)</f>
        <v/>
      </c>
      <c r="Q201" s="91">
        <f>IF($E201="","",L201*K201)</f>
        <v/>
      </c>
      <c r="R201" s="91">
        <f>IF($E201="","",F201*K201)</f>
        <v/>
      </c>
      <c r="S201" s="91">
        <f>IF($E201="","",M201*K201)</f>
        <v/>
      </c>
      <c r="T201" s="63">
        <f>IF(OR($E201="",B201=0),"",L201/B201*10000)</f>
        <v/>
      </c>
      <c r="U201" s="63">
        <f>IF(OR($E201="",C201=0),"",F201/C201*10000)</f>
        <v/>
      </c>
      <c r="V201" s="63">
        <f>IF(OR($E201="",D201=0),"",M201/D201*10000)</f>
        <v/>
      </c>
    </row>
    <row r="202">
      <c r="A202" s="35" t="n">
        <v>45856</v>
      </c>
      <c r="B202" s="90">
        <f>'Daily Data'!B202</f>
        <v/>
      </c>
      <c r="C202" s="90">
        <f>'Daily Data'!D202</f>
        <v/>
      </c>
      <c r="D202" s="90">
        <f>'Daily Data'!C202</f>
        <v/>
      </c>
      <c r="E202" s="90">
        <f>IF('Daily Data'!E202="","",'Daily Data'!E202)</f>
        <v/>
      </c>
      <c r="F202" s="90">
        <f>IF($E202="","",'Daily Data'!F202)</f>
        <v/>
      </c>
      <c r="G202" s="90">
        <f>IF($E202="","",'Daily Data'!G202)</f>
        <v/>
      </c>
      <c r="H202" s="91">
        <f>IF($E202="","",(1-K202)*F202-G202)</f>
        <v/>
      </c>
      <c r="I202" s="90">
        <f>IF($E202="","",'Daily Data'!H202)</f>
        <v/>
      </c>
      <c r="J202" s="91">
        <f>IF($E202="","",E202-H202-I202)</f>
        <v/>
      </c>
      <c r="K202" s="60">
        <f>IF($E202="","",IF(A202&lt;HLP_ChangeDate,HLP_Legacy,HLP_Current))</f>
        <v/>
      </c>
      <c r="L202" s="91">
        <f>IF($E202="","",J202/(1-K202))</f>
        <v/>
      </c>
      <c r="M202" s="90">
        <f>IF($E202="","",'Daily Data'!I202)</f>
        <v/>
      </c>
      <c r="N202" s="91">
        <f>IF($E202="","",M202*(1-K202)-I202)</f>
        <v/>
      </c>
      <c r="O202" s="92" t="inlineStr"/>
      <c r="P202" s="93">
        <f>IF($E202="","",(L202+F202+M202)*K202)</f>
        <v/>
      </c>
      <c r="Q202" s="91">
        <f>IF($E202="","",L202*K202)</f>
        <v/>
      </c>
      <c r="R202" s="91">
        <f>IF($E202="","",F202*K202)</f>
        <v/>
      </c>
      <c r="S202" s="91">
        <f>IF($E202="","",M202*K202)</f>
        <v/>
      </c>
      <c r="T202" s="63">
        <f>IF(OR($E202="",B202=0),"",L202/B202*10000)</f>
        <v/>
      </c>
      <c r="U202" s="63">
        <f>IF(OR($E202="",C202=0),"",F202/C202*10000)</f>
        <v/>
      </c>
      <c r="V202" s="63">
        <f>IF(OR($E202="",D202=0),"",M202/D202*10000)</f>
        <v/>
      </c>
    </row>
    <row r="203">
      <c r="A203" s="35" t="n">
        <v>45857</v>
      </c>
      <c r="B203" s="90">
        <f>'Daily Data'!B203</f>
        <v/>
      </c>
      <c r="C203" s="90">
        <f>'Daily Data'!D203</f>
        <v/>
      </c>
      <c r="D203" s="90">
        <f>'Daily Data'!C203</f>
        <v/>
      </c>
      <c r="E203" s="90">
        <f>IF('Daily Data'!E203="","",'Daily Data'!E203)</f>
        <v/>
      </c>
      <c r="F203" s="90">
        <f>IF($E203="","",'Daily Data'!F203)</f>
        <v/>
      </c>
      <c r="G203" s="90">
        <f>IF($E203="","",'Daily Data'!G203)</f>
        <v/>
      </c>
      <c r="H203" s="91">
        <f>IF($E203="","",(1-K203)*F203-G203)</f>
        <v/>
      </c>
      <c r="I203" s="90">
        <f>IF($E203="","",'Daily Data'!H203)</f>
        <v/>
      </c>
      <c r="J203" s="91">
        <f>IF($E203="","",E203-H203-I203)</f>
        <v/>
      </c>
      <c r="K203" s="60">
        <f>IF($E203="","",IF(A203&lt;HLP_ChangeDate,HLP_Legacy,HLP_Current))</f>
        <v/>
      </c>
      <c r="L203" s="91">
        <f>IF($E203="","",J203/(1-K203))</f>
        <v/>
      </c>
      <c r="M203" s="90">
        <f>IF($E203="","",'Daily Data'!I203)</f>
        <v/>
      </c>
      <c r="N203" s="91">
        <f>IF($E203="","",M203*(1-K203)-I203)</f>
        <v/>
      </c>
      <c r="O203" s="92" t="inlineStr"/>
      <c r="P203" s="93">
        <f>IF($E203="","",(L203+F203+M203)*K203)</f>
        <v/>
      </c>
      <c r="Q203" s="91">
        <f>IF($E203="","",L203*K203)</f>
        <v/>
      </c>
      <c r="R203" s="91">
        <f>IF($E203="","",F203*K203)</f>
        <v/>
      </c>
      <c r="S203" s="91">
        <f>IF($E203="","",M203*K203)</f>
        <v/>
      </c>
      <c r="T203" s="63">
        <f>IF(OR($E203="",B203=0),"",L203/B203*10000)</f>
        <v/>
      </c>
      <c r="U203" s="63">
        <f>IF(OR($E203="",C203=0),"",F203/C203*10000)</f>
        <v/>
      </c>
      <c r="V203" s="63">
        <f>IF(OR($E203="",D203=0),"",M203/D203*10000)</f>
        <v/>
      </c>
    </row>
    <row r="204">
      <c r="A204" s="35" t="n">
        <v>45858</v>
      </c>
      <c r="B204" s="90">
        <f>'Daily Data'!B204</f>
        <v/>
      </c>
      <c r="C204" s="90">
        <f>'Daily Data'!D204</f>
        <v/>
      </c>
      <c r="D204" s="90">
        <f>'Daily Data'!C204</f>
        <v/>
      </c>
      <c r="E204" s="90">
        <f>IF('Daily Data'!E204="","",'Daily Data'!E204)</f>
        <v/>
      </c>
      <c r="F204" s="90">
        <f>IF($E204="","",'Daily Data'!F204)</f>
        <v/>
      </c>
      <c r="G204" s="90">
        <f>IF($E204="","",'Daily Data'!G204)</f>
        <v/>
      </c>
      <c r="H204" s="91">
        <f>IF($E204="","",(1-K204)*F204-G204)</f>
        <v/>
      </c>
      <c r="I204" s="90">
        <f>IF($E204="","",'Daily Data'!H204)</f>
        <v/>
      </c>
      <c r="J204" s="91">
        <f>IF($E204="","",E204-H204-I204)</f>
        <v/>
      </c>
      <c r="K204" s="60">
        <f>IF($E204="","",IF(A204&lt;HLP_ChangeDate,HLP_Legacy,HLP_Current))</f>
        <v/>
      </c>
      <c r="L204" s="91">
        <f>IF($E204="","",J204/(1-K204))</f>
        <v/>
      </c>
      <c r="M204" s="90">
        <f>IF($E204="","",'Daily Data'!I204)</f>
        <v/>
      </c>
      <c r="N204" s="91">
        <f>IF($E204="","",M204*(1-K204)-I204)</f>
        <v/>
      </c>
      <c r="O204" s="92" t="inlineStr"/>
      <c r="P204" s="93">
        <f>IF($E204="","",(L204+F204+M204)*K204)</f>
        <v/>
      </c>
      <c r="Q204" s="91">
        <f>IF($E204="","",L204*K204)</f>
        <v/>
      </c>
      <c r="R204" s="91">
        <f>IF($E204="","",F204*K204)</f>
        <v/>
      </c>
      <c r="S204" s="91">
        <f>IF($E204="","",M204*K204)</f>
        <v/>
      </c>
      <c r="T204" s="63">
        <f>IF(OR($E204="",B204=0),"",L204/B204*10000)</f>
        <v/>
      </c>
      <c r="U204" s="63">
        <f>IF(OR($E204="",C204=0),"",F204/C204*10000)</f>
        <v/>
      </c>
      <c r="V204" s="63">
        <f>IF(OR($E204="",D204=0),"",M204/D204*10000)</f>
        <v/>
      </c>
    </row>
    <row r="205">
      <c r="A205" s="35" t="n">
        <v>45859</v>
      </c>
      <c r="B205" s="90">
        <f>'Daily Data'!B205</f>
        <v/>
      </c>
      <c r="C205" s="90">
        <f>'Daily Data'!D205</f>
        <v/>
      </c>
      <c r="D205" s="90">
        <f>'Daily Data'!C205</f>
        <v/>
      </c>
      <c r="E205" s="90">
        <f>IF('Daily Data'!E205="","",'Daily Data'!E205)</f>
        <v/>
      </c>
      <c r="F205" s="90">
        <f>IF($E205="","",'Daily Data'!F205)</f>
        <v/>
      </c>
      <c r="G205" s="90">
        <f>IF($E205="","",'Daily Data'!G205)</f>
        <v/>
      </c>
      <c r="H205" s="91">
        <f>IF($E205="","",(1-K205)*F205-G205)</f>
        <v/>
      </c>
      <c r="I205" s="90">
        <f>IF($E205="","",'Daily Data'!H205)</f>
        <v/>
      </c>
      <c r="J205" s="91">
        <f>IF($E205="","",E205-H205-I205)</f>
        <v/>
      </c>
      <c r="K205" s="60">
        <f>IF($E205="","",IF(A205&lt;HLP_ChangeDate,HLP_Legacy,HLP_Current))</f>
        <v/>
      </c>
      <c r="L205" s="91">
        <f>IF($E205="","",J205/(1-K205))</f>
        <v/>
      </c>
      <c r="M205" s="90">
        <f>IF($E205="","",'Daily Data'!I205)</f>
        <v/>
      </c>
      <c r="N205" s="91">
        <f>IF($E205="","",M205*(1-K205)-I205)</f>
        <v/>
      </c>
      <c r="O205" s="92" t="inlineStr"/>
      <c r="P205" s="93">
        <f>IF($E205="","",(L205+F205+M205)*K205)</f>
        <v/>
      </c>
      <c r="Q205" s="91">
        <f>IF($E205="","",L205*K205)</f>
        <v/>
      </c>
      <c r="R205" s="91">
        <f>IF($E205="","",F205*K205)</f>
        <v/>
      </c>
      <c r="S205" s="91">
        <f>IF($E205="","",M205*K205)</f>
        <v/>
      </c>
      <c r="T205" s="63">
        <f>IF(OR($E205="",B205=0),"",L205/B205*10000)</f>
        <v/>
      </c>
      <c r="U205" s="63">
        <f>IF(OR($E205="",C205=0),"",F205/C205*10000)</f>
        <v/>
      </c>
      <c r="V205" s="63">
        <f>IF(OR($E205="",D205=0),"",M205/D205*10000)</f>
        <v/>
      </c>
    </row>
    <row r="206">
      <c r="A206" s="35" t="n">
        <v>45860</v>
      </c>
      <c r="B206" s="90">
        <f>'Daily Data'!B206</f>
        <v/>
      </c>
      <c r="C206" s="90">
        <f>'Daily Data'!D206</f>
        <v/>
      </c>
      <c r="D206" s="90">
        <f>'Daily Data'!C206</f>
        <v/>
      </c>
      <c r="E206" s="90">
        <f>IF('Daily Data'!E206="","",'Daily Data'!E206)</f>
        <v/>
      </c>
      <c r="F206" s="90">
        <f>IF($E206="","",'Daily Data'!F206)</f>
        <v/>
      </c>
      <c r="G206" s="90">
        <f>IF($E206="","",'Daily Data'!G206)</f>
        <v/>
      </c>
      <c r="H206" s="91">
        <f>IF($E206="","",(1-K206)*F206-G206)</f>
        <v/>
      </c>
      <c r="I206" s="90">
        <f>IF($E206="","",'Daily Data'!H206)</f>
        <v/>
      </c>
      <c r="J206" s="91">
        <f>IF($E206="","",E206-H206-I206)</f>
        <v/>
      </c>
      <c r="K206" s="60">
        <f>IF($E206="","",IF(A206&lt;HLP_ChangeDate,HLP_Legacy,HLP_Current))</f>
        <v/>
      </c>
      <c r="L206" s="91">
        <f>IF($E206="","",J206/(1-K206))</f>
        <v/>
      </c>
      <c r="M206" s="90">
        <f>IF($E206="","",'Daily Data'!I206)</f>
        <v/>
      </c>
      <c r="N206" s="91">
        <f>IF($E206="","",M206*(1-K206)-I206)</f>
        <v/>
      </c>
      <c r="O206" s="92" t="inlineStr"/>
      <c r="P206" s="93">
        <f>IF($E206="","",(L206+F206+M206)*K206)</f>
        <v/>
      </c>
      <c r="Q206" s="91">
        <f>IF($E206="","",L206*K206)</f>
        <v/>
      </c>
      <c r="R206" s="91">
        <f>IF($E206="","",F206*K206)</f>
        <v/>
      </c>
      <c r="S206" s="91">
        <f>IF($E206="","",M206*K206)</f>
        <v/>
      </c>
      <c r="T206" s="63">
        <f>IF(OR($E206="",B206=0),"",L206/B206*10000)</f>
        <v/>
      </c>
      <c r="U206" s="63">
        <f>IF(OR($E206="",C206=0),"",F206/C206*10000)</f>
        <v/>
      </c>
      <c r="V206" s="63">
        <f>IF(OR($E206="",D206=0),"",M206/D206*10000)</f>
        <v/>
      </c>
    </row>
    <row r="207">
      <c r="A207" s="35" t="n">
        <v>45861</v>
      </c>
      <c r="B207" s="90">
        <f>'Daily Data'!B207</f>
        <v/>
      </c>
      <c r="C207" s="90">
        <f>'Daily Data'!D207</f>
        <v/>
      </c>
      <c r="D207" s="90">
        <f>'Daily Data'!C207</f>
        <v/>
      </c>
      <c r="E207" s="90">
        <f>IF('Daily Data'!E207="","",'Daily Data'!E207)</f>
        <v/>
      </c>
      <c r="F207" s="90">
        <f>IF($E207="","",'Daily Data'!F207)</f>
        <v/>
      </c>
      <c r="G207" s="90">
        <f>IF($E207="","",'Daily Data'!G207)</f>
        <v/>
      </c>
      <c r="H207" s="91">
        <f>IF($E207="","",(1-K207)*F207-G207)</f>
        <v/>
      </c>
      <c r="I207" s="90">
        <f>IF($E207="","",'Daily Data'!H207)</f>
        <v/>
      </c>
      <c r="J207" s="91">
        <f>IF($E207="","",E207-H207-I207)</f>
        <v/>
      </c>
      <c r="K207" s="60">
        <f>IF($E207="","",IF(A207&lt;HLP_ChangeDate,HLP_Legacy,HLP_Current))</f>
        <v/>
      </c>
      <c r="L207" s="91">
        <f>IF($E207="","",J207/(1-K207))</f>
        <v/>
      </c>
      <c r="M207" s="90">
        <f>IF($E207="","",'Daily Data'!I207)</f>
        <v/>
      </c>
      <c r="N207" s="91">
        <f>IF($E207="","",M207*(1-K207)-I207)</f>
        <v/>
      </c>
      <c r="O207" s="92" t="inlineStr"/>
      <c r="P207" s="93">
        <f>IF($E207="","",(L207+F207+M207)*K207)</f>
        <v/>
      </c>
      <c r="Q207" s="91">
        <f>IF($E207="","",L207*K207)</f>
        <v/>
      </c>
      <c r="R207" s="91">
        <f>IF($E207="","",F207*K207)</f>
        <v/>
      </c>
      <c r="S207" s="91">
        <f>IF($E207="","",M207*K207)</f>
        <v/>
      </c>
      <c r="T207" s="63">
        <f>IF(OR($E207="",B207=0),"",L207/B207*10000)</f>
        <v/>
      </c>
      <c r="U207" s="63">
        <f>IF(OR($E207="",C207=0),"",F207/C207*10000)</f>
        <v/>
      </c>
      <c r="V207" s="63">
        <f>IF(OR($E207="",D207=0),"",M207/D207*10000)</f>
        <v/>
      </c>
    </row>
    <row r="208">
      <c r="A208" s="35" t="n">
        <v>45862</v>
      </c>
      <c r="B208" s="90">
        <f>'Daily Data'!B208</f>
        <v/>
      </c>
      <c r="C208" s="90">
        <f>'Daily Data'!D208</f>
        <v/>
      </c>
      <c r="D208" s="90">
        <f>'Daily Data'!C208</f>
        <v/>
      </c>
      <c r="E208" s="90">
        <f>IF('Daily Data'!E208="","",'Daily Data'!E208)</f>
        <v/>
      </c>
      <c r="F208" s="90">
        <f>IF($E208="","",'Daily Data'!F208)</f>
        <v/>
      </c>
      <c r="G208" s="90">
        <f>IF($E208="","",'Daily Data'!G208)</f>
        <v/>
      </c>
      <c r="H208" s="91">
        <f>IF($E208="","",(1-K208)*F208-G208)</f>
        <v/>
      </c>
      <c r="I208" s="90">
        <f>IF($E208="","",'Daily Data'!H208)</f>
        <v/>
      </c>
      <c r="J208" s="91">
        <f>IF($E208="","",E208-H208-I208)</f>
        <v/>
      </c>
      <c r="K208" s="60">
        <f>IF($E208="","",IF(A208&lt;HLP_ChangeDate,HLP_Legacy,HLP_Current))</f>
        <v/>
      </c>
      <c r="L208" s="91">
        <f>IF($E208="","",J208/(1-K208))</f>
        <v/>
      </c>
      <c r="M208" s="90">
        <f>IF($E208="","",'Daily Data'!I208)</f>
        <v/>
      </c>
      <c r="N208" s="91">
        <f>IF($E208="","",M208*(1-K208)-I208)</f>
        <v/>
      </c>
      <c r="O208" s="92" t="inlineStr"/>
      <c r="P208" s="93">
        <f>IF($E208="","",(L208+F208+M208)*K208)</f>
        <v/>
      </c>
      <c r="Q208" s="91">
        <f>IF($E208="","",L208*K208)</f>
        <v/>
      </c>
      <c r="R208" s="91">
        <f>IF($E208="","",F208*K208)</f>
        <v/>
      </c>
      <c r="S208" s="91">
        <f>IF($E208="","",M208*K208)</f>
        <v/>
      </c>
      <c r="T208" s="63">
        <f>IF(OR($E208="",B208=0),"",L208/B208*10000)</f>
        <v/>
      </c>
      <c r="U208" s="63">
        <f>IF(OR($E208="",C208=0),"",F208/C208*10000)</f>
        <v/>
      </c>
      <c r="V208" s="63">
        <f>IF(OR($E208="",D208=0),"",M208/D208*10000)</f>
        <v/>
      </c>
    </row>
    <row r="209">
      <c r="A209" s="35" t="n">
        <v>45863</v>
      </c>
      <c r="B209" s="90">
        <f>'Daily Data'!B209</f>
        <v/>
      </c>
      <c r="C209" s="90">
        <f>'Daily Data'!D209</f>
        <v/>
      </c>
      <c r="D209" s="90">
        <f>'Daily Data'!C209</f>
        <v/>
      </c>
      <c r="E209" s="90">
        <f>IF('Daily Data'!E209="","",'Daily Data'!E209)</f>
        <v/>
      </c>
      <c r="F209" s="90">
        <f>IF($E209="","",'Daily Data'!F209)</f>
        <v/>
      </c>
      <c r="G209" s="90">
        <f>IF($E209="","",'Daily Data'!G209)</f>
        <v/>
      </c>
      <c r="H209" s="91">
        <f>IF($E209="","",(1-K209)*F209-G209)</f>
        <v/>
      </c>
      <c r="I209" s="90">
        <f>IF($E209="","",'Daily Data'!H209)</f>
        <v/>
      </c>
      <c r="J209" s="91">
        <f>IF($E209="","",E209-H209-I209)</f>
        <v/>
      </c>
      <c r="K209" s="60">
        <f>IF($E209="","",IF(A209&lt;HLP_ChangeDate,HLP_Legacy,HLP_Current))</f>
        <v/>
      </c>
      <c r="L209" s="91">
        <f>IF($E209="","",J209/(1-K209))</f>
        <v/>
      </c>
      <c r="M209" s="90">
        <f>IF($E209="","",'Daily Data'!I209)</f>
        <v/>
      </c>
      <c r="N209" s="91">
        <f>IF($E209="","",M209*(1-K209)-I209)</f>
        <v/>
      </c>
      <c r="O209" s="92" t="inlineStr"/>
      <c r="P209" s="93">
        <f>IF($E209="","",(L209+F209+M209)*K209)</f>
        <v/>
      </c>
      <c r="Q209" s="91">
        <f>IF($E209="","",L209*K209)</f>
        <v/>
      </c>
      <c r="R209" s="91">
        <f>IF($E209="","",F209*K209)</f>
        <v/>
      </c>
      <c r="S209" s="91">
        <f>IF($E209="","",M209*K209)</f>
        <v/>
      </c>
      <c r="T209" s="63">
        <f>IF(OR($E209="",B209=0),"",L209/B209*10000)</f>
        <v/>
      </c>
      <c r="U209" s="63">
        <f>IF(OR($E209="",C209=0),"",F209/C209*10000)</f>
        <v/>
      </c>
      <c r="V209" s="63">
        <f>IF(OR($E209="",D209=0),"",M209/D209*10000)</f>
        <v/>
      </c>
    </row>
    <row r="210">
      <c r="A210" s="35" t="n">
        <v>45864</v>
      </c>
      <c r="B210" s="90">
        <f>'Daily Data'!B210</f>
        <v/>
      </c>
      <c r="C210" s="90">
        <f>'Daily Data'!D210</f>
        <v/>
      </c>
      <c r="D210" s="90">
        <f>'Daily Data'!C210</f>
        <v/>
      </c>
      <c r="E210" s="90">
        <f>IF('Daily Data'!E210="","",'Daily Data'!E210)</f>
        <v/>
      </c>
      <c r="F210" s="90">
        <f>IF($E210="","",'Daily Data'!F210)</f>
        <v/>
      </c>
      <c r="G210" s="90">
        <f>IF($E210="","",'Daily Data'!G210)</f>
        <v/>
      </c>
      <c r="H210" s="91">
        <f>IF($E210="","",(1-K210)*F210-G210)</f>
        <v/>
      </c>
      <c r="I210" s="90">
        <f>IF($E210="","",'Daily Data'!H210)</f>
        <v/>
      </c>
      <c r="J210" s="91">
        <f>IF($E210="","",E210-H210-I210)</f>
        <v/>
      </c>
      <c r="K210" s="60">
        <f>IF($E210="","",IF(A210&lt;HLP_ChangeDate,HLP_Legacy,HLP_Current))</f>
        <v/>
      </c>
      <c r="L210" s="91">
        <f>IF($E210="","",J210/(1-K210))</f>
        <v/>
      </c>
      <c r="M210" s="90">
        <f>IF($E210="","",'Daily Data'!I210)</f>
        <v/>
      </c>
      <c r="N210" s="91">
        <f>IF($E210="","",M210*(1-K210)-I210)</f>
        <v/>
      </c>
      <c r="O210" s="92" t="inlineStr"/>
      <c r="P210" s="93">
        <f>IF($E210="","",(L210+F210+M210)*K210)</f>
        <v/>
      </c>
      <c r="Q210" s="91">
        <f>IF($E210="","",L210*K210)</f>
        <v/>
      </c>
      <c r="R210" s="91">
        <f>IF($E210="","",F210*K210)</f>
        <v/>
      </c>
      <c r="S210" s="91">
        <f>IF($E210="","",M210*K210)</f>
        <v/>
      </c>
      <c r="T210" s="63">
        <f>IF(OR($E210="",B210=0),"",L210/B210*10000)</f>
        <v/>
      </c>
      <c r="U210" s="63">
        <f>IF(OR($E210="",C210=0),"",F210/C210*10000)</f>
        <v/>
      </c>
      <c r="V210" s="63">
        <f>IF(OR($E210="",D210=0),"",M210/D210*10000)</f>
        <v/>
      </c>
    </row>
    <row r="211">
      <c r="A211" s="35" t="n">
        <v>45865</v>
      </c>
      <c r="B211" s="90">
        <f>'Daily Data'!B211</f>
        <v/>
      </c>
      <c r="C211" s="90">
        <f>'Daily Data'!D211</f>
        <v/>
      </c>
      <c r="D211" s="90">
        <f>'Daily Data'!C211</f>
        <v/>
      </c>
      <c r="E211" s="90">
        <f>IF('Daily Data'!E211="","",'Daily Data'!E211)</f>
        <v/>
      </c>
      <c r="F211" s="90">
        <f>IF($E211="","",'Daily Data'!F211)</f>
        <v/>
      </c>
      <c r="G211" s="90">
        <f>IF($E211="","",'Daily Data'!G211)</f>
        <v/>
      </c>
      <c r="H211" s="91">
        <f>IF($E211="","",(1-K211)*F211-G211)</f>
        <v/>
      </c>
      <c r="I211" s="90">
        <f>IF($E211="","",'Daily Data'!H211)</f>
        <v/>
      </c>
      <c r="J211" s="91">
        <f>IF($E211="","",E211-H211-I211)</f>
        <v/>
      </c>
      <c r="K211" s="60">
        <f>IF($E211="","",IF(A211&lt;HLP_ChangeDate,HLP_Legacy,HLP_Current))</f>
        <v/>
      </c>
      <c r="L211" s="91">
        <f>IF($E211="","",J211/(1-K211))</f>
        <v/>
      </c>
      <c r="M211" s="90">
        <f>IF($E211="","",'Daily Data'!I211)</f>
        <v/>
      </c>
      <c r="N211" s="91">
        <f>IF($E211="","",M211*(1-K211)-I211)</f>
        <v/>
      </c>
      <c r="O211" s="92" t="inlineStr"/>
      <c r="P211" s="93">
        <f>IF($E211="","",(L211+F211+M211)*K211)</f>
        <v/>
      </c>
      <c r="Q211" s="91">
        <f>IF($E211="","",L211*K211)</f>
        <v/>
      </c>
      <c r="R211" s="91">
        <f>IF($E211="","",F211*K211)</f>
        <v/>
      </c>
      <c r="S211" s="91">
        <f>IF($E211="","",M211*K211)</f>
        <v/>
      </c>
      <c r="T211" s="63">
        <f>IF(OR($E211="",B211=0),"",L211/B211*10000)</f>
        <v/>
      </c>
      <c r="U211" s="63">
        <f>IF(OR($E211="",C211=0),"",F211/C211*10000)</f>
        <v/>
      </c>
      <c r="V211" s="63">
        <f>IF(OR($E211="",D211=0),"",M211/D211*10000)</f>
        <v/>
      </c>
    </row>
    <row r="212">
      <c r="A212" s="35" t="n">
        <v>45866</v>
      </c>
      <c r="B212" s="90">
        <f>'Daily Data'!B212</f>
        <v/>
      </c>
      <c r="C212" s="90">
        <f>'Daily Data'!D212</f>
        <v/>
      </c>
      <c r="D212" s="90">
        <f>'Daily Data'!C212</f>
        <v/>
      </c>
      <c r="E212" s="90">
        <f>IF('Daily Data'!E212="","",'Daily Data'!E212)</f>
        <v/>
      </c>
      <c r="F212" s="90">
        <f>IF($E212="","",'Daily Data'!F212)</f>
        <v/>
      </c>
      <c r="G212" s="90">
        <f>IF($E212="","",'Daily Data'!G212)</f>
        <v/>
      </c>
      <c r="H212" s="91">
        <f>IF($E212="","",(1-K212)*F212-G212)</f>
        <v/>
      </c>
      <c r="I212" s="90">
        <f>IF($E212="","",'Daily Data'!H212)</f>
        <v/>
      </c>
      <c r="J212" s="91">
        <f>IF($E212="","",E212-H212-I212)</f>
        <v/>
      </c>
      <c r="K212" s="60">
        <f>IF($E212="","",IF(A212&lt;HLP_ChangeDate,HLP_Legacy,HLP_Current))</f>
        <v/>
      </c>
      <c r="L212" s="91">
        <f>IF($E212="","",J212/(1-K212))</f>
        <v/>
      </c>
      <c r="M212" s="90">
        <f>IF($E212="","",'Daily Data'!I212)</f>
        <v/>
      </c>
      <c r="N212" s="91">
        <f>IF($E212="","",M212*(1-K212)-I212)</f>
        <v/>
      </c>
      <c r="O212" s="92" t="inlineStr"/>
      <c r="P212" s="93">
        <f>IF($E212="","",(L212+F212+M212)*K212)</f>
        <v/>
      </c>
      <c r="Q212" s="91">
        <f>IF($E212="","",L212*K212)</f>
        <v/>
      </c>
      <c r="R212" s="91">
        <f>IF($E212="","",F212*K212)</f>
        <v/>
      </c>
      <c r="S212" s="91">
        <f>IF($E212="","",M212*K212)</f>
        <v/>
      </c>
      <c r="T212" s="63">
        <f>IF(OR($E212="",B212=0),"",L212/B212*10000)</f>
        <v/>
      </c>
      <c r="U212" s="63">
        <f>IF(OR($E212="",C212=0),"",F212/C212*10000)</f>
        <v/>
      </c>
      <c r="V212" s="63">
        <f>IF(OR($E212="",D212=0),"",M212/D212*10000)</f>
        <v/>
      </c>
    </row>
    <row r="213">
      <c r="A213" s="35" t="n">
        <v>45867</v>
      </c>
      <c r="B213" s="90">
        <f>'Daily Data'!B213</f>
        <v/>
      </c>
      <c r="C213" s="90">
        <f>'Daily Data'!D213</f>
        <v/>
      </c>
      <c r="D213" s="90">
        <f>'Daily Data'!C213</f>
        <v/>
      </c>
      <c r="E213" s="90">
        <f>IF('Daily Data'!E213="","",'Daily Data'!E213)</f>
        <v/>
      </c>
      <c r="F213" s="90">
        <f>IF($E213="","",'Daily Data'!F213)</f>
        <v/>
      </c>
      <c r="G213" s="90">
        <f>IF($E213="","",'Daily Data'!G213)</f>
        <v/>
      </c>
      <c r="H213" s="91">
        <f>IF($E213="","",(1-K213)*F213-G213)</f>
        <v/>
      </c>
      <c r="I213" s="90">
        <f>IF($E213="","",'Daily Data'!H213)</f>
        <v/>
      </c>
      <c r="J213" s="91">
        <f>IF($E213="","",E213-H213-I213)</f>
        <v/>
      </c>
      <c r="K213" s="60">
        <f>IF($E213="","",IF(A213&lt;HLP_ChangeDate,HLP_Legacy,HLP_Current))</f>
        <v/>
      </c>
      <c r="L213" s="91">
        <f>IF($E213="","",J213/(1-K213))</f>
        <v/>
      </c>
      <c r="M213" s="90">
        <f>IF($E213="","",'Daily Data'!I213)</f>
        <v/>
      </c>
      <c r="N213" s="91">
        <f>IF($E213="","",M213*(1-K213)-I213)</f>
        <v/>
      </c>
      <c r="O213" s="92" t="inlineStr"/>
      <c r="P213" s="93">
        <f>IF($E213="","",(L213+F213+M213)*K213)</f>
        <v/>
      </c>
      <c r="Q213" s="91">
        <f>IF($E213="","",L213*K213)</f>
        <v/>
      </c>
      <c r="R213" s="91">
        <f>IF($E213="","",F213*K213)</f>
        <v/>
      </c>
      <c r="S213" s="91">
        <f>IF($E213="","",M213*K213)</f>
        <v/>
      </c>
      <c r="T213" s="63">
        <f>IF(OR($E213="",B213=0),"",L213/B213*10000)</f>
        <v/>
      </c>
      <c r="U213" s="63">
        <f>IF(OR($E213="",C213=0),"",F213/C213*10000)</f>
        <v/>
      </c>
      <c r="V213" s="63">
        <f>IF(OR($E213="",D213=0),"",M213/D213*10000)</f>
        <v/>
      </c>
    </row>
    <row r="214">
      <c r="A214" s="35" t="n">
        <v>45868</v>
      </c>
      <c r="B214" s="90">
        <f>'Daily Data'!B214</f>
        <v/>
      </c>
      <c r="C214" s="90">
        <f>'Daily Data'!D214</f>
        <v/>
      </c>
      <c r="D214" s="90">
        <f>'Daily Data'!C214</f>
        <v/>
      </c>
      <c r="E214" s="90">
        <f>IF('Daily Data'!E214="","",'Daily Data'!E214)</f>
        <v/>
      </c>
      <c r="F214" s="90">
        <f>IF($E214="","",'Daily Data'!F214)</f>
        <v/>
      </c>
      <c r="G214" s="90">
        <f>IF($E214="","",'Daily Data'!G214)</f>
        <v/>
      </c>
      <c r="H214" s="91">
        <f>IF($E214="","",(1-K214)*F214-G214)</f>
        <v/>
      </c>
      <c r="I214" s="90">
        <f>IF($E214="","",'Daily Data'!H214)</f>
        <v/>
      </c>
      <c r="J214" s="91">
        <f>IF($E214="","",E214-H214-I214)</f>
        <v/>
      </c>
      <c r="K214" s="60">
        <f>IF($E214="","",IF(A214&lt;HLP_ChangeDate,HLP_Legacy,HLP_Current))</f>
        <v/>
      </c>
      <c r="L214" s="91">
        <f>IF($E214="","",J214/(1-K214))</f>
        <v/>
      </c>
      <c r="M214" s="90">
        <f>IF($E214="","",'Daily Data'!I214)</f>
        <v/>
      </c>
      <c r="N214" s="91">
        <f>IF($E214="","",M214*(1-K214)-I214)</f>
        <v/>
      </c>
      <c r="O214" s="92" t="inlineStr"/>
      <c r="P214" s="93">
        <f>IF($E214="","",(L214+F214+M214)*K214)</f>
        <v/>
      </c>
      <c r="Q214" s="91">
        <f>IF($E214="","",L214*K214)</f>
        <v/>
      </c>
      <c r="R214" s="91">
        <f>IF($E214="","",F214*K214)</f>
        <v/>
      </c>
      <c r="S214" s="91">
        <f>IF($E214="","",M214*K214)</f>
        <v/>
      </c>
      <c r="T214" s="63">
        <f>IF(OR($E214="",B214=0),"",L214/B214*10000)</f>
        <v/>
      </c>
      <c r="U214" s="63">
        <f>IF(OR($E214="",C214=0),"",F214/C214*10000)</f>
        <v/>
      </c>
      <c r="V214" s="63">
        <f>IF(OR($E214="",D214=0),"",M214/D214*10000)</f>
        <v/>
      </c>
    </row>
    <row r="215">
      <c r="A215" s="35" t="n">
        <v>45869</v>
      </c>
      <c r="B215" s="90">
        <f>'Daily Data'!B215</f>
        <v/>
      </c>
      <c r="C215" s="90">
        <f>'Daily Data'!D215</f>
        <v/>
      </c>
      <c r="D215" s="90">
        <f>'Daily Data'!C215</f>
        <v/>
      </c>
      <c r="E215" s="90">
        <f>IF('Daily Data'!E215="","",'Daily Data'!E215)</f>
        <v/>
      </c>
      <c r="F215" s="90">
        <f>IF($E215="","",'Daily Data'!F215)</f>
        <v/>
      </c>
      <c r="G215" s="90">
        <f>IF($E215="","",'Daily Data'!G215)</f>
        <v/>
      </c>
      <c r="H215" s="91">
        <f>IF($E215="","",(1-K215)*F215-G215)</f>
        <v/>
      </c>
      <c r="I215" s="90">
        <f>IF($E215="","",'Daily Data'!H215)</f>
        <v/>
      </c>
      <c r="J215" s="91">
        <f>IF($E215="","",E215-H215-I215)</f>
        <v/>
      </c>
      <c r="K215" s="60">
        <f>IF($E215="","",IF(A215&lt;HLP_ChangeDate,HLP_Legacy,HLP_Current))</f>
        <v/>
      </c>
      <c r="L215" s="91">
        <f>IF($E215="","",J215/(1-K215))</f>
        <v/>
      </c>
      <c r="M215" s="90">
        <f>IF($E215="","",'Daily Data'!I215)</f>
        <v/>
      </c>
      <c r="N215" s="91">
        <f>IF($E215="","",M215*(1-K215)-I215)</f>
        <v/>
      </c>
      <c r="O215" s="92" t="inlineStr"/>
      <c r="P215" s="93">
        <f>IF($E215="","",(L215+F215+M215)*K215)</f>
        <v/>
      </c>
      <c r="Q215" s="91">
        <f>IF($E215="","",L215*K215)</f>
        <v/>
      </c>
      <c r="R215" s="91">
        <f>IF($E215="","",F215*K215)</f>
        <v/>
      </c>
      <c r="S215" s="91">
        <f>IF($E215="","",M215*K215)</f>
        <v/>
      </c>
      <c r="T215" s="63">
        <f>IF(OR($E215="",B215=0),"",L215/B215*10000)</f>
        <v/>
      </c>
      <c r="U215" s="63">
        <f>IF(OR($E215="",C215=0),"",F215/C215*10000)</f>
        <v/>
      </c>
      <c r="V215" s="63">
        <f>IF(OR($E215="",D215=0),"",M215/D215*10000)</f>
        <v/>
      </c>
    </row>
    <row r="216">
      <c r="A216" s="35" t="n">
        <v>45870</v>
      </c>
      <c r="B216" s="90">
        <f>'Daily Data'!B216</f>
        <v/>
      </c>
      <c r="C216" s="90">
        <f>'Daily Data'!D216</f>
        <v/>
      </c>
      <c r="D216" s="90">
        <f>'Daily Data'!C216</f>
        <v/>
      </c>
      <c r="E216" s="90">
        <f>IF('Daily Data'!E216="","",'Daily Data'!E216)</f>
        <v/>
      </c>
      <c r="F216" s="90">
        <f>IF($E216="","",'Daily Data'!F216)</f>
        <v/>
      </c>
      <c r="G216" s="90">
        <f>IF($E216="","",'Daily Data'!G216)</f>
        <v/>
      </c>
      <c r="H216" s="91">
        <f>IF($E216="","",(1-K216)*F216-G216)</f>
        <v/>
      </c>
      <c r="I216" s="90">
        <f>IF($E216="","",'Daily Data'!H216)</f>
        <v/>
      </c>
      <c r="J216" s="91">
        <f>IF($E216="","",E216-H216-I216)</f>
        <v/>
      </c>
      <c r="K216" s="60">
        <f>IF($E216="","",IF(A216&lt;HLP_ChangeDate,HLP_Legacy,HLP_Current))</f>
        <v/>
      </c>
      <c r="L216" s="91">
        <f>IF($E216="","",J216/(1-K216))</f>
        <v/>
      </c>
      <c r="M216" s="90">
        <f>IF($E216="","",'Daily Data'!I216)</f>
        <v/>
      </c>
      <c r="N216" s="91">
        <f>IF($E216="","",M216*(1-K216)-I216)</f>
        <v/>
      </c>
      <c r="O216" s="92" t="inlineStr"/>
      <c r="P216" s="93">
        <f>IF($E216="","",(L216+F216+M216)*K216)</f>
        <v/>
      </c>
      <c r="Q216" s="91">
        <f>IF($E216="","",L216*K216)</f>
        <v/>
      </c>
      <c r="R216" s="91">
        <f>IF($E216="","",F216*K216)</f>
        <v/>
      </c>
      <c r="S216" s="91">
        <f>IF($E216="","",M216*K216)</f>
        <v/>
      </c>
      <c r="T216" s="63">
        <f>IF(OR($E216="",B216=0),"",L216/B216*10000)</f>
        <v/>
      </c>
      <c r="U216" s="63">
        <f>IF(OR($E216="",C216=0),"",F216/C216*10000)</f>
        <v/>
      </c>
      <c r="V216" s="63">
        <f>IF(OR($E216="",D216=0),"",M216/D216*10000)</f>
        <v/>
      </c>
    </row>
    <row r="217">
      <c r="A217" s="35" t="n">
        <v>45871</v>
      </c>
      <c r="B217" s="90">
        <f>'Daily Data'!B217</f>
        <v/>
      </c>
      <c r="C217" s="90">
        <f>'Daily Data'!D217</f>
        <v/>
      </c>
      <c r="D217" s="90">
        <f>'Daily Data'!C217</f>
        <v/>
      </c>
      <c r="E217" s="90">
        <f>IF('Daily Data'!E217="","",'Daily Data'!E217)</f>
        <v/>
      </c>
      <c r="F217" s="90">
        <f>IF($E217="","",'Daily Data'!F217)</f>
        <v/>
      </c>
      <c r="G217" s="90">
        <f>IF($E217="","",'Daily Data'!G217)</f>
        <v/>
      </c>
      <c r="H217" s="91">
        <f>IF($E217="","",(1-K217)*F217-G217)</f>
        <v/>
      </c>
      <c r="I217" s="90">
        <f>IF($E217="","",'Daily Data'!H217)</f>
        <v/>
      </c>
      <c r="J217" s="91">
        <f>IF($E217="","",E217-H217-I217)</f>
        <v/>
      </c>
      <c r="K217" s="60">
        <f>IF($E217="","",IF(A217&lt;HLP_ChangeDate,HLP_Legacy,HLP_Current))</f>
        <v/>
      </c>
      <c r="L217" s="91">
        <f>IF($E217="","",J217/(1-K217))</f>
        <v/>
      </c>
      <c r="M217" s="90">
        <f>IF($E217="","",'Daily Data'!I217)</f>
        <v/>
      </c>
      <c r="N217" s="91">
        <f>IF($E217="","",M217*(1-K217)-I217)</f>
        <v/>
      </c>
      <c r="O217" s="92" t="inlineStr"/>
      <c r="P217" s="93">
        <f>IF($E217="","",(L217+F217+M217)*K217)</f>
        <v/>
      </c>
      <c r="Q217" s="91">
        <f>IF($E217="","",L217*K217)</f>
        <v/>
      </c>
      <c r="R217" s="91">
        <f>IF($E217="","",F217*K217)</f>
        <v/>
      </c>
      <c r="S217" s="91">
        <f>IF($E217="","",M217*K217)</f>
        <v/>
      </c>
      <c r="T217" s="63">
        <f>IF(OR($E217="",B217=0),"",L217/B217*10000)</f>
        <v/>
      </c>
      <c r="U217" s="63">
        <f>IF(OR($E217="",C217=0),"",F217/C217*10000)</f>
        <v/>
      </c>
      <c r="V217" s="63">
        <f>IF(OR($E217="",D217=0),"",M217/D217*10000)</f>
        <v/>
      </c>
    </row>
    <row r="218">
      <c r="A218" s="35" t="n">
        <v>45872</v>
      </c>
      <c r="B218" s="90">
        <f>'Daily Data'!B218</f>
        <v/>
      </c>
      <c r="C218" s="90">
        <f>'Daily Data'!D218</f>
        <v/>
      </c>
      <c r="D218" s="90">
        <f>'Daily Data'!C218</f>
        <v/>
      </c>
      <c r="E218" s="90">
        <f>IF('Daily Data'!E218="","",'Daily Data'!E218)</f>
        <v/>
      </c>
      <c r="F218" s="90">
        <f>IF($E218="","",'Daily Data'!F218)</f>
        <v/>
      </c>
      <c r="G218" s="90">
        <f>IF($E218="","",'Daily Data'!G218)</f>
        <v/>
      </c>
      <c r="H218" s="91">
        <f>IF($E218="","",(1-K218)*F218-G218)</f>
        <v/>
      </c>
      <c r="I218" s="90">
        <f>IF($E218="","",'Daily Data'!H218)</f>
        <v/>
      </c>
      <c r="J218" s="91">
        <f>IF($E218="","",E218-H218-I218)</f>
        <v/>
      </c>
      <c r="K218" s="60">
        <f>IF($E218="","",IF(A218&lt;HLP_ChangeDate,HLP_Legacy,HLP_Current))</f>
        <v/>
      </c>
      <c r="L218" s="91">
        <f>IF($E218="","",J218/(1-K218))</f>
        <v/>
      </c>
      <c r="M218" s="90">
        <f>IF($E218="","",'Daily Data'!I218)</f>
        <v/>
      </c>
      <c r="N218" s="91">
        <f>IF($E218="","",M218*(1-K218)-I218)</f>
        <v/>
      </c>
      <c r="O218" s="92" t="inlineStr"/>
      <c r="P218" s="93">
        <f>IF($E218="","",(L218+F218+M218)*K218)</f>
        <v/>
      </c>
      <c r="Q218" s="91">
        <f>IF($E218="","",L218*K218)</f>
        <v/>
      </c>
      <c r="R218" s="91">
        <f>IF($E218="","",F218*K218)</f>
        <v/>
      </c>
      <c r="S218" s="91">
        <f>IF($E218="","",M218*K218)</f>
        <v/>
      </c>
      <c r="T218" s="63">
        <f>IF(OR($E218="",B218=0),"",L218/B218*10000)</f>
        <v/>
      </c>
      <c r="U218" s="63">
        <f>IF(OR($E218="",C218=0),"",F218/C218*10000)</f>
        <v/>
      </c>
      <c r="V218" s="63">
        <f>IF(OR($E218="",D218=0),"",M218/D218*10000)</f>
        <v/>
      </c>
    </row>
    <row r="219">
      <c r="A219" s="35" t="n">
        <v>45873</v>
      </c>
      <c r="B219" s="90">
        <f>'Daily Data'!B219</f>
        <v/>
      </c>
      <c r="C219" s="90">
        <f>'Daily Data'!D219</f>
        <v/>
      </c>
      <c r="D219" s="90">
        <f>'Daily Data'!C219</f>
        <v/>
      </c>
      <c r="E219" s="90">
        <f>IF('Daily Data'!E219="","",'Daily Data'!E219)</f>
        <v/>
      </c>
      <c r="F219" s="90">
        <f>IF($E219="","",'Daily Data'!F219)</f>
        <v/>
      </c>
      <c r="G219" s="90">
        <f>IF($E219="","",'Daily Data'!G219)</f>
        <v/>
      </c>
      <c r="H219" s="91">
        <f>IF($E219="","",(1-K219)*F219-G219)</f>
        <v/>
      </c>
      <c r="I219" s="90">
        <f>IF($E219="","",'Daily Data'!H219)</f>
        <v/>
      </c>
      <c r="J219" s="91">
        <f>IF($E219="","",E219-H219-I219)</f>
        <v/>
      </c>
      <c r="K219" s="60">
        <f>IF($E219="","",IF(A219&lt;HLP_ChangeDate,HLP_Legacy,HLP_Current))</f>
        <v/>
      </c>
      <c r="L219" s="91">
        <f>IF($E219="","",J219/(1-K219))</f>
        <v/>
      </c>
      <c r="M219" s="90">
        <f>IF($E219="","",'Daily Data'!I219)</f>
        <v/>
      </c>
      <c r="N219" s="91">
        <f>IF($E219="","",M219*(1-K219)-I219)</f>
        <v/>
      </c>
      <c r="O219" s="92" t="inlineStr"/>
      <c r="P219" s="93">
        <f>IF($E219="","",(L219+F219+M219)*K219)</f>
        <v/>
      </c>
      <c r="Q219" s="91">
        <f>IF($E219="","",L219*K219)</f>
        <v/>
      </c>
      <c r="R219" s="91">
        <f>IF($E219="","",F219*K219)</f>
        <v/>
      </c>
      <c r="S219" s="91">
        <f>IF($E219="","",M219*K219)</f>
        <v/>
      </c>
      <c r="T219" s="63">
        <f>IF(OR($E219="",B219=0),"",L219/B219*10000)</f>
        <v/>
      </c>
      <c r="U219" s="63">
        <f>IF(OR($E219="",C219=0),"",F219/C219*10000)</f>
        <v/>
      </c>
      <c r="V219" s="63">
        <f>IF(OR($E219="",D219=0),"",M219/D219*10000)</f>
        <v/>
      </c>
    </row>
    <row r="220">
      <c r="A220" s="35" t="n">
        <v>45874</v>
      </c>
      <c r="B220" s="90">
        <f>'Daily Data'!B220</f>
        <v/>
      </c>
      <c r="C220" s="90">
        <f>'Daily Data'!D220</f>
        <v/>
      </c>
      <c r="D220" s="90">
        <f>'Daily Data'!C220</f>
        <v/>
      </c>
      <c r="E220" s="90">
        <f>IF('Daily Data'!E220="","",'Daily Data'!E220)</f>
        <v/>
      </c>
      <c r="F220" s="90">
        <f>IF($E220="","",'Daily Data'!F220)</f>
        <v/>
      </c>
      <c r="G220" s="90">
        <f>IF($E220="","",'Daily Data'!G220)</f>
        <v/>
      </c>
      <c r="H220" s="91">
        <f>IF($E220="","",(1-K220)*F220-G220)</f>
        <v/>
      </c>
      <c r="I220" s="90">
        <f>IF($E220="","",'Daily Data'!H220)</f>
        <v/>
      </c>
      <c r="J220" s="91">
        <f>IF($E220="","",E220-H220-I220)</f>
        <v/>
      </c>
      <c r="K220" s="60">
        <f>IF($E220="","",IF(A220&lt;HLP_ChangeDate,HLP_Legacy,HLP_Current))</f>
        <v/>
      </c>
      <c r="L220" s="91">
        <f>IF($E220="","",J220/(1-K220))</f>
        <v/>
      </c>
      <c r="M220" s="90">
        <f>IF($E220="","",'Daily Data'!I220)</f>
        <v/>
      </c>
      <c r="N220" s="91">
        <f>IF($E220="","",M220*(1-K220)-I220)</f>
        <v/>
      </c>
      <c r="O220" s="92" t="inlineStr"/>
      <c r="P220" s="93">
        <f>IF($E220="","",(L220+F220+M220)*K220)</f>
        <v/>
      </c>
      <c r="Q220" s="91">
        <f>IF($E220="","",L220*K220)</f>
        <v/>
      </c>
      <c r="R220" s="91">
        <f>IF($E220="","",F220*K220)</f>
        <v/>
      </c>
      <c r="S220" s="91">
        <f>IF($E220="","",M220*K220)</f>
        <v/>
      </c>
      <c r="T220" s="63">
        <f>IF(OR($E220="",B220=0),"",L220/B220*10000)</f>
        <v/>
      </c>
      <c r="U220" s="63">
        <f>IF(OR($E220="",C220=0),"",F220/C220*10000)</f>
        <v/>
      </c>
      <c r="V220" s="63">
        <f>IF(OR($E220="",D220=0),"",M220/D220*10000)</f>
        <v/>
      </c>
    </row>
    <row r="221">
      <c r="A221" s="35" t="n">
        <v>45875</v>
      </c>
      <c r="B221" s="90">
        <f>'Daily Data'!B221</f>
        <v/>
      </c>
      <c r="C221" s="90">
        <f>'Daily Data'!D221</f>
        <v/>
      </c>
      <c r="D221" s="90">
        <f>'Daily Data'!C221</f>
        <v/>
      </c>
      <c r="E221" s="90">
        <f>IF('Daily Data'!E221="","",'Daily Data'!E221)</f>
        <v/>
      </c>
      <c r="F221" s="90">
        <f>IF($E221="","",'Daily Data'!F221)</f>
        <v/>
      </c>
      <c r="G221" s="90">
        <f>IF($E221="","",'Daily Data'!G221)</f>
        <v/>
      </c>
      <c r="H221" s="91">
        <f>IF($E221="","",(1-K221)*F221-G221)</f>
        <v/>
      </c>
      <c r="I221" s="90">
        <f>IF($E221="","",'Daily Data'!H221)</f>
        <v/>
      </c>
      <c r="J221" s="91">
        <f>IF($E221="","",E221-H221-I221)</f>
        <v/>
      </c>
      <c r="K221" s="60">
        <f>IF($E221="","",IF(A221&lt;HLP_ChangeDate,HLP_Legacy,HLP_Current))</f>
        <v/>
      </c>
      <c r="L221" s="91">
        <f>IF($E221="","",J221/(1-K221))</f>
        <v/>
      </c>
      <c r="M221" s="90">
        <f>IF($E221="","",'Daily Data'!I221)</f>
        <v/>
      </c>
      <c r="N221" s="91">
        <f>IF($E221="","",M221*(1-K221)-I221)</f>
        <v/>
      </c>
      <c r="O221" s="92" t="inlineStr"/>
      <c r="P221" s="93">
        <f>IF($E221="","",(L221+F221+M221)*K221)</f>
        <v/>
      </c>
      <c r="Q221" s="91">
        <f>IF($E221="","",L221*K221)</f>
        <v/>
      </c>
      <c r="R221" s="91">
        <f>IF($E221="","",F221*K221)</f>
        <v/>
      </c>
      <c r="S221" s="91">
        <f>IF($E221="","",M221*K221)</f>
        <v/>
      </c>
      <c r="T221" s="63">
        <f>IF(OR($E221="",B221=0),"",L221/B221*10000)</f>
        <v/>
      </c>
      <c r="U221" s="63">
        <f>IF(OR($E221="",C221=0),"",F221/C221*10000)</f>
        <v/>
      </c>
      <c r="V221" s="63">
        <f>IF(OR($E221="",D221=0),"",M221/D221*10000)</f>
        <v/>
      </c>
    </row>
    <row r="222">
      <c r="A222" s="35" t="n">
        <v>45876</v>
      </c>
      <c r="B222" s="90">
        <f>'Daily Data'!B222</f>
        <v/>
      </c>
      <c r="C222" s="90">
        <f>'Daily Data'!D222</f>
        <v/>
      </c>
      <c r="D222" s="90">
        <f>'Daily Data'!C222</f>
        <v/>
      </c>
      <c r="E222" s="90">
        <f>IF('Daily Data'!E222="","",'Daily Data'!E222)</f>
        <v/>
      </c>
      <c r="F222" s="90">
        <f>IF($E222="","",'Daily Data'!F222)</f>
        <v/>
      </c>
      <c r="G222" s="90">
        <f>IF($E222="","",'Daily Data'!G222)</f>
        <v/>
      </c>
      <c r="H222" s="91">
        <f>IF($E222="","",(1-K222)*F222-G222)</f>
        <v/>
      </c>
      <c r="I222" s="90">
        <f>IF($E222="","",'Daily Data'!H222)</f>
        <v/>
      </c>
      <c r="J222" s="91">
        <f>IF($E222="","",E222-H222-I222)</f>
        <v/>
      </c>
      <c r="K222" s="60">
        <f>IF($E222="","",IF(A222&lt;HLP_ChangeDate,HLP_Legacy,HLP_Current))</f>
        <v/>
      </c>
      <c r="L222" s="91">
        <f>IF($E222="","",J222/(1-K222))</f>
        <v/>
      </c>
      <c r="M222" s="90">
        <f>IF($E222="","",'Daily Data'!I222)</f>
        <v/>
      </c>
      <c r="N222" s="91">
        <f>IF($E222="","",M222*(1-K222)-I222)</f>
        <v/>
      </c>
      <c r="O222" s="92" t="inlineStr"/>
      <c r="P222" s="93">
        <f>IF($E222="","",(L222+F222+M222)*K222)</f>
        <v/>
      </c>
      <c r="Q222" s="91">
        <f>IF($E222="","",L222*K222)</f>
        <v/>
      </c>
      <c r="R222" s="91">
        <f>IF($E222="","",F222*K222)</f>
        <v/>
      </c>
      <c r="S222" s="91">
        <f>IF($E222="","",M222*K222)</f>
        <v/>
      </c>
      <c r="T222" s="63">
        <f>IF(OR($E222="",B222=0),"",L222/B222*10000)</f>
        <v/>
      </c>
      <c r="U222" s="63">
        <f>IF(OR($E222="",C222=0),"",F222/C222*10000)</f>
        <v/>
      </c>
      <c r="V222" s="63">
        <f>IF(OR($E222="",D222=0),"",M222/D222*10000)</f>
        <v/>
      </c>
    </row>
    <row r="223">
      <c r="A223" s="35" t="n">
        <v>45877</v>
      </c>
      <c r="B223" s="90">
        <f>'Daily Data'!B223</f>
        <v/>
      </c>
      <c r="C223" s="90">
        <f>'Daily Data'!D223</f>
        <v/>
      </c>
      <c r="D223" s="90">
        <f>'Daily Data'!C223</f>
        <v/>
      </c>
      <c r="E223" s="90">
        <f>IF('Daily Data'!E223="","",'Daily Data'!E223)</f>
        <v/>
      </c>
      <c r="F223" s="90">
        <f>IF($E223="","",'Daily Data'!F223)</f>
        <v/>
      </c>
      <c r="G223" s="90">
        <f>IF($E223="","",'Daily Data'!G223)</f>
        <v/>
      </c>
      <c r="H223" s="91">
        <f>IF($E223="","",(1-K223)*F223-G223)</f>
        <v/>
      </c>
      <c r="I223" s="90">
        <f>IF($E223="","",'Daily Data'!H223)</f>
        <v/>
      </c>
      <c r="J223" s="91">
        <f>IF($E223="","",E223-H223-I223)</f>
        <v/>
      </c>
      <c r="K223" s="60">
        <f>IF($E223="","",IF(A223&lt;HLP_ChangeDate,HLP_Legacy,HLP_Current))</f>
        <v/>
      </c>
      <c r="L223" s="91">
        <f>IF($E223="","",J223/(1-K223))</f>
        <v/>
      </c>
      <c r="M223" s="90">
        <f>IF($E223="","",'Daily Data'!I223)</f>
        <v/>
      </c>
      <c r="N223" s="91">
        <f>IF($E223="","",M223*(1-K223)-I223)</f>
        <v/>
      </c>
      <c r="O223" s="92" t="inlineStr"/>
      <c r="P223" s="93">
        <f>IF($E223="","",(L223+F223+M223)*K223)</f>
        <v/>
      </c>
      <c r="Q223" s="91">
        <f>IF($E223="","",L223*K223)</f>
        <v/>
      </c>
      <c r="R223" s="91">
        <f>IF($E223="","",F223*K223)</f>
        <v/>
      </c>
      <c r="S223" s="91">
        <f>IF($E223="","",M223*K223)</f>
        <v/>
      </c>
      <c r="T223" s="63">
        <f>IF(OR($E223="",B223=0),"",L223/B223*10000)</f>
        <v/>
      </c>
      <c r="U223" s="63">
        <f>IF(OR($E223="",C223=0),"",F223/C223*10000)</f>
        <v/>
      </c>
      <c r="V223" s="63">
        <f>IF(OR($E223="",D223=0),"",M223/D223*10000)</f>
        <v/>
      </c>
    </row>
    <row r="224">
      <c r="A224" s="35" t="n">
        <v>45878</v>
      </c>
      <c r="B224" s="90">
        <f>'Daily Data'!B224</f>
        <v/>
      </c>
      <c r="C224" s="90">
        <f>'Daily Data'!D224</f>
        <v/>
      </c>
      <c r="D224" s="90">
        <f>'Daily Data'!C224</f>
        <v/>
      </c>
      <c r="E224" s="90">
        <f>IF('Daily Data'!E224="","",'Daily Data'!E224)</f>
        <v/>
      </c>
      <c r="F224" s="90">
        <f>IF($E224="","",'Daily Data'!F224)</f>
        <v/>
      </c>
      <c r="G224" s="90">
        <f>IF($E224="","",'Daily Data'!G224)</f>
        <v/>
      </c>
      <c r="H224" s="91">
        <f>IF($E224="","",(1-K224)*F224-G224)</f>
        <v/>
      </c>
      <c r="I224" s="90">
        <f>IF($E224="","",'Daily Data'!H224)</f>
        <v/>
      </c>
      <c r="J224" s="91">
        <f>IF($E224="","",E224-H224-I224)</f>
        <v/>
      </c>
      <c r="K224" s="60">
        <f>IF($E224="","",IF(A224&lt;HLP_ChangeDate,HLP_Legacy,HLP_Current))</f>
        <v/>
      </c>
      <c r="L224" s="91">
        <f>IF($E224="","",J224/(1-K224))</f>
        <v/>
      </c>
      <c r="M224" s="90">
        <f>IF($E224="","",'Daily Data'!I224)</f>
        <v/>
      </c>
      <c r="N224" s="91">
        <f>IF($E224="","",M224*(1-K224)-I224)</f>
        <v/>
      </c>
      <c r="O224" s="92" t="inlineStr"/>
      <c r="P224" s="93">
        <f>IF($E224="","",(L224+F224+M224)*K224)</f>
        <v/>
      </c>
      <c r="Q224" s="91">
        <f>IF($E224="","",L224*K224)</f>
        <v/>
      </c>
      <c r="R224" s="91">
        <f>IF($E224="","",F224*K224)</f>
        <v/>
      </c>
      <c r="S224" s="91">
        <f>IF($E224="","",M224*K224)</f>
        <v/>
      </c>
      <c r="T224" s="63">
        <f>IF(OR($E224="",B224=0),"",L224/B224*10000)</f>
        <v/>
      </c>
      <c r="U224" s="63">
        <f>IF(OR($E224="",C224=0),"",F224/C224*10000)</f>
        <v/>
      </c>
      <c r="V224" s="63">
        <f>IF(OR($E224="",D224=0),"",M224/D224*10000)</f>
        <v/>
      </c>
    </row>
    <row r="225">
      <c r="A225" s="35" t="n">
        <v>45879</v>
      </c>
      <c r="B225" s="90">
        <f>'Daily Data'!B225</f>
        <v/>
      </c>
      <c r="C225" s="90">
        <f>'Daily Data'!D225</f>
        <v/>
      </c>
      <c r="D225" s="90">
        <f>'Daily Data'!C225</f>
        <v/>
      </c>
      <c r="E225" s="90">
        <f>IF('Daily Data'!E225="","",'Daily Data'!E225)</f>
        <v/>
      </c>
      <c r="F225" s="90">
        <f>IF($E225="","",'Daily Data'!F225)</f>
        <v/>
      </c>
      <c r="G225" s="90">
        <f>IF($E225="","",'Daily Data'!G225)</f>
        <v/>
      </c>
      <c r="H225" s="91">
        <f>IF($E225="","",(1-K225)*F225-G225)</f>
        <v/>
      </c>
      <c r="I225" s="90">
        <f>IF($E225="","",'Daily Data'!H225)</f>
        <v/>
      </c>
      <c r="J225" s="91">
        <f>IF($E225="","",E225-H225-I225)</f>
        <v/>
      </c>
      <c r="K225" s="60">
        <f>IF($E225="","",IF(A225&lt;HLP_ChangeDate,HLP_Legacy,HLP_Current))</f>
        <v/>
      </c>
      <c r="L225" s="91">
        <f>IF($E225="","",J225/(1-K225))</f>
        <v/>
      </c>
      <c r="M225" s="90">
        <f>IF($E225="","",'Daily Data'!I225)</f>
        <v/>
      </c>
      <c r="N225" s="91">
        <f>IF($E225="","",M225*(1-K225)-I225)</f>
        <v/>
      </c>
      <c r="O225" s="92" t="inlineStr"/>
      <c r="P225" s="93">
        <f>IF($E225="","",(L225+F225+M225)*K225)</f>
        <v/>
      </c>
      <c r="Q225" s="91">
        <f>IF($E225="","",L225*K225)</f>
        <v/>
      </c>
      <c r="R225" s="91">
        <f>IF($E225="","",F225*K225)</f>
        <v/>
      </c>
      <c r="S225" s="91">
        <f>IF($E225="","",M225*K225)</f>
        <v/>
      </c>
      <c r="T225" s="63">
        <f>IF(OR($E225="",B225=0),"",L225/B225*10000)</f>
        <v/>
      </c>
      <c r="U225" s="63">
        <f>IF(OR($E225="",C225=0),"",F225/C225*10000)</f>
        <v/>
      </c>
      <c r="V225" s="63">
        <f>IF(OR($E225="",D225=0),"",M225/D225*10000)</f>
        <v/>
      </c>
    </row>
    <row r="226">
      <c r="A226" s="35" t="n">
        <v>45880</v>
      </c>
      <c r="B226" s="90">
        <f>'Daily Data'!B226</f>
        <v/>
      </c>
      <c r="C226" s="90">
        <f>'Daily Data'!D226</f>
        <v/>
      </c>
      <c r="D226" s="90">
        <f>'Daily Data'!C226</f>
        <v/>
      </c>
      <c r="E226" s="90">
        <f>IF('Daily Data'!E226="","",'Daily Data'!E226)</f>
        <v/>
      </c>
      <c r="F226" s="90">
        <f>IF($E226="","",'Daily Data'!F226)</f>
        <v/>
      </c>
      <c r="G226" s="90">
        <f>IF($E226="","",'Daily Data'!G226)</f>
        <v/>
      </c>
      <c r="H226" s="91">
        <f>IF($E226="","",(1-K226)*F226-G226)</f>
        <v/>
      </c>
      <c r="I226" s="90">
        <f>IF($E226="","",'Daily Data'!H226)</f>
        <v/>
      </c>
      <c r="J226" s="91">
        <f>IF($E226="","",E226-H226-I226)</f>
        <v/>
      </c>
      <c r="K226" s="60">
        <f>IF($E226="","",IF(A226&lt;HLP_ChangeDate,HLP_Legacy,HLP_Current))</f>
        <v/>
      </c>
      <c r="L226" s="91">
        <f>IF($E226="","",J226/(1-K226))</f>
        <v/>
      </c>
      <c r="M226" s="90">
        <f>IF($E226="","",'Daily Data'!I226)</f>
        <v/>
      </c>
      <c r="N226" s="91">
        <f>IF($E226="","",M226*(1-K226)-I226)</f>
        <v/>
      </c>
      <c r="O226" s="92" t="inlineStr"/>
      <c r="P226" s="93">
        <f>IF($E226="","",(L226+F226+M226)*K226)</f>
        <v/>
      </c>
      <c r="Q226" s="91">
        <f>IF($E226="","",L226*K226)</f>
        <v/>
      </c>
      <c r="R226" s="91">
        <f>IF($E226="","",F226*K226)</f>
        <v/>
      </c>
      <c r="S226" s="91">
        <f>IF($E226="","",M226*K226)</f>
        <v/>
      </c>
      <c r="T226" s="63">
        <f>IF(OR($E226="",B226=0),"",L226/B226*10000)</f>
        <v/>
      </c>
      <c r="U226" s="63">
        <f>IF(OR($E226="",C226=0),"",F226/C226*10000)</f>
        <v/>
      </c>
      <c r="V226" s="63">
        <f>IF(OR($E226="",D226=0),"",M226/D226*10000)</f>
        <v/>
      </c>
    </row>
    <row r="227">
      <c r="A227" s="35" t="n">
        <v>45881</v>
      </c>
      <c r="B227" s="90">
        <f>'Daily Data'!B227</f>
        <v/>
      </c>
      <c r="C227" s="90">
        <f>'Daily Data'!D227</f>
        <v/>
      </c>
      <c r="D227" s="90">
        <f>'Daily Data'!C227</f>
        <v/>
      </c>
      <c r="E227" s="90">
        <f>IF('Daily Data'!E227="","",'Daily Data'!E227)</f>
        <v/>
      </c>
      <c r="F227" s="90">
        <f>IF($E227="","",'Daily Data'!F227)</f>
        <v/>
      </c>
      <c r="G227" s="90">
        <f>IF($E227="","",'Daily Data'!G227)</f>
        <v/>
      </c>
      <c r="H227" s="91">
        <f>IF($E227="","",(1-K227)*F227-G227)</f>
        <v/>
      </c>
      <c r="I227" s="90">
        <f>IF($E227="","",'Daily Data'!H227)</f>
        <v/>
      </c>
      <c r="J227" s="91">
        <f>IF($E227="","",E227-H227-I227)</f>
        <v/>
      </c>
      <c r="K227" s="60">
        <f>IF($E227="","",IF(A227&lt;HLP_ChangeDate,HLP_Legacy,HLP_Current))</f>
        <v/>
      </c>
      <c r="L227" s="91">
        <f>IF($E227="","",J227/(1-K227))</f>
        <v/>
      </c>
      <c r="M227" s="90">
        <f>IF($E227="","",'Daily Data'!I227)</f>
        <v/>
      </c>
      <c r="N227" s="91">
        <f>IF($E227="","",M227*(1-K227)-I227)</f>
        <v/>
      </c>
      <c r="O227" s="92" t="inlineStr"/>
      <c r="P227" s="93">
        <f>IF($E227="","",(L227+F227+M227)*K227)</f>
        <v/>
      </c>
      <c r="Q227" s="91">
        <f>IF($E227="","",L227*K227)</f>
        <v/>
      </c>
      <c r="R227" s="91">
        <f>IF($E227="","",F227*K227)</f>
        <v/>
      </c>
      <c r="S227" s="91">
        <f>IF($E227="","",M227*K227)</f>
        <v/>
      </c>
      <c r="T227" s="63">
        <f>IF(OR($E227="",B227=0),"",L227/B227*10000)</f>
        <v/>
      </c>
      <c r="U227" s="63">
        <f>IF(OR($E227="",C227=0),"",F227/C227*10000)</f>
        <v/>
      </c>
      <c r="V227" s="63">
        <f>IF(OR($E227="",D227=0),"",M227/D227*10000)</f>
        <v/>
      </c>
    </row>
    <row r="228">
      <c r="A228" s="35" t="n">
        <v>45882</v>
      </c>
      <c r="B228" s="90">
        <f>'Daily Data'!B228</f>
        <v/>
      </c>
      <c r="C228" s="90">
        <f>'Daily Data'!D228</f>
        <v/>
      </c>
      <c r="D228" s="90">
        <f>'Daily Data'!C228</f>
        <v/>
      </c>
      <c r="E228" s="90">
        <f>IF('Daily Data'!E228="","",'Daily Data'!E228)</f>
        <v/>
      </c>
      <c r="F228" s="90">
        <f>IF($E228="","",'Daily Data'!F228)</f>
        <v/>
      </c>
      <c r="G228" s="90">
        <f>IF($E228="","",'Daily Data'!G228)</f>
        <v/>
      </c>
      <c r="H228" s="91">
        <f>IF($E228="","",(1-K228)*F228-G228)</f>
        <v/>
      </c>
      <c r="I228" s="90">
        <f>IF($E228="","",'Daily Data'!H228)</f>
        <v/>
      </c>
      <c r="J228" s="91">
        <f>IF($E228="","",E228-H228-I228)</f>
        <v/>
      </c>
      <c r="K228" s="60">
        <f>IF($E228="","",IF(A228&lt;HLP_ChangeDate,HLP_Legacy,HLP_Current))</f>
        <v/>
      </c>
      <c r="L228" s="91">
        <f>IF($E228="","",J228/(1-K228))</f>
        <v/>
      </c>
      <c r="M228" s="90">
        <f>IF($E228="","",'Daily Data'!I228)</f>
        <v/>
      </c>
      <c r="N228" s="91">
        <f>IF($E228="","",M228*(1-K228)-I228)</f>
        <v/>
      </c>
      <c r="O228" s="92" t="inlineStr"/>
      <c r="P228" s="93">
        <f>IF($E228="","",(L228+F228+M228)*K228)</f>
        <v/>
      </c>
      <c r="Q228" s="91">
        <f>IF($E228="","",L228*K228)</f>
        <v/>
      </c>
      <c r="R228" s="91">
        <f>IF($E228="","",F228*K228)</f>
        <v/>
      </c>
      <c r="S228" s="91">
        <f>IF($E228="","",M228*K228)</f>
        <v/>
      </c>
      <c r="T228" s="63">
        <f>IF(OR($E228="",B228=0),"",L228/B228*10000)</f>
        <v/>
      </c>
      <c r="U228" s="63">
        <f>IF(OR($E228="",C228=0),"",F228/C228*10000)</f>
        <v/>
      </c>
      <c r="V228" s="63">
        <f>IF(OR($E228="",D228=0),"",M228/D228*10000)</f>
        <v/>
      </c>
    </row>
    <row r="229">
      <c r="A229" s="35" t="n">
        <v>45883</v>
      </c>
      <c r="B229" s="90">
        <f>'Daily Data'!B229</f>
        <v/>
      </c>
      <c r="C229" s="90">
        <f>'Daily Data'!D229</f>
        <v/>
      </c>
      <c r="D229" s="90">
        <f>'Daily Data'!C229</f>
        <v/>
      </c>
      <c r="E229" s="90">
        <f>IF('Daily Data'!E229="","",'Daily Data'!E229)</f>
        <v/>
      </c>
      <c r="F229" s="90">
        <f>IF($E229="","",'Daily Data'!F229)</f>
        <v/>
      </c>
      <c r="G229" s="90">
        <f>IF($E229="","",'Daily Data'!G229)</f>
        <v/>
      </c>
      <c r="H229" s="91">
        <f>IF($E229="","",(1-K229)*F229-G229)</f>
        <v/>
      </c>
      <c r="I229" s="90">
        <f>IF($E229="","",'Daily Data'!H229)</f>
        <v/>
      </c>
      <c r="J229" s="91">
        <f>IF($E229="","",E229-H229-I229)</f>
        <v/>
      </c>
      <c r="K229" s="60">
        <f>IF($E229="","",IF(A229&lt;HLP_ChangeDate,HLP_Legacy,HLP_Current))</f>
        <v/>
      </c>
      <c r="L229" s="91">
        <f>IF($E229="","",J229/(1-K229))</f>
        <v/>
      </c>
      <c r="M229" s="90">
        <f>IF($E229="","",'Daily Data'!I229)</f>
        <v/>
      </c>
      <c r="N229" s="91">
        <f>IF($E229="","",M229*(1-K229)-I229)</f>
        <v/>
      </c>
      <c r="O229" s="92" t="inlineStr"/>
      <c r="P229" s="93">
        <f>IF($E229="","",(L229+F229+M229)*K229)</f>
        <v/>
      </c>
      <c r="Q229" s="91">
        <f>IF($E229="","",L229*K229)</f>
        <v/>
      </c>
      <c r="R229" s="91">
        <f>IF($E229="","",F229*K229)</f>
        <v/>
      </c>
      <c r="S229" s="91">
        <f>IF($E229="","",M229*K229)</f>
        <v/>
      </c>
      <c r="T229" s="63">
        <f>IF(OR($E229="",B229=0),"",L229/B229*10000)</f>
        <v/>
      </c>
      <c r="U229" s="63">
        <f>IF(OR($E229="",C229=0),"",F229/C229*10000)</f>
        <v/>
      </c>
      <c r="V229" s="63">
        <f>IF(OR($E229="",D229=0),"",M229/D229*10000)</f>
        <v/>
      </c>
    </row>
    <row r="230">
      <c r="A230" s="35" t="n">
        <v>45884</v>
      </c>
      <c r="B230" s="90">
        <f>'Daily Data'!B230</f>
        <v/>
      </c>
      <c r="C230" s="90">
        <f>'Daily Data'!D230</f>
        <v/>
      </c>
      <c r="D230" s="90">
        <f>'Daily Data'!C230</f>
        <v/>
      </c>
      <c r="E230" s="90">
        <f>IF('Daily Data'!E230="","",'Daily Data'!E230)</f>
        <v/>
      </c>
      <c r="F230" s="90">
        <f>IF($E230="","",'Daily Data'!F230)</f>
        <v/>
      </c>
      <c r="G230" s="90">
        <f>IF($E230="","",'Daily Data'!G230)</f>
        <v/>
      </c>
      <c r="H230" s="91">
        <f>IF($E230="","",(1-K230)*F230-G230)</f>
        <v/>
      </c>
      <c r="I230" s="90">
        <f>IF($E230="","",'Daily Data'!H230)</f>
        <v/>
      </c>
      <c r="J230" s="91">
        <f>IF($E230="","",E230-H230-I230)</f>
        <v/>
      </c>
      <c r="K230" s="60">
        <f>IF($E230="","",IF(A230&lt;HLP_ChangeDate,HLP_Legacy,HLP_Current))</f>
        <v/>
      </c>
      <c r="L230" s="91">
        <f>IF($E230="","",J230/(1-K230))</f>
        <v/>
      </c>
      <c r="M230" s="90">
        <f>IF($E230="","",'Daily Data'!I230)</f>
        <v/>
      </c>
      <c r="N230" s="91">
        <f>IF($E230="","",M230*(1-K230)-I230)</f>
        <v/>
      </c>
      <c r="O230" s="92" t="inlineStr"/>
      <c r="P230" s="93">
        <f>IF($E230="","",(L230+F230+M230)*K230)</f>
        <v/>
      </c>
      <c r="Q230" s="91">
        <f>IF($E230="","",L230*K230)</f>
        <v/>
      </c>
      <c r="R230" s="91">
        <f>IF($E230="","",F230*K230)</f>
        <v/>
      </c>
      <c r="S230" s="91">
        <f>IF($E230="","",M230*K230)</f>
        <v/>
      </c>
      <c r="T230" s="63">
        <f>IF(OR($E230="",B230=0),"",L230/B230*10000)</f>
        <v/>
      </c>
      <c r="U230" s="63">
        <f>IF(OR($E230="",C230=0),"",F230/C230*10000)</f>
        <v/>
      </c>
      <c r="V230" s="63">
        <f>IF(OR($E230="",D230=0),"",M230/D230*10000)</f>
        <v/>
      </c>
    </row>
    <row r="231">
      <c r="A231" s="35" t="n">
        <v>45885</v>
      </c>
      <c r="B231" s="90">
        <f>'Daily Data'!B231</f>
        <v/>
      </c>
      <c r="C231" s="90">
        <f>'Daily Data'!D231</f>
        <v/>
      </c>
      <c r="D231" s="90">
        <f>'Daily Data'!C231</f>
        <v/>
      </c>
      <c r="E231" s="90">
        <f>IF('Daily Data'!E231="","",'Daily Data'!E231)</f>
        <v/>
      </c>
      <c r="F231" s="90">
        <f>IF($E231="","",'Daily Data'!F231)</f>
        <v/>
      </c>
      <c r="G231" s="90">
        <f>IF($E231="","",'Daily Data'!G231)</f>
        <v/>
      </c>
      <c r="H231" s="91">
        <f>IF($E231="","",(1-K231)*F231-G231)</f>
        <v/>
      </c>
      <c r="I231" s="90">
        <f>IF($E231="","",'Daily Data'!H231)</f>
        <v/>
      </c>
      <c r="J231" s="91">
        <f>IF($E231="","",E231-H231-I231)</f>
        <v/>
      </c>
      <c r="K231" s="60">
        <f>IF($E231="","",IF(A231&lt;HLP_ChangeDate,HLP_Legacy,HLP_Current))</f>
        <v/>
      </c>
      <c r="L231" s="91">
        <f>IF($E231="","",J231/(1-K231))</f>
        <v/>
      </c>
      <c r="M231" s="90">
        <f>IF($E231="","",'Daily Data'!I231)</f>
        <v/>
      </c>
      <c r="N231" s="91">
        <f>IF($E231="","",M231*(1-K231)-I231)</f>
        <v/>
      </c>
      <c r="O231" s="92" t="inlineStr"/>
      <c r="P231" s="93">
        <f>IF($E231="","",(L231+F231+M231)*K231)</f>
        <v/>
      </c>
      <c r="Q231" s="91">
        <f>IF($E231="","",L231*K231)</f>
        <v/>
      </c>
      <c r="R231" s="91">
        <f>IF($E231="","",F231*K231)</f>
        <v/>
      </c>
      <c r="S231" s="91">
        <f>IF($E231="","",M231*K231)</f>
        <v/>
      </c>
      <c r="T231" s="63">
        <f>IF(OR($E231="",B231=0),"",L231/B231*10000)</f>
        <v/>
      </c>
      <c r="U231" s="63">
        <f>IF(OR($E231="",C231=0),"",F231/C231*10000)</f>
        <v/>
      </c>
      <c r="V231" s="63">
        <f>IF(OR($E231="",D231=0),"",M231/D231*10000)</f>
        <v/>
      </c>
    </row>
    <row r="232">
      <c r="A232" s="35" t="n">
        <v>45886</v>
      </c>
      <c r="B232" s="90">
        <f>'Daily Data'!B232</f>
        <v/>
      </c>
      <c r="C232" s="90">
        <f>'Daily Data'!D232</f>
        <v/>
      </c>
      <c r="D232" s="90">
        <f>'Daily Data'!C232</f>
        <v/>
      </c>
      <c r="E232" s="90">
        <f>IF('Daily Data'!E232="","",'Daily Data'!E232)</f>
        <v/>
      </c>
      <c r="F232" s="90">
        <f>IF($E232="","",'Daily Data'!F232)</f>
        <v/>
      </c>
      <c r="G232" s="90">
        <f>IF($E232="","",'Daily Data'!G232)</f>
        <v/>
      </c>
      <c r="H232" s="91">
        <f>IF($E232="","",(1-K232)*F232-G232)</f>
        <v/>
      </c>
      <c r="I232" s="90">
        <f>IF($E232="","",'Daily Data'!H232)</f>
        <v/>
      </c>
      <c r="J232" s="91">
        <f>IF($E232="","",E232-H232-I232)</f>
        <v/>
      </c>
      <c r="K232" s="60">
        <f>IF($E232="","",IF(A232&lt;HLP_ChangeDate,HLP_Legacy,HLP_Current))</f>
        <v/>
      </c>
      <c r="L232" s="91">
        <f>IF($E232="","",J232/(1-K232))</f>
        <v/>
      </c>
      <c r="M232" s="90">
        <f>IF($E232="","",'Daily Data'!I232)</f>
        <v/>
      </c>
      <c r="N232" s="91">
        <f>IF($E232="","",M232*(1-K232)-I232)</f>
        <v/>
      </c>
      <c r="O232" s="92" t="inlineStr"/>
      <c r="P232" s="93">
        <f>IF($E232="","",(L232+F232+M232)*K232)</f>
        <v/>
      </c>
      <c r="Q232" s="91">
        <f>IF($E232="","",L232*K232)</f>
        <v/>
      </c>
      <c r="R232" s="91">
        <f>IF($E232="","",F232*K232)</f>
        <v/>
      </c>
      <c r="S232" s="91">
        <f>IF($E232="","",M232*K232)</f>
        <v/>
      </c>
      <c r="T232" s="63">
        <f>IF(OR($E232="",B232=0),"",L232/B232*10000)</f>
        <v/>
      </c>
      <c r="U232" s="63">
        <f>IF(OR($E232="",C232=0),"",F232/C232*10000)</f>
        <v/>
      </c>
      <c r="V232" s="63">
        <f>IF(OR($E232="",D232=0),"",M232/D232*10000)</f>
        <v/>
      </c>
    </row>
    <row r="233">
      <c r="A233" s="35" t="n">
        <v>45887</v>
      </c>
      <c r="B233" s="90">
        <f>'Daily Data'!B233</f>
        <v/>
      </c>
      <c r="C233" s="90">
        <f>'Daily Data'!D233</f>
        <v/>
      </c>
      <c r="D233" s="90">
        <f>'Daily Data'!C233</f>
        <v/>
      </c>
      <c r="E233" s="90">
        <f>IF('Daily Data'!E233="","",'Daily Data'!E233)</f>
        <v/>
      </c>
      <c r="F233" s="90">
        <f>IF($E233="","",'Daily Data'!F233)</f>
        <v/>
      </c>
      <c r="G233" s="90">
        <f>IF($E233="","",'Daily Data'!G233)</f>
        <v/>
      </c>
      <c r="H233" s="91">
        <f>IF($E233="","",(1-K233)*F233-G233)</f>
        <v/>
      </c>
      <c r="I233" s="90">
        <f>IF($E233="","",'Daily Data'!H233)</f>
        <v/>
      </c>
      <c r="J233" s="91">
        <f>IF($E233="","",E233-H233-I233)</f>
        <v/>
      </c>
      <c r="K233" s="60">
        <f>IF($E233="","",IF(A233&lt;HLP_ChangeDate,HLP_Legacy,HLP_Current))</f>
        <v/>
      </c>
      <c r="L233" s="91">
        <f>IF($E233="","",J233/(1-K233))</f>
        <v/>
      </c>
      <c r="M233" s="90">
        <f>IF($E233="","",'Daily Data'!I233)</f>
        <v/>
      </c>
      <c r="N233" s="91">
        <f>IF($E233="","",M233*(1-K233)-I233)</f>
        <v/>
      </c>
      <c r="O233" s="92" t="inlineStr"/>
      <c r="P233" s="93">
        <f>IF($E233="","",(L233+F233+M233)*K233)</f>
        <v/>
      </c>
      <c r="Q233" s="91">
        <f>IF($E233="","",L233*K233)</f>
        <v/>
      </c>
      <c r="R233" s="91">
        <f>IF($E233="","",F233*K233)</f>
        <v/>
      </c>
      <c r="S233" s="91">
        <f>IF($E233="","",M233*K233)</f>
        <v/>
      </c>
      <c r="T233" s="63">
        <f>IF(OR($E233="",B233=0),"",L233/B233*10000)</f>
        <v/>
      </c>
      <c r="U233" s="63">
        <f>IF(OR($E233="",C233=0),"",F233/C233*10000)</f>
        <v/>
      </c>
      <c r="V233" s="63">
        <f>IF(OR($E233="",D233=0),"",M233/D233*10000)</f>
        <v/>
      </c>
    </row>
    <row r="234">
      <c r="A234" s="35" t="n">
        <v>45888</v>
      </c>
      <c r="B234" s="90">
        <f>'Daily Data'!B234</f>
        <v/>
      </c>
      <c r="C234" s="90">
        <f>'Daily Data'!D234</f>
        <v/>
      </c>
      <c r="D234" s="90">
        <f>'Daily Data'!C234</f>
        <v/>
      </c>
      <c r="E234" s="90">
        <f>IF('Daily Data'!E234="","",'Daily Data'!E234)</f>
        <v/>
      </c>
      <c r="F234" s="90">
        <f>IF($E234="","",'Daily Data'!F234)</f>
        <v/>
      </c>
      <c r="G234" s="90">
        <f>IF($E234="","",'Daily Data'!G234)</f>
        <v/>
      </c>
      <c r="H234" s="91">
        <f>IF($E234="","",(1-K234)*F234-G234)</f>
        <v/>
      </c>
      <c r="I234" s="90">
        <f>IF($E234="","",'Daily Data'!H234)</f>
        <v/>
      </c>
      <c r="J234" s="91">
        <f>IF($E234="","",E234-H234-I234)</f>
        <v/>
      </c>
      <c r="K234" s="60">
        <f>IF($E234="","",IF(A234&lt;HLP_ChangeDate,HLP_Legacy,HLP_Current))</f>
        <v/>
      </c>
      <c r="L234" s="91">
        <f>IF($E234="","",J234/(1-K234))</f>
        <v/>
      </c>
      <c r="M234" s="90">
        <f>IF($E234="","",'Daily Data'!I234)</f>
        <v/>
      </c>
      <c r="N234" s="91">
        <f>IF($E234="","",M234*(1-K234)-I234)</f>
        <v/>
      </c>
      <c r="O234" s="92" t="inlineStr"/>
      <c r="P234" s="93">
        <f>IF($E234="","",(L234+F234+M234)*K234)</f>
        <v/>
      </c>
      <c r="Q234" s="91">
        <f>IF($E234="","",L234*K234)</f>
        <v/>
      </c>
      <c r="R234" s="91">
        <f>IF($E234="","",F234*K234)</f>
        <v/>
      </c>
      <c r="S234" s="91">
        <f>IF($E234="","",M234*K234)</f>
        <v/>
      </c>
      <c r="T234" s="63">
        <f>IF(OR($E234="",B234=0),"",L234/B234*10000)</f>
        <v/>
      </c>
      <c r="U234" s="63">
        <f>IF(OR($E234="",C234=0),"",F234/C234*10000)</f>
        <v/>
      </c>
      <c r="V234" s="63">
        <f>IF(OR($E234="",D234=0),"",M234/D234*10000)</f>
        <v/>
      </c>
    </row>
    <row r="235">
      <c r="A235" s="35" t="n">
        <v>45889</v>
      </c>
      <c r="B235" s="90">
        <f>'Daily Data'!B235</f>
        <v/>
      </c>
      <c r="C235" s="90">
        <f>'Daily Data'!D235</f>
        <v/>
      </c>
      <c r="D235" s="90">
        <f>'Daily Data'!C235</f>
        <v/>
      </c>
      <c r="E235" s="90">
        <f>IF('Daily Data'!E235="","",'Daily Data'!E235)</f>
        <v/>
      </c>
      <c r="F235" s="90">
        <f>IF($E235="","",'Daily Data'!F235)</f>
        <v/>
      </c>
      <c r="G235" s="90">
        <f>IF($E235="","",'Daily Data'!G235)</f>
        <v/>
      </c>
      <c r="H235" s="91">
        <f>IF($E235="","",(1-K235)*F235-G235)</f>
        <v/>
      </c>
      <c r="I235" s="90">
        <f>IF($E235="","",'Daily Data'!H235)</f>
        <v/>
      </c>
      <c r="J235" s="91">
        <f>IF($E235="","",E235-H235-I235)</f>
        <v/>
      </c>
      <c r="K235" s="60">
        <f>IF($E235="","",IF(A235&lt;HLP_ChangeDate,HLP_Legacy,HLP_Current))</f>
        <v/>
      </c>
      <c r="L235" s="91">
        <f>IF($E235="","",J235/(1-K235))</f>
        <v/>
      </c>
      <c r="M235" s="90">
        <f>IF($E235="","",'Daily Data'!I235)</f>
        <v/>
      </c>
      <c r="N235" s="91">
        <f>IF($E235="","",M235*(1-K235)-I235)</f>
        <v/>
      </c>
      <c r="O235" s="92" t="inlineStr"/>
      <c r="P235" s="93">
        <f>IF($E235="","",(L235+F235+M235)*K235)</f>
        <v/>
      </c>
      <c r="Q235" s="91">
        <f>IF($E235="","",L235*K235)</f>
        <v/>
      </c>
      <c r="R235" s="91">
        <f>IF($E235="","",F235*K235)</f>
        <v/>
      </c>
      <c r="S235" s="91">
        <f>IF($E235="","",M235*K235)</f>
        <v/>
      </c>
      <c r="T235" s="63">
        <f>IF(OR($E235="",B235=0),"",L235/B235*10000)</f>
        <v/>
      </c>
      <c r="U235" s="63">
        <f>IF(OR($E235="",C235=0),"",F235/C235*10000)</f>
        <v/>
      </c>
      <c r="V235" s="63">
        <f>IF(OR($E235="",D235=0),"",M235/D235*10000)</f>
        <v/>
      </c>
    </row>
    <row r="236">
      <c r="A236" s="35" t="n">
        <v>45890</v>
      </c>
      <c r="B236" s="90">
        <f>'Daily Data'!B236</f>
        <v/>
      </c>
      <c r="C236" s="90">
        <f>'Daily Data'!D236</f>
        <v/>
      </c>
      <c r="D236" s="90">
        <f>'Daily Data'!C236</f>
        <v/>
      </c>
      <c r="E236" s="90">
        <f>IF('Daily Data'!E236="","",'Daily Data'!E236)</f>
        <v/>
      </c>
      <c r="F236" s="90">
        <f>IF($E236="","",'Daily Data'!F236)</f>
        <v/>
      </c>
      <c r="G236" s="90">
        <f>IF($E236="","",'Daily Data'!G236)</f>
        <v/>
      </c>
      <c r="H236" s="91">
        <f>IF($E236="","",(1-K236)*F236-G236)</f>
        <v/>
      </c>
      <c r="I236" s="90">
        <f>IF($E236="","",'Daily Data'!H236)</f>
        <v/>
      </c>
      <c r="J236" s="91">
        <f>IF($E236="","",E236-H236-I236)</f>
        <v/>
      </c>
      <c r="K236" s="60">
        <f>IF($E236="","",IF(A236&lt;HLP_ChangeDate,HLP_Legacy,HLP_Current))</f>
        <v/>
      </c>
      <c r="L236" s="91">
        <f>IF($E236="","",J236/(1-K236))</f>
        <v/>
      </c>
      <c r="M236" s="90">
        <f>IF($E236="","",'Daily Data'!I236)</f>
        <v/>
      </c>
      <c r="N236" s="91">
        <f>IF($E236="","",M236*(1-K236)-I236)</f>
        <v/>
      </c>
      <c r="O236" s="92" t="inlineStr"/>
      <c r="P236" s="93">
        <f>IF($E236="","",(L236+F236+M236)*K236)</f>
        <v/>
      </c>
      <c r="Q236" s="91">
        <f>IF($E236="","",L236*K236)</f>
        <v/>
      </c>
      <c r="R236" s="91">
        <f>IF($E236="","",F236*K236)</f>
        <v/>
      </c>
      <c r="S236" s="91">
        <f>IF($E236="","",M236*K236)</f>
        <v/>
      </c>
      <c r="T236" s="63">
        <f>IF(OR($E236="",B236=0),"",L236/B236*10000)</f>
        <v/>
      </c>
      <c r="U236" s="63">
        <f>IF(OR($E236="",C236=0),"",F236/C236*10000)</f>
        <v/>
      </c>
      <c r="V236" s="63">
        <f>IF(OR($E236="",D236=0),"",M236/D236*10000)</f>
        <v/>
      </c>
    </row>
    <row r="237">
      <c r="A237" s="35" t="n">
        <v>45891</v>
      </c>
      <c r="B237" s="90">
        <f>'Daily Data'!B237</f>
        <v/>
      </c>
      <c r="C237" s="90">
        <f>'Daily Data'!D237</f>
        <v/>
      </c>
      <c r="D237" s="90">
        <f>'Daily Data'!C237</f>
        <v/>
      </c>
      <c r="E237" s="90">
        <f>IF('Daily Data'!E237="","",'Daily Data'!E237)</f>
        <v/>
      </c>
      <c r="F237" s="90">
        <f>IF($E237="","",'Daily Data'!F237)</f>
        <v/>
      </c>
      <c r="G237" s="90">
        <f>IF($E237="","",'Daily Data'!G237)</f>
        <v/>
      </c>
      <c r="H237" s="91">
        <f>IF($E237="","",(1-K237)*F237-G237)</f>
        <v/>
      </c>
      <c r="I237" s="90">
        <f>IF($E237="","",'Daily Data'!H237)</f>
        <v/>
      </c>
      <c r="J237" s="91">
        <f>IF($E237="","",E237-H237-I237)</f>
        <v/>
      </c>
      <c r="K237" s="60">
        <f>IF($E237="","",IF(A237&lt;HLP_ChangeDate,HLP_Legacy,HLP_Current))</f>
        <v/>
      </c>
      <c r="L237" s="91">
        <f>IF($E237="","",J237/(1-K237))</f>
        <v/>
      </c>
      <c r="M237" s="90">
        <f>IF($E237="","",'Daily Data'!I237)</f>
        <v/>
      </c>
      <c r="N237" s="91">
        <f>IF($E237="","",M237*(1-K237)-I237)</f>
        <v/>
      </c>
      <c r="O237" s="92" t="inlineStr"/>
      <c r="P237" s="93">
        <f>IF($E237="","",(L237+F237+M237)*K237)</f>
        <v/>
      </c>
      <c r="Q237" s="91">
        <f>IF($E237="","",L237*K237)</f>
        <v/>
      </c>
      <c r="R237" s="91">
        <f>IF($E237="","",F237*K237)</f>
        <v/>
      </c>
      <c r="S237" s="91">
        <f>IF($E237="","",M237*K237)</f>
        <v/>
      </c>
      <c r="T237" s="63">
        <f>IF(OR($E237="",B237=0),"",L237/B237*10000)</f>
        <v/>
      </c>
      <c r="U237" s="63">
        <f>IF(OR($E237="",C237=0),"",F237/C237*10000)</f>
        <v/>
      </c>
      <c r="V237" s="63">
        <f>IF(OR($E237="",D237=0),"",M237/D237*10000)</f>
        <v/>
      </c>
    </row>
    <row r="238">
      <c r="A238" s="35" t="n">
        <v>45892</v>
      </c>
      <c r="B238" s="90">
        <f>'Daily Data'!B238</f>
        <v/>
      </c>
      <c r="C238" s="90">
        <f>'Daily Data'!D238</f>
        <v/>
      </c>
      <c r="D238" s="90">
        <f>'Daily Data'!C238</f>
        <v/>
      </c>
      <c r="E238" s="90">
        <f>IF('Daily Data'!E238="","",'Daily Data'!E238)</f>
        <v/>
      </c>
      <c r="F238" s="90">
        <f>IF($E238="","",'Daily Data'!F238)</f>
        <v/>
      </c>
      <c r="G238" s="90">
        <f>IF($E238="","",'Daily Data'!G238)</f>
        <v/>
      </c>
      <c r="H238" s="91">
        <f>IF($E238="","",(1-K238)*F238-G238)</f>
        <v/>
      </c>
      <c r="I238" s="90">
        <f>IF($E238="","",'Daily Data'!H238)</f>
        <v/>
      </c>
      <c r="J238" s="91">
        <f>IF($E238="","",E238-H238-I238)</f>
        <v/>
      </c>
      <c r="K238" s="60">
        <f>IF($E238="","",IF(A238&lt;HLP_ChangeDate,HLP_Legacy,HLP_Current))</f>
        <v/>
      </c>
      <c r="L238" s="91">
        <f>IF($E238="","",J238/(1-K238))</f>
        <v/>
      </c>
      <c r="M238" s="90">
        <f>IF($E238="","",'Daily Data'!I238)</f>
        <v/>
      </c>
      <c r="N238" s="91">
        <f>IF($E238="","",M238*(1-K238)-I238)</f>
        <v/>
      </c>
      <c r="O238" s="92" t="inlineStr"/>
      <c r="P238" s="93">
        <f>IF($E238="","",(L238+F238+M238)*K238)</f>
        <v/>
      </c>
      <c r="Q238" s="91">
        <f>IF($E238="","",L238*K238)</f>
        <v/>
      </c>
      <c r="R238" s="91">
        <f>IF($E238="","",F238*K238)</f>
        <v/>
      </c>
      <c r="S238" s="91">
        <f>IF($E238="","",M238*K238)</f>
        <v/>
      </c>
      <c r="T238" s="63">
        <f>IF(OR($E238="",B238=0),"",L238/B238*10000)</f>
        <v/>
      </c>
      <c r="U238" s="63">
        <f>IF(OR($E238="",C238=0),"",F238/C238*10000)</f>
        <v/>
      </c>
      <c r="V238" s="63">
        <f>IF(OR($E238="",D238=0),"",M238/D238*10000)</f>
        <v/>
      </c>
    </row>
    <row r="239">
      <c r="A239" s="35" t="n">
        <v>45893</v>
      </c>
      <c r="B239" s="90">
        <f>'Daily Data'!B239</f>
        <v/>
      </c>
      <c r="C239" s="90">
        <f>'Daily Data'!D239</f>
        <v/>
      </c>
      <c r="D239" s="90">
        <f>'Daily Data'!C239</f>
        <v/>
      </c>
      <c r="E239" s="90">
        <f>IF('Daily Data'!E239="","",'Daily Data'!E239)</f>
        <v/>
      </c>
      <c r="F239" s="90">
        <f>IF($E239="","",'Daily Data'!F239)</f>
        <v/>
      </c>
      <c r="G239" s="90">
        <f>IF($E239="","",'Daily Data'!G239)</f>
        <v/>
      </c>
      <c r="H239" s="91">
        <f>IF($E239="","",(1-K239)*F239-G239)</f>
        <v/>
      </c>
      <c r="I239" s="90">
        <f>IF($E239="","",'Daily Data'!H239)</f>
        <v/>
      </c>
      <c r="J239" s="91">
        <f>IF($E239="","",E239-H239-I239)</f>
        <v/>
      </c>
      <c r="K239" s="60">
        <f>IF($E239="","",IF(A239&lt;HLP_ChangeDate,HLP_Legacy,HLP_Current))</f>
        <v/>
      </c>
      <c r="L239" s="91">
        <f>IF($E239="","",J239/(1-K239))</f>
        <v/>
      </c>
      <c r="M239" s="90">
        <f>IF($E239="","",'Daily Data'!I239)</f>
        <v/>
      </c>
      <c r="N239" s="91">
        <f>IF($E239="","",M239*(1-K239)-I239)</f>
        <v/>
      </c>
      <c r="O239" s="92" t="inlineStr"/>
      <c r="P239" s="93">
        <f>IF($E239="","",(L239+F239+M239)*K239)</f>
        <v/>
      </c>
      <c r="Q239" s="91">
        <f>IF($E239="","",L239*K239)</f>
        <v/>
      </c>
      <c r="R239" s="91">
        <f>IF($E239="","",F239*K239)</f>
        <v/>
      </c>
      <c r="S239" s="91">
        <f>IF($E239="","",M239*K239)</f>
        <v/>
      </c>
      <c r="T239" s="63">
        <f>IF(OR($E239="",B239=0),"",L239/B239*10000)</f>
        <v/>
      </c>
      <c r="U239" s="63">
        <f>IF(OR($E239="",C239=0),"",F239/C239*10000)</f>
        <v/>
      </c>
      <c r="V239" s="63">
        <f>IF(OR($E239="",D239=0),"",M239/D239*10000)</f>
        <v/>
      </c>
    </row>
    <row r="240">
      <c r="A240" s="35" t="n">
        <v>45894</v>
      </c>
      <c r="B240" s="90">
        <f>'Daily Data'!B240</f>
        <v/>
      </c>
      <c r="C240" s="90">
        <f>'Daily Data'!D240</f>
        <v/>
      </c>
      <c r="D240" s="90">
        <f>'Daily Data'!C240</f>
        <v/>
      </c>
      <c r="E240" s="90">
        <f>IF('Daily Data'!E240="","",'Daily Data'!E240)</f>
        <v/>
      </c>
      <c r="F240" s="90">
        <f>IF($E240="","",'Daily Data'!F240)</f>
        <v/>
      </c>
      <c r="G240" s="90">
        <f>IF($E240="","",'Daily Data'!G240)</f>
        <v/>
      </c>
      <c r="H240" s="91">
        <f>IF($E240="","",(1-K240)*F240-G240)</f>
        <v/>
      </c>
      <c r="I240" s="90">
        <f>IF($E240="","",'Daily Data'!H240)</f>
        <v/>
      </c>
      <c r="J240" s="91">
        <f>IF($E240="","",E240-H240-I240)</f>
        <v/>
      </c>
      <c r="K240" s="60">
        <f>IF($E240="","",IF(A240&lt;HLP_ChangeDate,HLP_Legacy,HLP_Current))</f>
        <v/>
      </c>
      <c r="L240" s="91">
        <f>IF($E240="","",J240/(1-K240))</f>
        <v/>
      </c>
      <c r="M240" s="90">
        <f>IF($E240="","",'Daily Data'!I240)</f>
        <v/>
      </c>
      <c r="N240" s="91">
        <f>IF($E240="","",M240*(1-K240)-I240)</f>
        <v/>
      </c>
      <c r="O240" s="92" t="inlineStr"/>
      <c r="P240" s="93">
        <f>IF($E240="","",(L240+F240+M240)*K240)</f>
        <v/>
      </c>
      <c r="Q240" s="91">
        <f>IF($E240="","",L240*K240)</f>
        <v/>
      </c>
      <c r="R240" s="91">
        <f>IF($E240="","",F240*K240)</f>
        <v/>
      </c>
      <c r="S240" s="91">
        <f>IF($E240="","",M240*K240)</f>
        <v/>
      </c>
      <c r="T240" s="63">
        <f>IF(OR($E240="",B240=0),"",L240/B240*10000)</f>
        <v/>
      </c>
      <c r="U240" s="63">
        <f>IF(OR($E240="",C240=0),"",F240/C240*10000)</f>
        <v/>
      </c>
      <c r="V240" s="63">
        <f>IF(OR($E240="",D240=0),"",M240/D240*10000)</f>
        <v/>
      </c>
    </row>
    <row r="241">
      <c r="A241" s="35" t="n">
        <v>45895</v>
      </c>
      <c r="B241" s="90">
        <f>'Daily Data'!B241</f>
        <v/>
      </c>
      <c r="C241" s="90">
        <f>'Daily Data'!D241</f>
        <v/>
      </c>
      <c r="D241" s="90">
        <f>'Daily Data'!C241</f>
        <v/>
      </c>
      <c r="E241" s="90">
        <f>IF('Daily Data'!E241="","",'Daily Data'!E241)</f>
        <v/>
      </c>
      <c r="F241" s="90">
        <f>IF($E241="","",'Daily Data'!F241)</f>
        <v/>
      </c>
      <c r="G241" s="90">
        <f>IF($E241="","",'Daily Data'!G241)</f>
        <v/>
      </c>
      <c r="H241" s="91">
        <f>IF($E241="","",(1-K241)*F241-G241)</f>
        <v/>
      </c>
      <c r="I241" s="90">
        <f>IF($E241="","",'Daily Data'!H241)</f>
        <v/>
      </c>
      <c r="J241" s="91">
        <f>IF($E241="","",E241-H241-I241)</f>
        <v/>
      </c>
      <c r="K241" s="60">
        <f>IF($E241="","",IF(A241&lt;HLP_ChangeDate,HLP_Legacy,HLP_Current))</f>
        <v/>
      </c>
      <c r="L241" s="91">
        <f>IF($E241="","",J241/(1-K241))</f>
        <v/>
      </c>
      <c r="M241" s="90">
        <f>IF($E241="","",'Daily Data'!I241)</f>
        <v/>
      </c>
      <c r="N241" s="91">
        <f>IF($E241="","",M241*(1-K241)-I241)</f>
        <v/>
      </c>
      <c r="O241" s="92" t="inlineStr"/>
      <c r="P241" s="93">
        <f>IF($E241="","",(L241+F241+M241)*K241)</f>
        <v/>
      </c>
      <c r="Q241" s="91">
        <f>IF($E241="","",L241*K241)</f>
        <v/>
      </c>
      <c r="R241" s="91">
        <f>IF($E241="","",F241*K241)</f>
        <v/>
      </c>
      <c r="S241" s="91">
        <f>IF($E241="","",M241*K241)</f>
        <v/>
      </c>
      <c r="T241" s="63">
        <f>IF(OR($E241="",B241=0),"",L241/B241*10000)</f>
        <v/>
      </c>
      <c r="U241" s="63">
        <f>IF(OR($E241="",C241=0),"",F241/C241*10000)</f>
        <v/>
      </c>
      <c r="V241" s="63">
        <f>IF(OR($E241="",D241=0),"",M241/D241*10000)</f>
        <v/>
      </c>
    </row>
    <row r="242">
      <c r="A242" s="35" t="n">
        <v>45896</v>
      </c>
      <c r="B242" s="90">
        <f>'Daily Data'!B242</f>
        <v/>
      </c>
      <c r="C242" s="90">
        <f>'Daily Data'!D242</f>
        <v/>
      </c>
      <c r="D242" s="90">
        <f>'Daily Data'!C242</f>
        <v/>
      </c>
      <c r="E242" s="90">
        <f>IF('Daily Data'!E242="","",'Daily Data'!E242)</f>
        <v/>
      </c>
      <c r="F242" s="90">
        <f>IF($E242="","",'Daily Data'!F242)</f>
        <v/>
      </c>
      <c r="G242" s="90">
        <f>IF($E242="","",'Daily Data'!G242)</f>
        <v/>
      </c>
      <c r="H242" s="91">
        <f>IF($E242="","",(1-K242)*F242-G242)</f>
        <v/>
      </c>
      <c r="I242" s="90">
        <f>IF($E242="","",'Daily Data'!H242)</f>
        <v/>
      </c>
      <c r="J242" s="91">
        <f>IF($E242="","",E242-H242-I242)</f>
        <v/>
      </c>
      <c r="K242" s="60">
        <f>IF($E242="","",IF(A242&lt;HLP_ChangeDate,HLP_Legacy,HLP_Current))</f>
        <v/>
      </c>
      <c r="L242" s="91">
        <f>IF($E242="","",J242/(1-K242))</f>
        <v/>
      </c>
      <c r="M242" s="90">
        <f>IF($E242="","",'Daily Data'!I242)</f>
        <v/>
      </c>
      <c r="N242" s="91">
        <f>IF($E242="","",M242*(1-K242)-I242)</f>
        <v/>
      </c>
      <c r="O242" s="92" t="inlineStr"/>
      <c r="P242" s="93">
        <f>IF($E242="","",(L242+F242+M242)*K242)</f>
        <v/>
      </c>
      <c r="Q242" s="91">
        <f>IF($E242="","",L242*K242)</f>
        <v/>
      </c>
      <c r="R242" s="91">
        <f>IF($E242="","",F242*K242)</f>
        <v/>
      </c>
      <c r="S242" s="91">
        <f>IF($E242="","",M242*K242)</f>
        <v/>
      </c>
      <c r="T242" s="63">
        <f>IF(OR($E242="",B242=0),"",L242/B242*10000)</f>
        <v/>
      </c>
      <c r="U242" s="63">
        <f>IF(OR($E242="",C242=0),"",F242/C242*10000)</f>
        <v/>
      </c>
      <c r="V242" s="63">
        <f>IF(OR($E242="",D242=0),"",M242/D242*10000)</f>
        <v/>
      </c>
    </row>
    <row r="243">
      <c r="A243" s="35" t="n">
        <v>45897</v>
      </c>
      <c r="B243" s="90">
        <f>'Daily Data'!B243</f>
        <v/>
      </c>
      <c r="C243" s="90">
        <f>'Daily Data'!D243</f>
        <v/>
      </c>
      <c r="D243" s="90">
        <f>'Daily Data'!C243</f>
        <v/>
      </c>
      <c r="E243" s="90">
        <f>IF('Daily Data'!E243="","",'Daily Data'!E243)</f>
        <v/>
      </c>
      <c r="F243" s="90">
        <f>IF($E243="","",'Daily Data'!F243)</f>
        <v/>
      </c>
      <c r="G243" s="90">
        <f>IF($E243="","",'Daily Data'!G243)</f>
        <v/>
      </c>
      <c r="H243" s="91">
        <f>IF($E243="","",(1-K243)*F243-G243)</f>
        <v/>
      </c>
      <c r="I243" s="90">
        <f>IF($E243="","",'Daily Data'!H243)</f>
        <v/>
      </c>
      <c r="J243" s="91">
        <f>IF($E243="","",E243-H243-I243)</f>
        <v/>
      </c>
      <c r="K243" s="60">
        <f>IF($E243="","",IF(A243&lt;HLP_ChangeDate,HLP_Legacy,HLP_Current))</f>
        <v/>
      </c>
      <c r="L243" s="91">
        <f>IF($E243="","",J243/(1-K243))</f>
        <v/>
      </c>
      <c r="M243" s="90">
        <f>IF($E243="","",'Daily Data'!I243)</f>
        <v/>
      </c>
      <c r="N243" s="91">
        <f>IF($E243="","",M243*(1-K243)-I243)</f>
        <v/>
      </c>
      <c r="O243" s="92" t="inlineStr"/>
      <c r="P243" s="93">
        <f>IF($E243="","",(L243+F243+M243)*K243)</f>
        <v/>
      </c>
      <c r="Q243" s="91">
        <f>IF($E243="","",L243*K243)</f>
        <v/>
      </c>
      <c r="R243" s="91">
        <f>IF($E243="","",F243*K243)</f>
        <v/>
      </c>
      <c r="S243" s="91">
        <f>IF($E243="","",M243*K243)</f>
        <v/>
      </c>
      <c r="T243" s="63">
        <f>IF(OR($E243="",B243=0),"",L243/B243*10000)</f>
        <v/>
      </c>
      <c r="U243" s="63">
        <f>IF(OR($E243="",C243=0),"",F243/C243*10000)</f>
        <v/>
      </c>
      <c r="V243" s="63">
        <f>IF(OR($E243="",D243=0),"",M243/D243*10000)</f>
        <v/>
      </c>
    </row>
    <row r="244">
      <c r="A244" s="35" t="n">
        <v>45898</v>
      </c>
      <c r="B244" s="90">
        <f>'Daily Data'!B244</f>
        <v/>
      </c>
      <c r="C244" s="90">
        <f>'Daily Data'!D244</f>
        <v/>
      </c>
      <c r="D244" s="90">
        <f>'Daily Data'!C244</f>
        <v/>
      </c>
      <c r="E244" s="90">
        <f>IF('Daily Data'!E244="","",'Daily Data'!E244)</f>
        <v/>
      </c>
      <c r="F244" s="90">
        <f>IF($E244="","",'Daily Data'!F244)</f>
        <v/>
      </c>
      <c r="G244" s="90">
        <f>IF($E244="","",'Daily Data'!G244)</f>
        <v/>
      </c>
      <c r="H244" s="91">
        <f>IF($E244="","",(1-K244)*F244-G244)</f>
        <v/>
      </c>
      <c r="I244" s="90">
        <f>IF($E244="","",'Daily Data'!H244)</f>
        <v/>
      </c>
      <c r="J244" s="91">
        <f>IF($E244="","",E244-H244-I244)</f>
        <v/>
      </c>
      <c r="K244" s="60">
        <f>IF($E244="","",IF(A244&lt;HLP_ChangeDate,HLP_Legacy,HLP_Current))</f>
        <v/>
      </c>
      <c r="L244" s="91">
        <f>IF($E244="","",J244/(1-K244))</f>
        <v/>
      </c>
      <c r="M244" s="90">
        <f>IF($E244="","",'Daily Data'!I244)</f>
        <v/>
      </c>
      <c r="N244" s="91">
        <f>IF($E244="","",M244*(1-K244)-I244)</f>
        <v/>
      </c>
      <c r="O244" s="92" t="inlineStr"/>
      <c r="P244" s="93">
        <f>IF($E244="","",(L244+F244+M244)*K244)</f>
        <v/>
      </c>
      <c r="Q244" s="91">
        <f>IF($E244="","",L244*K244)</f>
        <v/>
      </c>
      <c r="R244" s="91">
        <f>IF($E244="","",F244*K244)</f>
        <v/>
      </c>
      <c r="S244" s="91">
        <f>IF($E244="","",M244*K244)</f>
        <v/>
      </c>
      <c r="T244" s="63">
        <f>IF(OR($E244="",B244=0),"",L244/B244*10000)</f>
        <v/>
      </c>
      <c r="U244" s="63">
        <f>IF(OR($E244="",C244=0),"",F244/C244*10000)</f>
        <v/>
      </c>
      <c r="V244" s="63">
        <f>IF(OR($E244="",D244=0),"",M244/D244*10000)</f>
        <v/>
      </c>
    </row>
    <row r="245">
      <c r="A245" s="35" t="n">
        <v>45899</v>
      </c>
      <c r="B245" s="90">
        <f>'Daily Data'!B245</f>
        <v/>
      </c>
      <c r="C245" s="90">
        <f>'Daily Data'!D245</f>
        <v/>
      </c>
      <c r="D245" s="90">
        <f>'Daily Data'!C245</f>
        <v/>
      </c>
      <c r="E245" s="90">
        <f>IF('Daily Data'!E245="","",'Daily Data'!E245)</f>
        <v/>
      </c>
      <c r="F245" s="90">
        <f>IF($E245="","",'Daily Data'!F245)</f>
        <v/>
      </c>
      <c r="G245" s="90">
        <f>IF($E245="","",'Daily Data'!G245)</f>
        <v/>
      </c>
      <c r="H245" s="91">
        <f>IF($E245="","",(1-K245)*F245-G245)</f>
        <v/>
      </c>
      <c r="I245" s="90">
        <f>IF($E245="","",'Daily Data'!H245)</f>
        <v/>
      </c>
      <c r="J245" s="91">
        <f>IF($E245="","",E245-H245-I245)</f>
        <v/>
      </c>
      <c r="K245" s="60">
        <f>IF($E245="","",IF(A245&lt;HLP_ChangeDate,HLP_Legacy,HLP_Current))</f>
        <v/>
      </c>
      <c r="L245" s="91">
        <f>IF($E245="","",J245/(1-K245))</f>
        <v/>
      </c>
      <c r="M245" s="90">
        <f>IF($E245="","",'Daily Data'!I245)</f>
        <v/>
      </c>
      <c r="N245" s="91">
        <f>IF($E245="","",M245*(1-K245)-I245)</f>
        <v/>
      </c>
      <c r="O245" s="92" t="inlineStr"/>
      <c r="P245" s="93">
        <f>IF($E245="","",(L245+F245+M245)*K245)</f>
        <v/>
      </c>
      <c r="Q245" s="91">
        <f>IF($E245="","",L245*K245)</f>
        <v/>
      </c>
      <c r="R245" s="91">
        <f>IF($E245="","",F245*K245)</f>
        <v/>
      </c>
      <c r="S245" s="91">
        <f>IF($E245="","",M245*K245)</f>
        <v/>
      </c>
      <c r="T245" s="63">
        <f>IF(OR($E245="",B245=0),"",L245/B245*10000)</f>
        <v/>
      </c>
      <c r="U245" s="63">
        <f>IF(OR($E245="",C245=0),"",F245/C245*10000)</f>
        <v/>
      </c>
      <c r="V245" s="63">
        <f>IF(OR($E245="",D245=0),"",M245/D245*10000)</f>
        <v/>
      </c>
    </row>
    <row r="246">
      <c r="A246" s="35" t="n">
        <v>45900</v>
      </c>
      <c r="B246" s="90">
        <f>'Daily Data'!B246</f>
        <v/>
      </c>
      <c r="C246" s="90">
        <f>'Daily Data'!D246</f>
        <v/>
      </c>
      <c r="D246" s="90">
        <f>'Daily Data'!C246</f>
        <v/>
      </c>
      <c r="E246" s="90">
        <f>IF('Daily Data'!E246="","",'Daily Data'!E246)</f>
        <v/>
      </c>
      <c r="F246" s="90">
        <f>IF($E246="","",'Daily Data'!F246)</f>
        <v/>
      </c>
      <c r="G246" s="90">
        <f>IF($E246="","",'Daily Data'!G246)</f>
        <v/>
      </c>
      <c r="H246" s="91">
        <f>IF($E246="","",(1-K246)*F246-G246)</f>
        <v/>
      </c>
      <c r="I246" s="90">
        <f>IF($E246="","",'Daily Data'!H246)</f>
        <v/>
      </c>
      <c r="J246" s="91">
        <f>IF($E246="","",E246-H246-I246)</f>
        <v/>
      </c>
      <c r="K246" s="60">
        <f>IF($E246="","",IF(A246&lt;HLP_ChangeDate,HLP_Legacy,HLP_Current))</f>
        <v/>
      </c>
      <c r="L246" s="91">
        <f>IF($E246="","",J246/(1-K246))</f>
        <v/>
      </c>
      <c r="M246" s="90">
        <f>IF($E246="","",'Daily Data'!I246)</f>
        <v/>
      </c>
      <c r="N246" s="91">
        <f>IF($E246="","",M246*(1-K246)-I246)</f>
        <v/>
      </c>
      <c r="O246" s="92" t="inlineStr"/>
      <c r="P246" s="93">
        <f>IF($E246="","",(L246+F246+M246)*K246)</f>
        <v/>
      </c>
      <c r="Q246" s="91">
        <f>IF($E246="","",L246*K246)</f>
        <v/>
      </c>
      <c r="R246" s="91">
        <f>IF($E246="","",F246*K246)</f>
        <v/>
      </c>
      <c r="S246" s="91">
        <f>IF($E246="","",M246*K246)</f>
        <v/>
      </c>
      <c r="T246" s="63">
        <f>IF(OR($E246="",B246=0),"",L246/B246*10000)</f>
        <v/>
      </c>
      <c r="U246" s="63">
        <f>IF(OR($E246="",C246=0),"",F246/C246*10000)</f>
        <v/>
      </c>
      <c r="V246" s="63">
        <f>IF(OR($E246="",D246=0),"",M246/D246*10000)</f>
        <v/>
      </c>
    </row>
    <row r="247">
      <c r="A247" s="35" t="n">
        <v>45901</v>
      </c>
      <c r="B247" s="90">
        <f>'Daily Data'!B247</f>
        <v/>
      </c>
      <c r="C247" s="90">
        <f>'Daily Data'!D247</f>
        <v/>
      </c>
      <c r="D247" s="90">
        <f>'Daily Data'!C247</f>
        <v/>
      </c>
      <c r="E247" s="90">
        <f>IF('Daily Data'!E247="","",'Daily Data'!E247)</f>
        <v/>
      </c>
      <c r="F247" s="90">
        <f>IF($E247="","",'Daily Data'!F247)</f>
        <v/>
      </c>
      <c r="G247" s="90">
        <f>IF($E247="","",'Daily Data'!G247)</f>
        <v/>
      </c>
      <c r="H247" s="91">
        <f>IF($E247="","",(1-K247)*F247-G247)</f>
        <v/>
      </c>
      <c r="I247" s="90">
        <f>IF($E247="","",'Daily Data'!H247)</f>
        <v/>
      </c>
      <c r="J247" s="91">
        <f>IF($E247="","",E247-H247-I247)</f>
        <v/>
      </c>
      <c r="K247" s="60">
        <f>IF($E247="","",IF(A247&lt;HLP_ChangeDate,HLP_Legacy,HLP_Current))</f>
        <v/>
      </c>
      <c r="L247" s="91">
        <f>IF($E247="","",J247/(1-K247))</f>
        <v/>
      </c>
      <c r="M247" s="90">
        <f>IF($E247="","",'Daily Data'!I247)</f>
        <v/>
      </c>
      <c r="N247" s="91">
        <f>IF($E247="","",M247*(1-K247)-I247)</f>
        <v/>
      </c>
      <c r="O247" s="92" t="inlineStr"/>
      <c r="P247" s="93">
        <f>IF($E247="","",(L247+F247+M247)*K247)</f>
        <v/>
      </c>
      <c r="Q247" s="91">
        <f>IF($E247="","",L247*K247)</f>
        <v/>
      </c>
      <c r="R247" s="91">
        <f>IF($E247="","",F247*K247)</f>
        <v/>
      </c>
      <c r="S247" s="91">
        <f>IF($E247="","",M247*K247)</f>
        <v/>
      </c>
      <c r="T247" s="63">
        <f>IF(OR($E247="",B247=0),"",L247/B247*10000)</f>
        <v/>
      </c>
      <c r="U247" s="63">
        <f>IF(OR($E247="",C247=0),"",F247/C247*10000)</f>
        <v/>
      </c>
      <c r="V247" s="63">
        <f>IF(OR($E247="",D247=0),"",M247/D247*10000)</f>
        <v/>
      </c>
    </row>
    <row r="248">
      <c r="A248" s="35" t="n">
        <v>45902</v>
      </c>
      <c r="B248" s="90">
        <f>'Daily Data'!B248</f>
        <v/>
      </c>
      <c r="C248" s="90">
        <f>'Daily Data'!D248</f>
        <v/>
      </c>
      <c r="D248" s="90">
        <f>'Daily Data'!C248</f>
        <v/>
      </c>
      <c r="E248" s="90">
        <f>IF('Daily Data'!E248="","",'Daily Data'!E248)</f>
        <v/>
      </c>
      <c r="F248" s="90">
        <f>IF($E248="","",'Daily Data'!F248)</f>
        <v/>
      </c>
      <c r="G248" s="90">
        <f>IF($E248="","",'Daily Data'!G248)</f>
        <v/>
      </c>
      <c r="H248" s="91">
        <f>IF($E248="","",(1-K248)*F248-G248)</f>
        <v/>
      </c>
      <c r="I248" s="90">
        <f>IF($E248="","",'Daily Data'!H248)</f>
        <v/>
      </c>
      <c r="J248" s="91">
        <f>IF($E248="","",E248-H248-I248)</f>
        <v/>
      </c>
      <c r="K248" s="60">
        <f>IF($E248="","",IF(A248&lt;HLP_ChangeDate,HLP_Legacy,HLP_Current))</f>
        <v/>
      </c>
      <c r="L248" s="91">
        <f>IF($E248="","",J248/(1-K248))</f>
        <v/>
      </c>
      <c r="M248" s="90">
        <f>IF($E248="","",'Daily Data'!I248)</f>
        <v/>
      </c>
      <c r="N248" s="91">
        <f>IF($E248="","",M248*(1-K248)-I248)</f>
        <v/>
      </c>
      <c r="O248" s="92" t="inlineStr"/>
      <c r="P248" s="93">
        <f>IF($E248="","",(L248+F248+M248)*K248)</f>
        <v/>
      </c>
      <c r="Q248" s="91">
        <f>IF($E248="","",L248*K248)</f>
        <v/>
      </c>
      <c r="R248" s="91">
        <f>IF($E248="","",F248*K248)</f>
        <v/>
      </c>
      <c r="S248" s="91">
        <f>IF($E248="","",M248*K248)</f>
        <v/>
      </c>
      <c r="T248" s="63">
        <f>IF(OR($E248="",B248=0),"",L248/B248*10000)</f>
        <v/>
      </c>
      <c r="U248" s="63">
        <f>IF(OR($E248="",C248=0),"",F248/C248*10000)</f>
        <v/>
      </c>
      <c r="V248" s="63">
        <f>IF(OR($E248="",D248=0),"",M248/D248*10000)</f>
        <v/>
      </c>
    </row>
    <row r="249">
      <c r="A249" s="35" t="n">
        <v>45903</v>
      </c>
      <c r="B249" s="90">
        <f>'Daily Data'!B249</f>
        <v/>
      </c>
      <c r="C249" s="90">
        <f>'Daily Data'!D249</f>
        <v/>
      </c>
      <c r="D249" s="90">
        <f>'Daily Data'!C249</f>
        <v/>
      </c>
      <c r="E249" s="90">
        <f>IF('Daily Data'!E249="","",'Daily Data'!E249)</f>
        <v/>
      </c>
      <c r="F249" s="90">
        <f>IF($E249="","",'Daily Data'!F249)</f>
        <v/>
      </c>
      <c r="G249" s="90">
        <f>IF($E249="","",'Daily Data'!G249)</f>
        <v/>
      </c>
      <c r="H249" s="91">
        <f>IF($E249="","",(1-K249)*F249-G249)</f>
        <v/>
      </c>
      <c r="I249" s="90">
        <f>IF($E249="","",'Daily Data'!H249)</f>
        <v/>
      </c>
      <c r="J249" s="91">
        <f>IF($E249="","",E249-H249-I249)</f>
        <v/>
      </c>
      <c r="K249" s="60">
        <f>IF($E249="","",IF(A249&lt;HLP_ChangeDate,HLP_Legacy,HLP_Current))</f>
        <v/>
      </c>
      <c r="L249" s="91">
        <f>IF($E249="","",J249/(1-K249))</f>
        <v/>
      </c>
      <c r="M249" s="90">
        <f>IF($E249="","",'Daily Data'!I249)</f>
        <v/>
      </c>
      <c r="N249" s="91">
        <f>IF($E249="","",M249*(1-K249)-I249)</f>
        <v/>
      </c>
      <c r="O249" s="92" t="inlineStr"/>
      <c r="P249" s="93">
        <f>IF($E249="","",(L249+F249+M249)*K249)</f>
        <v/>
      </c>
      <c r="Q249" s="91">
        <f>IF($E249="","",L249*K249)</f>
        <v/>
      </c>
      <c r="R249" s="91">
        <f>IF($E249="","",F249*K249)</f>
        <v/>
      </c>
      <c r="S249" s="91">
        <f>IF($E249="","",M249*K249)</f>
        <v/>
      </c>
      <c r="T249" s="63">
        <f>IF(OR($E249="",B249=0),"",L249/B249*10000)</f>
        <v/>
      </c>
      <c r="U249" s="63">
        <f>IF(OR($E249="",C249=0),"",F249/C249*10000)</f>
        <v/>
      </c>
      <c r="V249" s="63">
        <f>IF(OR($E249="",D249=0),"",M249/D249*10000)</f>
        <v/>
      </c>
    </row>
    <row r="250">
      <c r="A250" s="35" t="n">
        <v>45904</v>
      </c>
      <c r="B250" s="90">
        <f>'Daily Data'!B250</f>
        <v/>
      </c>
      <c r="C250" s="90">
        <f>'Daily Data'!D250</f>
        <v/>
      </c>
      <c r="D250" s="90">
        <f>'Daily Data'!C250</f>
        <v/>
      </c>
      <c r="E250" s="90">
        <f>IF('Daily Data'!E250="","",'Daily Data'!E250)</f>
        <v/>
      </c>
      <c r="F250" s="90">
        <f>IF($E250="","",'Daily Data'!F250)</f>
        <v/>
      </c>
      <c r="G250" s="90">
        <f>IF($E250="","",'Daily Data'!G250)</f>
        <v/>
      </c>
      <c r="H250" s="91">
        <f>IF($E250="","",(1-K250)*F250-G250)</f>
        <v/>
      </c>
      <c r="I250" s="90">
        <f>IF($E250="","",'Daily Data'!H250)</f>
        <v/>
      </c>
      <c r="J250" s="91">
        <f>IF($E250="","",E250-H250-I250)</f>
        <v/>
      </c>
      <c r="K250" s="60">
        <f>IF($E250="","",IF(A250&lt;HLP_ChangeDate,HLP_Legacy,HLP_Current))</f>
        <v/>
      </c>
      <c r="L250" s="91">
        <f>IF($E250="","",J250/(1-K250))</f>
        <v/>
      </c>
      <c r="M250" s="90">
        <f>IF($E250="","",'Daily Data'!I250)</f>
        <v/>
      </c>
      <c r="N250" s="91">
        <f>IF($E250="","",M250*(1-K250)-I250)</f>
        <v/>
      </c>
      <c r="O250" s="92" t="inlineStr"/>
      <c r="P250" s="93">
        <f>IF($E250="","",(L250+F250+M250)*K250)</f>
        <v/>
      </c>
      <c r="Q250" s="91">
        <f>IF($E250="","",L250*K250)</f>
        <v/>
      </c>
      <c r="R250" s="91">
        <f>IF($E250="","",F250*K250)</f>
        <v/>
      </c>
      <c r="S250" s="91">
        <f>IF($E250="","",M250*K250)</f>
        <v/>
      </c>
      <c r="T250" s="63">
        <f>IF(OR($E250="",B250=0),"",L250/B250*10000)</f>
        <v/>
      </c>
      <c r="U250" s="63">
        <f>IF(OR($E250="",C250=0),"",F250/C250*10000)</f>
        <v/>
      </c>
      <c r="V250" s="63">
        <f>IF(OR($E250="",D250=0),"",M250/D250*10000)</f>
        <v/>
      </c>
    </row>
    <row r="251">
      <c r="A251" s="35" t="n">
        <v>45905</v>
      </c>
      <c r="B251" s="90">
        <f>'Daily Data'!B251</f>
        <v/>
      </c>
      <c r="C251" s="90">
        <f>'Daily Data'!D251</f>
        <v/>
      </c>
      <c r="D251" s="90">
        <f>'Daily Data'!C251</f>
        <v/>
      </c>
      <c r="E251" s="90">
        <f>IF('Daily Data'!E251="","",'Daily Data'!E251)</f>
        <v/>
      </c>
      <c r="F251" s="90">
        <f>IF($E251="","",'Daily Data'!F251)</f>
        <v/>
      </c>
      <c r="G251" s="90">
        <f>IF($E251="","",'Daily Data'!G251)</f>
        <v/>
      </c>
      <c r="H251" s="91">
        <f>IF($E251="","",(1-K251)*F251-G251)</f>
        <v/>
      </c>
      <c r="I251" s="90">
        <f>IF($E251="","",'Daily Data'!H251)</f>
        <v/>
      </c>
      <c r="J251" s="91">
        <f>IF($E251="","",E251-H251-I251)</f>
        <v/>
      </c>
      <c r="K251" s="60">
        <f>IF($E251="","",IF(A251&lt;HLP_ChangeDate,HLP_Legacy,HLP_Current))</f>
        <v/>
      </c>
      <c r="L251" s="91">
        <f>IF($E251="","",J251/(1-K251))</f>
        <v/>
      </c>
      <c r="M251" s="90">
        <f>IF($E251="","",'Daily Data'!I251)</f>
        <v/>
      </c>
      <c r="N251" s="91">
        <f>IF($E251="","",M251*(1-K251)-I251)</f>
        <v/>
      </c>
      <c r="O251" s="92" t="inlineStr"/>
      <c r="P251" s="93">
        <f>IF($E251="","",(L251+F251+M251)*K251)</f>
        <v/>
      </c>
      <c r="Q251" s="91">
        <f>IF($E251="","",L251*K251)</f>
        <v/>
      </c>
      <c r="R251" s="91">
        <f>IF($E251="","",F251*K251)</f>
        <v/>
      </c>
      <c r="S251" s="91">
        <f>IF($E251="","",M251*K251)</f>
        <v/>
      </c>
      <c r="T251" s="63">
        <f>IF(OR($E251="",B251=0),"",L251/B251*10000)</f>
        <v/>
      </c>
      <c r="U251" s="63">
        <f>IF(OR($E251="",C251=0),"",F251/C251*10000)</f>
        <v/>
      </c>
      <c r="V251" s="63">
        <f>IF(OR($E251="",D251=0),"",M251/D251*10000)</f>
        <v/>
      </c>
    </row>
    <row r="252">
      <c r="A252" s="35" t="n">
        <v>45906</v>
      </c>
      <c r="B252" s="90">
        <f>'Daily Data'!B252</f>
        <v/>
      </c>
      <c r="C252" s="90">
        <f>'Daily Data'!D252</f>
        <v/>
      </c>
      <c r="D252" s="90">
        <f>'Daily Data'!C252</f>
        <v/>
      </c>
      <c r="E252" s="90">
        <f>IF('Daily Data'!E252="","",'Daily Data'!E252)</f>
        <v/>
      </c>
      <c r="F252" s="90">
        <f>IF($E252="","",'Daily Data'!F252)</f>
        <v/>
      </c>
      <c r="G252" s="90">
        <f>IF($E252="","",'Daily Data'!G252)</f>
        <v/>
      </c>
      <c r="H252" s="91">
        <f>IF($E252="","",(1-K252)*F252-G252)</f>
        <v/>
      </c>
      <c r="I252" s="90">
        <f>IF($E252="","",'Daily Data'!H252)</f>
        <v/>
      </c>
      <c r="J252" s="91">
        <f>IF($E252="","",E252-H252-I252)</f>
        <v/>
      </c>
      <c r="K252" s="60">
        <f>IF($E252="","",IF(A252&lt;HLP_ChangeDate,HLP_Legacy,HLP_Current))</f>
        <v/>
      </c>
      <c r="L252" s="91">
        <f>IF($E252="","",J252/(1-K252))</f>
        <v/>
      </c>
      <c r="M252" s="90">
        <f>IF($E252="","",'Daily Data'!I252)</f>
        <v/>
      </c>
      <c r="N252" s="91">
        <f>IF($E252="","",M252*(1-K252)-I252)</f>
        <v/>
      </c>
      <c r="O252" s="92" t="inlineStr"/>
      <c r="P252" s="93">
        <f>IF($E252="","",(L252+F252+M252)*K252)</f>
        <v/>
      </c>
      <c r="Q252" s="91">
        <f>IF($E252="","",L252*K252)</f>
        <v/>
      </c>
      <c r="R252" s="91">
        <f>IF($E252="","",F252*K252)</f>
        <v/>
      </c>
      <c r="S252" s="91">
        <f>IF($E252="","",M252*K252)</f>
        <v/>
      </c>
      <c r="T252" s="63">
        <f>IF(OR($E252="",B252=0),"",L252/B252*10000)</f>
        <v/>
      </c>
      <c r="U252" s="63">
        <f>IF(OR($E252="",C252=0),"",F252/C252*10000)</f>
        <v/>
      </c>
      <c r="V252" s="63">
        <f>IF(OR($E252="",D252=0),"",M252/D252*10000)</f>
        <v/>
      </c>
    </row>
    <row r="253">
      <c r="A253" s="35" t="n">
        <v>45907</v>
      </c>
      <c r="B253" s="90">
        <f>'Daily Data'!B253</f>
        <v/>
      </c>
      <c r="C253" s="90">
        <f>'Daily Data'!D253</f>
        <v/>
      </c>
      <c r="D253" s="90">
        <f>'Daily Data'!C253</f>
        <v/>
      </c>
      <c r="E253" s="90">
        <f>IF('Daily Data'!E253="","",'Daily Data'!E253)</f>
        <v/>
      </c>
      <c r="F253" s="90">
        <f>IF($E253="","",'Daily Data'!F253)</f>
        <v/>
      </c>
      <c r="G253" s="90">
        <f>IF($E253="","",'Daily Data'!G253)</f>
        <v/>
      </c>
      <c r="H253" s="91">
        <f>IF($E253="","",(1-K253)*F253-G253)</f>
        <v/>
      </c>
      <c r="I253" s="90">
        <f>IF($E253="","",'Daily Data'!H253)</f>
        <v/>
      </c>
      <c r="J253" s="91">
        <f>IF($E253="","",E253-H253-I253)</f>
        <v/>
      </c>
      <c r="K253" s="60">
        <f>IF($E253="","",IF(A253&lt;HLP_ChangeDate,HLP_Legacy,HLP_Current))</f>
        <v/>
      </c>
      <c r="L253" s="91">
        <f>IF($E253="","",J253/(1-K253))</f>
        <v/>
      </c>
      <c r="M253" s="90">
        <f>IF($E253="","",'Daily Data'!I253)</f>
        <v/>
      </c>
      <c r="N253" s="91">
        <f>IF($E253="","",M253*(1-K253)-I253)</f>
        <v/>
      </c>
      <c r="O253" s="92" t="inlineStr"/>
      <c r="P253" s="93">
        <f>IF($E253="","",(L253+F253+M253)*K253)</f>
        <v/>
      </c>
      <c r="Q253" s="91">
        <f>IF($E253="","",L253*K253)</f>
        <v/>
      </c>
      <c r="R253" s="91">
        <f>IF($E253="","",F253*K253)</f>
        <v/>
      </c>
      <c r="S253" s="91">
        <f>IF($E253="","",M253*K253)</f>
        <v/>
      </c>
      <c r="T253" s="63">
        <f>IF(OR($E253="",B253=0),"",L253/B253*10000)</f>
        <v/>
      </c>
      <c r="U253" s="63">
        <f>IF(OR($E253="",C253=0),"",F253/C253*10000)</f>
        <v/>
      </c>
      <c r="V253" s="63">
        <f>IF(OR($E253="",D253=0),"",M253/D253*10000)</f>
        <v/>
      </c>
    </row>
    <row r="254">
      <c r="A254" s="35" t="n">
        <v>45908</v>
      </c>
      <c r="B254" s="90">
        <f>'Daily Data'!B254</f>
        <v/>
      </c>
      <c r="C254" s="90">
        <f>'Daily Data'!D254</f>
        <v/>
      </c>
      <c r="D254" s="90">
        <f>'Daily Data'!C254</f>
        <v/>
      </c>
      <c r="E254" s="90">
        <f>IF('Daily Data'!E254="","",'Daily Data'!E254)</f>
        <v/>
      </c>
      <c r="F254" s="90">
        <f>IF($E254="","",'Daily Data'!F254)</f>
        <v/>
      </c>
      <c r="G254" s="90">
        <f>IF($E254="","",'Daily Data'!G254)</f>
        <v/>
      </c>
      <c r="H254" s="91">
        <f>IF($E254="","",(1-K254)*F254-G254)</f>
        <v/>
      </c>
      <c r="I254" s="90">
        <f>IF($E254="","",'Daily Data'!H254)</f>
        <v/>
      </c>
      <c r="J254" s="91">
        <f>IF($E254="","",E254-H254-I254)</f>
        <v/>
      </c>
      <c r="K254" s="60">
        <f>IF($E254="","",IF(A254&lt;HLP_ChangeDate,HLP_Legacy,HLP_Current))</f>
        <v/>
      </c>
      <c r="L254" s="91">
        <f>IF($E254="","",J254/(1-K254))</f>
        <v/>
      </c>
      <c r="M254" s="90">
        <f>IF($E254="","",'Daily Data'!I254)</f>
        <v/>
      </c>
      <c r="N254" s="91">
        <f>IF($E254="","",M254*(1-K254)-I254)</f>
        <v/>
      </c>
      <c r="O254" s="92" t="inlineStr"/>
      <c r="P254" s="93">
        <f>IF($E254="","",(L254+F254+M254)*K254)</f>
        <v/>
      </c>
      <c r="Q254" s="91">
        <f>IF($E254="","",L254*K254)</f>
        <v/>
      </c>
      <c r="R254" s="91">
        <f>IF($E254="","",F254*K254)</f>
        <v/>
      </c>
      <c r="S254" s="91">
        <f>IF($E254="","",M254*K254)</f>
        <v/>
      </c>
      <c r="T254" s="63">
        <f>IF(OR($E254="",B254=0),"",L254/B254*10000)</f>
        <v/>
      </c>
      <c r="U254" s="63">
        <f>IF(OR($E254="",C254=0),"",F254/C254*10000)</f>
        <v/>
      </c>
      <c r="V254" s="63">
        <f>IF(OR($E254="",D254=0),"",M254/D254*10000)</f>
        <v/>
      </c>
    </row>
    <row r="255">
      <c r="A255" s="35" t="n">
        <v>45909</v>
      </c>
      <c r="B255" s="90">
        <f>'Daily Data'!B255</f>
        <v/>
      </c>
      <c r="C255" s="90">
        <f>'Daily Data'!D255</f>
        <v/>
      </c>
      <c r="D255" s="90">
        <f>'Daily Data'!C255</f>
        <v/>
      </c>
      <c r="E255" s="90">
        <f>IF('Daily Data'!E255="","",'Daily Data'!E255)</f>
        <v/>
      </c>
      <c r="F255" s="90">
        <f>IF($E255="","",'Daily Data'!F255)</f>
        <v/>
      </c>
      <c r="G255" s="90">
        <f>IF($E255="","",'Daily Data'!G255)</f>
        <v/>
      </c>
      <c r="H255" s="91">
        <f>IF($E255="","",(1-K255)*F255-G255)</f>
        <v/>
      </c>
      <c r="I255" s="90">
        <f>IF($E255="","",'Daily Data'!H255)</f>
        <v/>
      </c>
      <c r="J255" s="91">
        <f>IF($E255="","",E255-H255-I255)</f>
        <v/>
      </c>
      <c r="K255" s="60">
        <f>IF($E255="","",IF(A255&lt;HLP_ChangeDate,HLP_Legacy,HLP_Current))</f>
        <v/>
      </c>
      <c r="L255" s="91">
        <f>IF($E255="","",J255/(1-K255))</f>
        <v/>
      </c>
      <c r="M255" s="90">
        <f>IF($E255="","",'Daily Data'!I255)</f>
        <v/>
      </c>
      <c r="N255" s="91">
        <f>IF($E255="","",M255*(1-K255)-I255)</f>
        <v/>
      </c>
      <c r="O255" s="92" t="inlineStr"/>
      <c r="P255" s="93">
        <f>IF($E255="","",(L255+F255+M255)*K255)</f>
        <v/>
      </c>
      <c r="Q255" s="91">
        <f>IF($E255="","",L255*K255)</f>
        <v/>
      </c>
      <c r="R255" s="91">
        <f>IF($E255="","",F255*K255)</f>
        <v/>
      </c>
      <c r="S255" s="91">
        <f>IF($E255="","",M255*K255)</f>
        <v/>
      </c>
      <c r="T255" s="63">
        <f>IF(OR($E255="",B255=0),"",L255/B255*10000)</f>
        <v/>
      </c>
      <c r="U255" s="63">
        <f>IF(OR($E255="",C255=0),"",F255/C255*10000)</f>
        <v/>
      </c>
      <c r="V255" s="63">
        <f>IF(OR($E255="",D255=0),"",M255/D255*10000)</f>
        <v/>
      </c>
    </row>
    <row r="256">
      <c r="A256" s="35" t="n">
        <v>45910</v>
      </c>
      <c r="B256" s="90">
        <f>'Daily Data'!B256</f>
        <v/>
      </c>
      <c r="C256" s="90">
        <f>'Daily Data'!D256</f>
        <v/>
      </c>
      <c r="D256" s="90">
        <f>'Daily Data'!C256</f>
        <v/>
      </c>
      <c r="E256" s="90">
        <f>IF('Daily Data'!E256="","",'Daily Data'!E256)</f>
        <v/>
      </c>
      <c r="F256" s="90">
        <f>IF($E256="","",'Daily Data'!F256)</f>
        <v/>
      </c>
      <c r="G256" s="90">
        <f>IF($E256="","",'Daily Data'!G256)</f>
        <v/>
      </c>
      <c r="H256" s="91">
        <f>IF($E256="","",(1-K256)*F256-G256)</f>
        <v/>
      </c>
      <c r="I256" s="90">
        <f>IF($E256="","",'Daily Data'!H256)</f>
        <v/>
      </c>
      <c r="J256" s="91">
        <f>IF($E256="","",E256-H256-I256)</f>
        <v/>
      </c>
      <c r="K256" s="60">
        <f>IF($E256="","",IF(A256&lt;HLP_ChangeDate,HLP_Legacy,HLP_Current))</f>
        <v/>
      </c>
      <c r="L256" s="91">
        <f>IF($E256="","",J256/(1-K256))</f>
        <v/>
      </c>
      <c r="M256" s="90">
        <f>IF($E256="","",'Daily Data'!I256)</f>
        <v/>
      </c>
      <c r="N256" s="91">
        <f>IF($E256="","",M256*(1-K256)-I256)</f>
        <v/>
      </c>
      <c r="O256" s="92" t="inlineStr"/>
      <c r="P256" s="93">
        <f>IF($E256="","",(L256+F256+M256)*K256)</f>
        <v/>
      </c>
      <c r="Q256" s="91">
        <f>IF($E256="","",L256*K256)</f>
        <v/>
      </c>
      <c r="R256" s="91">
        <f>IF($E256="","",F256*K256)</f>
        <v/>
      </c>
      <c r="S256" s="91">
        <f>IF($E256="","",M256*K256)</f>
        <v/>
      </c>
      <c r="T256" s="63">
        <f>IF(OR($E256="",B256=0),"",L256/B256*10000)</f>
        <v/>
      </c>
      <c r="U256" s="63">
        <f>IF(OR($E256="",C256=0),"",F256/C256*10000)</f>
        <v/>
      </c>
      <c r="V256" s="63">
        <f>IF(OR($E256="",D256=0),"",M256/D256*10000)</f>
        <v/>
      </c>
    </row>
    <row r="257">
      <c r="A257" s="35" t="n">
        <v>45911</v>
      </c>
      <c r="B257" s="90">
        <f>'Daily Data'!B257</f>
        <v/>
      </c>
      <c r="C257" s="90">
        <f>'Daily Data'!D257</f>
        <v/>
      </c>
      <c r="D257" s="90">
        <f>'Daily Data'!C257</f>
        <v/>
      </c>
      <c r="E257" s="90">
        <f>IF('Daily Data'!E257="","",'Daily Data'!E257)</f>
        <v/>
      </c>
      <c r="F257" s="90">
        <f>IF($E257="","",'Daily Data'!F257)</f>
        <v/>
      </c>
      <c r="G257" s="90">
        <f>IF($E257="","",'Daily Data'!G257)</f>
        <v/>
      </c>
      <c r="H257" s="91">
        <f>IF($E257="","",(1-K257)*F257-G257)</f>
        <v/>
      </c>
      <c r="I257" s="90">
        <f>IF($E257="","",'Daily Data'!H257)</f>
        <v/>
      </c>
      <c r="J257" s="91">
        <f>IF($E257="","",E257-H257-I257)</f>
        <v/>
      </c>
      <c r="K257" s="60">
        <f>IF($E257="","",IF(A257&lt;HLP_ChangeDate,HLP_Legacy,HLP_Current))</f>
        <v/>
      </c>
      <c r="L257" s="91">
        <f>IF($E257="","",J257/(1-K257))</f>
        <v/>
      </c>
      <c r="M257" s="90">
        <f>IF($E257="","",'Daily Data'!I257)</f>
        <v/>
      </c>
      <c r="N257" s="91">
        <f>IF($E257="","",M257*(1-K257)-I257)</f>
        <v/>
      </c>
      <c r="O257" s="92" t="inlineStr"/>
      <c r="P257" s="93">
        <f>IF($E257="","",(L257+F257+M257)*K257)</f>
        <v/>
      </c>
      <c r="Q257" s="91">
        <f>IF($E257="","",L257*K257)</f>
        <v/>
      </c>
      <c r="R257" s="91">
        <f>IF($E257="","",F257*K257)</f>
        <v/>
      </c>
      <c r="S257" s="91">
        <f>IF($E257="","",M257*K257)</f>
        <v/>
      </c>
      <c r="T257" s="63">
        <f>IF(OR($E257="",B257=0),"",L257/B257*10000)</f>
        <v/>
      </c>
      <c r="U257" s="63">
        <f>IF(OR($E257="",C257=0),"",F257/C257*10000)</f>
        <v/>
      </c>
      <c r="V257" s="63">
        <f>IF(OR($E257="",D257=0),"",M257/D257*10000)</f>
        <v/>
      </c>
    </row>
    <row r="258">
      <c r="A258" s="35" t="n">
        <v>45912</v>
      </c>
      <c r="B258" s="90">
        <f>'Daily Data'!B258</f>
        <v/>
      </c>
      <c r="C258" s="90">
        <f>'Daily Data'!D258</f>
        <v/>
      </c>
      <c r="D258" s="90">
        <f>'Daily Data'!C258</f>
        <v/>
      </c>
      <c r="E258" s="90">
        <f>IF('Daily Data'!E258="","",'Daily Data'!E258)</f>
        <v/>
      </c>
      <c r="F258" s="90">
        <f>IF($E258="","",'Daily Data'!F258)</f>
        <v/>
      </c>
      <c r="G258" s="90">
        <f>IF($E258="","",'Daily Data'!G258)</f>
        <v/>
      </c>
      <c r="H258" s="91">
        <f>IF($E258="","",(1-K258)*F258-G258)</f>
        <v/>
      </c>
      <c r="I258" s="90">
        <f>IF($E258="","",'Daily Data'!H258)</f>
        <v/>
      </c>
      <c r="J258" s="91">
        <f>IF($E258="","",E258-H258-I258)</f>
        <v/>
      </c>
      <c r="K258" s="60">
        <f>IF($E258="","",IF(A258&lt;HLP_ChangeDate,HLP_Legacy,HLP_Current))</f>
        <v/>
      </c>
      <c r="L258" s="91">
        <f>IF($E258="","",J258/(1-K258))</f>
        <v/>
      </c>
      <c r="M258" s="90">
        <f>IF($E258="","",'Daily Data'!I258)</f>
        <v/>
      </c>
      <c r="N258" s="91">
        <f>IF($E258="","",M258*(1-K258)-I258)</f>
        <v/>
      </c>
      <c r="O258" s="92" t="inlineStr"/>
      <c r="P258" s="93">
        <f>IF($E258="","",(L258+F258+M258)*K258)</f>
        <v/>
      </c>
      <c r="Q258" s="91">
        <f>IF($E258="","",L258*K258)</f>
        <v/>
      </c>
      <c r="R258" s="91">
        <f>IF($E258="","",F258*K258)</f>
        <v/>
      </c>
      <c r="S258" s="91">
        <f>IF($E258="","",M258*K258)</f>
        <v/>
      </c>
      <c r="T258" s="63">
        <f>IF(OR($E258="",B258=0),"",L258/B258*10000)</f>
        <v/>
      </c>
      <c r="U258" s="63">
        <f>IF(OR($E258="",C258=0),"",F258/C258*10000)</f>
        <v/>
      </c>
      <c r="V258" s="63">
        <f>IF(OR($E258="",D258=0),"",M258/D258*10000)</f>
        <v/>
      </c>
    </row>
    <row r="259">
      <c r="A259" s="35" t="n">
        <v>45913</v>
      </c>
      <c r="B259" s="90">
        <f>'Daily Data'!B259</f>
        <v/>
      </c>
      <c r="C259" s="90">
        <f>'Daily Data'!D259</f>
        <v/>
      </c>
      <c r="D259" s="90">
        <f>'Daily Data'!C259</f>
        <v/>
      </c>
      <c r="E259" s="90">
        <f>IF('Daily Data'!E259="","",'Daily Data'!E259)</f>
        <v/>
      </c>
      <c r="F259" s="90">
        <f>IF($E259="","",'Daily Data'!F259)</f>
        <v/>
      </c>
      <c r="G259" s="90">
        <f>IF($E259="","",'Daily Data'!G259)</f>
        <v/>
      </c>
      <c r="H259" s="91">
        <f>IF($E259="","",(1-K259)*F259-G259)</f>
        <v/>
      </c>
      <c r="I259" s="90">
        <f>IF($E259="","",'Daily Data'!H259)</f>
        <v/>
      </c>
      <c r="J259" s="91">
        <f>IF($E259="","",E259-H259-I259)</f>
        <v/>
      </c>
      <c r="K259" s="60">
        <f>IF($E259="","",IF(A259&lt;HLP_ChangeDate,HLP_Legacy,HLP_Current))</f>
        <v/>
      </c>
      <c r="L259" s="91">
        <f>IF($E259="","",J259/(1-K259))</f>
        <v/>
      </c>
      <c r="M259" s="90">
        <f>IF($E259="","",'Daily Data'!I259)</f>
        <v/>
      </c>
      <c r="N259" s="91">
        <f>IF($E259="","",M259*(1-K259)-I259)</f>
        <v/>
      </c>
      <c r="O259" s="92" t="n">
        <v>335679</v>
      </c>
      <c r="P259" s="93">
        <f>IF($E259="","",(L259+F259+M259)*K259)</f>
        <v/>
      </c>
      <c r="Q259" s="91">
        <f>IF($E259="","",L259*K259)</f>
        <v/>
      </c>
      <c r="R259" s="91">
        <f>IF($E259="","",F259*K259)</f>
        <v/>
      </c>
      <c r="S259" s="91">
        <f>IF($E259="","",M259*K259)</f>
        <v/>
      </c>
      <c r="T259" s="63">
        <f>IF(OR($E259="",B259=0),"",L259/B259*10000)</f>
        <v/>
      </c>
      <c r="U259" s="63">
        <f>IF(OR($E259="",C259=0),"",F259/C259*10000)</f>
        <v/>
      </c>
      <c r="V259" s="63">
        <f>IF(OR($E259="",D259=0),"",M259/D259*10000)</f>
        <v/>
      </c>
    </row>
    <row r="260">
      <c r="A260" s="35" t="n">
        <v>45914</v>
      </c>
      <c r="B260" s="90">
        <f>'Daily Data'!B260</f>
        <v/>
      </c>
      <c r="C260" s="90">
        <f>'Daily Data'!D260</f>
        <v/>
      </c>
      <c r="D260" s="90">
        <f>'Daily Data'!C260</f>
        <v/>
      </c>
      <c r="E260" s="90">
        <f>IF('Daily Data'!E260="","",'Daily Data'!E260)</f>
        <v/>
      </c>
      <c r="F260" s="90">
        <f>IF($E260="","",'Daily Data'!F260)</f>
        <v/>
      </c>
      <c r="G260" s="90">
        <f>IF($E260="","",'Daily Data'!G260)</f>
        <v/>
      </c>
      <c r="H260" s="91">
        <f>IF($E260="","",(1-K260)*F260-G260)</f>
        <v/>
      </c>
      <c r="I260" s="90">
        <f>IF($E260="","",'Daily Data'!H260)</f>
        <v/>
      </c>
      <c r="J260" s="91">
        <f>IF($E260="","",E260-H260-I260)</f>
        <v/>
      </c>
      <c r="K260" s="60">
        <f>IF($E260="","",IF(A260&lt;HLP_ChangeDate,HLP_Legacy,HLP_Current))</f>
        <v/>
      </c>
      <c r="L260" s="91">
        <f>IF($E260="","",J260/(1-K260))</f>
        <v/>
      </c>
      <c r="M260" s="90">
        <f>IF($E260="","",'Daily Data'!I260)</f>
        <v/>
      </c>
      <c r="N260" s="91">
        <f>IF($E260="","",M260*(1-K260)-I260)</f>
        <v/>
      </c>
      <c r="O260" s="92" t="n">
        <v>997056</v>
      </c>
      <c r="P260" s="93">
        <f>IF($E260="","",(L260+F260+M260)*K260)</f>
        <v/>
      </c>
      <c r="Q260" s="91">
        <f>IF($E260="","",L260*K260)</f>
        <v/>
      </c>
      <c r="R260" s="91">
        <f>IF($E260="","",F260*K260)</f>
        <v/>
      </c>
      <c r="S260" s="91">
        <f>IF($E260="","",M260*K260)</f>
        <v/>
      </c>
      <c r="T260" s="63">
        <f>IF(OR($E260="",B260=0),"",L260/B260*10000)</f>
        <v/>
      </c>
      <c r="U260" s="63">
        <f>IF(OR($E260="",C260=0),"",F260/C260*10000)</f>
        <v/>
      </c>
      <c r="V260" s="63">
        <f>IF(OR($E260="",D260=0),"",M260/D260*10000)</f>
        <v/>
      </c>
    </row>
    <row r="261">
      <c r="A261" s="35" t="n">
        <v>45915</v>
      </c>
      <c r="B261" s="90">
        <f>'Daily Data'!B261</f>
        <v/>
      </c>
      <c r="C261" s="90">
        <f>'Daily Data'!D261</f>
        <v/>
      </c>
      <c r="D261" s="90">
        <f>'Daily Data'!C261</f>
        <v/>
      </c>
      <c r="E261" s="90">
        <f>IF('Daily Data'!E261="","",'Daily Data'!E261)</f>
        <v/>
      </c>
      <c r="F261" s="90">
        <f>IF($E261="","",'Daily Data'!F261)</f>
        <v/>
      </c>
      <c r="G261" s="90">
        <f>IF($E261="","",'Daily Data'!G261)</f>
        <v/>
      </c>
      <c r="H261" s="91">
        <f>IF($E261="","",(1-K261)*F261-G261)</f>
        <v/>
      </c>
      <c r="I261" s="90">
        <f>IF($E261="","",'Daily Data'!H261)</f>
        <v/>
      </c>
      <c r="J261" s="91">
        <f>IF($E261="","",E261-H261-I261)</f>
        <v/>
      </c>
      <c r="K261" s="60">
        <f>IF($E261="","",IF(A261&lt;HLP_ChangeDate,HLP_Legacy,HLP_Current))</f>
        <v/>
      </c>
      <c r="L261" s="91">
        <f>IF($E261="","",J261/(1-K261))</f>
        <v/>
      </c>
      <c r="M261" s="90">
        <f>IF($E261="","",'Daily Data'!I261)</f>
        <v/>
      </c>
      <c r="N261" s="91">
        <f>IF($E261="","",M261*(1-K261)-I261)</f>
        <v/>
      </c>
      <c r="O261" s="92" t="n">
        <v>507449</v>
      </c>
      <c r="P261" s="93">
        <f>IF($E261="","",(L261+F261+M261)*K261)</f>
        <v/>
      </c>
      <c r="Q261" s="91">
        <f>IF($E261="","",L261*K261)</f>
        <v/>
      </c>
      <c r="R261" s="91">
        <f>IF($E261="","",F261*K261)</f>
        <v/>
      </c>
      <c r="S261" s="91">
        <f>IF($E261="","",M261*K261)</f>
        <v/>
      </c>
      <c r="T261" s="63">
        <f>IF(OR($E261="",B261=0),"",L261/B261*10000)</f>
        <v/>
      </c>
      <c r="U261" s="63">
        <f>IF(OR($E261="",C261=0),"",F261/C261*10000)</f>
        <v/>
      </c>
      <c r="V261" s="63">
        <f>IF(OR($E261="",D261=0),"",M261/D261*10000)</f>
        <v/>
      </c>
    </row>
    <row r="262">
      <c r="A262" s="35" t="n">
        <v>45916</v>
      </c>
      <c r="B262" s="90">
        <f>'Daily Data'!B262</f>
        <v/>
      </c>
      <c r="C262" s="90">
        <f>'Daily Data'!D262</f>
        <v/>
      </c>
      <c r="D262" s="90">
        <f>'Daily Data'!C262</f>
        <v/>
      </c>
      <c r="E262" s="90">
        <f>IF('Daily Data'!E262="","",'Daily Data'!E262)</f>
        <v/>
      </c>
      <c r="F262" s="90">
        <f>IF($E262="","",'Daily Data'!F262)</f>
        <v/>
      </c>
      <c r="G262" s="90">
        <f>IF($E262="","",'Daily Data'!G262)</f>
        <v/>
      </c>
      <c r="H262" s="91">
        <f>IF($E262="","",(1-K262)*F262-G262)</f>
        <v/>
      </c>
      <c r="I262" s="90">
        <f>IF($E262="","",'Daily Data'!H262)</f>
        <v/>
      </c>
      <c r="J262" s="91">
        <f>IF($E262="","",E262-H262-I262)</f>
        <v/>
      </c>
      <c r="K262" s="60">
        <f>IF($E262="","",IF(A262&lt;HLP_ChangeDate,HLP_Legacy,HLP_Current))</f>
        <v/>
      </c>
      <c r="L262" s="91">
        <f>IF($E262="","",J262/(1-K262))</f>
        <v/>
      </c>
      <c r="M262" s="90">
        <f>IF($E262="","",'Daily Data'!I262)</f>
        <v/>
      </c>
      <c r="N262" s="91">
        <f>IF($E262="","",M262*(1-K262)-I262)</f>
        <v/>
      </c>
      <c r="O262" s="92" t="n">
        <v>439663</v>
      </c>
      <c r="P262" s="93">
        <f>IF($E262="","",(L262+F262+M262)*K262)</f>
        <v/>
      </c>
      <c r="Q262" s="91">
        <f>IF($E262="","",L262*K262)</f>
        <v/>
      </c>
      <c r="R262" s="91">
        <f>IF($E262="","",F262*K262)</f>
        <v/>
      </c>
      <c r="S262" s="91">
        <f>IF($E262="","",M262*K262)</f>
        <v/>
      </c>
      <c r="T262" s="63">
        <f>IF(OR($E262="",B262=0),"",L262/B262*10000)</f>
        <v/>
      </c>
      <c r="U262" s="63">
        <f>IF(OR($E262="",C262=0),"",F262/C262*10000)</f>
        <v/>
      </c>
      <c r="V262" s="63">
        <f>IF(OR($E262="",D262=0),"",M262/D262*10000)</f>
        <v/>
      </c>
    </row>
    <row r="263">
      <c r="A263" s="35" t="n">
        <v>45917</v>
      </c>
      <c r="B263" s="90">
        <f>'Daily Data'!B263</f>
        <v/>
      </c>
      <c r="C263" s="90">
        <f>'Daily Data'!D263</f>
        <v/>
      </c>
      <c r="D263" s="90">
        <f>'Daily Data'!C263</f>
        <v/>
      </c>
      <c r="E263" s="90">
        <f>IF('Daily Data'!E263="","",'Daily Data'!E263)</f>
        <v/>
      </c>
      <c r="F263" s="90">
        <f>IF($E263="","",'Daily Data'!F263)</f>
        <v/>
      </c>
      <c r="G263" s="90">
        <f>IF($E263="","",'Daily Data'!G263)</f>
        <v/>
      </c>
      <c r="H263" s="91">
        <f>IF($E263="","",(1-K263)*F263-G263)</f>
        <v/>
      </c>
      <c r="I263" s="90">
        <f>IF($E263="","",'Daily Data'!H263)</f>
        <v/>
      </c>
      <c r="J263" s="91">
        <f>IF($E263="","",E263-H263-I263)</f>
        <v/>
      </c>
      <c r="K263" s="60">
        <f>IF($E263="","",IF(A263&lt;HLP_ChangeDate,HLP_Legacy,HLP_Current))</f>
        <v/>
      </c>
      <c r="L263" s="91">
        <f>IF($E263="","",J263/(1-K263))</f>
        <v/>
      </c>
      <c r="M263" s="90">
        <f>IF($E263="","",'Daily Data'!I263)</f>
        <v/>
      </c>
      <c r="N263" s="91">
        <f>IF($E263="","",M263*(1-K263)-I263)</f>
        <v/>
      </c>
      <c r="O263" s="92" t="n">
        <v>649107</v>
      </c>
      <c r="P263" s="93">
        <f>IF($E263="","",(L263+F263+M263)*K263)</f>
        <v/>
      </c>
      <c r="Q263" s="91">
        <f>IF($E263="","",L263*K263)</f>
        <v/>
      </c>
      <c r="R263" s="91">
        <f>IF($E263="","",F263*K263)</f>
        <v/>
      </c>
      <c r="S263" s="91">
        <f>IF($E263="","",M263*K263)</f>
        <v/>
      </c>
      <c r="T263" s="63">
        <f>IF(OR($E263="",B263=0),"",L263/B263*10000)</f>
        <v/>
      </c>
      <c r="U263" s="63">
        <f>IF(OR($E263="",C263=0),"",F263/C263*10000)</f>
        <v/>
      </c>
      <c r="V263" s="63">
        <f>IF(OR($E263="",D263=0),"",M263/D263*10000)</f>
        <v/>
      </c>
    </row>
    <row r="264">
      <c r="A264" s="35" t="n">
        <v>45918</v>
      </c>
      <c r="B264" s="90">
        <f>'Daily Data'!B264</f>
        <v/>
      </c>
      <c r="C264" s="90">
        <f>'Daily Data'!D264</f>
        <v/>
      </c>
      <c r="D264" s="90">
        <f>'Daily Data'!C264</f>
        <v/>
      </c>
      <c r="E264" s="90">
        <f>IF('Daily Data'!E264="","",'Daily Data'!E264)</f>
        <v/>
      </c>
      <c r="F264" s="90">
        <f>IF($E264="","",'Daily Data'!F264)</f>
        <v/>
      </c>
      <c r="G264" s="90">
        <f>IF($E264="","",'Daily Data'!G264)</f>
        <v/>
      </c>
      <c r="H264" s="91">
        <f>IF($E264="","",(1-K264)*F264-G264)</f>
        <v/>
      </c>
      <c r="I264" s="90">
        <f>IF($E264="","",'Daily Data'!H264)</f>
        <v/>
      </c>
      <c r="J264" s="91">
        <f>IF($E264="","",E264-H264-I264)</f>
        <v/>
      </c>
      <c r="K264" s="60">
        <f>IF($E264="","",IF(A264&lt;HLP_ChangeDate,HLP_Legacy,HLP_Current))</f>
        <v/>
      </c>
      <c r="L264" s="91">
        <f>IF($E264="","",J264/(1-K264))</f>
        <v/>
      </c>
      <c r="M264" s="90">
        <f>IF($E264="","",'Daily Data'!I264)</f>
        <v/>
      </c>
      <c r="N264" s="91">
        <f>IF($E264="","",M264*(1-K264)-I264)</f>
        <v/>
      </c>
      <c r="O264" s="92" t="n">
        <v>542586</v>
      </c>
      <c r="P264" s="93">
        <f>IF($E264="","",(L264+F264+M264)*K264)</f>
        <v/>
      </c>
      <c r="Q264" s="91">
        <f>IF($E264="","",L264*K264)</f>
        <v/>
      </c>
      <c r="R264" s="91">
        <f>IF($E264="","",F264*K264)</f>
        <v/>
      </c>
      <c r="S264" s="91">
        <f>IF($E264="","",M264*K264)</f>
        <v/>
      </c>
      <c r="T264" s="63">
        <f>IF(OR($E264="",B264=0),"",L264/B264*10000)</f>
        <v/>
      </c>
      <c r="U264" s="63">
        <f>IF(OR($E264="",C264=0),"",F264/C264*10000)</f>
        <v/>
      </c>
      <c r="V264" s="63">
        <f>IF(OR($E264="",D264=0),"",M264/D264*10000)</f>
        <v/>
      </c>
    </row>
    <row r="265">
      <c r="A265" s="35" t="n">
        <v>45919</v>
      </c>
      <c r="B265" s="90">
        <f>'Daily Data'!B265</f>
        <v/>
      </c>
      <c r="C265" s="90">
        <f>'Daily Data'!D265</f>
        <v/>
      </c>
      <c r="D265" s="90">
        <f>'Daily Data'!C265</f>
        <v/>
      </c>
      <c r="E265" s="90">
        <f>IF('Daily Data'!E265="","",'Daily Data'!E265)</f>
        <v/>
      </c>
      <c r="F265" s="90">
        <f>IF($E265="","",'Daily Data'!F265)</f>
        <v/>
      </c>
      <c r="G265" s="90">
        <f>IF($E265="","",'Daily Data'!G265)</f>
        <v/>
      </c>
      <c r="H265" s="91">
        <f>IF($E265="","",(1-K265)*F265-G265)</f>
        <v/>
      </c>
      <c r="I265" s="90">
        <f>IF($E265="","",'Daily Data'!H265)</f>
        <v/>
      </c>
      <c r="J265" s="91">
        <f>IF($E265="","",E265-H265-I265)</f>
        <v/>
      </c>
      <c r="K265" s="60">
        <f>IF($E265="","",IF(A265&lt;HLP_ChangeDate,HLP_Legacy,HLP_Current))</f>
        <v/>
      </c>
      <c r="L265" s="91">
        <f>IF($E265="","",J265/(1-K265))</f>
        <v/>
      </c>
      <c r="M265" s="90">
        <f>IF($E265="","",'Daily Data'!I265)</f>
        <v/>
      </c>
      <c r="N265" s="91">
        <f>IF($E265="","",M265*(1-K265)-I265)</f>
        <v/>
      </c>
      <c r="O265" s="92" t="n">
        <v>366033</v>
      </c>
      <c r="P265" s="93">
        <f>IF($E265="","",(L265+F265+M265)*K265)</f>
        <v/>
      </c>
      <c r="Q265" s="91">
        <f>IF($E265="","",L265*K265)</f>
        <v/>
      </c>
      <c r="R265" s="91">
        <f>IF($E265="","",F265*K265)</f>
        <v/>
      </c>
      <c r="S265" s="91">
        <f>IF($E265="","",M265*K265)</f>
        <v/>
      </c>
      <c r="T265" s="63">
        <f>IF(OR($E265="",B265=0),"",L265/B265*10000)</f>
        <v/>
      </c>
      <c r="U265" s="63">
        <f>IF(OR($E265="",C265=0),"",F265/C265*10000)</f>
        <v/>
      </c>
      <c r="V265" s="63">
        <f>IF(OR($E265="",D265=0),"",M265/D265*10000)</f>
        <v/>
      </c>
    </row>
    <row r="266">
      <c r="A266" s="35" t="n">
        <v>45920</v>
      </c>
      <c r="B266" s="90">
        <f>'Daily Data'!B266</f>
        <v/>
      </c>
      <c r="C266" s="90">
        <f>'Daily Data'!D266</f>
        <v/>
      </c>
      <c r="D266" s="90">
        <f>'Daily Data'!C266</f>
        <v/>
      </c>
      <c r="E266" s="90">
        <f>IF('Daily Data'!E266="","",'Daily Data'!E266)</f>
        <v/>
      </c>
      <c r="F266" s="90">
        <f>IF($E266="","",'Daily Data'!F266)</f>
        <v/>
      </c>
      <c r="G266" s="90">
        <f>IF($E266="","",'Daily Data'!G266)</f>
        <v/>
      </c>
      <c r="H266" s="91">
        <f>IF($E266="","",(1-K266)*F266-G266)</f>
        <v/>
      </c>
      <c r="I266" s="90">
        <f>IF($E266="","",'Daily Data'!H266)</f>
        <v/>
      </c>
      <c r="J266" s="91">
        <f>IF($E266="","",E266-H266-I266)</f>
        <v/>
      </c>
      <c r="K266" s="60">
        <f>IF($E266="","",IF(A266&lt;HLP_ChangeDate,HLP_Legacy,HLP_Current))</f>
        <v/>
      </c>
      <c r="L266" s="91">
        <f>IF($E266="","",J266/(1-K266))</f>
        <v/>
      </c>
      <c r="M266" s="90">
        <f>IF($E266="","",'Daily Data'!I266)</f>
        <v/>
      </c>
      <c r="N266" s="91">
        <f>IF($E266="","",M266*(1-K266)-I266)</f>
        <v/>
      </c>
      <c r="O266" s="92" t="n">
        <v>299433</v>
      </c>
      <c r="P266" s="93">
        <f>IF($E266="","",(L266+F266+M266)*K266)</f>
        <v/>
      </c>
      <c r="Q266" s="91">
        <f>IF($E266="","",L266*K266)</f>
        <v/>
      </c>
      <c r="R266" s="91">
        <f>IF($E266="","",F266*K266)</f>
        <v/>
      </c>
      <c r="S266" s="91">
        <f>IF($E266="","",M266*K266)</f>
        <v/>
      </c>
      <c r="T266" s="63">
        <f>IF(OR($E266="",B266=0),"",L266/B266*10000)</f>
        <v/>
      </c>
      <c r="U266" s="63">
        <f>IF(OR($E266="",C266=0),"",F266/C266*10000)</f>
        <v/>
      </c>
      <c r="V266" s="63">
        <f>IF(OR($E266="",D266=0),"",M266/D266*10000)</f>
        <v/>
      </c>
    </row>
    <row r="267">
      <c r="A267" s="35" t="n">
        <v>45921</v>
      </c>
      <c r="B267" s="90">
        <f>'Daily Data'!B267</f>
        <v/>
      </c>
      <c r="C267" s="90">
        <f>'Daily Data'!D267</f>
        <v/>
      </c>
      <c r="D267" s="90">
        <f>'Daily Data'!C267</f>
        <v/>
      </c>
      <c r="E267" s="90">
        <f>IF('Daily Data'!E267="","",'Daily Data'!E267)</f>
        <v/>
      </c>
      <c r="F267" s="90">
        <f>IF($E267="","",'Daily Data'!F267)</f>
        <v/>
      </c>
      <c r="G267" s="90">
        <f>IF($E267="","",'Daily Data'!G267)</f>
        <v/>
      </c>
      <c r="H267" s="91">
        <f>IF($E267="","",(1-K267)*F267-G267)</f>
        <v/>
      </c>
      <c r="I267" s="90">
        <f>IF($E267="","",'Daily Data'!H267)</f>
        <v/>
      </c>
      <c r="J267" s="91">
        <f>IF($E267="","",E267-H267-I267)</f>
        <v/>
      </c>
      <c r="K267" s="60">
        <f>IF($E267="","",IF(A267&lt;HLP_ChangeDate,HLP_Legacy,HLP_Current))</f>
        <v/>
      </c>
      <c r="L267" s="91">
        <f>IF($E267="","",J267/(1-K267))</f>
        <v/>
      </c>
      <c r="M267" s="90">
        <f>IF($E267="","",'Daily Data'!I267)</f>
        <v/>
      </c>
      <c r="N267" s="91">
        <f>IF($E267="","",M267*(1-K267)-I267)</f>
        <v/>
      </c>
      <c r="O267" s="92" t="n">
        <v>230812</v>
      </c>
      <c r="P267" s="93">
        <f>IF($E267="","",(L267+F267+M267)*K267)</f>
        <v/>
      </c>
      <c r="Q267" s="91">
        <f>IF($E267="","",L267*K267)</f>
        <v/>
      </c>
      <c r="R267" s="91">
        <f>IF($E267="","",F267*K267)</f>
        <v/>
      </c>
      <c r="S267" s="91">
        <f>IF($E267="","",M267*K267)</f>
        <v/>
      </c>
      <c r="T267" s="63">
        <f>IF(OR($E267="",B267=0),"",L267/B267*10000)</f>
        <v/>
      </c>
      <c r="U267" s="63">
        <f>IF(OR($E267="",C267=0),"",F267/C267*10000)</f>
        <v/>
      </c>
      <c r="V267" s="63">
        <f>IF(OR($E267="",D267=0),"",M267/D267*10000)</f>
        <v/>
      </c>
    </row>
    <row r="268">
      <c r="A268" s="35" t="n">
        <v>45922</v>
      </c>
      <c r="B268" s="90">
        <f>'Daily Data'!B268</f>
        <v/>
      </c>
      <c r="C268" s="90">
        <f>'Daily Data'!D268</f>
        <v/>
      </c>
      <c r="D268" s="90">
        <f>'Daily Data'!C268</f>
        <v/>
      </c>
      <c r="E268" s="90">
        <f>IF('Daily Data'!E268="","",'Daily Data'!E268)</f>
        <v/>
      </c>
      <c r="F268" s="90">
        <f>IF($E268="","",'Daily Data'!F268)</f>
        <v/>
      </c>
      <c r="G268" s="90">
        <f>IF($E268="","",'Daily Data'!G268)</f>
        <v/>
      </c>
      <c r="H268" s="91">
        <f>IF($E268="","",(1-K268)*F268-G268)</f>
        <v/>
      </c>
      <c r="I268" s="90">
        <f>IF($E268="","",'Daily Data'!H268)</f>
        <v/>
      </c>
      <c r="J268" s="91">
        <f>IF($E268="","",E268-H268-I268)</f>
        <v/>
      </c>
      <c r="K268" s="60">
        <f>IF($E268="","",IF(A268&lt;HLP_ChangeDate,HLP_Legacy,HLP_Current))</f>
        <v/>
      </c>
      <c r="L268" s="91">
        <f>IF($E268="","",J268/(1-K268))</f>
        <v/>
      </c>
      <c r="M268" s="90">
        <f>IF($E268="","",'Daily Data'!I268)</f>
        <v/>
      </c>
      <c r="N268" s="91">
        <f>IF($E268="","",M268*(1-K268)-I268)</f>
        <v/>
      </c>
      <c r="O268" s="92" t="n">
        <v>262234</v>
      </c>
      <c r="P268" s="93">
        <f>IF($E268="","",(L268+F268+M268)*K268)</f>
        <v/>
      </c>
      <c r="Q268" s="91">
        <f>IF($E268="","",L268*K268)</f>
        <v/>
      </c>
      <c r="R268" s="91">
        <f>IF($E268="","",F268*K268)</f>
        <v/>
      </c>
      <c r="S268" s="91">
        <f>IF($E268="","",M268*K268)</f>
        <v/>
      </c>
      <c r="T268" s="63">
        <f>IF(OR($E268="",B268=0),"",L268/B268*10000)</f>
        <v/>
      </c>
      <c r="U268" s="63">
        <f>IF(OR($E268="",C268=0),"",F268/C268*10000)</f>
        <v/>
      </c>
      <c r="V268" s="63">
        <f>IF(OR($E268="",D268=0),"",M268/D268*10000)</f>
        <v/>
      </c>
    </row>
    <row r="269">
      <c r="A269" s="35" t="n">
        <v>45923</v>
      </c>
      <c r="B269" s="90">
        <f>'Daily Data'!B269</f>
        <v/>
      </c>
      <c r="C269" s="90">
        <f>'Daily Data'!D269</f>
        <v/>
      </c>
      <c r="D269" s="90">
        <f>'Daily Data'!C269</f>
        <v/>
      </c>
      <c r="E269" s="90">
        <f>IF('Daily Data'!E269="","",'Daily Data'!E269)</f>
        <v/>
      </c>
      <c r="F269" s="90">
        <f>IF($E269="","",'Daily Data'!F269)</f>
        <v/>
      </c>
      <c r="G269" s="90">
        <f>IF($E269="","",'Daily Data'!G269)</f>
        <v/>
      </c>
      <c r="H269" s="91">
        <f>IF($E269="","",(1-K269)*F269-G269)</f>
        <v/>
      </c>
      <c r="I269" s="90">
        <f>IF($E269="","",'Daily Data'!H269)</f>
        <v/>
      </c>
      <c r="J269" s="91">
        <f>IF($E269="","",E269-H269-I269)</f>
        <v/>
      </c>
      <c r="K269" s="60">
        <f>IF($E269="","",IF(A269&lt;HLP_ChangeDate,HLP_Legacy,HLP_Current))</f>
        <v/>
      </c>
      <c r="L269" s="91">
        <f>IF($E269="","",J269/(1-K269))</f>
        <v/>
      </c>
      <c r="M269" s="90">
        <f>IF($E269="","",'Daily Data'!I269)</f>
        <v/>
      </c>
      <c r="N269" s="91">
        <f>IF($E269="","",M269*(1-K269)-I269)</f>
        <v/>
      </c>
      <c r="O269" s="92" t="n">
        <v>208485</v>
      </c>
      <c r="P269" s="93">
        <f>IF($E269="","",(L269+F269+M269)*K269)</f>
        <v/>
      </c>
      <c r="Q269" s="91">
        <f>IF($E269="","",L269*K269)</f>
        <v/>
      </c>
      <c r="R269" s="91">
        <f>IF($E269="","",F269*K269)</f>
        <v/>
      </c>
      <c r="S269" s="91">
        <f>IF($E269="","",M269*K269)</f>
        <v/>
      </c>
      <c r="T269" s="63">
        <f>IF(OR($E269="",B269=0),"",L269/B269*10000)</f>
        <v/>
      </c>
      <c r="U269" s="63">
        <f>IF(OR($E269="",C269=0),"",F269/C269*10000)</f>
        <v/>
      </c>
      <c r="V269" s="63">
        <f>IF(OR($E269="",D269=0),"",M269/D269*10000)</f>
        <v/>
      </c>
    </row>
    <row r="270">
      <c r="A270" s="35" t="n">
        <v>45924</v>
      </c>
      <c r="B270" s="90">
        <f>'Daily Data'!B270</f>
        <v/>
      </c>
      <c r="C270" s="90">
        <f>'Daily Data'!D270</f>
        <v/>
      </c>
      <c r="D270" s="90">
        <f>'Daily Data'!C270</f>
        <v/>
      </c>
      <c r="E270" s="90">
        <f>IF('Daily Data'!E270="","",'Daily Data'!E270)</f>
        <v/>
      </c>
      <c r="F270" s="90">
        <f>IF($E270="","",'Daily Data'!F270)</f>
        <v/>
      </c>
      <c r="G270" s="90">
        <f>IF($E270="","",'Daily Data'!G270)</f>
        <v/>
      </c>
      <c r="H270" s="91">
        <f>IF($E270="","",(1-K270)*F270-G270)</f>
        <v/>
      </c>
      <c r="I270" s="90">
        <f>IF($E270="","",'Daily Data'!H270)</f>
        <v/>
      </c>
      <c r="J270" s="91">
        <f>IF($E270="","",E270-H270-I270)</f>
        <v/>
      </c>
      <c r="K270" s="60">
        <f>IF($E270="","",IF(A270&lt;HLP_ChangeDate,HLP_Legacy,HLP_Current))</f>
        <v/>
      </c>
      <c r="L270" s="91">
        <f>IF($E270="","",J270/(1-K270))</f>
        <v/>
      </c>
      <c r="M270" s="90">
        <f>IF($E270="","",'Daily Data'!I270)</f>
        <v/>
      </c>
      <c r="N270" s="91">
        <f>IF($E270="","",M270*(1-K270)-I270)</f>
        <v/>
      </c>
      <c r="O270" s="92" t="n">
        <v>194550</v>
      </c>
      <c r="P270" s="93">
        <f>IF($E270="","",(L270+F270+M270)*K270)</f>
        <v/>
      </c>
      <c r="Q270" s="91">
        <f>IF($E270="","",L270*K270)</f>
        <v/>
      </c>
      <c r="R270" s="91">
        <f>IF($E270="","",F270*K270)</f>
        <v/>
      </c>
      <c r="S270" s="91">
        <f>IF($E270="","",M270*K270)</f>
        <v/>
      </c>
      <c r="T270" s="63">
        <f>IF(OR($E270="",B270=0),"",L270/B270*10000)</f>
        <v/>
      </c>
      <c r="U270" s="63">
        <f>IF(OR($E270="",C270=0),"",F270/C270*10000)</f>
        <v/>
      </c>
      <c r="V270" s="63">
        <f>IF(OR($E270="",D270=0),"",M270/D270*10000)</f>
        <v/>
      </c>
    </row>
    <row r="271">
      <c r="A271" s="35" t="n">
        <v>45925</v>
      </c>
      <c r="B271" s="90">
        <f>'Daily Data'!B271</f>
        <v/>
      </c>
      <c r="C271" s="90">
        <f>'Daily Data'!D271</f>
        <v/>
      </c>
      <c r="D271" s="90">
        <f>'Daily Data'!C271</f>
        <v/>
      </c>
      <c r="E271" s="90">
        <f>IF('Daily Data'!E271="","",'Daily Data'!E271)</f>
        <v/>
      </c>
      <c r="F271" s="90">
        <f>IF($E271="","",'Daily Data'!F271)</f>
        <v/>
      </c>
      <c r="G271" s="90">
        <f>IF($E271="","",'Daily Data'!G271)</f>
        <v/>
      </c>
      <c r="H271" s="91">
        <f>IF($E271="","",(1-K271)*F271-G271)</f>
        <v/>
      </c>
      <c r="I271" s="90">
        <f>IF($E271="","",'Daily Data'!H271)</f>
        <v/>
      </c>
      <c r="J271" s="91">
        <f>IF($E271="","",E271-H271-I271)</f>
        <v/>
      </c>
      <c r="K271" s="60">
        <f>IF($E271="","",IF(A271&lt;HLP_ChangeDate,HLP_Legacy,HLP_Current))</f>
        <v/>
      </c>
      <c r="L271" s="91">
        <f>IF($E271="","",J271/(1-K271))</f>
        <v/>
      </c>
      <c r="M271" s="90">
        <f>IF($E271="","",'Daily Data'!I271)</f>
        <v/>
      </c>
      <c r="N271" s="91">
        <f>IF($E271="","",M271*(1-K271)-I271)</f>
        <v/>
      </c>
      <c r="O271" s="92" t="n">
        <v>276416</v>
      </c>
      <c r="P271" s="93">
        <f>IF($E271="","",(L271+F271+M271)*K271)</f>
        <v/>
      </c>
      <c r="Q271" s="91">
        <f>IF($E271="","",L271*K271)</f>
        <v/>
      </c>
      <c r="R271" s="91">
        <f>IF($E271="","",F271*K271)</f>
        <v/>
      </c>
      <c r="S271" s="91">
        <f>IF($E271="","",M271*K271)</f>
        <v/>
      </c>
      <c r="T271" s="63">
        <f>IF(OR($E271="",B271=0),"",L271/B271*10000)</f>
        <v/>
      </c>
      <c r="U271" s="63">
        <f>IF(OR($E271="",C271=0),"",F271/C271*10000)</f>
        <v/>
      </c>
      <c r="V271" s="63">
        <f>IF(OR($E271="",D271=0),"",M271/D271*10000)</f>
        <v/>
      </c>
    </row>
    <row r="272">
      <c r="A272" s="35" t="n">
        <v>45926</v>
      </c>
      <c r="B272" s="90">
        <f>'Daily Data'!B272</f>
        <v/>
      </c>
      <c r="C272" s="90">
        <f>'Daily Data'!D272</f>
        <v/>
      </c>
      <c r="D272" s="90">
        <f>'Daily Data'!C272</f>
        <v/>
      </c>
      <c r="E272" s="90">
        <f>IF('Daily Data'!E272="","",'Daily Data'!E272)</f>
        <v/>
      </c>
      <c r="F272" s="90">
        <f>IF($E272="","",'Daily Data'!F272)</f>
        <v/>
      </c>
      <c r="G272" s="90">
        <f>IF($E272="","",'Daily Data'!G272)</f>
        <v/>
      </c>
      <c r="H272" s="91">
        <f>IF($E272="","",(1-K272)*F272-G272)</f>
        <v/>
      </c>
      <c r="I272" s="90">
        <f>IF($E272="","",'Daily Data'!H272)</f>
        <v/>
      </c>
      <c r="J272" s="91">
        <f>IF($E272="","",E272-H272-I272)</f>
        <v/>
      </c>
      <c r="K272" s="60">
        <f>IF($E272="","",IF(A272&lt;HLP_ChangeDate,HLP_Legacy,HLP_Current))</f>
        <v/>
      </c>
      <c r="L272" s="91">
        <f>IF($E272="","",J272/(1-K272))</f>
        <v/>
      </c>
      <c r="M272" s="90">
        <f>IF($E272="","",'Daily Data'!I272)</f>
        <v/>
      </c>
      <c r="N272" s="91">
        <f>IF($E272="","",M272*(1-K272)-I272)</f>
        <v/>
      </c>
      <c r="O272" s="92" t="n">
        <v>213998</v>
      </c>
      <c r="P272" s="93">
        <f>IF($E272="","",(L272+F272+M272)*K272)</f>
        <v/>
      </c>
      <c r="Q272" s="91">
        <f>IF($E272="","",L272*K272)</f>
        <v/>
      </c>
      <c r="R272" s="91">
        <f>IF($E272="","",F272*K272)</f>
        <v/>
      </c>
      <c r="S272" s="91">
        <f>IF($E272="","",M272*K272)</f>
        <v/>
      </c>
      <c r="T272" s="63">
        <f>IF(OR($E272="",B272=0),"",L272/B272*10000)</f>
        <v/>
      </c>
      <c r="U272" s="63">
        <f>IF(OR($E272="",C272=0),"",F272/C272*10000)</f>
        <v/>
      </c>
      <c r="V272" s="63">
        <f>IF(OR($E272="",D272=0),"",M272/D272*10000)</f>
        <v/>
      </c>
    </row>
    <row r="273">
      <c r="A273" s="35" t="n">
        <v>45927</v>
      </c>
      <c r="B273" s="90">
        <f>'Daily Data'!B273</f>
        <v/>
      </c>
      <c r="C273" s="90">
        <f>'Daily Data'!D273</f>
        <v/>
      </c>
      <c r="D273" s="90">
        <f>'Daily Data'!C273</f>
        <v/>
      </c>
      <c r="E273" s="90">
        <f>IF('Daily Data'!E273="","",'Daily Data'!E273)</f>
        <v/>
      </c>
      <c r="F273" s="90">
        <f>IF($E273="","",'Daily Data'!F273)</f>
        <v/>
      </c>
      <c r="G273" s="90">
        <f>IF($E273="","",'Daily Data'!G273)</f>
        <v/>
      </c>
      <c r="H273" s="91">
        <f>IF($E273="","",(1-K273)*F273-G273)</f>
        <v/>
      </c>
      <c r="I273" s="90">
        <f>IF($E273="","",'Daily Data'!H273)</f>
        <v/>
      </c>
      <c r="J273" s="91">
        <f>IF($E273="","",E273-H273-I273)</f>
        <v/>
      </c>
      <c r="K273" s="60">
        <f>IF($E273="","",IF(A273&lt;HLP_ChangeDate,HLP_Legacy,HLP_Current))</f>
        <v/>
      </c>
      <c r="L273" s="91">
        <f>IF($E273="","",J273/(1-K273))</f>
        <v/>
      </c>
      <c r="M273" s="90">
        <f>IF($E273="","",'Daily Data'!I273)</f>
        <v/>
      </c>
      <c r="N273" s="91">
        <f>IF($E273="","",M273*(1-K273)-I273)</f>
        <v/>
      </c>
      <c r="O273" s="92" t="n">
        <v>107170</v>
      </c>
      <c r="P273" s="93">
        <f>IF($E273="","",(L273+F273+M273)*K273)</f>
        <v/>
      </c>
      <c r="Q273" s="91">
        <f>IF($E273="","",L273*K273)</f>
        <v/>
      </c>
      <c r="R273" s="91">
        <f>IF($E273="","",F273*K273)</f>
        <v/>
      </c>
      <c r="S273" s="91">
        <f>IF($E273="","",M273*K273)</f>
        <v/>
      </c>
      <c r="T273" s="63">
        <f>IF(OR($E273="",B273=0),"",L273/B273*10000)</f>
        <v/>
      </c>
      <c r="U273" s="63">
        <f>IF(OR($E273="",C273=0),"",F273/C273*10000)</f>
        <v/>
      </c>
      <c r="V273" s="63">
        <f>IF(OR($E273="",D273=0),"",M273/D273*10000)</f>
        <v/>
      </c>
    </row>
    <row r="274">
      <c r="A274" s="35" t="n">
        <v>45928</v>
      </c>
      <c r="B274" s="90">
        <f>'Daily Data'!B274</f>
        <v/>
      </c>
      <c r="C274" s="90">
        <f>'Daily Data'!D274</f>
        <v/>
      </c>
      <c r="D274" s="90">
        <f>'Daily Data'!C274</f>
        <v/>
      </c>
      <c r="E274" s="90">
        <f>IF('Daily Data'!E274="","",'Daily Data'!E274)</f>
        <v/>
      </c>
      <c r="F274" s="90">
        <f>IF($E274="","",'Daily Data'!F274)</f>
        <v/>
      </c>
      <c r="G274" s="90">
        <f>IF($E274="","",'Daily Data'!G274)</f>
        <v/>
      </c>
      <c r="H274" s="91">
        <f>IF($E274="","",(1-K274)*F274-G274)</f>
        <v/>
      </c>
      <c r="I274" s="90">
        <f>IF($E274="","",'Daily Data'!H274)</f>
        <v/>
      </c>
      <c r="J274" s="91">
        <f>IF($E274="","",E274-H274-I274)</f>
        <v/>
      </c>
      <c r="K274" s="60">
        <f>IF($E274="","",IF(A274&lt;HLP_ChangeDate,HLP_Legacy,HLP_Current))</f>
        <v/>
      </c>
      <c r="L274" s="91">
        <f>IF($E274="","",J274/(1-K274))</f>
        <v/>
      </c>
      <c r="M274" s="90">
        <f>IF($E274="","",'Daily Data'!I274)</f>
        <v/>
      </c>
      <c r="N274" s="91">
        <f>IF($E274="","",M274*(1-K274)-I274)</f>
        <v/>
      </c>
      <c r="O274" s="92" t="n">
        <v>122043</v>
      </c>
      <c r="P274" s="93">
        <f>IF($E274="","",(L274+F274+M274)*K274)</f>
        <v/>
      </c>
      <c r="Q274" s="91">
        <f>IF($E274="","",L274*K274)</f>
        <v/>
      </c>
      <c r="R274" s="91">
        <f>IF($E274="","",F274*K274)</f>
        <v/>
      </c>
      <c r="S274" s="91">
        <f>IF($E274="","",M274*K274)</f>
        <v/>
      </c>
      <c r="T274" s="63">
        <f>IF(OR($E274="",B274=0),"",L274/B274*10000)</f>
        <v/>
      </c>
      <c r="U274" s="63">
        <f>IF(OR($E274="",C274=0),"",F274/C274*10000)</f>
        <v/>
      </c>
      <c r="V274" s="63">
        <f>IF(OR($E274="",D274=0),"",M274/D274*10000)</f>
        <v/>
      </c>
    </row>
    <row r="275">
      <c r="A275" s="35" t="n">
        <v>45929</v>
      </c>
      <c r="B275" s="90">
        <f>'Daily Data'!B275</f>
        <v/>
      </c>
      <c r="C275" s="90">
        <f>'Daily Data'!D275</f>
        <v/>
      </c>
      <c r="D275" s="90">
        <f>'Daily Data'!C275</f>
        <v/>
      </c>
      <c r="E275" s="90">
        <f>IF('Daily Data'!E275="","",'Daily Data'!E275)</f>
        <v/>
      </c>
      <c r="F275" s="90">
        <f>IF($E275="","",'Daily Data'!F275)</f>
        <v/>
      </c>
      <c r="G275" s="90">
        <f>IF($E275="","",'Daily Data'!G275)</f>
        <v/>
      </c>
      <c r="H275" s="91">
        <f>IF($E275="","",(1-K275)*F275-G275)</f>
        <v/>
      </c>
      <c r="I275" s="90">
        <f>IF($E275="","",'Daily Data'!H275)</f>
        <v/>
      </c>
      <c r="J275" s="91">
        <f>IF($E275="","",E275-H275-I275)</f>
        <v/>
      </c>
      <c r="K275" s="60">
        <f>IF($E275="","",IF(A275&lt;HLP_ChangeDate,HLP_Legacy,HLP_Current))</f>
        <v/>
      </c>
      <c r="L275" s="91">
        <f>IF($E275="","",J275/(1-K275))</f>
        <v/>
      </c>
      <c r="M275" s="90">
        <f>IF($E275="","",'Daily Data'!I275)</f>
        <v/>
      </c>
      <c r="N275" s="91">
        <f>IF($E275="","",M275*(1-K275)-I275)</f>
        <v/>
      </c>
      <c r="O275" s="92" t="n">
        <v>179034</v>
      </c>
      <c r="P275" s="93">
        <f>IF($E275="","",(L275+F275+M275)*K275)</f>
        <v/>
      </c>
      <c r="Q275" s="91">
        <f>IF($E275="","",L275*K275)</f>
        <v/>
      </c>
      <c r="R275" s="91">
        <f>IF($E275="","",F275*K275)</f>
        <v/>
      </c>
      <c r="S275" s="91">
        <f>IF($E275="","",M275*K275)</f>
        <v/>
      </c>
      <c r="T275" s="63">
        <f>IF(OR($E275="",B275=0),"",L275/B275*10000)</f>
        <v/>
      </c>
      <c r="U275" s="63">
        <f>IF(OR($E275="",C275=0),"",F275/C275*10000)</f>
        <v/>
      </c>
      <c r="V275" s="63">
        <f>IF(OR($E275="",D275=0),"",M275/D275*10000)</f>
        <v/>
      </c>
    </row>
    <row r="276">
      <c r="A276" s="35" t="n">
        <v>45930</v>
      </c>
      <c r="B276" s="90">
        <f>'Daily Data'!B276</f>
        <v/>
      </c>
      <c r="C276" s="90">
        <f>'Daily Data'!D276</f>
        <v/>
      </c>
      <c r="D276" s="90">
        <f>'Daily Data'!C276</f>
        <v/>
      </c>
      <c r="E276" s="90">
        <f>IF('Daily Data'!E276="","",'Daily Data'!E276)</f>
        <v/>
      </c>
      <c r="F276" s="90">
        <f>IF($E276="","",'Daily Data'!F276)</f>
        <v/>
      </c>
      <c r="G276" s="90">
        <f>IF($E276="","",'Daily Data'!G276)</f>
        <v/>
      </c>
      <c r="H276" s="91">
        <f>IF($E276="","",(1-K276)*F276-G276)</f>
        <v/>
      </c>
      <c r="I276" s="90">
        <f>IF($E276="","",'Daily Data'!H276)</f>
        <v/>
      </c>
      <c r="J276" s="91">
        <f>IF($E276="","",E276-H276-I276)</f>
        <v/>
      </c>
      <c r="K276" s="60">
        <f>IF($E276="","",IF(A276&lt;HLP_ChangeDate,HLP_Legacy,HLP_Current))</f>
        <v/>
      </c>
      <c r="L276" s="91">
        <f>IF($E276="","",J276/(1-K276))</f>
        <v/>
      </c>
      <c r="M276" s="90">
        <f>IF($E276="","",'Daily Data'!I276)</f>
        <v/>
      </c>
      <c r="N276" s="91">
        <f>IF($E276="","",M276*(1-K276)-I276)</f>
        <v/>
      </c>
      <c r="O276" s="92" t="n">
        <v>172353</v>
      </c>
      <c r="P276" s="93">
        <f>IF($E276="","",(L276+F276+M276)*K276)</f>
        <v/>
      </c>
      <c r="Q276" s="91">
        <f>IF($E276="","",L276*K276)</f>
        <v/>
      </c>
      <c r="R276" s="91">
        <f>IF($E276="","",F276*K276)</f>
        <v/>
      </c>
      <c r="S276" s="91">
        <f>IF($E276="","",M276*K276)</f>
        <v/>
      </c>
      <c r="T276" s="63">
        <f>IF(OR($E276="",B276=0),"",L276/B276*10000)</f>
        <v/>
      </c>
      <c r="U276" s="63">
        <f>IF(OR($E276="",C276=0),"",F276/C276*10000)</f>
        <v/>
      </c>
      <c r="V276" s="63">
        <f>IF(OR($E276="",D276=0),"",M276/D276*10000)</f>
        <v/>
      </c>
    </row>
    <row r="277">
      <c r="A277" s="35" t="n">
        <v>45931</v>
      </c>
      <c r="B277" s="90">
        <f>'Daily Data'!B277</f>
        <v/>
      </c>
      <c r="C277" s="90">
        <f>'Daily Data'!D277</f>
        <v/>
      </c>
      <c r="D277" s="90">
        <f>'Daily Data'!C277</f>
        <v/>
      </c>
      <c r="E277" s="90">
        <f>IF('Daily Data'!E277="","",'Daily Data'!E277)</f>
        <v/>
      </c>
      <c r="F277" s="90">
        <f>IF($E277="","",'Daily Data'!F277)</f>
        <v/>
      </c>
      <c r="G277" s="90">
        <f>IF($E277="","",'Daily Data'!G277)</f>
        <v/>
      </c>
      <c r="H277" s="91">
        <f>IF($E277="","",(1-K277)*F277-G277)</f>
        <v/>
      </c>
      <c r="I277" s="90">
        <f>IF($E277="","",'Daily Data'!H277)</f>
        <v/>
      </c>
      <c r="J277" s="91">
        <f>IF($E277="","",E277-H277-I277)</f>
        <v/>
      </c>
      <c r="K277" s="60">
        <f>IF($E277="","",IF(A277&lt;HLP_ChangeDate,HLP_Legacy,HLP_Current))</f>
        <v/>
      </c>
      <c r="L277" s="91">
        <f>IF($E277="","",J277/(1-K277))</f>
        <v/>
      </c>
      <c r="M277" s="90">
        <f>IF($E277="","",'Daily Data'!I277)</f>
        <v/>
      </c>
      <c r="N277" s="91">
        <f>IF($E277="","",M277*(1-K277)-I277)</f>
        <v/>
      </c>
      <c r="O277" s="92" t="n">
        <v>196667</v>
      </c>
      <c r="P277" s="93">
        <f>IF($E277="","",(L277+F277+M277)*K277)</f>
        <v/>
      </c>
      <c r="Q277" s="91">
        <f>IF($E277="","",L277*K277)</f>
        <v/>
      </c>
      <c r="R277" s="91">
        <f>IF($E277="","",F277*K277)</f>
        <v/>
      </c>
      <c r="S277" s="91">
        <f>IF($E277="","",M277*K277)</f>
        <v/>
      </c>
      <c r="T277" s="63">
        <f>IF(OR($E277="",B277=0),"",L277/B277*10000)</f>
        <v/>
      </c>
      <c r="U277" s="63">
        <f>IF(OR($E277="",C277=0),"",F277/C277*10000)</f>
        <v/>
      </c>
      <c r="V277" s="63">
        <f>IF(OR($E277="",D277=0),"",M277/D277*10000)</f>
        <v/>
      </c>
    </row>
    <row r="278">
      <c r="A278" s="35" t="n">
        <v>45932</v>
      </c>
      <c r="B278" s="90">
        <f>'Daily Data'!B278</f>
        <v/>
      </c>
      <c r="C278" s="90">
        <f>'Daily Data'!D278</f>
        <v/>
      </c>
      <c r="D278" s="90">
        <f>'Daily Data'!C278</f>
        <v/>
      </c>
      <c r="E278" s="90">
        <f>IF('Daily Data'!E278="","",'Daily Data'!E278)</f>
        <v/>
      </c>
      <c r="F278" s="90">
        <f>IF($E278="","",'Daily Data'!F278)</f>
        <v/>
      </c>
      <c r="G278" s="90">
        <f>IF($E278="","",'Daily Data'!G278)</f>
        <v/>
      </c>
      <c r="H278" s="91">
        <f>IF($E278="","",(1-K278)*F278-G278)</f>
        <v/>
      </c>
      <c r="I278" s="90">
        <f>IF($E278="","",'Daily Data'!H278)</f>
        <v/>
      </c>
      <c r="J278" s="91">
        <f>IF($E278="","",E278-H278-I278)</f>
        <v/>
      </c>
      <c r="K278" s="60">
        <f>IF($E278="","",IF(A278&lt;HLP_ChangeDate,HLP_Legacy,HLP_Current))</f>
        <v/>
      </c>
      <c r="L278" s="91">
        <f>IF($E278="","",J278/(1-K278))</f>
        <v/>
      </c>
      <c r="M278" s="90">
        <f>IF($E278="","",'Daily Data'!I278)</f>
        <v/>
      </c>
      <c r="N278" s="91">
        <f>IF($E278="","",M278*(1-K278)-I278)</f>
        <v/>
      </c>
      <c r="O278" s="92" t="n">
        <v>244963</v>
      </c>
      <c r="P278" s="93">
        <f>IF($E278="","",(L278+F278+M278)*K278)</f>
        <v/>
      </c>
      <c r="Q278" s="91">
        <f>IF($E278="","",L278*K278)</f>
        <v/>
      </c>
      <c r="R278" s="91">
        <f>IF($E278="","",F278*K278)</f>
        <v/>
      </c>
      <c r="S278" s="91">
        <f>IF($E278="","",M278*K278)</f>
        <v/>
      </c>
      <c r="T278" s="63">
        <f>IF(OR($E278="",B278=0),"",L278/B278*10000)</f>
        <v/>
      </c>
      <c r="U278" s="63">
        <f>IF(OR($E278="",C278=0),"",F278/C278*10000)</f>
        <v/>
      </c>
      <c r="V278" s="63">
        <f>IF(OR($E278="",D278=0),"",M278/D278*10000)</f>
        <v/>
      </c>
    </row>
    <row r="279">
      <c r="A279" s="35" t="n">
        <v>45933</v>
      </c>
      <c r="B279" s="90">
        <f>'Daily Data'!B279</f>
        <v/>
      </c>
      <c r="C279" s="90">
        <f>'Daily Data'!D279</f>
        <v/>
      </c>
      <c r="D279" s="90">
        <f>'Daily Data'!C279</f>
        <v/>
      </c>
      <c r="E279" s="90">
        <f>IF('Daily Data'!E279="","",'Daily Data'!E279)</f>
        <v/>
      </c>
      <c r="F279" s="90">
        <f>IF($E279="","",'Daily Data'!F279)</f>
        <v/>
      </c>
      <c r="G279" s="90">
        <f>IF($E279="","",'Daily Data'!G279)</f>
        <v/>
      </c>
      <c r="H279" s="91">
        <f>IF($E279="","",(1-K279)*F279-G279)</f>
        <v/>
      </c>
      <c r="I279" s="90">
        <f>IF($E279="","",'Daily Data'!H279)</f>
        <v/>
      </c>
      <c r="J279" s="91">
        <f>IF($E279="","",E279-H279-I279)</f>
        <v/>
      </c>
      <c r="K279" s="60">
        <f>IF($E279="","",IF(A279&lt;HLP_ChangeDate,HLP_Legacy,HLP_Current))</f>
        <v/>
      </c>
      <c r="L279" s="91">
        <f>IF($E279="","",J279/(1-K279))</f>
        <v/>
      </c>
      <c r="M279" s="90">
        <f>IF($E279="","",'Daily Data'!I279)</f>
        <v/>
      </c>
      <c r="N279" s="91">
        <f>IF($E279="","",M279*(1-K279)-I279)</f>
        <v/>
      </c>
      <c r="O279" s="92" t="n">
        <v>229134</v>
      </c>
      <c r="P279" s="93">
        <f>IF($E279="","",(L279+F279+M279)*K279)</f>
        <v/>
      </c>
      <c r="Q279" s="91">
        <f>IF($E279="","",L279*K279)</f>
        <v/>
      </c>
      <c r="R279" s="91">
        <f>IF($E279="","",F279*K279)</f>
        <v/>
      </c>
      <c r="S279" s="91">
        <f>IF($E279="","",M279*K279)</f>
        <v/>
      </c>
      <c r="T279" s="63">
        <f>IF(OR($E279="",B279=0),"",L279/B279*10000)</f>
        <v/>
      </c>
      <c r="U279" s="63">
        <f>IF(OR($E279="",C279=0),"",F279/C279*10000)</f>
        <v/>
      </c>
      <c r="V279" s="63">
        <f>IF(OR($E279="",D279=0),"",M279/D279*10000)</f>
        <v/>
      </c>
    </row>
    <row r="280">
      <c r="A280" s="35" t="n">
        <v>45934</v>
      </c>
      <c r="B280" s="90">
        <f>'Daily Data'!B280</f>
        <v/>
      </c>
      <c r="C280" s="90">
        <f>'Daily Data'!D280</f>
        <v/>
      </c>
      <c r="D280" s="90">
        <f>'Daily Data'!C280</f>
        <v/>
      </c>
      <c r="E280" s="90">
        <f>IF('Daily Data'!E280="","",'Daily Data'!E280)</f>
        <v/>
      </c>
      <c r="F280" s="90">
        <f>IF($E280="","",'Daily Data'!F280)</f>
        <v/>
      </c>
      <c r="G280" s="90">
        <f>IF($E280="","",'Daily Data'!G280)</f>
        <v/>
      </c>
      <c r="H280" s="91">
        <f>IF($E280="","",(1-K280)*F280-G280)</f>
        <v/>
      </c>
      <c r="I280" s="90">
        <f>IF($E280="","",'Daily Data'!H280)</f>
        <v/>
      </c>
      <c r="J280" s="91">
        <f>IF($E280="","",E280-H280-I280)</f>
        <v/>
      </c>
      <c r="K280" s="60">
        <f>IF($E280="","",IF(A280&lt;HLP_ChangeDate,HLP_Legacy,HLP_Current))</f>
        <v/>
      </c>
      <c r="L280" s="91">
        <f>IF($E280="","",J280/(1-K280))</f>
        <v/>
      </c>
      <c r="M280" s="90">
        <f>IF($E280="","",'Daily Data'!I280)</f>
        <v/>
      </c>
      <c r="N280" s="91">
        <f>IF($E280="","",M280*(1-K280)-I280)</f>
        <v/>
      </c>
      <c r="O280" s="92" t="n">
        <v>195859</v>
      </c>
      <c r="P280" s="93">
        <f>IF($E280="","",(L280+F280+M280)*K280)</f>
        <v/>
      </c>
      <c r="Q280" s="91">
        <f>IF($E280="","",L280*K280)</f>
        <v/>
      </c>
      <c r="R280" s="91">
        <f>IF($E280="","",F280*K280)</f>
        <v/>
      </c>
      <c r="S280" s="91">
        <f>IF($E280="","",M280*K280)</f>
        <v/>
      </c>
      <c r="T280" s="63">
        <f>IF(OR($E280="",B280=0),"",L280/B280*10000)</f>
        <v/>
      </c>
      <c r="U280" s="63">
        <f>IF(OR($E280="",C280=0),"",F280/C280*10000)</f>
        <v/>
      </c>
      <c r="V280" s="63">
        <f>IF(OR($E280="",D280=0),"",M280/D280*10000)</f>
        <v/>
      </c>
    </row>
    <row r="281">
      <c r="A281" s="35" t="n">
        <v>45935</v>
      </c>
      <c r="B281" s="90">
        <f>'Daily Data'!B281</f>
        <v/>
      </c>
      <c r="C281" s="90">
        <f>'Daily Data'!D281</f>
        <v/>
      </c>
      <c r="D281" s="90">
        <f>'Daily Data'!C281</f>
        <v/>
      </c>
      <c r="E281" s="90">
        <f>IF('Daily Data'!E281="","",'Daily Data'!E281)</f>
        <v/>
      </c>
      <c r="F281" s="90">
        <f>IF($E281="","",'Daily Data'!F281)</f>
        <v/>
      </c>
      <c r="G281" s="90">
        <f>IF($E281="","",'Daily Data'!G281)</f>
        <v/>
      </c>
      <c r="H281" s="91">
        <f>IF($E281="","",(1-K281)*F281-G281)</f>
        <v/>
      </c>
      <c r="I281" s="90">
        <f>IF($E281="","",'Daily Data'!H281)</f>
        <v/>
      </c>
      <c r="J281" s="91">
        <f>IF($E281="","",E281-H281-I281)</f>
        <v/>
      </c>
      <c r="K281" s="60">
        <f>IF($E281="","",IF(A281&lt;HLP_ChangeDate,HLP_Legacy,HLP_Current))</f>
        <v/>
      </c>
      <c r="L281" s="91">
        <f>IF($E281="","",J281/(1-K281))</f>
        <v/>
      </c>
      <c r="M281" s="90">
        <f>IF($E281="","",'Daily Data'!I281)</f>
        <v/>
      </c>
      <c r="N281" s="91">
        <f>IF($E281="","",M281*(1-K281)-I281)</f>
        <v/>
      </c>
      <c r="O281" s="92" t="n">
        <v>275878</v>
      </c>
      <c r="P281" s="93">
        <f>IF($E281="","",(L281+F281+M281)*K281)</f>
        <v/>
      </c>
      <c r="Q281" s="91">
        <f>IF($E281="","",L281*K281)</f>
        <v/>
      </c>
      <c r="R281" s="91">
        <f>IF($E281="","",F281*K281)</f>
        <v/>
      </c>
      <c r="S281" s="91">
        <f>IF($E281="","",M281*K281)</f>
        <v/>
      </c>
      <c r="T281" s="63">
        <f>IF(OR($E281="",B281=0),"",L281/B281*10000)</f>
        <v/>
      </c>
      <c r="U281" s="63">
        <f>IF(OR($E281="",C281=0),"",F281/C281*10000)</f>
        <v/>
      </c>
      <c r="V281" s="63">
        <f>IF(OR($E281="",D281=0),"",M281/D281*10000)</f>
        <v/>
      </c>
    </row>
    <row r="282">
      <c r="A282" s="35" t="n">
        <v>45936</v>
      </c>
      <c r="B282" s="90">
        <f>'Daily Data'!B282</f>
        <v/>
      </c>
      <c r="C282" s="90">
        <f>'Daily Data'!D282</f>
        <v/>
      </c>
      <c r="D282" s="90">
        <f>'Daily Data'!C282</f>
        <v/>
      </c>
      <c r="E282" s="90">
        <f>IF('Daily Data'!E282="","",'Daily Data'!E282)</f>
        <v/>
      </c>
      <c r="F282" s="90">
        <f>IF($E282="","",'Daily Data'!F282)</f>
        <v/>
      </c>
      <c r="G282" s="90">
        <f>IF($E282="","",'Daily Data'!G282)</f>
        <v/>
      </c>
      <c r="H282" s="91">
        <f>IF($E282="","",(1-K282)*F282-G282)</f>
        <v/>
      </c>
      <c r="I282" s="90">
        <f>IF($E282="","",'Daily Data'!H282)</f>
        <v/>
      </c>
      <c r="J282" s="91">
        <f>IF($E282="","",E282-H282-I282)</f>
        <v/>
      </c>
      <c r="K282" s="60">
        <f>IF($E282="","",IF(A282&lt;HLP_ChangeDate,HLP_Legacy,HLP_Current))</f>
        <v/>
      </c>
      <c r="L282" s="91">
        <f>IF($E282="","",J282/(1-K282))</f>
        <v/>
      </c>
      <c r="M282" s="90">
        <f>IF($E282="","",'Daily Data'!I282)</f>
        <v/>
      </c>
      <c r="N282" s="91">
        <f>IF($E282="","",M282*(1-K282)-I282)</f>
        <v/>
      </c>
      <c r="O282" s="92" t="n">
        <v>333461</v>
      </c>
      <c r="P282" s="93">
        <f>IF($E282="","",(L282+F282+M282)*K282)</f>
        <v/>
      </c>
      <c r="Q282" s="91">
        <f>IF($E282="","",L282*K282)</f>
        <v/>
      </c>
      <c r="R282" s="91">
        <f>IF($E282="","",F282*K282)</f>
        <v/>
      </c>
      <c r="S282" s="91">
        <f>IF($E282="","",M282*K282)</f>
        <v/>
      </c>
      <c r="T282" s="63">
        <f>IF(OR($E282="",B282=0),"",L282/B282*10000)</f>
        <v/>
      </c>
      <c r="U282" s="63">
        <f>IF(OR($E282="",C282=0),"",F282/C282*10000)</f>
        <v/>
      </c>
      <c r="V282" s="63">
        <f>IF(OR($E282="",D282=0),"",M282/D282*10000)</f>
        <v/>
      </c>
    </row>
    <row r="283">
      <c r="A283" s="35" t="n">
        <v>45937</v>
      </c>
      <c r="B283" s="90">
        <f>'Daily Data'!B283</f>
        <v/>
      </c>
      <c r="C283" s="90">
        <f>'Daily Data'!D283</f>
        <v/>
      </c>
      <c r="D283" s="90">
        <f>'Daily Data'!C283</f>
        <v/>
      </c>
      <c r="E283" s="90">
        <f>IF('Daily Data'!E283="","",'Daily Data'!E283)</f>
        <v/>
      </c>
      <c r="F283" s="90">
        <f>IF($E283="","",'Daily Data'!F283)</f>
        <v/>
      </c>
      <c r="G283" s="90">
        <f>IF($E283="","",'Daily Data'!G283)</f>
        <v/>
      </c>
      <c r="H283" s="91">
        <f>IF($E283="","",(1-K283)*F283-G283)</f>
        <v/>
      </c>
      <c r="I283" s="90">
        <f>IF($E283="","",'Daily Data'!H283)</f>
        <v/>
      </c>
      <c r="J283" s="91">
        <f>IF($E283="","",E283-H283-I283)</f>
        <v/>
      </c>
      <c r="K283" s="60">
        <f>IF($E283="","",IF(A283&lt;HLP_ChangeDate,HLP_Legacy,HLP_Current))</f>
        <v/>
      </c>
      <c r="L283" s="91">
        <f>IF($E283="","",J283/(1-K283))</f>
        <v/>
      </c>
      <c r="M283" s="90">
        <f>IF($E283="","",'Daily Data'!I283)</f>
        <v/>
      </c>
      <c r="N283" s="91">
        <f>IF($E283="","",M283*(1-K283)-I283)</f>
        <v/>
      </c>
      <c r="O283" s="92" t="n">
        <v>340500</v>
      </c>
      <c r="P283" s="93">
        <f>IF($E283="","",(L283+F283+M283)*K283)</f>
        <v/>
      </c>
      <c r="Q283" s="91">
        <f>IF($E283="","",L283*K283)</f>
        <v/>
      </c>
      <c r="R283" s="91">
        <f>IF($E283="","",F283*K283)</f>
        <v/>
      </c>
      <c r="S283" s="91">
        <f>IF($E283="","",M283*K283)</f>
        <v/>
      </c>
      <c r="T283" s="63">
        <f>IF(OR($E283="",B283=0),"",L283/B283*10000)</f>
        <v/>
      </c>
      <c r="U283" s="63">
        <f>IF(OR($E283="",C283=0),"",F283/C283*10000)</f>
        <v/>
      </c>
      <c r="V283" s="63">
        <f>IF(OR($E283="",D283=0),"",M283/D283*10000)</f>
        <v/>
      </c>
    </row>
    <row r="284">
      <c r="A284" s="35" t="n">
        <v>45938</v>
      </c>
      <c r="B284" s="90">
        <f>'Daily Data'!B284</f>
        <v/>
      </c>
      <c r="C284" s="90">
        <f>'Daily Data'!D284</f>
        <v/>
      </c>
      <c r="D284" s="90">
        <f>'Daily Data'!C284</f>
        <v/>
      </c>
      <c r="E284" s="90">
        <f>IF('Daily Data'!E284="","",'Daily Data'!E284)</f>
        <v/>
      </c>
      <c r="F284" s="90">
        <f>IF($E284="","",'Daily Data'!F284)</f>
        <v/>
      </c>
      <c r="G284" s="90">
        <f>IF($E284="","",'Daily Data'!G284)</f>
        <v/>
      </c>
      <c r="H284" s="91">
        <f>IF($E284="","",(1-K284)*F284-G284)</f>
        <v/>
      </c>
      <c r="I284" s="90">
        <f>IF($E284="","",'Daily Data'!H284)</f>
        <v/>
      </c>
      <c r="J284" s="91">
        <f>IF($E284="","",E284-H284-I284)</f>
        <v/>
      </c>
      <c r="K284" s="60">
        <f>IF($E284="","",IF(A284&lt;HLP_ChangeDate,HLP_Legacy,HLP_Current))</f>
        <v/>
      </c>
      <c r="L284" s="91">
        <f>IF($E284="","",J284/(1-K284))</f>
        <v/>
      </c>
      <c r="M284" s="90">
        <f>IF($E284="","",'Daily Data'!I284)</f>
        <v/>
      </c>
      <c r="N284" s="91">
        <f>IF($E284="","",M284*(1-K284)-I284)</f>
        <v/>
      </c>
      <c r="O284" s="92" t="n">
        <v>262566</v>
      </c>
      <c r="P284" s="93">
        <f>IF($E284="","",(L284+F284+M284)*K284)</f>
        <v/>
      </c>
      <c r="Q284" s="91">
        <f>IF($E284="","",L284*K284)</f>
        <v/>
      </c>
      <c r="R284" s="91">
        <f>IF($E284="","",F284*K284)</f>
        <v/>
      </c>
      <c r="S284" s="91">
        <f>IF($E284="","",M284*K284)</f>
        <v/>
      </c>
      <c r="T284" s="63">
        <f>IF(OR($E284="",B284=0),"",L284/B284*10000)</f>
        <v/>
      </c>
      <c r="U284" s="63">
        <f>IF(OR($E284="",C284=0),"",F284/C284*10000)</f>
        <v/>
      </c>
      <c r="V284" s="63">
        <f>IF(OR($E284="",D284=0),"",M284/D284*10000)</f>
        <v/>
      </c>
    </row>
    <row r="285">
      <c r="A285" s="35" t="n">
        <v>45939</v>
      </c>
      <c r="B285" s="90">
        <f>'Daily Data'!B285</f>
        <v/>
      </c>
      <c r="C285" s="90">
        <f>'Daily Data'!D285</f>
        <v/>
      </c>
      <c r="D285" s="90">
        <f>'Daily Data'!C285</f>
        <v/>
      </c>
      <c r="E285" s="90">
        <f>IF('Daily Data'!E285="","",'Daily Data'!E285)</f>
        <v/>
      </c>
      <c r="F285" s="90">
        <f>IF($E285="","",'Daily Data'!F285)</f>
        <v/>
      </c>
      <c r="G285" s="90">
        <f>IF($E285="","",'Daily Data'!G285)</f>
        <v/>
      </c>
      <c r="H285" s="91">
        <f>IF($E285="","",(1-K285)*F285-G285)</f>
        <v/>
      </c>
      <c r="I285" s="90">
        <f>IF($E285="","",'Daily Data'!H285)</f>
        <v/>
      </c>
      <c r="J285" s="91">
        <f>IF($E285="","",E285-H285-I285)</f>
        <v/>
      </c>
      <c r="K285" s="60">
        <f>IF($E285="","",IF(A285&lt;HLP_ChangeDate,HLP_Legacy,HLP_Current))</f>
        <v/>
      </c>
      <c r="L285" s="91">
        <f>IF($E285="","",J285/(1-K285))</f>
        <v/>
      </c>
      <c r="M285" s="90">
        <f>IF($E285="","",'Daily Data'!I285)</f>
        <v/>
      </c>
      <c r="N285" s="91">
        <f>IF($E285="","",M285*(1-K285)-I285)</f>
        <v/>
      </c>
      <c r="O285" s="92" t="n">
        <v>290748</v>
      </c>
      <c r="P285" s="93">
        <f>IF($E285="","",(L285+F285+M285)*K285)</f>
        <v/>
      </c>
      <c r="Q285" s="91">
        <f>IF($E285="","",L285*K285)</f>
        <v/>
      </c>
      <c r="R285" s="91">
        <f>IF($E285="","",F285*K285)</f>
        <v/>
      </c>
      <c r="S285" s="91">
        <f>IF($E285="","",M285*K285)</f>
        <v/>
      </c>
      <c r="T285" s="63">
        <f>IF(OR($E285="",B285=0),"",L285/B285*10000)</f>
        <v/>
      </c>
      <c r="U285" s="63">
        <f>IF(OR($E285="",C285=0),"",F285/C285*10000)</f>
        <v/>
      </c>
      <c r="V285" s="63">
        <f>IF(OR($E285="",D285=0),"",M285/D285*10000)</f>
        <v/>
      </c>
    </row>
    <row r="286">
      <c r="A286" s="35" t="n">
        <v>45940</v>
      </c>
      <c r="B286" s="90">
        <f>'Daily Data'!B286</f>
        <v/>
      </c>
      <c r="C286" s="90">
        <f>'Daily Data'!D286</f>
        <v/>
      </c>
      <c r="D286" s="90">
        <f>'Daily Data'!C286</f>
        <v/>
      </c>
      <c r="E286" s="90">
        <f>IF('Daily Data'!E286="","",'Daily Data'!E286)</f>
        <v/>
      </c>
      <c r="F286" s="90">
        <f>IF($E286="","",'Daily Data'!F286)</f>
        <v/>
      </c>
      <c r="G286" s="90">
        <f>IF($E286="","",'Daily Data'!G286)</f>
        <v/>
      </c>
      <c r="H286" s="91">
        <f>IF($E286="","",(1-K286)*F286-G286)</f>
        <v/>
      </c>
      <c r="I286" s="90">
        <f>IF($E286="","",'Daily Data'!H286)</f>
        <v/>
      </c>
      <c r="J286" s="91">
        <f>IF($E286="","",E286-H286-I286)</f>
        <v/>
      </c>
      <c r="K286" s="60">
        <f>IF($E286="","",IF(A286&lt;HLP_ChangeDate,HLP_Legacy,HLP_Current))</f>
        <v/>
      </c>
      <c r="L286" s="91">
        <f>IF($E286="","",J286/(1-K286))</f>
        <v/>
      </c>
      <c r="M286" s="90">
        <f>IF($E286="","",'Daily Data'!I286)</f>
        <v/>
      </c>
      <c r="N286" s="91">
        <f>IF($E286="","",M286*(1-K286)-I286)</f>
        <v/>
      </c>
      <c r="O286" s="92" t="n">
        <v>497539</v>
      </c>
      <c r="P286" s="93">
        <f>IF($E286="","",(L286+F286+M286)*K286)</f>
        <v/>
      </c>
      <c r="Q286" s="91">
        <f>IF($E286="","",L286*K286)</f>
        <v/>
      </c>
      <c r="R286" s="91">
        <f>IF($E286="","",F286*K286)</f>
        <v/>
      </c>
      <c r="S286" s="91">
        <f>IF($E286="","",M286*K286)</f>
        <v/>
      </c>
      <c r="T286" s="63">
        <f>IF(OR($E286="",B286=0),"",L286/B286*10000)</f>
        <v/>
      </c>
      <c r="U286" s="63">
        <f>IF(OR($E286="",C286=0),"",F286/C286*10000)</f>
        <v/>
      </c>
      <c r="V286" s="63">
        <f>IF(OR($E286="",D286=0),"",M286/D286*10000)</f>
        <v/>
      </c>
    </row>
    <row r="287">
      <c r="A287" s="35" t="n">
        <v>45941</v>
      </c>
      <c r="B287" s="90">
        <f>'Daily Data'!B287</f>
        <v/>
      </c>
      <c r="C287" s="90">
        <f>'Daily Data'!D287</f>
        <v/>
      </c>
      <c r="D287" s="90">
        <f>'Daily Data'!C287</f>
        <v/>
      </c>
      <c r="E287" s="90">
        <f>IF('Daily Data'!E287="","",'Daily Data'!E287)</f>
        <v/>
      </c>
      <c r="F287" s="90">
        <f>IF($E287="","",'Daily Data'!F287)</f>
        <v/>
      </c>
      <c r="G287" s="90">
        <f>IF($E287="","",'Daily Data'!G287)</f>
        <v/>
      </c>
      <c r="H287" s="91">
        <f>IF($E287="","",(1-K287)*F287-G287)</f>
        <v/>
      </c>
      <c r="I287" s="90">
        <f>IF($E287="","",'Daily Data'!H287)</f>
        <v/>
      </c>
      <c r="J287" s="91">
        <f>IF($E287="","",E287-H287-I287)</f>
        <v/>
      </c>
      <c r="K287" s="60">
        <f>IF($E287="","",IF(A287&lt;HLP_ChangeDate,HLP_Legacy,HLP_Current))</f>
        <v/>
      </c>
      <c r="L287" s="91">
        <f>IF($E287="","",J287/(1-K287))</f>
        <v/>
      </c>
      <c r="M287" s="90">
        <f>IF($E287="","",'Daily Data'!I287)</f>
        <v/>
      </c>
      <c r="N287" s="91">
        <f>IF($E287="","",M287*(1-K287)-I287)</f>
        <v/>
      </c>
      <c r="O287" s="92" t="n">
        <v>232883</v>
      </c>
      <c r="P287" s="93">
        <f>IF($E287="","",(L287+F287+M287)*K287)</f>
        <v/>
      </c>
      <c r="Q287" s="91">
        <f>IF($E287="","",L287*K287)</f>
        <v/>
      </c>
      <c r="R287" s="91">
        <f>IF($E287="","",F287*K287)</f>
        <v/>
      </c>
      <c r="S287" s="91">
        <f>IF($E287="","",M287*K287)</f>
        <v/>
      </c>
      <c r="T287" s="63">
        <f>IF(OR($E287="",B287=0),"",L287/B287*10000)</f>
        <v/>
      </c>
      <c r="U287" s="63">
        <f>IF(OR($E287="",C287=0),"",F287/C287*10000)</f>
        <v/>
      </c>
      <c r="V287" s="63">
        <f>IF(OR($E287="",D287=0),"",M287/D287*10000)</f>
        <v/>
      </c>
    </row>
    <row r="288">
      <c r="A288" s="35" t="n">
        <v>45942</v>
      </c>
      <c r="B288" s="90">
        <f>'Daily Data'!B288</f>
        <v/>
      </c>
      <c r="C288" s="90">
        <f>'Daily Data'!D288</f>
        <v/>
      </c>
      <c r="D288" s="90">
        <f>'Daily Data'!C288</f>
        <v/>
      </c>
      <c r="E288" s="90">
        <f>IF('Daily Data'!E288="","",'Daily Data'!E288)</f>
        <v/>
      </c>
      <c r="F288" s="90">
        <f>IF($E288="","",'Daily Data'!F288)</f>
        <v/>
      </c>
      <c r="G288" s="90">
        <f>IF($E288="","",'Daily Data'!G288)</f>
        <v/>
      </c>
      <c r="H288" s="91">
        <f>IF($E288="","",(1-K288)*F288-G288)</f>
        <v/>
      </c>
      <c r="I288" s="90">
        <f>IF($E288="","",'Daily Data'!H288)</f>
        <v/>
      </c>
      <c r="J288" s="91">
        <f>IF($E288="","",E288-H288-I288)</f>
        <v/>
      </c>
      <c r="K288" s="60">
        <f>IF($E288="","",IF(A288&lt;HLP_ChangeDate,HLP_Legacy,HLP_Current))</f>
        <v/>
      </c>
      <c r="L288" s="91">
        <f>IF($E288="","",J288/(1-K288))</f>
        <v/>
      </c>
      <c r="M288" s="90">
        <f>IF($E288="","",'Daily Data'!I288)</f>
        <v/>
      </c>
      <c r="N288" s="91">
        <f>IF($E288="","",M288*(1-K288)-I288)</f>
        <v/>
      </c>
      <c r="O288" s="92" t="n">
        <v>305555</v>
      </c>
      <c r="P288" s="93">
        <f>IF($E288="","",(L288+F288+M288)*K288)</f>
        <v/>
      </c>
      <c r="Q288" s="91">
        <f>IF($E288="","",L288*K288)</f>
        <v/>
      </c>
      <c r="R288" s="91">
        <f>IF($E288="","",F288*K288)</f>
        <v/>
      </c>
      <c r="S288" s="91">
        <f>IF($E288="","",M288*K288)</f>
        <v/>
      </c>
      <c r="T288" s="63">
        <f>IF(OR($E288="",B288=0),"",L288/B288*10000)</f>
        <v/>
      </c>
      <c r="U288" s="63">
        <f>IF(OR($E288="",C288=0),"",F288/C288*10000)</f>
        <v/>
      </c>
      <c r="V288" s="63">
        <f>IF(OR($E288="",D288=0),"",M288/D288*10000)</f>
        <v/>
      </c>
    </row>
    <row r="289">
      <c r="A289" s="35" t="n">
        <v>45943</v>
      </c>
      <c r="B289" s="90">
        <f>'Daily Data'!B289</f>
        <v/>
      </c>
      <c r="C289" s="90">
        <f>'Daily Data'!D289</f>
        <v/>
      </c>
      <c r="D289" s="90">
        <f>'Daily Data'!C289</f>
        <v/>
      </c>
      <c r="E289" s="90">
        <f>IF('Daily Data'!E289="","",'Daily Data'!E289)</f>
        <v/>
      </c>
      <c r="F289" s="90">
        <f>IF($E289="","",'Daily Data'!F289)</f>
        <v/>
      </c>
      <c r="G289" s="90">
        <f>IF($E289="","",'Daily Data'!G289)</f>
        <v/>
      </c>
      <c r="H289" s="91">
        <f>IF($E289="","",(1-K289)*F289-G289)</f>
        <v/>
      </c>
      <c r="I289" s="90">
        <f>IF($E289="","",'Daily Data'!H289)</f>
        <v/>
      </c>
      <c r="J289" s="91">
        <f>IF($E289="","",E289-H289-I289)</f>
        <v/>
      </c>
      <c r="K289" s="60">
        <f>IF($E289="","",IF(A289&lt;HLP_ChangeDate,HLP_Legacy,HLP_Current))</f>
        <v/>
      </c>
      <c r="L289" s="91">
        <f>IF($E289="","",J289/(1-K289))</f>
        <v/>
      </c>
      <c r="M289" s="90">
        <f>IF($E289="","",'Daily Data'!I289)</f>
        <v/>
      </c>
      <c r="N289" s="91">
        <f>IF($E289="","",M289*(1-K289)-I289)</f>
        <v/>
      </c>
      <c r="O289" s="92" t="n">
        <v>268373</v>
      </c>
      <c r="P289" s="93">
        <f>IF($E289="","",(L289+F289+M289)*K289)</f>
        <v/>
      </c>
      <c r="Q289" s="91">
        <f>IF($E289="","",L289*K289)</f>
        <v/>
      </c>
      <c r="R289" s="91">
        <f>IF($E289="","",F289*K289)</f>
        <v/>
      </c>
      <c r="S289" s="91">
        <f>IF($E289="","",M289*K289)</f>
        <v/>
      </c>
      <c r="T289" s="63">
        <f>IF(OR($E289="",B289=0),"",L289/B289*10000)</f>
        <v/>
      </c>
      <c r="U289" s="63">
        <f>IF(OR($E289="",C289=0),"",F289/C289*10000)</f>
        <v/>
      </c>
      <c r="V289" s="63">
        <f>IF(OR($E289="",D289=0),"",M289/D289*10000)</f>
        <v/>
      </c>
    </row>
    <row r="290">
      <c r="A290" s="35" t="n">
        <v>45944</v>
      </c>
      <c r="B290" s="90">
        <f>'Daily Data'!B290</f>
        <v/>
      </c>
      <c r="C290" s="90">
        <f>'Daily Data'!D290</f>
        <v/>
      </c>
      <c r="D290" s="90">
        <f>'Daily Data'!C290</f>
        <v/>
      </c>
      <c r="E290" s="90">
        <f>IF('Daily Data'!E290="","",'Daily Data'!E290)</f>
        <v/>
      </c>
      <c r="F290" s="90">
        <f>IF($E290="","",'Daily Data'!F290)</f>
        <v/>
      </c>
      <c r="G290" s="90">
        <f>IF($E290="","",'Daily Data'!G290)</f>
        <v/>
      </c>
      <c r="H290" s="91">
        <f>IF($E290="","",(1-K290)*F290-G290)</f>
        <v/>
      </c>
      <c r="I290" s="90">
        <f>IF($E290="","",'Daily Data'!H290)</f>
        <v/>
      </c>
      <c r="J290" s="91">
        <f>IF($E290="","",E290-H290-I290)</f>
        <v/>
      </c>
      <c r="K290" s="60">
        <f>IF($E290="","",IF(A290&lt;HLP_ChangeDate,HLP_Legacy,HLP_Current))</f>
        <v/>
      </c>
      <c r="L290" s="91">
        <f>IF($E290="","",J290/(1-K290))</f>
        <v/>
      </c>
      <c r="M290" s="90">
        <f>IF($E290="","",'Daily Data'!I290)</f>
        <v/>
      </c>
      <c r="N290" s="91">
        <f>IF($E290="","",M290*(1-K290)-I290)</f>
        <v/>
      </c>
      <c r="O290" s="92" t="n">
        <v>352228</v>
      </c>
      <c r="P290" s="93">
        <f>IF($E290="","",(L290+F290+M290)*K290)</f>
        <v/>
      </c>
      <c r="Q290" s="91">
        <f>IF($E290="","",L290*K290)</f>
        <v/>
      </c>
      <c r="R290" s="91">
        <f>IF($E290="","",F290*K290)</f>
        <v/>
      </c>
      <c r="S290" s="91">
        <f>IF($E290="","",M290*K290)</f>
        <v/>
      </c>
      <c r="T290" s="63">
        <f>IF(OR($E290="",B290=0),"",L290/B290*10000)</f>
        <v/>
      </c>
      <c r="U290" s="63">
        <f>IF(OR($E290="",C290=0),"",F290/C290*10000)</f>
        <v/>
      </c>
      <c r="V290" s="63">
        <f>IF(OR($E290="",D290=0),"",M290/D290*10000)</f>
        <v/>
      </c>
    </row>
    <row r="291">
      <c r="A291" s="35" t="n">
        <v>45945</v>
      </c>
      <c r="B291" s="90">
        <f>'Daily Data'!B291</f>
        <v/>
      </c>
      <c r="C291" s="90">
        <f>'Daily Data'!D291</f>
        <v/>
      </c>
      <c r="D291" s="90">
        <f>'Daily Data'!C291</f>
        <v/>
      </c>
      <c r="E291" s="90">
        <f>IF('Daily Data'!E291="","",'Daily Data'!E291)</f>
        <v/>
      </c>
      <c r="F291" s="90">
        <f>IF($E291="","",'Daily Data'!F291)</f>
        <v/>
      </c>
      <c r="G291" s="90">
        <f>IF($E291="","",'Daily Data'!G291)</f>
        <v/>
      </c>
      <c r="H291" s="91">
        <f>IF($E291="","",(1-K291)*F291-G291)</f>
        <v/>
      </c>
      <c r="I291" s="90">
        <f>IF($E291="","",'Daily Data'!H291)</f>
        <v/>
      </c>
      <c r="J291" s="91">
        <f>IF($E291="","",E291-H291-I291)</f>
        <v/>
      </c>
      <c r="K291" s="60">
        <f>IF($E291="","",IF(A291&lt;HLP_ChangeDate,HLP_Legacy,HLP_Current))</f>
        <v/>
      </c>
      <c r="L291" s="91">
        <f>IF($E291="","",J291/(1-K291))</f>
        <v/>
      </c>
      <c r="M291" s="90">
        <f>IF($E291="","",'Daily Data'!I291)</f>
        <v/>
      </c>
      <c r="N291" s="91">
        <f>IF($E291="","",M291*(1-K291)-I291)</f>
        <v/>
      </c>
      <c r="O291" s="92" t="n">
        <v>257260</v>
      </c>
      <c r="P291" s="93">
        <f>IF($E291="","",(L291+F291+M291)*K291)</f>
        <v/>
      </c>
      <c r="Q291" s="91">
        <f>IF($E291="","",L291*K291)</f>
        <v/>
      </c>
      <c r="R291" s="91">
        <f>IF($E291="","",F291*K291)</f>
        <v/>
      </c>
      <c r="S291" s="91">
        <f>IF($E291="","",M291*K291)</f>
        <v/>
      </c>
      <c r="T291" s="63">
        <f>IF(OR($E291="",B291=0),"",L291/B291*10000)</f>
        <v/>
      </c>
      <c r="U291" s="63">
        <f>IF(OR($E291="",C291=0),"",F291/C291*10000)</f>
        <v/>
      </c>
      <c r="V291" s="63">
        <f>IF(OR($E291="",D291=0),"",M291/D291*10000)</f>
        <v/>
      </c>
    </row>
    <row r="292">
      <c r="A292" s="35" t="n">
        <v>45946</v>
      </c>
      <c r="B292" s="90">
        <f>'Daily Data'!B292</f>
        <v/>
      </c>
      <c r="C292" s="90">
        <f>'Daily Data'!D292</f>
        <v/>
      </c>
      <c r="D292" s="90">
        <f>'Daily Data'!C292</f>
        <v/>
      </c>
      <c r="E292" s="90">
        <f>IF('Daily Data'!E292="","",'Daily Data'!E292)</f>
        <v/>
      </c>
      <c r="F292" s="90">
        <f>IF($E292="","",'Daily Data'!F292)</f>
        <v/>
      </c>
      <c r="G292" s="90">
        <f>IF($E292="","",'Daily Data'!G292)</f>
        <v/>
      </c>
      <c r="H292" s="91">
        <f>IF($E292="","",(1-K292)*F292-G292)</f>
        <v/>
      </c>
      <c r="I292" s="90">
        <f>IF($E292="","",'Daily Data'!H292)</f>
        <v/>
      </c>
      <c r="J292" s="91">
        <f>IF($E292="","",E292-H292-I292)</f>
        <v/>
      </c>
      <c r="K292" s="60">
        <f>IF($E292="","",IF(A292&lt;HLP_ChangeDate,HLP_Legacy,HLP_Current))</f>
        <v/>
      </c>
      <c r="L292" s="91">
        <f>IF($E292="","",J292/(1-K292))</f>
        <v/>
      </c>
      <c r="M292" s="90">
        <f>IF($E292="","",'Daily Data'!I292)</f>
        <v/>
      </c>
      <c r="N292" s="91">
        <f>IF($E292="","",M292*(1-K292)-I292)</f>
        <v/>
      </c>
      <c r="O292" s="92" t="n">
        <v>254278</v>
      </c>
      <c r="P292" s="93">
        <f>IF($E292="","",(L292+F292+M292)*K292)</f>
        <v/>
      </c>
      <c r="Q292" s="91">
        <f>IF($E292="","",L292*K292)</f>
        <v/>
      </c>
      <c r="R292" s="91">
        <f>IF($E292="","",F292*K292)</f>
        <v/>
      </c>
      <c r="S292" s="91">
        <f>IF($E292="","",M292*K292)</f>
        <v/>
      </c>
      <c r="T292" s="63">
        <f>IF(OR($E292="",B292=0),"",L292/B292*10000)</f>
        <v/>
      </c>
      <c r="U292" s="63">
        <f>IF(OR($E292="",C292=0),"",F292/C292*10000)</f>
        <v/>
      </c>
      <c r="V292" s="63">
        <f>IF(OR($E292="",D292=0),"",M292/D292*10000)</f>
        <v/>
      </c>
    </row>
    <row r="293">
      <c r="A293" s="35" t="n">
        <v>45947</v>
      </c>
      <c r="B293" s="90">
        <f>'Daily Data'!B293</f>
        <v/>
      </c>
      <c r="C293" s="90">
        <f>'Daily Data'!D293</f>
        <v/>
      </c>
      <c r="D293" s="90">
        <f>'Daily Data'!C293</f>
        <v/>
      </c>
      <c r="E293" s="90">
        <f>IF('Daily Data'!E293="","",'Daily Data'!E293)</f>
        <v/>
      </c>
      <c r="F293" s="90">
        <f>IF($E293="","",'Daily Data'!F293)</f>
        <v/>
      </c>
      <c r="G293" s="90">
        <f>IF($E293="","",'Daily Data'!G293)</f>
        <v/>
      </c>
      <c r="H293" s="91">
        <f>IF($E293="","",(1-K293)*F293-G293)</f>
        <v/>
      </c>
      <c r="I293" s="90">
        <f>IF($E293="","",'Daily Data'!H293)</f>
        <v/>
      </c>
      <c r="J293" s="91">
        <f>IF($E293="","",E293-H293-I293)</f>
        <v/>
      </c>
      <c r="K293" s="60">
        <f>IF($E293="","",IF(A293&lt;HLP_ChangeDate,HLP_Legacy,HLP_Current))</f>
        <v/>
      </c>
      <c r="L293" s="91">
        <f>IF($E293="","",J293/(1-K293))</f>
        <v/>
      </c>
      <c r="M293" s="90">
        <f>IF($E293="","",'Daily Data'!I293)</f>
        <v/>
      </c>
      <c r="N293" s="91">
        <f>IF($E293="","",M293*(1-K293)-I293)</f>
        <v/>
      </c>
      <c r="O293" s="92" t="n">
        <v>301190</v>
      </c>
      <c r="P293" s="93">
        <f>IF($E293="","",(L293+F293+M293)*K293)</f>
        <v/>
      </c>
      <c r="Q293" s="91">
        <f>IF($E293="","",L293*K293)</f>
        <v/>
      </c>
      <c r="R293" s="91">
        <f>IF($E293="","",F293*K293)</f>
        <v/>
      </c>
      <c r="S293" s="91">
        <f>IF($E293="","",M293*K293)</f>
        <v/>
      </c>
      <c r="T293" s="63">
        <f>IF(OR($E293="",B293=0),"",L293/B293*10000)</f>
        <v/>
      </c>
      <c r="U293" s="63">
        <f>IF(OR($E293="",C293=0),"",F293/C293*10000)</f>
        <v/>
      </c>
      <c r="V293" s="63">
        <f>IF(OR($E293="",D293=0),"",M293/D293*10000)</f>
        <v/>
      </c>
    </row>
    <row r="294">
      <c r="A294" s="35" t="n">
        <v>45948</v>
      </c>
      <c r="B294" s="90">
        <f>'Daily Data'!B294</f>
        <v/>
      </c>
      <c r="C294" s="90">
        <f>'Daily Data'!D294</f>
        <v/>
      </c>
      <c r="D294" s="90">
        <f>'Daily Data'!C294</f>
        <v/>
      </c>
      <c r="E294" s="90">
        <f>IF('Daily Data'!E294="","",'Daily Data'!E294)</f>
        <v/>
      </c>
      <c r="F294" s="90">
        <f>IF($E294="","",'Daily Data'!F294)</f>
        <v/>
      </c>
      <c r="G294" s="90">
        <f>IF($E294="","",'Daily Data'!G294)</f>
        <v/>
      </c>
      <c r="H294" s="91">
        <f>IF($E294="","",(1-K294)*F294-G294)</f>
        <v/>
      </c>
      <c r="I294" s="90">
        <f>IF($E294="","",'Daily Data'!H294)</f>
        <v/>
      </c>
      <c r="J294" s="91">
        <f>IF($E294="","",E294-H294-I294)</f>
        <v/>
      </c>
      <c r="K294" s="60">
        <f>IF($E294="","",IF(A294&lt;HLP_ChangeDate,HLP_Legacy,HLP_Current))</f>
        <v/>
      </c>
      <c r="L294" s="91">
        <f>IF($E294="","",J294/(1-K294))</f>
        <v/>
      </c>
      <c r="M294" s="90">
        <f>IF($E294="","",'Daily Data'!I294)</f>
        <v/>
      </c>
      <c r="N294" s="91">
        <f>IF($E294="","",M294*(1-K294)-I294)</f>
        <v/>
      </c>
      <c r="O294" s="92" t="n">
        <v>147917</v>
      </c>
      <c r="P294" s="93">
        <f>IF($E294="","",(L294+F294+M294)*K294)</f>
        <v/>
      </c>
      <c r="Q294" s="91">
        <f>IF($E294="","",L294*K294)</f>
        <v/>
      </c>
      <c r="R294" s="91">
        <f>IF($E294="","",F294*K294)</f>
        <v/>
      </c>
      <c r="S294" s="91">
        <f>IF($E294="","",M294*K294)</f>
        <v/>
      </c>
      <c r="T294" s="63">
        <f>IF(OR($E294="",B294=0),"",L294/B294*10000)</f>
        <v/>
      </c>
      <c r="U294" s="63">
        <f>IF(OR($E294="",C294=0),"",F294/C294*10000)</f>
        <v/>
      </c>
      <c r="V294" s="63">
        <f>IF(OR($E294="",D294=0),"",M294/D294*10000)</f>
        <v/>
      </c>
    </row>
    <row r="295">
      <c r="A295" s="35" t="n">
        <v>45949</v>
      </c>
      <c r="B295" s="90">
        <f>'Daily Data'!B295</f>
        <v/>
      </c>
      <c r="C295" s="90">
        <f>'Daily Data'!D295</f>
        <v/>
      </c>
      <c r="D295" s="90">
        <f>'Daily Data'!C295</f>
        <v/>
      </c>
      <c r="E295" s="90">
        <f>IF('Daily Data'!E295="","",'Daily Data'!E295)</f>
        <v/>
      </c>
      <c r="F295" s="90">
        <f>IF($E295="","",'Daily Data'!F295)</f>
        <v/>
      </c>
      <c r="G295" s="90">
        <f>IF($E295="","",'Daily Data'!G295)</f>
        <v/>
      </c>
      <c r="H295" s="91">
        <f>IF($E295="","",(1-K295)*F295-G295)</f>
        <v/>
      </c>
      <c r="I295" s="90">
        <f>IF($E295="","",'Daily Data'!H295)</f>
        <v/>
      </c>
      <c r="J295" s="91">
        <f>IF($E295="","",E295-H295-I295)</f>
        <v/>
      </c>
      <c r="K295" s="60">
        <f>IF($E295="","",IF(A295&lt;HLP_ChangeDate,HLP_Legacy,HLP_Current))</f>
        <v/>
      </c>
      <c r="L295" s="91">
        <f>IF($E295="","",J295/(1-K295))</f>
        <v/>
      </c>
      <c r="M295" s="90">
        <f>IF($E295="","",'Daily Data'!I295)</f>
        <v/>
      </c>
      <c r="N295" s="91">
        <f>IF($E295="","",M295*(1-K295)-I295)</f>
        <v/>
      </c>
      <c r="O295" s="92" t="n">
        <v>174564</v>
      </c>
      <c r="P295" s="93">
        <f>IF($E295="","",(L295+F295+M295)*K295)</f>
        <v/>
      </c>
      <c r="Q295" s="91">
        <f>IF($E295="","",L295*K295)</f>
        <v/>
      </c>
      <c r="R295" s="91">
        <f>IF($E295="","",F295*K295)</f>
        <v/>
      </c>
      <c r="S295" s="91">
        <f>IF($E295="","",M295*K295)</f>
        <v/>
      </c>
      <c r="T295" s="63">
        <f>IF(OR($E295="",B295=0),"",L295/B295*10000)</f>
        <v/>
      </c>
      <c r="U295" s="63">
        <f>IF(OR($E295="",C295=0),"",F295/C295*10000)</f>
        <v/>
      </c>
      <c r="V295" s="63">
        <f>IF(OR($E295="",D295=0),"",M295/D295*10000)</f>
        <v/>
      </c>
    </row>
    <row r="296">
      <c r="A296" s="35" t="n">
        <v>45950</v>
      </c>
      <c r="B296" s="90">
        <f>'Daily Data'!B296</f>
        <v/>
      </c>
      <c r="C296" s="90">
        <f>'Daily Data'!D296</f>
        <v/>
      </c>
      <c r="D296" s="90">
        <f>'Daily Data'!C296</f>
        <v/>
      </c>
      <c r="E296" s="90">
        <f>IF('Daily Data'!E296="","",'Daily Data'!E296)</f>
        <v/>
      </c>
      <c r="F296" s="90">
        <f>IF($E296="","",'Daily Data'!F296)</f>
        <v/>
      </c>
      <c r="G296" s="90">
        <f>IF($E296="","",'Daily Data'!G296)</f>
        <v/>
      </c>
      <c r="H296" s="91">
        <f>IF($E296="","",(1-K296)*F296-G296)</f>
        <v/>
      </c>
      <c r="I296" s="90">
        <f>IF($E296="","",'Daily Data'!H296)</f>
        <v/>
      </c>
      <c r="J296" s="91">
        <f>IF($E296="","",E296-H296-I296)</f>
        <v/>
      </c>
      <c r="K296" s="60">
        <f>IF($E296="","",IF(A296&lt;HLP_ChangeDate,HLP_Legacy,HLP_Current))</f>
        <v/>
      </c>
      <c r="L296" s="91">
        <f>IF($E296="","",J296/(1-K296))</f>
        <v/>
      </c>
      <c r="M296" s="90">
        <f>IF($E296="","",'Daily Data'!I296)</f>
        <v/>
      </c>
      <c r="N296" s="91">
        <f>IF($E296="","",M296*(1-K296)-I296)</f>
        <v/>
      </c>
      <c r="O296" s="92" t="n">
        <v>215027</v>
      </c>
      <c r="P296" s="93">
        <f>IF($E296="","",(L296+F296+M296)*K296)</f>
        <v/>
      </c>
      <c r="Q296" s="91">
        <f>IF($E296="","",L296*K296)</f>
        <v/>
      </c>
      <c r="R296" s="91">
        <f>IF($E296="","",F296*K296)</f>
        <v/>
      </c>
      <c r="S296" s="91">
        <f>IF($E296="","",M296*K296)</f>
        <v/>
      </c>
      <c r="T296" s="63">
        <f>IF(OR($E296="",B296=0),"",L296/B296*10000)</f>
        <v/>
      </c>
      <c r="U296" s="63">
        <f>IF(OR($E296="",C296=0),"",F296/C296*10000)</f>
        <v/>
      </c>
      <c r="V296" s="63">
        <f>IF(OR($E296="",D296=0),"",M296/D296*10000)</f>
        <v/>
      </c>
    </row>
    <row r="297">
      <c r="A297" s="35" t="n">
        <v>45951</v>
      </c>
      <c r="B297" s="90">
        <f>'Daily Data'!B297</f>
        <v/>
      </c>
      <c r="C297" s="90">
        <f>'Daily Data'!D297</f>
        <v/>
      </c>
      <c r="D297" s="90">
        <f>'Daily Data'!C297</f>
        <v/>
      </c>
      <c r="E297" s="90">
        <f>IF('Daily Data'!E297="","",'Daily Data'!E297)</f>
        <v/>
      </c>
      <c r="F297" s="90">
        <f>IF($E297="","",'Daily Data'!F297)</f>
        <v/>
      </c>
      <c r="G297" s="90">
        <f>IF($E297="","",'Daily Data'!G297)</f>
        <v/>
      </c>
      <c r="H297" s="91">
        <f>IF($E297="","",(1-K297)*F297-G297)</f>
        <v/>
      </c>
      <c r="I297" s="90">
        <f>IF($E297="","",'Daily Data'!H297)</f>
        <v/>
      </c>
      <c r="J297" s="91">
        <f>IF($E297="","",E297-H297-I297)</f>
        <v/>
      </c>
      <c r="K297" s="60">
        <f>IF($E297="","",IF(A297&lt;HLP_ChangeDate,HLP_Legacy,HLP_Current))</f>
        <v/>
      </c>
      <c r="L297" s="91">
        <f>IF($E297="","",J297/(1-K297))</f>
        <v/>
      </c>
      <c r="M297" s="90">
        <f>IF($E297="","",'Daily Data'!I297)</f>
        <v/>
      </c>
      <c r="N297" s="91">
        <f>IF($E297="","",M297*(1-K297)-I297)</f>
        <v/>
      </c>
      <c r="O297" s="92" t="n">
        <v>319643</v>
      </c>
      <c r="P297" s="93">
        <f>IF($E297="","",(L297+F297+M297)*K297)</f>
        <v/>
      </c>
      <c r="Q297" s="91">
        <f>IF($E297="","",L297*K297)</f>
        <v/>
      </c>
      <c r="R297" s="91">
        <f>IF($E297="","",F297*K297)</f>
        <v/>
      </c>
      <c r="S297" s="91">
        <f>IF($E297="","",M297*K297)</f>
        <v/>
      </c>
      <c r="T297" s="63">
        <f>IF(OR($E297="",B297=0),"",L297/B297*10000)</f>
        <v/>
      </c>
      <c r="U297" s="63">
        <f>IF(OR($E297="",C297=0),"",F297/C297*10000)</f>
        <v/>
      </c>
      <c r="V297" s="63">
        <f>IF(OR($E297="",D297=0),"",M297/D297*10000)</f>
        <v/>
      </c>
    </row>
    <row r="298">
      <c r="A298" s="35" t="n">
        <v>45952</v>
      </c>
      <c r="B298" s="90">
        <f>'Daily Data'!B298</f>
        <v/>
      </c>
      <c r="C298" s="90">
        <f>'Daily Data'!D298</f>
        <v/>
      </c>
      <c r="D298" s="90">
        <f>'Daily Data'!C298</f>
        <v/>
      </c>
      <c r="E298" s="90">
        <f>IF('Daily Data'!E298="","",'Daily Data'!E298)</f>
        <v/>
      </c>
      <c r="F298" s="90">
        <f>IF($E298="","",'Daily Data'!F298)</f>
        <v/>
      </c>
      <c r="G298" s="90">
        <f>IF($E298="","",'Daily Data'!G298)</f>
        <v/>
      </c>
      <c r="H298" s="91">
        <f>IF($E298="","",(1-K298)*F298-G298)</f>
        <v/>
      </c>
      <c r="I298" s="90">
        <f>IF($E298="","",'Daily Data'!H298)</f>
        <v/>
      </c>
      <c r="J298" s="91">
        <f>IF($E298="","",E298-H298-I298)</f>
        <v/>
      </c>
      <c r="K298" s="60">
        <f>IF($E298="","",IF(A298&lt;HLP_ChangeDate,HLP_Legacy,HLP_Current))</f>
        <v/>
      </c>
      <c r="L298" s="91">
        <f>IF($E298="","",J298/(1-K298))</f>
        <v/>
      </c>
      <c r="M298" s="90">
        <f>IF($E298="","",'Daily Data'!I298)</f>
        <v/>
      </c>
      <c r="N298" s="91">
        <f>IF($E298="","",M298*(1-K298)-I298)</f>
        <v/>
      </c>
      <c r="O298" s="92" t="n">
        <v>198268</v>
      </c>
      <c r="P298" s="93">
        <f>IF($E298="","",(L298+F298+M298)*K298)</f>
        <v/>
      </c>
      <c r="Q298" s="91">
        <f>IF($E298="","",L298*K298)</f>
        <v/>
      </c>
      <c r="R298" s="91">
        <f>IF($E298="","",F298*K298)</f>
        <v/>
      </c>
      <c r="S298" s="91">
        <f>IF($E298="","",M298*K298)</f>
        <v/>
      </c>
      <c r="T298" s="63">
        <f>IF(OR($E298="",B298=0),"",L298/B298*10000)</f>
        <v/>
      </c>
      <c r="U298" s="63">
        <f>IF(OR($E298="",C298=0),"",F298/C298*10000)</f>
        <v/>
      </c>
      <c r="V298" s="63">
        <f>IF(OR($E298="",D298=0),"",M298/D298*10000)</f>
        <v/>
      </c>
    </row>
    <row r="299">
      <c r="A299" s="35" t="n">
        <v>45953</v>
      </c>
      <c r="B299" s="90">
        <f>'Daily Data'!B299</f>
        <v/>
      </c>
      <c r="C299" s="90">
        <f>'Daily Data'!D299</f>
        <v/>
      </c>
      <c r="D299" s="90">
        <f>'Daily Data'!C299</f>
        <v/>
      </c>
      <c r="E299" s="90">
        <f>IF('Daily Data'!E299="","",'Daily Data'!E299)</f>
        <v/>
      </c>
      <c r="F299" s="90">
        <f>IF($E299="","",'Daily Data'!F299)</f>
        <v/>
      </c>
      <c r="G299" s="90">
        <f>IF($E299="","",'Daily Data'!G299)</f>
        <v/>
      </c>
      <c r="H299" s="91">
        <f>IF($E299="","",(1-K299)*F299-G299)</f>
        <v/>
      </c>
      <c r="I299" s="90">
        <f>IF($E299="","",'Daily Data'!H299)</f>
        <v/>
      </c>
      <c r="J299" s="91">
        <f>IF($E299="","",E299-H299-I299)</f>
        <v/>
      </c>
      <c r="K299" s="60">
        <f>IF($E299="","",IF(A299&lt;HLP_ChangeDate,HLP_Legacy,HLP_Current))</f>
        <v/>
      </c>
      <c r="L299" s="91">
        <f>IF($E299="","",J299/(1-K299))</f>
        <v/>
      </c>
      <c r="M299" s="90">
        <f>IF($E299="","",'Daily Data'!I299)</f>
        <v/>
      </c>
      <c r="N299" s="91">
        <f>IF($E299="","",M299*(1-K299)-I299)</f>
        <v/>
      </c>
      <c r="O299" s="92" t="n">
        <v>203885</v>
      </c>
      <c r="P299" s="93">
        <f>IF($E299="","",(L299+F299+M299)*K299)</f>
        <v/>
      </c>
      <c r="Q299" s="91">
        <f>IF($E299="","",L299*K299)</f>
        <v/>
      </c>
      <c r="R299" s="91">
        <f>IF($E299="","",F299*K299)</f>
        <v/>
      </c>
      <c r="S299" s="91">
        <f>IF($E299="","",M299*K299)</f>
        <v/>
      </c>
      <c r="T299" s="63">
        <f>IF(OR($E299="",B299=0),"",L299/B299*10000)</f>
        <v/>
      </c>
      <c r="U299" s="63">
        <f>IF(OR($E299="",C299=0),"",F299/C299*10000)</f>
        <v/>
      </c>
      <c r="V299" s="63">
        <f>IF(OR($E299="",D299=0),"",M299/D299*10000)</f>
        <v/>
      </c>
    </row>
    <row r="300">
      <c r="A300" s="35" t="n">
        <v>45954</v>
      </c>
      <c r="B300" s="90">
        <f>'Daily Data'!B300</f>
        <v/>
      </c>
      <c r="C300" s="90">
        <f>'Daily Data'!D300</f>
        <v/>
      </c>
      <c r="D300" s="90">
        <f>'Daily Data'!C300</f>
        <v/>
      </c>
      <c r="E300" s="90">
        <f>IF('Daily Data'!E300="","",'Daily Data'!E300)</f>
        <v/>
      </c>
      <c r="F300" s="90">
        <f>IF($E300="","",'Daily Data'!F300)</f>
        <v/>
      </c>
      <c r="G300" s="90">
        <f>IF($E300="","",'Daily Data'!G300)</f>
        <v/>
      </c>
      <c r="H300" s="91">
        <f>IF($E300="","",(1-K300)*F300-G300)</f>
        <v/>
      </c>
      <c r="I300" s="90">
        <f>IF($E300="","",'Daily Data'!H300)</f>
        <v/>
      </c>
      <c r="J300" s="91">
        <f>IF($E300="","",E300-H300-I300)</f>
        <v/>
      </c>
      <c r="K300" s="60">
        <f>IF($E300="","",IF(A300&lt;HLP_ChangeDate,HLP_Legacy,HLP_Current))</f>
        <v/>
      </c>
      <c r="L300" s="91">
        <f>IF($E300="","",J300/(1-K300))</f>
        <v/>
      </c>
      <c r="M300" s="90">
        <f>IF($E300="","",'Daily Data'!I300)</f>
        <v/>
      </c>
      <c r="N300" s="91">
        <f>IF($E300="","",M300*(1-K300)-I300)</f>
        <v/>
      </c>
      <c r="O300" s="92" t="n">
        <v>212936</v>
      </c>
      <c r="P300" s="93">
        <f>IF($E300="","",(L300+F300+M300)*K300)</f>
        <v/>
      </c>
      <c r="Q300" s="91">
        <f>IF($E300="","",L300*K300)</f>
        <v/>
      </c>
      <c r="R300" s="91">
        <f>IF($E300="","",F300*K300)</f>
        <v/>
      </c>
      <c r="S300" s="91">
        <f>IF($E300="","",M300*K300)</f>
        <v/>
      </c>
      <c r="T300" s="63">
        <f>IF(OR($E300="",B300=0),"",L300/B300*10000)</f>
        <v/>
      </c>
      <c r="U300" s="63">
        <f>IF(OR($E300="",C300=0),"",F300/C300*10000)</f>
        <v/>
      </c>
      <c r="V300" s="63">
        <f>IF(OR($E300="",D300=0),"",M300/D300*10000)</f>
        <v/>
      </c>
    </row>
    <row r="301">
      <c r="A301" s="35" t="n">
        <v>45955</v>
      </c>
      <c r="B301" s="90">
        <f>'Daily Data'!B301</f>
        <v/>
      </c>
      <c r="C301" s="90">
        <f>'Daily Data'!D301</f>
        <v/>
      </c>
      <c r="D301" s="90">
        <f>'Daily Data'!C301</f>
        <v/>
      </c>
      <c r="E301" s="90">
        <f>IF('Daily Data'!E301="","",'Daily Data'!E301)</f>
        <v/>
      </c>
      <c r="F301" s="90">
        <f>IF($E301="","",'Daily Data'!F301)</f>
        <v/>
      </c>
      <c r="G301" s="90">
        <f>IF($E301="","",'Daily Data'!G301)</f>
        <v/>
      </c>
      <c r="H301" s="91">
        <f>IF($E301="","",(1-K301)*F301-G301)</f>
        <v/>
      </c>
      <c r="I301" s="90">
        <f>IF($E301="","",'Daily Data'!H301)</f>
        <v/>
      </c>
      <c r="J301" s="91">
        <f>IF($E301="","",E301-H301-I301)</f>
        <v/>
      </c>
      <c r="K301" s="60">
        <f>IF($E301="","",IF(A301&lt;HLP_ChangeDate,HLP_Legacy,HLP_Current))</f>
        <v/>
      </c>
      <c r="L301" s="91">
        <f>IF($E301="","",J301/(1-K301))</f>
        <v/>
      </c>
      <c r="M301" s="90">
        <f>IF($E301="","",'Daily Data'!I301)</f>
        <v/>
      </c>
      <c r="N301" s="91">
        <f>IF($E301="","",M301*(1-K301)-I301)</f>
        <v/>
      </c>
      <c r="O301" s="92" t="n">
        <v>124847</v>
      </c>
      <c r="P301" s="93">
        <f>IF($E301="","",(L301+F301+M301)*K301)</f>
        <v/>
      </c>
      <c r="Q301" s="91">
        <f>IF($E301="","",L301*K301)</f>
        <v/>
      </c>
      <c r="R301" s="91">
        <f>IF($E301="","",F301*K301)</f>
        <v/>
      </c>
      <c r="S301" s="91">
        <f>IF($E301="","",M301*K301)</f>
        <v/>
      </c>
      <c r="T301" s="63">
        <f>IF(OR($E301="",B301=0),"",L301/B301*10000)</f>
        <v/>
      </c>
      <c r="U301" s="63">
        <f>IF(OR($E301="",C301=0),"",F301/C301*10000)</f>
        <v/>
      </c>
      <c r="V301" s="63">
        <f>IF(OR($E301="",D301=0),"",M301/D301*10000)</f>
        <v/>
      </c>
    </row>
    <row r="302">
      <c r="A302" s="35" t="n">
        <v>45956</v>
      </c>
      <c r="B302" s="90">
        <f>'Daily Data'!B302</f>
        <v/>
      </c>
      <c r="C302" s="90">
        <f>'Daily Data'!D302</f>
        <v/>
      </c>
      <c r="D302" s="90">
        <f>'Daily Data'!C302</f>
        <v/>
      </c>
      <c r="E302" s="90">
        <f>IF('Daily Data'!E302="","",'Daily Data'!E302)</f>
        <v/>
      </c>
      <c r="F302" s="90">
        <f>IF($E302="","",'Daily Data'!F302)</f>
        <v/>
      </c>
      <c r="G302" s="90">
        <f>IF($E302="","",'Daily Data'!G302)</f>
        <v/>
      </c>
      <c r="H302" s="91">
        <f>IF($E302="","",(1-K302)*F302-G302)</f>
        <v/>
      </c>
      <c r="I302" s="90">
        <f>IF($E302="","",'Daily Data'!H302)</f>
        <v/>
      </c>
      <c r="J302" s="91">
        <f>IF($E302="","",E302-H302-I302)</f>
        <v/>
      </c>
      <c r="K302" s="60">
        <f>IF($E302="","",IF(A302&lt;HLP_ChangeDate,HLP_Legacy,HLP_Current))</f>
        <v/>
      </c>
      <c r="L302" s="91">
        <f>IF($E302="","",J302/(1-K302))</f>
        <v/>
      </c>
      <c r="M302" s="90">
        <f>IF($E302="","",'Daily Data'!I302)</f>
        <v/>
      </c>
      <c r="N302" s="91">
        <f>IF($E302="","",M302*(1-K302)-I302)</f>
        <v/>
      </c>
      <c r="O302" s="92" t="n">
        <v>195197</v>
      </c>
      <c r="P302" s="93">
        <f>IF($E302="","",(L302+F302+M302)*K302)</f>
        <v/>
      </c>
      <c r="Q302" s="91">
        <f>IF($E302="","",L302*K302)</f>
        <v/>
      </c>
      <c r="R302" s="91">
        <f>IF($E302="","",F302*K302)</f>
        <v/>
      </c>
      <c r="S302" s="91">
        <f>IF($E302="","",M302*K302)</f>
        <v/>
      </c>
      <c r="T302" s="63">
        <f>IF(OR($E302="",B302=0),"",L302/B302*10000)</f>
        <v/>
      </c>
      <c r="U302" s="63">
        <f>IF(OR($E302="",C302=0),"",F302/C302*10000)</f>
        <v/>
      </c>
      <c r="V302" s="63">
        <f>IF(OR($E302="",D302=0),"",M302/D302*10000)</f>
        <v/>
      </c>
    </row>
    <row r="303">
      <c r="A303" s="35" t="n">
        <v>45957</v>
      </c>
      <c r="B303" s="90">
        <f>'Daily Data'!B303</f>
        <v/>
      </c>
      <c r="C303" s="90">
        <f>'Daily Data'!D303</f>
        <v/>
      </c>
      <c r="D303" s="90">
        <f>'Daily Data'!C303</f>
        <v/>
      </c>
      <c r="E303" s="90">
        <f>IF('Daily Data'!E303="","",'Daily Data'!E303)</f>
        <v/>
      </c>
      <c r="F303" s="90">
        <f>IF($E303="","",'Daily Data'!F303)</f>
        <v/>
      </c>
      <c r="G303" s="90">
        <f>IF($E303="","",'Daily Data'!G303)</f>
        <v/>
      </c>
      <c r="H303" s="91">
        <f>IF($E303="","",(1-K303)*F303-G303)</f>
        <v/>
      </c>
      <c r="I303" s="90">
        <f>IF($E303="","",'Daily Data'!H303)</f>
        <v/>
      </c>
      <c r="J303" s="91">
        <f>IF($E303="","",E303-H303-I303)</f>
        <v/>
      </c>
      <c r="K303" s="60">
        <f>IF($E303="","",IF(A303&lt;HLP_ChangeDate,HLP_Legacy,HLP_Current))</f>
        <v/>
      </c>
      <c r="L303" s="91">
        <f>IF($E303="","",J303/(1-K303))</f>
        <v/>
      </c>
      <c r="M303" s="90">
        <f>IF($E303="","",'Daily Data'!I303)</f>
        <v/>
      </c>
      <c r="N303" s="91">
        <f>IF($E303="","",M303*(1-K303)-I303)</f>
        <v/>
      </c>
      <c r="O303" s="92" t="n">
        <v>246797</v>
      </c>
      <c r="P303" s="93">
        <f>IF($E303="","",(L303+F303+M303)*K303)</f>
        <v/>
      </c>
      <c r="Q303" s="91">
        <f>IF($E303="","",L303*K303)</f>
        <v/>
      </c>
      <c r="R303" s="91">
        <f>IF($E303="","",F303*K303)</f>
        <v/>
      </c>
      <c r="S303" s="91">
        <f>IF($E303="","",M303*K303)</f>
        <v/>
      </c>
      <c r="T303" s="63">
        <f>IF(OR($E303="",B303=0),"",L303/B303*10000)</f>
        <v/>
      </c>
      <c r="U303" s="63">
        <f>IF(OR($E303="",C303=0),"",F303/C303*10000)</f>
        <v/>
      </c>
      <c r="V303" s="63">
        <f>IF(OR($E303="",D303=0),"",M303/D303*10000)</f>
        <v/>
      </c>
    </row>
    <row r="304">
      <c r="A304" s="35" t="n">
        <v>45958</v>
      </c>
      <c r="B304" s="90">
        <f>'Daily Data'!B304</f>
        <v/>
      </c>
      <c r="C304" s="90">
        <f>'Daily Data'!D304</f>
        <v/>
      </c>
      <c r="D304" s="90">
        <f>'Daily Data'!C304</f>
        <v/>
      </c>
      <c r="E304" s="90">
        <f>IF('Daily Data'!E304="","",'Daily Data'!E304)</f>
        <v/>
      </c>
      <c r="F304" s="90">
        <f>IF($E304="","",'Daily Data'!F304)</f>
        <v/>
      </c>
      <c r="G304" s="90">
        <f>IF($E304="","",'Daily Data'!G304)</f>
        <v/>
      </c>
      <c r="H304" s="91">
        <f>IF($E304="","",(1-K304)*F304-G304)</f>
        <v/>
      </c>
      <c r="I304" s="90">
        <f>IF($E304="","",'Daily Data'!H304)</f>
        <v/>
      </c>
      <c r="J304" s="91">
        <f>IF($E304="","",E304-H304-I304)</f>
        <v/>
      </c>
      <c r="K304" s="60">
        <f>IF($E304="","",IF(A304&lt;HLP_ChangeDate,HLP_Legacy,HLP_Current))</f>
        <v/>
      </c>
      <c r="L304" s="91">
        <f>IF($E304="","",J304/(1-K304))</f>
        <v/>
      </c>
      <c r="M304" s="90">
        <f>IF($E304="","",'Daily Data'!I304)</f>
        <v/>
      </c>
      <c r="N304" s="91">
        <f>IF($E304="","",M304*(1-K304)-I304)</f>
        <v/>
      </c>
      <c r="O304" s="92" t="n">
        <v>305343</v>
      </c>
      <c r="P304" s="93">
        <f>IF($E304="","",(L304+F304+M304)*K304)</f>
        <v/>
      </c>
      <c r="Q304" s="91">
        <f>IF($E304="","",L304*K304)</f>
        <v/>
      </c>
      <c r="R304" s="91">
        <f>IF($E304="","",F304*K304)</f>
        <v/>
      </c>
      <c r="S304" s="91">
        <f>IF($E304="","",M304*K304)</f>
        <v/>
      </c>
      <c r="T304" s="63">
        <f>IF(OR($E304="",B304=0),"",L304/B304*10000)</f>
        <v/>
      </c>
      <c r="U304" s="63">
        <f>IF(OR($E304="",C304=0),"",F304/C304*10000)</f>
        <v/>
      </c>
      <c r="V304" s="63">
        <f>IF(OR($E304="",D304=0),"",M304/D304*10000)</f>
        <v/>
      </c>
    </row>
    <row r="305">
      <c r="A305" s="35" t="n">
        <v>45959</v>
      </c>
      <c r="B305" s="90">
        <f>'Daily Data'!B305</f>
        <v/>
      </c>
      <c r="C305" s="90">
        <f>'Daily Data'!D305</f>
        <v/>
      </c>
      <c r="D305" s="90">
        <f>'Daily Data'!C305</f>
        <v/>
      </c>
      <c r="E305" s="90">
        <f>IF('Daily Data'!E305="","",'Daily Data'!E305)</f>
        <v/>
      </c>
      <c r="F305" s="90">
        <f>IF($E305="","",'Daily Data'!F305)</f>
        <v/>
      </c>
      <c r="G305" s="90">
        <f>IF($E305="","",'Daily Data'!G305)</f>
        <v/>
      </c>
      <c r="H305" s="91">
        <f>IF($E305="","",(1-K305)*F305-G305)</f>
        <v/>
      </c>
      <c r="I305" s="90">
        <f>IF($E305="","",'Daily Data'!H305)</f>
        <v/>
      </c>
      <c r="J305" s="91">
        <f>IF($E305="","",E305-H305-I305)</f>
        <v/>
      </c>
      <c r="K305" s="60">
        <f>IF($E305="","",IF(A305&lt;HLP_ChangeDate,HLP_Legacy,HLP_Current))</f>
        <v/>
      </c>
      <c r="L305" s="91">
        <f>IF($E305="","",J305/(1-K305))</f>
        <v/>
      </c>
      <c r="M305" s="90">
        <f>IF($E305="","",'Daily Data'!I305)</f>
        <v/>
      </c>
      <c r="N305" s="91">
        <f>IF($E305="","",M305*(1-K305)-I305)</f>
        <v/>
      </c>
      <c r="O305" s="92" t="n">
        <v>294165</v>
      </c>
      <c r="P305" s="93">
        <f>IF($E305="","",(L305+F305+M305)*K305)</f>
        <v/>
      </c>
      <c r="Q305" s="91">
        <f>IF($E305="","",L305*K305)</f>
        <v/>
      </c>
      <c r="R305" s="91">
        <f>IF($E305="","",F305*K305)</f>
        <v/>
      </c>
      <c r="S305" s="91">
        <f>IF($E305="","",M305*K305)</f>
        <v/>
      </c>
      <c r="T305" s="63">
        <f>IF(OR($E305="",B305=0),"",L305/B305*10000)</f>
        <v/>
      </c>
      <c r="U305" s="63">
        <f>IF(OR($E305="",C305=0),"",F305/C305*10000)</f>
        <v/>
      </c>
      <c r="V305" s="63">
        <f>IF(OR($E305="",D305=0),"",M305/D305*10000)</f>
        <v/>
      </c>
    </row>
    <row r="306">
      <c r="A306" s="35" t="n">
        <v>45960</v>
      </c>
      <c r="B306" s="90">
        <f>'Daily Data'!B306</f>
        <v/>
      </c>
      <c r="C306" s="90">
        <f>'Daily Data'!D306</f>
        <v/>
      </c>
      <c r="D306" s="90">
        <f>'Daily Data'!C306</f>
        <v/>
      </c>
      <c r="E306" s="90">
        <f>IF('Daily Data'!E306="","",'Daily Data'!E306)</f>
        <v/>
      </c>
      <c r="F306" s="90">
        <f>IF($E306="","",'Daily Data'!F306)</f>
        <v/>
      </c>
      <c r="G306" s="90">
        <f>IF($E306="","",'Daily Data'!G306)</f>
        <v/>
      </c>
      <c r="H306" s="91">
        <f>IF($E306="","",(1-K306)*F306-G306)</f>
        <v/>
      </c>
      <c r="I306" s="90">
        <f>IF($E306="","",'Daily Data'!H306)</f>
        <v/>
      </c>
      <c r="J306" s="91">
        <f>IF($E306="","",E306-H306-I306)</f>
        <v/>
      </c>
      <c r="K306" s="60">
        <f>IF($E306="","",IF(A306&lt;HLP_ChangeDate,HLP_Legacy,HLP_Current))</f>
        <v/>
      </c>
      <c r="L306" s="91">
        <f>IF($E306="","",J306/(1-K306))</f>
        <v/>
      </c>
      <c r="M306" s="90">
        <f>IF($E306="","",'Daily Data'!I306)</f>
        <v/>
      </c>
      <c r="N306" s="91">
        <f>IF($E306="","",M306*(1-K306)-I306)</f>
        <v/>
      </c>
      <c r="O306" s="92" t="n">
        <v>342273</v>
      </c>
      <c r="P306" s="93">
        <f>IF($E306="","",(L306+F306+M306)*K306)</f>
        <v/>
      </c>
      <c r="Q306" s="91">
        <f>IF($E306="","",L306*K306)</f>
        <v/>
      </c>
      <c r="R306" s="91">
        <f>IF($E306="","",F306*K306)</f>
        <v/>
      </c>
      <c r="S306" s="91">
        <f>IF($E306="","",M306*K306)</f>
        <v/>
      </c>
      <c r="T306" s="63">
        <f>IF(OR($E306="",B306=0),"",L306/B306*10000)</f>
        <v/>
      </c>
      <c r="U306" s="63">
        <f>IF(OR($E306="",C306=0),"",F306/C306*10000)</f>
        <v/>
      </c>
      <c r="V306" s="63">
        <f>IF(OR($E306="",D306=0),"",M306/D306*10000)</f>
        <v/>
      </c>
    </row>
    <row r="307">
      <c r="A307" s="35" t="n">
        <v>45961</v>
      </c>
      <c r="B307" s="90">
        <f>'Daily Data'!B307</f>
        <v/>
      </c>
      <c r="C307" s="90">
        <f>'Daily Data'!D307</f>
        <v/>
      </c>
      <c r="D307" s="90">
        <f>'Daily Data'!C307</f>
        <v/>
      </c>
      <c r="E307" s="90">
        <f>IF('Daily Data'!E307="","",'Daily Data'!E307)</f>
        <v/>
      </c>
      <c r="F307" s="90">
        <f>IF($E307="","",'Daily Data'!F307)</f>
        <v/>
      </c>
      <c r="G307" s="90">
        <f>IF($E307="","",'Daily Data'!G307)</f>
        <v/>
      </c>
      <c r="H307" s="91">
        <f>IF($E307="","",(1-K307)*F307-G307)</f>
        <v/>
      </c>
      <c r="I307" s="90">
        <f>IF($E307="","",'Daily Data'!H307)</f>
        <v/>
      </c>
      <c r="J307" s="91">
        <f>IF($E307="","",E307-H307-I307)</f>
        <v/>
      </c>
      <c r="K307" s="60">
        <f>IF($E307="","",IF(A307&lt;HLP_ChangeDate,HLP_Legacy,HLP_Current))</f>
        <v/>
      </c>
      <c r="L307" s="91">
        <f>IF($E307="","",J307/(1-K307))</f>
        <v/>
      </c>
      <c r="M307" s="90">
        <f>IF($E307="","",'Daily Data'!I307)</f>
        <v/>
      </c>
      <c r="N307" s="91">
        <f>IF($E307="","",M307*(1-K307)-I307)</f>
        <v/>
      </c>
      <c r="O307" s="92" t="n">
        <v>225199</v>
      </c>
      <c r="P307" s="93">
        <f>IF($E307="","",(L307+F307+M307)*K307)</f>
        <v/>
      </c>
      <c r="Q307" s="91">
        <f>IF($E307="","",L307*K307)</f>
        <v/>
      </c>
      <c r="R307" s="91">
        <f>IF($E307="","",F307*K307)</f>
        <v/>
      </c>
      <c r="S307" s="91">
        <f>IF($E307="","",M307*K307)</f>
        <v/>
      </c>
      <c r="T307" s="63">
        <f>IF(OR($E307="",B307=0),"",L307/B307*10000)</f>
        <v/>
      </c>
      <c r="U307" s="63">
        <f>IF(OR($E307="",C307=0),"",F307/C307*10000)</f>
        <v/>
      </c>
      <c r="V307" s="63">
        <f>IF(OR($E307="",D307=0),"",M307/D307*10000)</f>
        <v/>
      </c>
    </row>
    <row r="308">
      <c r="A308" s="35" t="n">
        <v>45962</v>
      </c>
      <c r="B308" s="90">
        <f>'Daily Data'!B308</f>
        <v/>
      </c>
      <c r="C308" s="90">
        <f>'Daily Data'!D308</f>
        <v/>
      </c>
      <c r="D308" s="90">
        <f>'Daily Data'!C308</f>
        <v/>
      </c>
      <c r="E308" s="90">
        <f>IF('Daily Data'!E308="","",'Daily Data'!E308)</f>
        <v/>
      </c>
      <c r="F308" s="90">
        <f>IF($E308="","",'Daily Data'!F308)</f>
        <v/>
      </c>
      <c r="G308" s="90">
        <f>IF($E308="","",'Daily Data'!G308)</f>
        <v/>
      </c>
      <c r="H308" s="91">
        <f>IF($E308="","",(1-K308)*F308-G308)</f>
        <v/>
      </c>
      <c r="I308" s="90">
        <f>IF($E308="","",'Daily Data'!H308)</f>
        <v/>
      </c>
      <c r="J308" s="91">
        <f>IF($E308="","",E308-H308-I308)</f>
        <v/>
      </c>
      <c r="K308" s="60">
        <f>IF($E308="","",IF(A308&lt;HLP_ChangeDate,HLP_Legacy,HLP_Current))</f>
        <v/>
      </c>
      <c r="L308" s="91">
        <f>IF($E308="","",J308/(1-K308))</f>
        <v/>
      </c>
      <c r="M308" s="90">
        <f>IF($E308="","",'Daily Data'!I308)</f>
        <v/>
      </c>
      <c r="N308" s="91">
        <f>IF($E308="","",M308*(1-K308)-I308)</f>
        <v/>
      </c>
      <c r="O308" s="92" t="n">
        <v>144002</v>
      </c>
      <c r="P308" s="93">
        <f>IF($E308="","",(L308+F308+M308)*K308)</f>
        <v/>
      </c>
      <c r="Q308" s="91">
        <f>IF($E308="","",L308*K308)</f>
        <v/>
      </c>
      <c r="R308" s="91">
        <f>IF($E308="","",F308*K308)</f>
        <v/>
      </c>
      <c r="S308" s="91">
        <f>IF($E308="","",M308*K308)</f>
        <v/>
      </c>
      <c r="T308" s="63">
        <f>IF(OR($E308="",B308=0),"",L308/B308*10000)</f>
        <v/>
      </c>
      <c r="U308" s="63">
        <f>IF(OR($E308="",C308=0),"",F308/C308*10000)</f>
        <v/>
      </c>
      <c r="V308" s="63">
        <f>IF(OR($E308="",D308=0),"",M308/D308*10000)</f>
        <v/>
      </c>
    </row>
    <row r="309">
      <c r="A309" s="35" t="n">
        <v>45963</v>
      </c>
      <c r="B309" s="90">
        <f>'Daily Data'!B309</f>
        <v/>
      </c>
      <c r="C309" s="90">
        <f>'Daily Data'!D309</f>
        <v/>
      </c>
      <c r="D309" s="90">
        <f>'Daily Data'!C309</f>
        <v/>
      </c>
      <c r="E309" s="90">
        <f>IF('Daily Data'!E309="","",'Daily Data'!E309)</f>
        <v/>
      </c>
      <c r="F309" s="90">
        <f>IF($E309="","",'Daily Data'!F309)</f>
        <v/>
      </c>
      <c r="G309" s="90">
        <f>IF($E309="","",'Daily Data'!G309)</f>
        <v/>
      </c>
      <c r="H309" s="91">
        <f>IF($E309="","",(1-K309)*F309-G309)</f>
        <v/>
      </c>
      <c r="I309" s="90">
        <f>IF($E309="","",'Daily Data'!H309)</f>
        <v/>
      </c>
      <c r="J309" s="91">
        <f>IF($E309="","",E309-H309-I309)</f>
        <v/>
      </c>
      <c r="K309" s="60">
        <f>IF($E309="","",IF(A309&lt;HLP_ChangeDate,HLP_Legacy,HLP_Current))</f>
        <v/>
      </c>
      <c r="L309" s="91">
        <f>IF($E309="","",J309/(1-K309))</f>
        <v/>
      </c>
      <c r="M309" s="90">
        <f>IF($E309="","",'Daily Data'!I309)</f>
        <v/>
      </c>
      <c r="N309" s="91">
        <f>IF($E309="","",M309*(1-K309)-I309)</f>
        <v/>
      </c>
      <c r="O309" s="92" t="n">
        <v>171785</v>
      </c>
      <c r="P309" s="93">
        <f>IF($E309="","",(L309+F309+M309)*K309)</f>
        <v/>
      </c>
      <c r="Q309" s="91">
        <f>IF($E309="","",L309*K309)</f>
        <v/>
      </c>
      <c r="R309" s="91">
        <f>IF($E309="","",F309*K309)</f>
        <v/>
      </c>
      <c r="S309" s="91">
        <f>IF($E309="","",M309*K309)</f>
        <v/>
      </c>
      <c r="T309" s="63">
        <f>IF(OR($E309="",B309=0),"",L309/B309*10000)</f>
        <v/>
      </c>
      <c r="U309" s="63">
        <f>IF(OR($E309="",C309=0),"",F309/C309*10000)</f>
        <v/>
      </c>
      <c r="V309" s="63">
        <f>IF(OR($E309="",D309=0),"",M309/D309*10000)</f>
        <v/>
      </c>
    </row>
    <row r="310">
      <c r="A310" s="35" t="n">
        <v>45964</v>
      </c>
      <c r="B310" s="90">
        <f>'Daily Data'!B310</f>
        <v/>
      </c>
      <c r="C310" s="90">
        <f>'Daily Data'!D310</f>
        <v/>
      </c>
      <c r="D310" s="90">
        <f>'Daily Data'!C310</f>
        <v/>
      </c>
      <c r="E310" s="90">
        <f>IF('Daily Data'!E310="","",'Daily Data'!E310)</f>
        <v/>
      </c>
      <c r="F310" s="90">
        <f>IF($E310="","",'Daily Data'!F310)</f>
        <v/>
      </c>
      <c r="G310" s="90">
        <f>IF($E310="","",'Daily Data'!G310)</f>
        <v/>
      </c>
      <c r="H310" s="91">
        <f>IF($E310="","",(1-K310)*F310-G310)</f>
        <v/>
      </c>
      <c r="I310" s="90">
        <f>IF($E310="","",'Daily Data'!H310)</f>
        <v/>
      </c>
      <c r="J310" s="91">
        <f>IF($E310="","",E310-H310-I310)</f>
        <v/>
      </c>
      <c r="K310" s="60">
        <f>IF($E310="","",IF(A310&lt;HLP_ChangeDate,HLP_Legacy,HLP_Current))</f>
        <v/>
      </c>
      <c r="L310" s="91">
        <f>IF($E310="","",J310/(1-K310))</f>
        <v/>
      </c>
      <c r="M310" s="90">
        <f>IF($E310="","",'Daily Data'!I310)</f>
        <v/>
      </c>
      <c r="N310" s="91">
        <f>IF($E310="","",M310*(1-K310)-I310)</f>
        <v/>
      </c>
      <c r="O310" s="92" t="n">
        <v>352617</v>
      </c>
      <c r="P310" s="93">
        <f>IF($E310="","",(L310+F310+M310)*K310)</f>
        <v/>
      </c>
      <c r="Q310" s="91">
        <f>IF($E310="","",L310*K310)</f>
        <v/>
      </c>
      <c r="R310" s="91">
        <f>IF($E310="","",F310*K310)</f>
        <v/>
      </c>
      <c r="S310" s="91">
        <f>IF($E310="","",M310*K310)</f>
        <v/>
      </c>
      <c r="T310" s="63">
        <f>IF(OR($E310="",B310=0),"",L310/B310*10000)</f>
        <v/>
      </c>
      <c r="U310" s="63">
        <f>IF(OR($E310="",C310=0),"",F310/C310*10000)</f>
        <v/>
      </c>
      <c r="V310" s="63">
        <f>IF(OR($E310="",D310=0),"",M310/D310*10000)</f>
        <v/>
      </c>
    </row>
    <row r="311">
      <c r="A311" s="35" t="n">
        <v>45965</v>
      </c>
      <c r="B311" s="90">
        <f>'Daily Data'!B311</f>
        <v/>
      </c>
      <c r="C311" s="90">
        <f>'Daily Data'!D311</f>
        <v/>
      </c>
      <c r="D311" s="90">
        <f>'Daily Data'!C311</f>
        <v/>
      </c>
      <c r="E311" s="90">
        <f>IF('Daily Data'!E311="","",'Daily Data'!E311)</f>
        <v/>
      </c>
      <c r="F311" s="90">
        <f>IF($E311="","",'Daily Data'!F311)</f>
        <v/>
      </c>
      <c r="G311" s="90">
        <f>IF($E311="","",'Daily Data'!G311)</f>
        <v/>
      </c>
      <c r="H311" s="91">
        <f>IF($E311="","",(1-K311)*F311-G311)</f>
        <v/>
      </c>
      <c r="I311" s="90">
        <f>IF($E311="","",'Daily Data'!H311)</f>
        <v/>
      </c>
      <c r="J311" s="91">
        <f>IF($E311="","",E311-H311-I311)</f>
        <v/>
      </c>
      <c r="K311" s="60">
        <f>IF($E311="","",IF(A311&lt;HLP_ChangeDate,HLP_Legacy,HLP_Current))</f>
        <v/>
      </c>
      <c r="L311" s="91">
        <f>IF($E311="","",J311/(1-K311))</f>
        <v/>
      </c>
      <c r="M311" s="90">
        <f>IF($E311="","",'Daily Data'!I311)</f>
        <v/>
      </c>
      <c r="N311" s="91">
        <f>IF($E311="","",M311*(1-K311)-I311)</f>
        <v/>
      </c>
      <c r="O311" s="92" t="n">
        <v>365565</v>
      </c>
      <c r="P311" s="93">
        <f>IF($E311="","",(L311+F311+M311)*K311)</f>
        <v/>
      </c>
      <c r="Q311" s="91">
        <f>IF($E311="","",L311*K311)</f>
        <v/>
      </c>
      <c r="R311" s="91">
        <f>IF($E311="","",F311*K311)</f>
        <v/>
      </c>
      <c r="S311" s="91">
        <f>IF($E311="","",M311*K311)</f>
        <v/>
      </c>
      <c r="T311" s="63">
        <f>IF(OR($E311="",B311=0),"",L311/B311*10000)</f>
        <v/>
      </c>
      <c r="U311" s="63">
        <f>IF(OR($E311="",C311=0),"",F311/C311*10000)</f>
        <v/>
      </c>
      <c r="V311" s="63">
        <f>IF(OR($E311="",D311=0),"",M311/D311*10000)</f>
        <v/>
      </c>
    </row>
    <row r="312">
      <c r="A312" s="35" t="n">
        <v>45966</v>
      </c>
      <c r="B312" s="90">
        <f>'Daily Data'!B312</f>
        <v/>
      </c>
      <c r="C312" s="90">
        <f>'Daily Data'!D312</f>
        <v/>
      </c>
      <c r="D312" s="90">
        <f>'Daily Data'!C312</f>
        <v/>
      </c>
      <c r="E312" s="90">
        <f>IF('Daily Data'!E312="","",'Daily Data'!E312)</f>
        <v/>
      </c>
      <c r="F312" s="90">
        <f>IF($E312="","",'Daily Data'!F312)</f>
        <v/>
      </c>
      <c r="G312" s="90">
        <f>IF($E312="","",'Daily Data'!G312)</f>
        <v/>
      </c>
      <c r="H312" s="91">
        <f>IF($E312="","",(1-K312)*F312-G312)</f>
        <v/>
      </c>
      <c r="I312" s="90">
        <f>IF($E312="","",'Daily Data'!H312)</f>
        <v/>
      </c>
      <c r="J312" s="91">
        <f>IF($E312="","",E312-H312-I312)</f>
        <v/>
      </c>
      <c r="K312" s="60">
        <f>IF($E312="","",IF(A312&lt;HLP_ChangeDate,HLP_Legacy,HLP_Current))</f>
        <v/>
      </c>
      <c r="L312" s="91">
        <f>IF($E312="","",J312/(1-K312))</f>
        <v/>
      </c>
      <c r="M312" s="90">
        <f>IF($E312="","",'Daily Data'!I312)</f>
        <v/>
      </c>
      <c r="N312" s="91">
        <f>IF($E312="","",M312*(1-K312)-I312)</f>
        <v/>
      </c>
      <c r="O312" s="92" t="n">
        <v>268754</v>
      </c>
      <c r="P312" s="93">
        <f>IF($E312="","",(L312+F312+M312)*K312)</f>
        <v/>
      </c>
      <c r="Q312" s="91">
        <f>IF($E312="","",L312*K312)</f>
        <v/>
      </c>
      <c r="R312" s="91">
        <f>IF($E312="","",F312*K312)</f>
        <v/>
      </c>
      <c r="S312" s="91">
        <f>IF($E312="","",M312*K312)</f>
        <v/>
      </c>
      <c r="T312" s="63">
        <f>IF(OR($E312="",B312=0),"",L312/B312*10000)</f>
        <v/>
      </c>
      <c r="U312" s="63">
        <f>IF(OR($E312="",C312=0),"",F312/C312*10000)</f>
        <v/>
      </c>
      <c r="V312" s="63">
        <f>IF(OR($E312="",D312=0),"",M312/D312*10000)</f>
        <v/>
      </c>
    </row>
    <row r="313">
      <c r="A313" s="35" t="n">
        <v>45967</v>
      </c>
      <c r="B313" s="90">
        <f>'Daily Data'!B313</f>
        <v/>
      </c>
      <c r="C313" s="90">
        <f>'Daily Data'!D313</f>
        <v/>
      </c>
      <c r="D313" s="90">
        <f>'Daily Data'!C313</f>
        <v/>
      </c>
      <c r="E313" s="90">
        <f>IF('Daily Data'!E313="","",'Daily Data'!E313)</f>
        <v/>
      </c>
      <c r="F313" s="90">
        <f>IF($E313="","",'Daily Data'!F313)</f>
        <v/>
      </c>
      <c r="G313" s="90">
        <f>IF($E313="","",'Daily Data'!G313)</f>
        <v/>
      </c>
      <c r="H313" s="91">
        <f>IF($E313="","",(1-K313)*F313-G313)</f>
        <v/>
      </c>
      <c r="I313" s="90">
        <f>IF($E313="","",'Daily Data'!H313)</f>
        <v/>
      </c>
      <c r="J313" s="91">
        <f>IF($E313="","",E313-H313-I313)</f>
        <v/>
      </c>
      <c r="K313" s="60">
        <f>IF($E313="","",IF(A313&lt;HLP_ChangeDate,HLP_Legacy,HLP_Current))</f>
        <v/>
      </c>
      <c r="L313" s="91">
        <f>IF($E313="","",J313/(1-K313))</f>
        <v/>
      </c>
      <c r="M313" s="90">
        <f>IF($E313="","",'Daily Data'!I313)</f>
        <v/>
      </c>
      <c r="N313" s="91">
        <f>IF($E313="","",M313*(1-K313)-I313)</f>
        <v/>
      </c>
      <c r="O313" s="92" t="n">
        <v>302447</v>
      </c>
      <c r="P313" s="93">
        <f>IF($E313="","",(L313+F313+M313)*K313)</f>
        <v/>
      </c>
      <c r="Q313" s="91">
        <f>IF($E313="","",L313*K313)</f>
        <v/>
      </c>
      <c r="R313" s="91">
        <f>IF($E313="","",F313*K313)</f>
        <v/>
      </c>
      <c r="S313" s="91">
        <f>IF($E313="","",M313*K313)</f>
        <v/>
      </c>
      <c r="T313" s="63">
        <f>IF(OR($E313="",B313=0),"",L313/B313*10000)</f>
        <v/>
      </c>
      <c r="U313" s="63">
        <f>IF(OR($E313="",C313=0),"",F313/C313*10000)</f>
        <v/>
      </c>
      <c r="V313" s="63">
        <f>IF(OR($E313="",D313=0),"",M313/D313*10000)</f>
        <v/>
      </c>
    </row>
    <row r="314">
      <c r="A314" s="35" t="n">
        <v>45968</v>
      </c>
      <c r="B314" s="90">
        <f>'Daily Data'!B314</f>
        <v/>
      </c>
      <c r="C314" s="90">
        <f>'Daily Data'!D314</f>
        <v/>
      </c>
      <c r="D314" s="90">
        <f>'Daily Data'!C314</f>
        <v/>
      </c>
      <c r="E314" s="90">
        <f>IF('Daily Data'!E314="","",'Daily Data'!E314)</f>
        <v/>
      </c>
      <c r="F314" s="90">
        <f>IF($E314="","",'Daily Data'!F314)</f>
        <v/>
      </c>
      <c r="G314" s="90">
        <f>IF($E314="","",'Daily Data'!G314)</f>
        <v/>
      </c>
      <c r="H314" s="91">
        <f>IF($E314="","",(1-K314)*F314-G314)</f>
        <v/>
      </c>
      <c r="I314" s="90">
        <f>IF($E314="","",'Daily Data'!H314)</f>
        <v/>
      </c>
      <c r="J314" s="91">
        <f>IF($E314="","",E314-H314-I314)</f>
        <v/>
      </c>
      <c r="K314" s="60">
        <f>IF($E314="","",IF(A314&lt;HLP_ChangeDate,HLP_Legacy,HLP_Current))</f>
        <v/>
      </c>
      <c r="L314" s="91">
        <f>IF($E314="","",J314/(1-K314))</f>
        <v/>
      </c>
      <c r="M314" s="90">
        <f>IF($E314="","",'Daily Data'!I314)</f>
        <v/>
      </c>
      <c r="N314" s="91">
        <f>IF($E314="","",M314*(1-K314)-I314)</f>
        <v/>
      </c>
      <c r="O314" s="92" t="n">
        <v>258837</v>
      </c>
      <c r="P314" s="93">
        <f>IF($E314="","",(L314+F314+M314)*K314)</f>
        <v/>
      </c>
      <c r="Q314" s="91">
        <f>IF($E314="","",L314*K314)</f>
        <v/>
      </c>
      <c r="R314" s="91">
        <f>IF($E314="","",F314*K314)</f>
        <v/>
      </c>
      <c r="S314" s="91">
        <f>IF($E314="","",M314*K314)</f>
        <v/>
      </c>
      <c r="T314" s="63">
        <f>IF(OR($E314="",B314=0),"",L314/B314*10000)</f>
        <v/>
      </c>
      <c r="U314" s="63">
        <f>IF(OR($E314="",C314=0),"",F314/C314*10000)</f>
        <v/>
      </c>
      <c r="V314" s="63">
        <f>IF(OR($E314="",D314=0),"",M314/D314*10000)</f>
        <v/>
      </c>
    </row>
    <row r="315">
      <c r="A315" s="35" t="n">
        <v>45969</v>
      </c>
      <c r="B315" s="90">
        <f>'Daily Data'!B315</f>
        <v/>
      </c>
      <c r="C315" s="90">
        <f>'Daily Data'!D315</f>
        <v/>
      </c>
      <c r="D315" s="90">
        <f>'Daily Data'!C315</f>
        <v/>
      </c>
      <c r="E315" s="90">
        <f>IF('Daily Data'!E315="","",'Daily Data'!E315)</f>
        <v/>
      </c>
      <c r="F315" s="90">
        <f>IF($E315="","",'Daily Data'!F315)</f>
        <v/>
      </c>
      <c r="G315" s="90">
        <f>IF($E315="","",'Daily Data'!G315)</f>
        <v/>
      </c>
      <c r="H315" s="91">
        <f>IF($E315="","",(1-K315)*F315-G315)</f>
        <v/>
      </c>
      <c r="I315" s="90">
        <f>IF($E315="","",'Daily Data'!H315)</f>
        <v/>
      </c>
      <c r="J315" s="91">
        <f>IF($E315="","",E315-H315-I315)</f>
        <v/>
      </c>
      <c r="K315" s="60">
        <f>IF($E315="","",IF(A315&lt;HLP_ChangeDate,HLP_Legacy,HLP_Current))</f>
        <v/>
      </c>
      <c r="L315" s="91">
        <f>IF($E315="","",J315/(1-K315))</f>
        <v/>
      </c>
      <c r="M315" s="90">
        <f>IF($E315="","",'Daily Data'!I315)</f>
        <v/>
      </c>
      <c r="N315" s="91">
        <f>IF($E315="","",M315*(1-K315)-I315)</f>
        <v/>
      </c>
      <c r="O315" s="92" t="n">
        <v>263128</v>
      </c>
      <c r="P315" s="93">
        <f>IF($E315="","",(L315+F315+M315)*K315)</f>
        <v/>
      </c>
      <c r="Q315" s="91">
        <f>IF($E315="","",L315*K315)</f>
        <v/>
      </c>
      <c r="R315" s="91">
        <f>IF($E315="","",F315*K315)</f>
        <v/>
      </c>
      <c r="S315" s="91">
        <f>IF($E315="","",M315*K315)</f>
        <v/>
      </c>
      <c r="T315" s="63">
        <f>IF(OR($E315="",B315=0),"",L315/B315*10000)</f>
        <v/>
      </c>
      <c r="U315" s="63">
        <f>IF(OR($E315="",C315=0),"",F315/C315*10000)</f>
        <v/>
      </c>
      <c r="V315" s="63">
        <f>IF(OR($E315="",D315=0),"",M315/D315*10000)</f>
        <v/>
      </c>
    </row>
    <row r="316">
      <c r="A316" s="35" t="n">
        <v>45970</v>
      </c>
      <c r="B316" s="90">
        <f>'Daily Data'!B316</f>
        <v/>
      </c>
      <c r="C316" s="90">
        <f>'Daily Data'!D316</f>
        <v/>
      </c>
      <c r="D316" s="90">
        <f>'Daily Data'!C316</f>
        <v/>
      </c>
      <c r="E316" s="90">
        <f>IF('Daily Data'!E316="","",'Daily Data'!E316)</f>
        <v/>
      </c>
      <c r="F316" s="90">
        <f>IF($E316="","",'Daily Data'!F316)</f>
        <v/>
      </c>
      <c r="G316" s="90">
        <f>IF($E316="","",'Daily Data'!G316)</f>
        <v/>
      </c>
      <c r="H316" s="91">
        <f>IF($E316="","",(1-K316)*F316-G316)</f>
        <v/>
      </c>
      <c r="I316" s="90">
        <f>IF($E316="","",'Daily Data'!H316)</f>
        <v/>
      </c>
      <c r="J316" s="91">
        <f>IF($E316="","",E316-H316-I316)</f>
        <v/>
      </c>
      <c r="K316" s="60">
        <f>IF($E316="","",IF(A316&lt;HLP_ChangeDate,HLP_Legacy,HLP_Current))</f>
        <v/>
      </c>
      <c r="L316" s="91">
        <f>IF($E316="","",J316/(1-K316))</f>
        <v/>
      </c>
      <c r="M316" s="90">
        <f>IF($E316="","",'Daily Data'!I316)</f>
        <v/>
      </c>
      <c r="N316" s="91">
        <f>IF($E316="","",M316*(1-K316)-I316)</f>
        <v/>
      </c>
      <c r="O316" s="92" t="n">
        <v>222404</v>
      </c>
      <c r="P316" s="93">
        <f>IF($E316="","",(L316+F316+M316)*K316)</f>
        <v/>
      </c>
      <c r="Q316" s="91">
        <f>IF($E316="","",L316*K316)</f>
        <v/>
      </c>
      <c r="R316" s="91">
        <f>IF($E316="","",F316*K316)</f>
        <v/>
      </c>
      <c r="S316" s="91">
        <f>IF($E316="","",M316*K316)</f>
        <v/>
      </c>
      <c r="T316" s="63">
        <f>IF(OR($E316="",B316=0),"",L316/B316*10000)</f>
        <v/>
      </c>
      <c r="U316" s="63">
        <f>IF(OR($E316="",C316=0),"",F316/C316*10000)</f>
        <v/>
      </c>
      <c r="V316" s="63">
        <f>IF(OR($E316="",D316=0),"",M316/D316*10000)</f>
        <v/>
      </c>
    </row>
    <row r="317">
      <c r="A317" s="35" t="n">
        <v>45971</v>
      </c>
      <c r="B317" s="90">
        <f>'Daily Data'!B317</f>
        <v/>
      </c>
      <c r="C317" s="90">
        <f>'Daily Data'!D317</f>
        <v/>
      </c>
      <c r="D317" s="90">
        <f>'Daily Data'!C317</f>
        <v/>
      </c>
      <c r="E317" s="90">
        <f>IF('Daily Data'!E317="","",'Daily Data'!E317)</f>
        <v/>
      </c>
      <c r="F317" s="90">
        <f>IF($E317="","",'Daily Data'!F317)</f>
        <v/>
      </c>
      <c r="G317" s="90">
        <f>IF($E317="","",'Daily Data'!G317)</f>
        <v/>
      </c>
      <c r="H317" s="91">
        <f>IF($E317="","",(1-K317)*F317-G317)</f>
        <v/>
      </c>
      <c r="I317" s="90">
        <f>IF($E317="","",'Daily Data'!H317)</f>
        <v/>
      </c>
      <c r="J317" s="91">
        <f>IF($E317="","",E317-H317-I317)</f>
        <v/>
      </c>
      <c r="K317" s="60">
        <f>IF($E317="","",IF(A317&lt;HLP_ChangeDate,HLP_Legacy,HLP_Current))</f>
        <v/>
      </c>
      <c r="L317" s="91">
        <f>IF($E317="","",J317/(1-K317))</f>
        <v/>
      </c>
      <c r="M317" s="90">
        <f>IF($E317="","",'Daily Data'!I317)</f>
        <v/>
      </c>
      <c r="N317" s="91">
        <f>IF($E317="","",M317*(1-K317)-I317)</f>
        <v/>
      </c>
      <c r="O317" s="92" t="n">
        <v>279705</v>
      </c>
      <c r="P317" s="93">
        <f>IF($E317="","",(L317+F317+M317)*K317)</f>
        <v/>
      </c>
      <c r="Q317" s="91">
        <f>IF($E317="","",L317*K317)</f>
        <v/>
      </c>
      <c r="R317" s="91">
        <f>IF($E317="","",F317*K317)</f>
        <v/>
      </c>
      <c r="S317" s="91">
        <f>IF($E317="","",M317*K317)</f>
        <v/>
      </c>
      <c r="T317" s="63">
        <f>IF(OR($E317="",B317=0),"",L317/B317*10000)</f>
        <v/>
      </c>
      <c r="U317" s="63">
        <f>IF(OR($E317="",C317=0),"",F317/C317*10000)</f>
        <v/>
      </c>
      <c r="V317" s="63">
        <f>IF(OR($E317="",D317=0),"",M317/D317*10000)</f>
        <v/>
      </c>
    </row>
    <row r="318">
      <c r="A318" s="35" t="n">
        <v>45972</v>
      </c>
      <c r="B318" s="90">
        <f>'Daily Data'!B318</f>
        <v/>
      </c>
      <c r="C318" s="90">
        <f>'Daily Data'!D318</f>
        <v/>
      </c>
      <c r="D318" s="90">
        <f>'Daily Data'!C318</f>
        <v/>
      </c>
      <c r="E318" s="90">
        <f>IF('Daily Data'!E318="","",'Daily Data'!E318)</f>
        <v/>
      </c>
      <c r="F318" s="90">
        <f>IF($E318="","",'Daily Data'!F318)</f>
        <v/>
      </c>
      <c r="G318" s="90">
        <f>IF($E318="","",'Daily Data'!G318)</f>
        <v/>
      </c>
      <c r="H318" s="91">
        <f>IF($E318="","",(1-K318)*F318-G318)</f>
        <v/>
      </c>
      <c r="I318" s="90">
        <f>IF($E318="","",'Daily Data'!H318)</f>
        <v/>
      </c>
      <c r="J318" s="91">
        <f>IF($E318="","",E318-H318-I318)</f>
        <v/>
      </c>
      <c r="K318" s="60">
        <f>IF($E318="","",IF(A318&lt;HLP_ChangeDate,HLP_Legacy,HLP_Current))</f>
        <v/>
      </c>
      <c r="L318" s="91">
        <f>IF($E318="","",J318/(1-K318))</f>
        <v/>
      </c>
      <c r="M318" s="90">
        <f>IF($E318="","",'Daily Data'!I318)</f>
        <v/>
      </c>
      <c r="N318" s="91">
        <f>IF($E318="","",M318*(1-K318)-I318)</f>
        <v/>
      </c>
      <c r="O318" s="92" t="n">
        <v>274039</v>
      </c>
      <c r="P318" s="93">
        <f>IF($E318="","",(L318+F318+M318)*K318)</f>
        <v/>
      </c>
      <c r="Q318" s="91">
        <f>IF($E318="","",L318*K318)</f>
        <v/>
      </c>
      <c r="R318" s="91">
        <f>IF($E318="","",F318*K318)</f>
        <v/>
      </c>
      <c r="S318" s="91">
        <f>IF($E318="","",M318*K318)</f>
        <v/>
      </c>
      <c r="T318" s="63">
        <f>IF(OR($E318="",B318=0),"",L318/B318*10000)</f>
        <v/>
      </c>
      <c r="U318" s="63">
        <f>IF(OR($E318="",C318=0),"",F318/C318*10000)</f>
        <v/>
      </c>
      <c r="V318" s="63">
        <f>IF(OR($E318="",D318=0),"",M318/D318*10000)</f>
        <v/>
      </c>
    </row>
    <row r="319">
      <c r="A319" s="35" t="n">
        <v>45973</v>
      </c>
      <c r="B319" s="90">
        <f>'Daily Data'!B319</f>
        <v/>
      </c>
      <c r="C319" s="90">
        <f>'Daily Data'!D319</f>
        <v/>
      </c>
      <c r="D319" s="90">
        <f>'Daily Data'!C319</f>
        <v/>
      </c>
      <c r="E319" s="90">
        <f>IF('Daily Data'!E319="","",'Daily Data'!E319)</f>
        <v/>
      </c>
      <c r="F319" s="90">
        <f>IF($E319="","",'Daily Data'!F319)</f>
        <v/>
      </c>
      <c r="G319" s="90">
        <f>IF($E319="","",'Daily Data'!G319)</f>
        <v/>
      </c>
      <c r="H319" s="91">
        <f>IF($E319="","",(1-K319)*F319-G319)</f>
        <v/>
      </c>
      <c r="I319" s="90">
        <f>IF($E319="","",'Daily Data'!H319)</f>
        <v/>
      </c>
      <c r="J319" s="91">
        <f>IF($E319="","",E319-H319-I319)</f>
        <v/>
      </c>
      <c r="K319" s="60">
        <f>IF($E319="","",IF(A319&lt;HLP_ChangeDate,HLP_Legacy,HLP_Current))</f>
        <v/>
      </c>
      <c r="L319" s="91">
        <f>IF($E319="","",J319/(1-K319))</f>
        <v/>
      </c>
      <c r="M319" s="90">
        <f>IF($E319="","",'Daily Data'!I319)</f>
        <v/>
      </c>
      <c r="N319" s="91">
        <f>IF($E319="","",M319*(1-K319)-I319)</f>
        <v/>
      </c>
      <c r="O319" s="92" t="n">
        <v>241047</v>
      </c>
      <c r="P319" s="93">
        <f>IF($E319="","",(L319+F319+M319)*K319)</f>
        <v/>
      </c>
      <c r="Q319" s="91">
        <f>IF($E319="","",L319*K319)</f>
        <v/>
      </c>
      <c r="R319" s="91">
        <f>IF($E319="","",F319*K319)</f>
        <v/>
      </c>
      <c r="S319" s="91">
        <f>IF($E319="","",M319*K319)</f>
        <v/>
      </c>
      <c r="T319" s="63">
        <f>IF(OR($E319="",B319=0),"",L319/B319*10000)</f>
        <v/>
      </c>
      <c r="U319" s="63">
        <f>IF(OR($E319="",C319=0),"",F319/C319*10000)</f>
        <v/>
      </c>
      <c r="V319" s="63">
        <f>IF(OR($E319="",D319=0),"",M319/D319*10000)</f>
        <v/>
      </c>
    </row>
    <row r="320">
      <c r="A320" s="35" t="n">
        <v>45974</v>
      </c>
      <c r="B320" s="90">
        <f>'Daily Data'!B320</f>
        <v/>
      </c>
      <c r="C320" s="90">
        <f>'Daily Data'!D320</f>
        <v/>
      </c>
      <c r="D320" s="90">
        <f>'Daily Data'!C320</f>
        <v/>
      </c>
      <c r="E320" s="90">
        <f>IF('Daily Data'!E320="","",'Daily Data'!E320)</f>
        <v/>
      </c>
      <c r="F320" s="90">
        <f>IF($E320="","",'Daily Data'!F320)</f>
        <v/>
      </c>
      <c r="G320" s="90">
        <f>IF($E320="","",'Daily Data'!G320)</f>
        <v/>
      </c>
      <c r="H320" s="91">
        <f>IF($E320="","",(1-K320)*F320-G320)</f>
        <v/>
      </c>
      <c r="I320" s="90">
        <f>IF($E320="","",'Daily Data'!H320)</f>
        <v/>
      </c>
      <c r="J320" s="91">
        <f>IF($E320="","",E320-H320-I320)</f>
        <v/>
      </c>
      <c r="K320" s="60">
        <f>IF($E320="","",IF(A320&lt;HLP_ChangeDate,HLP_Legacy,HLP_Current))</f>
        <v/>
      </c>
      <c r="L320" s="91">
        <f>IF($E320="","",J320/(1-K320))</f>
        <v/>
      </c>
      <c r="M320" s="90">
        <f>IF($E320="","",'Daily Data'!I320)</f>
        <v/>
      </c>
      <c r="N320" s="91">
        <f>IF($E320="","",M320*(1-K320)-I320)</f>
        <v/>
      </c>
      <c r="O320" s="92" t="n">
        <v>321314</v>
      </c>
      <c r="P320" s="93">
        <f>IF($E320="","",(L320+F320+M320)*K320)</f>
        <v/>
      </c>
      <c r="Q320" s="91">
        <f>IF($E320="","",L320*K320)</f>
        <v/>
      </c>
      <c r="R320" s="91">
        <f>IF($E320="","",F320*K320)</f>
        <v/>
      </c>
      <c r="S320" s="91">
        <f>IF($E320="","",M320*K320)</f>
        <v/>
      </c>
      <c r="T320" s="63">
        <f>IF(OR($E320="",B320=0),"",L320/B320*10000)</f>
        <v/>
      </c>
      <c r="U320" s="63">
        <f>IF(OR($E320="",C320=0),"",F320/C320*10000)</f>
        <v/>
      </c>
      <c r="V320" s="63">
        <f>IF(OR($E320="",D320=0),"",M320/D320*10000)</f>
        <v/>
      </c>
    </row>
    <row r="321">
      <c r="A321" s="35" t="n">
        <v>45975</v>
      </c>
      <c r="B321" s="90">
        <f>'Daily Data'!B321</f>
        <v/>
      </c>
      <c r="C321" s="90">
        <f>'Daily Data'!D321</f>
        <v/>
      </c>
      <c r="D321" s="90">
        <f>'Daily Data'!C321</f>
        <v/>
      </c>
      <c r="E321" s="90">
        <f>IF('Daily Data'!E321="","",'Daily Data'!E321)</f>
        <v/>
      </c>
      <c r="F321" s="90">
        <f>IF($E321="","",'Daily Data'!F321)</f>
        <v/>
      </c>
      <c r="G321" s="90">
        <f>IF($E321="","",'Daily Data'!G321)</f>
        <v/>
      </c>
      <c r="H321" s="91">
        <f>IF($E321="","",(1-K321)*F321-G321)</f>
        <v/>
      </c>
      <c r="I321" s="90">
        <f>IF($E321="","",'Daily Data'!H321)</f>
        <v/>
      </c>
      <c r="J321" s="91">
        <f>IF($E321="","",E321-H321-I321)</f>
        <v/>
      </c>
      <c r="K321" s="60">
        <f>IF($E321="","",IF(A321&lt;HLP_ChangeDate,HLP_Legacy,HLP_Current))</f>
        <v/>
      </c>
      <c r="L321" s="91">
        <f>IF($E321="","",J321/(1-K321))</f>
        <v/>
      </c>
      <c r="M321" s="90">
        <f>IF($E321="","",'Daily Data'!I321)</f>
        <v/>
      </c>
      <c r="N321" s="91">
        <f>IF($E321="","",M321*(1-K321)-I321)</f>
        <v/>
      </c>
      <c r="O321" s="92" t="n">
        <v>329643</v>
      </c>
      <c r="P321" s="93">
        <f>IF($E321="","",(L321+F321+M321)*K321)</f>
        <v/>
      </c>
      <c r="Q321" s="91">
        <f>IF($E321="","",L321*K321)</f>
        <v/>
      </c>
      <c r="R321" s="91">
        <f>IF($E321="","",F321*K321)</f>
        <v/>
      </c>
      <c r="S321" s="91">
        <f>IF($E321="","",M321*K321)</f>
        <v/>
      </c>
      <c r="T321" s="63">
        <f>IF(OR($E321="",B321=0),"",L321/B321*10000)</f>
        <v/>
      </c>
      <c r="U321" s="63">
        <f>IF(OR($E321="",C321=0),"",F321/C321*10000)</f>
        <v/>
      </c>
      <c r="V321" s="63">
        <f>IF(OR($E321="",D321=0),"",M321/D321*10000)</f>
        <v/>
      </c>
    </row>
    <row r="322">
      <c r="A322" s="35" t="n">
        <v>45976</v>
      </c>
      <c r="B322" s="90">
        <f>'Daily Data'!B322</f>
        <v/>
      </c>
      <c r="C322" s="90">
        <f>'Daily Data'!D322</f>
        <v/>
      </c>
      <c r="D322" s="90">
        <f>'Daily Data'!C322</f>
        <v/>
      </c>
      <c r="E322" s="90">
        <f>IF('Daily Data'!E322="","",'Daily Data'!E322)</f>
        <v/>
      </c>
      <c r="F322" s="90">
        <f>IF($E322="","",'Daily Data'!F322)</f>
        <v/>
      </c>
      <c r="G322" s="90">
        <f>IF($E322="","",'Daily Data'!G322)</f>
        <v/>
      </c>
      <c r="H322" s="91">
        <f>IF($E322="","",(1-K322)*F322-G322)</f>
        <v/>
      </c>
      <c r="I322" s="90">
        <f>IF($E322="","",'Daily Data'!H322)</f>
        <v/>
      </c>
      <c r="J322" s="91">
        <f>IF($E322="","",E322-H322-I322)</f>
        <v/>
      </c>
      <c r="K322" s="60">
        <f>IF($E322="","",IF(A322&lt;HLP_ChangeDate,HLP_Legacy,HLP_Current))</f>
        <v/>
      </c>
      <c r="L322" s="91">
        <f>IF($E322="","",J322/(1-K322))</f>
        <v/>
      </c>
      <c r="M322" s="90">
        <f>IF($E322="","",'Daily Data'!I322)</f>
        <v/>
      </c>
      <c r="N322" s="91">
        <f>IF($E322="","",M322*(1-K322)-I322)</f>
        <v/>
      </c>
      <c r="O322" s="92" t="n">
        <v>165121</v>
      </c>
      <c r="P322" s="93">
        <f>IF($E322="","",(L322+F322+M322)*K322)</f>
        <v/>
      </c>
      <c r="Q322" s="91">
        <f>IF($E322="","",L322*K322)</f>
        <v/>
      </c>
      <c r="R322" s="91">
        <f>IF($E322="","",F322*K322)</f>
        <v/>
      </c>
      <c r="S322" s="91">
        <f>IF($E322="","",M322*K322)</f>
        <v/>
      </c>
      <c r="T322" s="63">
        <f>IF(OR($E322="",B322=0),"",L322/B322*10000)</f>
        <v/>
      </c>
      <c r="U322" s="63">
        <f>IF(OR($E322="",C322=0),"",F322/C322*10000)</f>
        <v/>
      </c>
      <c r="V322" s="63">
        <f>IF(OR($E322="",D322=0),"",M322/D322*10000)</f>
        <v/>
      </c>
    </row>
    <row r="323">
      <c r="A323" s="35" t="n">
        <v>45977</v>
      </c>
      <c r="B323" s="90">
        <f>'Daily Data'!B323</f>
        <v/>
      </c>
      <c r="C323" s="90">
        <f>'Daily Data'!D323</f>
        <v/>
      </c>
      <c r="D323" s="90">
        <f>'Daily Data'!C323</f>
        <v/>
      </c>
      <c r="E323" s="90">
        <f>IF('Daily Data'!E323="","",'Daily Data'!E323)</f>
        <v/>
      </c>
      <c r="F323" s="90">
        <f>IF($E323="","",'Daily Data'!F323)</f>
        <v/>
      </c>
      <c r="G323" s="90">
        <f>IF($E323="","",'Daily Data'!G323)</f>
        <v/>
      </c>
      <c r="H323" s="91">
        <f>IF($E323="","",(1-K323)*F323-G323)</f>
        <v/>
      </c>
      <c r="I323" s="90">
        <f>IF($E323="","",'Daily Data'!H323)</f>
        <v/>
      </c>
      <c r="J323" s="91">
        <f>IF($E323="","",E323-H323-I323)</f>
        <v/>
      </c>
      <c r="K323" s="60">
        <f>IF($E323="","",IF(A323&lt;HLP_ChangeDate,HLP_Legacy,HLP_Current))</f>
        <v/>
      </c>
      <c r="L323" s="91">
        <f>IF($E323="","",J323/(1-K323))</f>
        <v/>
      </c>
      <c r="M323" s="90">
        <f>IF($E323="","",'Daily Data'!I323)</f>
        <v/>
      </c>
      <c r="N323" s="91">
        <f>IF($E323="","",M323*(1-K323)-I323)</f>
        <v/>
      </c>
      <c r="O323" s="92" t="n">
        <v>239274</v>
      </c>
      <c r="P323" s="93">
        <f>IF($E323="","",(L323+F323+M323)*K323)</f>
        <v/>
      </c>
      <c r="Q323" s="91">
        <f>IF($E323="","",L323*K323)</f>
        <v/>
      </c>
      <c r="R323" s="91">
        <f>IF($E323="","",F323*K323)</f>
        <v/>
      </c>
      <c r="S323" s="91">
        <f>IF($E323="","",M323*K323)</f>
        <v/>
      </c>
      <c r="T323" s="63">
        <f>IF(OR($E323="",B323=0),"",L323/B323*10000)</f>
        <v/>
      </c>
      <c r="U323" s="63">
        <f>IF(OR($E323="",C323=0),"",F323/C323*10000)</f>
        <v/>
      </c>
      <c r="V323" s="63">
        <f>IF(OR($E323="",D323=0),"",M323/D323*10000)</f>
        <v/>
      </c>
    </row>
    <row r="324">
      <c r="A324" s="35" t="n">
        <v>45978</v>
      </c>
      <c r="B324" s="90">
        <f>'Daily Data'!B324</f>
        <v/>
      </c>
      <c r="C324" s="90">
        <f>'Daily Data'!D324</f>
        <v/>
      </c>
      <c r="D324" s="90">
        <f>'Daily Data'!C324</f>
        <v/>
      </c>
      <c r="E324" s="90">
        <f>IF('Daily Data'!E324="","",'Daily Data'!E324)</f>
        <v/>
      </c>
      <c r="F324" s="90">
        <f>IF($E324="","",'Daily Data'!F324)</f>
        <v/>
      </c>
      <c r="G324" s="90">
        <f>IF($E324="","",'Daily Data'!G324)</f>
        <v/>
      </c>
      <c r="H324" s="91">
        <f>IF($E324="","",(1-K324)*F324-G324)</f>
        <v/>
      </c>
      <c r="I324" s="90">
        <f>IF($E324="","",'Daily Data'!H324)</f>
        <v/>
      </c>
      <c r="J324" s="91">
        <f>IF($E324="","",E324-H324-I324)</f>
        <v/>
      </c>
      <c r="K324" s="60">
        <f>IF($E324="","",IF(A324&lt;HLP_ChangeDate,HLP_Legacy,HLP_Current))</f>
        <v/>
      </c>
      <c r="L324" s="91">
        <f>IF($E324="","",J324/(1-K324))</f>
        <v/>
      </c>
      <c r="M324" s="90">
        <f>IF($E324="","",'Daily Data'!I324)</f>
        <v/>
      </c>
      <c r="N324" s="91">
        <f>IF($E324="","",M324*(1-K324)-I324)</f>
        <v/>
      </c>
      <c r="O324" s="92" t="n">
        <v>306193</v>
      </c>
      <c r="P324" s="93">
        <f>IF($E324="","",(L324+F324+M324)*K324)</f>
        <v/>
      </c>
      <c r="Q324" s="91">
        <f>IF($E324="","",L324*K324)</f>
        <v/>
      </c>
      <c r="R324" s="91">
        <f>IF($E324="","",F324*K324)</f>
        <v/>
      </c>
      <c r="S324" s="91">
        <f>IF($E324="","",M324*K324)</f>
        <v/>
      </c>
      <c r="T324" s="63">
        <f>IF(OR($E324="",B324=0),"",L324/B324*10000)</f>
        <v/>
      </c>
      <c r="U324" s="63">
        <f>IF(OR($E324="",C324=0),"",F324/C324*10000)</f>
        <v/>
      </c>
      <c r="V324" s="63">
        <f>IF(OR($E324="",D324=0),"",M324/D324*10000)</f>
        <v/>
      </c>
    </row>
    <row r="325">
      <c r="A325" s="35" t="n">
        <v>45979</v>
      </c>
      <c r="B325" s="90">
        <f>'Daily Data'!B325</f>
        <v/>
      </c>
      <c r="C325" s="90">
        <f>'Daily Data'!D325</f>
        <v/>
      </c>
      <c r="D325" s="90">
        <f>'Daily Data'!C325</f>
        <v/>
      </c>
      <c r="E325" s="90">
        <f>IF('Daily Data'!E325="","",'Daily Data'!E325)</f>
        <v/>
      </c>
      <c r="F325" s="90">
        <f>IF($E325="","",'Daily Data'!F325)</f>
        <v/>
      </c>
      <c r="G325" s="90">
        <f>IF($E325="","",'Daily Data'!G325)</f>
        <v/>
      </c>
      <c r="H325" s="91">
        <f>IF($E325="","",(1-K325)*F325-G325)</f>
        <v/>
      </c>
      <c r="I325" s="90">
        <f>IF($E325="","",'Daily Data'!H325)</f>
        <v/>
      </c>
      <c r="J325" s="91">
        <f>IF($E325="","",E325-H325-I325)</f>
        <v/>
      </c>
      <c r="K325" s="60">
        <f>IF($E325="","",IF(A325&lt;HLP_ChangeDate,HLP_Legacy,HLP_Current))</f>
        <v/>
      </c>
      <c r="L325" s="91">
        <f>IF($E325="","",J325/(1-K325))</f>
        <v/>
      </c>
      <c r="M325" s="90">
        <f>IF($E325="","",'Daily Data'!I325)</f>
        <v/>
      </c>
      <c r="N325" s="91">
        <f>IF($E325="","",M325*(1-K325)-I325)</f>
        <v/>
      </c>
      <c r="O325" s="92" t="n">
        <v>276414</v>
      </c>
      <c r="P325" s="93">
        <f>IF($E325="","",(L325+F325+M325)*K325)</f>
        <v/>
      </c>
      <c r="Q325" s="91">
        <f>IF($E325="","",L325*K325)</f>
        <v/>
      </c>
      <c r="R325" s="91">
        <f>IF($E325="","",F325*K325)</f>
        <v/>
      </c>
      <c r="S325" s="91">
        <f>IF($E325="","",M325*K325)</f>
        <v/>
      </c>
      <c r="T325" s="63">
        <f>IF(OR($E325="",B325=0),"",L325/B325*10000)</f>
        <v/>
      </c>
      <c r="U325" s="63">
        <f>IF(OR($E325="",C325=0),"",F325/C325*10000)</f>
        <v/>
      </c>
      <c r="V325" s="63">
        <f>IF(OR($E325="",D325=0),"",M325/D325*10000)</f>
        <v/>
      </c>
    </row>
    <row r="326">
      <c r="A326" s="35" t="n">
        <v>45980</v>
      </c>
      <c r="B326" s="90">
        <f>'Daily Data'!B326</f>
        <v/>
      </c>
      <c r="C326" s="90">
        <f>'Daily Data'!D326</f>
        <v/>
      </c>
      <c r="D326" s="90">
        <f>'Daily Data'!C326</f>
        <v/>
      </c>
      <c r="E326" s="90">
        <f>IF('Daily Data'!E326="","",'Daily Data'!E326)</f>
        <v/>
      </c>
      <c r="F326" s="90">
        <f>IF($E326="","",'Daily Data'!F326)</f>
        <v/>
      </c>
      <c r="G326" s="90">
        <f>IF($E326="","",'Daily Data'!G326)</f>
        <v/>
      </c>
      <c r="H326" s="91">
        <f>IF($E326="","",(1-K326)*F326-G326)</f>
        <v/>
      </c>
      <c r="I326" s="90">
        <f>IF($E326="","",'Daily Data'!H326)</f>
        <v/>
      </c>
      <c r="J326" s="91">
        <f>IF($E326="","",E326-H326-I326)</f>
        <v/>
      </c>
      <c r="K326" s="60">
        <f>IF($E326="","",IF(A326&lt;HLP_ChangeDate,HLP_Legacy,HLP_Current))</f>
        <v/>
      </c>
      <c r="L326" s="91">
        <f>IF($E326="","",J326/(1-K326))</f>
        <v/>
      </c>
      <c r="M326" s="90">
        <f>IF($E326="","",'Daily Data'!I326)</f>
        <v/>
      </c>
      <c r="N326" s="91">
        <f>IF($E326="","",M326*(1-K326)-I326)</f>
        <v/>
      </c>
      <c r="O326" s="92" t="n">
        <v>337174</v>
      </c>
      <c r="P326" s="93">
        <f>IF($E326="","",(L326+F326+M326)*K326)</f>
        <v/>
      </c>
      <c r="Q326" s="91">
        <f>IF($E326="","",L326*K326)</f>
        <v/>
      </c>
      <c r="R326" s="91">
        <f>IF($E326="","",F326*K326)</f>
        <v/>
      </c>
      <c r="S326" s="91">
        <f>IF($E326="","",M326*K326)</f>
        <v/>
      </c>
      <c r="T326" s="63">
        <f>IF(OR($E326="",B326=0),"",L326/B326*10000)</f>
        <v/>
      </c>
      <c r="U326" s="63">
        <f>IF(OR($E326="",C326=0),"",F326/C326*10000)</f>
        <v/>
      </c>
      <c r="V326" s="63">
        <f>IF(OR($E326="",D326=0),"",M326/D326*10000)</f>
        <v/>
      </c>
    </row>
    <row r="327">
      <c r="A327" s="35" t="n">
        <v>45981</v>
      </c>
      <c r="B327" s="90">
        <f>'Daily Data'!B327</f>
        <v/>
      </c>
      <c r="C327" s="90">
        <f>'Daily Data'!D327</f>
        <v/>
      </c>
      <c r="D327" s="90">
        <f>'Daily Data'!C327</f>
        <v/>
      </c>
      <c r="E327" s="90">
        <f>IF('Daily Data'!E327="","",'Daily Data'!E327)</f>
        <v/>
      </c>
      <c r="F327" s="90">
        <f>IF($E327="","",'Daily Data'!F327)</f>
        <v/>
      </c>
      <c r="G327" s="90">
        <f>IF($E327="","",'Daily Data'!G327)</f>
        <v/>
      </c>
      <c r="H327" s="91">
        <f>IF($E327="","",(1-K327)*F327-G327)</f>
        <v/>
      </c>
      <c r="I327" s="90">
        <f>IF($E327="","",'Daily Data'!H327)</f>
        <v/>
      </c>
      <c r="J327" s="91">
        <f>IF($E327="","",E327-H327-I327)</f>
        <v/>
      </c>
      <c r="K327" s="60">
        <f>IF($E327="","",IF(A327&lt;HLP_ChangeDate,HLP_Legacy,HLP_Current))</f>
        <v/>
      </c>
      <c r="L327" s="91">
        <f>IF($E327="","",J327/(1-K327))</f>
        <v/>
      </c>
      <c r="M327" s="90">
        <f>IF($E327="","",'Daily Data'!I327)</f>
        <v/>
      </c>
      <c r="N327" s="91">
        <f>IF($E327="","",M327*(1-K327)-I327)</f>
        <v/>
      </c>
      <c r="O327" s="92" t="n">
        <v>344910</v>
      </c>
      <c r="P327" s="93">
        <f>IF($E327="","",(L327+F327+M327)*K327)</f>
        <v/>
      </c>
      <c r="Q327" s="91">
        <f>IF($E327="","",L327*K327)</f>
        <v/>
      </c>
      <c r="R327" s="91">
        <f>IF($E327="","",F327*K327)</f>
        <v/>
      </c>
      <c r="S327" s="91">
        <f>IF($E327="","",M327*K327)</f>
        <v/>
      </c>
      <c r="T327" s="63">
        <f>IF(OR($E327="",B327=0),"",L327/B327*10000)</f>
        <v/>
      </c>
      <c r="U327" s="63">
        <f>IF(OR($E327="",C327=0),"",F327/C327*10000)</f>
        <v/>
      </c>
      <c r="V327" s="63">
        <f>IF(OR($E327="",D327=0),"",M327/D327*10000)</f>
        <v/>
      </c>
    </row>
    <row r="328">
      <c r="A328" s="35" t="n">
        <v>45982</v>
      </c>
      <c r="B328" s="90">
        <f>'Daily Data'!B328</f>
        <v/>
      </c>
      <c r="C328" s="90">
        <f>'Daily Data'!D328</f>
        <v/>
      </c>
      <c r="D328" s="90">
        <f>'Daily Data'!C328</f>
        <v/>
      </c>
      <c r="E328" s="90">
        <f>IF('Daily Data'!E328="","",'Daily Data'!E328)</f>
        <v/>
      </c>
      <c r="F328" s="90">
        <f>IF($E328="","",'Daily Data'!F328)</f>
        <v/>
      </c>
      <c r="G328" s="90">
        <f>IF($E328="","",'Daily Data'!G328)</f>
        <v/>
      </c>
      <c r="H328" s="91">
        <f>IF($E328="","",(1-K328)*F328-G328)</f>
        <v/>
      </c>
      <c r="I328" s="90">
        <f>IF($E328="","",'Daily Data'!H328)</f>
        <v/>
      </c>
      <c r="J328" s="91">
        <f>IF($E328="","",E328-H328-I328)</f>
        <v/>
      </c>
      <c r="K328" s="60">
        <f>IF($E328="","",IF(A328&lt;HLP_ChangeDate,HLP_Legacy,HLP_Current))</f>
        <v/>
      </c>
      <c r="L328" s="91">
        <f>IF($E328="","",J328/(1-K328))</f>
        <v/>
      </c>
      <c r="M328" s="90">
        <f>IF($E328="","",'Daily Data'!I328)</f>
        <v/>
      </c>
      <c r="N328" s="91">
        <f>IF($E328="","",M328*(1-K328)-I328)</f>
        <v/>
      </c>
      <c r="O328" s="92" t="n">
        <v>396110</v>
      </c>
      <c r="P328" s="93">
        <f>IF($E328="","",(L328+F328+M328)*K328)</f>
        <v/>
      </c>
      <c r="Q328" s="91">
        <f>IF($E328="","",L328*K328)</f>
        <v/>
      </c>
      <c r="R328" s="91">
        <f>IF($E328="","",F328*K328)</f>
        <v/>
      </c>
      <c r="S328" s="91">
        <f>IF($E328="","",M328*K328)</f>
        <v/>
      </c>
      <c r="T328" s="63">
        <f>IF(OR($E328="",B328=0),"",L328/B328*10000)</f>
        <v/>
      </c>
      <c r="U328" s="63">
        <f>IF(OR($E328="",C328=0),"",F328/C328*10000)</f>
        <v/>
      </c>
      <c r="V328" s="63">
        <f>IF(OR($E328="",D328=0),"",M328/D328*10000)</f>
        <v/>
      </c>
    </row>
    <row r="329">
      <c r="A329" s="35" t="n">
        <v>45983</v>
      </c>
      <c r="B329" s="90">
        <f>'Daily Data'!B329</f>
        <v/>
      </c>
      <c r="C329" s="90">
        <f>'Daily Data'!D329</f>
        <v/>
      </c>
      <c r="D329" s="90">
        <f>'Daily Data'!C329</f>
        <v/>
      </c>
      <c r="E329" s="90">
        <f>IF('Daily Data'!E329="","",'Daily Data'!E329)</f>
        <v/>
      </c>
      <c r="F329" s="90">
        <f>IF($E329="","",'Daily Data'!F329)</f>
        <v/>
      </c>
      <c r="G329" s="90">
        <f>IF($E329="","",'Daily Data'!G329)</f>
        <v/>
      </c>
      <c r="H329" s="91">
        <f>IF($E329="","",(1-K329)*F329-G329)</f>
        <v/>
      </c>
      <c r="I329" s="90">
        <f>IF($E329="","",'Daily Data'!H329)</f>
        <v/>
      </c>
      <c r="J329" s="91">
        <f>IF($E329="","",E329-H329-I329)</f>
        <v/>
      </c>
      <c r="K329" s="60">
        <f>IF($E329="","",IF(A329&lt;HLP_ChangeDate,HLP_Legacy,HLP_Current))</f>
        <v/>
      </c>
      <c r="L329" s="91">
        <f>IF($E329="","",J329/(1-K329))</f>
        <v/>
      </c>
      <c r="M329" s="90">
        <f>IF($E329="","",'Daily Data'!I329)</f>
        <v/>
      </c>
      <c r="N329" s="91">
        <f>IF($E329="","",M329*(1-K329)-I329)</f>
        <v/>
      </c>
      <c r="O329" s="92" t="n">
        <v>145975</v>
      </c>
      <c r="P329" s="93">
        <f>IF($E329="","",(L329+F329+M329)*K329)</f>
        <v/>
      </c>
      <c r="Q329" s="91">
        <f>IF($E329="","",L329*K329)</f>
        <v/>
      </c>
      <c r="R329" s="91">
        <f>IF($E329="","",F329*K329)</f>
        <v/>
      </c>
      <c r="S329" s="91">
        <f>IF($E329="","",M329*K329)</f>
        <v/>
      </c>
      <c r="T329" s="63">
        <f>IF(OR($E329="",B329=0),"",L329/B329*10000)</f>
        <v/>
      </c>
      <c r="U329" s="63">
        <f>IF(OR($E329="",C329=0),"",F329/C329*10000)</f>
        <v/>
      </c>
      <c r="V329" s="63">
        <f>IF(OR($E329="",D329=0),"",M329/D329*10000)</f>
        <v/>
      </c>
    </row>
    <row r="330">
      <c r="A330" s="35" t="n">
        <v>45984</v>
      </c>
      <c r="B330" s="90">
        <f>'Daily Data'!B330</f>
        <v/>
      </c>
      <c r="C330" s="90">
        <f>'Daily Data'!D330</f>
        <v/>
      </c>
      <c r="D330" s="90">
        <f>'Daily Data'!C330</f>
        <v/>
      </c>
      <c r="E330" s="90">
        <f>IF('Daily Data'!E330="","",'Daily Data'!E330)</f>
        <v/>
      </c>
      <c r="F330" s="90">
        <f>IF($E330="","",'Daily Data'!F330)</f>
        <v/>
      </c>
      <c r="G330" s="90">
        <f>IF($E330="","",'Daily Data'!G330)</f>
        <v/>
      </c>
      <c r="H330" s="91">
        <f>IF($E330="","",(1-K330)*F330-G330)</f>
        <v/>
      </c>
      <c r="I330" s="90">
        <f>IF($E330="","",'Daily Data'!H330)</f>
        <v/>
      </c>
      <c r="J330" s="91">
        <f>IF($E330="","",E330-H330-I330)</f>
        <v/>
      </c>
      <c r="K330" s="60">
        <f>IF($E330="","",IF(A330&lt;HLP_ChangeDate,HLP_Legacy,HLP_Current))</f>
        <v/>
      </c>
      <c r="L330" s="91">
        <f>IF($E330="","",J330/(1-K330))</f>
        <v/>
      </c>
      <c r="M330" s="90">
        <f>IF($E330="","",'Daily Data'!I330)</f>
        <v/>
      </c>
      <c r="N330" s="91">
        <f>IF($E330="","",M330*(1-K330)-I330)</f>
        <v/>
      </c>
      <c r="O330" s="92" t="n">
        <v>165431</v>
      </c>
      <c r="P330" s="93">
        <f>IF($E330="","",(L330+F330+M330)*K330)</f>
        <v/>
      </c>
      <c r="Q330" s="91">
        <f>IF($E330="","",L330*K330)</f>
        <v/>
      </c>
      <c r="R330" s="91">
        <f>IF($E330="","",F330*K330)</f>
        <v/>
      </c>
      <c r="S330" s="91">
        <f>IF($E330="","",M330*K330)</f>
        <v/>
      </c>
      <c r="T330" s="63">
        <f>IF(OR($E330="",B330=0),"",L330/B330*10000)</f>
        <v/>
      </c>
      <c r="U330" s="63">
        <f>IF(OR($E330="",C330=0),"",F330/C330*10000)</f>
        <v/>
      </c>
      <c r="V330" s="63">
        <f>IF(OR($E330="",D330=0),"",M330/D330*10000)</f>
        <v/>
      </c>
    </row>
    <row r="331">
      <c r="A331" s="35" t="n">
        <v>45985</v>
      </c>
      <c r="B331" s="90">
        <f>'Daily Data'!B331</f>
        <v/>
      </c>
      <c r="C331" s="90">
        <f>'Daily Data'!D331</f>
        <v/>
      </c>
      <c r="D331" s="90">
        <f>'Daily Data'!C331</f>
        <v/>
      </c>
      <c r="E331" s="90">
        <f>IF('Daily Data'!E331="","",'Daily Data'!E331)</f>
        <v/>
      </c>
      <c r="F331" s="90">
        <f>IF($E331="","",'Daily Data'!F331)</f>
        <v/>
      </c>
      <c r="G331" s="90">
        <f>IF($E331="","",'Daily Data'!G331)</f>
        <v/>
      </c>
      <c r="H331" s="91">
        <f>IF($E331="","",(1-K331)*F331-G331)</f>
        <v/>
      </c>
      <c r="I331" s="90">
        <f>IF($E331="","",'Daily Data'!H331)</f>
        <v/>
      </c>
      <c r="J331" s="91">
        <f>IF($E331="","",E331-H331-I331)</f>
        <v/>
      </c>
      <c r="K331" s="60">
        <f>IF($E331="","",IF(A331&lt;HLP_ChangeDate,HLP_Legacy,HLP_Current))</f>
        <v/>
      </c>
      <c r="L331" s="91">
        <f>IF($E331="","",J331/(1-K331))</f>
        <v/>
      </c>
      <c r="M331" s="90">
        <f>IF($E331="","",'Daily Data'!I331)</f>
        <v/>
      </c>
      <c r="N331" s="91">
        <f>IF($E331="","",M331*(1-K331)-I331)</f>
        <v/>
      </c>
      <c r="O331" s="92" t="n">
        <v>218776</v>
      </c>
      <c r="P331" s="93">
        <f>IF($E331="","",(L331+F331+M331)*K331)</f>
        <v/>
      </c>
      <c r="Q331" s="91">
        <f>IF($E331="","",L331*K331)</f>
        <v/>
      </c>
      <c r="R331" s="91">
        <f>IF($E331="","",F331*K331)</f>
        <v/>
      </c>
      <c r="S331" s="91">
        <f>IF($E331="","",M331*K331)</f>
        <v/>
      </c>
      <c r="T331" s="63">
        <f>IF(OR($E331="",B331=0),"",L331/B331*10000)</f>
        <v/>
      </c>
      <c r="U331" s="63">
        <f>IF(OR($E331="",C331=0),"",F331/C331*10000)</f>
        <v/>
      </c>
      <c r="V331" s="63">
        <f>IF(OR($E331="",D331=0),"",M331/D331*10000)</f>
        <v/>
      </c>
    </row>
    <row r="332">
      <c r="A332" s="35" t="n">
        <v>45986</v>
      </c>
      <c r="B332" s="90">
        <f>'Daily Data'!B332</f>
        <v/>
      </c>
      <c r="C332" s="90">
        <f>'Daily Data'!D332</f>
        <v/>
      </c>
      <c r="D332" s="90">
        <f>'Daily Data'!C332</f>
        <v/>
      </c>
      <c r="E332" s="90">
        <f>IF('Daily Data'!E332="","",'Daily Data'!E332)</f>
        <v/>
      </c>
      <c r="F332" s="90">
        <f>IF($E332="","",'Daily Data'!F332)</f>
        <v/>
      </c>
      <c r="G332" s="90">
        <f>IF($E332="","",'Daily Data'!G332)</f>
        <v/>
      </c>
      <c r="H332" s="91">
        <f>IF($E332="","",(1-K332)*F332-G332)</f>
        <v/>
      </c>
      <c r="I332" s="90">
        <f>IF($E332="","",'Daily Data'!H332)</f>
        <v/>
      </c>
      <c r="J332" s="91">
        <f>IF($E332="","",E332-H332-I332)</f>
        <v/>
      </c>
      <c r="K332" s="60">
        <f>IF($E332="","",IF(A332&lt;HLP_ChangeDate,HLP_Legacy,HLP_Current))</f>
        <v/>
      </c>
      <c r="L332" s="91">
        <f>IF($E332="","",J332/(1-K332))</f>
        <v/>
      </c>
      <c r="M332" s="90">
        <f>IF($E332="","",'Daily Data'!I332)</f>
        <v/>
      </c>
      <c r="N332" s="91">
        <f>IF($E332="","",M332*(1-K332)-I332)</f>
        <v/>
      </c>
      <c r="O332" s="92" t="n">
        <v>190322</v>
      </c>
      <c r="P332" s="93">
        <f>IF($E332="","",(L332+F332+M332)*K332)</f>
        <v/>
      </c>
      <c r="Q332" s="91">
        <f>IF($E332="","",L332*K332)</f>
        <v/>
      </c>
      <c r="R332" s="91">
        <f>IF($E332="","",F332*K332)</f>
        <v/>
      </c>
      <c r="S332" s="91">
        <f>IF($E332="","",M332*K332)</f>
        <v/>
      </c>
      <c r="T332" s="63">
        <f>IF(OR($E332="",B332=0),"",L332/B332*10000)</f>
        <v/>
      </c>
      <c r="U332" s="63">
        <f>IF(OR($E332="",C332=0),"",F332/C332*10000)</f>
        <v/>
      </c>
      <c r="V332" s="63">
        <f>IF(OR($E332="",D332=0),"",M332/D332*10000)</f>
        <v/>
      </c>
    </row>
    <row r="333">
      <c r="A333" s="35" t="n">
        <v>45987</v>
      </c>
      <c r="B333" s="90">
        <f>'Daily Data'!B333</f>
        <v/>
      </c>
      <c r="C333" s="90">
        <f>'Daily Data'!D333</f>
        <v/>
      </c>
      <c r="D333" s="90">
        <f>'Daily Data'!C333</f>
        <v/>
      </c>
      <c r="E333" s="90">
        <f>IF('Daily Data'!E333="","",'Daily Data'!E333)</f>
        <v/>
      </c>
      <c r="F333" s="90">
        <f>IF($E333="","",'Daily Data'!F333)</f>
        <v/>
      </c>
      <c r="G333" s="90">
        <f>IF($E333="","",'Daily Data'!G333)</f>
        <v/>
      </c>
      <c r="H333" s="91">
        <f>IF($E333="","",(1-K333)*F333-G333)</f>
        <v/>
      </c>
      <c r="I333" s="90">
        <f>IF($E333="","",'Daily Data'!H333)</f>
        <v/>
      </c>
      <c r="J333" s="91">
        <f>IF($E333="","",E333-H333-I333)</f>
        <v/>
      </c>
      <c r="K333" s="60">
        <f>IF($E333="","",IF(A333&lt;HLP_ChangeDate,HLP_Legacy,HLP_Current))</f>
        <v/>
      </c>
      <c r="L333" s="91">
        <f>IF($E333="","",J333/(1-K333))</f>
        <v/>
      </c>
      <c r="M333" s="90">
        <f>IF($E333="","",'Daily Data'!I333)</f>
        <v/>
      </c>
      <c r="N333" s="91">
        <f>IF($E333="","",M333*(1-K333)-I333)</f>
        <v/>
      </c>
      <c r="O333" s="92" t="n">
        <v>199197</v>
      </c>
      <c r="P333" s="93">
        <f>IF($E333="","",(L333+F333+M333)*K333)</f>
        <v/>
      </c>
      <c r="Q333" s="91">
        <f>IF($E333="","",L333*K333)</f>
        <v/>
      </c>
      <c r="R333" s="91">
        <f>IF($E333="","",F333*K333)</f>
        <v/>
      </c>
      <c r="S333" s="91">
        <f>IF($E333="","",M333*K333)</f>
        <v/>
      </c>
      <c r="T333" s="63">
        <f>IF(OR($E333="",B333=0),"",L333/B333*10000)</f>
        <v/>
      </c>
      <c r="U333" s="63">
        <f>IF(OR($E333="",C333=0),"",F333/C333*10000)</f>
        <v/>
      </c>
      <c r="V333" s="63">
        <f>IF(OR($E333="",D333=0),"",M333/D333*10000)</f>
        <v/>
      </c>
    </row>
    <row r="334">
      <c r="A334" s="35" t="n">
        <v>45988</v>
      </c>
      <c r="B334" s="90">
        <f>'Daily Data'!B334</f>
        <v/>
      </c>
      <c r="C334" s="90">
        <f>'Daily Data'!D334</f>
        <v/>
      </c>
      <c r="D334" s="90">
        <f>'Daily Data'!C334</f>
        <v/>
      </c>
      <c r="E334" s="90">
        <f>IF('Daily Data'!E334="","",'Daily Data'!E334)</f>
        <v/>
      </c>
      <c r="F334" s="90">
        <f>IF($E334="","",'Daily Data'!F334)</f>
        <v/>
      </c>
      <c r="G334" s="90">
        <f>IF($E334="","",'Daily Data'!G334)</f>
        <v/>
      </c>
      <c r="H334" s="91">
        <f>IF($E334="","",(1-K334)*F334-G334)</f>
        <v/>
      </c>
      <c r="I334" s="90">
        <f>IF($E334="","",'Daily Data'!H334)</f>
        <v/>
      </c>
      <c r="J334" s="91">
        <f>IF($E334="","",E334-H334-I334)</f>
        <v/>
      </c>
      <c r="K334" s="60">
        <f>IF($E334="","",IF(A334&lt;HLP_ChangeDate,HLP_Legacy,HLP_Current))</f>
        <v/>
      </c>
      <c r="L334" s="91">
        <f>IF($E334="","",J334/(1-K334))</f>
        <v/>
      </c>
      <c r="M334" s="90">
        <f>IF($E334="","",'Daily Data'!I334)</f>
        <v/>
      </c>
      <c r="N334" s="91">
        <f>IF($E334="","",M334*(1-K334)-I334)</f>
        <v/>
      </c>
      <c r="O334" s="92" t="n">
        <v>181529</v>
      </c>
      <c r="P334" s="93">
        <f>IF($E334="","",(L334+F334+M334)*K334)</f>
        <v/>
      </c>
      <c r="Q334" s="91">
        <f>IF($E334="","",L334*K334)</f>
        <v/>
      </c>
      <c r="R334" s="91">
        <f>IF($E334="","",F334*K334)</f>
        <v/>
      </c>
      <c r="S334" s="91">
        <f>IF($E334="","",M334*K334)</f>
        <v/>
      </c>
      <c r="T334" s="63">
        <f>IF(OR($E334="",B334=0),"",L334/B334*10000)</f>
        <v/>
      </c>
      <c r="U334" s="63">
        <f>IF(OR($E334="",C334=0),"",F334/C334*10000)</f>
        <v/>
      </c>
      <c r="V334" s="63">
        <f>IF(OR($E334="",D334=0),"",M334/D334*10000)</f>
        <v/>
      </c>
    </row>
    <row r="335">
      <c r="A335" s="35" t="n">
        <v>45989</v>
      </c>
      <c r="B335" s="90">
        <f>'Daily Data'!B335</f>
        <v/>
      </c>
      <c r="C335" s="90">
        <f>'Daily Data'!D335</f>
        <v/>
      </c>
      <c r="D335" s="90">
        <f>'Daily Data'!C335</f>
        <v/>
      </c>
      <c r="E335" s="90">
        <f>IF('Daily Data'!E335="","",'Daily Data'!E335)</f>
        <v/>
      </c>
      <c r="F335" s="90">
        <f>IF($E335="","",'Daily Data'!F335)</f>
        <v/>
      </c>
      <c r="G335" s="90">
        <f>IF($E335="","",'Daily Data'!G335)</f>
        <v/>
      </c>
      <c r="H335" s="91">
        <f>IF($E335="","",(1-K335)*F335-G335)</f>
        <v/>
      </c>
      <c r="I335" s="90">
        <f>IF($E335="","",'Daily Data'!H335)</f>
        <v/>
      </c>
      <c r="J335" s="91">
        <f>IF($E335="","",E335-H335-I335)</f>
        <v/>
      </c>
      <c r="K335" s="60">
        <f>IF($E335="","",IF(A335&lt;HLP_ChangeDate,HLP_Legacy,HLP_Current))</f>
        <v/>
      </c>
      <c r="L335" s="91">
        <f>IF($E335="","",J335/(1-K335))</f>
        <v/>
      </c>
      <c r="M335" s="90">
        <f>IF($E335="","",'Daily Data'!I335)</f>
        <v/>
      </c>
      <c r="N335" s="91">
        <f>IF($E335="","",M335*(1-K335)-I335)</f>
        <v/>
      </c>
      <c r="O335" s="92" t="n">
        <v>229666</v>
      </c>
      <c r="P335" s="93">
        <f>IF($E335="","",(L335+F335+M335)*K335)</f>
        <v/>
      </c>
      <c r="Q335" s="91">
        <f>IF($E335="","",L335*K335)</f>
        <v/>
      </c>
      <c r="R335" s="91">
        <f>IF($E335="","",F335*K335)</f>
        <v/>
      </c>
      <c r="S335" s="91">
        <f>IF($E335="","",M335*K335)</f>
        <v/>
      </c>
      <c r="T335" s="63">
        <f>IF(OR($E335="",B335=0),"",L335/B335*10000)</f>
        <v/>
      </c>
      <c r="U335" s="63">
        <f>IF(OR($E335="",C335=0),"",F335/C335*10000)</f>
        <v/>
      </c>
      <c r="V335" s="63">
        <f>IF(OR($E335="",D335=0),"",M335/D335*10000)</f>
        <v/>
      </c>
    </row>
    <row r="336">
      <c r="A336" s="35" t="n">
        <v>45990</v>
      </c>
      <c r="B336" s="90">
        <f>'Daily Data'!B336</f>
        <v/>
      </c>
      <c r="C336" s="90">
        <f>'Daily Data'!D336</f>
        <v/>
      </c>
      <c r="D336" s="90">
        <f>'Daily Data'!C336</f>
        <v/>
      </c>
      <c r="E336" s="90">
        <f>IF('Daily Data'!E336="","",'Daily Data'!E336)</f>
        <v/>
      </c>
      <c r="F336" s="90">
        <f>IF($E336="","",'Daily Data'!F336)</f>
        <v/>
      </c>
      <c r="G336" s="90">
        <f>IF($E336="","",'Daily Data'!G336)</f>
        <v/>
      </c>
      <c r="H336" s="91">
        <f>IF($E336="","",(1-K336)*F336-G336)</f>
        <v/>
      </c>
      <c r="I336" s="90">
        <f>IF($E336="","",'Daily Data'!H336)</f>
        <v/>
      </c>
      <c r="J336" s="91">
        <f>IF($E336="","",E336-H336-I336)</f>
        <v/>
      </c>
      <c r="K336" s="60">
        <f>IF($E336="","",IF(A336&lt;HLP_ChangeDate,HLP_Legacy,HLP_Current))</f>
        <v/>
      </c>
      <c r="L336" s="91">
        <f>IF($E336="","",J336/(1-K336))</f>
        <v/>
      </c>
      <c r="M336" s="90">
        <f>IF($E336="","",'Daily Data'!I336)</f>
        <v/>
      </c>
      <c r="N336" s="91">
        <f>IF($E336="","",M336*(1-K336)-I336)</f>
        <v/>
      </c>
      <c r="O336" s="92" t="n">
        <v>113810</v>
      </c>
      <c r="P336" s="93">
        <f>IF($E336="","",(L336+F336+M336)*K336)</f>
        <v/>
      </c>
      <c r="Q336" s="91">
        <f>IF($E336="","",L336*K336)</f>
        <v/>
      </c>
      <c r="R336" s="91">
        <f>IF($E336="","",F336*K336)</f>
        <v/>
      </c>
      <c r="S336" s="91">
        <f>IF($E336="","",M336*K336)</f>
        <v/>
      </c>
      <c r="T336" s="63">
        <f>IF(OR($E336="",B336=0),"",L336/B336*10000)</f>
        <v/>
      </c>
      <c r="U336" s="63">
        <f>IF(OR($E336="",C336=0),"",F336/C336*10000)</f>
        <v/>
      </c>
      <c r="V336" s="63">
        <f>IF(OR($E336="",D336=0),"",M336/D336*10000)</f>
        <v/>
      </c>
    </row>
    <row r="337">
      <c r="A337" s="35" t="n">
        <v>45991</v>
      </c>
      <c r="B337" s="90">
        <f>'Daily Data'!B337</f>
        <v/>
      </c>
      <c r="C337" s="90">
        <f>'Daily Data'!D337</f>
        <v/>
      </c>
      <c r="D337" s="90">
        <f>'Daily Data'!C337</f>
        <v/>
      </c>
      <c r="E337" s="90">
        <f>IF('Daily Data'!E337="","",'Daily Data'!E337)</f>
        <v/>
      </c>
      <c r="F337" s="90">
        <f>IF($E337="","",'Daily Data'!F337)</f>
        <v/>
      </c>
      <c r="G337" s="90">
        <f>IF($E337="","",'Daily Data'!G337)</f>
        <v/>
      </c>
      <c r="H337" s="91">
        <f>IF($E337="","",(1-K337)*F337-G337)</f>
        <v/>
      </c>
      <c r="I337" s="90">
        <f>IF($E337="","",'Daily Data'!H337)</f>
        <v/>
      </c>
      <c r="J337" s="91">
        <f>IF($E337="","",E337-H337-I337)</f>
        <v/>
      </c>
      <c r="K337" s="60">
        <f>IF($E337="","",IF(A337&lt;HLP_ChangeDate,HLP_Legacy,HLP_Current))</f>
        <v/>
      </c>
      <c r="L337" s="91">
        <f>IF($E337="","",J337/(1-K337))</f>
        <v/>
      </c>
      <c r="M337" s="90">
        <f>IF($E337="","",'Daily Data'!I337)</f>
        <v/>
      </c>
      <c r="N337" s="91">
        <f>IF($E337="","",M337*(1-K337)-I337)</f>
        <v/>
      </c>
      <c r="O337" s="92" t="n">
        <v>126122</v>
      </c>
      <c r="P337" s="93">
        <f>IF($E337="","",(L337+F337+M337)*K337)</f>
        <v/>
      </c>
      <c r="Q337" s="91">
        <f>IF($E337="","",L337*K337)</f>
        <v/>
      </c>
      <c r="R337" s="91">
        <f>IF($E337="","",F337*K337)</f>
        <v/>
      </c>
      <c r="S337" s="91">
        <f>IF($E337="","",M337*K337)</f>
        <v/>
      </c>
      <c r="T337" s="63">
        <f>IF(OR($E337="",B337=0),"",L337/B337*10000)</f>
        <v/>
      </c>
      <c r="U337" s="63">
        <f>IF(OR($E337="",C337=0),"",F337/C337*10000)</f>
        <v/>
      </c>
      <c r="V337" s="63">
        <f>IF(OR($E337="",D337=0),"",M337/D337*10000)</f>
        <v/>
      </c>
    </row>
    <row r="338">
      <c r="A338" s="35" t="n">
        <v>45992</v>
      </c>
      <c r="B338" s="90">
        <f>'Daily Data'!B338</f>
        <v/>
      </c>
      <c r="C338" s="90">
        <f>'Daily Data'!D338</f>
        <v/>
      </c>
      <c r="D338" s="90">
        <f>'Daily Data'!C338</f>
        <v/>
      </c>
      <c r="E338" s="90">
        <f>IF('Daily Data'!E338="","",'Daily Data'!E338)</f>
        <v/>
      </c>
      <c r="F338" s="90">
        <f>IF($E338="","",'Daily Data'!F338)</f>
        <v/>
      </c>
      <c r="G338" s="90">
        <f>IF($E338="","",'Daily Data'!G338)</f>
        <v/>
      </c>
      <c r="H338" s="91">
        <f>IF($E338="","",(1-K338)*F338-G338)</f>
        <v/>
      </c>
      <c r="I338" s="90">
        <f>IF($E338="","",'Daily Data'!H338)</f>
        <v/>
      </c>
      <c r="J338" s="91">
        <f>IF($E338="","",E338-H338-I338)</f>
        <v/>
      </c>
      <c r="K338" s="60">
        <f>IF($E338="","",IF(A338&lt;HLP_ChangeDate,HLP_Legacy,HLP_Current))</f>
        <v/>
      </c>
      <c r="L338" s="91">
        <f>IF($E338="","",J338/(1-K338))</f>
        <v/>
      </c>
      <c r="M338" s="90">
        <f>IF($E338="","",'Daily Data'!I338)</f>
        <v/>
      </c>
      <c r="N338" s="91">
        <f>IF($E338="","",M338*(1-K338)-I338)</f>
        <v/>
      </c>
      <c r="O338" s="92" t="n">
        <v>446683</v>
      </c>
      <c r="P338" s="93">
        <f>IF($E338="","",(L338+F338+M338)*K338)</f>
        <v/>
      </c>
      <c r="Q338" s="91">
        <f>IF($E338="","",L338*K338)</f>
        <v/>
      </c>
      <c r="R338" s="91">
        <f>IF($E338="","",F338*K338)</f>
        <v/>
      </c>
      <c r="S338" s="91">
        <f>IF($E338="","",M338*K338)</f>
        <v/>
      </c>
      <c r="T338" s="63">
        <f>IF(OR($E338="",B338=0),"",L338/B338*10000)</f>
        <v/>
      </c>
      <c r="U338" s="63">
        <f>IF(OR($E338="",C338=0),"",F338/C338*10000)</f>
        <v/>
      </c>
      <c r="V338" s="63">
        <f>IF(OR($E338="",D338=0),"",M338/D338*10000)</f>
        <v/>
      </c>
    </row>
    <row r="339">
      <c r="A339" s="35" t="n">
        <v>45993</v>
      </c>
      <c r="B339" s="90">
        <f>'Daily Data'!B339</f>
        <v/>
      </c>
      <c r="C339" s="90">
        <f>'Daily Data'!D339</f>
        <v/>
      </c>
      <c r="D339" s="90">
        <f>'Daily Data'!C339</f>
        <v/>
      </c>
      <c r="E339" s="90">
        <f>IF('Daily Data'!E339="","",'Daily Data'!E339)</f>
        <v/>
      </c>
      <c r="F339" s="90">
        <f>IF($E339="","",'Daily Data'!F339)</f>
        <v/>
      </c>
      <c r="G339" s="90">
        <f>IF($E339="","",'Daily Data'!G339)</f>
        <v/>
      </c>
      <c r="H339" s="91">
        <f>IF($E339="","",(1-K339)*F339-G339)</f>
        <v/>
      </c>
      <c r="I339" s="90">
        <f>IF($E339="","",'Daily Data'!H339)</f>
        <v/>
      </c>
      <c r="J339" s="91">
        <f>IF($E339="","",E339-H339-I339)</f>
        <v/>
      </c>
      <c r="K339" s="60">
        <f>IF($E339="","",IF(A339&lt;HLP_ChangeDate,HLP_Legacy,HLP_Current))</f>
        <v/>
      </c>
      <c r="L339" s="91">
        <f>IF($E339="","",J339/(1-K339))</f>
        <v/>
      </c>
      <c r="M339" s="90">
        <f>IF($E339="","",'Daily Data'!I339)</f>
        <v/>
      </c>
      <c r="N339" s="91">
        <f>IF($E339="","",M339*(1-K339)-I339)</f>
        <v/>
      </c>
      <c r="O339" s="92" t="n">
        <v>316977</v>
      </c>
      <c r="P339" s="93">
        <f>IF($E339="","",(L339+F339+M339)*K339)</f>
        <v/>
      </c>
      <c r="Q339" s="91">
        <f>IF($E339="","",L339*K339)</f>
        <v/>
      </c>
      <c r="R339" s="91">
        <f>IF($E339="","",F339*K339)</f>
        <v/>
      </c>
      <c r="S339" s="91">
        <f>IF($E339="","",M339*K339)</f>
        <v/>
      </c>
      <c r="T339" s="63">
        <f>IF(OR($E339="",B339=0),"",L339/B339*10000)</f>
        <v/>
      </c>
      <c r="U339" s="63">
        <f>IF(OR($E339="",C339=0),"",F339/C339*10000)</f>
        <v/>
      </c>
      <c r="V339" s="63">
        <f>IF(OR($E339="",D339=0),"",M339/D339*10000)</f>
        <v/>
      </c>
    </row>
    <row r="340">
      <c r="A340" s="35" t="n">
        <v>45994</v>
      </c>
      <c r="B340" s="90">
        <f>'Daily Data'!B340</f>
        <v/>
      </c>
      <c r="C340" s="90">
        <f>'Daily Data'!D340</f>
        <v/>
      </c>
      <c r="D340" s="90">
        <f>'Daily Data'!C340</f>
        <v/>
      </c>
      <c r="E340" s="90">
        <f>IF('Daily Data'!E340="","",'Daily Data'!E340)</f>
        <v/>
      </c>
      <c r="F340" s="90">
        <f>IF($E340="","",'Daily Data'!F340)</f>
        <v/>
      </c>
      <c r="G340" s="90">
        <f>IF($E340="","",'Daily Data'!G340)</f>
        <v/>
      </c>
      <c r="H340" s="91">
        <f>IF($E340="","",(1-K340)*F340-G340)</f>
        <v/>
      </c>
      <c r="I340" s="90">
        <f>IF($E340="","",'Daily Data'!H340)</f>
        <v/>
      </c>
      <c r="J340" s="91">
        <f>IF($E340="","",E340-H340-I340)</f>
        <v/>
      </c>
      <c r="K340" s="60">
        <f>IF($E340="","",IF(A340&lt;HLP_ChangeDate,HLP_Legacy,HLP_Current))</f>
        <v/>
      </c>
      <c r="L340" s="91">
        <f>IF($E340="","",J340/(1-K340))</f>
        <v/>
      </c>
      <c r="M340" s="90">
        <f>IF($E340="","",'Daily Data'!I340)</f>
        <v/>
      </c>
      <c r="N340" s="91">
        <f>IF($E340="","",M340*(1-K340)-I340)</f>
        <v/>
      </c>
      <c r="O340" s="92" t="n">
        <v>290977</v>
      </c>
      <c r="P340" s="93">
        <f>IF($E340="","",(L340+F340+M340)*K340)</f>
        <v/>
      </c>
      <c r="Q340" s="91">
        <f>IF($E340="","",L340*K340)</f>
        <v/>
      </c>
      <c r="R340" s="91">
        <f>IF($E340="","",F340*K340)</f>
        <v/>
      </c>
      <c r="S340" s="91">
        <f>IF($E340="","",M340*K340)</f>
        <v/>
      </c>
      <c r="T340" s="63">
        <f>IF(OR($E340="",B340=0),"",L340/B340*10000)</f>
        <v/>
      </c>
      <c r="U340" s="63">
        <f>IF(OR($E340="",C340=0),"",F340/C340*10000)</f>
        <v/>
      </c>
      <c r="V340" s="63">
        <f>IF(OR($E340="",D340=0),"",M340/D340*10000)</f>
        <v/>
      </c>
    </row>
    <row r="341">
      <c r="A341" s="35" t="n">
        <v>45995</v>
      </c>
      <c r="B341" s="90">
        <f>'Daily Data'!B341</f>
        <v/>
      </c>
      <c r="C341" s="90">
        <f>'Daily Data'!D341</f>
        <v/>
      </c>
      <c r="D341" s="90">
        <f>'Daily Data'!C341</f>
        <v/>
      </c>
      <c r="E341" s="90">
        <f>IF('Daily Data'!E341="","",'Daily Data'!E341)</f>
        <v/>
      </c>
      <c r="F341" s="90">
        <f>IF($E341="","",'Daily Data'!F341)</f>
        <v/>
      </c>
      <c r="G341" s="90">
        <f>IF($E341="","",'Daily Data'!G341)</f>
        <v/>
      </c>
      <c r="H341" s="91">
        <f>IF($E341="","",(1-K341)*F341-G341)</f>
        <v/>
      </c>
      <c r="I341" s="90">
        <f>IF($E341="","",'Daily Data'!H341)</f>
        <v/>
      </c>
      <c r="J341" s="91">
        <f>IF($E341="","",E341-H341-I341)</f>
        <v/>
      </c>
      <c r="K341" s="60">
        <f>IF($E341="","",IF(A341&lt;HLP_ChangeDate,HLP_Legacy,HLP_Current))</f>
        <v/>
      </c>
      <c r="L341" s="91">
        <f>IF($E341="","",J341/(1-K341))</f>
        <v/>
      </c>
      <c r="M341" s="90">
        <f>IF($E341="","",'Daily Data'!I341)</f>
        <v/>
      </c>
      <c r="N341" s="91">
        <f>IF($E341="","",M341*(1-K341)-I341)</f>
        <v/>
      </c>
      <c r="O341" s="92" t="n">
        <v>267832</v>
      </c>
      <c r="P341" s="93">
        <f>IF($E341="","",(L341+F341+M341)*K341)</f>
        <v/>
      </c>
      <c r="Q341" s="91">
        <f>IF($E341="","",L341*K341)</f>
        <v/>
      </c>
      <c r="R341" s="91">
        <f>IF($E341="","",F341*K341)</f>
        <v/>
      </c>
      <c r="S341" s="91">
        <f>IF($E341="","",M341*K341)</f>
        <v/>
      </c>
      <c r="T341" s="63">
        <f>IF(OR($E341="",B341=0),"",L341/B341*10000)</f>
        <v/>
      </c>
      <c r="U341" s="63">
        <f>IF(OR($E341="",C341=0),"",F341/C341*10000)</f>
        <v/>
      </c>
      <c r="V341" s="63">
        <f>IF(OR($E341="",D341=0),"",M341/D341*10000)</f>
        <v/>
      </c>
    </row>
    <row r="342">
      <c r="A342" s="35" t="n">
        <v>45996</v>
      </c>
      <c r="B342" s="90">
        <f>'Daily Data'!B342</f>
        <v/>
      </c>
      <c r="C342" s="90">
        <f>'Daily Data'!D342</f>
        <v/>
      </c>
      <c r="D342" s="90">
        <f>'Daily Data'!C342</f>
        <v/>
      </c>
      <c r="E342" s="90">
        <f>IF('Daily Data'!E342="","",'Daily Data'!E342)</f>
        <v/>
      </c>
      <c r="F342" s="90">
        <f>IF($E342="","",'Daily Data'!F342)</f>
        <v/>
      </c>
      <c r="G342" s="90">
        <f>IF($E342="","",'Daily Data'!G342)</f>
        <v/>
      </c>
      <c r="H342" s="91">
        <f>IF($E342="","",(1-K342)*F342-G342)</f>
        <v/>
      </c>
      <c r="I342" s="90">
        <f>IF($E342="","",'Daily Data'!H342)</f>
        <v/>
      </c>
      <c r="J342" s="91">
        <f>IF($E342="","",E342-H342-I342)</f>
        <v/>
      </c>
      <c r="K342" s="60">
        <f>IF($E342="","",IF(A342&lt;HLP_ChangeDate,HLP_Legacy,HLP_Current))</f>
        <v/>
      </c>
      <c r="L342" s="91">
        <f>IF($E342="","",J342/(1-K342))</f>
        <v/>
      </c>
      <c r="M342" s="90">
        <f>IF($E342="","",'Daily Data'!I342)</f>
        <v/>
      </c>
      <c r="N342" s="91">
        <f>IF($E342="","",M342*(1-K342)-I342)</f>
        <v/>
      </c>
      <c r="O342" s="92" t="n">
        <v>238590</v>
      </c>
      <c r="P342" s="93">
        <f>IF($E342="","",(L342+F342+M342)*K342)</f>
        <v/>
      </c>
      <c r="Q342" s="91">
        <f>IF($E342="","",L342*K342)</f>
        <v/>
      </c>
      <c r="R342" s="91">
        <f>IF($E342="","",F342*K342)</f>
        <v/>
      </c>
      <c r="S342" s="91">
        <f>IF($E342="","",M342*K342)</f>
        <v/>
      </c>
      <c r="T342" s="63">
        <f>IF(OR($E342="",B342=0),"",L342/B342*10000)</f>
        <v/>
      </c>
      <c r="U342" s="63">
        <f>IF(OR($E342="",C342=0),"",F342/C342*10000)</f>
        <v/>
      </c>
      <c r="V342" s="63">
        <f>IF(OR($E342="",D342=0),"",M342/D342*10000)</f>
        <v/>
      </c>
    </row>
    <row r="343">
      <c r="A343" s="35" t="n">
        <v>45997</v>
      </c>
      <c r="B343" s="90">
        <f>'Daily Data'!B343</f>
        <v/>
      </c>
      <c r="C343" s="90">
        <f>'Daily Data'!D343</f>
        <v/>
      </c>
      <c r="D343" s="90">
        <f>'Daily Data'!C343</f>
        <v/>
      </c>
      <c r="E343" s="90">
        <f>IF('Daily Data'!E343="","",'Daily Data'!E343)</f>
        <v/>
      </c>
      <c r="F343" s="90">
        <f>IF($E343="","",'Daily Data'!F343)</f>
        <v/>
      </c>
      <c r="G343" s="90">
        <f>IF($E343="","",'Daily Data'!G343)</f>
        <v/>
      </c>
      <c r="H343" s="91">
        <f>IF($E343="","",(1-K343)*F343-G343)</f>
        <v/>
      </c>
      <c r="I343" s="90">
        <f>IF($E343="","",'Daily Data'!H343)</f>
        <v/>
      </c>
      <c r="J343" s="91">
        <f>IF($E343="","",E343-H343-I343)</f>
        <v/>
      </c>
      <c r="K343" s="60">
        <f>IF($E343="","",IF(A343&lt;HLP_ChangeDate,HLP_Legacy,HLP_Current))</f>
        <v/>
      </c>
      <c r="L343" s="91">
        <f>IF($E343="","",J343/(1-K343))</f>
        <v/>
      </c>
      <c r="M343" s="90">
        <f>IF($E343="","",'Daily Data'!I343)</f>
        <v/>
      </c>
      <c r="N343" s="91">
        <f>IF($E343="","",M343*(1-K343)-I343)</f>
        <v/>
      </c>
      <c r="O343" s="92" t="n">
        <v>105260</v>
      </c>
      <c r="P343" s="93">
        <f>IF($E343="","",(L343+F343+M343)*K343)</f>
        <v/>
      </c>
      <c r="Q343" s="91">
        <f>IF($E343="","",L343*K343)</f>
        <v/>
      </c>
      <c r="R343" s="91">
        <f>IF($E343="","",F343*K343)</f>
        <v/>
      </c>
      <c r="S343" s="91">
        <f>IF($E343="","",M343*K343)</f>
        <v/>
      </c>
      <c r="T343" s="63">
        <f>IF(OR($E343="",B343=0),"",L343/B343*10000)</f>
        <v/>
      </c>
      <c r="U343" s="63">
        <f>IF(OR($E343="",C343=0),"",F343/C343*10000)</f>
        <v/>
      </c>
      <c r="V343" s="63">
        <f>IF(OR($E343="",D343=0),"",M343/D343*10000)</f>
        <v/>
      </c>
    </row>
    <row r="344">
      <c r="A344" s="35" t="n">
        <v>45998</v>
      </c>
      <c r="B344" s="90">
        <f>'Daily Data'!B344</f>
        <v/>
      </c>
      <c r="C344" s="90">
        <f>'Daily Data'!D344</f>
        <v/>
      </c>
      <c r="D344" s="90">
        <f>'Daily Data'!C344</f>
        <v/>
      </c>
      <c r="E344" s="90">
        <f>IF('Daily Data'!E344="","",'Daily Data'!E344)</f>
        <v/>
      </c>
      <c r="F344" s="90">
        <f>IF($E344="","",'Daily Data'!F344)</f>
        <v/>
      </c>
      <c r="G344" s="90">
        <f>IF($E344="","",'Daily Data'!G344)</f>
        <v/>
      </c>
      <c r="H344" s="91">
        <f>IF($E344="","",(1-K344)*F344-G344)</f>
        <v/>
      </c>
      <c r="I344" s="90">
        <f>IF($E344="","",'Daily Data'!H344)</f>
        <v/>
      </c>
      <c r="J344" s="91">
        <f>IF($E344="","",E344-H344-I344)</f>
        <v/>
      </c>
      <c r="K344" s="60">
        <f>IF($E344="","",IF(A344&lt;HLP_ChangeDate,HLP_Legacy,HLP_Current))</f>
        <v/>
      </c>
      <c r="L344" s="91">
        <f>IF($E344="","",J344/(1-K344))</f>
        <v/>
      </c>
      <c r="M344" s="90">
        <f>IF($E344="","",'Daily Data'!I344)</f>
        <v/>
      </c>
      <c r="N344" s="91">
        <f>IF($E344="","",M344*(1-K344)-I344)</f>
        <v/>
      </c>
      <c r="O344" s="92" t="n">
        <v>183788</v>
      </c>
      <c r="P344" s="93">
        <f>IF($E344="","",(L344+F344+M344)*K344)</f>
        <v/>
      </c>
      <c r="Q344" s="91">
        <f>IF($E344="","",L344*K344)</f>
        <v/>
      </c>
      <c r="R344" s="91">
        <f>IF($E344="","",F344*K344)</f>
        <v/>
      </c>
      <c r="S344" s="91">
        <f>IF($E344="","",M344*K344)</f>
        <v/>
      </c>
      <c r="T344" s="63">
        <f>IF(OR($E344="",B344=0),"",L344/B344*10000)</f>
        <v/>
      </c>
      <c r="U344" s="63">
        <f>IF(OR($E344="",C344=0),"",F344/C344*10000)</f>
        <v/>
      </c>
      <c r="V344" s="63">
        <f>IF(OR($E344="",D344=0),"",M344/D344*10000)</f>
        <v/>
      </c>
    </row>
    <row r="345">
      <c r="A345" s="35" t="n">
        <v>45999</v>
      </c>
      <c r="B345" s="90">
        <f>'Daily Data'!B345</f>
        <v/>
      </c>
      <c r="C345" s="90">
        <f>'Daily Data'!D345</f>
        <v/>
      </c>
      <c r="D345" s="90">
        <f>'Daily Data'!C345</f>
        <v/>
      </c>
      <c r="E345" s="90">
        <f>IF('Daily Data'!E345="","",'Daily Data'!E345)</f>
        <v/>
      </c>
      <c r="F345" s="90">
        <f>IF($E345="","",'Daily Data'!F345)</f>
        <v/>
      </c>
      <c r="G345" s="90">
        <f>IF($E345="","",'Daily Data'!G345)</f>
        <v/>
      </c>
      <c r="H345" s="91">
        <f>IF($E345="","",(1-K345)*F345-G345)</f>
        <v/>
      </c>
      <c r="I345" s="90">
        <f>IF($E345="","",'Daily Data'!H345)</f>
        <v/>
      </c>
      <c r="J345" s="91">
        <f>IF($E345="","",E345-H345-I345)</f>
        <v/>
      </c>
      <c r="K345" s="60">
        <f>IF($E345="","",IF(A345&lt;HLP_ChangeDate,HLP_Legacy,HLP_Current))</f>
        <v/>
      </c>
      <c r="L345" s="91">
        <f>IF($E345="","",J345/(1-K345))</f>
        <v/>
      </c>
      <c r="M345" s="90">
        <f>IF($E345="","",'Daily Data'!I345)</f>
        <v/>
      </c>
      <c r="N345" s="91">
        <f>IF($E345="","",M345*(1-K345)-I345)</f>
        <v/>
      </c>
      <c r="O345" s="92" t="n">
        <v>225480</v>
      </c>
      <c r="P345" s="93">
        <f>IF($E345="","",(L345+F345+M345)*K345)</f>
        <v/>
      </c>
      <c r="Q345" s="91">
        <f>IF($E345="","",L345*K345)</f>
        <v/>
      </c>
      <c r="R345" s="91">
        <f>IF($E345="","",F345*K345)</f>
        <v/>
      </c>
      <c r="S345" s="91">
        <f>IF($E345="","",M345*K345)</f>
        <v/>
      </c>
      <c r="T345" s="63">
        <f>IF(OR($E345="",B345=0),"",L345/B345*10000)</f>
        <v/>
      </c>
      <c r="U345" s="63">
        <f>IF(OR($E345="",C345=0),"",F345/C345*10000)</f>
        <v/>
      </c>
      <c r="V345" s="63">
        <f>IF(OR($E345="",D345=0),"",M345/D345*10000)</f>
        <v/>
      </c>
    </row>
    <row r="346">
      <c r="A346" s="35" t="n">
        <v>46000</v>
      </c>
      <c r="B346" s="90">
        <f>'Daily Data'!B346</f>
        <v/>
      </c>
      <c r="C346" s="90">
        <f>'Daily Data'!D346</f>
        <v/>
      </c>
      <c r="D346" s="90">
        <f>'Daily Data'!C346</f>
        <v/>
      </c>
      <c r="E346" s="90">
        <f>IF('Daily Data'!E346="","",'Daily Data'!E346)</f>
        <v/>
      </c>
      <c r="F346" s="90">
        <f>IF($E346="","",'Daily Data'!F346)</f>
        <v/>
      </c>
      <c r="G346" s="90">
        <f>IF($E346="","",'Daily Data'!G346)</f>
        <v/>
      </c>
      <c r="H346" s="91">
        <f>IF($E346="","",(1-K346)*F346-G346)</f>
        <v/>
      </c>
      <c r="I346" s="90">
        <f>IF($E346="","",'Daily Data'!H346)</f>
        <v/>
      </c>
      <c r="J346" s="91">
        <f>IF($E346="","",E346-H346-I346)</f>
        <v/>
      </c>
      <c r="K346" s="60">
        <f>IF($E346="","",IF(A346&lt;HLP_ChangeDate,HLP_Legacy,HLP_Current))</f>
        <v/>
      </c>
      <c r="L346" s="91">
        <f>IF($E346="","",J346/(1-K346))</f>
        <v/>
      </c>
      <c r="M346" s="90">
        <f>IF($E346="","",'Daily Data'!I346)</f>
        <v/>
      </c>
      <c r="N346" s="91">
        <f>IF($E346="","",M346*(1-K346)-I346)</f>
        <v/>
      </c>
      <c r="O346" s="92" t="n">
        <v>243683</v>
      </c>
      <c r="P346" s="93">
        <f>IF($E346="","",(L346+F346+M346)*K346)</f>
        <v/>
      </c>
      <c r="Q346" s="91">
        <f>IF($E346="","",L346*K346)</f>
        <v/>
      </c>
      <c r="R346" s="91">
        <f>IF($E346="","",F346*K346)</f>
        <v/>
      </c>
      <c r="S346" s="91">
        <f>IF($E346="","",M346*K346)</f>
        <v/>
      </c>
      <c r="T346" s="63">
        <f>IF(OR($E346="",B346=0),"",L346/B346*10000)</f>
        <v/>
      </c>
      <c r="U346" s="63">
        <f>IF(OR($E346="",C346=0),"",F346/C346*10000)</f>
        <v/>
      </c>
      <c r="V346" s="63">
        <f>IF(OR($E346="",D346=0),"",M346/D346*10000)</f>
        <v/>
      </c>
    </row>
    <row r="347">
      <c r="A347" s="35" t="n">
        <v>46001</v>
      </c>
      <c r="B347" s="90">
        <f>'Daily Data'!B347</f>
        <v/>
      </c>
      <c r="C347" s="90">
        <f>'Daily Data'!D347</f>
        <v/>
      </c>
      <c r="D347" s="90">
        <f>'Daily Data'!C347</f>
        <v/>
      </c>
      <c r="E347" s="90">
        <f>IF('Daily Data'!E347="","",'Daily Data'!E347)</f>
        <v/>
      </c>
      <c r="F347" s="90">
        <f>IF($E347="","",'Daily Data'!F347)</f>
        <v/>
      </c>
      <c r="G347" s="90">
        <f>IF($E347="","",'Daily Data'!G347)</f>
        <v/>
      </c>
      <c r="H347" s="91">
        <f>IF($E347="","",(1-K347)*F347-G347)</f>
        <v/>
      </c>
      <c r="I347" s="90">
        <f>IF($E347="","",'Daily Data'!H347)</f>
        <v/>
      </c>
      <c r="J347" s="91">
        <f>IF($E347="","",E347-H347-I347)</f>
        <v/>
      </c>
      <c r="K347" s="60">
        <f>IF($E347="","",IF(A347&lt;HLP_ChangeDate,HLP_Legacy,HLP_Current))</f>
        <v/>
      </c>
      <c r="L347" s="91">
        <f>IF($E347="","",J347/(1-K347))</f>
        <v/>
      </c>
      <c r="M347" s="90">
        <f>IF($E347="","",'Daily Data'!I347)</f>
        <v/>
      </c>
      <c r="N347" s="91">
        <f>IF($E347="","",M347*(1-K347)-I347)</f>
        <v/>
      </c>
      <c r="O347" s="92" t="n">
        <v>237352</v>
      </c>
      <c r="P347" s="93">
        <f>IF($E347="","",(L347+F347+M347)*K347)</f>
        <v/>
      </c>
      <c r="Q347" s="91">
        <f>IF($E347="","",L347*K347)</f>
        <v/>
      </c>
      <c r="R347" s="91">
        <f>IF($E347="","",F347*K347)</f>
        <v/>
      </c>
      <c r="S347" s="91">
        <f>IF($E347="","",M347*K347)</f>
        <v/>
      </c>
      <c r="T347" s="63">
        <f>IF(OR($E347="",B347=0),"",L347/B347*10000)</f>
        <v/>
      </c>
      <c r="U347" s="63">
        <f>IF(OR($E347="",C347=0),"",F347/C347*10000)</f>
        <v/>
      </c>
      <c r="V347" s="63">
        <f>IF(OR($E347="",D347=0),"",M347/D347*10000)</f>
        <v/>
      </c>
    </row>
    <row r="348">
      <c r="A348" s="35" t="n">
        <v>46002</v>
      </c>
      <c r="B348" s="90">
        <f>'Daily Data'!B348</f>
        <v/>
      </c>
      <c r="C348" s="90">
        <f>'Daily Data'!D348</f>
        <v/>
      </c>
      <c r="D348" s="90">
        <f>'Daily Data'!C348</f>
        <v/>
      </c>
      <c r="E348" s="90">
        <f>IF('Daily Data'!E348="","",'Daily Data'!E348)</f>
        <v/>
      </c>
      <c r="F348" s="90">
        <f>IF($E348="","",'Daily Data'!F348)</f>
        <v/>
      </c>
      <c r="G348" s="90">
        <f>IF($E348="","",'Daily Data'!G348)</f>
        <v/>
      </c>
      <c r="H348" s="91">
        <f>IF($E348="","",(1-K348)*F348-G348)</f>
        <v/>
      </c>
      <c r="I348" s="90">
        <f>IF($E348="","",'Daily Data'!H348)</f>
        <v/>
      </c>
      <c r="J348" s="91">
        <f>IF($E348="","",E348-H348-I348)</f>
        <v/>
      </c>
      <c r="K348" s="60">
        <f>IF($E348="","",IF(A348&lt;HLP_ChangeDate,HLP_Legacy,HLP_Current))</f>
        <v/>
      </c>
      <c r="L348" s="91">
        <f>IF($E348="","",J348/(1-K348))</f>
        <v/>
      </c>
      <c r="M348" s="90">
        <f>IF($E348="","",'Daily Data'!I348)</f>
        <v/>
      </c>
      <c r="N348" s="91">
        <f>IF($E348="","",M348*(1-K348)-I348)</f>
        <v/>
      </c>
      <c r="O348" s="92" t="n">
        <v>227153</v>
      </c>
      <c r="P348" s="93">
        <f>IF($E348="","",(L348+F348+M348)*K348)</f>
        <v/>
      </c>
      <c r="Q348" s="91">
        <f>IF($E348="","",L348*K348)</f>
        <v/>
      </c>
      <c r="R348" s="91">
        <f>IF($E348="","",F348*K348)</f>
        <v/>
      </c>
      <c r="S348" s="91">
        <f>IF($E348="","",M348*K348)</f>
        <v/>
      </c>
      <c r="T348" s="63">
        <f>IF(OR($E348="",B348=0),"",L348/B348*10000)</f>
        <v/>
      </c>
      <c r="U348" s="63">
        <f>IF(OR($E348="",C348=0),"",F348/C348*10000)</f>
        <v/>
      </c>
      <c r="V348" s="63">
        <f>IF(OR($E348="",D348=0),"",M348/D348*10000)</f>
        <v/>
      </c>
    </row>
    <row r="349">
      <c r="A349" s="35" t="n">
        <v>46003</v>
      </c>
      <c r="B349" s="90">
        <f>'Daily Data'!B349</f>
        <v/>
      </c>
      <c r="C349" s="90">
        <f>'Daily Data'!D349</f>
        <v/>
      </c>
      <c r="D349" s="90">
        <f>'Daily Data'!C349</f>
        <v/>
      </c>
      <c r="E349" s="90">
        <f>IF('Daily Data'!E349="","",'Daily Data'!E349)</f>
        <v/>
      </c>
      <c r="F349" s="90">
        <f>IF($E349="","",'Daily Data'!F349)</f>
        <v/>
      </c>
      <c r="G349" s="90">
        <f>IF($E349="","",'Daily Data'!G349)</f>
        <v/>
      </c>
      <c r="H349" s="91">
        <f>IF($E349="","",(1-K349)*F349-G349)</f>
        <v/>
      </c>
      <c r="I349" s="90">
        <f>IF($E349="","",'Daily Data'!H349)</f>
        <v/>
      </c>
      <c r="J349" s="91">
        <f>IF($E349="","",E349-H349-I349)</f>
        <v/>
      </c>
      <c r="K349" s="60">
        <f>IF($E349="","",IF(A349&lt;HLP_ChangeDate,HLP_Legacy,HLP_Current))</f>
        <v/>
      </c>
      <c r="L349" s="91">
        <f>IF($E349="","",J349/(1-K349))</f>
        <v/>
      </c>
      <c r="M349" s="90">
        <f>IF($E349="","",'Daily Data'!I349)</f>
        <v/>
      </c>
      <c r="N349" s="91">
        <f>IF($E349="","",M349*(1-K349)-I349)</f>
        <v/>
      </c>
      <c r="O349" s="92" t="n">
        <v>172545</v>
      </c>
      <c r="P349" s="93">
        <f>IF($E349="","",(L349+F349+M349)*K349)</f>
        <v/>
      </c>
      <c r="Q349" s="91">
        <f>IF($E349="","",L349*K349)</f>
        <v/>
      </c>
      <c r="R349" s="91">
        <f>IF($E349="","",F349*K349)</f>
        <v/>
      </c>
      <c r="S349" s="91">
        <f>IF($E349="","",M349*K349)</f>
        <v/>
      </c>
      <c r="T349" s="63">
        <f>IF(OR($E349="",B349=0),"",L349/B349*10000)</f>
        <v/>
      </c>
      <c r="U349" s="63">
        <f>IF(OR($E349="",C349=0),"",F349/C349*10000)</f>
        <v/>
      </c>
      <c r="V349" s="63">
        <f>IF(OR($E349="",D349=0),"",M349/D349*10000)</f>
        <v/>
      </c>
    </row>
    <row r="350">
      <c r="A350" s="35" t="n">
        <v>46004</v>
      </c>
      <c r="B350" s="90">
        <f>'Daily Data'!B350</f>
        <v/>
      </c>
      <c r="C350" s="90">
        <f>'Daily Data'!D350</f>
        <v/>
      </c>
      <c r="D350" s="90">
        <f>'Daily Data'!C350</f>
        <v/>
      </c>
      <c r="E350" s="90">
        <f>IF('Daily Data'!E350="","",'Daily Data'!E350)</f>
        <v/>
      </c>
      <c r="F350" s="90">
        <f>IF($E350="","",'Daily Data'!F350)</f>
        <v/>
      </c>
      <c r="G350" s="90">
        <f>IF($E350="","",'Daily Data'!G350)</f>
        <v/>
      </c>
      <c r="H350" s="91">
        <f>IF($E350="","",(1-K350)*F350-G350)</f>
        <v/>
      </c>
      <c r="I350" s="90">
        <f>IF($E350="","",'Daily Data'!H350)</f>
        <v/>
      </c>
      <c r="J350" s="91">
        <f>IF($E350="","",E350-H350-I350)</f>
        <v/>
      </c>
      <c r="K350" s="60">
        <f>IF($E350="","",IF(A350&lt;HLP_ChangeDate,HLP_Legacy,HLP_Current))</f>
        <v/>
      </c>
      <c r="L350" s="91">
        <f>IF($E350="","",J350/(1-K350))</f>
        <v/>
      </c>
      <c r="M350" s="90">
        <f>IF($E350="","",'Daily Data'!I350)</f>
        <v/>
      </c>
      <c r="N350" s="91">
        <f>IF($E350="","",M350*(1-K350)-I350)</f>
        <v/>
      </c>
      <c r="O350" s="92" t="n">
        <v>73853</v>
      </c>
      <c r="P350" s="93">
        <f>IF($E350="","",(L350+F350+M350)*K350)</f>
        <v/>
      </c>
      <c r="Q350" s="91">
        <f>IF($E350="","",L350*K350)</f>
        <v/>
      </c>
      <c r="R350" s="91">
        <f>IF($E350="","",F350*K350)</f>
        <v/>
      </c>
      <c r="S350" s="91">
        <f>IF($E350="","",M350*K350)</f>
        <v/>
      </c>
      <c r="T350" s="63">
        <f>IF(OR($E350="",B350=0),"",L350/B350*10000)</f>
        <v/>
      </c>
      <c r="U350" s="63">
        <f>IF(OR($E350="",C350=0),"",F350/C350*10000)</f>
        <v/>
      </c>
      <c r="V350" s="63">
        <f>IF(OR($E350="",D350=0),"",M350/D350*10000)</f>
        <v/>
      </c>
    </row>
    <row r="351">
      <c r="A351" s="35" t="n">
        <v>46005</v>
      </c>
      <c r="B351" s="90">
        <f>'Daily Data'!B351</f>
        <v/>
      </c>
      <c r="C351" s="90">
        <f>'Daily Data'!D351</f>
        <v/>
      </c>
      <c r="D351" s="90">
        <f>'Daily Data'!C351</f>
        <v/>
      </c>
      <c r="E351" s="90">
        <f>IF('Daily Data'!E351="","",'Daily Data'!E351)</f>
        <v/>
      </c>
      <c r="F351" s="90">
        <f>IF($E351="","",'Daily Data'!F351)</f>
        <v/>
      </c>
      <c r="G351" s="90">
        <f>IF($E351="","",'Daily Data'!G351)</f>
        <v/>
      </c>
      <c r="H351" s="91">
        <f>IF($E351="","",(1-K351)*F351-G351)</f>
        <v/>
      </c>
      <c r="I351" s="90">
        <f>IF($E351="","",'Daily Data'!H351)</f>
        <v/>
      </c>
      <c r="J351" s="91">
        <f>IF($E351="","",E351-H351-I351)</f>
        <v/>
      </c>
      <c r="K351" s="60">
        <f>IF($E351="","",IF(A351&lt;HLP_ChangeDate,HLP_Legacy,HLP_Current))</f>
        <v/>
      </c>
      <c r="L351" s="91">
        <f>IF($E351="","",J351/(1-K351))</f>
        <v/>
      </c>
      <c r="M351" s="90">
        <f>IF($E351="","",'Daily Data'!I351)</f>
        <v/>
      </c>
      <c r="N351" s="91">
        <f>IF($E351="","",M351*(1-K351)-I351)</f>
        <v/>
      </c>
      <c r="O351" s="92" t="n">
        <v>143800</v>
      </c>
      <c r="P351" s="93">
        <f>IF($E351="","",(L351+F351+M351)*K351)</f>
        <v/>
      </c>
      <c r="Q351" s="91">
        <f>IF($E351="","",L351*K351)</f>
        <v/>
      </c>
      <c r="R351" s="91">
        <f>IF($E351="","",F351*K351)</f>
        <v/>
      </c>
      <c r="S351" s="91">
        <f>IF($E351="","",M351*K351)</f>
        <v/>
      </c>
      <c r="T351" s="63">
        <f>IF(OR($E351="",B351=0),"",L351/B351*10000)</f>
        <v/>
      </c>
      <c r="U351" s="63">
        <f>IF(OR($E351="",C351=0),"",F351/C351*10000)</f>
        <v/>
      </c>
      <c r="V351" s="63">
        <f>IF(OR($E351="",D351=0),"",M351/D351*10000)</f>
        <v/>
      </c>
    </row>
    <row r="352">
      <c r="A352" s="35" t="n">
        <v>46006</v>
      </c>
      <c r="B352" s="90">
        <f>'Daily Data'!B352</f>
        <v/>
      </c>
      <c r="C352" s="90">
        <f>'Daily Data'!D352</f>
        <v/>
      </c>
      <c r="D352" s="90">
        <f>'Daily Data'!C352</f>
        <v/>
      </c>
      <c r="E352" s="90">
        <f>IF('Daily Data'!E352="","",'Daily Data'!E352)</f>
        <v/>
      </c>
      <c r="F352" s="90">
        <f>IF($E352="","",'Daily Data'!F352)</f>
        <v/>
      </c>
      <c r="G352" s="90">
        <f>IF($E352="","",'Daily Data'!G352)</f>
        <v/>
      </c>
      <c r="H352" s="91">
        <f>IF($E352="","",(1-K352)*F352-G352)</f>
        <v/>
      </c>
      <c r="I352" s="90">
        <f>IF($E352="","",'Daily Data'!H352)</f>
        <v/>
      </c>
      <c r="J352" s="91">
        <f>IF($E352="","",E352-H352-I352)</f>
        <v/>
      </c>
      <c r="K352" s="60">
        <f>IF($E352="","",IF(A352&lt;HLP_ChangeDate,HLP_Legacy,HLP_Current))</f>
        <v/>
      </c>
      <c r="L352" s="91">
        <f>IF($E352="","",J352/(1-K352))</f>
        <v/>
      </c>
      <c r="M352" s="90">
        <f>IF($E352="","",'Daily Data'!I352)</f>
        <v/>
      </c>
      <c r="N352" s="91">
        <f>IF($E352="","",M352*(1-K352)-I352)</f>
        <v/>
      </c>
      <c r="O352" s="92" t="n">
        <v>223646</v>
      </c>
      <c r="P352" s="93">
        <f>IF($E352="","",(L352+F352+M352)*K352)</f>
        <v/>
      </c>
      <c r="Q352" s="91">
        <f>IF($E352="","",L352*K352)</f>
        <v/>
      </c>
      <c r="R352" s="91">
        <f>IF($E352="","",F352*K352)</f>
        <v/>
      </c>
      <c r="S352" s="91">
        <f>IF($E352="","",M352*K352)</f>
        <v/>
      </c>
      <c r="T352" s="63">
        <f>IF(OR($E352="",B352=0),"",L352/B352*10000)</f>
        <v/>
      </c>
      <c r="U352" s="63">
        <f>IF(OR($E352="",C352=0),"",F352/C352*10000)</f>
        <v/>
      </c>
      <c r="V352" s="63">
        <f>IF(OR($E352="",D352=0),"",M352/D352*10000)</f>
        <v/>
      </c>
    </row>
    <row r="353">
      <c r="A353" s="35" t="n">
        <v>46007</v>
      </c>
      <c r="B353" s="90">
        <f>'Daily Data'!B353</f>
        <v/>
      </c>
      <c r="C353" s="90">
        <f>'Daily Data'!D353</f>
        <v/>
      </c>
      <c r="D353" s="90">
        <f>'Daily Data'!C353</f>
        <v/>
      </c>
      <c r="E353" s="90">
        <f>IF('Daily Data'!E353="","",'Daily Data'!E353)</f>
        <v/>
      </c>
      <c r="F353" s="90">
        <f>IF($E353="","",'Daily Data'!F353)</f>
        <v/>
      </c>
      <c r="G353" s="90">
        <f>IF($E353="","",'Daily Data'!G353)</f>
        <v/>
      </c>
      <c r="H353" s="91">
        <f>IF($E353="","",(1-K353)*F353-G353)</f>
        <v/>
      </c>
      <c r="I353" s="90">
        <f>IF($E353="","",'Daily Data'!H353)</f>
        <v/>
      </c>
      <c r="J353" s="91">
        <f>IF($E353="","",E353-H353-I353)</f>
        <v/>
      </c>
      <c r="K353" s="60">
        <f>IF($E353="","",IF(A353&lt;HLP_ChangeDate,HLP_Legacy,HLP_Current))</f>
        <v/>
      </c>
      <c r="L353" s="91">
        <f>IF($E353="","",J353/(1-K353))</f>
        <v/>
      </c>
      <c r="M353" s="90">
        <f>IF($E353="","",'Daily Data'!I353)</f>
        <v/>
      </c>
      <c r="N353" s="91">
        <f>IF($E353="","",M353*(1-K353)-I353)</f>
        <v/>
      </c>
      <c r="O353" s="92" t="n">
        <v>182227</v>
      </c>
      <c r="P353" s="93">
        <f>IF($E353="","",(L353+F353+M353)*K353)</f>
        <v/>
      </c>
      <c r="Q353" s="91">
        <f>IF($E353="","",L353*K353)</f>
        <v/>
      </c>
      <c r="R353" s="91">
        <f>IF($E353="","",F353*K353)</f>
        <v/>
      </c>
      <c r="S353" s="91">
        <f>IF($E353="","",M353*K353)</f>
        <v/>
      </c>
      <c r="T353" s="63">
        <f>IF(OR($E353="",B353=0),"",L353/B353*10000)</f>
        <v/>
      </c>
      <c r="U353" s="63">
        <f>IF(OR($E353="",C353=0),"",F353/C353*10000)</f>
        <v/>
      </c>
      <c r="V353" s="63">
        <f>IF(OR($E353="",D353=0),"",M353/D353*10000)</f>
        <v/>
      </c>
    </row>
    <row r="354">
      <c r="A354" s="35" t="n">
        <v>46008</v>
      </c>
      <c r="B354" s="90">
        <f>'Daily Data'!B354</f>
        <v/>
      </c>
      <c r="C354" s="90">
        <f>'Daily Data'!D354</f>
        <v/>
      </c>
      <c r="D354" s="90">
        <f>'Daily Data'!C354</f>
        <v/>
      </c>
      <c r="E354" s="90">
        <f>IF('Daily Data'!E354="","",'Daily Data'!E354)</f>
        <v/>
      </c>
      <c r="F354" s="90">
        <f>IF($E354="","",'Daily Data'!F354)</f>
        <v/>
      </c>
      <c r="G354" s="90">
        <f>IF($E354="","",'Daily Data'!G354)</f>
        <v/>
      </c>
      <c r="H354" s="91">
        <f>IF($E354="","",(1-K354)*F354-G354)</f>
        <v/>
      </c>
      <c r="I354" s="90">
        <f>IF($E354="","",'Daily Data'!H354)</f>
        <v/>
      </c>
      <c r="J354" s="91">
        <f>IF($E354="","",E354-H354-I354)</f>
        <v/>
      </c>
      <c r="K354" s="60">
        <f>IF($E354="","",IF(A354&lt;HLP_ChangeDate,HLP_Legacy,HLP_Current))</f>
        <v/>
      </c>
      <c r="L354" s="91">
        <f>IF($E354="","",J354/(1-K354))</f>
        <v/>
      </c>
      <c r="M354" s="90">
        <f>IF($E354="","",'Daily Data'!I354)</f>
        <v/>
      </c>
      <c r="N354" s="91">
        <f>IF($E354="","",M354*(1-K354)-I354)</f>
        <v/>
      </c>
      <c r="O354" s="92" t="n">
        <v>252457</v>
      </c>
      <c r="P354" s="93">
        <f>IF($E354="","",(L354+F354+M354)*K354)</f>
        <v/>
      </c>
      <c r="Q354" s="91">
        <f>IF($E354="","",L354*K354)</f>
        <v/>
      </c>
      <c r="R354" s="91">
        <f>IF($E354="","",F354*K354)</f>
        <v/>
      </c>
      <c r="S354" s="91">
        <f>IF($E354="","",M354*K354)</f>
        <v/>
      </c>
      <c r="T354" s="63">
        <f>IF(OR($E354="",B354=0),"",L354/B354*10000)</f>
        <v/>
      </c>
      <c r="U354" s="63">
        <f>IF(OR($E354="",C354=0),"",F354/C354*10000)</f>
        <v/>
      </c>
      <c r="V354" s="63">
        <f>IF(OR($E354="",D354=0),"",M354/D354*10000)</f>
        <v/>
      </c>
    </row>
    <row r="355">
      <c r="A355" s="35" t="n">
        <v>46009</v>
      </c>
      <c r="B355" s="90">
        <f>'Daily Data'!B355</f>
        <v/>
      </c>
      <c r="C355" s="90">
        <f>'Daily Data'!D355</f>
        <v/>
      </c>
      <c r="D355" s="90">
        <f>'Daily Data'!C355</f>
        <v/>
      </c>
      <c r="E355" s="90">
        <f>IF('Daily Data'!E355="","",'Daily Data'!E355)</f>
        <v/>
      </c>
      <c r="F355" s="90">
        <f>IF($E355="","",'Daily Data'!F355)</f>
        <v/>
      </c>
      <c r="G355" s="90">
        <f>IF($E355="","",'Daily Data'!G355)</f>
        <v/>
      </c>
      <c r="H355" s="91">
        <f>IF($E355="","",(1-K355)*F355-G355)</f>
        <v/>
      </c>
      <c r="I355" s="90">
        <f>IF($E355="","",'Daily Data'!H355)</f>
        <v/>
      </c>
      <c r="J355" s="91">
        <f>IF($E355="","",E355-H355-I355)</f>
        <v/>
      </c>
      <c r="K355" s="60">
        <f>IF($E355="","",IF(A355&lt;HLP_ChangeDate,HLP_Legacy,HLP_Current))</f>
        <v/>
      </c>
      <c r="L355" s="91">
        <f>IF($E355="","",J355/(1-K355))</f>
        <v/>
      </c>
      <c r="M355" s="90">
        <f>IF($E355="","",'Daily Data'!I355)</f>
        <v/>
      </c>
      <c r="N355" s="91">
        <f>IF($E355="","",M355*(1-K355)-I355)</f>
        <v/>
      </c>
      <c r="O355" s="92" t="n">
        <v>248866</v>
      </c>
      <c r="P355" s="93">
        <f>IF($E355="","",(L355+F355+M355)*K355)</f>
        <v/>
      </c>
      <c r="Q355" s="91">
        <f>IF($E355="","",L355*K355)</f>
        <v/>
      </c>
      <c r="R355" s="91">
        <f>IF($E355="","",F355*K355)</f>
        <v/>
      </c>
      <c r="S355" s="91">
        <f>IF($E355="","",M355*K355)</f>
        <v/>
      </c>
      <c r="T355" s="63">
        <f>IF(OR($E355="",B355=0),"",L355/B355*10000)</f>
        <v/>
      </c>
      <c r="U355" s="63">
        <f>IF(OR($E355="",C355=0),"",F355/C355*10000)</f>
        <v/>
      </c>
      <c r="V355" s="63">
        <f>IF(OR($E355="",D355=0),"",M355/D355*10000)</f>
        <v/>
      </c>
    </row>
    <row r="356">
      <c r="A356" s="35" t="n">
        <v>46010</v>
      </c>
      <c r="B356" s="90">
        <f>'Daily Data'!B356</f>
        <v/>
      </c>
      <c r="C356" s="90">
        <f>'Daily Data'!D356</f>
        <v/>
      </c>
      <c r="D356" s="90">
        <f>'Daily Data'!C356</f>
        <v/>
      </c>
      <c r="E356" s="90">
        <f>IF('Daily Data'!E356="","",'Daily Data'!E356)</f>
        <v/>
      </c>
      <c r="F356" s="90">
        <f>IF($E356="","",'Daily Data'!F356)</f>
        <v/>
      </c>
      <c r="G356" s="90">
        <f>IF($E356="","",'Daily Data'!G356)</f>
        <v/>
      </c>
      <c r="H356" s="91">
        <f>IF($E356="","",(1-K356)*F356-G356)</f>
        <v/>
      </c>
      <c r="I356" s="90">
        <f>IF($E356="","",'Daily Data'!H356)</f>
        <v/>
      </c>
      <c r="J356" s="91">
        <f>IF($E356="","",E356-H356-I356)</f>
        <v/>
      </c>
      <c r="K356" s="60">
        <f>IF($E356="","",IF(A356&lt;HLP_ChangeDate,HLP_Legacy,HLP_Current))</f>
        <v/>
      </c>
      <c r="L356" s="91">
        <f>IF($E356="","",J356/(1-K356))</f>
        <v/>
      </c>
      <c r="M356" s="90">
        <f>IF($E356="","",'Daily Data'!I356)</f>
        <v/>
      </c>
      <c r="N356" s="91">
        <f>IF($E356="","",M356*(1-K356)-I356)</f>
        <v/>
      </c>
      <c r="O356" s="92" t="n">
        <v>214647</v>
      </c>
      <c r="P356" s="93">
        <f>IF($E356="","",(L356+F356+M356)*K356)</f>
        <v/>
      </c>
      <c r="Q356" s="91">
        <f>IF($E356="","",L356*K356)</f>
        <v/>
      </c>
      <c r="R356" s="91">
        <f>IF($E356="","",F356*K356)</f>
        <v/>
      </c>
      <c r="S356" s="91">
        <f>IF($E356="","",M356*K356)</f>
        <v/>
      </c>
      <c r="T356" s="63">
        <f>IF(OR($E356="",B356=0),"",L356/B356*10000)</f>
        <v/>
      </c>
      <c r="U356" s="63">
        <f>IF(OR($E356="",C356=0),"",F356/C356*10000)</f>
        <v/>
      </c>
      <c r="V356" s="63">
        <f>IF(OR($E356="",D356=0),"",M356/D356*10000)</f>
        <v/>
      </c>
    </row>
    <row r="357">
      <c r="A357" s="35" t="n">
        <v>46011</v>
      </c>
      <c r="B357" s="90">
        <f>'Daily Data'!B357</f>
        <v/>
      </c>
      <c r="C357" s="90">
        <f>'Daily Data'!D357</f>
        <v/>
      </c>
      <c r="D357" s="90">
        <f>'Daily Data'!C357</f>
        <v/>
      </c>
      <c r="E357" s="90">
        <f>IF('Daily Data'!E357="","",'Daily Data'!E357)</f>
        <v/>
      </c>
      <c r="F357" s="90">
        <f>IF($E357="","",'Daily Data'!F357)</f>
        <v/>
      </c>
      <c r="G357" s="90">
        <f>IF($E357="","",'Daily Data'!G357)</f>
        <v/>
      </c>
      <c r="H357" s="91">
        <f>IF($E357="","",(1-K357)*F357-G357)</f>
        <v/>
      </c>
      <c r="I357" s="90">
        <f>IF($E357="","",'Daily Data'!H357)</f>
        <v/>
      </c>
      <c r="J357" s="91">
        <f>IF($E357="","",E357-H357-I357)</f>
        <v/>
      </c>
      <c r="K357" s="60">
        <f>IF($E357="","",IF(A357&lt;HLP_ChangeDate,HLP_Legacy,HLP_Current))</f>
        <v/>
      </c>
      <c r="L357" s="91">
        <f>IF($E357="","",J357/(1-K357))</f>
        <v/>
      </c>
      <c r="M357" s="90">
        <f>IF($E357="","",'Daily Data'!I357)</f>
        <v/>
      </c>
      <c r="N357" s="91">
        <f>IF($E357="","",M357*(1-K357)-I357)</f>
        <v/>
      </c>
      <c r="O357" s="92" t="n">
        <v>81078</v>
      </c>
      <c r="P357" s="93">
        <f>IF($E357="","",(L357+F357+M357)*K357)</f>
        <v/>
      </c>
      <c r="Q357" s="91">
        <f>IF($E357="","",L357*K357)</f>
        <v/>
      </c>
      <c r="R357" s="91">
        <f>IF($E357="","",F357*K357)</f>
        <v/>
      </c>
      <c r="S357" s="91">
        <f>IF($E357="","",M357*K357)</f>
        <v/>
      </c>
      <c r="T357" s="63">
        <f>IF(OR($E357="",B357=0),"",L357/B357*10000)</f>
        <v/>
      </c>
      <c r="U357" s="63">
        <f>IF(OR($E357="",C357=0),"",F357/C357*10000)</f>
        <v/>
      </c>
      <c r="V357" s="63">
        <f>IF(OR($E357="",D357=0),"",M357/D357*10000)</f>
        <v/>
      </c>
    </row>
    <row r="358">
      <c r="A358" s="35" t="n">
        <v>46012</v>
      </c>
      <c r="B358" s="90">
        <f>'Daily Data'!B358</f>
        <v/>
      </c>
      <c r="C358" s="90">
        <f>'Daily Data'!D358</f>
        <v/>
      </c>
      <c r="D358" s="90">
        <f>'Daily Data'!C358</f>
        <v/>
      </c>
      <c r="E358" s="90">
        <f>IF('Daily Data'!E358="","",'Daily Data'!E358)</f>
        <v/>
      </c>
      <c r="F358" s="90">
        <f>IF($E358="","",'Daily Data'!F358)</f>
        <v/>
      </c>
      <c r="G358" s="90">
        <f>IF($E358="","",'Daily Data'!G358)</f>
        <v/>
      </c>
      <c r="H358" s="91">
        <f>IF($E358="","",(1-K358)*F358-G358)</f>
        <v/>
      </c>
      <c r="I358" s="90">
        <f>IF($E358="","",'Daily Data'!H358)</f>
        <v/>
      </c>
      <c r="J358" s="91">
        <f>IF($E358="","",E358-H358-I358)</f>
        <v/>
      </c>
      <c r="K358" s="60">
        <f>IF($E358="","",IF(A358&lt;HLP_ChangeDate,HLP_Legacy,HLP_Current))</f>
        <v/>
      </c>
      <c r="L358" s="91">
        <f>IF($E358="","",J358/(1-K358))</f>
        <v/>
      </c>
      <c r="M358" s="90">
        <f>IF($E358="","",'Daily Data'!I358)</f>
        <v/>
      </c>
      <c r="N358" s="91">
        <f>IF($E358="","",M358*(1-K358)-I358)</f>
        <v/>
      </c>
      <c r="O358" s="92" t="n">
        <v>100860</v>
      </c>
      <c r="P358" s="93">
        <f>IF($E358="","",(L358+F358+M358)*K358)</f>
        <v/>
      </c>
      <c r="Q358" s="91">
        <f>IF($E358="","",L358*K358)</f>
        <v/>
      </c>
      <c r="R358" s="91">
        <f>IF($E358="","",F358*K358)</f>
        <v/>
      </c>
      <c r="S358" s="91">
        <f>IF($E358="","",M358*K358)</f>
        <v/>
      </c>
      <c r="T358" s="63">
        <f>IF(OR($E358="",B358=0),"",L358/B358*10000)</f>
        <v/>
      </c>
      <c r="U358" s="63">
        <f>IF(OR($E358="",C358=0),"",F358/C358*10000)</f>
        <v/>
      </c>
      <c r="V358" s="63">
        <f>IF(OR($E358="",D358=0),"",M358/D358*10000)</f>
        <v/>
      </c>
    </row>
    <row r="359">
      <c r="A359" s="35" t="n">
        <v>46013</v>
      </c>
      <c r="B359" s="90">
        <f>'Daily Data'!B359</f>
        <v/>
      </c>
      <c r="C359" s="90">
        <f>'Daily Data'!D359</f>
        <v/>
      </c>
      <c r="D359" s="90">
        <f>'Daily Data'!C359</f>
        <v/>
      </c>
      <c r="E359" s="90">
        <f>IF('Daily Data'!E359="","",'Daily Data'!E359)</f>
        <v/>
      </c>
      <c r="F359" s="90">
        <f>IF($E359="","",'Daily Data'!F359)</f>
        <v/>
      </c>
      <c r="G359" s="90">
        <f>IF($E359="","",'Daily Data'!G359)</f>
        <v/>
      </c>
      <c r="H359" s="91">
        <f>IF($E359="","",(1-K359)*F359-G359)</f>
        <v/>
      </c>
      <c r="I359" s="90">
        <f>IF($E359="","",'Daily Data'!H359)</f>
        <v/>
      </c>
      <c r="J359" s="91">
        <f>IF($E359="","",E359-H359-I359)</f>
        <v/>
      </c>
      <c r="K359" s="60">
        <f>IF($E359="","",IF(A359&lt;HLP_ChangeDate,HLP_Legacy,HLP_Current))</f>
        <v/>
      </c>
      <c r="L359" s="91">
        <f>IF($E359="","",J359/(1-K359))</f>
        <v/>
      </c>
      <c r="M359" s="90">
        <f>IF($E359="","",'Daily Data'!I359)</f>
        <v/>
      </c>
      <c r="N359" s="91">
        <f>IF($E359="","",M359*(1-K359)-I359)</f>
        <v/>
      </c>
      <c r="O359" s="92" t="n">
        <v>217983</v>
      </c>
      <c r="P359" s="93">
        <f>IF($E359="","",(L359+F359+M359)*K359)</f>
        <v/>
      </c>
      <c r="Q359" s="91">
        <f>IF($E359="","",L359*K359)</f>
        <v/>
      </c>
      <c r="R359" s="91">
        <f>IF($E359="","",F359*K359)</f>
        <v/>
      </c>
      <c r="S359" s="91">
        <f>IF($E359="","",M359*K359)</f>
        <v/>
      </c>
      <c r="T359" s="63">
        <f>IF(OR($E359="",B359=0),"",L359/B359*10000)</f>
        <v/>
      </c>
      <c r="U359" s="63">
        <f>IF(OR($E359="",C359=0),"",F359/C359*10000)</f>
        <v/>
      </c>
      <c r="V359" s="63">
        <f>IF(OR($E359="",D359=0),"",M359/D359*10000)</f>
        <v/>
      </c>
    </row>
    <row r="360">
      <c r="A360" s="35" t="n">
        <v>46014</v>
      </c>
      <c r="B360" s="90">
        <f>'Daily Data'!B360</f>
        <v/>
      </c>
      <c r="C360" s="90">
        <f>'Daily Data'!D360</f>
        <v/>
      </c>
      <c r="D360" s="90">
        <f>'Daily Data'!C360</f>
        <v/>
      </c>
      <c r="E360" s="90">
        <f>IF('Daily Data'!E360="","",'Daily Data'!E360)</f>
        <v/>
      </c>
      <c r="F360" s="90">
        <f>IF($E360="","",'Daily Data'!F360)</f>
        <v/>
      </c>
      <c r="G360" s="90">
        <f>IF($E360="","",'Daily Data'!G360)</f>
        <v/>
      </c>
      <c r="H360" s="91">
        <f>IF($E360="","",(1-K360)*F360-G360)</f>
        <v/>
      </c>
      <c r="I360" s="90">
        <f>IF($E360="","",'Daily Data'!H360)</f>
        <v/>
      </c>
      <c r="J360" s="91">
        <f>IF($E360="","",E360-H360-I360)</f>
        <v/>
      </c>
      <c r="K360" s="60">
        <f>IF($E360="","",IF(A360&lt;HLP_ChangeDate,HLP_Legacy,HLP_Current))</f>
        <v/>
      </c>
      <c r="L360" s="91">
        <f>IF($E360="","",J360/(1-K360))</f>
        <v/>
      </c>
      <c r="M360" s="90">
        <f>IF($E360="","",'Daily Data'!I360)</f>
        <v/>
      </c>
      <c r="N360" s="91">
        <f>IF($E360="","",M360*(1-K360)-I360)</f>
        <v/>
      </c>
      <c r="O360" s="92" t="n">
        <v>182731</v>
      </c>
      <c r="P360" s="93">
        <f>IF($E360="","",(L360+F360+M360)*K360)</f>
        <v/>
      </c>
      <c r="Q360" s="91">
        <f>IF($E360="","",L360*K360)</f>
        <v/>
      </c>
      <c r="R360" s="91">
        <f>IF($E360="","",F360*K360)</f>
        <v/>
      </c>
      <c r="S360" s="91">
        <f>IF($E360="","",M360*K360)</f>
        <v/>
      </c>
      <c r="T360" s="63">
        <f>IF(OR($E360="",B360=0),"",L360/B360*10000)</f>
        <v/>
      </c>
      <c r="U360" s="63">
        <f>IF(OR($E360="",C360=0),"",F360/C360*10000)</f>
        <v/>
      </c>
      <c r="V360" s="63">
        <f>IF(OR($E360="",D360=0),"",M360/D360*10000)</f>
        <v/>
      </c>
    </row>
    <row r="361">
      <c r="A361" s="35" t="n">
        <v>46015</v>
      </c>
      <c r="B361" s="90">
        <f>'Daily Data'!B361</f>
        <v/>
      </c>
      <c r="C361" s="90">
        <f>'Daily Data'!D361</f>
        <v/>
      </c>
      <c r="D361" s="90">
        <f>'Daily Data'!C361</f>
        <v/>
      </c>
      <c r="E361" s="90">
        <f>IF('Daily Data'!E361="","",'Daily Data'!E361)</f>
        <v/>
      </c>
      <c r="F361" s="90">
        <f>IF($E361="","",'Daily Data'!F361)</f>
        <v/>
      </c>
      <c r="G361" s="90">
        <f>IF($E361="","",'Daily Data'!G361)</f>
        <v/>
      </c>
      <c r="H361" s="91">
        <f>IF($E361="","",(1-K361)*F361-G361)</f>
        <v/>
      </c>
      <c r="I361" s="90">
        <f>IF($E361="","",'Daily Data'!H361)</f>
        <v/>
      </c>
      <c r="J361" s="91">
        <f>IF($E361="","",E361-H361-I361)</f>
        <v/>
      </c>
      <c r="K361" s="60">
        <f>IF($E361="","",IF(A361&lt;HLP_ChangeDate,HLP_Legacy,HLP_Current))</f>
        <v/>
      </c>
      <c r="L361" s="91">
        <f>IF($E361="","",J361/(1-K361))</f>
        <v/>
      </c>
      <c r="M361" s="90">
        <f>IF($E361="","",'Daily Data'!I361)</f>
        <v/>
      </c>
      <c r="N361" s="91">
        <f>IF($E361="","",M361*(1-K361)-I361)</f>
        <v/>
      </c>
      <c r="O361" s="92" t="n">
        <v>113097</v>
      </c>
      <c r="P361" s="93">
        <f>IF($E361="","",(L361+F361+M361)*K361)</f>
        <v/>
      </c>
      <c r="Q361" s="91">
        <f>IF($E361="","",L361*K361)</f>
        <v/>
      </c>
      <c r="R361" s="91">
        <f>IF($E361="","",F361*K361)</f>
        <v/>
      </c>
      <c r="S361" s="91">
        <f>IF($E361="","",M361*K361)</f>
        <v/>
      </c>
      <c r="T361" s="63">
        <f>IF(OR($E361="",B361=0),"",L361/B361*10000)</f>
        <v/>
      </c>
      <c r="U361" s="63">
        <f>IF(OR($E361="",C361=0),"",F361/C361*10000)</f>
        <v/>
      </c>
      <c r="V361" s="63">
        <f>IF(OR($E361="",D361=0),"",M361/D361*10000)</f>
        <v/>
      </c>
    </row>
    <row r="362">
      <c r="A362" s="35" t="n">
        <v>46016</v>
      </c>
      <c r="B362" s="90">
        <f>'Daily Data'!B362</f>
        <v/>
      </c>
      <c r="C362" s="90">
        <f>'Daily Data'!D362</f>
        <v/>
      </c>
      <c r="D362" s="90">
        <f>'Daily Data'!C362</f>
        <v/>
      </c>
      <c r="E362" s="90">
        <f>IF('Daily Data'!E362="","",'Daily Data'!E362)</f>
        <v/>
      </c>
      <c r="F362" s="90">
        <f>IF($E362="","",'Daily Data'!F362)</f>
        <v/>
      </c>
      <c r="G362" s="90">
        <f>IF($E362="","",'Daily Data'!G362)</f>
        <v/>
      </c>
      <c r="H362" s="91">
        <f>IF($E362="","",(1-K362)*F362-G362)</f>
        <v/>
      </c>
      <c r="I362" s="90">
        <f>IF($E362="","",'Daily Data'!H362)</f>
        <v/>
      </c>
      <c r="J362" s="91">
        <f>IF($E362="","",E362-H362-I362)</f>
        <v/>
      </c>
      <c r="K362" s="60">
        <f>IF($E362="","",IF(A362&lt;HLP_ChangeDate,HLP_Legacy,HLP_Current))</f>
        <v/>
      </c>
      <c r="L362" s="91">
        <f>IF($E362="","",J362/(1-K362))</f>
        <v/>
      </c>
      <c r="M362" s="90">
        <f>IF($E362="","",'Daily Data'!I362)</f>
        <v/>
      </c>
      <c r="N362" s="91">
        <f>IF($E362="","",M362*(1-K362)-I362)</f>
        <v/>
      </c>
      <c r="O362" s="92" t="n">
        <v>90457</v>
      </c>
      <c r="P362" s="93">
        <f>IF($E362="","",(L362+F362+M362)*K362)</f>
        <v/>
      </c>
      <c r="Q362" s="91">
        <f>IF($E362="","",L362*K362)</f>
        <v/>
      </c>
      <c r="R362" s="91">
        <f>IF($E362="","",F362*K362)</f>
        <v/>
      </c>
      <c r="S362" s="91">
        <f>IF($E362="","",M362*K362)</f>
        <v/>
      </c>
      <c r="T362" s="63">
        <f>IF(OR($E362="",B362=0),"",L362/B362*10000)</f>
        <v/>
      </c>
      <c r="U362" s="63">
        <f>IF(OR($E362="",C362=0),"",F362/C362*10000)</f>
        <v/>
      </c>
      <c r="V362" s="63">
        <f>IF(OR($E362="",D362=0),"",M362/D362*10000)</f>
        <v/>
      </c>
    </row>
    <row r="363">
      <c r="A363" s="35" t="n">
        <v>46017</v>
      </c>
      <c r="B363" s="90">
        <f>'Daily Data'!B363</f>
        <v/>
      </c>
      <c r="C363" s="90">
        <f>'Daily Data'!D363</f>
        <v/>
      </c>
      <c r="D363" s="90">
        <f>'Daily Data'!C363</f>
        <v/>
      </c>
      <c r="E363" s="90">
        <f>IF('Daily Data'!E363="","",'Daily Data'!E363)</f>
        <v/>
      </c>
      <c r="F363" s="90">
        <f>IF($E363="","",'Daily Data'!F363)</f>
        <v/>
      </c>
      <c r="G363" s="90">
        <f>IF($E363="","",'Daily Data'!G363)</f>
        <v/>
      </c>
      <c r="H363" s="91">
        <f>IF($E363="","",(1-K363)*F363-G363)</f>
        <v/>
      </c>
      <c r="I363" s="90">
        <f>IF($E363="","",'Daily Data'!H363)</f>
        <v/>
      </c>
      <c r="J363" s="91">
        <f>IF($E363="","",E363-H363-I363)</f>
        <v/>
      </c>
      <c r="K363" s="60">
        <f>IF($E363="","",IF(A363&lt;HLP_ChangeDate,HLP_Legacy,HLP_Current))</f>
        <v/>
      </c>
      <c r="L363" s="91">
        <f>IF($E363="","",J363/(1-K363))</f>
        <v/>
      </c>
      <c r="M363" s="90">
        <f>IF($E363="","",'Daily Data'!I363)</f>
        <v/>
      </c>
      <c r="N363" s="91">
        <f>IF($E363="","",M363*(1-K363)-I363)</f>
        <v/>
      </c>
      <c r="O363" s="92" t="n">
        <v>167696</v>
      </c>
      <c r="P363" s="93">
        <f>IF($E363="","",(L363+F363+M363)*K363)</f>
        <v/>
      </c>
      <c r="Q363" s="91">
        <f>IF($E363="","",L363*K363)</f>
        <v/>
      </c>
      <c r="R363" s="91">
        <f>IF($E363="","",F363*K363)</f>
        <v/>
      </c>
      <c r="S363" s="91">
        <f>IF($E363="","",M363*K363)</f>
        <v/>
      </c>
      <c r="T363" s="63">
        <f>IF(OR($E363="",B363=0),"",L363/B363*10000)</f>
        <v/>
      </c>
      <c r="U363" s="63">
        <f>IF(OR($E363="",C363=0),"",F363/C363*10000)</f>
        <v/>
      </c>
      <c r="V363" s="63">
        <f>IF(OR($E363="",D363=0),"",M363/D363*10000)</f>
        <v/>
      </c>
    </row>
    <row r="364">
      <c r="A364" s="35" t="n">
        <v>46018</v>
      </c>
      <c r="B364" s="90">
        <f>'Daily Data'!B364</f>
        <v/>
      </c>
      <c r="C364" s="90">
        <f>'Daily Data'!D364</f>
        <v/>
      </c>
      <c r="D364" s="90">
        <f>'Daily Data'!C364</f>
        <v/>
      </c>
      <c r="E364" s="90">
        <f>IF('Daily Data'!E364="","",'Daily Data'!E364)</f>
        <v/>
      </c>
      <c r="F364" s="90">
        <f>IF($E364="","",'Daily Data'!F364)</f>
        <v/>
      </c>
      <c r="G364" s="90">
        <f>IF($E364="","",'Daily Data'!G364)</f>
        <v/>
      </c>
      <c r="H364" s="91">
        <f>IF($E364="","",(1-K364)*F364-G364)</f>
        <v/>
      </c>
      <c r="I364" s="90">
        <f>IF($E364="","",'Daily Data'!H364)</f>
        <v/>
      </c>
      <c r="J364" s="91">
        <f>IF($E364="","",E364-H364-I364)</f>
        <v/>
      </c>
      <c r="K364" s="60">
        <f>IF($E364="","",IF(A364&lt;HLP_ChangeDate,HLP_Legacy,HLP_Current))</f>
        <v/>
      </c>
      <c r="L364" s="91">
        <f>IF($E364="","",J364/(1-K364))</f>
        <v/>
      </c>
      <c r="M364" s="90">
        <f>IF($E364="","",'Daily Data'!I364)</f>
        <v/>
      </c>
      <c r="N364" s="91">
        <f>IF($E364="","",M364*(1-K364)-I364)</f>
        <v/>
      </c>
      <c r="O364" s="92" t="n">
        <v>70678</v>
      </c>
      <c r="P364" s="93">
        <f>IF($E364="","",(L364+F364+M364)*K364)</f>
        <v/>
      </c>
      <c r="Q364" s="91">
        <f>IF($E364="","",L364*K364)</f>
        <v/>
      </c>
      <c r="R364" s="91">
        <f>IF($E364="","",F364*K364)</f>
        <v/>
      </c>
      <c r="S364" s="91">
        <f>IF($E364="","",M364*K364)</f>
        <v/>
      </c>
      <c r="T364" s="63">
        <f>IF(OR($E364="",B364=0),"",L364/B364*10000)</f>
        <v/>
      </c>
      <c r="U364" s="63">
        <f>IF(OR($E364="",C364=0),"",F364/C364*10000)</f>
        <v/>
      </c>
      <c r="V364" s="63">
        <f>IF(OR($E364="",D364=0),"",M364/D364*10000)</f>
        <v/>
      </c>
    </row>
    <row r="365">
      <c r="A365" s="35" t="n">
        <v>46019</v>
      </c>
      <c r="B365" s="90">
        <f>'Daily Data'!B365</f>
        <v/>
      </c>
      <c r="C365" s="90">
        <f>'Daily Data'!D365</f>
        <v/>
      </c>
      <c r="D365" s="90">
        <f>'Daily Data'!C365</f>
        <v/>
      </c>
      <c r="E365" s="90">
        <f>IF('Daily Data'!E365="","",'Daily Data'!E365)</f>
        <v/>
      </c>
      <c r="F365" s="90">
        <f>IF($E365="","",'Daily Data'!F365)</f>
        <v/>
      </c>
      <c r="G365" s="90">
        <f>IF($E365="","",'Daily Data'!G365)</f>
        <v/>
      </c>
      <c r="H365" s="91">
        <f>IF($E365="","",(1-K365)*F365-G365)</f>
        <v/>
      </c>
      <c r="I365" s="90">
        <f>IF($E365="","",'Daily Data'!H365)</f>
        <v/>
      </c>
      <c r="J365" s="91">
        <f>IF($E365="","",E365-H365-I365)</f>
        <v/>
      </c>
      <c r="K365" s="60">
        <f>IF($E365="","",IF(A365&lt;HLP_ChangeDate,HLP_Legacy,HLP_Current))</f>
        <v/>
      </c>
      <c r="L365" s="91">
        <f>IF($E365="","",J365/(1-K365))</f>
        <v/>
      </c>
      <c r="M365" s="90">
        <f>IF($E365="","",'Daily Data'!I365)</f>
        <v/>
      </c>
      <c r="N365" s="91">
        <f>IF($E365="","",M365*(1-K365)-I365)</f>
        <v/>
      </c>
      <c r="O365" s="92" t="n">
        <v>76359</v>
      </c>
      <c r="P365" s="93">
        <f>IF($E365="","",(L365+F365+M365)*K365)</f>
        <v/>
      </c>
      <c r="Q365" s="91">
        <f>IF($E365="","",L365*K365)</f>
        <v/>
      </c>
      <c r="R365" s="91">
        <f>IF($E365="","",F365*K365)</f>
        <v/>
      </c>
      <c r="S365" s="91">
        <f>IF($E365="","",M365*K365)</f>
        <v/>
      </c>
      <c r="T365" s="63">
        <f>IF(OR($E365="",B365=0),"",L365/B365*10000)</f>
        <v/>
      </c>
      <c r="U365" s="63">
        <f>IF(OR($E365="",C365=0),"",F365/C365*10000)</f>
        <v/>
      </c>
      <c r="V365" s="63">
        <f>IF(OR($E365="",D365=0),"",M365/D365*10000)</f>
        <v/>
      </c>
    </row>
    <row r="366">
      <c r="A366" s="35" t="n">
        <v>46020</v>
      </c>
      <c r="B366" s="90">
        <f>'Daily Data'!B366</f>
        <v/>
      </c>
      <c r="C366" s="90">
        <f>'Daily Data'!D366</f>
        <v/>
      </c>
      <c r="D366" s="90">
        <f>'Daily Data'!C366</f>
        <v/>
      </c>
      <c r="E366" s="90">
        <f>IF('Daily Data'!E366="","",'Daily Data'!E366)</f>
        <v/>
      </c>
      <c r="F366" s="90">
        <f>IF($E366="","",'Daily Data'!F366)</f>
        <v/>
      </c>
      <c r="G366" s="90">
        <f>IF($E366="","",'Daily Data'!G366)</f>
        <v/>
      </c>
      <c r="H366" s="91">
        <f>IF($E366="","",(1-K366)*F366-G366)</f>
        <v/>
      </c>
      <c r="I366" s="90">
        <f>IF($E366="","",'Daily Data'!H366)</f>
        <v/>
      </c>
      <c r="J366" s="91">
        <f>IF($E366="","",E366-H366-I366)</f>
        <v/>
      </c>
      <c r="K366" s="60">
        <f>IF($E366="","",IF(A366&lt;HLP_ChangeDate,HLP_Legacy,HLP_Current))</f>
        <v/>
      </c>
      <c r="L366" s="91">
        <f>IF($E366="","",J366/(1-K366))</f>
        <v/>
      </c>
      <c r="M366" s="90">
        <f>IF($E366="","",'Daily Data'!I366)</f>
        <v/>
      </c>
      <c r="N366" s="91">
        <f>IF($E366="","",M366*(1-K366)-I366)</f>
        <v/>
      </c>
      <c r="O366" s="92" t="n">
        <v>200332</v>
      </c>
      <c r="P366" s="93">
        <f>IF($E366="","",(L366+F366+M366)*K366)</f>
        <v/>
      </c>
      <c r="Q366" s="91">
        <f>IF($E366="","",L366*K366)</f>
        <v/>
      </c>
      <c r="R366" s="91">
        <f>IF($E366="","",F366*K366)</f>
        <v/>
      </c>
      <c r="S366" s="91">
        <f>IF($E366="","",M366*K366)</f>
        <v/>
      </c>
      <c r="T366" s="63">
        <f>IF(OR($E366="",B366=0),"",L366/B366*10000)</f>
        <v/>
      </c>
      <c r="U366" s="63">
        <f>IF(OR($E366="",C366=0),"",F366/C366*10000)</f>
        <v/>
      </c>
      <c r="V366" s="63">
        <f>IF(OR($E366="",D366=0),"",M366/D366*10000)</f>
        <v/>
      </c>
    </row>
    <row r="367">
      <c r="A367" s="35" t="n">
        <v>46021</v>
      </c>
      <c r="B367" s="90">
        <f>'Daily Data'!B367</f>
        <v/>
      </c>
      <c r="C367" s="90">
        <f>'Daily Data'!D367</f>
        <v/>
      </c>
      <c r="D367" s="90">
        <f>'Daily Data'!C367</f>
        <v/>
      </c>
      <c r="E367" s="90">
        <f>IF('Daily Data'!E367="","",'Daily Data'!E367)</f>
        <v/>
      </c>
      <c r="F367" s="90">
        <f>IF($E367="","",'Daily Data'!F367)</f>
        <v/>
      </c>
      <c r="G367" s="90">
        <f>IF($E367="","",'Daily Data'!G367)</f>
        <v/>
      </c>
      <c r="H367" s="91">
        <f>IF($E367="","",(1-K367)*F367-G367)</f>
        <v/>
      </c>
      <c r="I367" s="90">
        <f>IF($E367="","",'Daily Data'!H367)</f>
        <v/>
      </c>
      <c r="J367" s="91">
        <f>IF($E367="","",E367-H367-I367)</f>
        <v/>
      </c>
      <c r="K367" s="60">
        <f>IF($E367="","",IF(A367&lt;HLP_ChangeDate,HLP_Legacy,HLP_Current))</f>
        <v/>
      </c>
      <c r="L367" s="91">
        <f>IF($E367="","",J367/(1-K367))</f>
        <v/>
      </c>
      <c r="M367" s="90">
        <f>IF($E367="","",'Daily Data'!I367)</f>
        <v/>
      </c>
      <c r="N367" s="91">
        <f>IF($E367="","",M367*(1-K367)-I367)</f>
        <v/>
      </c>
      <c r="O367" s="92" t="n">
        <v>172194</v>
      </c>
      <c r="P367" s="93">
        <f>IF($E367="","",(L367+F367+M367)*K367)</f>
        <v/>
      </c>
      <c r="Q367" s="91">
        <f>IF($E367="","",L367*K367)</f>
        <v/>
      </c>
      <c r="R367" s="91">
        <f>IF($E367="","",F367*K367)</f>
        <v/>
      </c>
      <c r="S367" s="91">
        <f>IF($E367="","",M367*K367)</f>
        <v/>
      </c>
      <c r="T367" s="63">
        <f>IF(OR($E367="",B367=0),"",L367/B367*10000)</f>
        <v/>
      </c>
      <c r="U367" s="63">
        <f>IF(OR($E367="",C367=0),"",F367/C367*10000)</f>
        <v/>
      </c>
      <c r="V367" s="63">
        <f>IF(OR($E367="",D367=0),"",M367/D367*10000)</f>
        <v/>
      </c>
    </row>
    <row r="368">
      <c r="A368" s="35" t="n">
        <v>46022</v>
      </c>
      <c r="B368" s="90">
        <f>'Daily Data'!B368</f>
        <v/>
      </c>
      <c r="C368" s="90">
        <f>'Daily Data'!D368</f>
        <v/>
      </c>
      <c r="D368" s="90">
        <f>'Daily Data'!C368</f>
        <v/>
      </c>
      <c r="E368" s="90">
        <f>IF('Daily Data'!E368="","",'Daily Data'!E368)</f>
        <v/>
      </c>
      <c r="F368" s="90">
        <f>IF($E368="","",'Daily Data'!F368)</f>
        <v/>
      </c>
      <c r="G368" s="90">
        <f>IF($E368="","",'Daily Data'!G368)</f>
        <v/>
      </c>
      <c r="H368" s="91">
        <f>IF($E368="","",(1-K368)*F368-G368)</f>
        <v/>
      </c>
      <c r="I368" s="90">
        <f>IF($E368="","",'Daily Data'!H368)</f>
        <v/>
      </c>
      <c r="J368" s="91">
        <f>IF($E368="","",E368-H368-I368)</f>
        <v/>
      </c>
      <c r="K368" s="60">
        <f>IF($E368="","",IF(A368&lt;HLP_ChangeDate,HLP_Legacy,HLP_Current))</f>
        <v/>
      </c>
      <c r="L368" s="91">
        <f>IF($E368="","",J368/(1-K368))</f>
        <v/>
      </c>
      <c r="M368" s="90">
        <f>IF($E368="","",'Daily Data'!I368)</f>
        <v/>
      </c>
      <c r="N368" s="91">
        <f>IF($E368="","",M368*(1-K368)-I368)</f>
        <v/>
      </c>
      <c r="O368" s="92" t="n">
        <v>171502</v>
      </c>
      <c r="P368" s="93">
        <f>IF($E368="","",(L368+F368+M368)*K368)</f>
        <v/>
      </c>
      <c r="Q368" s="91">
        <f>IF($E368="","",L368*K368)</f>
        <v/>
      </c>
      <c r="R368" s="91">
        <f>IF($E368="","",F368*K368)</f>
        <v/>
      </c>
      <c r="S368" s="91">
        <f>IF($E368="","",M368*K368)</f>
        <v/>
      </c>
      <c r="T368" s="63">
        <f>IF(OR($E368="",B368=0),"",L368/B368*10000)</f>
        <v/>
      </c>
      <c r="U368" s="63">
        <f>IF(OR($E368="",C368=0),"",F368/C368*10000)</f>
        <v/>
      </c>
      <c r="V368" s="63">
        <f>IF(OR($E368="",D368=0),"",M368/D368*10000)</f>
        <v/>
      </c>
    </row>
    <row r="369">
      <c r="A369" s="35" t="n">
        <v>46023</v>
      </c>
      <c r="B369" s="90">
        <f>'Daily Data'!B369</f>
        <v/>
      </c>
      <c r="C369" s="90">
        <f>'Daily Data'!D369</f>
        <v/>
      </c>
      <c r="D369" s="90">
        <f>'Daily Data'!C369</f>
        <v/>
      </c>
      <c r="E369" s="90">
        <f>IF('Daily Data'!E369="","",'Daily Data'!E369)</f>
        <v/>
      </c>
      <c r="F369" s="90">
        <f>IF($E369="","",'Daily Data'!F369)</f>
        <v/>
      </c>
      <c r="G369" s="90">
        <f>IF($E369="","",'Daily Data'!G369)</f>
        <v/>
      </c>
      <c r="H369" s="91">
        <f>IF($E369="","",(1-K369)*F369-G369)</f>
        <v/>
      </c>
      <c r="I369" s="90">
        <f>IF($E369="","",'Daily Data'!H369)</f>
        <v/>
      </c>
      <c r="J369" s="91">
        <f>IF($E369="","",E369-H369-I369)</f>
        <v/>
      </c>
      <c r="K369" s="60">
        <f>IF($E369="","",IF(A369&lt;HLP_ChangeDate,HLP_Legacy,HLP_Current))</f>
        <v/>
      </c>
      <c r="L369" s="91">
        <f>IF($E369="","",J369/(1-K369))</f>
        <v/>
      </c>
      <c r="M369" s="90">
        <f>IF($E369="","",'Daily Data'!I369)</f>
        <v/>
      </c>
      <c r="N369" s="91">
        <f>IF($E369="","",M369*(1-K369)-I369)</f>
        <v/>
      </c>
      <c r="O369" s="92" t="n">
        <v>112532</v>
      </c>
      <c r="P369" s="93">
        <f>IF($E369="","",(L369+F369+M369)*K369)</f>
        <v/>
      </c>
      <c r="Q369" s="91">
        <f>IF($E369="","",L369*K369)</f>
        <v/>
      </c>
      <c r="R369" s="91">
        <f>IF($E369="","",F369*K369)</f>
        <v/>
      </c>
      <c r="S369" s="91">
        <f>IF($E369="","",M369*K369)</f>
        <v/>
      </c>
      <c r="T369" s="63">
        <f>IF(OR($E369="",B369=0),"",L369/B369*10000)</f>
        <v/>
      </c>
      <c r="U369" s="63">
        <f>IF(OR($E369="",C369=0),"",F369/C369*10000)</f>
        <v/>
      </c>
      <c r="V369" s="63">
        <f>IF(OR($E369="",D369=0),"",M369/D369*10000)</f>
        <v/>
      </c>
    </row>
    <row r="370">
      <c r="A370" s="35" t="n">
        <v>46024</v>
      </c>
      <c r="B370" s="90">
        <f>'Daily Data'!B370</f>
        <v/>
      </c>
      <c r="C370" s="90">
        <f>'Daily Data'!D370</f>
        <v/>
      </c>
      <c r="D370" s="90">
        <f>'Daily Data'!C370</f>
        <v/>
      </c>
      <c r="E370" s="90">
        <f>IF('Daily Data'!E370="","",'Daily Data'!E370)</f>
        <v/>
      </c>
      <c r="F370" s="90">
        <f>IF($E370="","",'Daily Data'!F370)</f>
        <v/>
      </c>
      <c r="G370" s="90">
        <f>IF($E370="","",'Daily Data'!G370)</f>
        <v/>
      </c>
      <c r="H370" s="91">
        <f>IF($E370="","",(1-K370)*F370-G370)</f>
        <v/>
      </c>
      <c r="I370" s="90">
        <f>IF($E370="","",'Daily Data'!H370)</f>
        <v/>
      </c>
      <c r="J370" s="91">
        <f>IF($E370="","",E370-H370-I370)</f>
        <v/>
      </c>
      <c r="K370" s="60">
        <f>IF($E370="","",IF(A370&lt;HLP_ChangeDate,HLP_Legacy,HLP_Current))</f>
        <v/>
      </c>
      <c r="L370" s="91">
        <f>IF($E370="","",J370/(1-K370))</f>
        <v/>
      </c>
      <c r="M370" s="90">
        <f>IF($E370="","",'Daily Data'!I370)</f>
        <v/>
      </c>
      <c r="N370" s="91">
        <f>IF($E370="","",M370*(1-K370)-I370)</f>
        <v/>
      </c>
      <c r="O370" s="92" t="n">
        <v>242592</v>
      </c>
      <c r="P370" s="93">
        <f>IF($E370="","",(L370+F370+M370)*K370)</f>
        <v/>
      </c>
      <c r="Q370" s="91">
        <f>IF($E370="","",L370*K370)</f>
        <v/>
      </c>
      <c r="R370" s="91">
        <f>IF($E370="","",F370*K370)</f>
        <v/>
      </c>
      <c r="S370" s="91">
        <f>IF($E370="","",M370*K370)</f>
        <v/>
      </c>
      <c r="T370" s="63">
        <f>IF(OR($E370="",B370=0),"",L370/B370*10000)</f>
        <v/>
      </c>
      <c r="U370" s="63">
        <f>IF(OR($E370="",C370=0),"",F370/C370*10000)</f>
        <v/>
      </c>
      <c r="V370" s="63">
        <f>IF(OR($E370="",D370=0),"",M370/D370*10000)</f>
        <v/>
      </c>
    </row>
    <row r="371">
      <c r="A371" s="35" t="n">
        <v>46025</v>
      </c>
      <c r="B371" s="90">
        <f>'Daily Data'!B371</f>
        <v/>
      </c>
      <c r="C371" s="90">
        <f>'Daily Data'!D371</f>
        <v/>
      </c>
      <c r="D371" s="90">
        <f>'Daily Data'!C371</f>
        <v/>
      </c>
      <c r="E371" s="90">
        <f>IF('Daily Data'!E371="","",'Daily Data'!E371)</f>
        <v/>
      </c>
      <c r="F371" s="90">
        <f>IF($E371="","",'Daily Data'!F371)</f>
        <v/>
      </c>
      <c r="G371" s="90">
        <f>IF($E371="","",'Daily Data'!G371)</f>
        <v/>
      </c>
      <c r="H371" s="91">
        <f>IF($E371="","",(1-K371)*F371-G371)</f>
        <v/>
      </c>
      <c r="I371" s="90">
        <f>IF($E371="","",'Daily Data'!H371)</f>
        <v/>
      </c>
      <c r="J371" s="91">
        <f>IF($E371="","",E371-H371-I371)</f>
        <v/>
      </c>
      <c r="K371" s="60">
        <f>IF($E371="","",IF(A371&lt;HLP_ChangeDate,HLP_Legacy,HLP_Current))</f>
        <v/>
      </c>
      <c r="L371" s="91">
        <f>IF($E371="","",J371/(1-K371))</f>
        <v/>
      </c>
      <c r="M371" s="90">
        <f>IF($E371="","",'Daily Data'!I371)</f>
        <v/>
      </c>
      <c r="N371" s="91">
        <f>IF($E371="","",M371*(1-K371)-I371)</f>
        <v/>
      </c>
      <c r="O371" s="92" t="n">
        <v>115594</v>
      </c>
      <c r="P371" s="93">
        <f>IF($E371="","",(L371+F371+M371)*K371)</f>
        <v/>
      </c>
      <c r="Q371" s="91">
        <f>IF($E371="","",L371*K371)</f>
        <v/>
      </c>
      <c r="R371" s="91">
        <f>IF($E371="","",F371*K371)</f>
        <v/>
      </c>
      <c r="S371" s="91">
        <f>IF($E371="","",M371*K371)</f>
        <v/>
      </c>
      <c r="T371" s="63">
        <f>IF(OR($E371="",B371=0),"",L371/B371*10000)</f>
        <v/>
      </c>
      <c r="U371" s="63">
        <f>IF(OR($E371="",C371=0),"",F371/C371*10000)</f>
        <v/>
      </c>
      <c r="V371" s="63">
        <f>IF(OR($E371="",D371=0),"",M371/D371*10000)</f>
        <v/>
      </c>
    </row>
    <row r="372">
      <c r="A372" s="35" t="n">
        <v>46026</v>
      </c>
      <c r="B372" s="90">
        <f>'Daily Data'!B372</f>
        <v/>
      </c>
      <c r="C372" s="90">
        <f>'Daily Data'!D372</f>
        <v/>
      </c>
      <c r="D372" s="90">
        <f>'Daily Data'!C372</f>
        <v/>
      </c>
      <c r="E372" s="90">
        <f>IF('Daily Data'!E372="","",'Daily Data'!E372)</f>
        <v/>
      </c>
      <c r="F372" s="90">
        <f>IF($E372="","",'Daily Data'!F372)</f>
        <v/>
      </c>
      <c r="G372" s="90">
        <f>IF($E372="","",'Daily Data'!G372)</f>
        <v/>
      </c>
      <c r="H372" s="91">
        <f>IF($E372="","",(1-K372)*F372-G372)</f>
        <v/>
      </c>
      <c r="I372" s="90">
        <f>IF($E372="","",'Daily Data'!H372)</f>
        <v/>
      </c>
      <c r="J372" s="91">
        <f>IF($E372="","",E372-H372-I372)</f>
        <v/>
      </c>
      <c r="K372" s="60">
        <f>IF($E372="","",IF(A372&lt;HLP_ChangeDate,HLP_Legacy,HLP_Current))</f>
        <v/>
      </c>
      <c r="L372" s="91">
        <f>IF($E372="","",J372/(1-K372))</f>
        <v/>
      </c>
      <c r="M372" s="90">
        <f>IF($E372="","",'Daily Data'!I372)</f>
        <v/>
      </c>
      <c r="N372" s="91">
        <f>IF($E372="","",M372*(1-K372)-I372)</f>
        <v/>
      </c>
      <c r="O372" s="92" t="n">
        <v>102457</v>
      </c>
      <c r="P372" s="93">
        <f>IF($E372="","",(L372+F372+M372)*K372)</f>
        <v/>
      </c>
      <c r="Q372" s="91">
        <f>IF($E372="","",L372*K372)</f>
        <v/>
      </c>
      <c r="R372" s="91">
        <f>IF($E372="","",F372*K372)</f>
        <v/>
      </c>
      <c r="S372" s="91">
        <f>IF($E372="","",M372*K372)</f>
        <v/>
      </c>
      <c r="T372" s="63">
        <f>IF(OR($E372="",B372=0),"",L372/B372*10000)</f>
        <v/>
      </c>
      <c r="U372" s="63">
        <f>IF(OR($E372="",C372=0),"",F372/C372*10000)</f>
        <v/>
      </c>
      <c r="V372" s="63">
        <f>IF(OR($E372="",D372=0),"",M372/D372*10000)</f>
        <v/>
      </c>
    </row>
    <row r="373">
      <c r="A373" s="35" t="n">
        <v>46027</v>
      </c>
      <c r="B373" s="90">
        <f>'Daily Data'!B373</f>
        <v/>
      </c>
      <c r="C373" s="90">
        <f>'Daily Data'!D373</f>
        <v/>
      </c>
      <c r="D373" s="90">
        <f>'Daily Data'!C373</f>
        <v/>
      </c>
      <c r="E373" s="90">
        <f>IF('Daily Data'!E373="","",'Daily Data'!E373)</f>
        <v/>
      </c>
      <c r="F373" s="90">
        <f>IF($E373="","",'Daily Data'!F373)</f>
        <v/>
      </c>
      <c r="G373" s="90">
        <f>IF($E373="","",'Daily Data'!G373)</f>
        <v/>
      </c>
      <c r="H373" s="91">
        <f>IF($E373="","",(1-K373)*F373-G373)</f>
        <v/>
      </c>
      <c r="I373" s="90">
        <f>IF($E373="","",'Daily Data'!H373)</f>
        <v/>
      </c>
      <c r="J373" s="91">
        <f>IF($E373="","",E373-H373-I373)</f>
        <v/>
      </c>
      <c r="K373" s="60">
        <f>IF($E373="","",IF(A373&lt;HLP_ChangeDate,HLP_Legacy,HLP_Current))</f>
        <v/>
      </c>
      <c r="L373" s="91">
        <f>IF($E373="","",J373/(1-K373))</f>
        <v/>
      </c>
      <c r="M373" s="90">
        <f>IF($E373="","",'Daily Data'!I373)</f>
        <v/>
      </c>
      <c r="N373" s="91">
        <f>IF($E373="","",M373*(1-K373)-I373)</f>
        <v/>
      </c>
      <c r="O373" s="92" t="n">
        <v>202319</v>
      </c>
      <c r="P373" s="93">
        <f>IF($E373="","",(L373+F373+M373)*K373)</f>
        <v/>
      </c>
      <c r="Q373" s="91">
        <f>IF($E373="","",L373*K373)</f>
        <v/>
      </c>
      <c r="R373" s="91">
        <f>IF($E373="","",F373*K373)</f>
        <v/>
      </c>
      <c r="S373" s="91">
        <f>IF($E373="","",M373*K373)</f>
        <v/>
      </c>
      <c r="T373" s="63">
        <f>IF(OR($E373="",B373=0),"",L373/B373*10000)</f>
        <v/>
      </c>
      <c r="U373" s="63">
        <f>IF(OR($E373="",C373=0),"",F373/C373*10000)</f>
        <v/>
      </c>
      <c r="V373" s="63">
        <f>IF(OR($E373="",D373=0),"",M373/D373*10000)</f>
        <v/>
      </c>
    </row>
    <row r="374">
      <c r="A374" s="35" t="n">
        <v>46028</v>
      </c>
      <c r="B374" s="90">
        <f>'Daily Data'!B374</f>
        <v/>
      </c>
      <c r="C374" s="90">
        <f>'Daily Data'!D374</f>
        <v/>
      </c>
      <c r="D374" s="90">
        <f>'Daily Data'!C374</f>
        <v/>
      </c>
      <c r="E374" s="90">
        <f>IF('Daily Data'!E374="","",'Daily Data'!E374)</f>
        <v/>
      </c>
      <c r="F374" s="90">
        <f>IF($E374="","",'Daily Data'!F374)</f>
        <v/>
      </c>
      <c r="G374" s="90">
        <f>IF($E374="","",'Daily Data'!G374)</f>
        <v/>
      </c>
      <c r="H374" s="91">
        <f>IF($E374="","",(1-K374)*F374-G374)</f>
        <v/>
      </c>
      <c r="I374" s="90">
        <f>IF($E374="","",'Daily Data'!H374)</f>
        <v/>
      </c>
      <c r="J374" s="91">
        <f>IF($E374="","",E374-H374-I374)</f>
        <v/>
      </c>
      <c r="K374" s="60">
        <f>IF($E374="","",IF(A374&lt;HLP_ChangeDate,HLP_Legacy,HLP_Current))</f>
        <v/>
      </c>
      <c r="L374" s="91">
        <f>IF($E374="","",J374/(1-K374))</f>
        <v/>
      </c>
      <c r="M374" s="90">
        <f>IF($E374="","",'Daily Data'!I374)</f>
        <v/>
      </c>
      <c r="N374" s="91">
        <f>IF($E374="","",M374*(1-K374)-I374)</f>
        <v/>
      </c>
      <c r="O374" s="92" t="n">
        <v>181516</v>
      </c>
      <c r="P374" s="93">
        <f>IF($E374="","",(L374+F374+M374)*K374)</f>
        <v/>
      </c>
      <c r="Q374" s="91">
        <f>IF($E374="","",L374*K374)</f>
        <v/>
      </c>
      <c r="R374" s="91">
        <f>IF($E374="","",F374*K374)</f>
        <v/>
      </c>
      <c r="S374" s="91">
        <f>IF($E374="","",M374*K374)</f>
        <v/>
      </c>
      <c r="T374" s="63">
        <f>IF(OR($E374="",B374=0),"",L374/B374*10000)</f>
        <v/>
      </c>
      <c r="U374" s="63">
        <f>IF(OR($E374="",C374=0),"",F374/C374*10000)</f>
        <v/>
      </c>
      <c r="V374" s="63">
        <f>IF(OR($E374="",D374=0),"",M374/D374*10000)</f>
        <v/>
      </c>
    </row>
    <row r="375">
      <c r="A375" s="35" t="n">
        <v>46029</v>
      </c>
      <c r="B375" s="90">
        <f>'Daily Data'!B375</f>
        <v/>
      </c>
      <c r="C375" s="90">
        <f>'Daily Data'!D375</f>
        <v/>
      </c>
      <c r="D375" s="90">
        <f>'Daily Data'!C375</f>
        <v/>
      </c>
      <c r="E375" s="90">
        <f>IF('Daily Data'!E375="","",'Daily Data'!E375)</f>
        <v/>
      </c>
      <c r="F375" s="90">
        <f>IF($E375="","",'Daily Data'!F375)</f>
        <v/>
      </c>
      <c r="G375" s="90">
        <f>IF($E375="","",'Daily Data'!G375)</f>
        <v/>
      </c>
      <c r="H375" s="91">
        <f>IF($E375="","",(1-K375)*F375-G375)</f>
        <v/>
      </c>
      <c r="I375" s="90">
        <f>IF($E375="","",'Daily Data'!H375)</f>
        <v/>
      </c>
      <c r="J375" s="91">
        <f>IF($E375="","",E375-H375-I375)</f>
        <v/>
      </c>
      <c r="K375" s="60">
        <f>IF($E375="","",IF(A375&lt;HLP_ChangeDate,HLP_Legacy,HLP_Current))</f>
        <v/>
      </c>
      <c r="L375" s="91">
        <f>IF($E375="","",J375/(1-K375))</f>
        <v/>
      </c>
      <c r="M375" s="90">
        <f>IF($E375="","",'Daily Data'!I375)</f>
        <v/>
      </c>
      <c r="N375" s="91">
        <f>IF($E375="","",M375*(1-K375)-I375)</f>
        <v/>
      </c>
      <c r="O375" s="92" t="n">
        <v>169922</v>
      </c>
      <c r="P375" s="93">
        <f>IF($E375="","",(L375+F375+M375)*K375)</f>
        <v/>
      </c>
      <c r="Q375" s="91">
        <f>IF($E375="","",L375*K375)</f>
        <v/>
      </c>
      <c r="R375" s="91">
        <f>IF($E375="","",F375*K375)</f>
        <v/>
      </c>
      <c r="S375" s="91">
        <f>IF($E375="","",M375*K375)</f>
        <v/>
      </c>
      <c r="T375" s="63">
        <f>IF(OR($E375="",B375=0),"",L375/B375*10000)</f>
        <v/>
      </c>
      <c r="U375" s="63">
        <f>IF(OR($E375="",C375=0),"",F375/C375*10000)</f>
        <v/>
      </c>
      <c r="V375" s="63">
        <f>IF(OR($E375="",D375=0),"",M375/D375*10000)</f>
        <v/>
      </c>
    </row>
    <row r="376">
      <c r="A376" s="35" t="n">
        <v>46030</v>
      </c>
      <c r="B376" s="90">
        <f>'Daily Data'!B376</f>
        <v/>
      </c>
      <c r="C376" s="90">
        <f>'Daily Data'!D376</f>
        <v/>
      </c>
      <c r="D376" s="90">
        <f>'Daily Data'!C376</f>
        <v/>
      </c>
      <c r="E376" s="90">
        <f>IF('Daily Data'!E376="","",'Daily Data'!E376)</f>
        <v/>
      </c>
      <c r="F376" s="90">
        <f>IF($E376="","",'Daily Data'!F376)</f>
        <v/>
      </c>
      <c r="G376" s="90">
        <f>IF($E376="","",'Daily Data'!G376)</f>
        <v/>
      </c>
      <c r="H376" s="91">
        <f>IF($E376="","",(1-K376)*F376-G376)</f>
        <v/>
      </c>
      <c r="I376" s="90">
        <f>IF($E376="","",'Daily Data'!H376)</f>
        <v/>
      </c>
      <c r="J376" s="91">
        <f>IF($E376="","",E376-H376-I376)</f>
        <v/>
      </c>
      <c r="K376" s="60">
        <f>IF($E376="","",IF(A376&lt;HLP_ChangeDate,HLP_Legacy,HLP_Current))</f>
        <v/>
      </c>
      <c r="L376" s="91">
        <f>IF($E376="","",J376/(1-K376))</f>
        <v/>
      </c>
      <c r="M376" s="90">
        <f>IF($E376="","",'Daily Data'!I376)</f>
        <v/>
      </c>
      <c r="N376" s="91">
        <f>IF($E376="","",M376*(1-K376)-I376)</f>
        <v/>
      </c>
      <c r="O376" s="92" t="n">
        <v>152583</v>
      </c>
      <c r="P376" s="93">
        <f>IF($E376="","",(L376+F376+M376)*K376)</f>
        <v/>
      </c>
      <c r="Q376" s="91">
        <f>IF($E376="","",L376*K376)</f>
        <v/>
      </c>
      <c r="R376" s="91">
        <f>IF($E376="","",F376*K376)</f>
        <v/>
      </c>
      <c r="S376" s="91">
        <f>IF($E376="","",M376*K376)</f>
        <v/>
      </c>
      <c r="T376" s="63">
        <f>IF(OR($E376="",B376=0),"",L376/B376*10000)</f>
        <v/>
      </c>
      <c r="U376" s="63">
        <f>IF(OR($E376="",C376=0),"",F376/C376*10000)</f>
        <v/>
      </c>
      <c r="V376" s="63">
        <f>IF(OR($E376="",D376=0),"",M376/D376*10000)</f>
        <v/>
      </c>
    </row>
    <row r="377">
      <c r="A377" s="35" t="n">
        <v>46031</v>
      </c>
      <c r="B377" s="90">
        <f>'Daily Data'!B377</f>
        <v/>
      </c>
      <c r="C377" s="90">
        <f>'Daily Data'!D377</f>
        <v/>
      </c>
      <c r="D377" s="90">
        <f>'Daily Data'!C377</f>
        <v/>
      </c>
      <c r="E377" s="90">
        <f>IF('Daily Data'!E377="","",'Daily Data'!E377)</f>
        <v/>
      </c>
      <c r="F377" s="90">
        <f>IF($E377="","",'Daily Data'!F377)</f>
        <v/>
      </c>
      <c r="G377" s="90">
        <f>IF($E377="","",'Daily Data'!G377)</f>
        <v/>
      </c>
      <c r="H377" s="91">
        <f>IF($E377="","",(1-K377)*F377-G377)</f>
        <v/>
      </c>
      <c r="I377" s="90">
        <f>IF($E377="","",'Daily Data'!H377)</f>
        <v/>
      </c>
      <c r="J377" s="91">
        <f>IF($E377="","",E377-H377-I377)</f>
        <v/>
      </c>
      <c r="K377" s="60">
        <f>IF($E377="","",IF(A377&lt;HLP_ChangeDate,HLP_Legacy,HLP_Current))</f>
        <v/>
      </c>
      <c r="L377" s="91">
        <f>IF($E377="","",J377/(1-K377))</f>
        <v/>
      </c>
      <c r="M377" s="90">
        <f>IF($E377="","",'Daily Data'!I377)</f>
        <v/>
      </c>
      <c r="N377" s="91">
        <f>IF($E377="","",M377*(1-K377)-I377)</f>
        <v/>
      </c>
      <c r="O377" s="92" t="n">
        <v>119918</v>
      </c>
      <c r="P377" s="93">
        <f>IF($E377="","",(L377+F377+M377)*K377)</f>
        <v/>
      </c>
      <c r="Q377" s="91">
        <f>IF($E377="","",L377*K377)</f>
        <v/>
      </c>
      <c r="R377" s="91">
        <f>IF($E377="","",F377*K377)</f>
        <v/>
      </c>
      <c r="S377" s="91">
        <f>IF($E377="","",M377*K377)</f>
        <v/>
      </c>
      <c r="T377" s="63">
        <f>IF(OR($E377="",B377=0),"",L377/B377*10000)</f>
        <v/>
      </c>
      <c r="U377" s="63">
        <f>IF(OR($E377="",C377=0),"",F377/C377*10000)</f>
        <v/>
      </c>
      <c r="V377" s="63">
        <f>IF(OR($E377="",D377=0),"",M377/D377*10000)</f>
        <v/>
      </c>
    </row>
    <row r="378">
      <c r="A378" s="35" t="n">
        <v>46032</v>
      </c>
      <c r="B378" s="90">
        <f>'Daily Data'!B378</f>
        <v/>
      </c>
      <c r="C378" s="90">
        <f>'Daily Data'!D378</f>
        <v/>
      </c>
      <c r="D378" s="90">
        <f>'Daily Data'!C378</f>
        <v/>
      </c>
      <c r="E378" s="90">
        <f>IF('Daily Data'!E378="","",'Daily Data'!E378)</f>
        <v/>
      </c>
      <c r="F378" s="90">
        <f>IF($E378="","",'Daily Data'!F378)</f>
        <v/>
      </c>
      <c r="G378" s="90">
        <f>IF($E378="","",'Daily Data'!G378)</f>
        <v/>
      </c>
      <c r="H378" s="91">
        <f>IF($E378="","",(1-K378)*F378-G378)</f>
        <v/>
      </c>
      <c r="I378" s="90">
        <f>IF($E378="","",'Daily Data'!H378)</f>
        <v/>
      </c>
      <c r="J378" s="91">
        <f>IF($E378="","",E378-H378-I378)</f>
        <v/>
      </c>
      <c r="K378" s="60">
        <f>IF($E378="","",IF(A378&lt;HLP_ChangeDate,HLP_Legacy,HLP_Current))</f>
        <v/>
      </c>
      <c r="L378" s="91">
        <f>IF($E378="","",J378/(1-K378))</f>
        <v/>
      </c>
      <c r="M378" s="90">
        <f>IF($E378="","",'Daily Data'!I378)</f>
        <v/>
      </c>
      <c r="N378" s="91">
        <f>IF($E378="","",M378*(1-K378)-I378)</f>
        <v/>
      </c>
      <c r="O378" s="92" t="n">
        <v>40748</v>
      </c>
      <c r="P378" s="93">
        <f>IF($E378="","",(L378+F378+M378)*K378)</f>
        <v/>
      </c>
      <c r="Q378" s="91">
        <f>IF($E378="","",L378*K378)</f>
        <v/>
      </c>
      <c r="R378" s="91">
        <f>IF($E378="","",F378*K378)</f>
        <v/>
      </c>
      <c r="S378" s="91">
        <f>IF($E378="","",M378*K378)</f>
        <v/>
      </c>
      <c r="T378" s="63">
        <f>IF(OR($E378="",B378=0),"",L378/B378*10000)</f>
        <v/>
      </c>
      <c r="U378" s="63">
        <f>IF(OR($E378="",C378=0),"",F378/C378*10000)</f>
        <v/>
      </c>
      <c r="V378" s="63">
        <f>IF(OR($E378="",D378=0),"",M378/D378*10000)</f>
        <v/>
      </c>
    </row>
    <row r="379">
      <c r="A379" s="35" t="n">
        <v>46033</v>
      </c>
      <c r="B379" s="90">
        <f>'Daily Data'!B379</f>
        <v/>
      </c>
      <c r="C379" s="90">
        <f>'Daily Data'!D379</f>
        <v/>
      </c>
      <c r="D379" s="90">
        <f>'Daily Data'!C379</f>
        <v/>
      </c>
      <c r="E379" s="90">
        <f>IF('Daily Data'!E379="","",'Daily Data'!E379)</f>
        <v/>
      </c>
      <c r="F379" s="90">
        <f>IF($E379="","",'Daily Data'!F379)</f>
        <v/>
      </c>
      <c r="G379" s="90">
        <f>IF($E379="","",'Daily Data'!G379)</f>
        <v/>
      </c>
      <c r="H379" s="91">
        <f>IF($E379="","",(1-K379)*F379-G379)</f>
        <v/>
      </c>
      <c r="I379" s="90">
        <f>IF($E379="","",'Daily Data'!H379)</f>
        <v/>
      </c>
      <c r="J379" s="91">
        <f>IF($E379="","",E379-H379-I379)</f>
        <v/>
      </c>
      <c r="K379" s="60">
        <f>IF($E379="","",IF(A379&lt;HLP_ChangeDate,HLP_Legacy,HLP_Current))</f>
        <v/>
      </c>
      <c r="L379" s="91">
        <f>IF($E379="","",J379/(1-K379))</f>
        <v/>
      </c>
      <c r="M379" s="90">
        <f>IF($E379="","",'Daily Data'!I379)</f>
        <v/>
      </c>
      <c r="N379" s="91">
        <f>IF($E379="","",M379*(1-K379)-I379)</f>
        <v/>
      </c>
      <c r="O379" s="92" t="n">
        <v>134718</v>
      </c>
      <c r="P379" s="93">
        <f>IF($E379="","",(L379+F379+M379)*K379)</f>
        <v/>
      </c>
      <c r="Q379" s="91">
        <f>IF($E379="","",L379*K379)</f>
        <v/>
      </c>
      <c r="R379" s="91">
        <f>IF($E379="","",F379*K379)</f>
        <v/>
      </c>
      <c r="S379" s="91">
        <f>IF($E379="","",M379*K379)</f>
        <v/>
      </c>
      <c r="T379" s="63">
        <f>IF(OR($E379="",B379=0),"",L379/B379*10000)</f>
        <v/>
      </c>
      <c r="U379" s="63">
        <f>IF(OR($E379="",C379=0),"",F379/C379*10000)</f>
        <v/>
      </c>
      <c r="V379" s="63">
        <f>IF(OR($E379="",D379=0),"",M379/D379*10000)</f>
        <v/>
      </c>
    </row>
    <row r="380">
      <c r="A380" s="35" t="n">
        <v>46034</v>
      </c>
      <c r="B380" s="90">
        <f>'Daily Data'!B380</f>
        <v/>
      </c>
      <c r="C380" s="90">
        <f>'Daily Data'!D380</f>
        <v/>
      </c>
      <c r="D380" s="90">
        <f>'Daily Data'!C380</f>
        <v/>
      </c>
      <c r="E380" s="90">
        <f>IF('Daily Data'!E380="","",'Daily Data'!E380)</f>
        <v/>
      </c>
      <c r="F380" s="90">
        <f>IF($E380="","",'Daily Data'!F380)</f>
        <v/>
      </c>
      <c r="G380" s="90">
        <f>IF($E380="","",'Daily Data'!G380)</f>
        <v/>
      </c>
      <c r="H380" s="91">
        <f>IF($E380="","",(1-K380)*F380-G380)</f>
        <v/>
      </c>
      <c r="I380" s="90">
        <f>IF($E380="","",'Daily Data'!H380)</f>
        <v/>
      </c>
      <c r="J380" s="91">
        <f>IF($E380="","",E380-H380-I380)</f>
        <v/>
      </c>
      <c r="K380" s="60">
        <f>IF($E380="","",IF(A380&lt;HLP_ChangeDate,HLP_Legacy,HLP_Current))</f>
        <v/>
      </c>
      <c r="L380" s="91">
        <f>IF($E380="","",J380/(1-K380))</f>
        <v/>
      </c>
      <c r="M380" s="90">
        <f>IF($E380="","",'Daily Data'!I380)</f>
        <v/>
      </c>
      <c r="N380" s="91">
        <f>IF($E380="","",M380*(1-K380)-I380)</f>
        <v/>
      </c>
      <c r="O380" s="92" t="n">
        <v>169751</v>
      </c>
      <c r="P380" s="93">
        <f>IF($E380="","",(L380+F380+M380)*K380)</f>
        <v/>
      </c>
      <c r="Q380" s="91">
        <f>IF($E380="","",L380*K380)</f>
        <v/>
      </c>
      <c r="R380" s="91">
        <f>IF($E380="","",F380*K380)</f>
        <v/>
      </c>
      <c r="S380" s="91">
        <f>IF($E380="","",M380*K380)</f>
        <v/>
      </c>
      <c r="T380" s="63">
        <f>IF(OR($E380="",B380=0),"",L380/B380*10000)</f>
        <v/>
      </c>
      <c r="U380" s="63">
        <f>IF(OR($E380="",C380=0),"",F380/C380*10000)</f>
        <v/>
      </c>
      <c r="V380" s="63">
        <f>IF(OR($E380="",D380=0),"",M380/D380*10000)</f>
        <v/>
      </c>
    </row>
    <row r="381">
      <c r="A381" s="35" t="n">
        <v>46035</v>
      </c>
      <c r="B381" s="90">
        <f>'Daily Data'!B381</f>
        <v/>
      </c>
      <c r="C381" s="90">
        <f>'Daily Data'!D381</f>
        <v/>
      </c>
      <c r="D381" s="90">
        <f>'Daily Data'!C381</f>
        <v/>
      </c>
      <c r="E381" s="90">
        <f>IF('Daily Data'!E381="","",'Daily Data'!E381)</f>
        <v/>
      </c>
      <c r="F381" s="90">
        <f>IF($E381="","",'Daily Data'!F381)</f>
        <v/>
      </c>
      <c r="G381" s="90">
        <f>IF($E381="","",'Daily Data'!G381)</f>
        <v/>
      </c>
      <c r="H381" s="91">
        <f>IF($E381="","",(1-K381)*F381-G381)</f>
        <v/>
      </c>
      <c r="I381" s="90">
        <f>IF($E381="","",'Daily Data'!H381)</f>
        <v/>
      </c>
      <c r="J381" s="91">
        <f>IF($E381="","",E381-H381-I381)</f>
        <v/>
      </c>
      <c r="K381" s="60">
        <f>IF($E381="","",IF(A381&lt;HLP_ChangeDate,HLP_Legacy,HLP_Current))</f>
        <v/>
      </c>
      <c r="L381" s="91">
        <f>IF($E381="","",J381/(1-K381))</f>
        <v/>
      </c>
      <c r="M381" s="90">
        <f>IF($E381="","",'Daily Data'!I381)</f>
        <v/>
      </c>
      <c r="N381" s="91">
        <f>IF($E381="","",M381*(1-K381)-I381)</f>
        <v/>
      </c>
      <c r="O381" s="92" t="n">
        <v>194285</v>
      </c>
      <c r="P381" s="93">
        <f>IF($E381="","",(L381+F381+M381)*K381)</f>
        <v/>
      </c>
      <c r="Q381" s="91">
        <f>IF($E381="","",L381*K381)</f>
        <v/>
      </c>
      <c r="R381" s="91">
        <f>IF($E381="","",F381*K381)</f>
        <v/>
      </c>
      <c r="S381" s="91">
        <f>IF($E381="","",M381*K381)</f>
        <v/>
      </c>
      <c r="T381" s="63">
        <f>IF(OR($E381="",B381=0),"",L381/B381*10000)</f>
        <v/>
      </c>
      <c r="U381" s="63">
        <f>IF(OR($E381="",C381=0),"",F381/C381*10000)</f>
        <v/>
      </c>
      <c r="V381" s="63">
        <f>IF(OR($E381="",D381=0),"",M381/D381*10000)</f>
        <v/>
      </c>
    </row>
    <row r="382">
      <c r="A382" s="35" t="n">
        <v>46036</v>
      </c>
      <c r="B382" s="90">
        <f>'Daily Data'!B382</f>
        <v/>
      </c>
      <c r="C382" s="90">
        <f>'Daily Data'!D382</f>
        <v/>
      </c>
      <c r="D382" s="90">
        <f>'Daily Data'!C382</f>
        <v/>
      </c>
      <c r="E382" s="90">
        <f>IF('Daily Data'!E382="","",'Daily Data'!E382)</f>
        <v/>
      </c>
      <c r="F382" s="90">
        <f>IF($E382="","",'Daily Data'!F382)</f>
        <v/>
      </c>
      <c r="G382" s="90">
        <f>IF($E382="","",'Daily Data'!G382)</f>
        <v/>
      </c>
      <c r="H382" s="91">
        <f>IF($E382="","",(1-K382)*F382-G382)</f>
        <v/>
      </c>
      <c r="I382" s="90">
        <f>IF($E382="","",'Daily Data'!H382)</f>
        <v/>
      </c>
      <c r="J382" s="91">
        <f>IF($E382="","",E382-H382-I382)</f>
        <v/>
      </c>
      <c r="K382" s="60">
        <f>IF($E382="","",IF(A382&lt;HLP_ChangeDate,HLP_Legacy,HLP_Current))</f>
        <v/>
      </c>
      <c r="L382" s="91">
        <f>IF($E382="","",J382/(1-K382))</f>
        <v/>
      </c>
      <c r="M382" s="90">
        <f>IF($E382="","",'Daily Data'!I382)</f>
        <v/>
      </c>
      <c r="N382" s="91">
        <f>IF($E382="","",M382*(1-K382)-I382)</f>
        <v/>
      </c>
      <c r="O382" s="92" t="n">
        <v>211066</v>
      </c>
      <c r="P382" s="93">
        <f>IF($E382="","",(L382+F382+M382)*K382)</f>
        <v/>
      </c>
      <c r="Q382" s="91">
        <f>IF($E382="","",L382*K382)</f>
        <v/>
      </c>
      <c r="R382" s="91">
        <f>IF($E382="","",F382*K382)</f>
        <v/>
      </c>
      <c r="S382" s="91">
        <f>IF($E382="","",M382*K382)</f>
        <v/>
      </c>
      <c r="T382" s="63">
        <f>IF(OR($E382="",B382=0),"",L382/B382*10000)</f>
        <v/>
      </c>
      <c r="U382" s="63">
        <f>IF(OR($E382="",C382=0),"",F382/C382*10000)</f>
        <v/>
      </c>
      <c r="V382" s="63">
        <f>IF(OR($E382="",D382=0),"",M382/D382*10000)</f>
        <v/>
      </c>
    </row>
    <row r="383">
      <c r="A383" s="35" t="n">
        <v>46037</v>
      </c>
      <c r="B383" s="90">
        <f>'Daily Data'!B383</f>
        <v/>
      </c>
      <c r="C383" s="90">
        <f>'Daily Data'!D383</f>
        <v/>
      </c>
      <c r="D383" s="90">
        <f>'Daily Data'!C383</f>
        <v/>
      </c>
      <c r="E383" s="90">
        <f>IF('Daily Data'!E383="","",'Daily Data'!E383)</f>
        <v/>
      </c>
      <c r="F383" s="90">
        <f>IF($E383="","",'Daily Data'!F383)</f>
        <v/>
      </c>
      <c r="G383" s="90">
        <f>IF($E383="","",'Daily Data'!G383)</f>
        <v/>
      </c>
      <c r="H383" s="91">
        <f>IF($E383="","",(1-K383)*F383-G383)</f>
        <v/>
      </c>
      <c r="I383" s="90">
        <f>IF($E383="","",'Daily Data'!H383)</f>
        <v/>
      </c>
      <c r="J383" s="91">
        <f>IF($E383="","",E383-H383-I383)</f>
        <v/>
      </c>
      <c r="K383" s="60">
        <f>IF($E383="","",IF(A383&lt;HLP_ChangeDate,HLP_Legacy,HLP_Current))</f>
        <v/>
      </c>
      <c r="L383" s="91">
        <f>IF($E383="","",J383/(1-K383))</f>
        <v/>
      </c>
      <c r="M383" s="90">
        <f>IF($E383="","",'Daily Data'!I383)</f>
        <v/>
      </c>
      <c r="N383" s="91">
        <f>IF($E383="","",M383*(1-K383)-I383)</f>
        <v/>
      </c>
      <c r="O383" s="92" t="n">
        <v>210019</v>
      </c>
      <c r="P383" s="93">
        <f>IF($E383="","",(L383+F383+M383)*K383)</f>
        <v/>
      </c>
      <c r="Q383" s="91">
        <f>IF($E383="","",L383*K383)</f>
        <v/>
      </c>
      <c r="R383" s="91">
        <f>IF($E383="","",F383*K383)</f>
        <v/>
      </c>
      <c r="S383" s="91">
        <f>IF($E383="","",M383*K383)</f>
        <v/>
      </c>
      <c r="T383" s="63">
        <f>IF(OR($E383="",B383=0),"",L383/B383*10000)</f>
        <v/>
      </c>
      <c r="U383" s="63">
        <f>IF(OR($E383="",C383=0),"",F383/C383*10000)</f>
        <v/>
      </c>
      <c r="V383" s="63">
        <f>IF(OR($E383="",D383=0),"",M383/D383*10000)</f>
        <v/>
      </c>
    </row>
    <row r="384">
      <c r="A384" s="35" t="n">
        <v>46038</v>
      </c>
      <c r="B384" s="90">
        <f>'Daily Data'!B384</f>
        <v/>
      </c>
      <c r="C384" s="90">
        <f>'Daily Data'!D384</f>
        <v/>
      </c>
      <c r="D384" s="90">
        <f>'Daily Data'!C384</f>
        <v/>
      </c>
      <c r="E384" s="90">
        <f>IF('Daily Data'!E384="","",'Daily Data'!E384)</f>
        <v/>
      </c>
      <c r="F384" s="90">
        <f>IF($E384="","",'Daily Data'!F384)</f>
        <v/>
      </c>
      <c r="G384" s="90">
        <f>IF($E384="","",'Daily Data'!G384)</f>
        <v/>
      </c>
      <c r="H384" s="91">
        <f>IF($E384="","",(1-K384)*F384-G384)</f>
        <v/>
      </c>
      <c r="I384" s="90">
        <f>IF($E384="","",'Daily Data'!H384)</f>
        <v/>
      </c>
      <c r="J384" s="91">
        <f>IF($E384="","",E384-H384-I384)</f>
        <v/>
      </c>
      <c r="K384" s="60">
        <f>IF($E384="","",IF(A384&lt;HLP_ChangeDate,HLP_Legacy,HLP_Current))</f>
        <v/>
      </c>
      <c r="L384" s="91">
        <f>IF($E384="","",J384/(1-K384))</f>
        <v/>
      </c>
      <c r="M384" s="90">
        <f>IF($E384="","",'Daily Data'!I384)</f>
        <v/>
      </c>
      <c r="N384" s="91">
        <f>IF($E384="","",M384*(1-K384)-I384)</f>
        <v/>
      </c>
      <c r="O384" s="92" t="n">
        <v>222135</v>
      </c>
      <c r="P384" s="93">
        <f>IF($E384="","",(L384+F384+M384)*K384)</f>
        <v/>
      </c>
      <c r="Q384" s="91">
        <f>IF($E384="","",L384*K384)</f>
        <v/>
      </c>
      <c r="R384" s="91">
        <f>IF($E384="","",F384*K384)</f>
        <v/>
      </c>
      <c r="S384" s="91">
        <f>IF($E384="","",M384*K384)</f>
        <v/>
      </c>
      <c r="T384" s="63">
        <f>IF(OR($E384="",B384=0),"",L384/B384*10000)</f>
        <v/>
      </c>
      <c r="U384" s="63">
        <f>IF(OR($E384="",C384=0),"",F384/C384*10000)</f>
        <v/>
      </c>
      <c r="V384" s="63">
        <f>IF(OR($E384="",D384=0),"",M384/D384*10000)</f>
        <v/>
      </c>
    </row>
    <row r="385">
      <c r="A385" s="35" t="n">
        <v>46039</v>
      </c>
      <c r="B385" s="90">
        <f>'Daily Data'!B385</f>
        <v/>
      </c>
      <c r="C385" s="90">
        <f>'Daily Data'!D385</f>
        <v/>
      </c>
      <c r="D385" s="90">
        <f>'Daily Data'!C385</f>
        <v/>
      </c>
      <c r="E385" s="90">
        <f>IF('Daily Data'!E385="","",'Daily Data'!E385)</f>
        <v/>
      </c>
      <c r="F385" s="90">
        <f>IF($E385="","",'Daily Data'!F385)</f>
        <v/>
      </c>
      <c r="G385" s="90">
        <f>IF($E385="","",'Daily Data'!G385)</f>
        <v/>
      </c>
      <c r="H385" s="91">
        <f>IF($E385="","",(1-K385)*F385-G385)</f>
        <v/>
      </c>
      <c r="I385" s="90">
        <f>IF($E385="","",'Daily Data'!H385)</f>
        <v/>
      </c>
      <c r="J385" s="91">
        <f>IF($E385="","",E385-H385-I385)</f>
        <v/>
      </c>
      <c r="K385" s="60">
        <f>IF($E385="","",IF(A385&lt;HLP_ChangeDate,HLP_Legacy,HLP_Current))</f>
        <v/>
      </c>
      <c r="L385" s="91">
        <f>IF($E385="","",J385/(1-K385))</f>
        <v/>
      </c>
      <c r="M385" s="90">
        <f>IF($E385="","",'Daily Data'!I385)</f>
        <v/>
      </c>
      <c r="N385" s="91">
        <f>IF($E385="","",M385*(1-K385)-I385)</f>
        <v/>
      </c>
      <c r="O385" s="92" t="n">
        <v>142579</v>
      </c>
      <c r="P385" s="93">
        <f>IF($E385="","",(L385+F385+M385)*K385)</f>
        <v/>
      </c>
      <c r="Q385" s="91">
        <f>IF($E385="","",L385*K385)</f>
        <v/>
      </c>
      <c r="R385" s="91">
        <f>IF($E385="","",F385*K385)</f>
        <v/>
      </c>
      <c r="S385" s="91">
        <f>IF($E385="","",M385*K385)</f>
        <v/>
      </c>
      <c r="T385" s="63">
        <f>IF(OR($E385="",B385=0),"",L385/B385*10000)</f>
        <v/>
      </c>
      <c r="U385" s="63">
        <f>IF(OR($E385="",C385=0),"",F385/C385*10000)</f>
        <v/>
      </c>
      <c r="V385" s="63">
        <f>IF(OR($E385="",D385=0),"",M385/D385*10000)</f>
        <v/>
      </c>
    </row>
    <row r="386">
      <c r="A386" s="35" t="n">
        <v>46040</v>
      </c>
      <c r="B386" s="90">
        <f>'Daily Data'!B386</f>
        <v/>
      </c>
      <c r="C386" s="90">
        <f>'Daily Data'!D386</f>
        <v/>
      </c>
      <c r="D386" s="90">
        <f>'Daily Data'!C386</f>
        <v/>
      </c>
      <c r="E386" s="90">
        <f>IF('Daily Data'!E386="","",'Daily Data'!E386)</f>
        <v/>
      </c>
      <c r="F386" s="90">
        <f>IF($E386="","",'Daily Data'!F386)</f>
        <v/>
      </c>
      <c r="G386" s="90">
        <f>IF($E386="","",'Daily Data'!G386)</f>
        <v/>
      </c>
      <c r="H386" s="91">
        <f>IF($E386="","",(1-K386)*F386-G386)</f>
        <v/>
      </c>
      <c r="I386" s="90">
        <f>IF($E386="","",'Daily Data'!H386)</f>
        <v/>
      </c>
      <c r="J386" s="91">
        <f>IF($E386="","",E386-H386-I386)</f>
        <v/>
      </c>
      <c r="K386" s="60">
        <f>IF($E386="","",IF(A386&lt;HLP_ChangeDate,HLP_Legacy,HLP_Current))</f>
        <v/>
      </c>
      <c r="L386" s="91">
        <f>IF($E386="","",J386/(1-K386))</f>
        <v/>
      </c>
      <c r="M386" s="90">
        <f>IF($E386="","",'Daily Data'!I386)</f>
        <v/>
      </c>
      <c r="N386" s="91">
        <f>IF($E386="","",M386*(1-K386)-I386)</f>
        <v/>
      </c>
      <c r="O386" s="92" t="n">
        <v>77228</v>
      </c>
      <c r="P386" s="93">
        <f>IF($E386="","",(L386+F386+M386)*K386)</f>
        <v/>
      </c>
      <c r="Q386" s="91">
        <f>IF($E386="","",L386*K386)</f>
        <v/>
      </c>
      <c r="R386" s="91">
        <f>IF($E386="","",F386*K386)</f>
        <v/>
      </c>
      <c r="S386" s="91">
        <f>IF($E386="","",M386*K386)</f>
        <v/>
      </c>
      <c r="T386" s="63">
        <f>IF(OR($E386="",B386=0),"",L386/B386*10000)</f>
        <v/>
      </c>
      <c r="U386" s="63">
        <f>IF(OR($E386="",C386=0),"",F386/C386*10000)</f>
        <v/>
      </c>
      <c r="V386" s="63">
        <f>IF(OR($E386="",D386=0),"",M386/D386*10000)</f>
        <v/>
      </c>
    </row>
    <row r="387">
      <c r="A387" s="35" t="n">
        <v>46041</v>
      </c>
      <c r="B387" s="90">
        <f>'Daily Data'!B387</f>
        <v/>
      </c>
      <c r="C387" s="90">
        <f>'Daily Data'!D387</f>
        <v/>
      </c>
      <c r="D387" s="90">
        <f>'Daily Data'!C387</f>
        <v/>
      </c>
      <c r="E387" s="90">
        <f>IF('Daily Data'!E387="","",'Daily Data'!E387)</f>
        <v/>
      </c>
      <c r="F387" s="90">
        <f>IF($E387="","",'Daily Data'!F387)</f>
        <v/>
      </c>
      <c r="G387" s="90">
        <f>IF($E387="","",'Daily Data'!G387)</f>
        <v/>
      </c>
      <c r="H387" s="91">
        <f>IF($E387="","",(1-K387)*F387-G387)</f>
        <v/>
      </c>
      <c r="I387" s="90">
        <f>IF($E387="","",'Daily Data'!H387)</f>
        <v/>
      </c>
      <c r="J387" s="91">
        <f>IF($E387="","",E387-H387-I387)</f>
        <v/>
      </c>
      <c r="K387" s="60">
        <f>IF($E387="","",IF(A387&lt;HLP_ChangeDate,HLP_Legacy,HLP_Current))</f>
        <v/>
      </c>
      <c r="L387" s="91">
        <f>IF($E387="","",J387/(1-K387))</f>
        <v/>
      </c>
      <c r="M387" s="90">
        <f>IF($E387="","",'Daily Data'!I387)</f>
        <v/>
      </c>
      <c r="N387" s="91">
        <f>IF($E387="","",M387*(1-K387)-I387)</f>
        <v/>
      </c>
      <c r="O387" s="92" t="n">
        <v>129334</v>
      </c>
      <c r="P387" s="93">
        <f>IF($E387="","",(L387+F387+M387)*K387)</f>
        <v/>
      </c>
      <c r="Q387" s="91">
        <f>IF($E387="","",L387*K387)</f>
        <v/>
      </c>
      <c r="R387" s="91">
        <f>IF($E387="","",F387*K387)</f>
        <v/>
      </c>
      <c r="S387" s="91">
        <f>IF($E387="","",M387*K387)</f>
        <v/>
      </c>
      <c r="T387" s="63">
        <f>IF(OR($E387="",B387=0),"",L387/B387*10000)</f>
        <v/>
      </c>
      <c r="U387" s="63">
        <f>IF(OR($E387="",C387=0),"",F387/C387*10000)</f>
        <v/>
      </c>
      <c r="V387" s="63">
        <f>IF(OR($E387="",D387=0),"",M387/D387*10000)</f>
        <v/>
      </c>
    </row>
    <row r="388">
      <c r="A388" s="35" t="n">
        <v>46042</v>
      </c>
      <c r="B388" s="90">
        <f>'Daily Data'!B388</f>
        <v/>
      </c>
      <c r="C388" s="90">
        <f>'Daily Data'!D388</f>
        <v/>
      </c>
      <c r="D388" s="90">
        <f>'Daily Data'!C388</f>
        <v/>
      </c>
      <c r="E388" s="90">
        <f>IF('Daily Data'!E388="","",'Daily Data'!E388)</f>
        <v/>
      </c>
      <c r="F388" s="90">
        <f>IF($E388="","",'Daily Data'!F388)</f>
        <v/>
      </c>
      <c r="G388" s="90">
        <f>IF($E388="","",'Daily Data'!G388)</f>
        <v/>
      </c>
      <c r="H388" s="91">
        <f>IF($E388="","",(1-K388)*F388-G388)</f>
        <v/>
      </c>
      <c r="I388" s="90">
        <f>IF($E388="","",'Daily Data'!H388)</f>
        <v/>
      </c>
      <c r="J388" s="91">
        <f>IF($E388="","",E388-H388-I388)</f>
        <v/>
      </c>
      <c r="K388" s="60">
        <f>IF($E388="","",IF(A388&lt;HLP_ChangeDate,HLP_Legacy,HLP_Current))</f>
        <v/>
      </c>
      <c r="L388" s="91">
        <f>IF($E388="","",J388/(1-K388))</f>
        <v/>
      </c>
      <c r="M388" s="90">
        <f>IF($E388="","",'Daily Data'!I388)</f>
        <v/>
      </c>
      <c r="N388" s="91">
        <f>IF($E388="","",M388*(1-K388)-I388)</f>
        <v/>
      </c>
      <c r="O388" s="92" t="n">
        <v>169682</v>
      </c>
      <c r="P388" s="93">
        <f>IF($E388="","",(L388+F388+M388)*K388)</f>
        <v/>
      </c>
      <c r="Q388" s="91">
        <f>IF($E388="","",L388*K388)</f>
        <v/>
      </c>
      <c r="R388" s="91">
        <f>IF($E388="","",F388*K388)</f>
        <v/>
      </c>
      <c r="S388" s="91">
        <f>IF($E388="","",M388*K388)</f>
        <v/>
      </c>
      <c r="T388" s="63">
        <f>IF(OR($E388="",B388=0),"",L388/B388*10000)</f>
        <v/>
      </c>
      <c r="U388" s="63">
        <f>IF(OR($E388="",C388=0),"",F388/C388*10000)</f>
        <v/>
      </c>
      <c r="V388" s="63">
        <f>IF(OR($E388="",D388=0),"",M388/D388*10000)</f>
        <v/>
      </c>
    </row>
    <row r="389">
      <c r="A389" s="35" t="n">
        <v>46043</v>
      </c>
      <c r="B389" s="90">
        <f>'Daily Data'!B389</f>
        <v/>
      </c>
      <c r="C389" s="90">
        <f>'Daily Data'!D389</f>
        <v/>
      </c>
      <c r="D389" s="90">
        <f>'Daily Data'!C389</f>
        <v/>
      </c>
      <c r="E389" s="90">
        <f>IF('Daily Data'!E389="","",'Daily Data'!E389)</f>
        <v/>
      </c>
      <c r="F389" s="90">
        <f>IF($E389="","",'Daily Data'!F389)</f>
        <v/>
      </c>
      <c r="G389" s="90">
        <f>IF($E389="","",'Daily Data'!G389)</f>
        <v/>
      </c>
      <c r="H389" s="91">
        <f>IF($E389="","",(1-K389)*F389-G389)</f>
        <v/>
      </c>
      <c r="I389" s="90">
        <f>IF($E389="","",'Daily Data'!H389)</f>
        <v/>
      </c>
      <c r="J389" s="91">
        <f>IF($E389="","",E389-H389-I389)</f>
        <v/>
      </c>
      <c r="K389" s="60">
        <f>IF($E389="","",IF(A389&lt;HLP_ChangeDate,HLP_Legacy,HLP_Current))</f>
        <v/>
      </c>
      <c r="L389" s="91">
        <f>IF($E389="","",J389/(1-K389))</f>
        <v/>
      </c>
      <c r="M389" s="90">
        <f>IF($E389="","",'Daily Data'!I389)</f>
        <v/>
      </c>
      <c r="N389" s="91">
        <f>IF($E389="","",M389*(1-K389)-I389)</f>
        <v/>
      </c>
      <c r="O389" s="92" t="n">
        <v>194316</v>
      </c>
      <c r="P389" s="93">
        <f>IF($E389="","",(L389+F389+M389)*K389)</f>
        <v/>
      </c>
      <c r="Q389" s="91">
        <f>IF($E389="","",L389*K389)</f>
        <v/>
      </c>
      <c r="R389" s="91">
        <f>IF($E389="","",F389*K389)</f>
        <v/>
      </c>
      <c r="S389" s="91">
        <f>IF($E389="","",M389*K389)</f>
        <v/>
      </c>
      <c r="T389" s="63">
        <f>IF(OR($E389="",B389=0),"",L389/B389*10000)</f>
        <v/>
      </c>
      <c r="U389" s="63">
        <f>IF(OR($E389="",C389=0),"",F389/C389*10000)</f>
        <v/>
      </c>
      <c r="V389" s="63">
        <f>IF(OR($E389="",D389=0),"",M389/D389*10000)</f>
        <v/>
      </c>
    </row>
    <row r="390">
      <c r="A390" s="35" t="n">
        <v>46044</v>
      </c>
      <c r="B390" s="90">
        <f>'Daily Data'!B390</f>
        <v/>
      </c>
      <c r="C390" s="90">
        <f>'Daily Data'!D390</f>
        <v/>
      </c>
      <c r="D390" s="90">
        <f>'Daily Data'!C390</f>
        <v/>
      </c>
      <c r="E390" s="90">
        <f>IF('Daily Data'!E390="","",'Daily Data'!E390)</f>
        <v/>
      </c>
      <c r="F390" s="90">
        <f>IF($E390="","",'Daily Data'!F390)</f>
        <v/>
      </c>
      <c r="G390" s="90">
        <f>IF($E390="","",'Daily Data'!G390)</f>
        <v/>
      </c>
      <c r="H390" s="91">
        <f>IF($E390="","",(1-K390)*F390-G390)</f>
        <v/>
      </c>
      <c r="I390" s="90">
        <f>IF($E390="","",'Daily Data'!H390)</f>
        <v/>
      </c>
      <c r="J390" s="91">
        <f>IF($E390="","",E390-H390-I390)</f>
        <v/>
      </c>
      <c r="K390" s="60">
        <f>IF($E390="","",IF(A390&lt;HLP_ChangeDate,HLP_Legacy,HLP_Current))</f>
        <v/>
      </c>
      <c r="L390" s="91">
        <f>IF($E390="","",J390/(1-K390))</f>
        <v/>
      </c>
      <c r="M390" s="90">
        <f>IF($E390="","",'Daily Data'!I390)</f>
        <v/>
      </c>
      <c r="N390" s="91">
        <f>IF($E390="","",M390*(1-K390)-I390)</f>
        <v/>
      </c>
      <c r="O390" s="92" t="n">
        <v>302241</v>
      </c>
      <c r="P390" s="93">
        <f>IF($E390="","",(L390+F390+M390)*K390)</f>
        <v/>
      </c>
      <c r="Q390" s="91">
        <f>IF($E390="","",L390*K390)</f>
        <v/>
      </c>
      <c r="R390" s="91">
        <f>IF($E390="","",F390*K390)</f>
        <v/>
      </c>
      <c r="S390" s="91">
        <f>IF($E390="","",M390*K390)</f>
        <v/>
      </c>
      <c r="T390" s="63">
        <f>IF(OR($E390="",B390=0),"",L390/B390*10000)</f>
        <v/>
      </c>
      <c r="U390" s="63">
        <f>IF(OR($E390="",C390=0),"",F390/C390*10000)</f>
        <v/>
      </c>
      <c r="V390" s="63">
        <f>IF(OR($E390="",D390=0),"",M390/D390*10000)</f>
        <v/>
      </c>
    </row>
    <row r="391">
      <c r="A391" s="35" t="n">
        <v>46045</v>
      </c>
      <c r="B391" s="90">
        <f>'Daily Data'!B391</f>
        <v/>
      </c>
      <c r="C391" s="90">
        <f>'Daily Data'!D391</f>
        <v/>
      </c>
      <c r="D391" s="90">
        <f>'Daily Data'!C391</f>
        <v/>
      </c>
      <c r="E391" s="90">
        <f>IF('Daily Data'!E391="","",'Daily Data'!E391)</f>
        <v/>
      </c>
      <c r="F391" s="90">
        <f>IF($E391="","",'Daily Data'!F391)</f>
        <v/>
      </c>
      <c r="G391" s="90">
        <f>IF($E391="","",'Daily Data'!G391)</f>
        <v/>
      </c>
      <c r="H391" s="91">
        <f>IF($E391="","",(1-K391)*F391-G391)</f>
        <v/>
      </c>
      <c r="I391" s="90">
        <f>IF($E391="","",'Daily Data'!H391)</f>
        <v/>
      </c>
      <c r="J391" s="91">
        <f>IF($E391="","",E391-H391-I391)</f>
        <v/>
      </c>
      <c r="K391" s="60">
        <f>IF($E391="","",IF(A391&lt;HLP_ChangeDate,HLP_Legacy,HLP_Current))</f>
        <v/>
      </c>
      <c r="L391" s="91">
        <f>IF($E391="","",J391/(1-K391))</f>
        <v/>
      </c>
      <c r="M391" s="90">
        <f>IF($E391="","",'Daily Data'!I391)</f>
        <v/>
      </c>
      <c r="N391" s="91">
        <f>IF($E391="","",M391*(1-K391)-I391)</f>
        <v/>
      </c>
      <c r="O391" s="92" t="n">
        <v>186236</v>
      </c>
      <c r="P391" s="93">
        <f>IF($E391="","",(L391+F391+M391)*K391)</f>
        <v/>
      </c>
      <c r="Q391" s="91">
        <f>IF($E391="","",L391*K391)</f>
        <v/>
      </c>
      <c r="R391" s="91">
        <f>IF($E391="","",F391*K391)</f>
        <v/>
      </c>
      <c r="S391" s="91">
        <f>IF($E391="","",M391*K391)</f>
        <v/>
      </c>
      <c r="T391" s="63">
        <f>IF(OR($E391="",B391=0),"",L391/B391*10000)</f>
        <v/>
      </c>
      <c r="U391" s="63">
        <f>IF(OR($E391="",C391=0),"",F391/C391*10000)</f>
        <v/>
      </c>
      <c r="V391" s="63">
        <f>IF(OR($E391="",D391=0),"",M391/D391*10000)</f>
        <v/>
      </c>
    </row>
    <row r="392">
      <c r="A392" s="35" t="n">
        <v>46046</v>
      </c>
      <c r="B392" s="90">
        <f>'Daily Data'!B392</f>
        <v/>
      </c>
      <c r="C392" s="90">
        <f>'Daily Data'!D392</f>
        <v/>
      </c>
      <c r="D392" s="90">
        <f>'Daily Data'!C392</f>
        <v/>
      </c>
      <c r="E392" s="90">
        <f>IF('Daily Data'!E392="","",'Daily Data'!E392)</f>
        <v/>
      </c>
      <c r="F392" s="90">
        <f>IF($E392="","",'Daily Data'!F392)</f>
        <v/>
      </c>
      <c r="G392" s="90">
        <f>IF($E392="","",'Daily Data'!G392)</f>
        <v/>
      </c>
      <c r="H392" s="91">
        <f>IF($E392="","",(1-K392)*F392-G392)</f>
        <v/>
      </c>
      <c r="I392" s="90">
        <f>IF($E392="","",'Daily Data'!H392)</f>
        <v/>
      </c>
      <c r="J392" s="91">
        <f>IF($E392="","",E392-H392-I392)</f>
        <v/>
      </c>
      <c r="K392" s="60">
        <f>IF($E392="","",IF(A392&lt;HLP_ChangeDate,HLP_Legacy,HLP_Current))</f>
        <v/>
      </c>
      <c r="L392" s="91">
        <f>IF($E392="","",J392/(1-K392))</f>
        <v/>
      </c>
      <c r="M392" s="90">
        <f>IF($E392="","",'Daily Data'!I392)</f>
        <v/>
      </c>
      <c r="N392" s="91">
        <f>IF($E392="","",M392*(1-K392)-I392)</f>
        <v/>
      </c>
      <c r="O392" s="92" t="n">
        <v>47662</v>
      </c>
      <c r="P392" s="93">
        <f>IF($E392="","",(L392+F392+M392)*K392)</f>
        <v/>
      </c>
      <c r="Q392" s="91">
        <f>IF($E392="","",L392*K392)</f>
        <v/>
      </c>
      <c r="R392" s="91">
        <f>IF($E392="","",F392*K392)</f>
        <v/>
      </c>
      <c r="S392" s="91">
        <f>IF($E392="","",M392*K392)</f>
        <v/>
      </c>
      <c r="T392" s="63">
        <f>IF(OR($E392="",B392=0),"",L392/B392*10000)</f>
        <v/>
      </c>
      <c r="U392" s="63">
        <f>IF(OR($E392="",C392=0),"",F392/C392*10000)</f>
        <v/>
      </c>
      <c r="V392" s="63">
        <f>IF(OR($E392="",D392=0),"",M392/D392*10000)</f>
        <v/>
      </c>
    </row>
    <row r="393">
      <c r="A393" s="35" t="n">
        <v>46047</v>
      </c>
      <c r="B393" s="90">
        <f>'Daily Data'!B393</f>
        <v/>
      </c>
      <c r="C393" s="90">
        <f>'Daily Data'!D393</f>
        <v/>
      </c>
      <c r="D393" s="90">
        <f>'Daily Data'!C393</f>
        <v/>
      </c>
      <c r="E393" s="90">
        <f>IF('Daily Data'!E393="","",'Daily Data'!E393)</f>
        <v/>
      </c>
      <c r="F393" s="90">
        <f>IF($E393="","",'Daily Data'!F393)</f>
        <v/>
      </c>
      <c r="G393" s="90">
        <f>IF($E393="","",'Daily Data'!G393)</f>
        <v/>
      </c>
      <c r="H393" s="91">
        <f>IF($E393="","",(1-K393)*F393-G393)</f>
        <v/>
      </c>
      <c r="I393" s="90">
        <f>IF($E393="","",'Daily Data'!H393)</f>
        <v/>
      </c>
      <c r="J393" s="91">
        <f>IF($E393="","",E393-H393-I393)</f>
        <v/>
      </c>
      <c r="K393" s="60">
        <f>IF($E393="","",IF(A393&lt;HLP_ChangeDate,HLP_Legacy,HLP_Current))</f>
        <v/>
      </c>
      <c r="L393" s="91">
        <f>IF($E393="","",J393/(1-K393))</f>
        <v/>
      </c>
      <c r="M393" s="90">
        <f>IF($E393="","",'Daily Data'!I393)</f>
        <v/>
      </c>
      <c r="N393" s="91">
        <f>IF($E393="","",M393*(1-K393)-I393)</f>
        <v/>
      </c>
      <c r="O393" s="92" t="n">
        <v>178782</v>
      </c>
      <c r="P393" s="93">
        <f>IF($E393="","",(L393+F393+M393)*K393)</f>
        <v/>
      </c>
      <c r="Q393" s="91">
        <f>IF($E393="","",L393*K393)</f>
        <v/>
      </c>
      <c r="R393" s="91">
        <f>IF($E393="","",F393*K393)</f>
        <v/>
      </c>
      <c r="S393" s="91">
        <f>IF($E393="","",M393*K393)</f>
        <v/>
      </c>
      <c r="T393" s="63">
        <f>IF(OR($E393="",B393=0),"",L393/B393*10000)</f>
        <v/>
      </c>
      <c r="U393" s="63">
        <f>IF(OR($E393="",C393=0),"",F393/C393*10000)</f>
        <v/>
      </c>
      <c r="V393" s="63">
        <f>IF(OR($E393="",D393=0),"",M393/D393*10000)</f>
        <v/>
      </c>
    </row>
    <row r="394">
      <c r="A394" s="35" t="n">
        <v>46048</v>
      </c>
      <c r="B394" s="90">
        <f>'Daily Data'!B394</f>
        <v/>
      </c>
      <c r="C394" s="90">
        <f>'Daily Data'!D394</f>
        <v/>
      </c>
      <c r="D394" s="90">
        <f>'Daily Data'!C394</f>
        <v/>
      </c>
      <c r="E394" s="90">
        <f>IF('Daily Data'!E394="","",'Daily Data'!E394)</f>
        <v/>
      </c>
      <c r="F394" s="90">
        <f>IF($E394="","",'Daily Data'!F394)</f>
        <v/>
      </c>
      <c r="G394" s="90">
        <f>IF($E394="","",'Daily Data'!G394)</f>
        <v/>
      </c>
      <c r="H394" s="91">
        <f>IF($E394="","",(1-K394)*F394-G394)</f>
        <v/>
      </c>
      <c r="I394" s="90">
        <f>IF($E394="","",'Daily Data'!H394)</f>
        <v/>
      </c>
      <c r="J394" s="91">
        <f>IF($E394="","",E394-H394-I394)</f>
        <v/>
      </c>
      <c r="K394" s="60">
        <f>IF($E394="","",IF(A394&lt;HLP_ChangeDate,HLP_Legacy,HLP_Current))</f>
        <v/>
      </c>
      <c r="L394" s="91">
        <f>IF($E394="","",J394/(1-K394))</f>
        <v/>
      </c>
      <c r="M394" s="90">
        <f>IF($E394="","",'Daily Data'!I394)</f>
        <v/>
      </c>
      <c r="N394" s="91">
        <f>IF($E394="","",M394*(1-K394)-I394)</f>
        <v/>
      </c>
      <c r="O394" s="92" t="n">
        <v>225300</v>
      </c>
      <c r="P394" s="93">
        <f>IF($E394="","",(L394+F394+M394)*K394)</f>
        <v/>
      </c>
      <c r="Q394" s="91">
        <f>IF($E394="","",L394*K394)</f>
        <v/>
      </c>
      <c r="R394" s="91">
        <f>IF($E394="","",F394*K394)</f>
        <v/>
      </c>
      <c r="S394" s="91">
        <f>IF($E394="","",M394*K394)</f>
        <v/>
      </c>
      <c r="T394" s="63">
        <f>IF(OR($E394="",B394=0),"",L394/B394*10000)</f>
        <v/>
      </c>
      <c r="U394" s="63">
        <f>IF(OR($E394="",C394=0),"",F394/C394*10000)</f>
        <v/>
      </c>
      <c r="V394" s="63">
        <f>IF(OR($E394="",D394=0),"",M394/D394*10000)</f>
        <v/>
      </c>
    </row>
    <row r="395">
      <c r="A395" s="35" t="n">
        <v>46049</v>
      </c>
      <c r="B395" s="90">
        <f>'Daily Data'!B395</f>
        <v/>
      </c>
      <c r="C395" s="90">
        <f>'Daily Data'!D395</f>
        <v/>
      </c>
      <c r="D395" s="90">
        <f>'Daily Data'!C395</f>
        <v/>
      </c>
      <c r="E395" s="90">
        <f>IF('Daily Data'!E395="","",'Daily Data'!E395)</f>
        <v/>
      </c>
      <c r="F395" s="90">
        <f>IF($E395="","",'Daily Data'!F395)</f>
        <v/>
      </c>
      <c r="G395" s="90">
        <f>IF($E395="","",'Daily Data'!G395)</f>
        <v/>
      </c>
      <c r="H395" s="91">
        <f>IF($E395="","",(1-K395)*F395-G395)</f>
        <v/>
      </c>
      <c r="I395" s="90">
        <f>IF($E395="","",'Daily Data'!H395)</f>
        <v/>
      </c>
      <c r="J395" s="91">
        <f>IF($E395="","",E395-H395-I395)</f>
        <v/>
      </c>
      <c r="K395" s="60">
        <f>IF($E395="","",IF(A395&lt;HLP_ChangeDate,HLP_Legacy,HLP_Current))</f>
        <v/>
      </c>
      <c r="L395" s="91">
        <f>IF($E395="","",J395/(1-K395))</f>
        <v/>
      </c>
      <c r="M395" s="90">
        <f>IF($E395="","",'Daily Data'!I395)</f>
        <v/>
      </c>
      <c r="N395" s="91">
        <f>IF($E395="","",M395*(1-K395)-I395)</f>
        <v/>
      </c>
      <c r="O395" s="92" t="n">
        <v>177736</v>
      </c>
      <c r="P395" s="93">
        <f>IF($E395="","",(L395+F395+M395)*K395)</f>
        <v/>
      </c>
      <c r="Q395" s="91">
        <f>IF($E395="","",L395*K395)</f>
        <v/>
      </c>
      <c r="R395" s="91">
        <f>IF($E395="","",F395*K395)</f>
        <v/>
      </c>
      <c r="S395" s="91">
        <f>IF($E395="","",M395*K395)</f>
        <v/>
      </c>
      <c r="T395" s="63">
        <f>IF(OR($E395="",B395=0),"",L395/B395*10000)</f>
        <v/>
      </c>
      <c r="U395" s="63">
        <f>IF(OR($E395="",C395=0),"",F395/C395*10000)</f>
        <v/>
      </c>
      <c r="V395" s="63">
        <f>IF(OR($E395="",D395=0),"",M395/D395*10000)</f>
        <v/>
      </c>
    </row>
    <row r="396">
      <c r="A396" s="35" t="n">
        <v>46050</v>
      </c>
      <c r="B396" s="90">
        <f>'Daily Data'!B396</f>
        <v/>
      </c>
      <c r="C396" s="90">
        <f>'Daily Data'!D396</f>
        <v/>
      </c>
      <c r="D396" s="90">
        <f>'Daily Data'!C396</f>
        <v/>
      </c>
      <c r="E396" s="90">
        <f>IF('Daily Data'!E396="","",'Daily Data'!E396)</f>
        <v/>
      </c>
      <c r="F396" s="90">
        <f>IF($E396="","",'Daily Data'!F396)</f>
        <v/>
      </c>
      <c r="G396" s="90">
        <f>IF($E396="","",'Daily Data'!G396)</f>
        <v/>
      </c>
      <c r="H396" s="91">
        <f>IF($E396="","",(1-K396)*F396-G396)</f>
        <v/>
      </c>
      <c r="I396" s="90">
        <f>IF($E396="","",'Daily Data'!H396)</f>
        <v/>
      </c>
      <c r="J396" s="91">
        <f>IF($E396="","",E396-H396-I396)</f>
        <v/>
      </c>
      <c r="K396" s="60">
        <f>IF($E396="","",IF(A396&lt;HLP_ChangeDate,HLP_Legacy,HLP_Current))</f>
        <v/>
      </c>
      <c r="L396" s="91">
        <f>IF($E396="","",J396/(1-K396))</f>
        <v/>
      </c>
      <c r="M396" s="90">
        <f>IF($E396="","",'Daily Data'!I396)</f>
        <v/>
      </c>
      <c r="N396" s="91">
        <f>IF($E396="","",M396*(1-K396)-I396)</f>
        <v/>
      </c>
      <c r="O396" s="92" t="n">
        <v>187510</v>
      </c>
      <c r="P396" s="93">
        <f>IF($E396="","",(L396+F396+M396)*K396)</f>
        <v/>
      </c>
      <c r="Q396" s="91">
        <f>IF($E396="","",L396*K396)</f>
        <v/>
      </c>
      <c r="R396" s="91">
        <f>IF($E396="","",F396*K396)</f>
        <v/>
      </c>
      <c r="S396" s="91">
        <f>IF($E396="","",M396*K396)</f>
        <v/>
      </c>
      <c r="T396" s="63">
        <f>IF(OR($E396="",B396=0),"",L396/B396*10000)</f>
        <v/>
      </c>
      <c r="U396" s="63">
        <f>IF(OR($E396="",C396=0),"",F396/C396*10000)</f>
        <v/>
      </c>
      <c r="V396" s="63">
        <f>IF(OR($E396="",D396=0),"",M396/D396*10000)</f>
        <v/>
      </c>
    </row>
    <row r="397">
      <c r="A397" s="35" t="n">
        <v>46051</v>
      </c>
      <c r="B397" s="90">
        <f>'Daily Data'!B397</f>
        <v/>
      </c>
      <c r="C397" s="90">
        <f>'Daily Data'!D397</f>
        <v/>
      </c>
      <c r="D397" s="90">
        <f>'Daily Data'!C397</f>
        <v/>
      </c>
      <c r="E397" s="90">
        <f>IF('Daily Data'!E397="","",'Daily Data'!E397)</f>
        <v/>
      </c>
      <c r="F397" s="90">
        <f>IF($E397="","",'Daily Data'!F397)</f>
        <v/>
      </c>
      <c r="G397" s="90">
        <f>IF($E397="","",'Daily Data'!G397)</f>
        <v/>
      </c>
      <c r="H397" s="91">
        <f>IF($E397="","",(1-K397)*F397-G397)</f>
        <v/>
      </c>
      <c r="I397" s="90">
        <f>IF($E397="","",'Daily Data'!H397)</f>
        <v/>
      </c>
      <c r="J397" s="91">
        <f>IF($E397="","",E397-H397-I397)</f>
        <v/>
      </c>
      <c r="K397" s="60">
        <f>IF($E397="","",IF(A397&lt;HLP_ChangeDate,HLP_Legacy,HLP_Current))</f>
        <v/>
      </c>
      <c r="L397" s="91">
        <f>IF($E397="","",J397/(1-K397))</f>
        <v/>
      </c>
      <c r="M397" s="90">
        <f>IF($E397="","",'Daily Data'!I397)</f>
        <v/>
      </c>
      <c r="N397" s="91">
        <f>IF($E397="","",M397*(1-K397)-I397)</f>
        <v/>
      </c>
      <c r="O397" s="92" t="n">
        <v>322959</v>
      </c>
      <c r="P397" s="93">
        <f>IF($E397="","",(L397+F397+M397)*K397)</f>
        <v/>
      </c>
      <c r="Q397" s="91">
        <f>IF($E397="","",L397*K397)</f>
        <v/>
      </c>
      <c r="R397" s="91">
        <f>IF($E397="","",F397*K397)</f>
        <v/>
      </c>
      <c r="S397" s="91">
        <f>IF($E397="","",M397*K397)</f>
        <v/>
      </c>
      <c r="T397" s="63">
        <f>IF(OR($E397="",B397=0),"",L397/B397*10000)</f>
        <v/>
      </c>
      <c r="U397" s="63">
        <f>IF(OR($E397="",C397=0),"",F397/C397*10000)</f>
        <v/>
      </c>
      <c r="V397" s="63">
        <f>IF(OR($E397="",D397=0),"",M397/D397*10000)</f>
        <v/>
      </c>
    </row>
    <row r="398">
      <c r="A398" s="35" t="n">
        <v>46052</v>
      </c>
      <c r="B398" s="90">
        <f>'Daily Data'!B398</f>
        <v/>
      </c>
      <c r="C398" s="90">
        <f>'Daily Data'!D398</f>
        <v/>
      </c>
      <c r="D398" s="90">
        <f>'Daily Data'!C398</f>
        <v/>
      </c>
      <c r="E398" s="90">
        <f>IF('Daily Data'!E398="","",'Daily Data'!E398)</f>
        <v/>
      </c>
      <c r="F398" s="90">
        <f>IF($E398="","",'Daily Data'!F398)</f>
        <v/>
      </c>
      <c r="G398" s="90">
        <f>IF($E398="","",'Daily Data'!G398)</f>
        <v/>
      </c>
      <c r="H398" s="91">
        <f>IF($E398="","",(1-K398)*F398-G398)</f>
        <v/>
      </c>
      <c r="I398" s="90">
        <f>IF($E398="","",'Daily Data'!H398)</f>
        <v/>
      </c>
      <c r="J398" s="91">
        <f>IF($E398="","",E398-H398-I398)</f>
        <v/>
      </c>
      <c r="K398" s="60">
        <f>IF($E398="","",IF(A398&lt;HLP_ChangeDate,HLP_Legacy,HLP_Current))</f>
        <v/>
      </c>
      <c r="L398" s="91">
        <f>IF($E398="","",J398/(1-K398))</f>
        <v/>
      </c>
      <c r="M398" s="90">
        <f>IF($E398="","",'Daily Data'!I398)</f>
        <v/>
      </c>
      <c r="N398" s="91">
        <f>IF($E398="","",M398*(1-K398)-I398)</f>
        <v/>
      </c>
      <c r="O398" s="92" t="n">
        <v>307103</v>
      </c>
      <c r="P398" s="93">
        <f>IF($E398="","",(L398+F398+M398)*K398)</f>
        <v/>
      </c>
      <c r="Q398" s="91">
        <f>IF($E398="","",L398*K398)</f>
        <v/>
      </c>
      <c r="R398" s="91">
        <f>IF($E398="","",F398*K398)</f>
        <v/>
      </c>
      <c r="S398" s="91">
        <f>IF($E398="","",M398*K398)</f>
        <v/>
      </c>
      <c r="T398" s="63">
        <f>IF(OR($E398="",B398=0),"",L398/B398*10000)</f>
        <v/>
      </c>
      <c r="U398" s="63">
        <f>IF(OR($E398="",C398=0),"",F398/C398*10000)</f>
        <v/>
      </c>
      <c r="V398" s="63">
        <f>IF(OR($E398="",D398=0),"",M398/D398*10000)</f>
        <v/>
      </c>
    </row>
    <row r="399">
      <c r="A399" s="35" t="n">
        <v>46053</v>
      </c>
      <c r="B399" s="90">
        <f>'Daily Data'!B399</f>
        <v/>
      </c>
      <c r="C399" s="90">
        <f>'Daily Data'!D399</f>
        <v/>
      </c>
      <c r="D399" s="90">
        <f>'Daily Data'!C399</f>
        <v/>
      </c>
      <c r="E399" s="90">
        <f>IF('Daily Data'!E399="","",'Daily Data'!E399)</f>
        <v/>
      </c>
      <c r="F399" s="90">
        <f>IF($E399="","",'Daily Data'!F399)</f>
        <v/>
      </c>
      <c r="G399" s="90">
        <f>IF($E399="","",'Daily Data'!G399)</f>
        <v/>
      </c>
      <c r="H399" s="91">
        <f>IF($E399="","",(1-K399)*F399-G399)</f>
        <v/>
      </c>
      <c r="I399" s="90">
        <f>IF($E399="","",'Daily Data'!H399)</f>
        <v/>
      </c>
      <c r="J399" s="91">
        <f>IF($E399="","",E399-H399-I399)</f>
        <v/>
      </c>
      <c r="K399" s="60">
        <f>IF($E399="","",IF(A399&lt;HLP_ChangeDate,HLP_Legacy,HLP_Current))</f>
        <v/>
      </c>
      <c r="L399" s="91">
        <f>IF($E399="","",J399/(1-K399))</f>
        <v/>
      </c>
      <c r="M399" s="90">
        <f>IF($E399="","",'Daily Data'!I399)</f>
        <v/>
      </c>
      <c r="N399" s="91">
        <f>IF($E399="","",M399*(1-K399)-I399)</f>
        <v/>
      </c>
      <c r="O399" s="92" t="n">
        <v>227237</v>
      </c>
      <c r="P399" s="93">
        <f>IF($E399="","",(L399+F399+M399)*K399)</f>
        <v/>
      </c>
      <c r="Q399" s="91">
        <f>IF($E399="","",L399*K399)</f>
        <v/>
      </c>
      <c r="R399" s="91">
        <f>IF($E399="","",F399*K399)</f>
        <v/>
      </c>
      <c r="S399" s="91">
        <f>IF($E399="","",M399*K399)</f>
        <v/>
      </c>
      <c r="T399" s="63">
        <f>IF(OR($E399="",B399=0),"",L399/B399*10000)</f>
        <v/>
      </c>
      <c r="U399" s="63">
        <f>IF(OR($E399="",C399=0),"",F399/C399*10000)</f>
        <v/>
      </c>
      <c r="V399" s="63">
        <f>IF(OR($E399="",D399=0),"",M399/D399*10000)</f>
        <v/>
      </c>
    </row>
    <row r="400">
      <c r="A400" s="35" t="n">
        <v>46054</v>
      </c>
      <c r="B400" s="90">
        <f>'Daily Data'!B400</f>
        <v/>
      </c>
      <c r="C400" s="90">
        <f>'Daily Data'!D400</f>
        <v/>
      </c>
      <c r="D400" s="90">
        <f>'Daily Data'!C400</f>
        <v/>
      </c>
      <c r="E400" s="90">
        <f>IF('Daily Data'!E400="","",'Daily Data'!E400)</f>
        <v/>
      </c>
      <c r="F400" s="90">
        <f>IF($E400="","",'Daily Data'!F400)</f>
        <v/>
      </c>
      <c r="G400" s="90">
        <f>IF($E400="","",'Daily Data'!G400)</f>
        <v/>
      </c>
      <c r="H400" s="91">
        <f>IF($E400="","",(1-K400)*F400-G400)</f>
        <v/>
      </c>
      <c r="I400" s="90">
        <f>IF($E400="","",'Daily Data'!H400)</f>
        <v/>
      </c>
      <c r="J400" s="91">
        <f>IF($E400="","",E400-H400-I400)</f>
        <v/>
      </c>
      <c r="K400" s="60">
        <f>IF($E400="","",IF(A400&lt;HLP_ChangeDate,HLP_Legacy,HLP_Current))</f>
        <v/>
      </c>
      <c r="L400" s="91">
        <f>IF($E400="","",J400/(1-K400))</f>
        <v/>
      </c>
      <c r="M400" s="90">
        <f>IF($E400="","",'Daily Data'!I400)</f>
        <v/>
      </c>
      <c r="N400" s="91">
        <f>IF($E400="","",M400*(1-K400)-I400)</f>
        <v/>
      </c>
      <c r="O400" s="92" t="n">
        <v>259246</v>
      </c>
      <c r="P400" s="93">
        <f>IF($E400="","",(L400+F400+M400)*K400)</f>
        <v/>
      </c>
      <c r="Q400" s="91">
        <f>IF($E400="","",L400*K400)</f>
        <v/>
      </c>
      <c r="R400" s="91">
        <f>IF($E400="","",F400*K400)</f>
        <v/>
      </c>
      <c r="S400" s="91">
        <f>IF($E400="","",M400*K400)</f>
        <v/>
      </c>
      <c r="T400" s="63">
        <f>IF(OR($E400="",B400=0),"",L400/B400*10000)</f>
        <v/>
      </c>
      <c r="U400" s="63">
        <f>IF(OR($E400="",C400=0),"",F400/C400*10000)</f>
        <v/>
      </c>
      <c r="V400" s="63">
        <f>IF(OR($E400="",D400=0),"",M400/D400*10000)</f>
        <v/>
      </c>
    </row>
    <row r="401">
      <c r="A401" s="35" t="n">
        <v>46055</v>
      </c>
      <c r="B401" s="90">
        <f>'Daily Data'!B401</f>
        <v/>
      </c>
      <c r="C401" s="90">
        <f>'Daily Data'!D401</f>
        <v/>
      </c>
      <c r="D401" s="90">
        <f>'Daily Data'!C401</f>
        <v/>
      </c>
      <c r="E401" s="90">
        <f>IF('Daily Data'!E401="","",'Daily Data'!E401)</f>
        <v/>
      </c>
      <c r="F401" s="90">
        <f>IF($E401="","",'Daily Data'!F401)</f>
        <v/>
      </c>
      <c r="G401" s="90">
        <f>IF($E401="","",'Daily Data'!G401)</f>
        <v/>
      </c>
      <c r="H401" s="91">
        <f>IF($E401="","",(1-K401)*F401-G401)</f>
        <v/>
      </c>
      <c r="I401" s="90">
        <f>IF($E401="","",'Daily Data'!H401)</f>
        <v/>
      </c>
      <c r="J401" s="91">
        <f>IF($E401="","",E401-H401-I401)</f>
        <v/>
      </c>
      <c r="K401" s="60">
        <f>IF($E401="","",IF(A401&lt;HLP_ChangeDate,HLP_Legacy,HLP_Current))</f>
        <v/>
      </c>
      <c r="L401" s="91">
        <f>IF($E401="","",J401/(1-K401))</f>
        <v/>
      </c>
      <c r="M401" s="90">
        <f>IF($E401="","",'Daily Data'!I401)</f>
        <v/>
      </c>
      <c r="N401" s="91">
        <f>IF($E401="","",M401*(1-K401)-I401)</f>
        <v/>
      </c>
      <c r="O401" s="92" t="n">
        <v>239423</v>
      </c>
      <c r="P401" s="93">
        <f>IF($E401="","",(L401+F401+M401)*K401)</f>
        <v/>
      </c>
      <c r="Q401" s="91">
        <f>IF($E401="","",L401*K401)</f>
        <v/>
      </c>
      <c r="R401" s="91">
        <f>IF($E401="","",F401*K401)</f>
        <v/>
      </c>
      <c r="S401" s="91">
        <f>IF($E401="","",M401*K401)</f>
        <v/>
      </c>
      <c r="T401" s="63">
        <f>IF(OR($E401="",B401=0),"",L401/B401*10000)</f>
        <v/>
      </c>
      <c r="U401" s="63">
        <f>IF(OR($E401="",C401=0),"",F401/C401*10000)</f>
        <v/>
      </c>
      <c r="V401" s="63">
        <f>IF(OR($E401="",D401=0),"",M401/D401*10000)</f>
        <v/>
      </c>
    </row>
    <row r="402">
      <c r="A402" s="35" t="n">
        <v>46056</v>
      </c>
      <c r="B402" s="90">
        <f>'Daily Data'!B402</f>
        <v/>
      </c>
      <c r="C402" s="90">
        <f>'Daily Data'!D402</f>
        <v/>
      </c>
      <c r="D402" s="90">
        <f>'Daily Data'!C402</f>
        <v/>
      </c>
      <c r="E402" s="90">
        <f>IF('Daily Data'!E402="","",'Daily Data'!E402)</f>
        <v/>
      </c>
      <c r="F402" s="90">
        <f>IF($E402="","",'Daily Data'!F402)</f>
        <v/>
      </c>
      <c r="G402" s="90">
        <f>IF($E402="","",'Daily Data'!G402)</f>
        <v/>
      </c>
      <c r="H402" s="91">
        <f>IF($E402="","",(1-K402)*F402-G402)</f>
        <v/>
      </c>
      <c r="I402" s="90">
        <f>IF($E402="","",'Daily Data'!H402)</f>
        <v/>
      </c>
      <c r="J402" s="91">
        <f>IF($E402="","",E402-H402-I402)</f>
        <v/>
      </c>
      <c r="K402" s="60">
        <f>IF($E402="","",IF(A402&lt;HLP_ChangeDate,HLP_Legacy,HLP_Current))</f>
        <v/>
      </c>
      <c r="L402" s="91">
        <f>IF($E402="","",J402/(1-K402))</f>
        <v/>
      </c>
      <c r="M402" s="90">
        <f>IF($E402="","",'Daily Data'!I402)</f>
        <v/>
      </c>
      <c r="N402" s="91">
        <f>IF($E402="","",M402*(1-K402)-I402)</f>
        <v/>
      </c>
      <c r="O402" s="92" t="n">
        <v>222552</v>
      </c>
      <c r="P402" s="93">
        <f>IF($E402="","",(L402+F402+M402)*K402)</f>
        <v/>
      </c>
      <c r="Q402" s="91">
        <f>IF($E402="","",L402*K402)</f>
        <v/>
      </c>
      <c r="R402" s="91">
        <f>IF($E402="","",F402*K402)</f>
        <v/>
      </c>
      <c r="S402" s="91">
        <f>IF($E402="","",M402*K402)</f>
        <v/>
      </c>
      <c r="T402" s="63">
        <f>IF(OR($E402="",B402=0),"",L402/B402*10000)</f>
        <v/>
      </c>
      <c r="U402" s="63">
        <f>IF(OR($E402="",C402=0),"",F402/C402*10000)</f>
        <v/>
      </c>
      <c r="V402" s="63">
        <f>IF(OR($E402="",D402=0),"",M402/D402*10000)</f>
        <v/>
      </c>
    </row>
    <row r="403">
      <c r="A403" s="35" t="n">
        <v>46057</v>
      </c>
      <c r="B403" s="90">
        <f>'Daily Data'!B403</f>
        <v/>
      </c>
      <c r="C403" s="90">
        <f>'Daily Data'!D403</f>
        <v/>
      </c>
      <c r="D403" s="90">
        <f>'Daily Data'!C403</f>
        <v/>
      </c>
      <c r="E403" s="90">
        <f>IF('Daily Data'!E403="","",'Daily Data'!E403)</f>
        <v/>
      </c>
      <c r="F403" s="90">
        <f>IF($E403="","",'Daily Data'!F403)</f>
        <v/>
      </c>
      <c r="G403" s="90">
        <f>IF($E403="","",'Daily Data'!G403)</f>
        <v/>
      </c>
      <c r="H403" s="91">
        <f>IF($E403="","",(1-K403)*F403-G403)</f>
        <v/>
      </c>
      <c r="I403" s="90">
        <f>IF($E403="","",'Daily Data'!H403)</f>
        <v/>
      </c>
      <c r="J403" s="91">
        <f>IF($E403="","",E403-H403-I403)</f>
        <v/>
      </c>
      <c r="K403" s="60">
        <f>IF($E403="","",IF(A403&lt;HLP_ChangeDate,HLP_Legacy,HLP_Current))</f>
        <v/>
      </c>
      <c r="L403" s="91">
        <f>IF($E403="","",J403/(1-K403))</f>
        <v/>
      </c>
      <c r="M403" s="90">
        <f>IF($E403="","",'Daily Data'!I403)</f>
        <v/>
      </c>
      <c r="N403" s="91">
        <f>IF($E403="","",M403*(1-K403)-I403)</f>
        <v/>
      </c>
      <c r="O403" s="92" t="n">
        <v>233100</v>
      </c>
      <c r="P403" s="93">
        <f>IF($E403="","",(L403+F403+M403)*K403)</f>
        <v/>
      </c>
      <c r="Q403" s="91">
        <f>IF($E403="","",L403*K403)</f>
        <v/>
      </c>
      <c r="R403" s="91">
        <f>IF($E403="","",F403*K403)</f>
        <v/>
      </c>
      <c r="S403" s="91">
        <f>IF($E403="","",M403*K403)</f>
        <v/>
      </c>
      <c r="T403" s="63">
        <f>IF(OR($E403="",B403=0),"",L403/B403*10000)</f>
        <v/>
      </c>
      <c r="U403" s="63">
        <f>IF(OR($E403="",C403=0),"",F403/C403*10000)</f>
        <v/>
      </c>
      <c r="V403" s="63">
        <f>IF(OR($E403="",D403=0),"",M403/D403*10000)</f>
        <v/>
      </c>
    </row>
    <row r="404">
      <c r="A404" s="35" t="n">
        <v>46058</v>
      </c>
      <c r="B404" s="90">
        <f>'Daily Data'!B404</f>
        <v/>
      </c>
      <c r="C404" s="90">
        <f>'Daily Data'!D404</f>
        <v/>
      </c>
      <c r="D404" s="90">
        <f>'Daily Data'!C404</f>
        <v/>
      </c>
      <c r="E404" s="90">
        <f>IF('Daily Data'!E404="","",'Daily Data'!E404)</f>
        <v/>
      </c>
      <c r="F404" s="90">
        <f>IF($E404="","",'Daily Data'!F404)</f>
        <v/>
      </c>
      <c r="G404" s="90">
        <f>IF($E404="","",'Daily Data'!G404)</f>
        <v/>
      </c>
      <c r="H404" s="91">
        <f>IF($E404="","",(1-K404)*F404-G404)</f>
        <v/>
      </c>
      <c r="I404" s="90">
        <f>IF($E404="","",'Daily Data'!H404)</f>
        <v/>
      </c>
      <c r="J404" s="91">
        <f>IF($E404="","",E404-H404-I404)</f>
        <v/>
      </c>
      <c r="K404" s="60">
        <f>IF($E404="","",IF(A404&lt;HLP_ChangeDate,HLP_Legacy,HLP_Current))</f>
        <v/>
      </c>
      <c r="L404" s="91">
        <f>IF($E404="","",J404/(1-K404))</f>
        <v/>
      </c>
      <c r="M404" s="90">
        <f>IF($E404="","",'Daily Data'!I404)</f>
        <v/>
      </c>
      <c r="N404" s="91">
        <f>IF($E404="","",M404*(1-K404)-I404)</f>
        <v/>
      </c>
      <c r="O404" s="92" t="n">
        <v>410725</v>
      </c>
      <c r="P404" s="93">
        <f>IF($E404="","",(L404+F404+M404)*K404)</f>
        <v/>
      </c>
      <c r="Q404" s="91">
        <f>IF($E404="","",L404*K404)</f>
        <v/>
      </c>
      <c r="R404" s="91">
        <f>IF($E404="","",F404*K404)</f>
        <v/>
      </c>
      <c r="S404" s="91">
        <f>IF($E404="","",M404*K404)</f>
        <v/>
      </c>
      <c r="T404" s="63">
        <f>IF(OR($E404="",B404=0),"",L404/B404*10000)</f>
        <v/>
      </c>
      <c r="U404" s="63">
        <f>IF(OR($E404="",C404=0),"",F404/C404*10000)</f>
        <v/>
      </c>
      <c r="V404" s="63">
        <f>IF(OR($E404="",D404=0),"",M404/D404*10000)</f>
        <v/>
      </c>
    </row>
    <row r="405">
      <c r="A405" s="35" t="n">
        <v>46059</v>
      </c>
      <c r="B405" s="90">
        <f>'Daily Data'!B405</f>
        <v/>
      </c>
      <c r="C405" s="90">
        <f>'Daily Data'!D405</f>
        <v/>
      </c>
      <c r="D405" s="90">
        <f>'Daily Data'!C405</f>
        <v/>
      </c>
      <c r="E405" s="90">
        <f>IF('Daily Data'!E405="","",'Daily Data'!E405)</f>
        <v/>
      </c>
      <c r="F405" s="90">
        <f>IF($E405="","",'Daily Data'!F405)</f>
        <v/>
      </c>
      <c r="G405" s="90">
        <f>IF($E405="","",'Daily Data'!G405)</f>
        <v/>
      </c>
      <c r="H405" s="91">
        <f>IF($E405="","",(1-K405)*F405-G405)</f>
        <v/>
      </c>
      <c r="I405" s="90">
        <f>IF($E405="","",'Daily Data'!H405)</f>
        <v/>
      </c>
      <c r="J405" s="91">
        <f>IF($E405="","",E405-H405-I405)</f>
        <v/>
      </c>
      <c r="K405" s="60">
        <f>IF($E405="","",IF(A405&lt;HLP_ChangeDate,HLP_Legacy,HLP_Current))</f>
        <v/>
      </c>
      <c r="L405" s="91">
        <f>IF($E405="","",J405/(1-K405))</f>
        <v/>
      </c>
      <c r="M405" s="90">
        <f>IF($E405="","",'Daily Data'!I405)</f>
        <v/>
      </c>
      <c r="N405" s="91">
        <f>IF($E405="","",M405*(1-K405)-I405)</f>
        <v/>
      </c>
      <c r="O405" s="92" t="n">
        <v>450567</v>
      </c>
      <c r="P405" s="93">
        <f>IF($E405="","",(L405+F405+M405)*K405)</f>
        <v/>
      </c>
      <c r="Q405" s="91">
        <f>IF($E405="","",L405*K405)</f>
        <v/>
      </c>
      <c r="R405" s="91">
        <f>IF($E405="","",F405*K405)</f>
        <v/>
      </c>
      <c r="S405" s="91">
        <f>IF($E405="","",M405*K405)</f>
        <v/>
      </c>
      <c r="T405" s="63">
        <f>IF(OR($E405="",B405=0),"",L405/B405*10000)</f>
        <v/>
      </c>
      <c r="U405" s="63">
        <f>IF(OR($E405="",C405=0),"",F405/C405*10000)</f>
        <v/>
      </c>
      <c r="V405" s="63">
        <f>IF(OR($E405="",D405=0),"",M405/D405*10000)</f>
        <v/>
      </c>
    </row>
    <row r="406">
      <c r="A406" s="35" t="n">
        <v>46060</v>
      </c>
      <c r="B406" s="90">
        <f>'Daily Data'!B406</f>
        <v/>
      </c>
      <c r="C406" s="90">
        <f>'Daily Data'!D406</f>
        <v/>
      </c>
      <c r="D406" s="90">
        <f>'Daily Data'!C406</f>
        <v/>
      </c>
      <c r="E406" s="90">
        <f>IF('Daily Data'!E406="","",'Daily Data'!E406)</f>
        <v/>
      </c>
      <c r="F406" s="90">
        <f>IF($E406="","",'Daily Data'!F406)</f>
        <v/>
      </c>
      <c r="G406" s="90">
        <f>IF($E406="","",'Daily Data'!G406)</f>
        <v/>
      </c>
      <c r="H406" s="91">
        <f>IF($E406="","",(1-K406)*F406-G406)</f>
        <v/>
      </c>
      <c r="I406" s="90">
        <f>IF($E406="","",'Daily Data'!H406)</f>
        <v/>
      </c>
      <c r="J406" s="91">
        <f>IF($E406="","",E406-H406-I406)</f>
        <v/>
      </c>
      <c r="K406" s="60">
        <f>IF($E406="","",IF(A406&lt;HLP_ChangeDate,HLP_Legacy,HLP_Current))</f>
        <v/>
      </c>
      <c r="L406" s="91">
        <f>IF($E406="","",J406/(1-K406))</f>
        <v/>
      </c>
      <c r="M406" s="90">
        <f>IF($E406="","",'Daily Data'!I406)</f>
        <v/>
      </c>
      <c r="N406" s="91">
        <f>IF($E406="","",M406*(1-K406)-I406)</f>
        <v/>
      </c>
      <c r="O406" s="92" t="n">
        <v>205095</v>
      </c>
      <c r="P406" s="93">
        <f>IF($E406="","",(L406+F406+M406)*K406)</f>
        <v/>
      </c>
      <c r="Q406" s="91">
        <f>IF($E406="","",L406*K406)</f>
        <v/>
      </c>
      <c r="R406" s="91">
        <f>IF($E406="","",F406*K406)</f>
        <v/>
      </c>
      <c r="S406" s="91">
        <f>IF($E406="","",M406*K406)</f>
        <v/>
      </c>
      <c r="T406" s="63">
        <f>IF(OR($E406="",B406=0),"",L406/B406*10000)</f>
        <v/>
      </c>
      <c r="U406" s="63">
        <f>IF(OR($E406="",C406=0),"",F406/C406*10000)</f>
        <v/>
      </c>
      <c r="V406" s="63">
        <f>IF(OR($E406="",D406=0),"",M406/D406*10000)</f>
        <v/>
      </c>
    </row>
    <row r="407">
      <c r="A407" s="35" t="n">
        <v>46061</v>
      </c>
      <c r="B407" s="90">
        <f>'Daily Data'!B407</f>
        <v/>
      </c>
      <c r="C407" s="90">
        <f>'Daily Data'!D407</f>
        <v/>
      </c>
      <c r="D407" s="90">
        <f>'Daily Data'!C407</f>
        <v/>
      </c>
      <c r="E407" s="90">
        <f>IF('Daily Data'!E407="","",'Daily Data'!E407)</f>
        <v/>
      </c>
      <c r="F407" s="90">
        <f>IF($E407="","",'Daily Data'!F407)</f>
        <v/>
      </c>
      <c r="G407" s="90">
        <f>IF($E407="","",'Daily Data'!G407)</f>
        <v/>
      </c>
      <c r="H407" s="91">
        <f>IF($E407="","",(1-K407)*F407-G407)</f>
        <v/>
      </c>
      <c r="I407" s="90">
        <f>IF($E407="","",'Daily Data'!H407)</f>
        <v/>
      </c>
      <c r="J407" s="91">
        <f>IF($E407="","",E407-H407-I407)</f>
        <v/>
      </c>
      <c r="K407" s="60">
        <f>IF($E407="","",IF(A407&lt;HLP_ChangeDate,HLP_Legacy,HLP_Current))</f>
        <v/>
      </c>
      <c r="L407" s="91">
        <f>IF($E407="","",J407/(1-K407))</f>
        <v/>
      </c>
      <c r="M407" s="90">
        <f>IF($E407="","",'Daily Data'!I407)</f>
        <v/>
      </c>
      <c r="N407" s="91">
        <f>IF($E407="","",M407*(1-K407)-I407)</f>
        <v/>
      </c>
      <c r="O407" s="92" t="n">
        <v>120026</v>
      </c>
      <c r="P407" s="93">
        <f>IF($E407="","",(L407+F407+M407)*K407)</f>
        <v/>
      </c>
      <c r="Q407" s="91">
        <f>IF($E407="","",L407*K407)</f>
        <v/>
      </c>
      <c r="R407" s="91">
        <f>IF($E407="","",F407*K407)</f>
        <v/>
      </c>
      <c r="S407" s="91">
        <f>IF($E407="","",M407*K407)</f>
        <v/>
      </c>
      <c r="T407" s="63">
        <f>IF(OR($E407="",B407=0),"",L407/B407*10000)</f>
        <v/>
      </c>
      <c r="U407" s="63">
        <f>IF(OR($E407="",C407=0),"",F407/C407*10000)</f>
        <v/>
      </c>
      <c r="V407" s="63">
        <f>IF(OR($E407="",D407=0),"",M407/D407*10000)</f>
        <v/>
      </c>
    </row>
    <row r="408">
      <c r="A408" s="35" t="n">
        <v>46062</v>
      </c>
      <c r="B408" s="90">
        <f>'Daily Data'!B408</f>
        <v/>
      </c>
      <c r="C408" s="90">
        <f>'Daily Data'!D408</f>
        <v/>
      </c>
      <c r="D408" s="90">
        <f>'Daily Data'!C408</f>
        <v/>
      </c>
      <c r="E408" s="90">
        <f>IF('Daily Data'!E408="","",'Daily Data'!E408)</f>
        <v/>
      </c>
      <c r="F408" s="90">
        <f>IF($E408="","",'Daily Data'!F408)</f>
        <v/>
      </c>
      <c r="G408" s="90">
        <f>IF($E408="","",'Daily Data'!G408)</f>
        <v/>
      </c>
      <c r="H408" s="91">
        <f>IF($E408="","",(1-K408)*F408-G408)</f>
        <v/>
      </c>
      <c r="I408" s="90">
        <f>IF($E408="","",'Daily Data'!H408)</f>
        <v/>
      </c>
      <c r="J408" s="91">
        <f>IF($E408="","",E408-H408-I408)</f>
        <v/>
      </c>
      <c r="K408" s="60">
        <f>IF($E408="","",IF(A408&lt;HLP_ChangeDate,HLP_Legacy,HLP_Current))</f>
        <v/>
      </c>
      <c r="L408" s="91">
        <f>IF($E408="","",J408/(1-K408))</f>
        <v/>
      </c>
      <c r="M408" s="90">
        <f>IF($E408="","",'Daily Data'!I408)</f>
        <v/>
      </c>
      <c r="N408" s="91">
        <f>IF($E408="","",M408*(1-K408)-I408)</f>
        <v/>
      </c>
      <c r="O408" s="92" t="n">
        <v>162071</v>
      </c>
      <c r="P408" s="93">
        <f>IF($E408="","",(L408+F408+M408)*K408)</f>
        <v/>
      </c>
      <c r="Q408" s="91">
        <f>IF($E408="","",L408*K408)</f>
        <v/>
      </c>
      <c r="R408" s="91">
        <f>IF($E408="","",F408*K408)</f>
        <v/>
      </c>
      <c r="S408" s="91">
        <f>IF($E408="","",M408*K408)</f>
        <v/>
      </c>
      <c r="T408" s="63">
        <f>IF(OR($E408="",B408=0),"",L408/B408*10000)</f>
        <v/>
      </c>
      <c r="U408" s="63">
        <f>IF(OR($E408="",C408=0),"",F408/C408*10000)</f>
        <v/>
      </c>
      <c r="V408" s="63">
        <f>IF(OR($E408="",D408=0),"",M408/D408*10000)</f>
        <v/>
      </c>
    </row>
    <row r="409">
      <c r="A409" s="35" t="n">
        <v>46063</v>
      </c>
      <c r="B409" s="90">
        <f>'Daily Data'!B409</f>
        <v/>
      </c>
      <c r="C409" s="90">
        <f>'Daily Data'!D409</f>
        <v/>
      </c>
      <c r="D409" s="90">
        <f>'Daily Data'!C409</f>
        <v/>
      </c>
      <c r="E409" s="90">
        <f>IF('Daily Data'!E409="","",'Daily Data'!E409)</f>
        <v/>
      </c>
      <c r="F409" s="90">
        <f>IF($E409="","",'Daily Data'!F409)</f>
        <v/>
      </c>
      <c r="G409" s="90">
        <f>IF($E409="","",'Daily Data'!G409)</f>
        <v/>
      </c>
      <c r="H409" s="91">
        <f>IF($E409="","",(1-K409)*F409-G409)</f>
        <v/>
      </c>
      <c r="I409" s="90">
        <f>IF($E409="","",'Daily Data'!H409)</f>
        <v/>
      </c>
      <c r="J409" s="91">
        <f>IF($E409="","",E409-H409-I409)</f>
        <v/>
      </c>
      <c r="K409" s="60">
        <f>IF($E409="","",IF(A409&lt;HLP_ChangeDate,HLP_Legacy,HLP_Current))</f>
        <v/>
      </c>
      <c r="L409" s="91">
        <f>IF($E409="","",J409/(1-K409))</f>
        <v/>
      </c>
      <c r="M409" s="90">
        <f>IF($E409="","",'Daily Data'!I409)</f>
        <v/>
      </c>
      <c r="N409" s="91">
        <f>IF($E409="","",M409*(1-K409)-I409)</f>
        <v/>
      </c>
      <c r="O409" s="92" t="n">
        <v>133452</v>
      </c>
      <c r="P409" s="93">
        <f>IF($E409="","",(L409+F409+M409)*K409)</f>
        <v/>
      </c>
      <c r="Q409" s="91">
        <f>IF($E409="","",L409*K409)</f>
        <v/>
      </c>
      <c r="R409" s="91">
        <f>IF($E409="","",F409*K409)</f>
        <v/>
      </c>
      <c r="S409" s="91">
        <f>IF($E409="","",M409*K409)</f>
        <v/>
      </c>
      <c r="T409" s="63">
        <f>IF(OR($E409="",B409=0),"",L409/B409*10000)</f>
        <v/>
      </c>
      <c r="U409" s="63">
        <f>IF(OR($E409="",C409=0),"",F409/C409*10000)</f>
        <v/>
      </c>
      <c r="V409" s="63">
        <f>IF(OR($E409="",D409=0),"",M409/D409*10000)</f>
        <v/>
      </c>
    </row>
    <row r="410">
      <c r="A410" s="35" t="n">
        <v>46064</v>
      </c>
      <c r="B410" s="90">
        <f>'Daily Data'!B410</f>
        <v/>
      </c>
      <c r="C410" s="90">
        <f>'Daily Data'!D410</f>
        <v/>
      </c>
      <c r="D410" s="90">
        <f>'Daily Data'!C410</f>
        <v/>
      </c>
      <c r="E410" s="90">
        <f>IF('Daily Data'!E410="","",'Daily Data'!E410)</f>
        <v/>
      </c>
      <c r="F410" s="90">
        <f>IF($E410="","",'Daily Data'!F410)</f>
        <v/>
      </c>
      <c r="G410" s="90">
        <f>IF($E410="","",'Daily Data'!G410)</f>
        <v/>
      </c>
      <c r="H410" s="91">
        <f>IF($E410="","",(1-K410)*F410-G410)</f>
        <v/>
      </c>
      <c r="I410" s="90">
        <f>IF($E410="","",'Daily Data'!H410)</f>
        <v/>
      </c>
      <c r="J410" s="91">
        <f>IF($E410="","",E410-H410-I410)</f>
        <v/>
      </c>
      <c r="K410" s="60">
        <f>IF($E410="","",IF(A410&lt;HLP_ChangeDate,HLP_Legacy,HLP_Current))</f>
        <v/>
      </c>
      <c r="L410" s="91">
        <f>IF($E410="","",J410/(1-K410))</f>
        <v/>
      </c>
      <c r="M410" s="90">
        <f>IF($E410="","",'Daily Data'!I410)</f>
        <v/>
      </c>
      <c r="N410" s="91">
        <f>IF($E410="","",M410*(1-K410)-I410)</f>
        <v/>
      </c>
      <c r="O410" s="92" t="n">
        <v>176899</v>
      </c>
      <c r="P410" s="93">
        <f>IF($E410="","",(L410+F410+M410)*K410)</f>
        <v/>
      </c>
      <c r="Q410" s="91">
        <f>IF($E410="","",L410*K410)</f>
        <v/>
      </c>
      <c r="R410" s="91">
        <f>IF($E410="","",F410*K410)</f>
        <v/>
      </c>
      <c r="S410" s="91">
        <f>IF($E410="","",M410*K410)</f>
        <v/>
      </c>
      <c r="T410" s="63">
        <f>IF(OR($E410="",B410=0),"",L410/B410*10000)</f>
        <v/>
      </c>
      <c r="U410" s="63">
        <f>IF(OR($E410="",C410=0),"",F410/C410*10000)</f>
        <v/>
      </c>
      <c r="V410" s="63">
        <f>IF(OR($E410="",D410=0),"",M410/D410*10000)</f>
        <v/>
      </c>
    </row>
    <row r="411">
      <c r="A411" s="35" t="n">
        <v>46065</v>
      </c>
      <c r="B411" s="90">
        <f>'Daily Data'!B411</f>
        <v/>
      </c>
      <c r="C411" s="90">
        <f>'Daily Data'!D411</f>
        <v/>
      </c>
      <c r="D411" s="90">
        <f>'Daily Data'!C411</f>
        <v/>
      </c>
      <c r="E411" s="90">
        <f>IF('Daily Data'!E411="","",'Daily Data'!E411)</f>
        <v/>
      </c>
      <c r="F411" s="90">
        <f>IF($E411="","",'Daily Data'!F411)</f>
        <v/>
      </c>
      <c r="G411" s="90">
        <f>IF($E411="","",'Daily Data'!G411)</f>
        <v/>
      </c>
      <c r="H411" s="91">
        <f>IF($E411="","",(1-K411)*F411-G411)</f>
        <v/>
      </c>
      <c r="I411" s="90">
        <f>IF($E411="","",'Daily Data'!H411)</f>
        <v/>
      </c>
      <c r="J411" s="91">
        <f>IF($E411="","",E411-H411-I411)</f>
        <v/>
      </c>
      <c r="K411" s="60">
        <f>IF($E411="","",IF(A411&lt;HLP_ChangeDate,HLP_Legacy,HLP_Current))</f>
        <v/>
      </c>
      <c r="L411" s="91">
        <f>IF($E411="","",J411/(1-K411))</f>
        <v/>
      </c>
      <c r="M411" s="90">
        <f>IF($E411="","",'Daily Data'!I411)</f>
        <v/>
      </c>
      <c r="N411" s="91">
        <f>IF($E411="","",M411*(1-K411)-I411)</f>
        <v/>
      </c>
      <c r="O411" s="92" t="n">
        <v>129274</v>
      </c>
      <c r="P411" s="93">
        <f>IF($E411="","",(L411+F411+M411)*K411)</f>
        <v/>
      </c>
      <c r="Q411" s="91">
        <f>IF($E411="","",L411*K411)</f>
        <v/>
      </c>
      <c r="R411" s="91">
        <f>IF($E411="","",F411*K411)</f>
        <v/>
      </c>
      <c r="S411" s="91">
        <f>IF($E411="","",M411*K411)</f>
        <v/>
      </c>
      <c r="T411" s="63">
        <f>IF(OR($E411="",B411=0),"",L411/B411*10000)</f>
        <v/>
      </c>
      <c r="U411" s="63">
        <f>IF(OR($E411="",C411=0),"",F411/C411*10000)</f>
        <v/>
      </c>
      <c r="V411" s="63">
        <f>IF(OR($E411="",D411=0),"",M411/D411*10000)</f>
        <v/>
      </c>
    </row>
    <row r="412">
      <c r="A412" s="35" t="n">
        <v>46066</v>
      </c>
      <c r="B412" s="90">
        <f>'Daily Data'!B412</f>
        <v/>
      </c>
      <c r="C412" s="90">
        <f>'Daily Data'!D412</f>
        <v/>
      </c>
      <c r="D412" s="90">
        <f>'Daily Data'!C412</f>
        <v/>
      </c>
      <c r="E412" s="90">
        <f>IF('Daily Data'!E412="","",'Daily Data'!E412)</f>
        <v/>
      </c>
      <c r="F412" s="90">
        <f>IF($E412="","",'Daily Data'!F412)</f>
        <v/>
      </c>
      <c r="G412" s="90">
        <f>IF($E412="","",'Daily Data'!G412)</f>
        <v/>
      </c>
      <c r="H412" s="91">
        <f>IF($E412="","",(1-K412)*F412-G412)</f>
        <v/>
      </c>
      <c r="I412" s="90">
        <f>IF($E412="","",'Daily Data'!H412)</f>
        <v/>
      </c>
      <c r="J412" s="91">
        <f>IF($E412="","",E412-H412-I412)</f>
        <v/>
      </c>
      <c r="K412" s="60">
        <f>IF($E412="","",IF(A412&lt;HLP_ChangeDate,HLP_Legacy,HLP_Current))</f>
        <v/>
      </c>
      <c r="L412" s="91">
        <f>IF($E412="","",J412/(1-K412))</f>
        <v/>
      </c>
      <c r="M412" s="90">
        <f>IF($E412="","",'Daily Data'!I412)</f>
        <v/>
      </c>
      <c r="N412" s="91">
        <f>IF($E412="","",M412*(1-K412)-I412)</f>
        <v/>
      </c>
      <c r="O412" s="92" t="n">
        <v>136159</v>
      </c>
      <c r="P412" s="93">
        <f>IF($E412="","",(L412+F412+M412)*K412)</f>
        <v/>
      </c>
      <c r="Q412" s="91">
        <f>IF($E412="","",L412*K412)</f>
        <v/>
      </c>
      <c r="R412" s="91">
        <f>IF($E412="","",F412*K412)</f>
        <v/>
      </c>
      <c r="S412" s="91">
        <f>IF($E412="","",M412*K412)</f>
        <v/>
      </c>
      <c r="T412" s="63">
        <f>IF(OR($E412="",B412=0),"",L412/B412*10000)</f>
        <v/>
      </c>
      <c r="U412" s="63">
        <f>IF(OR($E412="",C412=0),"",F412/C412*10000)</f>
        <v/>
      </c>
      <c r="V412" s="63">
        <f>IF(OR($E412="",D412=0),"",M412/D412*10000)</f>
        <v/>
      </c>
    </row>
    <row r="413">
      <c r="A413" s="35" t="n">
        <v>46067</v>
      </c>
      <c r="B413" s="90">
        <f>'Daily Data'!B413</f>
        <v/>
      </c>
      <c r="C413" s="90">
        <f>'Daily Data'!D413</f>
        <v/>
      </c>
      <c r="D413" s="90">
        <f>'Daily Data'!C413</f>
        <v/>
      </c>
      <c r="E413" s="90">
        <f>IF('Daily Data'!E413="","",'Daily Data'!E413)</f>
        <v/>
      </c>
      <c r="F413" s="90">
        <f>IF($E413="","",'Daily Data'!F413)</f>
        <v/>
      </c>
      <c r="G413" s="90">
        <f>IF($E413="","",'Daily Data'!G413)</f>
        <v/>
      </c>
      <c r="H413" s="91">
        <f>IF($E413="","",(1-K413)*F413-G413)</f>
        <v/>
      </c>
      <c r="I413" s="90">
        <f>IF($E413="","",'Daily Data'!H413)</f>
        <v/>
      </c>
      <c r="J413" s="91">
        <f>IF($E413="","",E413-H413-I413)</f>
        <v/>
      </c>
      <c r="K413" s="60">
        <f>IF($E413="","",IF(A413&lt;HLP_ChangeDate,HLP_Legacy,HLP_Current))</f>
        <v/>
      </c>
      <c r="L413" s="91">
        <f>IF($E413="","",J413/(1-K413))</f>
        <v/>
      </c>
      <c r="M413" s="90">
        <f>IF($E413="","",'Daily Data'!I413)</f>
        <v/>
      </c>
      <c r="N413" s="91">
        <f>IF($E413="","",M413*(1-K413)-I413)</f>
        <v/>
      </c>
      <c r="O413" s="92" t="n">
        <v>79857</v>
      </c>
      <c r="P413" s="93">
        <f>IF($E413="","",(L413+F413+M413)*K413)</f>
        <v/>
      </c>
      <c r="Q413" s="91">
        <f>IF($E413="","",L413*K413)</f>
        <v/>
      </c>
      <c r="R413" s="91">
        <f>IF($E413="","",F413*K413)</f>
        <v/>
      </c>
      <c r="S413" s="91">
        <f>IF($E413="","",M413*K413)</f>
        <v/>
      </c>
      <c r="T413" s="63">
        <f>IF(OR($E413="",B413=0),"",L413/B413*10000)</f>
        <v/>
      </c>
      <c r="U413" s="63">
        <f>IF(OR($E413="",C413=0),"",F413/C413*10000)</f>
        <v/>
      </c>
      <c r="V413" s="63">
        <f>IF(OR($E413="",D413=0),"",M413/D413*10000)</f>
        <v/>
      </c>
    </row>
    <row r="414">
      <c r="A414" s="35" t="n">
        <v>46068</v>
      </c>
      <c r="B414" s="90">
        <f>'Daily Data'!B414</f>
        <v/>
      </c>
      <c r="C414" s="90">
        <f>'Daily Data'!D414</f>
        <v/>
      </c>
      <c r="D414" s="90">
        <f>'Daily Data'!C414</f>
        <v/>
      </c>
      <c r="E414" s="90">
        <f>IF('Daily Data'!E414="","",'Daily Data'!E414)</f>
        <v/>
      </c>
      <c r="F414" s="90">
        <f>IF($E414="","",'Daily Data'!F414)</f>
        <v/>
      </c>
      <c r="G414" s="90">
        <f>IF($E414="","",'Daily Data'!G414)</f>
        <v/>
      </c>
      <c r="H414" s="91">
        <f>IF($E414="","",(1-K414)*F414-G414)</f>
        <v/>
      </c>
      <c r="I414" s="90">
        <f>IF($E414="","",'Daily Data'!H414)</f>
        <v/>
      </c>
      <c r="J414" s="91">
        <f>IF($E414="","",E414-H414-I414)</f>
        <v/>
      </c>
      <c r="K414" s="60">
        <f>IF($E414="","",IF(A414&lt;HLP_ChangeDate,HLP_Legacy,HLP_Current))</f>
        <v/>
      </c>
      <c r="L414" s="91">
        <f>IF($E414="","",J414/(1-K414))</f>
        <v/>
      </c>
      <c r="M414" s="90">
        <f>IF($E414="","",'Daily Data'!I414)</f>
        <v/>
      </c>
      <c r="N414" s="91">
        <f>IF($E414="","",M414*(1-K414)-I414)</f>
        <v/>
      </c>
      <c r="O414" s="92" t="n">
        <v>110712</v>
      </c>
      <c r="P414" s="93">
        <f>IF($E414="","",(L414+F414+M414)*K414)</f>
        <v/>
      </c>
      <c r="Q414" s="91">
        <f>IF($E414="","",L414*K414)</f>
        <v/>
      </c>
      <c r="R414" s="91">
        <f>IF($E414="","",F414*K414)</f>
        <v/>
      </c>
      <c r="S414" s="91">
        <f>IF($E414="","",M414*K414)</f>
        <v/>
      </c>
      <c r="T414" s="63">
        <f>IF(OR($E414="",B414=0),"",L414/B414*10000)</f>
        <v/>
      </c>
      <c r="U414" s="63">
        <f>IF(OR($E414="",C414=0),"",F414/C414*10000)</f>
        <v/>
      </c>
      <c r="V414" s="63">
        <f>IF(OR($E414="",D414=0),"",M414/D414*10000)</f>
        <v/>
      </c>
    </row>
    <row r="415">
      <c r="A415" s="35" t="n">
        <v>46069</v>
      </c>
      <c r="B415" s="90">
        <f>'Daily Data'!B415</f>
        <v/>
      </c>
      <c r="C415" s="90">
        <f>'Daily Data'!D415</f>
        <v/>
      </c>
      <c r="D415" s="90">
        <f>'Daily Data'!C415</f>
        <v/>
      </c>
      <c r="E415" s="90">
        <f>IF('Daily Data'!E415="","",'Daily Data'!E415)</f>
        <v/>
      </c>
      <c r="F415" s="90">
        <f>IF($E415="","",'Daily Data'!F415)</f>
        <v/>
      </c>
      <c r="G415" s="90">
        <f>IF($E415="","",'Daily Data'!G415)</f>
        <v/>
      </c>
      <c r="H415" s="91">
        <f>IF($E415="","",(1-K415)*F415-G415)</f>
        <v/>
      </c>
      <c r="I415" s="90">
        <f>IF($E415="","",'Daily Data'!H415)</f>
        <v/>
      </c>
      <c r="J415" s="91">
        <f>IF($E415="","",E415-H415-I415)</f>
        <v/>
      </c>
      <c r="K415" s="60">
        <f>IF($E415="","",IF(A415&lt;HLP_ChangeDate,HLP_Legacy,HLP_Current))</f>
        <v/>
      </c>
      <c r="L415" s="91">
        <f>IF($E415="","",J415/(1-K415))</f>
        <v/>
      </c>
      <c r="M415" s="90">
        <f>IF($E415="","",'Daily Data'!I415)</f>
        <v/>
      </c>
      <c r="N415" s="91">
        <f>IF($E415="","",M415*(1-K415)-I415)</f>
        <v/>
      </c>
      <c r="O415" s="92" t="n">
        <v>99124</v>
      </c>
      <c r="P415" s="93">
        <f>IF($E415="","",(L415+F415+M415)*K415)</f>
        <v/>
      </c>
      <c r="Q415" s="91">
        <f>IF($E415="","",L415*K415)</f>
        <v/>
      </c>
      <c r="R415" s="91">
        <f>IF($E415="","",F415*K415)</f>
        <v/>
      </c>
      <c r="S415" s="91">
        <f>IF($E415="","",M415*K415)</f>
        <v/>
      </c>
      <c r="T415" s="63">
        <f>IF(OR($E415="",B415=0),"",L415/B415*10000)</f>
        <v/>
      </c>
      <c r="U415" s="63">
        <f>IF(OR($E415="",C415=0),"",F415/C415*10000)</f>
        <v/>
      </c>
      <c r="V415" s="63">
        <f>IF(OR($E415="",D415=0),"",M415/D415*10000)</f>
        <v/>
      </c>
    </row>
    <row r="416">
      <c r="A416" s="35" t="n">
        <v>46070</v>
      </c>
      <c r="B416" s="90">
        <f>'Daily Data'!B416</f>
        <v/>
      </c>
      <c r="C416" s="90">
        <f>'Daily Data'!D416</f>
        <v/>
      </c>
      <c r="D416" s="90">
        <f>'Daily Data'!C416</f>
        <v/>
      </c>
      <c r="E416" s="90">
        <f>IF('Daily Data'!E416="","",'Daily Data'!E416)</f>
        <v/>
      </c>
      <c r="F416" s="90">
        <f>IF($E416="","",'Daily Data'!F416)</f>
        <v/>
      </c>
      <c r="G416" s="90">
        <f>IF($E416="","",'Daily Data'!G416)</f>
        <v/>
      </c>
      <c r="H416" s="91">
        <f>IF($E416="","",(1-K416)*F416-G416)</f>
        <v/>
      </c>
      <c r="I416" s="90">
        <f>IF($E416="","",'Daily Data'!H416)</f>
        <v/>
      </c>
      <c r="J416" s="91">
        <f>IF($E416="","",E416-H416-I416)</f>
        <v/>
      </c>
      <c r="K416" s="60">
        <f>IF($E416="","",IF(A416&lt;HLP_ChangeDate,HLP_Legacy,HLP_Current))</f>
        <v/>
      </c>
      <c r="L416" s="91">
        <f>IF($E416="","",J416/(1-K416))</f>
        <v/>
      </c>
      <c r="M416" s="90">
        <f>IF($E416="","",'Daily Data'!I416)</f>
        <v/>
      </c>
      <c r="N416" s="91">
        <f>IF($E416="","",M416*(1-K416)-I416)</f>
        <v/>
      </c>
      <c r="O416" s="92" t="n">
        <v>112064</v>
      </c>
      <c r="P416" s="93">
        <f>IF($E416="","",(L416+F416+M416)*K416)</f>
        <v/>
      </c>
      <c r="Q416" s="91">
        <f>IF($E416="","",L416*K416)</f>
        <v/>
      </c>
      <c r="R416" s="91">
        <f>IF($E416="","",F416*K416)</f>
        <v/>
      </c>
      <c r="S416" s="91">
        <f>IF($E416="","",M416*K416)</f>
        <v/>
      </c>
      <c r="T416" s="63">
        <f>IF(OR($E416="",B416=0),"",L416/B416*10000)</f>
        <v/>
      </c>
      <c r="U416" s="63">
        <f>IF(OR($E416="",C416=0),"",F416/C416*10000)</f>
        <v/>
      </c>
      <c r="V416" s="63">
        <f>IF(OR($E416="",D416=0),"",M416/D416*10000)</f>
        <v/>
      </c>
    </row>
    <row r="417">
      <c r="A417" s="35" t="n">
        <v>46071</v>
      </c>
      <c r="B417" s="90">
        <f>'Daily Data'!B417</f>
        <v/>
      </c>
      <c r="C417" s="90">
        <f>'Daily Data'!D417</f>
        <v/>
      </c>
      <c r="D417" s="90">
        <f>'Daily Data'!C417</f>
        <v/>
      </c>
      <c r="E417" s="90">
        <f>IF('Daily Data'!E417="","",'Daily Data'!E417)</f>
        <v/>
      </c>
      <c r="F417" s="90">
        <f>IF($E417="","",'Daily Data'!F417)</f>
        <v/>
      </c>
      <c r="G417" s="90">
        <f>IF($E417="","",'Daily Data'!G417)</f>
        <v/>
      </c>
      <c r="H417" s="91">
        <f>IF($E417="","",(1-K417)*F417-G417)</f>
        <v/>
      </c>
      <c r="I417" s="90">
        <f>IF($E417="","",'Daily Data'!H417)</f>
        <v/>
      </c>
      <c r="J417" s="91">
        <f>IF($E417="","",E417-H417-I417)</f>
        <v/>
      </c>
      <c r="K417" s="60">
        <f>IF($E417="","",IF(A417&lt;HLP_ChangeDate,HLP_Legacy,HLP_Current))</f>
        <v/>
      </c>
      <c r="L417" s="91">
        <f>IF($E417="","",J417/(1-K417))</f>
        <v/>
      </c>
      <c r="M417" s="90">
        <f>IF($E417="","",'Daily Data'!I417)</f>
        <v/>
      </c>
      <c r="N417" s="91">
        <f>IF($E417="","",M417*(1-K417)-I417)</f>
        <v/>
      </c>
      <c r="O417" s="92" t="n">
        <v>125909</v>
      </c>
      <c r="P417" s="93">
        <f>IF($E417="","",(L417+F417+M417)*K417)</f>
        <v/>
      </c>
      <c r="Q417" s="91">
        <f>IF($E417="","",L417*K417)</f>
        <v/>
      </c>
      <c r="R417" s="91">
        <f>IF($E417="","",F417*K417)</f>
        <v/>
      </c>
      <c r="S417" s="91">
        <f>IF($E417="","",M417*K417)</f>
        <v/>
      </c>
      <c r="T417" s="63">
        <f>IF(OR($E417="",B417=0),"",L417/B417*10000)</f>
        <v/>
      </c>
      <c r="U417" s="63">
        <f>IF(OR($E417="",C417=0),"",F417/C417*10000)</f>
        <v/>
      </c>
      <c r="V417" s="63">
        <f>IF(OR($E417="",D417=0),"",M417/D417*10000)</f>
        <v/>
      </c>
    </row>
    <row r="418">
      <c r="A418" s="35" t="n">
        <v>46072</v>
      </c>
      <c r="B418" s="90">
        <f>'Daily Data'!B418</f>
        <v/>
      </c>
      <c r="C418" s="90">
        <f>'Daily Data'!D418</f>
        <v/>
      </c>
      <c r="D418" s="90">
        <f>'Daily Data'!C418</f>
        <v/>
      </c>
      <c r="E418" s="90">
        <f>IF('Daily Data'!E418="","",'Daily Data'!E418)</f>
        <v/>
      </c>
      <c r="F418" s="90">
        <f>IF($E418="","",'Daily Data'!F418)</f>
        <v/>
      </c>
      <c r="G418" s="90">
        <f>IF($E418="","",'Daily Data'!G418)</f>
        <v/>
      </c>
      <c r="H418" s="91">
        <f>IF($E418="","",(1-K418)*F418-G418)</f>
        <v/>
      </c>
      <c r="I418" s="90">
        <f>IF($E418="","",'Daily Data'!H418)</f>
        <v/>
      </c>
      <c r="J418" s="91">
        <f>IF($E418="","",E418-H418-I418)</f>
        <v/>
      </c>
      <c r="K418" s="60">
        <f>IF($E418="","",IF(A418&lt;HLP_ChangeDate,HLP_Legacy,HLP_Current))</f>
        <v/>
      </c>
      <c r="L418" s="91">
        <f>IF($E418="","",J418/(1-K418))</f>
        <v/>
      </c>
      <c r="M418" s="90">
        <f>IF($E418="","",'Daily Data'!I418)</f>
        <v/>
      </c>
      <c r="N418" s="91">
        <f>IF($E418="","",M418*(1-K418)-I418)</f>
        <v/>
      </c>
      <c r="O418" s="92" t="n">
        <v>119273</v>
      </c>
      <c r="P418" s="93">
        <f>IF($E418="","",(L418+F418+M418)*K418)</f>
        <v/>
      </c>
      <c r="Q418" s="91">
        <f>IF($E418="","",L418*K418)</f>
        <v/>
      </c>
      <c r="R418" s="91">
        <f>IF($E418="","",F418*K418)</f>
        <v/>
      </c>
      <c r="S418" s="91">
        <f>IF($E418="","",M418*K418)</f>
        <v/>
      </c>
      <c r="T418" s="63">
        <f>IF(OR($E418="",B418=0),"",L418/B418*10000)</f>
        <v/>
      </c>
      <c r="U418" s="63">
        <f>IF(OR($E418="",C418=0),"",F418/C418*10000)</f>
        <v/>
      </c>
      <c r="V418" s="63">
        <f>IF(OR($E418="",D418=0),"",M418/D418*10000)</f>
        <v/>
      </c>
    </row>
    <row r="419">
      <c r="A419" s="35" t="n">
        <v>46073</v>
      </c>
      <c r="B419" s="90">
        <f>'Daily Data'!B419</f>
        <v/>
      </c>
      <c r="C419" s="90">
        <f>'Daily Data'!D419</f>
        <v/>
      </c>
      <c r="D419" s="90">
        <f>'Daily Data'!C419</f>
        <v/>
      </c>
      <c r="E419" s="90">
        <f>IF('Daily Data'!E419="","",'Daily Data'!E419)</f>
        <v/>
      </c>
      <c r="F419" s="90">
        <f>IF($E419="","",'Daily Data'!F419)</f>
        <v/>
      </c>
      <c r="G419" s="90">
        <f>IF($E419="","",'Daily Data'!G419)</f>
        <v/>
      </c>
      <c r="H419" s="91">
        <f>IF($E419="","",(1-K419)*F419-G419)</f>
        <v/>
      </c>
      <c r="I419" s="90">
        <f>IF($E419="","",'Daily Data'!H419)</f>
        <v/>
      </c>
      <c r="J419" s="91">
        <f>IF($E419="","",E419-H419-I419)</f>
        <v/>
      </c>
      <c r="K419" s="60">
        <f>IF($E419="","",IF(A419&lt;HLP_ChangeDate,HLP_Legacy,HLP_Current))</f>
        <v/>
      </c>
      <c r="L419" s="91">
        <f>IF($E419="","",J419/(1-K419))</f>
        <v/>
      </c>
      <c r="M419" s="90">
        <f>IF($E419="","",'Daily Data'!I419)</f>
        <v/>
      </c>
      <c r="N419" s="91">
        <f>IF($E419="","",M419*(1-K419)-I419)</f>
        <v/>
      </c>
      <c r="O419" s="92" t="n">
        <v>155680</v>
      </c>
      <c r="P419" s="93">
        <f>IF($E419="","",(L419+F419+M419)*K419)</f>
        <v/>
      </c>
      <c r="Q419" s="91">
        <f>IF($E419="","",L419*K419)</f>
        <v/>
      </c>
      <c r="R419" s="91">
        <f>IF($E419="","",F419*K419)</f>
        <v/>
      </c>
      <c r="S419" s="91">
        <f>IF($E419="","",M419*K419)</f>
        <v/>
      </c>
      <c r="T419" s="63">
        <f>IF(OR($E419="",B419=0),"",L419/B419*10000)</f>
        <v/>
      </c>
      <c r="U419" s="63">
        <f>IF(OR($E419="",C419=0),"",F419/C419*10000)</f>
        <v/>
      </c>
      <c r="V419" s="63">
        <f>IF(OR($E419="",D419=0),"",M419/D419*10000)</f>
        <v/>
      </c>
    </row>
    <row r="420">
      <c r="A420" s="35" t="n">
        <v>46074</v>
      </c>
      <c r="B420" s="90">
        <f>'Daily Data'!B420</f>
        <v/>
      </c>
      <c r="C420" s="90">
        <f>'Daily Data'!D420</f>
        <v/>
      </c>
      <c r="D420" s="90">
        <f>'Daily Data'!C420</f>
        <v/>
      </c>
      <c r="E420" s="90">
        <f>IF('Daily Data'!E420="","",'Daily Data'!E420)</f>
        <v/>
      </c>
      <c r="F420" s="90">
        <f>IF($E420="","",'Daily Data'!F420)</f>
        <v/>
      </c>
      <c r="G420" s="90">
        <f>IF($E420="","",'Daily Data'!G420)</f>
        <v/>
      </c>
      <c r="H420" s="91">
        <f>IF($E420="","",(1-K420)*F420-G420)</f>
        <v/>
      </c>
      <c r="I420" s="90">
        <f>IF($E420="","",'Daily Data'!H420)</f>
        <v/>
      </c>
      <c r="J420" s="91">
        <f>IF($E420="","",E420-H420-I420)</f>
        <v/>
      </c>
      <c r="K420" s="60">
        <f>IF($E420="","",IF(A420&lt;HLP_ChangeDate,HLP_Legacy,HLP_Current))</f>
        <v/>
      </c>
      <c r="L420" s="91">
        <f>IF($E420="","",J420/(1-K420))</f>
        <v/>
      </c>
      <c r="M420" s="90">
        <f>IF($E420="","",'Daily Data'!I420)</f>
        <v/>
      </c>
      <c r="N420" s="91">
        <f>IF($E420="","",M420*(1-K420)-I420)</f>
        <v/>
      </c>
      <c r="O420" s="92" t="n">
        <v>68496</v>
      </c>
      <c r="P420" s="93">
        <f>IF($E420="","",(L420+F420+M420)*K420)</f>
        <v/>
      </c>
      <c r="Q420" s="91">
        <f>IF($E420="","",L420*K420)</f>
        <v/>
      </c>
      <c r="R420" s="91">
        <f>IF($E420="","",F420*K420)</f>
        <v/>
      </c>
      <c r="S420" s="91">
        <f>IF($E420="","",M420*K420)</f>
        <v/>
      </c>
      <c r="T420" s="63">
        <f>IF(OR($E420="",B420=0),"",L420/B420*10000)</f>
        <v/>
      </c>
      <c r="U420" s="63">
        <f>IF(OR($E420="",C420=0),"",F420/C420*10000)</f>
        <v/>
      </c>
      <c r="V420" s="63">
        <f>IF(OR($E420="",D420=0),"",M420/D420*10000)</f>
        <v/>
      </c>
    </row>
    <row r="421">
      <c r="A421" s="35" t="n">
        <v>46075</v>
      </c>
      <c r="B421" s="90">
        <f>'Daily Data'!B421</f>
        <v/>
      </c>
      <c r="C421" s="90">
        <f>'Daily Data'!D421</f>
        <v/>
      </c>
      <c r="D421" s="90">
        <f>'Daily Data'!C421</f>
        <v/>
      </c>
      <c r="E421" s="90">
        <f>IF('Daily Data'!E421="","",'Daily Data'!E421)</f>
        <v/>
      </c>
      <c r="F421" s="90">
        <f>IF($E421="","",'Daily Data'!F421)</f>
        <v/>
      </c>
      <c r="G421" s="90">
        <f>IF($E421="","",'Daily Data'!G421)</f>
        <v/>
      </c>
      <c r="H421" s="91">
        <f>IF($E421="","",(1-K421)*F421-G421)</f>
        <v/>
      </c>
      <c r="I421" s="90">
        <f>IF($E421="","",'Daily Data'!H421)</f>
        <v/>
      </c>
      <c r="J421" s="91">
        <f>IF($E421="","",E421-H421-I421)</f>
        <v/>
      </c>
      <c r="K421" s="60">
        <f>IF($E421="","",IF(A421&lt;HLP_ChangeDate,HLP_Legacy,HLP_Current))</f>
        <v/>
      </c>
      <c r="L421" s="91">
        <f>IF($E421="","",J421/(1-K421))</f>
        <v/>
      </c>
      <c r="M421" s="90">
        <f>IF($E421="","",'Daily Data'!I421)</f>
        <v/>
      </c>
      <c r="N421" s="91">
        <f>IF($E421="","",M421*(1-K421)-I421)</f>
        <v/>
      </c>
      <c r="O421" s="92" t="n">
        <v>61588</v>
      </c>
      <c r="P421" s="93">
        <f>IF($E421="","",(L421+F421+M421)*K421)</f>
        <v/>
      </c>
      <c r="Q421" s="91">
        <f>IF($E421="","",L421*K421)</f>
        <v/>
      </c>
      <c r="R421" s="91">
        <f>IF($E421="","",F421*K421)</f>
        <v/>
      </c>
      <c r="S421" s="91">
        <f>IF($E421="","",M421*K421)</f>
        <v/>
      </c>
      <c r="T421" s="63">
        <f>IF(OR($E421="",B421=0),"",L421/B421*10000)</f>
        <v/>
      </c>
      <c r="U421" s="63">
        <f>IF(OR($E421="",C421=0),"",F421/C421*10000)</f>
        <v/>
      </c>
      <c r="V421" s="63">
        <f>IF(OR($E421="",D421=0),"",M421/D421*10000)</f>
        <v/>
      </c>
    </row>
    <row r="422">
      <c r="A422" s="35" t="n">
        <v>46076</v>
      </c>
      <c r="B422" s="90">
        <f>'Daily Data'!B422</f>
        <v/>
      </c>
      <c r="C422" s="90">
        <f>'Daily Data'!D422</f>
        <v/>
      </c>
      <c r="D422" s="90">
        <f>'Daily Data'!C422</f>
        <v/>
      </c>
      <c r="E422" s="90">
        <f>IF('Daily Data'!E422="","",'Daily Data'!E422)</f>
        <v/>
      </c>
      <c r="F422" s="90">
        <f>IF($E422="","",'Daily Data'!F422)</f>
        <v/>
      </c>
      <c r="G422" s="90">
        <f>IF($E422="","",'Daily Data'!G422)</f>
        <v/>
      </c>
      <c r="H422" s="91">
        <f>IF($E422="","",(1-K422)*F422-G422)</f>
        <v/>
      </c>
      <c r="I422" s="90">
        <f>IF($E422="","",'Daily Data'!H422)</f>
        <v/>
      </c>
      <c r="J422" s="91">
        <f>IF($E422="","",E422-H422-I422)</f>
        <v/>
      </c>
      <c r="K422" s="60">
        <f>IF($E422="","",IF(A422&lt;HLP_ChangeDate,HLP_Legacy,HLP_Current))</f>
        <v/>
      </c>
      <c r="L422" s="91">
        <f>IF($E422="","",J422/(1-K422))</f>
        <v/>
      </c>
      <c r="M422" s="90">
        <f>IF($E422="","",'Daily Data'!I422)</f>
        <v/>
      </c>
      <c r="N422" s="91">
        <f>IF($E422="","",M422*(1-K422)-I422)</f>
        <v/>
      </c>
      <c r="O422" s="92" t="n">
        <v>176546</v>
      </c>
      <c r="P422" s="93">
        <f>IF($E422="","",(L422+F422+M422)*K422)</f>
        <v/>
      </c>
      <c r="Q422" s="91">
        <f>IF($E422="","",L422*K422)</f>
        <v/>
      </c>
      <c r="R422" s="91">
        <f>IF($E422="","",F422*K422)</f>
        <v/>
      </c>
      <c r="S422" s="91">
        <f>IF($E422="","",M422*K422)</f>
        <v/>
      </c>
      <c r="T422" s="63">
        <f>IF(OR($E422="",B422=0),"",L422/B422*10000)</f>
        <v/>
      </c>
      <c r="U422" s="63">
        <f>IF(OR($E422="",C422=0),"",F422/C422*10000)</f>
        <v/>
      </c>
      <c r="V422" s="63">
        <f>IF(OR($E422="",D422=0),"",M422/D422*10000)</f>
        <v/>
      </c>
    </row>
    <row r="423">
      <c r="A423" s="35" t="n">
        <v>46077</v>
      </c>
      <c r="B423" s="90">
        <f>'Daily Data'!B423</f>
        <v/>
      </c>
      <c r="C423" s="90">
        <f>'Daily Data'!D423</f>
        <v/>
      </c>
      <c r="D423" s="90">
        <f>'Daily Data'!C423</f>
        <v/>
      </c>
      <c r="E423" s="90">
        <f>IF('Daily Data'!E423="","",'Daily Data'!E423)</f>
        <v/>
      </c>
      <c r="F423" s="90">
        <f>IF($E423="","",'Daily Data'!F423)</f>
        <v/>
      </c>
      <c r="G423" s="90">
        <f>IF($E423="","",'Daily Data'!G423)</f>
        <v/>
      </c>
      <c r="H423" s="91">
        <f>IF($E423="","",(1-K423)*F423-G423)</f>
        <v/>
      </c>
      <c r="I423" s="90">
        <f>IF($E423="","",'Daily Data'!H423)</f>
        <v/>
      </c>
      <c r="J423" s="91">
        <f>IF($E423="","",E423-H423-I423)</f>
        <v/>
      </c>
      <c r="K423" s="60">
        <f>IF($E423="","",IF(A423&lt;HLP_ChangeDate,HLP_Legacy,HLP_Current))</f>
        <v/>
      </c>
      <c r="L423" s="91">
        <f>IF($E423="","",J423/(1-K423))</f>
        <v/>
      </c>
      <c r="M423" s="90">
        <f>IF($E423="","",'Daily Data'!I423)</f>
        <v/>
      </c>
      <c r="N423" s="91">
        <f>IF($E423="","",M423*(1-K423)-I423)</f>
        <v/>
      </c>
      <c r="O423" s="92" t="n">
        <v>149881</v>
      </c>
      <c r="P423" s="93">
        <f>IF($E423="","",(L423+F423+M423)*K423)</f>
        <v/>
      </c>
      <c r="Q423" s="91">
        <f>IF($E423="","",L423*K423)</f>
        <v/>
      </c>
      <c r="R423" s="91">
        <f>IF($E423="","",F423*K423)</f>
        <v/>
      </c>
      <c r="S423" s="91">
        <f>IF($E423="","",M423*K423)</f>
        <v/>
      </c>
      <c r="T423" s="63">
        <f>IF(OR($E423="",B423=0),"",L423/B423*10000)</f>
        <v/>
      </c>
      <c r="U423" s="63">
        <f>IF(OR($E423="",C423=0),"",F423/C423*10000)</f>
        <v/>
      </c>
      <c r="V423" s="63">
        <f>IF(OR($E423="",D423=0),"",M423/D423*10000)</f>
        <v/>
      </c>
    </row>
    <row r="424">
      <c r="A424" s="35" t="n">
        <v>46078</v>
      </c>
      <c r="B424" s="90">
        <f>'Daily Data'!B424</f>
        <v/>
      </c>
      <c r="C424" s="90">
        <f>'Daily Data'!D424</f>
        <v/>
      </c>
      <c r="D424" s="90">
        <f>'Daily Data'!C424</f>
        <v/>
      </c>
      <c r="E424" s="90">
        <f>IF('Daily Data'!E424="","",'Daily Data'!E424)</f>
        <v/>
      </c>
      <c r="F424" s="90">
        <f>IF($E424="","",'Daily Data'!F424)</f>
        <v/>
      </c>
      <c r="G424" s="90">
        <f>IF($E424="","",'Daily Data'!G424)</f>
        <v/>
      </c>
      <c r="H424" s="91">
        <f>IF($E424="","",(1-K424)*F424-G424)</f>
        <v/>
      </c>
      <c r="I424" s="90">
        <f>IF($E424="","",'Daily Data'!H424)</f>
        <v/>
      </c>
      <c r="J424" s="91">
        <f>IF($E424="","",E424-H424-I424)</f>
        <v/>
      </c>
      <c r="K424" s="60">
        <f>IF($E424="","",IF(A424&lt;HLP_ChangeDate,HLP_Legacy,HLP_Current))</f>
        <v/>
      </c>
      <c r="L424" s="91">
        <f>IF($E424="","",J424/(1-K424))</f>
        <v/>
      </c>
      <c r="M424" s="90">
        <f>IF($E424="","",'Daily Data'!I424)</f>
        <v/>
      </c>
      <c r="N424" s="91">
        <f>IF($E424="","",M424*(1-K424)-I424)</f>
        <v/>
      </c>
      <c r="O424" s="92" t="n">
        <v>228540</v>
      </c>
      <c r="P424" s="93">
        <f>IF($E424="","",(L424+F424+M424)*K424)</f>
        <v/>
      </c>
      <c r="Q424" s="91">
        <f>IF($E424="","",L424*K424)</f>
        <v/>
      </c>
      <c r="R424" s="91">
        <f>IF($E424="","",F424*K424)</f>
        <v/>
      </c>
      <c r="S424" s="91">
        <f>IF($E424="","",M424*K424)</f>
        <v/>
      </c>
      <c r="T424" s="63">
        <f>IF(OR($E424="",B424=0),"",L424/B424*10000)</f>
        <v/>
      </c>
      <c r="U424" s="63">
        <f>IF(OR($E424="",C424=0),"",F424/C424*10000)</f>
        <v/>
      </c>
      <c r="V424" s="63">
        <f>IF(OR($E424="",D424=0),"",M424/D424*10000)</f>
        <v/>
      </c>
    </row>
    <row r="425">
      <c r="A425" s="35" t="n">
        <v>46079</v>
      </c>
      <c r="B425" s="90">
        <f>'Daily Data'!B425</f>
        <v/>
      </c>
      <c r="C425" s="90">
        <f>'Daily Data'!D425</f>
        <v/>
      </c>
      <c r="D425" s="90">
        <f>'Daily Data'!C425</f>
        <v/>
      </c>
      <c r="E425" s="90">
        <f>IF('Daily Data'!E425="","",'Daily Data'!E425)</f>
        <v/>
      </c>
      <c r="F425" s="90">
        <f>IF($E425="","",'Daily Data'!F425)</f>
        <v/>
      </c>
      <c r="G425" s="90">
        <f>IF($E425="","",'Daily Data'!G425)</f>
        <v/>
      </c>
      <c r="H425" s="91">
        <f>IF($E425="","",(1-K425)*F425-G425)</f>
        <v/>
      </c>
      <c r="I425" s="90">
        <f>IF($E425="","",'Daily Data'!H425)</f>
        <v/>
      </c>
      <c r="J425" s="91">
        <f>IF($E425="","",E425-H425-I425)</f>
        <v/>
      </c>
      <c r="K425" s="60">
        <f>IF($E425="","",IF(A425&lt;HLP_ChangeDate,HLP_Legacy,HLP_Current))</f>
        <v/>
      </c>
      <c r="L425" s="91">
        <f>IF($E425="","",J425/(1-K425))</f>
        <v/>
      </c>
      <c r="M425" s="90">
        <f>IF($E425="","",'Daily Data'!I425)</f>
        <v/>
      </c>
      <c r="N425" s="91">
        <f>IF($E425="","",M425*(1-K425)-I425)</f>
        <v/>
      </c>
      <c r="O425" s="92" t="n">
        <v>218877</v>
      </c>
      <c r="P425" s="93">
        <f>IF($E425="","",(L425+F425+M425)*K425)</f>
        <v/>
      </c>
      <c r="Q425" s="91">
        <f>IF($E425="","",L425*K425)</f>
        <v/>
      </c>
      <c r="R425" s="91">
        <f>IF($E425="","",F425*K425)</f>
        <v/>
      </c>
      <c r="S425" s="91">
        <f>IF($E425="","",M425*K425)</f>
        <v/>
      </c>
      <c r="T425" s="63">
        <f>IF(OR($E425="",B425=0),"",L425/B425*10000)</f>
        <v/>
      </c>
      <c r="U425" s="63">
        <f>IF(OR($E425="",C425=0),"",F425/C425*10000)</f>
        <v/>
      </c>
      <c r="V425" s="63">
        <f>IF(OR($E425="",D425=0),"",M425/D425*10000)</f>
        <v/>
      </c>
    </row>
    <row r="426">
      <c r="A426" s="35" t="n">
        <v>46080</v>
      </c>
      <c r="B426" s="90">
        <f>'Daily Data'!B426</f>
        <v/>
      </c>
      <c r="C426" s="90">
        <f>'Daily Data'!D426</f>
        <v/>
      </c>
      <c r="D426" s="90">
        <f>'Daily Data'!C426</f>
        <v/>
      </c>
      <c r="E426" s="90">
        <f>IF('Daily Data'!E426="","",'Daily Data'!E426)</f>
        <v/>
      </c>
      <c r="F426" s="90">
        <f>IF($E426="","",'Daily Data'!F426)</f>
        <v/>
      </c>
      <c r="G426" s="90">
        <f>IF($E426="","",'Daily Data'!G426)</f>
        <v/>
      </c>
      <c r="H426" s="91">
        <f>IF($E426="","",(1-K426)*F426-G426)</f>
        <v/>
      </c>
      <c r="I426" s="90">
        <f>IF($E426="","",'Daily Data'!H426)</f>
        <v/>
      </c>
      <c r="J426" s="91">
        <f>IF($E426="","",E426-H426-I426)</f>
        <v/>
      </c>
      <c r="K426" s="60">
        <f>IF($E426="","",IF(A426&lt;HLP_ChangeDate,HLP_Legacy,HLP_Current))</f>
        <v/>
      </c>
      <c r="L426" s="91">
        <f>IF($E426="","",J426/(1-K426))</f>
        <v/>
      </c>
      <c r="M426" s="90">
        <f>IF($E426="","",'Daily Data'!I426)</f>
        <v/>
      </c>
      <c r="N426" s="91">
        <f>IF($E426="","",M426*(1-K426)-I426)</f>
        <v/>
      </c>
      <c r="O426" s="92" t="n">
        <v>188861</v>
      </c>
      <c r="P426" s="93">
        <f>IF($E426="","",(L426+F426+M426)*K426)</f>
        <v/>
      </c>
      <c r="Q426" s="91">
        <f>IF($E426="","",L426*K426)</f>
        <v/>
      </c>
      <c r="R426" s="91">
        <f>IF($E426="","",F426*K426)</f>
        <v/>
      </c>
      <c r="S426" s="91">
        <f>IF($E426="","",M426*K426)</f>
        <v/>
      </c>
      <c r="T426" s="63">
        <f>IF(OR($E426="",B426=0),"",L426/B426*10000)</f>
        <v/>
      </c>
      <c r="U426" s="63">
        <f>IF(OR($E426="",C426=0),"",F426/C426*10000)</f>
        <v/>
      </c>
      <c r="V426" s="63">
        <f>IF(OR($E426="",D426=0),"",M426/D426*10000)</f>
        <v/>
      </c>
    </row>
    <row r="427">
      <c r="A427" s="35" t="n">
        <v>46081</v>
      </c>
      <c r="B427" s="90">
        <f>'Daily Data'!B427</f>
        <v/>
      </c>
      <c r="C427" s="90">
        <f>'Daily Data'!D427</f>
        <v/>
      </c>
      <c r="D427" s="90">
        <f>'Daily Data'!C427</f>
        <v/>
      </c>
      <c r="E427" s="90">
        <f>IF('Daily Data'!E427="","",'Daily Data'!E427)</f>
        <v/>
      </c>
      <c r="F427" s="90">
        <f>IF($E427="","",'Daily Data'!F427)</f>
        <v/>
      </c>
      <c r="G427" s="90">
        <f>IF($E427="","",'Daily Data'!G427)</f>
        <v/>
      </c>
      <c r="H427" s="91">
        <f>IF($E427="","",(1-K427)*F427-G427)</f>
        <v/>
      </c>
      <c r="I427" s="90">
        <f>IF($E427="","",'Daily Data'!H427)</f>
        <v/>
      </c>
      <c r="J427" s="91">
        <f>IF($E427="","",E427-H427-I427)</f>
        <v/>
      </c>
      <c r="K427" s="60">
        <f>IF($E427="","",IF(A427&lt;HLP_ChangeDate,HLP_Legacy,HLP_Current))</f>
        <v/>
      </c>
      <c r="L427" s="91">
        <f>IF($E427="","",J427/(1-K427))</f>
        <v/>
      </c>
      <c r="M427" s="90">
        <f>IF($E427="","",'Daily Data'!I427)</f>
        <v/>
      </c>
      <c r="N427" s="91">
        <f>IF($E427="","",M427*(1-K427)-I427)</f>
        <v/>
      </c>
      <c r="O427" s="92" t="n">
        <v>204947</v>
      </c>
      <c r="P427" s="93">
        <f>IF($E427="","",(L427+F427+M427)*K427)</f>
        <v/>
      </c>
      <c r="Q427" s="91">
        <f>IF($E427="","",L427*K427)</f>
        <v/>
      </c>
      <c r="R427" s="91">
        <f>IF($E427="","",F427*K427)</f>
        <v/>
      </c>
      <c r="S427" s="91">
        <f>IF($E427="","",M427*K427)</f>
        <v/>
      </c>
      <c r="T427" s="63">
        <f>IF(OR($E427="",B427=0),"",L427/B427*10000)</f>
        <v/>
      </c>
      <c r="U427" s="63">
        <f>IF(OR($E427="",C427=0),"",F427/C427*10000)</f>
        <v/>
      </c>
      <c r="V427" s="63">
        <f>IF(OR($E427="",D427=0),"",M427/D427*10000)</f>
        <v/>
      </c>
    </row>
    <row r="428">
      <c r="A428" s="35" t="n">
        <v>46082</v>
      </c>
      <c r="B428" s="90">
        <f>'Daily Data'!B428</f>
        <v/>
      </c>
      <c r="C428" s="90">
        <f>'Daily Data'!D428</f>
        <v/>
      </c>
      <c r="D428" s="90">
        <f>'Daily Data'!C428</f>
        <v/>
      </c>
      <c r="E428" s="90">
        <f>IF('Daily Data'!E428="","",'Daily Data'!E428)</f>
        <v/>
      </c>
      <c r="F428" s="90">
        <f>IF($E428="","",'Daily Data'!F428)</f>
        <v/>
      </c>
      <c r="G428" s="90">
        <f>IF($E428="","",'Daily Data'!G428)</f>
        <v/>
      </c>
      <c r="H428" s="91">
        <f>IF($E428="","",(1-K428)*F428-G428)</f>
        <v/>
      </c>
      <c r="I428" s="90">
        <f>IF($E428="","",'Daily Data'!H428)</f>
        <v/>
      </c>
      <c r="J428" s="91">
        <f>IF($E428="","",E428-H428-I428)</f>
        <v/>
      </c>
      <c r="K428" s="60">
        <f>IF($E428="","",IF(A428&lt;HLP_ChangeDate,HLP_Legacy,HLP_Current))</f>
        <v/>
      </c>
      <c r="L428" s="91">
        <f>IF($E428="","",J428/(1-K428))</f>
        <v/>
      </c>
      <c r="M428" s="90">
        <f>IF($E428="","",'Daily Data'!I428)</f>
        <v/>
      </c>
      <c r="N428" s="91">
        <f>IF($E428="","",M428*(1-K428)-I428)</f>
        <v/>
      </c>
      <c r="O428" s="92" t="n">
        <v>153064</v>
      </c>
      <c r="P428" s="93">
        <f>IF($E428="","",(L428+F428+M428)*K428)</f>
        <v/>
      </c>
      <c r="Q428" s="91">
        <f>IF($E428="","",L428*K428)</f>
        <v/>
      </c>
      <c r="R428" s="91">
        <f>IF($E428="","",F428*K428)</f>
        <v/>
      </c>
      <c r="S428" s="91">
        <f>IF($E428="","",M428*K428)</f>
        <v/>
      </c>
      <c r="T428" s="63">
        <f>IF(OR($E428="",B428=0),"",L428/B428*10000)</f>
        <v/>
      </c>
      <c r="U428" s="63">
        <f>IF(OR($E428="",C428=0),"",F428/C428*10000)</f>
        <v/>
      </c>
      <c r="V428" s="63">
        <f>IF(OR($E428="",D428=0),"",M428/D428*10000)</f>
        <v/>
      </c>
    </row>
    <row r="429">
      <c r="A429" s="35" t="n">
        <v>46083</v>
      </c>
      <c r="B429" s="90">
        <f>'Daily Data'!B429</f>
        <v/>
      </c>
      <c r="C429" s="90">
        <f>'Daily Data'!D429</f>
        <v/>
      </c>
      <c r="D429" s="90">
        <f>'Daily Data'!C429</f>
        <v/>
      </c>
      <c r="E429" s="90">
        <f>IF('Daily Data'!E429="","",'Daily Data'!E429)</f>
        <v/>
      </c>
      <c r="F429" s="90">
        <f>IF($E429="","",'Daily Data'!F429)</f>
        <v/>
      </c>
      <c r="G429" s="90">
        <f>IF($E429="","",'Daily Data'!G429)</f>
        <v/>
      </c>
      <c r="H429" s="91">
        <f>IF($E429="","",(1-K429)*F429-G429)</f>
        <v/>
      </c>
      <c r="I429" s="90">
        <f>IF($E429="","",'Daily Data'!H429)</f>
        <v/>
      </c>
      <c r="J429" s="91">
        <f>IF($E429="","",E429-H429-I429)</f>
        <v/>
      </c>
      <c r="K429" s="60">
        <f>IF($E429="","",IF(A429&lt;HLP_ChangeDate,HLP_Legacy,HLP_Current))</f>
        <v/>
      </c>
      <c r="L429" s="91">
        <f>IF($E429="","",J429/(1-K429))</f>
        <v/>
      </c>
      <c r="M429" s="90">
        <f>IF($E429="","",'Daily Data'!I429)</f>
        <v/>
      </c>
      <c r="N429" s="91">
        <f>IF($E429="","",M429*(1-K429)-I429)</f>
        <v/>
      </c>
      <c r="O429" s="92" t="n">
        <v>202739</v>
      </c>
      <c r="P429" s="93">
        <f>IF($E429="","",(L429+F429+M429)*K429)</f>
        <v/>
      </c>
      <c r="Q429" s="91">
        <f>IF($E429="","",L429*K429)</f>
        <v/>
      </c>
      <c r="R429" s="91">
        <f>IF($E429="","",F429*K429)</f>
        <v/>
      </c>
      <c r="S429" s="91">
        <f>IF($E429="","",M429*K429)</f>
        <v/>
      </c>
      <c r="T429" s="63">
        <f>IF(OR($E429="",B429=0),"",L429/B429*10000)</f>
        <v/>
      </c>
      <c r="U429" s="63">
        <f>IF(OR($E429="",C429=0),"",F429/C429*10000)</f>
        <v/>
      </c>
      <c r="V429" s="63">
        <f>IF(OR($E429="",D429=0),"",M429/D429*10000)</f>
        <v/>
      </c>
    </row>
    <row r="430">
      <c r="A430" s="35" t="n">
        <v>46084</v>
      </c>
      <c r="B430" s="90">
        <f>'Daily Data'!B430</f>
        <v/>
      </c>
      <c r="C430" s="90">
        <f>'Daily Data'!D430</f>
        <v/>
      </c>
      <c r="D430" s="90">
        <f>'Daily Data'!C430</f>
        <v/>
      </c>
      <c r="E430" s="90">
        <f>IF('Daily Data'!E430="","",'Daily Data'!E430)</f>
        <v/>
      </c>
      <c r="F430" s="90">
        <f>IF($E430="","",'Daily Data'!F430)</f>
        <v/>
      </c>
      <c r="G430" s="90">
        <f>IF($E430="","",'Daily Data'!G430)</f>
        <v/>
      </c>
      <c r="H430" s="91">
        <f>IF($E430="","",(1-K430)*F430-G430)</f>
        <v/>
      </c>
      <c r="I430" s="90">
        <f>IF($E430="","",'Daily Data'!H430)</f>
        <v/>
      </c>
      <c r="J430" s="91">
        <f>IF($E430="","",E430-H430-I430)</f>
        <v/>
      </c>
      <c r="K430" s="60">
        <f>IF($E430="","",IF(A430&lt;HLP_ChangeDate,HLP_Legacy,HLP_Current))</f>
        <v/>
      </c>
      <c r="L430" s="91">
        <f>IF($E430="","",J430/(1-K430))</f>
        <v/>
      </c>
      <c r="M430" s="90">
        <f>IF($E430="","",'Daily Data'!I430)</f>
        <v/>
      </c>
      <c r="N430" s="91">
        <f>IF($E430="","",M430*(1-K430)-I430)</f>
        <v/>
      </c>
      <c r="O430" s="92" t="n">
        <v>204132</v>
      </c>
      <c r="P430" s="93">
        <f>IF($E430="","",(L430+F430+M430)*K430)</f>
        <v/>
      </c>
      <c r="Q430" s="91">
        <f>IF($E430="","",L430*K430)</f>
        <v/>
      </c>
      <c r="R430" s="91">
        <f>IF($E430="","",F430*K430)</f>
        <v/>
      </c>
      <c r="S430" s="91">
        <f>IF($E430="","",M430*K430)</f>
        <v/>
      </c>
      <c r="T430" s="63">
        <f>IF(OR($E430="",B430=0),"",L430/B430*10000)</f>
        <v/>
      </c>
      <c r="U430" s="63">
        <f>IF(OR($E430="",C430=0),"",F430/C430*10000)</f>
        <v/>
      </c>
      <c r="V430" s="63">
        <f>IF(OR($E430="",D430=0),"",M430/D430*10000)</f>
        <v/>
      </c>
    </row>
    <row r="431">
      <c r="A431" s="35" t="n">
        <v>46085</v>
      </c>
      <c r="B431" s="90">
        <f>'Daily Data'!B431</f>
        <v/>
      </c>
      <c r="C431" s="90">
        <f>'Daily Data'!D431</f>
        <v/>
      </c>
      <c r="D431" s="90">
        <f>'Daily Data'!C431</f>
        <v/>
      </c>
      <c r="E431" s="90">
        <f>IF('Daily Data'!E431="","",'Daily Data'!E431)</f>
        <v/>
      </c>
      <c r="F431" s="90">
        <f>IF($E431="","",'Daily Data'!F431)</f>
        <v/>
      </c>
      <c r="G431" s="90">
        <f>IF($E431="","",'Daily Data'!G431)</f>
        <v/>
      </c>
      <c r="H431" s="91">
        <f>IF($E431="","",(1-K431)*F431-G431)</f>
        <v/>
      </c>
      <c r="I431" s="90">
        <f>IF($E431="","",'Daily Data'!H431)</f>
        <v/>
      </c>
      <c r="J431" s="91">
        <f>IF($E431="","",E431-H431-I431)</f>
        <v/>
      </c>
      <c r="K431" s="60">
        <f>IF($E431="","",IF(A431&lt;HLP_ChangeDate,HLP_Legacy,HLP_Current))</f>
        <v/>
      </c>
      <c r="L431" s="91">
        <f>IF($E431="","",J431/(1-K431))</f>
        <v/>
      </c>
      <c r="M431" s="90">
        <f>IF($E431="","",'Daily Data'!I431)</f>
        <v/>
      </c>
      <c r="N431" s="91">
        <f>IF($E431="","",M431*(1-K431)-I431)</f>
        <v/>
      </c>
      <c r="O431" s="92" t="n">
        <v>225712</v>
      </c>
      <c r="P431" s="93">
        <f>IF($E431="","",(L431+F431+M431)*K431)</f>
        <v/>
      </c>
      <c r="Q431" s="91">
        <f>IF($E431="","",L431*K431)</f>
        <v/>
      </c>
      <c r="R431" s="91">
        <f>IF($E431="","",F431*K431)</f>
        <v/>
      </c>
      <c r="S431" s="91">
        <f>IF($E431="","",M431*K431)</f>
        <v/>
      </c>
      <c r="T431" s="63">
        <f>IF(OR($E431="",B431=0),"",L431/B431*10000)</f>
        <v/>
      </c>
      <c r="U431" s="63">
        <f>IF(OR($E431="",C431=0),"",F431/C431*10000)</f>
        <v/>
      </c>
      <c r="V431" s="63">
        <f>IF(OR($E431="",D431=0),"",M431/D431*10000)</f>
        <v/>
      </c>
    </row>
    <row r="432">
      <c r="A432" s="35" t="n">
        <v>46086</v>
      </c>
      <c r="B432" s="90">
        <f>'Daily Data'!B432</f>
        <v/>
      </c>
      <c r="C432" s="90">
        <f>'Daily Data'!D432</f>
        <v/>
      </c>
      <c r="D432" s="90">
        <f>'Daily Data'!C432</f>
        <v/>
      </c>
      <c r="E432" s="90">
        <f>IF('Daily Data'!E432="","",'Daily Data'!E432)</f>
        <v/>
      </c>
      <c r="F432" s="90">
        <f>IF($E432="","",'Daily Data'!F432)</f>
        <v/>
      </c>
      <c r="G432" s="90">
        <f>IF($E432="","",'Daily Data'!G432)</f>
        <v/>
      </c>
      <c r="H432" s="91">
        <f>IF($E432="","",(1-K432)*F432-G432)</f>
        <v/>
      </c>
      <c r="I432" s="90">
        <f>IF($E432="","",'Daily Data'!H432)</f>
        <v/>
      </c>
      <c r="J432" s="91">
        <f>IF($E432="","",E432-H432-I432)</f>
        <v/>
      </c>
      <c r="K432" s="60">
        <f>IF($E432="","",IF(A432&lt;HLP_ChangeDate,HLP_Legacy,HLP_Current))</f>
        <v/>
      </c>
      <c r="L432" s="91">
        <f>IF($E432="","",J432/(1-K432))</f>
        <v/>
      </c>
      <c r="M432" s="90">
        <f>IF($E432="","",'Daily Data'!I432)</f>
        <v/>
      </c>
      <c r="N432" s="91">
        <f>IF($E432="","",M432*(1-K432)-I432)</f>
        <v/>
      </c>
      <c r="O432" s="92" t="n">
        <v>144559</v>
      </c>
      <c r="P432" s="93">
        <f>IF($E432="","",(L432+F432+M432)*K432)</f>
        <v/>
      </c>
      <c r="Q432" s="91">
        <f>IF($E432="","",L432*K432)</f>
        <v/>
      </c>
      <c r="R432" s="91">
        <f>IF($E432="","",F432*K432)</f>
        <v/>
      </c>
      <c r="S432" s="91">
        <f>IF($E432="","",M432*K432)</f>
        <v/>
      </c>
      <c r="T432" s="63">
        <f>IF(OR($E432="",B432=0),"",L432/B432*10000)</f>
        <v/>
      </c>
      <c r="U432" s="63">
        <f>IF(OR($E432="",C432=0),"",F432/C432*10000)</f>
        <v/>
      </c>
      <c r="V432" s="63">
        <f>IF(OR($E432="",D432=0),"",M432/D432*10000)</f>
        <v/>
      </c>
    </row>
    <row r="433">
      <c r="A433" s="35" t="n">
        <v>46087</v>
      </c>
      <c r="B433" s="90">
        <f>'Daily Data'!B433</f>
        <v/>
      </c>
      <c r="C433" s="90">
        <f>'Daily Data'!D433</f>
        <v/>
      </c>
      <c r="D433" s="90">
        <f>'Daily Data'!C433</f>
        <v/>
      </c>
      <c r="E433" s="90">
        <f>IF('Daily Data'!E433="","",'Daily Data'!E433)</f>
        <v/>
      </c>
      <c r="F433" s="90">
        <f>IF($E433="","",'Daily Data'!F433)</f>
        <v/>
      </c>
      <c r="G433" s="90">
        <f>IF($E433="","",'Daily Data'!G433)</f>
        <v/>
      </c>
      <c r="H433" s="91">
        <f>IF($E433="","",(1-K433)*F433-G433)</f>
        <v/>
      </c>
      <c r="I433" s="90">
        <f>IF($E433="","",'Daily Data'!H433)</f>
        <v/>
      </c>
      <c r="J433" s="91">
        <f>IF($E433="","",E433-H433-I433)</f>
        <v/>
      </c>
      <c r="K433" s="60">
        <f>IF($E433="","",IF(A433&lt;HLP_ChangeDate,HLP_Legacy,HLP_Current))</f>
        <v/>
      </c>
      <c r="L433" s="91">
        <f>IF($E433="","",J433/(1-K433))</f>
        <v/>
      </c>
      <c r="M433" s="90">
        <f>IF($E433="","",'Daily Data'!I433)</f>
        <v/>
      </c>
      <c r="N433" s="91">
        <f>IF($E433="","",M433*(1-K433)-I433)</f>
        <v/>
      </c>
      <c r="O433" s="92" t="n">
        <v>190187</v>
      </c>
      <c r="P433" s="93">
        <f>IF($E433="","",(L433+F433+M433)*K433)</f>
        <v/>
      </c>
      <c r="Q433" s="91">
        <f>IF($E433="","",L433*K433)</f>
        <v/>
      </c>
      <c r="R433" s="91">
        <f>IF($E433="","",F433*K433)</f>
        <v/>
      </c>
      <c r="S433" s="91">
        <f>IF($E433="","",M433*K433)</f>
        <v/>
      </c>
      <c r="T433" s="63">
        <f>IF(OR($E433="",B433=0),"",L433/B433*10000)</f>
        <v/>
      </c>
      <c r="U433" s="63">
        <f>IF(OR($E433="",C433=0),"",F433/C433*10000)</f>
        <v/>
      </c>
      <c r="V433" s="63">
        <f>IF(OR($E433="",D433=0),"",M433/D433*10000)</f>
        <v/>
      </c>
    </row>
    <row r="434">
      <c r="A434" s="35" t="n">
        <v>46088</v>
      </c>
      <c r="B434" s="90">
        <f>'Daily Data'!B434</f>
        <v/>
      </c>
      <c r="C434" s="90">
        <f>'Daily Data'!D434</f>
        <v/>
      </c>
      <c r="D434" s="90">
        <f>'Daily Data'!C434</f>
        <v/>
      </c>
      <c r="E434" s="90">
        <f>IF('Daily Data'!E434="","",'Daily Data'!E434)</f>
        <v/>
      </c>
      <c r="F434" s="90">
        <f>IF($E434="","",'Daily Data'!F434)</f>
        <v/>
      </c>
      <c r="G434" s="90">
        <f>IF($E434="","",'Daily Data'!G434)</f>
        <v/>
      </c>
      <c r="H434" s="91">
        <f>IF($E434="","",(1-K434)*F434-G434)</f>
        <v/>
      </c>
      <c r="I434" s="90">
        <f>IF($E434="","",'Daily Data'!H434)</f>
        <v/>
      </c>
      <c r="J434" s="91">
        <f>IF($E434="","",E434-H434-I434)</f>
        <v/>
      </c>
      <c r="K434" s="60">
        <f>IF($E434="","",IF(A434&lt;HLP_ChangeDate,HLP_Legacy,HLP_Current))</f>
        <v/>
      </c>
      <c r="L434" s="91">
        <f>IF($E434="","",J434/(1-K434))</f>
        <v/>
      </c>
      <c r="M434" s="90">
        <f>IF($E434="","",'Daily Data'!I434)</f>
        <v/>
      </c>
      <c r="N434" s="91">
        <f>IF($E434="","",M434*(1-K434)-I434)</f>
        <v/>
      </c>
      <c r="O434" s="92" t="n">
        <v>97971</v>
      </c>
      <c r="P434" s="93">
        <f>IF($E434="","",(L434+F434+M434)*K434)</f>
        <v/>
      </c>
      <c r="Q434" s="91">
        <f>IF($E434="","",L434*K434)</f>
        <v/>
      </c>
      <c r="R434" s="91">
        <f>IF($E434="","",F434*K434)</f>
        <v/>
      </c>
      <c r="S434" s="91">
        <f>IF($E434="","",M434*K434)</f>
        <v/>
      </c>
      <c r="T434" s="63">
        <f>IF(OR($E434="",B434=0),"",L434/B434*10000)</f>
        <v/>
      </c>
      <c r="U434" s="63">
        <f>IF(OR($E434="",C434=0),"",F434/C434*10000)</f>
        <v/>
      </c>
      <c r="V434" s="63">
        <f>IF(OR($E434="",D434=0),"",M434/D434*10000)</f>
        <v/>
      </c>
    </row>
    <row r="435">
      <c r="A435" s="35" t="n">
        <v>46089</v>
      </c>
      <c r="B435" s="90">
        <f>'Daily Data'!B435</f>
        <v/>
      </c>
      <c r="C435" s="90">
        <f>'Daily Data'!D435</f>
        <v/>
      </c>
      <c r="D435" s="90">
        <f>'Daily Data'!C435</f>
        <v/>
      </c>
      <c r="E435" s="90">
        <f>IF('Daily Data'!E435="","",'Daily Data'!E435)</f>
        <v/>
      </c>
      <c r="F435" s="90">
        <f>IF($E435="","",'Daily Data'!F435)</f>
        <v/>
      </c>
      <c r="G435" s="90">
        <f>IF($E435="","",'Daily Data'!G435)</f>
        <v/>
      </c>
      <c r="H435" s="91">
        <f>IF($E435="","",(1-K435)*F435-G435)</f>
        <v/>
      </c>
      <c r="I435" s="90">
        <f>IF($E435="","",'Daily Data'!H435)</f>
        <v/>
      </c>
      <c r="J435" s="91">
        <f>IF($E435="","",E435-H435-I435)</f>
        <v/>
      </c>
      <c r="K435" s="60">
        <f>IF($E435="","",IF(A435&lt;HLP_ChangeDate,HLP_Legacy,HLP_Current))</f>
        <v/>
      </c>
      <c r="L435" s="91">
        <f>IF($E435="","",J435/(1-K435))</f>
        <v/>
      </c>
      <c r="M435" s="90">
        <f>IF($E435="","",'Daily Data'!I435)</f>
        <v/>
      </c>
      <c r="N435" s="91">
        <f>IF($E435="","",M435*(1-K435)-I435)</f>
        <v/>
      </c>
      <c r="O435" s="92" t="n">
        <v>196632</v>
      </c>
      <c r="P435" s="93">
        <f>IF($E435="","",(L435+F435+M435)*K435)</f>
        <v/>
      </c>
      <c r="Q435" s="91">
        <f>IF($E435="","",L435*K435)</f>
        <v/>
      </c>
      <c r="R435" s="91">
        <f>IF($E435="","",F435*K435)</f>
        <v/>
      </c>
      <c r="S435" s="91">
        <f>IF($E435="","",M435*K435)</f>
        <v/>
      </c>
      <c r="T435" s="63">
        <f>IF(OR($E435="",B435=0),"",L435/B435*10000)</f>
        <v/>
      </c>
      <c r="U435" s="63">
        <f>IF(OR($E435="",C435=0),"",F435/C435*10000)</f>
        <v/>
      </c>
      <c r="V435" s="63">
        <f>IF(OR($E435="",D435=0),"",M435/D435*10000)</f>
        <v/>
      </c>
    </row>
    <row r="436">
      <c r="A436" s="35" t="n">
        <v>46090</v>
      </c>
      <c r="B436" s="90">
        <f>'Daily Data'!B436</f>
        <v/>
      </c>
      <c r="C436" s="90">
        <f>'Daily Data'!D436</f>
        <v/>
      </c>
      <c r="D436" s="90">
        <f>'Daily Data'!C436</f>
        <v/>
      </c>
      <c r="E436" s="90">
        <f>IF('Daily Data'!E436="","",'Daily Data'!E436)</f>
        <v/>
      </c>
      <c r="F436" s="90">
        <f>IF($E436="","",'Daily Data'!F436)</f>
        <v/>
      </c>
      <c r="G436" s="90">
        <f>IF($E436="","",'Daily Data'!G436)</f>
        <v/>
      </c>
      <c r="H436" s="91">
        <f>IF($E436="","",(1-K436)*F436-G436)</f>
        <v/>
      </c>
      <c r="I436" s="90">
        <f>IF($E436="","",'Daily Data'!H436)</f>
        <v/>
      </c>
      <c r="J436" s="91">
        <f>IF($E436="","",E436-H436-I436)</f>
        <v/>
      </c>
      <c r="K436" s="60">
        <f>IF($E436="","",IF(A436&lt;HLP_ChangeDate,HLP_Legacy,HLP_Current))</f>
        <v/>
      </c>
      <c r="L436" s="91">
        <f>IF($E436="","",J436/(1-K436))</f>
        <v/>
      </c>
      <c r="M436" s="90">
        <f>IF($E436="","",'Daily Data'!I436)</f>
        <v/>
      </c>
      <c r="N436" s="91">
        <f>IF($E436="","",M436*(1-K436)-I436)</f>
        <v/>
      </c>
      <c r="O436" s="92" t="n">
        <v>252241</v>
      </c>
      <c r="P436" s="93">
        <f>IF($E436="","",(L436+F436+M436)*K436)</f>
        <v/>
      </c>
      <c r="Q436" s="91">
        <f>IF($E436="","",L436*K436)</f>
        <v/>
      </c>
      <c r="R436" s="91">
        <f>IF($E436="","",F436*K436)</f>
        <v/>
      </c>
      <c r="S436" s="91">
        <f>IF($E436="","",M436*K436)</f>
        <v/>
      </c>
      <c r="T436" s="63">
        <f>IF(OR($E436="",B436=0),"",L436/B436*10000)</f>
        <v/>
      </c>
      <c r="U436" s="63">
        <f>IF(OR($E436="",C436=0),"",F436/C436*10000)</f>
        <v/>
      </c>
      <c r="V436" s="63">
        <f>IF(OR($E436="",D436=0),"",M436/D436*10000)</f>
        <v/>
      </c>
    </row>
    <row r="437">
      <c r="A437" s="35" t="n">
        <v>46091</v>
      </c>
      <c r="B437" s="90">
        <f>'Daily Data'!B437</f>
        <v/>
      </c>
      <c r="C437" s="90">
        <f>'Daily Data'!D437</f>
        <v/>
      </c>
      <c r="D437" s="90">
        <f>'Daily Data'!C437</f>
        <v/>
      </c>
      <c r="E437" s="90">
        <f>IF('Daily Data'!E437="","",'Daily Data'!E437)</f>
        <v/>
      </c>
      <c r="F437" s="90">
        <f>IF($E437="","",'Daily Data'!F437)</f>
        <v/>
      </c>
      <c r="G437" s="90">
        <f>IF($E437="","",'Daily Data'!G437)</f>
        <v/>
      </c>
      <c r="H437" s="91">
        <f>IF($E437="","",(1-K437)*F437-G437)</f>
        <v/>
      </c>
      <c r="I437" s="90">
        <f>IF($E437="","",'Daily Data'!H437)</f>
        <v/>
      </c>
      <c r="J437" s="91">
        <f>IF($E437="","",E437-H437-I437)</f>
        <v/>
      </c>
      <c r="K437" s="60">
        <f>IF($E437="","",IF(A437&lt;HLP_ChangeDate,HLP_Legacy,HLP_Current))</f>
        <v/>
      </c>
      <c r="L437" s="91">
        <f>IF($E437="","",J437/(1-K437))</f>
        <v/>
      </c>
      <c r="M437" s="90">
        <f>IF($E437="","",'Daily Data'!I437)</f>
        <v/>
      </c>
      <c r="N437" s="91">
        <f>IF($E437="","",M437*(1-K437)-I437)</f>
        <v/>
      </c>
      <c r="O437" s="92" t="n">
        <v>206714</v>
      </c>
      <c r="P437" s="93">
        <f>IF($E437="","",(L437+F437+M437)*K437)</f>
        <v/>
      </c>
      <c r="Q437" s="91">
        <f>IF($E437="","",L437*K437)</f>
        <v/>
      </c>
      <c r="R437" s="91">
        <f>IF($E437="","",F437*K437)</f>
        <v/>
      </c>
      <c r="S437" s="91">
        <f>IF($E437="","",M437*K437)</f>
        <v/>
      </c>
      <c r="T437" s="63">
        <f>IF(OR($E437="",B437=0),"",L437/B437*10000)</f>
        <v/>
      </c>
      <c r="U437" s="63">
        <f>IF(OR($E437="",C437=0),"",F437/C437*10000)</f>
        <v/>
      </c>
      <c r="V437" s="63">
        <f>IF(OR($E437="",D437=0),"",M437/D437*10000)</f>
        <v/>
      </c>
    </row>
    <row r="438">
      <c r="A438" s="35" t="n">
        <v>46092</v>
      </c>
      <c r="B438" s="90">
        <f>'Daily Data'!B438</f>
        <v/>
      </c>
      <c r="C438" s="90">
        <f>'Daily Data'!D438</f>
        <v/>
      </c>
      <c r="D438" s="90">
        <f>'Daily Data'!C438</f>
        <v/>
      </c>
      <c r="E438" s="90">
        <f>IF('Daily Data'!E438="","",'Daily Data'!E438)</f>
        <v/>
      </c>
      <c r="F438" s="90">
        <f>IF($E438="","",'Daily Data'!F438)</f>
        <v/>
      </c>
      <c r="G438" s="90">
        <f>IF($E438="","",'Daily Data'!G438)</f>
        <v/>
      </c>
      <c r="H438" s="91">
        <f>IF($E438="","",(1-K438)*F438-G438)</f>
        <v/>
      </c>
      <c r="I438" s="90">
        <f>IF($E438="","",'Daily Data'!H438)</f>
        <v/>
      </c>
      <c r="J438" s="91">
        <f>IF($E438="","",E438-H438-I438)</f>
        <v/>
      </c>
      <c r="K438" s="60">
        <f>IF($E438="","",IF(A438&lt;HLP_ChangeDate,HLP_Legacy,HLP_Current))</f>
        <v/>
      </c>
      <c r="L438" s="91">
        <f>IF($E438="","",J438/(1-K438))</f>
        <v/>
      </c>
      <c r="M438" s="90">
        <f>IF($E438="","",'Daily Data'!I438)</f>
        <v/>
      </c>
      <c r="N438" s="91">
        <f>IF($E438="","",M438*(1-K438)-I438)</f>
        <v/>
      </c>
      <c r="O438" s="92" t="n">
        <v>153984</v>
      </c>
      <c r="P438" s="93">
        <f>IF($E438="","",(L438+F438+M438)*K438)</f>
        <v/>
      </c>
      <c r="Q438" s="91">
        <f>IF($E438="","",L438*K438)</f>
        <v/>
      </c>
      <c r="R438" s="91">
        <f>IF($E438="","",F438*K438)</f>
        <v/>
      </c>
      <c r="S438" s="91">
        <f>IF($E438="","",M438*K438)</f>
        <v/>
      </c>
      <c r="T438" s="63">
        <f>IF(OR($E438="",B438=0),"",L438/B438*10000)</f>
        <v/>
      </c>
      <c r="U438" s="63">
        <f>IF(OR($E438="",C438=0),"",F438/C438*10000)</f>
        <v/>
      </c>
      <c r="V438" s="63">
        <f>IF(OR($E438="",D438=0),"",M438/D438*10000)</f>
        <v/>
      </c>
    </row>
    <row r="439">
      <c r="A439" s="35" t="n">
        <v>46093</v>
      </c>
      <c r="B439" s="90">
        <f>'Daily Data'!B439</f>
        <v/>
      </c>
      <c r="C439" s="90">
        <f>'Daily Data'!D439</f>
        <v/>
      </c>
      <c r="D439" s="90">
        <f>'Daily Data'!C439</f>
        <v/>
      </c>
      <c r="E439" s="90">
        <f>IF('Daily Data'!E439="","",'Daily Data'!E439)</f>
        <v/>
      </c>
      <c r="F439" s="90">
        <f>IF($E439="","",'Daily Data'!F439)</f>
        <v/>
      </c>
      <c r="G439" s="90">
        <f>IF($E439="","",'Daily Data'!G439)</f>
        <v/>
      </c>
      <c r="H439" s="91">
        <f>IF($E439="","",(1-K439)*F439-G439)</f>
        <v/>
      </c>
      <c r="I439" s="90">
        <f>IF($E439="","",'Daily Data'!H439)</f>
        <v/>
      </c>
      <c r="J439" s="91">
        <f>IF($E439="","",E439-H439-I439)</f>
        <v/>
      </c>
      <c r="K439" s="60">
        <f>IF($E439="","",IF(A439&lt;HLP_ChangeDate,HLP_Legacy,HLP_Current))</f>
        <v/>
      </c>
      <c r="L439" s="91">
        <f>IF($E439="","",J439/(1-K439))</f>
        <v/>
      </c>
      <c r="M439" s="90">
        <f>IF($E439="","",'Daily Data'!I439)</f>
        <v/>
      </c>
      <c r="N439" s="91">
        <f>IF($E439="","",M439*(1-K439)-I439)</f>
        <v/>
      </c>
      <c r="O439" s="92" t="n">
        <v>172741</v>
      </c>
      <c r="P439" s="93">
        <f>IF($E439="","",(L439+F439+M439)*K439)</f>
        <v/>
      </c>
      <c r="Q439" s="91">
        <f>IF($E439="","",L439*K439)</f>
        <v/>
      </c>
      <c r="R439" s="91">
        <f>IF($E439="","",F439*K439)</f>
        <v/>
      </c>
      <c r="S439" s="91">
        <f>IF($E439="","",M439*K439)</f>
        <v/>
      </c>
      <c r="T439" s="63">
        <f>IF(OR($E439="",B439=0),"",L439/B439*10000)</f>
        <v/>
      </c>
      <c r="U439" s="63">
        <f>IF(OR($E439="",C439=0),"",F439/C439*10000)</f>
        <v/>
      </c>
      <c r="V439" s="63">
        <f>IF(OR($E439="",D439=0),"",M439/D439*10000)</f>
        <v/>
      </c>
    </row>
    <row r="440">
      <c r="A440" s="35" t="n">
        <v>46094</v>
      </c>
      <c r="B440" s="90">
        <f>'Daily Data'!B440</f>
        <v/>
      </c>
      <c r="C440" s="90">
        <f>'Daily Data'!D440</f>
        <v/>
      </c>
      <c r="D440" s="90">
        <f>'Daily Data'!C440</f>
        <v/>
      </c>
      <c r="E440" s="90">
        <f>IF('Daily Data'!E440="","",'Daily Data'!E440)</f>
        <v/>
      </c>
      <c r="F440" s="90">
        <f>IF($E440="","",'Daily Data'!F440)</f>
        <v/>
      </c>
      <c r="G440" s="90">
        <f>IF($E440="","",'Daily Data'!G440)</f>
        <v/>
      </c>
      <c r="H440" s="91">
        <f>IF($E440="","",(1-K440)*F440-G440)</f>
        <v/>
      </c>
      <c r="I440" s="90">
        <f>IF($E440="","",'Daily Data'!H440)</f>
        <v/>
      </c>
      <c r="J440" s="91">
        <f>IF($E440="","",E440-H440-I440)</f>
        <v/>
      </c>
      <c r="K440" s="60">
        <f>IF($E440="","",IF(A440&lt;HLP_ChangeDate,HLP_Legacy,HLP_Current))</f>
        <v/>
      </c>
      <c r="L440" s="91">
        <f>IF($E440="","",J440/(1-K440))</f>
        <v/>
      </c>
      <c r="M440" s="90">
        <f>IF($E440="","",'Daily Data'!I440)</f>
        <v/>
      </c>
      <c r="N440" s="91">
        <f>IF($E440="","",M440*(1-K440)-I440)</f>
        <v/>
      </c>
      <c r="O440" s="92" t="n">
        <v>203378</v>
      </c>
      <c r="P440" s="93">
        <f>IF($E440="","",(L440+F440+M440)*K440)</f>
        <v/>
      </c>
      <c r="Q440" s="91">
        <f>IF($E440="","",L440*K440)</f>
        <v/>
      </c>
      <c r="R440" s="91">
        <f>IF($E440="","",F440*K440)</f>
        <v/>
      </c>
      <c r="S440" s="91">
        <f>IF($E440="","",M440*K440)</f>
        <v/>
      </c>
      <c r="T440" s="63">
        <f>IF(OR($E440="",B440=0),"",L440/B440*10000)</f>
        <v/>
      </c>
      <c r="U440" s="63">
        <f>IF(OR($E440="",C440=0),"",F440/C440*10000)</f>
        <v/>
      </c>
      <c r="V440" s="63">
        <f>IF(OR($E440="",D440=0),"",M440/D440*10000)</f>
        <v/>
      </c>
    </row>
    <row r="441">
      <c r="A441" s="35" t="n">
        <v>46095</v>
      </c>
      <c r="B441" s="90">
        <f>'Daily Data'!B441</f>
        <v/>
      </c>
      <c r="C441" s="90">
        <f>'Daily Data'!D441</f>
        <v/>
      </c>
      <c r="D441" s="90">
        <f>'Daily Data'!C441</f>
        <v/>
      </c>
      <c r="E441" s="90">
        <f>IF('Daily Data'!E441="","",'Daily Data'!E441)</f>
        <v/>
      </c>
      <c r="F441" s="90">
        <f>IF($E441="","",'Daily Data'!F441)</f>
        <v/>
      </c>
      <c r="G441" s="90">
        <f>IF($E441="","",'Daily Data'!G441)</f>
        <v/>
      </c>
      <c r="H441" s="91">
        <f>IF($E441="","",(1-K441)*F441-G441)</f>
        <v/>
      </c>
      <c r="I441" s="90">
        <f>IF($E441="","",'Daily Data'!H441)</f>
        <v/>
      </c>
      <c r="J441" s="91">
        <f>IF($E441="","",E441-H441-I441)</f>
        <v/>
      </c>
      <c r="K441" s="60">
        <f>IF($E441="","",IF(A441&lt;HLP_ChangeDate,HLP_Legacy,HLP_Current))</f>
        <v/>
      </c>
      <c r="L441" s="91">
        <f>IF($E441="","",J441/(1-K441))</f>
        <v/>
      </c>
      <c r="M441" s="90">
        <f>IF($E441="","",'Daily Data'!I441)</f>
        <v/>
      </c>
      <c r="N441" s="91">
        <f>IF($E441="","",M441*(1-K441)-I441)</f>
        <v/>
      </c>
      <c r="O441" s="92" t="n">
        <v>90290</v>
      </c>
      <c r="P441" s="93">
        <f>IF($E441="","",(L441+F441+M441)*K441)</f>
        <v/>
      </c>
      <c r="Q441" s="91">
        <f>IF($E441="","",L441*K441)</f>
        <v/>
      </c>
      <c r="R441" s="91">
        <f>IF($E441="","",F441*K441)</f>
        <v/>
      </c>
      <c r="S441" s="91">
        <f>IF($E441="","",M441*K441)</f>
        <v/>
      </c>
      <c r="T441" s="63">
        <f>IF(OR($E441="",B441=0),"",L441/B441*10000)</f>
        <v/>
      </c>
      <c r="U441" s="63">
        <f>IF(OR($E441="",C441=0),"",F441/C441*10000)</f>
        <v/>
      </c>
      <c r="V441" s="63">
        <f>IF(OR($E441="",D441=0),"",M441/D441*10000)</f>
        <v/>
      </c>
    </row>
    <row r="442">
      <c r="A442" s="35" t="n">
        <v>46096</v>
      </c>
      <c r="B442" s="90">
        <f>'Daily Data'!B442</f>
        <v/>
      </c>
      <c r="C442" s="90">
        <f>'Daily Data'!D442</f>
        <v/>
      </c>
      <c r="D442" s="90">
        <f>'Daily Data'!C442</f>
        <v/>
      </c>
      <c r="E442" s="90">
        <f>IF('Daily Data'!E442="","",'Daily Data'!E442)</f>
        <v/>
      </c>
      <c r="F442" s="90">
        <f>IF($E442="","",'Daily Data'!F442)</f>
        <v/>
      </c>
      <c r="G442" s="90">
        <f>IF($E442="","",'Daily Data'!G442)</f>
        <v/>
      </c>
      <c r="H442" s="91">
        <f>IF($E442="","",(1-K442)*F442-G442)</f>
        <v/>
      </c>
      <c r="I442" s="90">
        <f>IF($E442="","",'Daily Data'!H442)</f>
        <v/>
      </c>
      <c r="J442" s="91">
        <f>IF($E442="","",E442-H442-I442)</f>
        <v/>
      </c>
      <c r="K442" s="60">
        <f>IF($E442="","",IF(A442&lt;HLP_ChangeDate,HLP_Legacy,HLP_Current))</f>
        <v/>
      </c>
      <c r="L442" s="91">
        <f>IF($E442="","",J442/(1-K442))</f>
        <v/>
      </c>
      <c r="M442" s="90">
        <f>IF($E442="","",'Daily Data'!I442)</f>
        <v/>
      </c>
      <c r="N442" s="91">
        <f>IF($E442="","",M442*(1-K442)-I442)</f>
        <v/>
      </c>
      <c r="O442" s="92" t="n">
        <v>110318</v>
      </c>
      <c r="P442" s="93">
        <f>IF($E442="","",(L442+F442+M442)*K442)</f>
        <v/>
      </c>
      <c r="Q442" s="91">
        <f>IF($E442="","",L442*K442)</f>
        <v/>
      </c>
      <c r="R442" s="91">
        <f>IF($E442="","",F442*K442)</f>
        <v/>
      </c>
      <c r="S442" s="91">
        <f>IF($E442="","",M442*K442)</f>
        <v/>
      </c>
      <c r="T442" s="63">
        <f>IF(OR($E442="",B442=0),"",L442/B442*10000)</f>
        <v/>
      </c>
      <c r="U442" s="63">
        <f>IF(OR($E442="",C442=0),"",F442/C442*10000)</f>
        <v/>
      </c>
      <c r="V442" s="63">
        <f>IF(OR($E442="",D442=0),"",M442/D442*10000)</f>
        <v/>
      </c>
    </row>
    <row r="443">
      <c r="A443" s="35" t="n">
        <v>46097</v>
      </c>
      <c r="B443" s="90">
        <f>'Daily Data'!B443</f>
        <v/>
      </c>
      <c r="C443" s="90">
        <f>'Daily Data'!D443</f>
        <v/>
      </c>
      <c r="D443" s="90">
        <f>'Daily Data'!C443</f>
        <v/>
      </c>
      <c r="E443" s="90">
        <f>IF('Daily Data'!E443="","",'Daily Data'!E443)</f>
        <v/>
      </c>
      <c r="F443" s="90">
        <f>IF($E443="","",'Daily Data'!F443)</f>
        <v/>
      </c>
      <c r="G443" s="90">
        <f>IF($E443="","",'Daily Data'!G443)</f>
        <v/>
      </c>
      <c r="H443" s="91">
        <f>IF($E443="","",(1-K443)*F443-G443)</f>
        <v/>
      </c>
      <c r="I443" s="90">
        <f>IF($E443="","",'Daily Data'!H443)</f>
        <v/>
      </c>
      <c r="J443" s="91">
        <f>IF($E443="","",E443-H443-I443)</f>
        <v/>
      </c>
      <c r="K443" s="60">
        <f>IF($E443="","",IF(A443&lt;HLP_ChangeDate,HLP_Legacy,HLP_Current))</f>
        <v/>
      </c>
      <c r="L443" s="91">
        <f>IF($E443="","",J443/(1-K443))</f>
        <v/>
      </c>
      <c r="M443" s="90">
        <f>IF($E443="","",'Daily Data'!I443)</f>
        <v/>
      </c>
      <c r="N443" s="91">
        <f>IF($E443="","",M443*(1-K443)-I443)</f>
        <v/>
      </c>
      <c r="O443" s="92" t="n">
        <v>201069</v>
      </c>
      <c r="P443" s="93">
        <f>IF($E443="","",(L443+F443+M443)*K443)</f>
        <v/>
      </c>
      <c r="Q443" s="91">
        <f>IF($E443="","",L443*K443)</f>
        <v/>
      </c>
      <c r="R443" s="91">
        <f>IF($E443="","",F443*K443)</f>
        <v/>
      </c>
      <c r="S443" s="91">
        <f>IF($E443="","",M443*K443)</f>
        <v/>
      </c>
      <c r="T443" s="63">
        <f>IF(OR($E443="",B443=0),"",L443/B443*10000)</f>
        <v/>
      </c>
      <c r="U443" s="63">
        <f>IF(OR($E443="",C443=0),"",F443/C443*10000)</f>
        <v/>
      </c>
      <c r="V443" s="63">
        <f>IF(OR($E443="",D443=0),"",M443/D443*10000)</f>
        <v/>
      </c>
    </row>
    <row r="444">
      <c r="A444" s="35" t="n">
        <v>46098</v>
      </c>
      <c r="B444" s="90">
        <f>'Daily Data'!B444</f>
        <v/>
      </c>
      <c r="C444" s="90">
        <f>'Daily Data'!D444</f>
        <v/>
      </c>
      <c r="D444" s="90">
        <f>'Daily Data'!C444</f>
        <v/>
      </c>
      <c r="E444" s="90">
        <f>IF('Daily Data'!E444="","",'Daily Data'!E444)</f>
        <v/>
      </c>
      <c r="F444" s="90">
        <f>IF($E444="","",'Daily Data'!F444)</f>
        <v/>
      </c>
      <c r="G444" s="90">
        <f>IF($E444="","",'Daily Data'!G444)</f>
        <v/>
      </c>
      <c r="H444" s="91">
        <f>IF($E444="","",(1-K444)*F444-G444)</f>
        <v/>
      </c>
      <c r="I444" s="90">
        <f>IF($E444="","",'Daily Data'!H444)</f>
        <v/>
      </c>
      <c r="J444" s="91">
        <f>IF($E444="","",E444-H444-I444)</f>
        <v/>
      </c>
      <c r="K444" s="60">
        <f>IF($E444="","",IF(A444&lt;HLP_ChangeDate,HLP_Legacy,HLP_Current))</f>
        <v/>
      </c>
      <c r="L444" s="91">
        <f>IF($E444="","",J444/(1-K444))</f>
        <v/>
      </c>
      <c r="M444" s="90">
        <f>IF($E444="","",'Daily Data'!I444)</f>
        <v/>
      </c>
      <c r="N444" s="91">
        <f>IF($E444="","",M444*(1-K444)-I444)</f>
        <v/>
      </c>
      <c r="O444" s="92" t="n">
        <v>170101</v>
      </c>
      <c r="P444" s="93">
        <f>IF($E444="","",(L444+F444+M444)*K444)</f>
        <v/>
      </c>
      <c r="Q444" s="91">
        <f>IF($E444="","",L444*K444)</f>
        <v/>
      </c>
      <c r="R444" s="91">
        <f>IF($E444="","",F444*K444)</f>
        <v/>
      </c>
      <c r="S444" s="91">
        <f>IF($E444="","",M444*K444)</f>
        <v/>
      </c>
      <c r="T444" s="63">
        <f>IF(OR($E444="",B444=0),"",L444/B444*10000)</f>
        <v/>
      </c>
      <c r="U444" s="63">
        <f>IF(OR($E444="",C444=0),"",F444/C444*10000)</f>
        <v/>
      </c>
      <c r="V444" s="63">
        <f>IF(OR($E444="",D444=0),"",M444/D444*10000)</f>
        <v/>
      </c>
    </row>
    <row r="445">
      <c r="A445" s="35" t="n">
        <v>46099</v>
      </c>
      <c r="B445" s="90">
        <f>'Daily Data'!B445</f>
        <v/>
      </c>
      <c r="C445" s="90">
        <f>'Daily Data'!D445</f>
        <v/>
      </c>
      <c r="D445" s="90">
        <f>'Daily Data'!C445</f>
        <v/>
      </c>
      <c r="E445" s="90">
        <f>IF('Daily Data'!E445="","",'Daily Data'!E445)</f>
        <v/>
      </c>
      <c r="F445" s="90">
        <f>IF($E445="","",'Daily Data'!F445)</f>
        <v/>
      </c>
      <c r="G445" s="90">
        <f>IF($E445="","",'Daily Data'!G445)</f>
        <v/>
      </c>
      <c r="H445" s="91">
        <f>IF($E445="","",(1-K445)*F445-G445)</f>
        <v/>
      </c>
      <c r="I445" s="90">
        <f>IF($E445="","",'Daily Data'!H445)</f>
        <v/>
      </c>
      <c r="J445" s="91">
        <f>IF($E445="","",E445-H445-I445)</f>
        <v/>
      </c>
      <c r="K445" s="60">
        <f>IF($E445="","",IF(A445&lt;HLP_ChangeDate,HLP_Legacy,HLP_Current))</f>
        <v/>
      </c>
      <c r="L445" s="91">
        <f>IF($E445="","",J445/(1-K445))</f>
        <v/>
      </c>
      <c r="M445" s="90">
        <f>IF($E445="","",'Daily Data'!I445)</f>
        <v/>
      </c>
      <c r="N445" s="91">
        <f>IF($E445="","",M445*(1-K445)-I445)</f>
        <v/>
      </c>
      <c r="O445" s="92" t="n">
        <v>173501</v>
      </c>
      <c r="P445" s="93">
        <f>IF($E445="","",(L445+F445+M445)*K445)</f>
        <v/>
      </c>
      <c r="Q445" s="91">
        <f>IF($E445="","",L445*K445)</f>
        <v/>
      </c>
      <c r="R445" s="91">
        <f>IF($E445="","",F445*K445)</f>
        <v/>
      </c>
      <c r="S445" s="91">
        <f>IF($E445="","",M445*K445)</f>
        <v/>
      </c>
      <c r="T445" s="63">
        <f>IF(OR($E445="",B445=0),"",L445/B445*10000)</f>
        <v/>
      </c>
      <c r="U445" s="63">
        <f>IF(OR($E445="",C445=0),"",F445/C445*10000)</f>
        <v/>
      </c>
      <c r="V445" s="63">
        <f>IF(OR($E445="",D445=0),"",M445/D445*10000)</f>
        <v/>
      </c>
    </row>
    <row r="446">
      <c r="A446" s="35" t="n">
        <v>46100</v>
      </c>
      <c r="B446" s="90">
        <f>'Daily Data'!B446</f>
        <v/>
      </c>
      <c r="C446" s="90">
        <f>'Daily Data'!D446</f>
        <v/>
      </c>
      <c r="D446" s="90">
        <f>'Daily Data'!C446</f>
        <v/>
      </c>
      <c r="E446" s="90">
        <f>IF('Daily Data'!E446="","",'Daily Data'!E446)</f>
        <v/>
      </c>
      <c r="F446" s="90">
        <f>IF($E446="","",'Daily Data'!F446)</f>
        <v/>
      </c>
      <c r="G446" s="90">
        <f>IF($E446="","",'Daily Data'!G446)</f>
        <v/>
      </c>
      <c r="H446" s="91">
        <f>IF($E446="","",(1-K446)*F446-G446)</f>
        <v/>
      </c>
      <c r="I446" s="90">
        <f>IF($E446="","",'Daily Data'!H446)</f>
        <v/>
      </c>
      <c r="J446" s="91">
        <f>IF($E446="","",E446-H446-I446)</f>
        <v/>
      </c>
      <c r="K446" s="60">
        <f>IF($E446="","",IF(A446&lt;HLP_ChangeDate,HLP_Legacy,HLP_Current))</f>
        <v/>
      </c>
      <c r="L446" s="91">
        <f>IF($E446="","",J446/(1-K446))</f>
        <v/>
      </c>
      <c r="M446" s="90">
        <f>IF($E446="","",'Daily Data'!I446)</f>
        <v/>
      </c>
      <c r="N446" s="91">
        <f>IF($E446="","",M446*(1-K446)-I446)</f>
        <v/>
      </c>
      <c r="O446" s="92" t="n">
        <v>176710</v>
      </c>
      <c r="P446" s="93">
        <f>IF($E446="","",(L446+F446+M446)*K446)</f>
        <v/>
      </c>
      <c r="Q446" s="91">
        <f>IF($E446="","",L446*K446)</f>
        <v/>
      </c>
      <c r="R446" s="91">
        <f>IF($E446="","",F446*K446)</f>
        <v/>
      </c>
      <c r="S446" s="91">
        <f>IF($E446="","",M446*K446)</f>
        <v/>
      </c>
      <c r="T446" s="63">
        <f>IF(OR($E446="",B446=0),"",L446/B446*10000)</f>
        <v/>
      </c>
      <c r="U446" s="63">
        <f>IF(OR($E446="",C446=0),"",F446/C446*10000)</f>
        <v/>
      </c>
      <c r="V446" s="63">
        <f>IF(OR($E446="",D446=0),"",M446/D446*10000)</f>
        <v/>
      </c>
    </row>
    <row r="447">
      <c r="A447" s="35" t="n">
        <v>46101</v>
      </c>
      <c r="B447" s="90">
        <f>'Daily Data'!B447</f>
        <v/>
      </c>
      <c r="C447" s="90">
        <f>'Daily Data'!D447</f>
        <v/>
      </c>
      <c r="D447" s="90">
        <f>'Daily Data'!C447</f>
        <v/>
      </c>
      <c r="E447" s="90">
        <f>IF('Daily Data'!E447="","",'Daily Data'!E447)</f>
        <v/>
      </c>
      <c r="F447" s="90">
        <f>IF($E447="","",'Daily Data'!F447)</f>
        <v/>
      </c>
      <c r="G447" s="90">
        <f>IF($E447="","",'Daily Data'!G447)</f>
        <v/>
      </c>
      <c r="H447" s="91">
        <f>IF($E447="","",(1-K447)*F447-G447)</f>
        <v/>
      </c>
      <c r="I447" s="90">
        <f>IF($E447="","",'Daily Data'!H447)</f>
        <v/>
      </c>
      <c r="J447" s="91">
        <f>IF($E447="","",E447-H447-I447)</f>
        <v/>
      </c>
      <c r="K447" s="60">
        <f>IF($E447="","",IF(A447&lt;HLP_ChangeDate,HLP_Legacy,HLP_Current))</f>
        <v/>
      </c>
      <c r="L447" s="91">
        <f>IF($E447="","",J447/(1-K447))</f>
        <v/>
      </c>
      <c r="M447" s="90">
        <f>IF($E447="","",'Daily Data'!I447)</f>
        <v/>
      </c>
      <c r="N447" s="91">
        <f>IF($E447="","",M447*(1-K447)-I447)</f>
        <v/>
      </c>
      <c r="O447" s="92" t="n">
        <v>144405</v>
      </c>
      <c r="P447" s="93">
        <f>IF($E447="","",(L447+F447+M447)*K447)</f>
        <v/>
      </c>
      <c r="Q447" s="91">
        <f>IF($E447="","",L447*K447)</f>
        <v/>
      </c>
      <c r="R447" s="91">
        <f>IF($E447="","",F447*K447)</f>
        <v/>
      </c>
      <c r="S447" s="91">
        <f>IF($E447="","",M447*K447)</f>
        <v/>
      </c>
      <c r="T447" s="63">
        <f>IF(OR($E447="",B447=0),"",L447/B447*10000)</f>
        <v/>
      </c>
      <c r="U447" s="63">
        <f>IF(OR($E447="",C447=0),"",F447/C447*10000)</f>
        <v/>
      </c>
      <c r="V447" s="63">
        <f>IF(OR($E447="",D447=0),"",M447/D447*10000)</f>
        <v/>
      </c>
    </row>
    <row r="448">
      <c r="A448" s="35" t="n">
        <v>46102</v>
      </c>
      <c r="B448" s="90">
        <f>'Daily Data'!B448</f>
        <v/>
      </c>
      <c r="C448" s="90">
        <f>'Daily Data'!D448</f>
        <v/>
      </c>
      <c r="D448" s="90">
        <f>'Daily Data'!C448</f>
        <v/>
      </c>
      <c r="E448" s="90">
        <f>IF('Daily Data'!E448="","",'Daily Data'!E448)</f>
        <v/>
      </c>
      <c r="F448" s="90">
        <f>IF($E448="","",'Daily Data'!F448)</f>
        <v/>
      </c>
      <c r="G448" s="90">
        <f>IF($E448="","",'Daily Data'!G448)</f>
        <v/>
      </c>
      <c r="H448" s="91">
        <f>IF($E448="","",(1-K448)*F448-G448)</f>
        <v/>
      </c>
      <c r="I448" s="90">
        <f>IF($E448="","",'Daily Data'!H448)</f>
        <v/>
      </c>
      <c r="J448" s="91">
        <f>IF($E448="","",E448-H448-I448)</f>
        <v/>
      </c>
      <c r="K448" s="60">
        <f>IF($E448="","",IF(A448&lt;HLP_ChangeDate,HLP_Legacy,HLP_Current))</f>
        <v/>
      </c>
      <c r="L448" s="91">
        <f>IF($E448="","",J448/(1-K448))</f>
        <v/>
      </c>
      <c r="M448" s="90">
        <f>IF($E448="","",'Daily Data'!I448)</f>
        <v/>
      </c>
      <c r="N448" s="91">
        <f>IF($E448="","",M448*(1-K448)-I448)</f>
        <v/>
      </c>
      <c r="O448" s="92" t="n">
        <v>74317</v>
      </c>
      <c r="P448" s="93">
        <f>IF($E448="","",(L448+F448+M448)*K448)</f>
        <v/>
      </c>
      <c r="Q448" s="91">
        <f>IF($E448="","",L448*K448)</f>
        <v/>
      </c>
      <c r="R448" s="91">
        <f>IF($E448="","",F448*K448)</f>
        <v/>
      </c>
      <c r="S448" s="91">
        <f>IF($E448="","",M448*K448)</f>
        <v/>
      </c>
      <c r="T448" s="63">
        <f>IF(OR($E448="",B448=0),"",L448/B448*10000)</f>
        <v/>
      </c>
      <c r="U448" s="63">
        <f>IF(OR($E448="",C448=0),"",F448/C448*10000)</f>
        <v/>
      </c>
      <c r="V448" s="63">
        <f>IF(OR($E448="",D448=0),"",M448/D448*10000)</f>
        <v/>
      </c>
    </row>
    <row r="449">
      <c r="A449" s="35" t="n">
        <v>46103</v>
      </c>
      <c r="B449" s="90">
        <f>'Daily Data'!B449</f>
        <v/>
      </c>
      <c r="C449" s="90">
        <f>'Daily Data'!D449</f>
        <v/>
      </c>
      <c r="D449" s="90">
        <f>'Daily Data'!C449</f>
        <v/>
      </c>
      <c r="E449" s="90">
        <f>IF('Daily Data'!E449="","",'Daily Data'!E449)</f>
        <v/>
      </c>
      <c r="F449" s="90">
        <f>IF($E449="","",'Daily Data'!F449)</f>
        <v/>
      </c>
      <c r="G449" s="90">
        <f>IF($E449="","",'Daily Data'!G449)</f>
        <v/>
      </c>
      <c r="H449" s="91">
        <f>IF($E449="","",(1-K449)*F449-G449)</f>
        <v/>
      </c>
      <c r="I449" s="90">
        <f>IF($E449="","",'Daily Data'!H449)</f>
        <v/>
      </c>
      <c r="J449" s="91">
        <f>IF($E449="","",E449-H449-I449)</f>
        <v/>
      </c>
      <c r="K449" s="60">
        <f>IF($E449="","",IF(A449&lt;HLP_ChangeDate,HLP_Legacy,HLP_Current))</f>
        <v/>
      </c>
      <c r="L449" s="91">
        <f>IF($E449="","",J449/(1-K449))</f>
        <v/>
      </c>
      <c r="M449" s="90">
        <f>IF($E449="","",'Daily Data'!I449)</f>
        <v/>
      </c>
      <c r="N449" s="91">
        <f>IF($E449="","",M449*(1-K449)-I449)</f>
        <v/>
      </c>
      <c r="O449" s="92" t="n">
        <v>118174</v>
      </c>
      <c r="P449" s="93">
        <f>IF($E449="","",(L449+F449+M449)*K449)</f>
        <v/>
      </c>
      <c r="Q449" s="91">
        <f>IF($E449="","",L449*K449)</f>
        <v/>
      </c>
      <c r="R449" s="91">
        <f>IF($E449="","",F449*K449)</f>
        <v/>
      </c>
      <c r="S449" s="91">
        <f>IF($E449="","",M449*K449)</f>
        <v/>
      </c>
      <c r="T449" s="63">
        <f>IF(OR($E449="",B449=0),"",L449/B449*10000)</f>
        <v/>
      </c>
      <c r="U449" s="63">
        <f>IF(OR($E449="",C449=0),"",F449/C449*10000)</f>
        <v/>
      </c>
      <c r="V449" s="63">
        <f>IF(OR($E449="",D449=0),"",M449/D449*10000)</f>
        <v/>
      </c>
    </row>
    <row r="450">
      <c r="A450" s="35" t="n">
        <v>46104</v>
      </c>
      <c r="B450" s="90">
        <f>'Daily Data'!B450</f>
        <v/>
      </c>
      <c r="C450" s="90">
        <f>'Daily Data'!D450</f>
        <v/>
      </c>
      <c r="D450" s="90">
        <f>'Daily Data'!C450</f>
        <v/>
      </c>
      <c r="E450" s="90">
        <f>IF('Daily Data'!E450="","",'Daily Data'!E450)</f>
        <v/>
      </c>
      <c r="F450" s="90">
        <f>IF($E450="","",'Daily Data'!F450)</f>
        <v/>
      </c>
      <c r="G450" s="90">
        <f>IF($E450="","",'Daily Data'!G450)</f>
        <v/>
      </c>
      <c r="H450" s="91">
        <f>IF($E450="","",(1-K450)*F450-G450)</f>
        <v/>
      </c>
      <c r="I450" s="90">
        <f>IF($E450="","",'Daily Data'!H450)</f>
        <v/>
      </c>
      <c r="J450" s="91">
        <f>IF($E450="","",E450-H450-I450)</f>
        <v/>
      </c>
      <c r="K450" s="60">
        <f>IF($E450="","",IF(A450&lt;HLP_ChangeDate,HLP_Legacy,HLP_Current))</f>
        <v/>
      </c>
      <c r="L450" s="91">
        <f>IF($E450="","",J450/(1-K450))</f>
        <v/>
      </c>
      <c r="M450" s="90">
        <f>IF($E450="","",'Daily Data'!I450)</f>
        <v/>
      </c>
      <c r="N450" s="91">
        <f>IF($E450="","",M450*(1-K450)-I450)</f>
        <v/>
      </c>
      <c r="O450" s="92" t="n">
        <v>218709</v>
      </c>
      <c r="P450" s="93">
        <f>IF($E450="","",(L450+F450+M450)*K450)</f>
        <v/>
      </c>
      <c r="Q450" s="91">
        <f>IF($E450="","",L450*K450)</f>
        <v/>
      </c>
      <c r="R450" s="91">
        <f>IF($E450="","",F450*K450)</f>
        <v/>
      </c>
      <c r="S450" s="91">
        <f>IF($E450="","",M450*K450)</f>
        <v/>
      </c>
      <c r="T450" s="63">
        <f>IF(OR($E450="",B450=0),"",L450/B450*10000)</f>
        <v/>
      </c>
      <c r="U450" s="63">
        <f>IF(OR($E450="",C450=0),"",F450/C450*10000)</f>
        <v/>
      </c>
      <c r="V450" s="63">
        <f>IF(OR($E450="",D450=0),"",M450/D450*10000)</f>
        <v/>
      </c>
    </row>
    <row r="451">
      <c r="A451" s="35" t="n">
        <v>46105</v>
      </c>
      <c r="B451" s="90">
        <f>'Daily Data'!B451</f>
        <v/>
      </c>
      <c r="C451" s="90">
        <f>'Daily Data'!D451</f>
        <v/>
      </c>
      <c r="D451" s="90">
        <f>'Daily Data'!C451</f>
        <v/>
      </c>
      <c r="E451" s="90">
        <f>IF('Daily Data'!E451="","",'Daily Data'!E451)</f>
        <v/>
      </c>
      <c r="F451" s="90">
        <f>IF($E451="","",'Daily Data'!F451)</f>
        <v/>
      </c>
      <c r="G451" s="90">
        <f>IF($E451="","",'Daily Data'!G451)</f>
        <v/>
      </c>
      <c r="H451" s="91">
        <f>IF($E451="","",(1-K451)*F451-G451)</f>
        <v/>
      </c>
      <c r="I451" s="90">
        <f>IF($E451="","",'Daily Data'!H451)</f>
        <v/>
      </c>
      <c r="J451" s="91">
        <f>IF($E451="","",E451-H451-I451)</f>
        <v/>
      </c>
      <c r="K451" s="60">
        <f>IF($E451="","",IF(A451&lt;HLP_ChangeDate,HLP_Legacy,HLP_Current))</f>
        <v/>
      </c>
      <c r="L451" s="91">
        <f>IF($E451="","",J451/(1-K451))</f>
        <v/>
      </c>
      <c r="M451" s="90">
        <f>IF($E451="","",'Daily Data'!I451)</f>
        <v/>
      </c>
      <c r="N451" s="91">
        <f>IF($E451="","",M451*(1-K451)-I451)</f>
        <v/>
      </c>
      <c r="O451" s="92" t="n">
        <v>143669</v>
      </c>
      <c r="P451" s="93">
        <f>IF($E451="","",(L451+F451+M451)*K451)</f>
        <v/>
      </c>
      <c r="Q451" s="91">
        <f>IF($E451="","",L451*K451)</f>
        <v/>
      </c>
      <c r="R451" s="91">
        <f>IF($E451="","",F451*K451)</f>
        <v/>
      </c>
      <c r="S451" s="91">
        <f>IF($E451="","",M451*K451)</f>
        <v/>
      </c>
      <c r="T451" s="63">
        <f>IF(OR($E451="",B451=0),"",L451/B451*10000)</f>
        <v/>
      </c>
      <c r="U451" s="63">
        <f>IF(OR($E451="",C451=0),"",F451/C451*10000)</f>
        <v/>
      </c>
      <c r="V451" s="63">
        <f>IF(OR($E451="",D451=0),"",M451/D451*10000)</f>
        <v/>
      </c>
    </row>
    <row r="452">
      <c r="A452" s="35" t="n">
        <v>46106</v>
      </c>
      <c r="B452" s="90">
        <f>'Daily Data'!B452</f>
        <v/>
      </c>
      <c r="C452" s="90">
        <f>'Daily Data'!D452</f>
        <v/>
      </c>
      <c r="D452" s="90">
        <f>'Daily Data'!C452</f>
        <v/>
      </c>
      <c r="E452" s="90">
        <f>IF('Daily Data'!E452="","",'Daily Data'!E452)</f>
        <v/>
      </c>
      <c r="F452" s="90">
        <f>IF($E452="","",'Daily Data'!F452)</f>
        <v/>
      </c>
      <c r="G452" s="90">
        <f>IF($E452="","",'Daily Data'!G452)</f>
        <v/>
      </c>
      <c r="H452" s="91">
        <f>IF($E452="","",(1-K452)*F452-G452)</f>
        <v/>
      </c>
      <c r="I452" s="90">
        <f>IF($E452="","",'Daily Data'!H452)</f>
        <v/>
      </c>
      <c r="J452" s="91">
        <f>IF($E452="","",E452-H452-I452)</f>
        <v/>
      </c>
      <c r="K452" s="60">
        <f>IF($E452="","",IF(A452&lt;HLP_ChangeDate,HLP_Legacy,HLP_Current))</f>
        <v/>
      </c>
      <c r="L452" s="91">
        <f>IF($E452="","",J452/(1-K452))</f>
        <v/>
      </c>
      <c r="M452" s="90">
        <f>IF($E452="","",'Daily Data'!I452)</f>
        <v/>
      </c>
      <c r="N452" s="91">
        <f>IF($E452="","",M452*(1-K452)-I452)</f>
        <v/>
      </c>
      <c r="O452" s="92" t="n">
        <v>133294</v>
      </c>
      <c r="P452" s="93">
        <f>IF($E452="","",(L452+F452+M452)*K452)</f>
        <v/>
      </c>
      <c r="Q452" s="91">
        <f>IF($E452="","",L452*K452)</f>
        <v/>
      </c>
      <c r="R452" s="91">
        <f>IF($E452="","",F452*K452)</f>
        <v/>
      </c>
      <c r="S452" s="91">
        <f>IF($E452="","",M452*K452)</f>
        <v/>
      </c>
      <c r="T452" s="63">
        <f>IF(OR($E452="",B452=0),"",L452/B452*10000)</f>
        <v/>
      </c>
      <c r="U452" s="63">
        <f>IF(OR($E452="",C452=0),"",F452/C452*10000)</f>
        <v/>
      </c>
      <c r="V452" s="63">
        <f>IF(OR($E452="",D452=0),"",M452/D452*10000)</f>
        <v/>
      </c>
    </row>
    <row r="453">
      <c r="A453" s="35" t="n">
        <v>46107</v>
      </c>
      <c r="B453" s="90">
        <f>'Daily Data'!B453</f>
        <v/>
      </c>
      <c r="C453" s="90">
        <f>'Daily Data'!D453</f>
        <v/>
      </c>
      <c r="D453" s="90">
        <f>'Daily Data'!C453</f>
        <v/>
      </c>
      <c r="E453" s="90">
        <f>IF('Daily Data'!E453="","",'Daily Data'!E453)</f>
        <v/>
      </c>
      <c r="F453" s="90">
        <f>IF($E453="","",'Daily Data'!F453)</f>
        <v/>
      </c>
      <c r="G453" s="90">
        <f>IF($E453="","",'Daily Data'!G453)</f>
        <v/>
      </c>
      <c r="H453" s="91">
        <f>IF($E453="","",(1-K453)*F453-G453)</f>
        <v/>
      </c>
      <c r="I453" s="90">
        <f>IF($E453="","",'Daily Data'!H453)</f>
        <v/>
      </c>
      <c r="J453" s="91">
        <f>IF($E453="","",E453-H453-I453)</f>
        <v/>
      </c>
      <c r="K453" s="60">
        <f>IF($E453="","",IF(A453&lt;HLP_ChangeDate,HLP_Legacy,HLP_Current))</f>
        <v/>
      </c>
      <c r="L453" s="91">
        <f>IF($E453="","",J453/(1-K453))</f>
        <v/>
      </c>
      <c r="M453" s="90">
        <f>IF($E453="","",'Daily Data'!I453)</f>
        <v/>
      </c>
      <c r="N453" s="91">
        <f>IF($E453="","",M453*(1-K453)-I453)</f>
        <v/>
      </c>
      <c r="O453" s="92" t="n">
        <v>158359</v>
      </c>
      <c r="P453" s="93">
        <f>IF($E453="","",(L453+F453+M453)*K453)</f>
        <v/>
      </c>
      <c r="Q453" s="91">
        <f>IF($E453="","",L453*K453)</f>
        <v/>
      </c>
      <c r="R453" s="91">
        <f>IF($E453="","",F453*K453)</f>
        <v/>
      </c>
      <c r="S453" s="91">
        <f>IF($E453="","",M453*K453)</f>
        <v/>
      </c>
      <c r="T453" s="63">
        <f>IF(OR($E453="",B453=0),"",L453/B453*10000)</f>
        <v/>
      </c>
      <c r="U453" s="63">
        <f>IF(OR($E453="",C453=0),"",F453/C453*10000)</f>
        <v/>
      </c>
      <c r="V453" s="63">
        <f>IF(OR($E453="",D453=0),"",M453/D453*10000)</f>
        <v/>
      </c>
    </row>
    <row r="454">
      <c r="A454" s="35" t="n">
        <v>46108</v>
      </c>
      <c r="B454" s="90">
        <f>'Daily Data'!B454</f>
        <v/>
      </c>
      <c r="C454" s="90">
        <f>'Daily Data'!D454</f>
        <v/>
      </c>
      <c r="D454" s="90">
        <f>'Daily Data'!C454</f>
        <v/>
      </c>
      <c r="E454" s="90">
        <f>IF('Daily Data'!E454="","",'Daily Data'!E454)</f>
        <v/>
      </c>
      <c r="F454" s="90">
        <f>IF($E454="","",'Daily Data'!F454)</f>
        <v/>
      </c>
      <c r="G454" s="90">
        <f>IF($E454="","",'Daily Data'!G454)</f>
        <v/>
      </c>
      <c r="H454" s="91">
        <f>IF($E454="","",(1-K454)*F454-G454)</f>
        <v/>
      </c>
      <c r="I454" s="90">
        <f>IF($E454="","",'Daily Data'!H454)</f>
        <v/>
      </c>
      <c r="J454" s="91">
        <f>IF($E454="","",E454-H454-I454)</f>
        <v/>
      </c>
      <c r="K454" s="60">
        <f>IF($E454="","",IF(A454&lt;HLP_ChangeDate,HLP_Legacy,HLP_Current))</f>
        <v/>
      </c>
      <c r="L454" s="91">
        <f>IF($E454="","",J454/(1-K454))</f>
        <v/>
      </c>
      <c r="M454" s="90">
        <f>IF($E454="","",'Daily Data'!I454)</f>
        <v/>
      </c>
      <c r="N454" s="91">
        <f>IF($E454="","",M454*(1-K454)-I454)</f>
        <v/>
      </c>
      <c r="O454" s="92" t="n">
        <v>183629</v>
      </c>
      <c r="P454" s="93">
        <f>IF($E454="","",(L454+F454+M454)*K454)</f>
        <v/>
      </c>
      <c r="Q454" s="91">
        <f>IF($E454="","",L454*K454)</f>
        <v/>
      </c>
      <c r="R454" s="91">
        <f>IF($E454="","",F454*K454)</f>
        <v/>
      </c>
      <c r="S454" s="91">
        <f>IF($E454="","",M454*K454)</f>
        <v/>
      </c>
      <c r="T454" s="63">
        <f>IF(OR($E454="",B454=0),"",L454/B454*10000)</f>
        <v/>
      </c>
      <c r="U454" s="63">
        <f>IF(OR($E454="",C454=0),"",F454/C454*10000)</f>
        <v/>
      </c>
      <c r="V454" s="63">
        <f>IF(OR($E454="",D454=0),"",M454/D454*10000)</f>
        <v/>
      </c>
    </row>
    <row r="455">
      <c r="A455" s="35" t="n">
        <v>46109</v>
      </c>
      <c r="B455" s="90">
        <f>'Daily Data'!B455</f>
        <v/>
      </c>
      <c r="C455" s="90">
        <f>'Daily Data'!D455</f>
        <v/>
      </c>
      <c r="D455" s="90">
        <f>'Daily Data'!C455</f>
        <v/>
      </c>
      <c r="E455" s="90">
        <f>IF('Daily Data'!E455="","",'Daily Data'!E455)</f>
        <v/>
      </c>
      <c r="F455" s="90">
        <f>IF($E455="","",'Daily Data'!F455)</f>
        <v/>
      </c>
      <c r="G455" s="90">
        <f>IF($E455="","",'Daily Data'!G455)</f>
        <v/>
      </c>
      <c r="H455" s="91">
        <f>IF($E455="","",(1-K455)*F455-G455)</f>
        <v/>
      </c>
      <c r="I455" s="90">
        <f>IF($E455="","",'Daily Data'!H455)</f>
        <v/>
      </c>
      <c r="J455" s="91">
        <f>IF($E455="","",E455-H455-I455)</f>
        <v/>
      </c>
      <c r="K455" s="60">
        <f>IF($E455="","",IF(A455&lt;HLP_ChangeDate,HLP_Legacy,HLP_Current))</f>
        <v/>
      </c>
      <c r="L455" s="91">
        <f>IF($E455="","",J455/(1-K455))</f>
        <v/>
      </c>
      <c r="M455" s="90">
        <f>IF($E455="","",'Daily Data'!I455)</f>
        <v/>
      </c>
      <c r="N455" s="91">
        <f>IF($E455="","",M455*(1-K455)-I455)</f>
        <v/>
      </c>
      <c r="O455" s="92" t="n">
        <v>75144</v>
      </c>
      <c r="P455" s="93">
        <f>IF($E455="","",(L455+F455+M455)*K455)</f>
        <v/>
      </c>
      <c r="Q455" s="91">
        <f>IF($E455="","",L455*K455)</f>
        <v/>
      </c>
      <c r="R455" s="91">
        <f>IF($E455="","",F455*K455)</f>
        <v/>
      </c>
      <c r="S455" s="91">
        <f>IF($E455="","",M455*K455)</f>
        <v/>
      </c>
      <c r="T455" s="63">
        <f>IF(OR($E455="",B455=0),"",L455/B455*10000)</f>
        <v/>
      </c>
      <c r="U455" s="63">
        <f>IF(OR($E455="",C455=0),"",F455/C455*10000)</f>
        <v/>
      </c>
      <c r="V455" s="63">
        <f>IF(OR($E455="",D455=0),"",M455/D455*10000)</f>
        <v/>
      </c>
    </row>
    <row r="456">
      <c r="A456" s="35" t="n">
        <v>46110</v>
      </c>
      <c r="B456" s="90">
        <f>'Daily Data'!B456</f>
        <v/>
      </c>
      <c r="C456" s="90">
        <f>'Daily Data'!D456</f>
        <v/>
      </c>
      <c r="D456" s="90">
        <f>'Daily Data'!C456</f>
        <v/>
      </c>
      <c r="E456" s="90">
        <f>IF('Daily Data'!E456="","",'Daily Data'!E456)</f>
        <v/>
      </c>
      <c r="F456" s="90">
        <f>IF($E456="","",'Daily Data'!F456)</f>
        <v/>
      </c>
      <c r="G456" s="90">
        <f>IF($E456="","",'Daily Data'!G456)</f>
        <v/>
      </c>
      <c r="H456" s="91">
        <f>IF($E456="","",(1-K456)*F456-G456)</f>
        <v/>
      </c>
      <c r="I456" s="90">
        <f>IF($E456="","",'Daily Data'!H456)</f>
        <v/>
      </c>
      <c r="J456" s="91">
        <f>IF($E456="","",E456-H456-I456)</f>
        <v/>
      </c>
      <c r="K456" s="60">
        <f>IF($E456="","",IF(A456&lt;HLP_ChangeDate,HLP_Legacy,HLP_Current))</f>
        <v/>
      </c>
      <c r="L456" s="91">
        <f>IF($E456="","",J456/(1-K456))</f>
        <v/>
      </c>
      <c r="M456" s="90">
        <f>IF($E456="","",'Daily Data'!I456)</f>
        <v/>
      </c>
      <c r="N456" s="91">
        <f>IF($E456="","",M456*(1-K456)-I456)</f>
        <v/>
      </c>
      <c r="O456" s="92" t="n">
        <v>83984</v>
      </c>
      <c r="P456" s="93">
        <f>IF($E456="","",(L456+F456+M456)*K456)</f>
        <v/>
      </c>
      <c r="Q456" s="91">
        <f>IF($E456="","",L456*K456)</f>
        <v/>
      </c>
      <c r="R456" s="91">
        <f>IF($E456="","",F456*K456)</f>
        <v/>
      </c>
      <c r="S456" s="91">
        <f>IF($E456="","",M456*K456)</f>
        <v/>
      </c>
      <c r="T456" s="63">
        <f>IF(OR($E456="",B456=0),"",L456/B456*10000)</f>
        <v/>
      </c>
      <c r="U456" s="63">
        <f>IF(OR($E456="",C456=0),"",F456/C456*10000)</f>
        <v/>
      </c>
      <c r="V456" s="63">
        <f>IF(OR($E456="",D456=0),"",M456/D456*10000)</f>
        <v/>
      </c>
    </row>
    <row r="457">
      <c r="A457" s="35" t="n">
        <v>46111</v>
      </c>
      <c r="B457" s="90">
        <f>'Daily Data'!B457</f>
        <v/>
      </c>
      <c r="C457" s="90">
        <f>'Daily Data'!D457</f>
        <v/>
      </c>
      <c r="D457" s="90">
        <f>'Daily Data'!C457</f>
        <v/>
      </c>
      <c r="E457" s="90">
        <f>IF('Daily Data'!E457="","",'Daily Data'!E457)</f>
        <v/>
      </c>
      <c r="F457" s="90">
        <f>IF($E457="","",'Daily Data'!F457)</f>
        <v/>
      </c>
      <c r="G457" s="90">
        <f>IF($E457="","",'Daily Data'!G457)</f>
        <v/>
      </c>
      <c r="H457" s="91">
        <f>IF($E457="","",(1-K457)*F457-G457)</f>
        <v/>
      </c>
      <c r="I457" s="90">
        <f>IF($E457="","",'Daily Data'!H457)</f>
        <v/>
      </c>
      <c r="J457" s="91">
        <f>IF($E457="","",E457-H457-I457)</f>
        <v/>
      </c>
      <c r="K457" s="60">
        <f>IF($E457="","",IF(A457&lt;HLP_ChangeDate,HLP_Legacy,HLP_Current))</f>
        <v/>
      </c>
      <c r="L457" s="91">
        <f>IF($E457="","",J457/(1-K457))</f>
        <v/>
      </c>
      <c r="M457" s="90">
        <f>IF($E457="","",'Daily Data'!I457)</f>
        <v/>
      </c>
      <c r="N457" s="91">
        <f>IF($E457="","",M457*(1-K457)-I457)</f>
        <v/>
      </c>
      <c r="O457" s="92" t="n">
        <v>133137</v>
      </c>
      <c r="P457" s="93">
        <f>IF($E457="","",(L457+F457+M457)*K457)</f>
        <v/>
      </c>
      <c r="Q457" s="91">
        <f>IF($E457="","",L457*K457)</f>
        <v/>
      </c>
      <c r="R457" s="91">
        <f>IF($E457="","",F457*K457)</f>
        <v/>
      </c>
      <c r="S457" s="91">
        <f>IF($E457="","",M457*K457)</f>
        <v/>
      </c>
      <c r="T457" s="63">
        <f>IF(OR($E457="",B457=0),"",L457/B457*10000)</f>
        <v/>
      </c>
      <c r="U457" s="63">
        <f>IF(OR($E457="",C457=0),"",F457/C457*10000)</f>
        <v/>
      </c>
      <c r="V457" s="63">
        <f>IF(OR($E457="",D457=0),"",M457/D457*10000)</f>
        <v/>
      </c>
    </row>
    <row r="458">
      <c r="A458" s="35" t="n">
        <v>46112</v>
      </c>
      <c r="B458" s="90">
        <f>'Daily Data'!B458</f>
        <v/>
      </c>
      <c r="C458" s="90">
        <f>'Daily Data'!D458</f>
        <v/>
      </c>
      <c r="D458" s="90">
        <f>'Daily Data'!C458</f>
        <v/>
      </c>
      <c r="E458" s="90">
        <f>IF('Daily Data'!E458="","",'Daily Data'!E458)</f>
        <v/>
      </c>
      <c r="F458" s="90">
        <f>IF($E458="","",'Daily Data'!F458)</f>
        <v/>
      </c>
      <c r="G458" s="90">
        <f>IF($E458="","",'Daily Data'!G458)</f>
        <v/>
      </c>
      <c r="H458" s="91">
        <f>IF($E458="","",(1-K458)*F458-G458)</f>
        <v/>
      </c>
      <c r="I458" s="90">
        <f>IF($E458="","",'Daily Data'!H458)</f>
        <v/>
      </c>
      <c r="J458" s="91">
        <f>IF($E458="","",E458-H458-I458)</f>
        <v/>
      </c>
      <c r="K458" s="60">
        <f>IF($E458="","",IF(A458&lt;HLP_ChangeDate,HLP_Legacy,HLP_Current))</f>
        <v/>
      </c>
      <c r="L458" s="91">
        <f>IF($E458="","",J458/(1-K458))</f>
        <v/>
      </c>
      <c r="M458" s="90">
        <f>IF($E458="","",'Daily Data'!I458)</f>
        <v/>
      </c>
      <c r="N458" s="91">
        <f>IF($E458="","",M458*(1-K458)-I458)</f>
        <v/>
      </c>
      <c r="O458" s="92" t="n">
        <v>175965</v>
      </c>
      <c r="P458" s="93">
        <f>IF($E458="","",(L458+F458+M458)*K458)</f>
        <v/>
      </c>
      <c r="Q458" s="91">
        <f>IF($E458="","",L458*K458)</f>
        <v/>
      </c>
      <c r="R458" s="91">
        <f>IF($E458="","",F458*K458)</f>
        <v/>
      </c>
      <c r="S458" s="91">
        <f>IF($E458="","",M458*K458)</f>
        <v/>
      </c>
      <c r="T458" s="63">
        <f>IF(OR($E458="",B458=0),"",L458/B458*10000)</f>
        <v/>
      </c>
      <c r="U458" s="63">
        <f>IF(OR($E458="",C458=0),"",F458/C458*10000)</f>
        <v/>
      </c>
      <c r="V458" s="63">
        <f>IF(OR($E458="",D458=0),"",M458/D458*10000)</f>
        <v/>
      </c>
    </row>
    <row r="459">
      <c r="A459" s="35" t="n">
        <v>46113</v>
      </c>
      <c r="B459" s="90">
        <f>'Daily Data'!B459</f>
        <v/>
      </c>
      <c r="C459" s="90">
        <f>'Daily Data'!D459</f>
        <v/>
      </c>
      <c r="D459" s="90">
        <f>'Daily Data'!C459</f>
        <v/>
      </c>
      <c r="E459" s="90">
        <f>IF('Daily Data'!E459="","",'Daily Data'!E459)</f>
        <v/>
      </c>
      <c r="F459" s="90">
        <f>IF($E459="","",'Daily Data'!F459)</f>
        <v/>
      </c>
      <c r="G459" s="90">
        <f>IF($E459="","",'Daily Data'!G459)</f>
        <v/>
      </c>
      <c r="H459" s="91">
        <f>IF($E459="","",(1-K459)*F459-G459)</f>
        <v/>
      </c>
      <c r="I459" s="90">
        <f>IF($E459="","",'Daily Data'!H459)</f>
        <v/>
      </c>
      <c r="J459" s="91">
        <f>IF($E459="","",E459-H459-I459)</f>
        <v/>
      </c>
      <c r="K459" s="60">
        <f>IF($E459="","",IF(A459&lt;HLP_ChangeDate,HLP_Legacy,HLP_Current))</f>
        <v/>
      </c>
      <c r="L459" s="91">
        <f>IF($E459="","",J459/(1-K459))</f>
        <v/>
      </c>
      <c r="M459" s="90">
        <f>IF($E459="","",'Daily Data'!I459)</f>
        <v/>
      </c>
      <c r="N459" s="91">
        <f>IF($E459="","",M459*(1-K459)-I459)</f>
        <v/>
      </c>
      <c r="O459" s="92" t="n">
        <v>162713</v>
      </c>
      <c r="P459" s="93">
        <f>IF($E459="","",(L459+F459+M459)*K459)</f>
        <v/>
      </c>
      <c r="Q459" s="91">
        <f>IF($E459="","",L459*K459)</f>
        <v/>
      </c>
      <c r="R459" s="91">
        <f>IF($E459="","",F459*K459)</f>
        <v/>
      </c>
      <c r="S459" s="91">
        <f>IF($E459="","",M459*K459)</f>
        <v/>
      </c>
      <c r="T459" s="63">
        <f>IF(OR($E459="",B459=0),"",L459/B459*10000)</f>
        <v/>
      </c>
      <c r="U459" s="63">
        <f>IF(OR($E459="",C459=0),"",F459/C459*10000)</f>
        <v/>
      </c>
      <c r="V459" s="63">
        <f>IF(OR($E459="",D459=0),"",M459/D459*10000)</f>
        <v/>
      </c>
    </row>
    <row r="460">
      <c r="A460" s="35" t="n">
        <v>46114</v>
      </c>
      <c r="B460" s="90">
        <f>'Daily Data'!B460</f>
        <v/>
      </c>
      <c r="C460" s="90">
        <f>'Daily Data'!D460</f>
        <v/>
      </c>
      <c r="D460" s="90">
        <f>'Daily Data'!C460</f>
        <v/>
      </c>
      <c r="E460" s="90">
        <f>IF('Daily Data'!E460="","",'Daily Data'!E460)</f>
        <v/>
      </c>
      <c r="F460" s="90">
        <f>IF($E460="","",'Daily Data'!F460)</f>
        <v/>
      </c>
      <c r="G460" s="90">
        <f>IF($E460="","",'Daily Data'!G460)</f>
        <v/>
      </c>
      <c r="H460" s="91">
        <f>IF($E460="","",(1-K460)*F460-G460)</f>
        <v/>
      </c>
      <c r="I460" s="90">
        <f>IF($E460="","",'Daily Data'!H460)</f>
        <v/>
      </c>
      <c r="J460" s="91">
        <f>IF($E460="","",E460-H460-I460)</f>
        <v/>
      </c>
      <c r="K460" s="60">
        <f>IF($E460="","",IF(A460&lt;HLP_ChangeDate,HLP_Legacy,HLP_Current))</f>
        <v/>
      </c>
      <c r="L460" s="91">
        <f>IF($E460="","",J460/(1-K460))</f>
        <v/>
      </c>
      <c r="M460" s="90">
        <f>IF($E460="","",'Daily Data'!I460)</f>
        <v/>
      </c>
      <c r="N460" s="91">
        <f>IF($E460="","",M460*(1-K460)-I460)</f>
        <v/>
      </c>
      <c r="O460" s="92" t="n">
        <v>230869</v>
      </c>
      <c r="P460" s="93">
        <f>IF($E460="","",(L460+F460+M460)*K460)</f>
        <v/>
      </c>
      <c r="Q460" s="91">
        <f>IF($E460="","",L460*K460)</f>
        <v/>
      </c>
      <c r="R460" s="91">
        <f>IF($E460="","",F460*K460)</f>
        <v/>
      </c>
      <c r="S460" s="91">
        <f>IF($E460="","",M460*K460)</f>
        <v/>
      </c>
      <c r="T460" s="63">
        <f>IF(OR($E460="",B460=0),"",L460/B460*10000)</f>
        <v/>
      </c>
      <c r="U460" s="63">
        <f>IF(OR($E460="",C460=0),"",F460/C460*10000)</f>
        <v/>
      </c>
      <c r="V460" s="63">
        <f>IF(OR($E460="",D460=0),"",M460/D460*10000)</f>
        <v/>
      </c>
    </row>
    <row r="461">
      <c r="A461" s="35" t="n">
        <v>46115</v>
      </c>
      <c r="B461" s="90">
        <f>'Daily Data'!B461</f>
        <v/>
      </c>
      <c r="C461" s="90">
        <f>'Daily Data'!D461</f>
        <v/>
      </c>
      <c r="D461" s="90">
        <f>'Daily Data'!C461</f>
        <v/>
      </c>
      <c r="E461" s="90">
        <f>IF('Daily Data'!E461="","",'Daily Data'!E461)</f>
        <v/>
      </c>
      <c r="F461" s="90">
        <f>IF($E461="","",'Daily Data'!F461)</f>
        <v/>
      </c>
      <c r="G461" s="90">
        <f>IF($E461="","",'Daily Data'!G461)</f>
        <v/>
      </c>
      <c r="H461" s="91">
        <f>IF($E461="","",(1-K461)*F461-G461)</f>
        <v/>
      </c>
      <c r="I461" s="90">
        <f>IF($E461="","",'Daily Data'!H461)</f>
        <v/>
      </c>
      <c r="J461" s="91">
        <f>IF($E461="","",E461-H461-I461)</f>
        <v/>
      </c>
      <c r="K461" s="60">
        <f>IF($E461="","",IF(A461&lt;HLP_ChangeDate,HLP_Legacy,HLP_Current))</f>
        <v/>
      </c>
      <c r="L461" s="91">
        <f>IF($E461="","",J461/(1-K461))</f>
        <v/>
      </c>
      <c r="M461" s="90">
        <f>IF($E461="","",'Daily Data'!I461)</f>
        <v/>
      </c>
      <c r="N461" s="91">
        <f>IF($E461="","",M461*(1-K461)-I461)</f>
        <v/>
      </c>
      <c r="O461" s="92" t="n">
        <v>74695</v>
      </c>
      <c r="P461" s="93">
        <f>IF($E461="","",(L461+F461+M461)*K461)</f>
        <v/>
      </c>
      <c r="Q461" s="91">
        <f>IF($E461="","",L461*K461)</f>
        <v/>
      </c>
      <c r="R461" s="91">
        <f>IF($E461="","",F461*K461)</f>
        <v/>
      </c>
      <c r="S461" s="91">
        <f>IF($E461="","",M461*K461)</f>
        <v/>
      </c>
      <c r="T461" s="63">
        <f>IF(OR($E461="",B461=0),"",L461/B461*10000)</f>
        <v/>
      </c>
      <c r="U461" s="63">
        <f>IF(OR($E461="",C461=0),"",F461/C461*10000)</f>
        <v/>
      </c>
      <c r="V461" s="63">
        <f>IF(OR($E461="",D461=0),"",M461/D461*10000)</f>
        <v/>
      </c>
    </row>
    <row r="462">
      <c r="A462" s="35" t="n">
        <v>46116</v>
      </c>
      <c r="B462" s="90">
        <f>'Daily Data'!B462</f>
        <v/>
      </c>
      <c r="C462" s="90">
        <f>'Daily Data'!D462</f>
        <v/>
      </c>
      <c r="D462" s="90">
        <f>'Daily Data'!C462</f>
        <v/>
      </c>
      <c r="E462" s="90">
        <f>IF('Daily Data'!E462="","",'Daily Data'!E462)</f>
        <v/>
      </c>
      <c r="F462" s="90">
        <f>IF($E462="","",'Daily Data'!F462)</f>
        <v/>
      </c>
      <c r="G462" s="90">
        <f>IF($E462="","",'Daily Data'!G462)</f>
        <v/>
      </c>
      <c r="H462" s="91">
        <f>IF($E462="","",(1-K462)*F462-G462)</f>
        <v/>
      </c>
      <c r="I462" s="90">
        <f>IF($E462="","",'Daily Data'!H462)</f>
        <v/>
      </c>
      <c r="J462" s="91">
        <f>IF($E462="","",E462-H462-I462)</f>
        <v/>
      </c>
      <c r="K462" s="60">
        <f>IF($E462="","",IF(A462&lt;HLP_ChangeDate,HLP_Legacy,HLP_Current))</f>
        <v/>
      </c>
      <c r="L462" s="91">
        <f>IF($E462="","",J462/(1-K462))</f>
        <v/>
      </c>
      <c r="M462" s="90">
        <f>IF($E462="","",'Daily Data'!I462)</f>
        <v/>
      </c>
      <c r="N462" s="91">
        <f>IF($E462="","",M462*(1-K462)-I462)</f>
        <v/>
      </c>
      <c r="O462" s="92" t="n">
        <v>55008</v>
      </c>
      <c r="P462" s="93">
        <f>IF($E462="","",(L462+F462+M462)*K462)</f>
        <v/>
      </c>
      <c r="Q462" s="91">
        <f>IF($E462="","",L462*K462)</f>
        <v/>
      </c>
      <c r="R462" s="91">
        <f>IF($E462="","",F462*K462)</f>
        <v/>
      </c>
      <c r="S462" s="91">
        <f>IF($E462="","",M462*K462)</f>
        <v/>
      </c>
      <c r="T462" s="63">
        <f>IF(OR($E462="",B462=0),"",L462/B462*10000)</f>
        <v/>
      </c>
      <c r="U462" s="63">
        <f>IF(OR($E462="",C462=0),"",F462/C462*10000)</f>
        <v/>
      </c>
      <c r="V462" s="63">
        <f>IF(OR($E462="",D462=0),"",M462/D462*10000)</f>
        <v/>
      </c>
    </row>
    <row r="463">
      <c r="A463" s="35" t="n">
        <v>46117</v>
      </c>
      <c r="B463" s="90">
        <f>'Daily Data'!B463</f>
        <v/>
      </c>
      <c r="C463" s="90">
        <f>'Daily Data'!D463</f>
        <v/>
      </c>
      <c r="D463" s="90">
        <f>'Daily Data'!C463</f>
        <v/>
      </c>
      <c r="E463" s="90">
        <f>IF('Daily Data'!E463="","",'Daily Data'!E463)</f>
        <v/>
      </c>
      <c r="F463" s="90">
        <f>IF($E463="","",'Daily Data'!F463)</f>
        <v/>
      </c>
      <c r="G463" s="90">
        <f>IF($E463="","",'Daily Data'!G463)</f>
        <v/>
      </c>
      <c r="H463" s="91">
        <f>IF($E463="","",(1-K463)*F463-G463)</f>
        <v/>
      </c>
      <c r="I463" s="90">
        <f>IF($E463="","",'Daily Data'!H463)</f>
        <v/>
      </c>
      <c r="J463" s="91">
        <f>IF($E463="","",E463-H463-I463)</f>
        <v/>
      </c>
      <c r="K463" s="60">
        <f>IF($E463="","",IF(A463&lt;HLP_ChangeDate,HLP_Legacy,HLP_Current))</f>
        <v/>
      </c>
      <c r="L463" s="91">
        <f>IF($E463="","",J463/(1-K463))</f>
        <v/>
      </c>
      <c r="M463" s="90">
        <f>IF($E463="","",'Daily Data'!I463)</f>
        <v/>
      </c>
      <c r="N463" s="91">
        <f>IF($E463="","",M463*(1-K463)-I463)</f>
        <v/>
      </c>
      <c r="O463" s="92" t="n">
        <v>88944</v>
      </c>
      <c r="P463" s="93">
        <f>IF($E463="","",(L463+F463+M463)*K463)</f>
        <v/>
      </c>
      <c r="Q463" s="91">
        <f>IF($E463="","",L463*K463)</f>
        <v/>
      </c>
      <c r="R463" s="91">
        <f>IF($E463="","",F463*K463)</f>
        <v/>
      </c>
      <c r="S463" s="91">
        <f>IF($E463="","",M463*K463)</f>
        <v/>
      </c>
      <c r="T463" s="63">
        <f>IF(OR($E463="",B463=0),"",L463/B463*10000)</f>
        <v/>
      </c>
      <c r="U463" s="63">
        <f>IF(OR($E463="",C463=0),"",F463/C463*10000)</f>
        <v/>
      </c>
      <c r="V463" s="63">
        <f>IF(OR($E463="",D463=0),"",M463/D463*10000)</f>
        <v/>
      </c>
    </row>
    <row r="464">
      <c r="A464" s="35" t="n">
        <v>46118</v>
      </c>
      <c r="B464" s="90">
        <f>'Daily Data'!B464</f>
        <v/>
      </c>
      <c r="C464" s="90">
        <f>'Daily Data'!D464</f>
        <v/>
      </c>
      <c r="D464" s="90">
        <f>'Daily Data'!C464</f>
        <v/>
      </c>
      <c r="E464" s="90">
        <f>IF('Daily Data'!E464="","",'Daily Data'!E464)</f>
        <v/>
      </c>
      <c r="F464" s="90">
        <f>IF($E464="","",'Daily Data'!F464)</f>
        <v/>
      </c>
      <c r="G464" s="90">
        <f>IF($E464="","",'Daily Data'!G464)</f>
        <v/>
      </c>
      <c r="H464" s="91">
        <f>IF($E464="","",(1-K464)*F464-G464)</f>
        <v/>
      </c>
      <c r="I464" s="90">
        <f>IF($E464="","",'Daily Data'!H464)</f>
        <v/>
      </c>
      <c r="J464" s="91">
        <f>IF($E464="","",E464-H464-I464)</f>
        <v/>
      </c>
      <c r="K464" s="60">
        <f>IF($E464="","",IF(A464&lt;HLP_ChangeDate,HLP_Legacy,HLP_Current))</f>
        <v/>
      </c>
      <c r="L464" s="91">
        <f>IF($E464="","",J464/(1-K464))</f>
        <v/>
      </c>
      <c r="M464" s="90">
        <f>IF($E464="","",'Daily Data'!I464)</f>
        <v/>
      </c>
      <c r="N464" s="91">
        <f>IF($E464="","",M464*(1-K464)-I464)</f>
        <v/>
      </c>
      <c r="O464" s="92" t="n">
        <v>133769</v>
      </c>
      <c r="P464" s="93">
        <f>IF($E464="","",(L464+F464+M464)*K464)</f>
        <v/>
      </c>
      <c r="Q464" s="91">
        <f>IF($E464="","",L464*K464)</f>
        <v/>
      </c>
      <c r="R464" s="91">
        <f>IF($E464="","",F464*K464)</f>
        <v/>
      </c>
      <c r="S464" s="91">
        <f>IF($E464="","",M464*K464)</f>
        <v/>
      </c>
      <c r="T464" s="63">
        <f>IF(OR($E464="",B464=0),"",L464/B464*10000)</f>
        <v/>
      </c>
      <c r="U464" s="63">
        <f>IF(OR($E464="",C464=0),"",F464/C464*10000)</f>
        <v/>
      </c>
      <c r="V464" s="63">
        <f>IF(OR($E464="",D464=0),"",M464/D464*10000)</f>
        <v/>
      </c>
    </row>
    <row r="465">
      <c r="A465" s="35" t="n">
        <v>46119</v>
      </c>
      <c r="B465" s="90">
        <f>'Daily Data'!B465</f>
        <v/>
      </c>
      <c r="C465" s="90">
        <f>'Daily Data'!D465</f>
        <v/>
      </c>
      <c r="D465" s="90">
        <f>'Daily Data'!C465</f>
        <v/>
      </c>
      <c r="E465" s="90">
        <f>IF('Daily Data'!E465="","",'Daily Data'!E465)</f>
        <v/>
      </c>
      <c r="F465" s="90">
        <f>IF($E465="","",'Daily Data'!F465)</f>
        <v/>
      </c>
      <c r="G465" s="90">
        <f>IF($E465="","",'Daily Data'!G465)</f>
        <v/>
      </c>
      <c r="H465" s="91">
        <f>IF($E465="","",(1-K465)*F465-G465)</f>
        <v/>
      </c>
      <c r="I465" s="90">
        <f>IF($E465="","",'Daily Data'!H465)</f>
        <v/>
      </c>
      <c r="J465" s="91">
        <f>IF($E465="","",E465-H465-I465)</f>
        <v/>
      </c>
      <c r="K465" s="60">
        <f>IF($E465="","",IF(A465&lt;HLP_ChangeDate,HLP_Legacy,HLP_Current))</f>
        <v/>
      </c>
      <c r="L465" s="91">
        <f>IF($E465="","",J465/(1-K465))</f>
        <v/>
      </c>
      <c r="M465" s="90">
        <f>IF($E465="","",'Daily Data'!I465)</f>
        <v/>
      </c>
      <c r="N465" s="91">
        <f>IF($E465="","",M465*(1-K465)-I465)</f>
        <v/>
      </c>
      <c r="O465" s="92" t="n">
        <v>212655</v>
      </c>
      <c r="P465" s="93">
        <f>IF($E465="","",(L465+F465+M465)*K465)</f>
        <v/>
      </c>
      <c r="Q465" s="91">
        <f>IF($E465="","",L465*K465)</f>
        <v/>
      </c>
      <c r="R465" s="91">
        <f>IF($E465="","",F465*K465)</f>
        <v/>
      </c>
      <c r="S465" s="91">
        <f>IF($E465="","",M465*K465)</f>
        <v/>
      </c>
      <c r="T465" s="63">
        <f>IF(OR($E465="",B465=0),"",L465/B465*10000)</f>
        <v/>
      </c>
      <c r="U465" s="63">
        <f>IF(OR($E465="",C465=0),"",F465/C465*10000)</f>
        <v/>
      </c>
      <c r="V465" s="63">
        <f>IF(OR($E465="",D465=0),"",M465/D465*10000)</f>
        <v/>
      </c>
    </row>
    <row r="466">
      <c r="A466" s="35" t="n">
        <v>46120</v>
      </c>
      <c r="B466" s="90">
        <f>'Daily Data'!B466</f>
        <v/>
      </c>
      <c r="C466" s="90">
        <f>'Daily Data'!D466</f>
        <v/>
      </c>
      <c r="D466" s="90">
        <f>'Daily Data'!C466</f>
        <v/>
      </c>
      <c r="E466" s="90">
        <f>IF('Daily Data'!E466="","",'Daily Data'!E466)</f>
        <v/>
      </c>
      <c r="F466" s="90">
        <f>IF($E466="","",'Daily Data'!F466)</f>
        <v/>
      </c>
      <c r="G466" s="90">
        <f>IF($E466="","",'Daily Data'!G466)</f>
        <v/>
      </c>
      <c r="H466" s="91">
        <f>IF($E466="","",(1-K466)*F466-G466)</f>
        <v/>
      </c>
      <c r="I466" s="90">
        <f>IF($E466="","",'Daily Data'!H466)</f>
        <v/>
      </c>
      <c r="J466" s="91">
        <f>IF($E466="","",E466-H466-I466)</f>
        <v/>
      </c>
      <c r="K466" s="60">
        <f>IF($E466="","",IF(A466&lt;HLP_ChangeDate,HLP_Legacy,HLP_Current))</f>
        <v/>
      </c>
      <c r="L466" s="91">
        <f>IF($E466="","",J466/(1-K466))</f>
        <v/>
      </c>
      <c r="M466" s="90">
        <f>IF($E466="","",'Daily Data'!I466)</f>
        <v/>
      </c>
      <c r="N466" s="91">
        <f>IF($E466="","",M466*(1-K466)-I466)</f>
        <v/>
      </c>
      <c r="O466" s="92" t="n">
        <v>172378</v>
      </c>
      <c r="P466" s="93">
        <f>IF($E466="","",(L466+F466+M466)*K466)</f>
        <v/>
      </c>
      <c r="Q466" s="91">
        <f>IF($E466="","",L466*K466)</f>
        <v/>
      </c>
      <c r="R466" s="91">
        <f>IF($E466="","",F466*K466)</f>
        <v/>
      </c>
      <c r="S466" s="91">
        <f>IF($E466="","",M466*K466)</f>
        <v/>
      </c>
      <c r="T466" s="63">
        <f>IF(OR($E466="",B466=0),"",L466/B466*10000)</f>
        <v/>
      </c>
      <c r="U466" s="63">
        <f>IF(OR($E466="",C466=0),"",F466/C466*10000)</f>
        <v/>
      </c>
      <c r="V466" s="63">
        <f>IF(OR($E466="",D466=0),"",M466/D466*10000)</f>
        <v/>
      </c>
    </row>
    <row r="467">
      <c r="A467" s="35" t="n">
        <v>46121</v>
      </c>
      <c r="B467" s="90">
        <f>'Daily Data'!B467</f>
        <v/>
      </c>
      <c r="C467" s="90">
        <f>'Daily Data'!D467</f>
        <v/>
      </c>
      <c r="D467" s="90">
        <f>'Daily Data'!C467</f>
        <v/>
      </c>
      <c r="E467" s="90">
        <f>IF('Daily Data'!E467="","",'Daily Data'!E467)</f>
        <v/>
      </c>
      <c r="F467" s="90">
        <f>IF($E467="","",'Daily Data'!F467)</f>
        <v/>
      </c>
      <c r="G467" s="90">
        <f>IF($E467="","",'Daily Data'!G467)</f>
        <v/>
      </c>
      <c r="H467" s="91">
        <f>IF($E467="","",(1-K467)*F467-G467)</f>
        <v/>
      </c>
      <c r="I467" s="90">
        <f>IF($E467="","",'Daily Data'!H467)</f>
        <v/>
      </c>
      <c r="J467" s="91">
        <f>IF($E467="","",E467-H467-I467)</f>
        <v/>
      </c>
      <c r="K467" s="60">
        <f>IF($E467="","",IF(A467&lt;HLP_ChangeDate,HLP_Legacy,HLP_Current))</f>
        <v/>
      </c>
      <c r="L467" s="91">
        <f>IF($E467="","",J467/(1-K467))</f>
        <v/>
      </c>
      <c r="M467" s="90">
        <f>IF($E467="","",'Daily Data'!I467)</f>
        <v/>
      </c>
      <c r="N467" s="91">
        <f>IF($E467="","",M467*(1-K467)-I467)</f>
        <v/>
      </c>
      <c r="O467" s="92" t="n">
        <v>142815</v>
      </c>
      <c r="P467" s="93">
        <f>IF($E467="","",(L467+F467+M467)*K467)</f>
        <v/>
      </c>
      <c r="Q467" s="91">
        <f>IF($E467="","",L467*K467)</f>
        <v/>
      </c>
      <c r="R467" s="91">
        <f>IF($E467="","",F467*K467)</f>
        <v/>
      </c>
      <c r="S467" s="91">
        <f>IF($E467="","",M467*K467)</f>
        <v/>
      </c>
      <c r="T467" s="63">
        <f>IF(OR($E467="",B467=0),"",L467/B467*10000)</f>
        <v/>
      </c>
      <c r="U467" s="63">
        <f>IF(OR($E467="",C467=0),"",F467/C467*10000)</f>
        <v/>
      </c>
      <c r="V467" s="63">
        <f>IF(OR($E467="",D467=0),"",M467/D467*10000)</f>
        <v/>
      </c>
    </row>
    <row r="468">
      <c r="A468" s="35" t="n">
        <v>46122</v>
      </c>
      <c r="B468" s="90">
        <f>'Daily Data'!B468</f>
        <v/>
      </c>
      <c r="C468" s="90">
        <f>'Daily Data'!D468</f>
        <v/>
      </c>
      <c r="D468" s="90">
        <f>'Daily Data'!C468</f>
        <v/>
      </c>
      <c r="E468" s="90">
        <f>IF('Daily Data'!E468="","",'Daily Data'!E468)</f>
        <v/>
      </c>
      <c r="F468" s="90">
        <f>IF($E468="","",'Daily Data'!F468)</f>
        <v/>
      </c>
      <c r="G468" s="90">
        <f>IF($E468="","",'Daily Data'!G468)</f>
        <v/>
      </c>
      <c r="H468" s="91">
        <f>IF($E468="","",(1-K468)*F468-G468)</f>
        <v/>
      </c>
      <c r="I468" s="90">
        <f>IF($E468="","",'Daily Data'!H468)</f>
        <v/>
      </c>
      <c r="J468" s="91">
        <f>IF($E468="","",E468-H468-I468)</f>
        <v/>
      </c>
      <c r="K468" s="60">
        <f>IF($E468="","",IF(A468&lt;HLP_ChangeDate,HLP_Legacy,HLP_Current))</f>
        <v/>
      </c>
      <c r="L468" s="91">
        <f>IF($E468="","",J468/(1-K468))</f>
        <v/>
      </c>
      <c r="M468" s="90">
        <f>IF($E468="","",'Daily Data'!I468)</f>
        <v/>
      </c>
      <c r="N468" s="91">
        <f>IF($E468="","",M468*(1-K468)-I468)</f>
        <v/>
      </c>
      <c r="O468" s="92" t="n">
        <v>114203</v>
      </c>
      <c r="P468" s="93">
        <f>IF($E468="","",(L468+F468+M468)*K468)</f>
        <v/>
      </c>
      <c r="Q468" s="91">
        <f>IF($E468="","",L468*K468)</f>
        <v/>
      </c>
      <c r="R468" s="91">
        <f>IF($E468="","",F468*K468)</f>
        <v/>
      </c>
      <c r="S468" s="91">
        <f>IF($E468="","",M468*K468)</f>
        <v/>
      </c>
      <c r="T468" s="63">
        <f>IF(OR($E468="",B468=0),"",L468/B468*10000)</f>
        <v/>
      </c>
      <c r="U468" s="63">
        <f>IF(OR($E468="",C468=0),"",F468/C468*10000)</f>
        <v/>
      </c>
      <c r="V468" s="63">
        <f>IF(OR($E468="",D468=0),"",M468/D468*10000)</f>
        <v/>
      </c>
    </row>
    <row r="469">
      <c r="A469" s="35" t="n">
        <v>46123</v>
      </c>
      <c r="B469" s="90">
        <f>'Daily Data'!B469</f>
        <v/>
      </c>
      <c r="C469" s="90">
        <f>'Daily Data'!D469</f>
        <v/>
      </c>
      <c r="D469" s="90">
        <f>'Daily Data'!C469</f>
        <v/>
      </c>
      <c r="E469" s="90">
        <f>IF('Daily Data'!E469="","",'Daily Data'!E469)</f>
        <v/>
      </c>
      <c r="F469" s="90">
        <f>IF($E469="","",'Daily Data'!F469)</f>
        <v/>
      </c>
      <c r="G469" s="90">
        <f>IF($E469="","",'Daily Data'!G469)</f>
        <v/>
      </c>
      <c r="H469" s="91">
        <f>IF($E469="","",(1-K469)*F469-G469)</f>
        <v/>
      </c>
      <c r="I469" s="90">
        <f>IF($E469="","",'Daily Data'!H469)</f>
        <v/>
      </c>
      <c r="J469" s="91">
        <f>IF($E469="","",E469-H469-I469)</f>
        <v/>
      </c>
      <c r="K469" s="60">
        <f>IF($E469="","",IF(A469&lt;HLP_ChangeDate,HLP_Legacy,HLP_Current))</f>
        <v/>
      </c>
      <c r="L469" s="91">
        <f>IF($E469="","",J469/(1-K469))</f>
        <v/>
      </c>
      <c r="M469" s="90">
        <f>IF($E469="","",'Daily Data'!I469)</f>
        <v/>
      </c>
      <c r="N469" s="91">
        <f>IF($E469="","",M469*(1-K469)-I469)</f>
        <v/>
      </c>
      <c r="O469" s="92" t="n">
        <v>98984</v>
      </c>
      <c r="P469" s="93">
        <f>IF($E469="","",(L469+F469+M469)*K469)</f>
        <v/>
      </c>
      <c r="Q469" s="91">
        <f>IF($E469="","",L469*K469)</f>
        <v/>
      </c>
      <c r="R469" s="91">
        <f>IF($E469="","",F469*K469)</f>
        <v/>
      </c>
      <c r="S469" s="91">
        <f>IF($E469="","",M469*K469)</f>
        <v/>
      </c>
      <c r="T469" s="63">
        <f>IF(OR($E469="",B469=0),"",L469/B469*10000)</f>
        <v/>
      </c>
      <c r="U469" s="63">
        <f>IF(OR($E469="",C469=0),"",F469/C469*10000)</f>
        <v/>
      </c>
      <c r="V469" s="63">
        <f>IF(OR($E469="",D469=0),"",M469/D469*10000)</f>
        <v/>
      </c>
    </row>
    <row r="470">
      <c r="A470" s="35" t="n">
        <v>46124</v>
      </c>
      <c r="B470" s="90">
        <f>'Daily Data'!B470</f>
        <v/>
      </c>
      <c r="C470" s="90">
        <f>'Daily Data'!D470</f>
        <v/>
      </c>
      <c r="D470" s="90">
        <f>'Daily Data'!C470</f>
        <v/>
      </c>
      <c r="E470" s="90">
        <f>IF('Daily Data'!E470="","",'Daily Data'!E470)</f>
        <v/>
      </c>
      <c r="F470" s="90">
        <f>IF($E470="","",'Daily Data'!F470)</f>
        <v/>
      </c>
      <c r="G470" s="90">
        <f>IF($E470="","",'Daily Data'!G470)</f>
        <v/>
      </c>
      <c r="H470" s="91">
        <f>IF($E470="","",(1-K470)*F470-G470)</f>
        <v/>
      </c>
      <c r="I470" s="90">
        <f>IF($E470="","",'Daily Data'!H470)</f>
        <v/>
      </c>
      <c r="J470" s="91">
        <f>IF($E470="","",E470-H470-I470)</f>
        <v/>
      </c>
      <c r="K470" s="60">
        <f>IF($E470="","",IF(A470&lt;HLP_ChangeDate,HLP_Legacy,HLP_Current))</f>
        <v/>
      </c>
      <c r="L470" s="91">
        <f>IF($E470="","",J470/(1-K470))</f>
        <v/>
      </c>
      <c r="M470" s="90">
        <f>IF($E470="","",'Daily Data'!I470)</f>
        <v/>
      </c>
      <c r="N470" s="91">
        <f>IF($E470="","",M470*(1-K470)-I470)</f>
        <v/>
      </c>
      <c r="O470" s="92" t="n">
        <v>158142</v>
      </c>
      <c r="P470" s="93">
        <f>IF($E470="","",(L470+F470+M470)*K470)</f>
        <v/>
      </c>
      <c r="Q470" s="91">
        <f>IF($E470="","",L470*K470)</f>
        <v/>
      </c>
      <c r="R470" s="91">
        <f>IF($E470="","",F470*K470)</f>
        <v/>
      </c>
      <c r="S470" s="91">
        <f>IF($E470="","",M470*K470)</f>
        <v/>
      </c>
      <c r="T470" s="63">
        <f>IF(OR($E470="",B470=0),"",L470/B470*10000)</f>
        <v/>
      </c>
      <c r="U470" s="63">
        <f>IF(OR($E470="",C470=0),"",F470/C470*10000)</f>
        <v/>
      </c>
      <c r="V470" s="63">
        <f>IF(OR($E470="",D470=0),"",M470/D470*10000)</f>
        <v/>
      </c>
    </row>
    <row r="471">
      <c r="A471" s="35" t="n">
        <v>46125</v>
      </c>
      <c r="B471" s="90">
        <f>'Daily Data'!B471</f>
        <v/>
      </c>
      <c r="C471" s="90">
        <f>'Daily Data'!D471</f>
        <v/>
      </c>
      <c r="D471" s="90">
        <f>'Daily Data'!C471</f>
        <v/>
      </c>
      <c r="E471" s="90">
        <f>IF('Daily Data'!E471="","",'Daily Data'!E471)</f>
        <v/>
      </c>
      <c r="F471" s="90">
        <f>IF($E471="","",'Daily Data'!F471)</f>
        <v/>
      </c>
      <c r="G471" s="90">
        <f>IF($E471="","",'Daily Data'!G471)</f>
        <v/>
      </c>
      <c r="H471" s="91">
        <f>IF($E471="","",(1-K471)*F471-G471)</f>
        <v/>
      </c>
      <c r="I471" s="90">
        <f>IF($E471="","",'Daily Data'!H471)</f>
        <v/>
      </c>
      <c r="J471" s="91">
        <f>IF($E471="","",E471-H471-I471)</f>
        <v/>
      </c>
      <c r="K471" s="60">
        <f>IF($E471="","",IF(A471&lt;HLP_ChangeDate,HLP_Legacy,HLP_Current))</f>
        <v/>
      </c>
      <c r="L471" s="91">
        <f>IF($E471="","",J471/(1-K471))</f>
        <v/>
      </c>
      <c r="M471" s="90">
        <f>IF($E471="","",'Daily Data'!I471)</f>
        <v/>
      </c>
      <c r="N471" s="91">
        <f>IF($E471="","",M471*(1-K471)-I471)</f>
        <v/>
      </c>
      <c r="O471" s="92" t="n">
        <v>148099</v>
      </c>
      <c r="P471" s="93">
        <f>IF($E471="","",(L471+F471+M471)*K471)</f>
        <v/>
      </c>
      <c r="Q471" s="91">
        <f>IF($E471="","",L471*K471)</f>
        <v/>
      </c>
      <c r="R471" s="91">
        <f>IF($E471="","",F471*K471)</f>
        <v/>
      </c>
      <c r="S471" s="91">
        <f>IF($E471="","",M471*K471)</f>
        <v/>
      </c>
      <c r="T471" s="63">
        <f>IF(OR($E471="",B471=0),"",L471/B471*10000)</f>
        <v/>
      </c>
      <c r="U471" s="63">
        <f>IF(OR($E471="",C471=0),"",F471/C471*10000)</f>
        <v/>
      </c>
      <c r="V471" s="63">
        <f>IF(OR($E471="",D471=0),"",M471/D471*10000)</f>
        <v/>
      </c>
    </row>
    <row r="472">
      <c r="A472" s="35" t="n">
        <v>46126</v>
      </c>
      <c r="B472" s="90">
        <f>'Daily Data'!B472</f>
        <v/>
      </c>
      <c r="C472" s="90">
        <f>'Daily Data'!D472</f>
        <v/>
      </c>
      <c r="D472" s="90">
        <f>'Daily Data'!C472</f>
        <v/>
      </c>
      <c r="E472" s="90">
        <f>IF('Daily Data'!E472="","",'Daily Data'!E472)</f>
        <v/>
      </c>
      <c r="F472" s="90">
        <f>IF($E472="","",'Daily Data'!F472)</f>
        <v/>
      </c>
      <c r="G472" s="90">
        <f>IF($E472="","",'Daily Data'!G472)</f>
        <v/>
      </c>
      <c r="H472" s="91">
        <f>IF($E472="","",(1-K472)*F472-G472)</f>
        <v/>
      </c>
      <c r="I472" s="90">
        <f>IF($E472="","",'Daily Data'!H472)</f>
        <v/>
      </c>
      <c r="J472" s="91">
        <f>IF($E472="","",E472-H472-I472)</f>
        <v/>
      </c>
      <c r="K472" s="60">
        <f>IF($E472="","",IF(A472&lt;HLP_ChangeDate,HLP_Legacy,HLP_Current))</f>
        <v/>
      </c>
      <c r="L472" s="91">
        <f>IF($E472="","",J472/(1-K472))</f>
        <v/>
      </c>
      <c r="M472" s="90">
        <f>IF($E472="","",'Daily Data'!I472)</f>
        <v/>
      </c>
      <c r="N472" s="91">
        <f>IF($E472="","",M472*(1-K472)-I472)</f>
        <v/>
      </c>
      <c r="O472" s="92" t="n">
        <v>157800</v>
      </c>
      <c r="P472" s="93">
        <f>IF($E472="","",(L472+F472+M472)*K472)</f>
        <v/>
      </c>
      <c r="Q472" s="91">
        <f>IF($E472="","",L472*K472)</f>
        <v/>
      </c>
      <c r="R472" s="91">
        <f>IF($E472="","",F472*K472)</f>
        <v/>
      </c>
      <c r="S472" s="91">
        <f>IF($E472="","",M472*K472)</f>
        <v/>
      </c>
      <c r="T472" s="63">
        <f>IF(OR($E472="",B472=0),"",L472/B472*10000)</f>
        <v/>
      </c>
      <c r="U472" s="63">
        <f>IF(OR($E472="",C472=0),"",F472/C472*10000)</f>
        <v/>
      </c>
      <c r="V472" s="63">
        <f>IF(OR($E472="",D472=0),"",M472/D472*10000)</f>
        <v/>
      </c>
    </row>
    <row r="473">
      <c r="A473" s="35" t="n">
        <v>46127</v>
      </c>
      <c r="B473" s="90">
        <f>'Daily Data'!B473</f>
        <v/>
      </c>
      <c r="C473" s="90">
        <f>'Daily Data'!D473</f>
        <v/>
      </c>
      <c r="D473" s="90">
        <f>'Daily Data'!C473</f>
        <v/>
      </c>
      <c r="E473" s="90">
        <f>IF('Daily Data'!E473="","",'Daily Data'!E473)</f>
        <v/>
      </c>
      <c r="F473" s="90">
        <f>IF($E473="","",'Daily Data'!F473)</f>
        <v/>
      </c>
      <c r="G473" s="90">
        <f>IF($E473="","",'Daily Data'!G473)</f>
        <v/>
      </c>
      <c r="H473" s="91">
        <f>IF($E473="","",(1-K473)*F473-G473)</f>
        <v/>
      </c>
      <c r="I473" s="90">
        <f>IF($E473="","",'Daily Data'!H473)</f>
        <v/>
      </c>
      <c r="J473" s="91">
        <f>IF($E473="","",E473-H473-I473)</f>
        <v/>
      </c>
      <c r="K473" s="60">
        <f>IF($E473="","",IF(A473&lt;HLP_ChangeDate,HLP_Legacy,HLP_Current))</f>
        <v/>
      </c>
      <c r="L473" s="91">
        <f>IF($E473="","",J473/(1-K473))</f>
        <v/>
      </c>
      <c r="M473" s="90">
        <f>IF($E473="","",'Daily Data'!I473)</f>
        <v/>
      </c>
      <c r="N473" s="91">
        <f>IF($E473="","",M473*(1-K473)-I473)</f>
        <v/>
      </c>
      <c r="O473" s="92" t="n">
        <v>113578</v>
      </c>
      <c r="P473" s="93">
        <f>IF($E473="","",(L473+F473+M473)*K473)</f>
        <v/>
      </c>
      <c r="Q473" s="91">
        <f>IF($E473="","",L473*K473)</f>
        <v/>
      </c>
      <c r="R473" s="91">
        <f>IF($E473="","",F473*K473)</f>
        <v/>
      </c>
      <c r="S473" s="91">
        <f>IF($E473="","",M473*K473)</f>
        <v/>
      </c>
      <c r="T473" s="63">
        <f>IF(OR($E473="",B473=0),"",L473/B473*10000)</f>
        <v/>
      </c>
      <c r="U473" s="63">
        <f>IF(OR($E473="",C473=0),"",F473/C473*10000)</f>
        <v/>
      </c>
      <c r="V473" s="63">
        <f>IF(OR($E473="",D473=0),"",M473/D473*10000)</f>
        <v/>
      </c>
    </row>
    <row r="474">
      <c r="A474" s="35" t="n">
        <v>46128</v>
      </c>
      <c r="B474" s="90">
        <f>'Daily Data'!B474</f>
        <v/>
      </c>
      <c r="C474" s="90">
        <f>'Daily Data'!D474</f>
        <v/>
      </c>
      <c r="D474" s="90">
        <f>'Daily Data'!C474</f>
        <v/>
      </c>
      <c r="E474" s="90">
        <f>IF('Daily Data'!E474="","",'Daily Data'!E474)</f>
        <v/>
      </c>
      <c r="F474" s="90">
        <f>IF($E474="","",'Daily Data'!F474)</f>
        <v/>
      </c>
      <c r="G474" s="90">
        <f>IF($E474="","",'Daily Data'!G474)</f>
        <v/>
      </c>
      <c r="H474" s="91">
        <f>IF($E474="","",(1-K474)*F474-G474)</f>
        <v/>
      </c>
      <c r="I474" s="90">
        <f>IF($E474="","",'Daily Data'!H474)</f>
        <v/>
      </c>
      <c r="J474" s="91">
        <f>IF($E474="","",E474-H474-I474)</f>
        <v/>
      </c>
      <c r="K474" s="60">
        <f>IF($E474="","",IF(A474&lt;HLP_ChangeDate,HLP_Legacy,HLP_Current))</f>
        <v/>
      </c>
      <c r="L474" s="91">
        <f>IF($E474="","",J474/(1-K474))</f>
        <v/>
      </c>
      <c r="M474" s="90">
        <f>IF($E474="","",'Daily Data'!I474)</f>
        <v/>
      </c>
      <c r="N474" s="91">
        <f>IF($E474="","",M474*(1-K474)-I474)</f>
        <v/>
      </c>
      <c r="O474" s="92" t="n">
        <v>159743</v>
      </c>
      <c r="P474" s="93">
        <f>IF($E474="","",(L474+F474+M474)*K474)</f>
        <v/>
      </c>
      <c r="Q474" s="91">
        <f>IF($E474="","",L474*K474)</f>
        <v/>
      </c>
      <c r="R474" s="91">
        <f>IF($E474="","",F474*K474)</f>
        <v/>
      </c>
      <c r="S474" s="91">
        <f>IF($E474="","",M474*K474)</f>
        <v/>
      </c>
      <c r="T474" s="63">
        <f>IF(OR($E474="",B474=0),"",L474/B474*10000)</f>
        <v/>
      </c>
      <c r="U474" s="63">
        <f>IF(OR($E474="",C474=0),"",F474/C474*10000)</f>
        <v/>
      </c>
      <c r="V474" s="63">
        <f>IF(OR($E474="",D474=0),"",M474/D474*10000)</f>
        <v/>
      </c>
    </row>
    <row r="475">
      <c r="A475" s="35" t="n">
        <v>46129</v>
      </c>
      <c r="B475" s="90">
        <f>'Daily Data'!B475</f>
        <v/>
      </c>
      <c r="C475" s="90">
        <f>'Daily Data'!D475</f>
        <v/>
      </c>
      <c r="D475" s="90">
        <f>'Daily Data'!C475</f>
        <v/>
      </c>
      <c r="E475" s="90">
        <f>IF('Daily Data'!E475="","",'Daily Data'!E475)</f>
        <v/>
      </c>
      <c r="F475" s="90">
        <f>IF($E475="","",'Daily Data'!F475)</f>
        <v/>
      </c>
      <c r="G475" s="90">
        <f>IF($E475="","",'Daily Data'!G475)</f>
        <v/>
      </c>
      <c r="H475" s="91">
        <f>IF($E475="","",(1-K475)*F475-G475)</f>
        <v/>
      </c>
      <c r="I475" s="90">
        <f>IF($E475="","",'Daily Data'!H475)</f>
        <v/>
      </c>
      <c r="J475" s="91">
        <f>IF($E475="","",E475-H475-I475)</f>
        <v/>
      </c>
      <c r="K475" s="60">
        <f>IF($E475="","",IF(A475&lt;HLP_ChangeDate,HLP_Legacy,HLP_Current))</f>
        <v/>
      </c>
      <c r="L475" s="91">
        <f>IF($E475="","",J475/(1-K475))</f>
        <v/>
      </c>
      <c r="M475" s="90">
        <f>IF($E475="","",'Daily Data'!I475)</f>
        <v/>
      </c>
      <c r="N475" s="91">
        <f>IF($E475="","",M475*(1-K475)-I475)</f>
        <v/>
      </c>
      <c r="O475" s="92" t="n">
        <v>137858</v>
      </c>
      <c r="P475" s="93">
        <f>IF($E475="","",(L475+F475+M475)*K475)</f>
        <v/>
      </c>
      <c r="Q475" s="91">
        <f>IF($E475="","",L475*K475)</f>
        <v/>
      </c>
      <c r="R475" s="91">
        <f>IF($E475="","",F475*K475)</f>
        <v/>
      </c>
      <c r="S475" s="91">
        <f>IF($E475="","",M475*K475)</f>
        <v/>
      </c>
      <c r="T475" s="63">
        <f>IF(OR($E475="",B475=0),"",L475/B475*10000)</f>
        <v/>
      </c>
      <c r="U475" s="63">
        <f>IF(OR($E475="",C475=0),"",F475/C475*10000)</f>
        <v/>
      </c>
      <c r="V475" s="63">
        <f>IF(OR($E475="",D475=0),"",M475/D475*10000)</f>
        <v/>
      </c>
    </row>
    <row r="476">
      <c r="A476" s="35" t="n">
        <v>46130</v>
      </c>
      <c r="B476" s="90">
        <f>'Daily Data'!B476</f>
        <v/>
      </c>
      <c r="C476" s="90">
        <f>'Daily Data'!D476</f>
        <v/>
      </c>
      <c r="D476" s="90">
        <f>'Daily Data'!C476</f>
        <v/>
      </c>
      <c r="E476" s="90">
        <f>IF('Daily Data'!E476="","",'Daily Data'!E476)</f>
        <v/>
      </c>
      <c r="F476" s="90">
        <f>IF($E476="","",'Daily Data'!F476)</f>
        <v/>
      </c>
      <c r="G476" s="90">
        <f>IF($E476="","",'Daily Data'!G476)</f>
        <v/>
      </c>
      <c r="H476" s="91">
        <f>IF($E476="","",(1-K476)*F476-G476)</f>
        <v/>
      </c>
      <c r="I476" s="90">
        <f>IF($E476="","",'Daily Data'!H476)</f>
        <v/>
      </c>
      <c r="J476" s="91">
        <f>IF($E476="","",E476-H476-I476)</f>
        <v/>
      </c>
      <c r="K476" s="60">
        <f>IF($E476="","",IF(A476&lt;HLP_ChangeDate,HLP_Legacy,HLP_Current))</f>
        <v/>
      </c>
      <c r="L476" s="91">
        <f>IF($E476="","",J476/(1-K476))</f>
        <v/>
      </c>
      <c r="M476" s="90">
        <f>IF($E476="","",'Daily Data'!I476)</f>
        <v/>
      </c>
      <c r="N476" s="91">
        <f>IF($E476="","",M476*(1-K476)-I476)</f>
        <v/>
      </c>
      <c r="O476" s="92" t="n">
        <v>111058</v>
      </c>
      <c r="P476" s="93">
        <f>IF($E476="","",(L476+F476+M476)*K476)</f>
        <v/>
      </c>
      <c r="Q476" s="91">
        <f>IF($E476="","",L476*K476)</f>
        <v/>
      </c>
      <c r="R476" s="91">
        <f>IF($E476="","",F476*K476)</f>
        <v/>
      </c>
      <c r="S476" s="91">
        <f>IF($E476="","",M476*K476)</f>
        <v/>
      </c>
      <c r="T476" s="63">
        <f>IF(OR($E476="",B476=0),"",L476/B476*10000)</f>
        <v/>
      </c>
      <c r="U476" s="63">
        <f>IF(OR($E476="",C476=0),"",F476/C476*10000)</f>
        <v/>
      </c>
      <c r="V476" s="63">
        <f>IF(OR($E476="",D476=0),"",M476/D476*10000)</f>
        <v/>
      </c>
    </row>
    <row r="477">
      <c r="A477" s="35" t="n">
        <v>46131</v>
      </c>
      <c r="B477" s="90">
        <f>'Daily Data'!B477</f>
        <v/>
      </c>
      <c r="C477" s="90">
        <f>'Daily Data'!D477</f>
        <v/>
      </c>
      <c r="D477" s="90">
        <f>'Daily Data'!C477</f>
        <v/>
      </c>
      <c r="E477" s="90">
        <f>IF('Daily Data'!E477="","",'Daily Data'!E477)</f>
        <v/>
      </c>
      <c r="F477" s="90">
        <f>IF($E477="","",'Daily Data'!F477)</f>
        <v/>
      </c>
      <c r="G477" s="90">
        <f>IF($E477="","",'Daily Data'!G477)</f>
        <v/>
      </c>
      <c r="H477" s="91">
        <f>IF($E477="","",(1-K477)*F477-G477)</f>
        <v/>
      </c>
      <c r="I477" s="90">
        <f>IF($E477="","",'Daily Data'!H477)</f>
        <v/>
      </c>
      <c r="J477" s="91">
        <f>IF($E477="","",E477-H477-I477)</f>
        <v/>
      </c>
      <c r="K477" s="60">
        <f>IF($E477="","",IF(A477&lt;HLP_ChangeDate,HLP_Legacy,HLP_Current))</f>
        <v/>
      </c>
      <c r="L477" s="91">
        <f>IF($E477="","",J477/(1-K477))</f>
        <v/>
      </c>
      <c r="M477" s="90">
        <f>IF($E477="","",'Daily Data'!I477)</f>
        <v/>
      </c>
      <c r="N477" s="91">
        <f>IF($E477="","",M477*(1-K477)-I477)</f>
        <v/>
      </c>
      <c r="O477" s="92" t="n">
        <v>126237</v>
      </c>
      <c r="P477" s="93">
        <f>IF($E477="","",(L477+F477+M477)*K477)</f>
        <v/>
      </c>
      <c r="Q477" s="91">
        <f>IF($E477="","",L477*K477)</f>
        <v/>
      </c>
      <c r="R477" s="91">
        <f>IF($E477="","",F477*K477)</f>
        <v/>
      </c>
      <c r="S477" s="91">
        <f>IF($E477="","",M477*K477)</f>
        <v/>
      </c>
      <c r="T477" s="63">
        <f>IF(OR($E477="",B477=0),"",L477/B477*10000)</f>
        <v/>
      </c>
      <c r="U477" s="63">
        <f>IF(OR($E477="",C477=0),"",F477/C477*10000)</f>
        <v/>
      </c>
      <c r="V477" s="63">
        <f>IF(OR($E477="",D477=0),"",M477/D477*10000)</f>
        <v/>
      </c>
    </row>
    <row r="478">
      <c r="A478" s="35" t="n">
        <v>46132</v>
      </c>
      <c r="B478" s="90">
        <f>'Daily Data'!B478</f>
        <v/>
      </c>
      <c r="C478" s="90">
        <f>'Daily Data'!D478</f>
        <v/>
      </c>
      <c r="D478" s="90">
        <f>'Daily Data'!C478</f>
        <v/>
      </c>
      <c r="E478" s="90">
        <f>IF('Daily Data'!E478="","",'Daily Data'!E478)</f>
        <v/>
      </c>
      <c r="F478" s="90">
        <f>IF($E478="","",'Daily Data'!F478)</f>
        <v/>
      </c>
      <c r="G478" s="90">
        <f>IF($E478="","",'Daily Data'!G478)</f>
        <v/>
      </c>
      <c r="H478" s="91">
        <f>IF($E478="","",(1-K478)*F478-G478)</f>
        <v/>
      </c>
      <c r="I478" s="90">
        <f>IF($E478="","",'Daily Data'!H478)</f>
        <v/>
      </c>
      <c r="J478" s="91">
        <f>IF($E478="","",E478-H478-I478)</f>
        <v/>
      </c>
      <c r="K478" s="60">
        <f>IF($E478="","",IF(A478&lt;HLP_ChangeDate,HLP_Legacy,HLP_Current))</f>
        <v/>
      </c>
      <c r="L478" s="91">
        <f>IF($E478="","",J478/(1-K478))</f>
        <v/>
      </c>
      <c r="M478" s="90">
        <f>IF($E478="","",'Daily Data'!I478)</f>
        <v/>
      </c>
      <c r="N478" s="91">
        <f>IF($E478="","",M478*(1-K478)-I478)</f>
        <v/>
      </c>
      <c r="O478" s="92" t="n">
        <v>111895</v>
      </c>
      <c r="P478" s="93">
        <f>IF($E478="","",(L478+F478+M478)*K478)</f>
        <v/>
      </c>
      <c r="Q478" s="91">
        <f>IF($E478="","",L478*K478)</f>
        <v/>
      </c>
      <c r="R478" s="91">
        <f>IF($E478="","",F478*K478)</f>
        <v/>
      </c>
      <c r="S478" s="91">
        <f>IF($E478="","",M478*K478)</f>
        <v/>
      </c>
      <c r="T478" s="63">
        <f>IF(OR($E478="",B478=0),"",L478/B478*10000)</f>
        <v/>
      </c>
      <c r="U478" s="63">
        <f>IF(OR($E478="",C478=0),"",F478/C478*10000)</f>
        <v/>
      </c>
      <c r="V478" s="63">
        <f>IF(OR($E478="",D478=0),"",M478/D478*10000)</f>
        <v/>
      </c>
    </row>
    <row r="479">
      <c r="A479" s="35" t="n">
        <v>46133</v>
      </c>
      <c r="B479" s="90">
        <f>'Daily Data'!B479</f>
        <v/>
      </c>
      <c r="C479" s="90">
        <f>'Daily Data'!D479</f>
        <v/>
      </c>
      <c r="D479" s="90">
        <f>'Daily Data'!C479</f>
        <v/>
      </c>
      <c r="E479" s="90">
        <f>IF('Daily Data'!E479="","",'Daily Data'!E479)</f>
        <v/>
      </c>
      <c r="F479" s="90">
        <f>IF($E479="","",'Daily Data'!F479)</f>
        <v/>
      </c>
      <c r="G479" s="90">
        <f>IF($E479="","",'Daily Data'!G479)</f>
        <v/>
      </c>
      <c r="H479" s="91">
        <f>IF($E479="","",(1-K479)*F479-G479)</f>
        <v/>
      </c>
      <c r="I479" s="90">
        <f>IF($E479="","",'Daily Data'!H479)</f>
        <v/>
      </c>
      <c r="J479" s="91">
        <f>IF($E479="","",E479-H479-I479)</f>
        <v/>
      </c>
      <c r="K479" s="60">
        <f>IF($E479="","",IF(A479&lt;HLP_ChangeDate,HLP_Legacy,HLP_Current))</f>
        <v/>
      </c>
      <c r="L479" s="91">
        <f>IF($E479="","",J479/(1-K479))</f>
        <v/>
      </c>
      <c r="M479" s="90">
        <f>IF($E479="","",'Daily Data'!I479)</f>
        <v/>
      </c>
      <c r="N479" s="91">
        <f>IF($E479="","",M479*(1-K479)-I479)</f>
        <v/>
      </c>
      <c r="O479" s="92" t="n">
        <v>156536</v>
      </c>
      <c r="P479" s="93">
        <f>IF($E479="","",(L479+F479+M479)*K479)</f>
        <v/>
      </c>
      <c r="Q479" s="91">
        <f>IF($E479="","",L479*K479)</f>
        <v/>
      </c>
      <c r="R479" s="91">
        <f>IF($E479="","",F479*K479)</f>
        <v/>
      </c>
      <c r="S479" s="91">
        <f>IF($E479="","",M479*K479)</f>
        <v/>
      </c>
      <c r="T479" s="63">
        <f>IF(OR($E479="",B479=0),"",L479/B479*10000)</f>
        <v/>
      </c>
      <c r="U479" s="63">
        <f>IF(OR($E479="",C479=0),"",F479/C479*10000)</f>
        <v/>
      </c>
      <c r="V479" s="63">
        <f>IF(OR($E479="",D479=0),"",M479/D479*10000)</f>
        <v/>
      </c>
    </row>
    <row r="480">
      <c r="A480" s="35" t="n">
        <v>46134</v>
      </c>
      <c r="B480" s="90">
        <f>'Daily Data'!B480</f>
        <v/>
      </c>
      <c r="C480" s="90">
        <f>'Daily Data'!D480</f>
        <v/>
      </c>
      <c r="D480" s="90">
        <f>'Daily Data'!C480</f>
        <v/>
      </c>
      <c r="E480" s="90">
        <f>IF('Daily Data'!E480="","",'Daily Data'!E480)</f>
        <v/>
      </c>
      <c r="F480" s="90">
        <f>IF($E480="","",'Daily Data'!F480)</f>
        <v/>
      </c>
      <c r="G480" s="90">
        <f>IF($E480="","",'Daily Data'!G480)</f>
        <v/>
      </c>
      <c r="H480" s="91">
        <f>IF($E480="","",(1-K480)*F480-G480)</f>
        <v/>
      </c>
      <c r="I480" s="90">
        <f>IF($E480="","",'Daily Data'!H480)</f>
        <v/>
      </c>
      <c r="J480" s="91">
        <f>IF($E480="","",E480-H480-I480)</f>
        <v/>
      </c>
      <c r="K480" s="60">
        <f>IF($E480="","",IF(A480&lt;HLP_ChangeDate,HLP_Legacy,HLP_Current))</f>
        <v/>
      </c>
      <c r="L480" s="91">
        <f>IF($E480="","",J480/(1-K480))</f>
        <v/>
      </c>
      <c r="M480" s="90">
        <f>IF($E480="","",'Daily Data'!I480)</f>
        <v/>
      </c>
      <c r="N480" s="91">
        <f>IF($E480="","",M480*(1-K480)-I480)</f>
        <v/>
      </c>
      <c r="O480" s="92" t="n">
        <v>132249</v>
      </c>
      <c r="P480" s="93">
        <f>IF($E480="","",(L480+F480+M480)*K480)</f>
        <v/>
      </c>
      <c r="Q480" s="91">
        <f>IF($E480="","",L480*K480)</f>
        <v/>
      </c>
      <c r="R480" s="91">
        <f>IF($E480="","",F480*K480)</f>
        <v/>
      </c>
      <c r="S480" s="91">
        <f>IF($E480="","",M480*K480)</f>
        <v/>
      </c>
      <c r="T480" s="63">
        <f>IF(OR($E480="",B480=0),"",L480/B480*10000)</f>
        <v/>
      </c>
      <c r="U480" s="63">
        <f>IF(OR($E480="",C480=0),"",F480/C480*10000)</f>
        <v/>
      </c>
      <c r="V480" s="63">
        <f>IF(OR($E480="",D480=0),"",M480/D480*10000)</f>
        <v/>
      </c>
    </row>
    <row r="481">
      <c r="A481" s="35" t="n">
        <v>46135</v>
      </c>
      <c r="B481" s="90">
        <f>'Daily Data'!B481</f>
        <v/>
      </c>
      <c r="C481" s="90">
        <f>'Daily Data'!D481</f>
        <v/>
      </c>
      <c r="D481" s="90">
        <f>'Daily Data'!C481</f>
        <v/>
      </c>
      <c r="E481" s="90">
        <f>IF('Daily Data'!E481="","",'Daily Data'!E481)</f>
        <v/>
      </c>
      <c r="F481" s="90">
        <f>IF($E481="","",'Daily Data'!F481)</f>
        <v/>
      </c>
      <c r="G481" s="90">
        <f>IF($E481="","",'Daily Data'!G481)</f>
        <v/>
      </c>
      <c r="H481" s="91">
        <f>IF($E481="","",(1-K481)*F481-G481)</f>
        <v/>
      </c>
      <c r="I481" s="90">
        <f>IF($E481="","",'Daily Data'!H481)</f>
        <v/>
      </c>
      <c r="J481" s="91">
        <f>IF($E481="","",E481-H481-I481)</f>
        <v/>
      </c>
      <c r="K481" s="60">
        <f>IF($E481="","",IF(A481&lt;HLP_ChangeDate,HLP_Legacy,HLP_Current))</f>
        <v/>
      </c>
      <c r="L481" s="91">
        <f>IF($E481="","",J481/(1-K481))</f>
        <v/>
      </c>
      <c r="M481" s="90">
        <f>IF($E481="","",'Daily Data'!I481)</f>
        <v/>
      </c>
      <c r="N481" s="91">
        <f>IF($E481="","",M481*(1-K481)-I481)</f>
        <v/>
      </c>
      <c r="O481" s="92" t="n">
        <v>126629</v>
      </c>
      <c r="P481" s="93">
        <f>IF($E481="","",(L481+F481+M481)*K481)</f>
        <v/>
      </c>
      <c r="Q481" s="91">
        <f>IF($E481="","",L481*K481)</f>
        <v/>
      </c>
      <c r="R481" s="91">
        <f>IF($E481="","",F481*K481)</f>
        <v/>
      </c>
      <c r="S481" s="91">
        <f>IF($E481="","",M481*K481)</f>
        <v/>
      </c>
      <c r="T481" s="63">
        <f>IF(OR($E481="",B481=0),"",L481/B481*10000)</f>
        <v/>
      </c>
      <c r="U481" s="63">
        <f>IF(OR($E481="",C481=0),"",F481/C481*10000)</f>
        <v/>
      </c>
      <c r="V481" s="63">
        <f>IF(OR($E481="",D481=0),"",M481/D481*10000)</f>
        <v/>
      </c>
    </row>
    <row r="482">
      <c r="A482" s="35" t="n">
        <v>46136</v>
      </c>
      <c r="B482" s="90">
        <f>'Daily Data'!B482</f>
        <v/>
      </c>
      <c r="C482" s="90">
        <f>'Daily Data'!D482</f>
        <v/>
      </c>
      <c r="D482" s="90">
        <f>'Daily Data'!C482</f>
        <v/>
      </c>
      <c r="E482" s="90">
        <f>IF('Daily Data'!E482="","",'Daily Data'!E482)</f>
        <v/>
      </c>
      <c r="F482" s="90">
        <f>IF($E482="","",'Daily Data'!F482)</f>
        <v/>
      </c>
      <c r="G482" s="90">
        <f>IF($E482="","",'Daily Data'!G482)</f>
        <v/>
      </c>
      <c r="H482" s="91">
        <f>IF($E482="","",(1-K482)*F482-G482)</f>
        <v/>
      </c>
      <c r="I482" s="90">
        <f>IF($E482="","",'Daily Data'!H482)</f>
        <v/>
      </c>
      <c r="J482" s="91">
        <f>IF($E482="","",E482-H482-I482)</f>
        <v/>
      </c>
      <c r="K482" s="60">
        <f>IF($E482="","",IF(A482&lt;HLP_ChangeDate,HLP_Legacy,HLP_Current))</f>
        <v/>
      </c>
      <c r="L482" s="91">
        <f>IF($E482="","",J482/(1-K482))</f>
        <v/>
      </c>
      <c r="M482" s="90">
        <f>IF($E482="","",'Daily Data'!I482)</f>
        <v/>
      </c>
      <c r="N482" s="91">
        <f>IF($E482="","",M482*(1-K482)-I482)</f>
        <v/>
      </c>
      <c r="O482" s="92" t="n">
        <v>119778</v>
      </c>
      <c r="P482" s="93">
        <f>IF($E482="","",(L482+F482+M482)*K482)</f>
        <v/>
      </c>
      <c r="Q482" s="91">
        <f>IF($E482="","",L482*K482)</f>
        <v/>
      </c>
      <c r="R482" s="91">
        <f>IF($E482="","",F482*K482)</f>
        <v/>
      </c>
      <c r="S482" s="91">
        <f>IF($E482="","",M482*K482)</f>
        <v/>
      </c>
      <c r="T482" s="63">
        <f>IF(OR($E482="",B482=0),"",L482/B482*10000)</f>
        <v/>
      </c>
      <c r="U482" s="63">
        <f>IF(OR($E482="",C482=0),"",F482/C482*10000)</f>
        <v/>
      </c>
      <c r="V482" s="63">
        <f>IF(OR($E482="",D482=0),"",M482/D482*10000)</f>
        <v/>
      </c>
    </row>
    <row r="483">
      <c r="A483" s="35" t="n">
        <v>46137</v>
      </c>
      <c r="B483" s="90">
        <f>'Daily Data'!B483</f>
        <v/>
      </c>
      <c r="C483" s="90">
        <f>'Daily Data'!D483</f>
        <v/>
      </c>
      <c r="D483" s="90">
        <f>'Daily Data'!C483</f>
        <v/>
      </c>
      <c r="E483" s="90">
        <f>IF('Daily Data'!E483="","",'Daily Data'!E483)</f>
        <v/>
      </c>
      <c r="F483" s="90">
        <f>IF($E483="","",'Daily Data'!F483)</f>
        <v/>
      </c>
      <c r="G483" s="90">
        <f>IF($E483="","",'Daily Data'!G483)</f>
        <v/>
      </c>
      <c r="H483" s="91">
        <f>IF($E483="","",(1-K483)*F483-G483)</f>
        <v/>
      </c>
      <c r="I483" s="90">
        <f>IF($E483="","",'Daily Data'!H483)</f>
        <v/>
      </c>
      <c r="J483" s="91">
        <f>IF($E483="","",E483-H483-I483)</f>
        <v/>
      </c>
      <c r="K483" s="60">
        <f>IF($E483="","",IF(A483&lt;HLP_ChangeDate,HLP_Legacy,HLP_Current))</f>
        <v/>
      </c>
      <c r="L483" s="91">
        <f>IF($E483="","",J483/(1-K483))</f>
        <v/>
      </c>
      <c r="M483" s="90">
        <f>IF($E483="","",'Daily Data'!I483)</f>
        <v/>
      </c>
      <c r="N483" s="91">
        <f>IF($E483="","",M483*(1-K483)-I483)</f>
        <v/>
      </c>
      <c r="O483" s="92" t="n">
        <v>55062</v>
      </c>
      <c r="P483" s="93">
        <f>IF($E483="","",(L483+F483+M483)*K483)</f>
        <v/>
      </c>
      <c r="Q483" s="91">
        <f>IF($E483="","",L483*K483)</f>
        <v/>
      </c>
      <c r="R483" s="91">
        <f>IF($E483="","",F483*K483)</f>
        <v/>
      </c>
      <c r="S483" s="91">
        <f>IF($E483="","",M483*K483)</f>
        <v/>
      </c>
      <c r="T483" s="63">
        <f>IF(OR($E483="",B483=0),"",L483/B483*10000)</f>
        <v/>
      </c>
      <c r="U483" s="63">
        <f>IF(OR($E483="",C483=0),"",F483/C483*10000)</f>
        <v/>
      </c>
      <c r="V483" s="63">
        <f>IF(OR($E483="",D483=0),"",M483/D483*10000)</f>
        <v/>
      </c>
    </row>
    <row r="484">
      <c r="A484" s="35" t="n">
        <v>46138</v>
      </c>
      <c r="B484" s="90">
        <f>'Daily Data'!B484</f>
        <v/>
      </c>
      <c r="C484" s="90">
        <f>'Daily Data'!D484</f>
        <v/>
      </c>
      <c r="D484" s="90">
        <f>'Daily Data'!C484</f>
        <v/>
      </c>
      <c r="E484" s="90">
        <f>IF('Daily Data'!E484="","",'Daily Data'!E484)</f>
        <v/>
      </c>
      <c r="F484" s="90">
        <f>IF($E484="","",'Daily Data'!F484)</f>
        <v/>
      </c>
      <c r="G484" s="90">
        <f>IF($E484="","",'Daily Data'!G484)</f>
        <v/>
      </c>
      <c r="H484" s="91">
        <f>IF($E484="","",(1-K484)*F484-G484)</f>
        <v/>
      </c>
      <c r="I484" s="90">
        <f>IF($E484="","",'Daily Data'!H484)</f>
        <v/>
      </c>
      <c r="J484" s="91">
        <f>IF($E484="","",E484-H484-I484)</f>
        <v/>
      </c>
      <c r="K484" s="60">
        <f>IF($E484="","",IF(A484&lt;HLP_ChangeDate,HLP_Legacy,HLP_Current))</f>
        <v/>
      </c>
      <c r="L484" s="91">
        <f>IF($E484="","",J484/(1-K484))</f>
        <v/>
      </c>
      <c r="M484" s="90">
        <f>IF($E484="","",'Daily Data'!I484)</f>
        <v/>
      </c>
      <c r="N484" s="91">
        <f>IF($E484="","",M484*(1-K484)-I484)</f>
        <v/>
      </c>
      <c r="O484" s="92" t="n">
        <v>67150</v>
      </c>
      <c r="P484" s="93">
        <f>IF($E484="","",(L484+F484+M484)*K484)</f>
        <v/>
      </c>
      <c r="Q484" s="91">
        <f>IF($E484="","",L484*K484)</f>
        <v/>
      </c>
      <c r="R484" s="91">
        <f>IF($E484="","",F484*K484)</f>
        <v/>
      </c>
      <c r="S484" s="91">
        <f>IF($E484="","",M484*K484)</f>
        <v/>
      </c>
      <c r="T484" s="63">
        <f>IF(OR($E484="",B484=0),"",L484/B484*10000)</f>
        <v/>
      </c>
      <c r="U484" s="63">
        <f>IF(OR($E484="",C484=0),"",F484/C484*10000)</f>
        <v/>
      </c>
      <c r="V484" s="63">
        <f>IF(OR($E484="",D484=0),"",M484/D484*10000)</f>
        <v/>
      </c>
    </row>
    <row r="485">
      <c r="A485" s="35" t="n">
        <v>46139</v>
      </c>
      <c r="B485" s="90">
        <f>'Daily Data'!B485</f>
        <v/>
      </c>
      <c r="C485" s="90">
        <f>'Daily Data'!D485</f>
        <v/>
      </c>
      <c r="D485" s="90">
        <f>'Daily Data'!C485</f>
        <v/>
      </c>
      <c r="E485" s="90">
        <f>IF('Daily Data'!E485="","",'Daily Data'!E485)</f>
        <v/>
      </c>
      <c r="F485" s="90">
        <f>IF($E485="","",'Daily Data'!F485)</f>
        <v/>
      </c>
      <c r="G485" s="90">
        <f>IF($E485="","",'Daily Data'!G485)</f>
        <v/>
      </c>
      <c r="H485" s="91">
        <f>IF($E485="","",(1-K485)*F485-G485)</f>
        <v/>
      </c>
      <c r="I485" s="90">
        <f>IF($E485="","",'Daily Data'!H485)</f>
        <v/>
      </c>
      <c r="J485" s="91">
        <f>IF($E485="","",E485-H485-I485)</f>
        <v/>
      </c>
      <c r="K485" s="60">
        <f>IF($E485="","",IF(A485&lt;HLP_ChangeDate,HLP_Legacy,HLP_Current))</f>
        <v/>
      </c>
      <c r="L485" s="91">
        <f>IF($E485="","",J485/(1-K485))</f>
        <v/>
      </c>
      <c r="M485" s="90">
        <f>IF($E485="","",'Daily Data'!I485)</f>
        <v/>
      </c>
      <c r="N485" s="91">
        <f>IF($E485="","",M485*(1-K485)-I485)</f>
        <v/>
      </c>
      <c r="O485" s="92" t="n">
        <v>122130</v>
      </c>
      <c r="P485" s="93">
        <f>IF($E485="","",(L485+F485+M485)*K485)</f>
        <v/>
      </c>
      <c r="Q485" s="91">
        <f>IF($E485="","",L485*K485)</f>
        <v/>
      </c>
      <c r="R485" s="91">
        <f>IF($E485="","",F485*K485)</f>
        <v/>
      </c>
      <c r="S485" s="91">
        <f>IF($E485="","",M485*K485)</f>
        <v/>
      </c>
      <c r="T485" s="63">
        <f>IF(OR($E485="",B485=0),"",L485/B485*10000)</f>
        <v/>
      </c>
      <c r="U485" s="63">
        <f>IF(OR($E485="",C485=0),"",F485/C485*10000)</f>
        <v/>
      </c>
      <c r="V485" s="63">
        <f>IF(OR($E485="",D485=0),"",M485/D485*10000)</f>
        <v/>
      </c>
    </row>
    <row r="486">
      <c r="A486" s="35" t="n">
        <v>46140</v>
      </c>
      <c r="B486" s="90">
        <f>'Daily Data'!B486</f>
        <v/>
      </c>
      <c r="C486" s="90">
        <f>'Daily Data'!D486</f>
        <v/>
      </c>
      <c r="D486" s="90">
        <f>'Daily Data'!C486</f>
        <v/>
      </c>
      <c r="E486" s="90">
        <f>IF('Daily Data'!E486="","",'Daily Data'!E486)</f>
        <v/>
      </c>
      <c r="F486" s="90">
        <f>IF($E486="","",'Daily Data'!F486)</f>
        <v/>
      </c>
      <c r="G486" s="90">
        <f>IF($E486="","",'Daily Data'!G486)</f>
        <v/>
      </c>
      <c r="H486" s="91">
        <f>IF($E486="","",(1-K486)*F486-G486)</f>
        <v/>
      </c>
      <c r="I486" s="90">
        <f>IF($E486="","",'Daily Data'!H486)</f>
        <v/>
      </c>
      <c r="J486" s="91">
        <f>IF($E486="","",E486-H486-I486)</f>
        <v/>
      </c>
      <c r="K486" s="60">
        <f>IF($E486="","",IF(A486&lt;HLP_ChangeDate,HLP_Legacy,HLP_Current))</f>
        <v/>
      </c>
      <c r="L486" s="91">
        <f>IF($E486="","",J486/(1-K486))</f>
        <v/>
      </c>
      <c r="M486" s="90">
        <f>IF($E486="","",'Daily Data'!I486)</f>
        <v/>
      </c>
      <c r="N486" s="91">
        <f>IF($E486="","",M486*(1-K486)-I486)</f>
        <v/>
      </c>
      <c r="O486" s="92" t="n">
        <v>107649</v>
      </c>
      <c r="P486" s="93">
        <f>IF($E486="","",(L486+F486+M486)*K486)</f>
        <v/>
      </c>
      <c r="Q486" s="91">
        <f>IF($E486="","",L486*K486)</f>
        <v/>
      </c>
      <c r="R486" s="91">
        <f>IF($E486="","",F486*K486)</f>
        <v/>
      </c>
      <c r="S486" s="91">
        <f>IF($E486="","",M486*K486)</f>
        <v/>
      </c>
      <c r="T486" s="63">
        <f>IF(OR($E486="",B486=0),"",L486/B486*10000)</f>
        <v/>
      </c>
      <c r="U486" s="63">
        <f>IF(OR($E486="",C486=0),"",F486/C486*10000)</f>
        <v/>
      </c>
      <c r="V486" s="63">
        <f>IF(OR($E486="",D486=0),"",M486/D486*10000)</f>
        <v/>
      </c>
    </row>
    <row r="487">
      <c r="A487" s="35" t="n">
        <v>46141</v>
      </c>
      <c r="B487" s="90">
        <f>'Daily Data'!B487</f>
        <v/>
      </c>
      <c r="C487" s="90">
        <f>'Daily Data'!D487</f>
        <v/>
      </c>
      <c r="D487" s="90">
        <f>'Daily Data'!C487</f>
        <v/>
      </c>
      <c r="E487" s="90">
        <f>IF('Daily Data'!E487="","",'Daily Data'!E487)</f>
        <v/>
      </c>
      <c r="F487" s="90">
        <f>IF($E487="","",'Daily Data'!F487)</f>
        <v/>
      </c>
      <c r="G487" s="90">
        <f>IF($E487="","",'Daily Data'!G487)</f>
        <v/>
      </c>
      <c r="H487" s="91">
        <f>IF($E487="","",(1-K487)*F487-G487)</f>
        <v/>
      </c>
      <c r="I487" s="90">
        <f>IF($E487="","",'Daily Data'!H487)</f>
        <v/>
      </c>
      <c r="J487" s="91">
        <f>IF($E487="","",E487-H487-I487)</f>
        <v/>
      </c>
      <c r="K487" s="60">
        <f>IF($E487="","",IF(A487&lt;HLP_ChangeDate,HLP_Legacy,HLP_Current))</f>
        <v/>
      </c>
      <c r="L487" s="91">
        <f>IF($E487="","",J487/(1-K487))</f>
        <v/>
      </c>
      <c r="M487" s="90">
        <f>IF($E487="","",'Daily Data'!I487)</f>
        <v/>
      </c>
      <c r="N487" s="91">
        <f>IF($E487="","",M487*(1-K487)-I487)</f>
        <v/>
      </c>
      <c r="O487" s="92" t="n">
        <v>153265</v>
      </c>
      <c r="P487" s="93">
        <f>IF($E487="","",(L487+F487+M487)*K487)</f>
        <v/>
      </c>
      <c r="Q487" s="91">
        <f>IF($E487="","",L487*K487)</f>
        <v/>
      </c>
      <c r="R487" s="91">
        <f>IF($E487="","",F487*K487)</f>
        <v/>
      </c>
      <c r="S487" s="91">
        <f>IF($E487="","",M487*K487)</f>
        <v/>
      </c>
      <c r="T487" s="63">
        <f>IF(OR($E487="",B487=0),"",L487/B487*10000)</f>
        <v/>
      </c>
      <c r="U487" s="63">
        <f>IF(OR($E487="",C487=0),"",F487/C487*10000)</f>
        <v/>
      </c>
      <c r="V487" s="63">
        <f>IF(OR($E487="",D487=0),"",M487/D487*10000)</f>
        <v/>
      </c>
    </row>
    <row r="488">
      <c r="A488" s="35" t="n">
        <v>46142</v>
      </c>
      <c r="B488" s="90">
        <f>'Daily Data'!B488</f>
        <v/>
      </c>
      <c r="C488" s="90">
        <f>'Daily Data'!D488</f>
        <v/>
      </c>
      <c r="D488" s="90">
        <f>'Daily Data'!C488</f>
        <v/>
      </c>
      <c r="E488" s="90">
        <f>IF('Daily Data'!E488="","",'Daily Data'!E488)</f>
        <v/>
      </c>
      <c r="F488" s="90">
        <f>IF($E488="","",'Daily Data'!F488)</f>
        <v/>
      </c>
      <c r="G488" s="90">
        <f>IF($E488="","",'Daily Data'!G488)</f>
        <v/>
      </c>
      <c r="H488" s="91">
        <f>IF($E488="","",(1-K488)*F488-G488)</f>
        <v/>
      </c>
      <c r="I488" s="90">
        <f>IF($E488="","",'Daily Data'!H488)</f>
        <v/>
      </c>
      <c r="J488" s="91">
        <f>IF($E488="","",E488-H488-I488)</f>
        <v/>
      </c>
      <c r="K488" s="60">
        <f>IF($E488="","",IF(A488&lt;HLP_ChangeDate,HLP_Legacy,HLP_Current))</f>
        <v/>
      </c>
      <c r="L488" s="91">
        <f>IF($E488="","",J488/(1-K488))</f>
        <v/>
      </c>
      <c r="M488" s="90">
        <f>IF($E488="","",'Daily Data'!I488)</f>
        <v/>
      </c>
      <c r="N488" s="91">
        <f>IF($E488="","",M488*(1-K488)-I488)</f>
        <v/>
      </c>
      <c r="O488" s="92" t="n">
        <v>123697</v>
      </c>
      <c r="P488" s="93">
        <f>IF($E488="","",(L488+F488+M488)*K488)</f>
        <v/>
      </c>
      <c r="Q488" s="91">
        <f>IF($E488="","",L488*K488)</f>
        <v/>
      </c>
      <c r="R488" s="91">
        <f>IF($E488="","",F488*K488)</f>
        <v/>
      </c>
      <c r="S488" s="91">
        <f>IF($E488="","",M488*K488)</f>
        <v/>
      </c>
      <c r="T488" s="63">
        <f>IF(OR($E488="",B488=0),"",L488/B488*10000)</f>
        <v/>
      </c>
      <c r="U488" s="63">
        <f>IF(OR($E488="",C488=0),"",F488/C488*10000)</f>
        <v/>
      </c>
      <c r="V488" s="63">
        <f>IF(OR($E488="",D488=0),"",M488/D488*10000)</f>
        <v/>
      </c>
    </row>
    <row r="489">
      <c r="A489" s="35" t="n">
        <v>46143</v>
      </c>
      <c r="B489" s="90">
        <f>'Daily Data'!B489</f>
        <v/>
      </c>
      <c r="C489" s="90">
        <f>'Daily Data'!D489</f>
        <v/>
      </c>
      <c r="D489" s="90">
        <f>'Daily Data'!C489</f>
        <v/>
      </c>
      <c r="E489" s="90">
        <f>IF('Daily Data'!E489="","",'Daily Data'!E489)</f>
        <v/>
      </c>
      <c r="F489" s="90">
        <f>IF($E489="","",'Daily Data'!F489)</f>
        <v/>
      </c>
      <c r="G489" s="90">
        <f>IF($E489="","",'Daily Data'!G489)</f>
        <v/>
      </c>
      <c r="H489" s="91">
        <f>IF($E489="","",(1-K489)*F489-G489)</f>
        <v/>
      </c>
      <c r="I489" s="90">
        <f>IF($E489="","",'Daily Data'!H489)</f>
        <v/>
      </c>
      <c r="J489" s="91">
        <f>IF($E489="","",E489-H489-I489)</f>
        <v/>
      </c>
      <c r="K489" s="60">
        <f>IF($E489="","",IF(A489&lt;HLP_ChangeDate,HLP_Legacy,HLP_Current))</f>
        <v/>
      </c>
      <c r="L489" s="91">
        <f>IF($E489="","",J489/(1-K489))</f>
        <v/>
      </c>
      <c r="M489" s="90">
        <f>IF($E489="","",'Daily Data'!I489)</f>
        <v/>
      </c>
      <c r="N489" s="91">
        <f>IF($E489="","",M489*(1-K489)-I489)</f>
        <v/>
      </c>
      <c r="O489" s="92" t="n">
        <v>120589</v>
      </c>
      <c r="P489" s="93">
        <f>IF($E489="","",(L489+F489+M489)*K489)</f>
        <v/>
      </c>
      <c r="Q489" s="91">
        <f>IF($E489="","",L489*K489)</f>
        <v/>
      </c>
      <c r="R489" s="91">
        <f>IF($E489="","",F489*K489)</f>
        <v/>
      </c>
      <c r="S489" s="91">
        <f>IF($E489="","",M489*K489)</f>
        <v/>
      </c>
      <c r="T489" s="63">
        <f>IF(OR($E489="",B489=0),"",L489/B489*10000)</f>
        <v/>
      </c>
      <c r="U489" s="63">
        <f>IF(OR($E489="",C489=0),"",F489/C489*10000)</f>
        <v/>
      </c>
      <c r="V489" s="63">
        <f>IF(OR($E489="",D489=0),"",M489/D489*10000)</f>
        <v/>
      </c>
    </row>
    <row r="490">
      <c r="A490" s="35" t="n">
        <v>46144</v>
      </c>
      <c r="B490" s="90">
        <f>'Daily Data'!B490</f>
        <v/>
      </c>
      <c r="C490" s="90">
        <f>'Daily Data'!D490</f>
        <v/>
      </c>
      <c r="D490" s="90">
        <f>'Daily Data'!C490</f>
        <v/>
      </c>
      <c r="E490" s="90">
        <f>IF('Daily Data'!E490="","",'Daily Data'!E490)</f>
        <v/>
      </c>
      <c r="F490" s="90">
        <f>IF($E490="","",'Daily Data'!F490)</f>
        <v/>
      </c>
      <c r="G490" s="90">
        <f>IF($E490="","",'Daily Data'!G490)</f>
        <v/>
      </c>
      <c r="H490" s="91">
        <f>IF($E490="","",(1-K490)*F490-G490)</f>
        <v/>
      </c>
      <c r="I490" s="90">
        <f>IF($E490="","",'Daily Data'!H490)</f>
        <v/>
      </c>
      <c r="J490" s="91">
        <f>IF($E490="","",E490-H490-I490)</f>
        <v/>
      </c>
      <c r="K490" s="60">
        <f>IF($E490="","",IF(A490&lt;HLP_ChangeDate,HLP_Legacy,HLP_Current))</f>
        <v/>
      </c>
      <c r="L490" s="91">
        <f>IF($E490="","",J490/(1-K490))</f>
        <v/>
      </c>
      <c r="M490" s="90">
        <f>IF($E490="","",'Daily Data'!I490)</f>
        <v/>
      </c>
      <c r="N490" s="91">
        <f>IF($E490="","",M490*(1-K490)-I490)</f>
        <v/>
      </c>
      <c r="O490" s="92" t="n">
        <v>55822</v>
      </c>
      <c r="P490" s="93">
        <f>IF($E490="","",(L490+F490+M490)*K490)</f>
        <v/>
      </c>
      <c r="Q490" s="91">
        <f>IF($E490="","",L490*K490)</f>
        <v/>
      </c>
      <c r="R490" s="91">
        <f>IF($E490="","",F490*K490)</f>
        <v/>
      </c>
      <c r="S490" s="91">
        <f>IF($E490="","",M490*K490)</f>
        <v/>
      </c>
      <c r="T490" s="63">
        <f>IF(OR($E490="",B490=0),"",L490/B490*10000)</f>
        <v/>
      </c>
      <c r="U490" s="63">
        <f>IF(OR($E490="",C490=0),"",F490/C490*10000)</f>
        <v/>
      </c>
      <c r="V490" s="63">
        <f>IF(OR($E490="",D490=0),"",M490/D490*10000)</f>
        <v/>
      </c>
    </row>
    <row r="491">
      <c r="A491" s="35" t="n">
        <v>46145</v>
      </c>
      <c r="B491" s="90">
        <f>'Daily Data'!B491</f>
        <v/>
      </c>
      <c r="C491" s="90">
        <f>'Daily Data'!D491</f>
        <v/>
      </c>
      <c r="D491" s="90">
        <f>'Daily Data'!C491</f>
        <v/>
      </c>
      <c r="E491" s="90">
        <f>IF('Daily Data'!E491="","",'Daily Data'!E491)</f>
        <v/>
      </c>
      <c r="F491" s="90">
        <f>IF($E491="","",'Daily Data'!F491)</f>
        <v/>
      </c>
      <c r="G491" s="90">
        <f>IF($E491="","",'Daily Data'!G491)</f>
        <v/>
      </c>
      <c r="H491" s="91">
        <f>IF($E491="","",(1-K491)*F491-G491)</f>
        <v/>
      </c>
      <c r="I491" s="90">
        <f>IF($E491="","",'Daily Data'!H491)</f>
        <v/>
      </c>
      <c r="J491" s="91">
        <f>IF($E491="","",E491-H491-I491)</f>
        <v/>
      </c>
      <c r="K491" s="60">
        <f>IF($E491="","",IF(A491&lt;HLP_ChangeDate,HLP_Legacy,HLP_Current))</f>
        <v/>
      </c>
      <c r="L491" s="91">
        <f>IF($E491="","",J491/(1-K491))</f>
        <v/>
      </c>
      <c r="M491" s="90">
        <f>IF($E491="","",'Daily Data'!I491)</f>
        <v/>
      </c>
      <c r="N491" s="91">
        <f>IF($E491="","",M491*(1-K491)-I491)</f>
        <v/>
      </c>
      <c r="O491" s="92" t="n">
        <v>93932</v>
      </c>
      <c r="P491" s="93">
        <f>IF($E491="","",(L491+F491+M491)*K491)</f>
        <v/>
      </c>
      <c r="Q491" s="91">
        <f>IF($E491="","",L491*K491)</f>
        <v/>
      </c>
      <c r="R491" s="91">
        <f>IF($E491="","",F491*K491)</f>
        <v/>
      </c>
      <c r="S491" s="91">
        <f>IF($E491="","",M491*K491)</f>
        <v/>
      </c>
      <c r="T491" s="63">
        <f>IF(OR($E491="",B491=0),"",L491/B491*10000)</f>
        <v/>
      </c>
      <c r="U491" s="63">
        <f>IF(OR($E491="",C491=0),"",F491/C491*10000)</f>
        <v/>
      </c>
      <c r="V491" s="63">
        <f>IF(OR($E491="",D491=0),"",M491/D491*10000)</f>
        <v/>
      </c>
    </row>
    <row r="492">
      <c r="A492" s="35" t="n">
        <v>46146</v>
      </c>
      <c r="B492" s="90">
        <f>'Daily Data'!B492</f>
        <v/>
      </c>
      <c r="C492" s="90">
        <f>'Daily Data'!D492</f>
        <v/>
      </c>
      <c r="D492" s="90">
        <f>'Daily Data'!C492</f>
        <v/>
      </c>
      <c r="E492" s="90">
        <f>IF('Daily Data'!E492="","",'Daily Data'!E492)</f>
        <v/>
      </c>
      <c r="F492" s="90">
        <f>IF($E492="","",'Daily Data'!F492)</f>
        <v/>
      </c>
      <c r="G492" s="90">
        <f>IF($E492="","",'Daily Data'!G492)</f>
        <v/>
      </c>
      <c r="H492" s="91">
        <f>IF($E492="","",(1-K492)*F492-G492)</f>
        <v/>
      </c>
      <c r="I492" s="90">
        <f>IF($E492="","",'Daily Data'!H492)</f>
        <v/>
      </c>
      <c r="J492" s="91">
        <f>IF($E492="","",E492-H492-I492)</f>
        <v/>
      </c>
      <c r="K492" s="60">
        <f>IF($E492="","",IF(A492&lt;HLP_ChangeDate,HLP_Legacy,HLP_Current))</f>
        <v/>
      </c>
      <c r="L492" s="91">
        <f>IF($E492="","",J492/(1-K492))</f>
        <v/>
      </c>
      <c r="M492" s="90">
        <f>IF($E492="","",'Daily Data'!I492)</f>
        <v/>
      </c>
      <c r="N492" s="91">
        <f>IF($E492="","",M492*(1-K492)-I492)</f>
        <v/>
      </c>
      <c r="O492" s="92" t="n">
        <v>163891</v>
      </c>
      <c r="P492" s="93">
        <f>IF($E492="","",(L492+F492+M492)*K492)</f>
        <v/>
      </c>
      <c r="Q492" s="91">
        <f>IF($E492="","",L492*K492)</f>
        <v/>
      </c>
      <c r="R492" s="91">
        <f>IF($E492="","",F492*K492)</f>
        <v/>
      </c>
      <c r="S492" s="91">
        <f>IF($E492="","",M492*K492)</f>
        <v/>
      </c>
      <c r="T492" s="63">
        <f>IF(OR($E492="",B492=0),"",L492/B492*10000)</f>
        <v/>
      </c>
      <c r="U492" s="63">
        <f>IF(OR($E492="",C492=0),"",F492/C492*10000)</f>
        <v/>
      </c>
      <c r="V492" s="63">
        <f>IF(OR($E492="",D492=0),"",M492/D492*10000)</f>
        <v/>
      </c>
    </row>
    <row r="493">
      <c r="A493" s="35" t="n">
        <v>46147</v>
      </c>
      <c r="B493" s="90">
        <f>'Daily Data'!B493</f>
        <v/>
      </c>
      <c r="C493" s="90">
        <f>'Daily Data'!D493</f>
        <v/>
      </c>
      <c r="D493" s="90">
        <f>'Daily Data'!C493</f>
        <v/>
      </c>
      <c r="E493" s="90">
        <f>IF('Daily Data'!E493="","",'Daily Data'!E493)</f>
        <v/>
      </c>
      <c r="F493" s="90">
        <f>IF($E493="","",'Daily Data'!F493)</f>
        <v/>
      </c>
      <c r="G493" s="90">
        <f>IF($E493="","",'Daily Data'!G493)</f>
        <v/>
      </c>
      <c r="H493" s="91">
        <f>IF($E493="","",(1-K493)*F493-G493)</f>
        <v/>
      </c>
      <c r="I493" s="90">
        <f>IF($E493="","",'Daily Data'!H493)</f>
        <v/>
      </c>
      <c r="J493" s="91">
        <f>IF($E493="","",E493-H493-I493)</f>
        <v/>
      </c>
      <c r="K493" s="60">
        <f>IF($E493="","",IF(A493&lt;HLP_ChangeDate,HLP_Legacy,HLP_Current))</f>
        <v/>
      </c>
      <c r="L493" s="91">
        <f>IF($E493="","",J493/(1-K493))</f>
        <v/>
      </c>
      <c r="M493" s="90">
        <f>IF($E493="","",'Daily Data'!I493)</f>
        <v/>
      </c>
      <c r="N493" s="91">
        <f>IF($E493="","",M493*(1-K493)-I493)</f>
        <v/>
      </c>
      <c r="O493" s="92" t="n">
        <v>144080</v>
      </c>
      <c r="P493" s="93">
        <f>IF($E493="","",(L493+F493+M493)*K493)</f>
        <v/>
      </c>
      <c r="Q493" s="91">
        <f>IF($E493="","",L493*K493)</f>
        <v/>
      </c>
      <c r="R493" s="91">
        <f>IF($E493="","",F493*K493)</f>
        <v/>
      </c>
      <c r="S493" s="91">
        <f>IF($E493="","",M493*K493)</f>
        <v/>
      </c>
      <c r="T493" s="63">
        <f>IF(OR($E493="",B493=0),"",L493/B493*10000)</f>
        <v/>
      </c>
      <c r="U493" s="63">
        <f>IF(OR($E493="",C493=0),"",F493/C493*10000)</f>
        <v/>
      </c>
      <c r="V493" s="63">
        <f>IF(OR($E493="",D493=0),"",M493/D493*10000)</f>
        <v/>
      </c>
    </row>
    <row r="494">
      <c r="A494" s="35" t="n">
        <v>46148</v>
      </c>
      <c r="B494" s="90">
        <f>'Daily Data'!B494</f>
        <v/>
      </c>
      <c r="C494" s="90">
        <f>'Daily Data'!D494</f>
        <v/>
      </c>
      <c r="D494" s="90">
        <f>'Daily Data'!C494</f>
        <v/>
      </c>
      <c r="E494" s="90">
        <f>IF('Daily Data'!E494="","",'Daily Data'!E494)</f>
        <v/>
      </c>
      <c r="F494" s="90">
        <f>IF($E494="","",'Daily Data'!F494)</f>
        <v/>
      </c>
      <c r="G494" s="90">
        <f>IF($E494="","",'Daily Data'!G494)</f>
        <v/>
      </c>
      <c r="H494" s="91">
        <f>IF($E494="","",(1-K494)*F494-G494)</f>
        <v/>
      </c>
      <c r="I494" s="90">
        <f>IF($E494="","",'Daily Data'!H494)</f>
        <v/>
      </c>
      <c r="J494" s="91">
        <f>IF($E494="","",E494-H494-I494)</f>
        <v/>
      </c>
      <c r="K494" s="60">
        <f>IF($E494="","",IF(A494&lt;HLP_ChangeDate,HLP_Legacy,HLP_Current))</f>
        <v/>
      </c>
      <c r="L494" s="91">
        <f>IF($E494="","",J494/(1-K494))</f>
        <v/>
      </c>
      <c r="M494" s="90">
        <f>IF($E494="","",'Daily Data'!I494)</f>
        <v/>
      </c>
      <c r="N494" s="91">
        <f>IF($E494="","",M494*(1-K494)-I494)</f>
        <v/>
      </c>
      <c r="O494" s="92" t="n">
        <v>158015</v>
      </c>
      <c r="P494" s="93">
        <f>IF($E494="","",(L494+F494+M494)*K494)</f>
        <v/>
      </c>
      <c r="Q494" s="91">
        <f>IF($E494="","",L494*K494)</f>
        <v/>
      </c>
      <c r="R494" s="91">
        <f>IF($E494="","",F494*K494)</f>
        <v/>
      </c>
      <c r="S494" s="91">
        <f>IF($E494="","",M494*K494)</f>
        <v/>
      </c>
      <c r="T494" s="63">
        <f>IF(OR($E494="",B494=0),"",L494/B494*10000)</f>
        <v/>
      </c>
      <c r="U494" s="63">
        <f>IF(OR($E494="",C494=0),"",F494/C494*10000)</f>
        <v/>
      </c>
      <c r="V494" s="63">
        <f>IF(OR($E494="",D494=0),"",M494/D494*10000)</f>
        <v/>
      </c>
    </row>
    <row r="495">
      <c r="A495" s="35" t="n">
        <v>46149</v>
      </c>
      <c r="B495" s="90">
        <f>'Daily Data'!B495</f>
        <v/>
      </c>
      <c r="C495" s="90">
        <f>'Daily Data'!D495</f>
        <v/>
      </c>
      <c r="D495" s="90">
        <f>'Daily Data'!C495</f>
        <v/>
      </c>
      <c r="E495" s="90">
        <f>IF('Daily Data'!E495="","",'Daily Data'!E495)</f>
        <v/>
      </c>
      <c r="F495" s="90">
        <f>IF($E495="","",'Daily Data'!F495)</f>
        <v/>
      </c>
      <c r="G495" s="90">
        <f>IF($E495="","",'Daily Data'!G495)</f>
        <v/>
      </c>
      <c r="H495" s="91">
        <f>IF($E495="","",(1-K495)*F495-G495)</f>
        <v/>
      </c>
      <c r="I495" s="90">
        <f>IF($E495="","",'Daily Data'!H495)</f>
        <v/>
      </c>
      <c r="J495" s="91">
        <f>IF($E495="","",E495-H495-I495)</f>
        <v/>
      </c>
      <c r="K495" s="60">
        <f>IF($E495="","",IF(A495&lt;HLP_ChangeDate,HLP_Legacy,HLP_Current))</f>
        <v/>
      </c>
      <c r="L495" s="91">
        <f>IF($E495="","",J495/(1-K495))</f>
        <v/>
      </c>
      <c r="M495" s="90">
        <f>IF($E495="","",'Daily Data'!I495)</f>
        <v/>
      </c>
      <c r="N495" s="91">
        <f>IF($E495="","",M495*(1-K495)-I495)</f>
        <v/>
      </c>
      <c r="O495" s="92" t="n">
        <v>139609</v>
      </c>
      <c r="P495" s="93">
        <f>IF($E495="","",(L495+F495+M495)*K495)</f>
        <v/>
      </c>
      <c r="Q495" s="91">
        <f>IF($E495="","",L495*K495)</f>
        <v/>
      </c>
      <c r="R495" s="91">
        <f>IF($E495="","",F495*K495)</f>
        <v/>
      </c>
      <c r="S495" s="91">
        <f>IF($E495="","",M495*K495)</f>
        <v/>
      </c>
      <c r="T495" s="63">
        <f>IF(OR($E495="",B495=0),"",L495/B495*10000)</f>
        <v/>
      </c>
      <c r="U495" s="63">
        <f>IF(OR($E495="",C495=0),"",F495/C495*10000)</f>
        <v/>
      </c>
      <c r="V495" s="63">
        <f>IF(OR($E495="",D495=0),"",M495/D495*10000)</f>
        <v/>
      </c>
    </row>
    <row r="496">
      <c r="A496" s="35" t="n">
        <v>46150</v>
      </c>
      <c r="B496" s="90">
        <f>'Daily Data'!B496</f>
        <v/>
      </c>
      <c r="C496" s="90">
        <f>'Daily Data'!D496</f>
        <v/>
      </c>
      <c r="D496" s="90">
        <f>'Daily Data'!C496</f>
        <v/>
      </c>
      <c r="E496" s="90">
        <f>IF('Daily Data'!E496="","",'Daily Data'!E496)</f>
        <v/>
      </c>
      <c r="F496" s="90">
        <f>IF($E496="","",'Daily Data'!F496)</f>
        <v/>
      </c>
      <c r="G496" s="90">
        <f>IF($E496="","",'Daily Data'!G496)</f>
        <v/>
      </c>
      <c r="H496" s="91">
        <f>IF($E496="","",(1-K496)*F496-G496)</f>
        <v/>
      </c>
      <c r="I496" s="90">
        <f>IF($E496="","",'Daily Data'!H496)</f>
        <v/>
      </c>
      <c r="J496" s="91">
        <f>IF($E496="","",E496-H496-I496)</f>
        <v/>
      </c>
      <c r="K496" s="60">
        <f>IF($E496="","",IF(A496&lt;HLP_ChangeDate,HLP_Legacy,HLP_Current))</f>
        <v/>
      </c>
      <c r="L496" s="91">
        <f>IF($E496="","",J496/(1-K496))</f>
        <v/>
      </c>
      <c r="M496" s="90">
        <f>IF($E496="","",'Daily Data'!I496)</f>
        <v/>
      </c>
      <c r="N496" s="91">
        <f>IF($E496="","",M496*(1-K496)-I496)</f>
        <v/>
      </c>
      <c r="O496" s="92" t="n">
        <v>117710</v>
      </c>
      <c r="P496" s="93">
        <f>IF($E496="","",(L496+F496+M496)*K496)</f>
        <v/>
      </c>
      <c r="Q496" s="91">
        <f>IF($E496="","",L496*K496)</f>
        <v/>
      </c>
      <c r="R496" s="91">
        <f>IF($E496="","",F496*K496)</f>
        <v/>
      </c>
      <c r="S496" s="91">
        <f>IF($E496="","",M496*K496)</f>
        <v/>
      </c>
      <c r="T496" s="63">
        <f>IF(OR($E496="",B496=0),"",L496/B496*10000)</f>
        <v/>
      </c>
      <c r="U496" s="63">
        <f>IF(OR($E496="",C496=0),"",F496/C496*10000)</f>
        <v/>
      </c>
      <c r="V496" s="63">
        <f>IF(OR($E496="",D496=0),"",M496/D496*10000)</f>
        <v/>
      </c>
    </row>
    <row r="497">
      <c r="A497" s="35" t="n">
        <v>46151</v>
      </c>
      <c r="B497" s="90">
        <f>'Daily Data'!B497</f>
        <v/>
      </c>
      <c r="C497" s="90">
        <f>'Daily Data'!D497</f>
        <v/>
      </c>
      <c r="D497" s="90">
        <f>'Daily Data'!C497</f>
        <v/>
      </c>
      <c r="E497" s="90">
        <f>IF('Daily Data'!E497="","",'Daily Data'!E497)</f>
        <v/>
      </c>
      <c r="F497" s="90">
        <f>IF($E497="","",'Daily Data'!F497)</f>
        <v/>
      </c>
      <c r="G497" s="90">
        <f>IF($E497="","",'Daily Data'!G497)</f>
        <v/>
      </c>
      <c r="H497" s="91">
        <f>IF($E497="","",(1-K497)*F497-G497)</f>
        <v/>
      </c>
      <c r="I497" s="90">
        <f>IF($E497="","",'Daily Data'!H497)</f>
        <v/>
      </c>
      <c r="J497" s="91">
        <f>IF($E497="","",E497-H497-I497)</f>
        <v/>
      </c>
      <c r="K497" s="60">
        <f>IF($E497="","",IF(A497&lt;HLP_ChangeDate,HLP_Legacy,HLP_Current))</f>
        <v/>
      </c>
      <c r="L497" s="91">
        <f>IF($E497="","",J497/(1-K497))</f>
        <v/>
      </c>
      <c r="M497" s="90">
        <f>IF($E497="","",'Daily Data'!I497)</f>
        <v/>
      </c>
      <c r="N497" s="91">
        <f>IF($E497="","",M497*(1-K497)-I497)</f>
        <v/>
      </c>
      <c r="O497" s="92" t="n">
        <v>81534</v>
      </c>
      <c r="P497" s="93">
        <f>IF($E497="","",(L497+F497+M497)*K497)</f>
        <v/>
      </c>
      <c r="Q497" s="91">
        <f>IF($E497="","",L497*K497)</f>
        <v/>
      </c>
      <c r="R497" s="91">
        <f>IF($E497="","",F497*K497)</f>
        <v/>
      </c>
      <c r="S497" s="91">
        <f>IF($E497="","",M497*K497)</f>
        <v/>
      </c>
      <c r="T497" s="63">
        <f>IF(OR($E497="",B497=0),"",L497/B497*10000)</f>
        <v/>
      </c>
      <c r="U497" s="63">
        <f>IF(OR($E497="",C497=0),"",F497/C497*10000)</f>
        <v/>
      </c>
      <c r="V497" s="63">
        <f>IF(OR($E497="",D497=0),"",M497/D497*10000)</f>
        <v/>
      </c>
    </row>
    <row r="498">
      <c r="A498" s="35" t="n">
        <v>46152</v>
      </c>
      <c r="B498" s="90">
        <f>'Daily Data'!B498</f>
        <v/>
      </c>
      <c r="C498" s="90">
        <f>'Daily Data'!D498</f>
        <v/>
      </c>
      <c r="D498" s="90">
        <f>'Daily Data'!C498</f>
        <v/>
      </c>
      <c r="E498" s="90">
        <f>IF('Daily Data'!E498="","",'Daily Data'!E498)</f>
        <v/>
      </c>
      <c r="F498" s="90">
        <f>IF($E498="","",'Daily Data'!F498)</f>
        <v/>
      </c>
      <c r="G498" s="90">
        <f>IF($E498="","",'Daily Data'!G498)</f>
        <v/>
      </c>
      <c r="H498" s="91">
        <f>IF($E498="","",(1-K498)*F498-G498)</f>
        <v/>
      </c>
      <c r="I498" s="90">
        <f>IF($E498="","",'Daily Data'!H498)</f>
        <v/>
      </c>
      <c r="J498" s="91">
        <f>IF($E498="","",E498-H498-I498)</f>
        <v/>
      </c>
      <c r="K498" s="60">
        <f>IF($E498="","",IF(A498&lt;HLP_ChangeDate,HLP_Legacy,HLP_Current))</f>
        <v/>
      </c>
      <c r="L498" s="91">
        <f>IF($E498="","",J498/(1-K498))</f>
        <v/>
      </c>
      <c r="M498" s="90">
        <f>IF($E498="","",'Daily Data'!I498)</f>
        <v/>
      </c>
      <c r="N498" s="91">
        <f>IF($E498="","",M498*(1-K498)-I498)</f>
        <v/>
      </c>
      <c r="O498" s="92" t="n">
        <v>100471</v>
      </c>
      <c r="P498" s="93">
        <f>IF($E498="","",(L498+F498+M498)*K498)</f>
        <v/>
      </c>
      <c r="Q498" s="91">
        <f>IF($E498="","",L498*K498)</f>
        <v/>
      </c>
      <c r="R498" s="91">
        <f>IF($E498="","",F498*K498)</f>
        <v/>
      </c>
      <c r="S498" s="91">
        <f>IF($E498="","",M498*K498)</f>
        <v/>
      </c>
      <c r="T498" s="63">
        <f>IF(OR($E498="",B498=0),"",L498/B498*10000)</f>
        <v/>
      </c>
      <c r="U498" s="63">
        <f>IF(OR($E498="",C498=0),"",F498/C498*10000)</f>
        <v/>
      </c>
      <c r="V498" s="63">
        <f>IF(OR($E498="",D498=0),"",M498/D498*10000)</f>
        <v/>
      </c>
    </row>
    <row r="499">
      <c r="A499" s="35" t="n">
        <v>46153</v>
      </c>
      <c r="B499" s="90">
        <f>'Daily Data'!B499</f>
        <v/>
      </c>
      <c r="C499" s="90">
        <f>'Daily Data'!D499</f>
        <v/>
      </c>
      <c r="D499" s="90">
        <f>'Daily Data'!C499</f>
        <v/>
      </c>
      <c r="E499" s="90">
        <f>IF('Daily Data'!E499="","",'Daily Data'!E499)</f>
        <v/>
      </c>
      <c r="F499" s="90">
        <f>IF($E499="","",'Daily Data'!F499)</f>
        <v/>
      </c>
      <c r="G499" s="90">
        <f>IF($E499="","",'Daily Data'!G499)</f>
        <v/>
      </c>
      <c r="H499" s="91">
        <f>IF($E499="","",(1-K499)*F499-G499)</f>
        <v/>
      </c>
      <c r="I499" s="90">
        <f>IF($E499="","",'Daily Data'!H499)</f>
        <v/>
      </c>
      <c r="J499" s="91">
        <f>IF($E499="","",E499-H499-I499)</f>
        <v/>
      </c>
      <c r="K499" s="60">
        <f>IF($E499="","",IF(A499&lt;HLP_ChangeDate,HLP_Legacy,HLP_Current))</f>
        <v/>
      </c>
      <c r="L499" s="91">
        <f>IF($E499="","",J499/(1-K499))</f>
        <v/>
      </c>
      <c r="M499" s="90">
        <f>IF($E499="","",'Daily Data'!I499)</f>
        <v/>
      </c>
      <c r="N499" s="91">
        <f>IF($E499="","",M499*(1-K499)-I499)</f>
        <v/>
      </c>
      <c r="O499" s="92" t="n">
        <v>127215</v>
      </c>
      <c r="P499" s="93">
        <f>IF($E499="","",(L499+F499+M499)*K499)</f>
        <v/>
      </c>
      <c r="Q499" s="91">
        <f>IF($E499="","",L499*K499)</f>
        <v/>
      </c>
      <c r="R499" s="91">
        <f>IF($E499="","",F499*K499)</f>
        <v/>
      </c>
      <c r="S499" s="91">
        <f>IF($E499="","",M499*K499)</f>
        <v/>
      </c>
      <c r="T499" s="63">
        <f>IF(OR($E499="",B499=0),"",L499/B499*10000)</f>
        <v/>
      </c>
      <c r="U499" s="63">
        <f>IF(OR($E499="",C499=0),"",F499/C499*10000)</f>
        <v/>
      </c>
      <c r="V499" s="63">
        <f>IF(OR($E499="",D499=0),"",M499/D499*10000)</f>
        <v/>
      </c>
    </row>
    <row r="500">
      <c r="A500" s="35" t="n">
        <v>46154</v>
      </c>
      <c r="B500" s="90">
        <f>'Daily Data'!B500</f>
        <v/>
      </c>
      <c r="C500" s="90">
        <f>'Daily Data'!D500</f>
        <v/>
      </c>
      <c r="D500" s="90">
        <f>'Daily Data'!C500</f>
        <v/>
      </c>
      <c r="E500" s="90">
        <f>IF('Daily Data'!E500="","",'Daily Data'!E500)</f>
        <v/>
      </c>
      <c r="F500" s="90">
        <f>IF($E500="","",'Daily Data'!F500)</f>
        <v/>
      </c>
      <c r="G500" s="90">
        <f>IF($E500="","",'Daily Data'!G500)</f>
        <v/>
      </c>
      <c r="H500" s="91">
        <f>IF($E500="","",(1-K500)*F500-G500)</f>
        <v/>
      </c>
      <c r="I500" s="90">
        <f>IF($E500="","",'Daily Data'!H500)</f>
        <v/>
      </c>
      <c r="J500" s="91">
        <f>IF($E500="","",E500-H500-I500)</f>
        <v/>
      </c>
      <c r="K500" s="60">
        <f>IF($E500="","",IF(A500&lt;HLP_ChangeDate,HLP_Legacy,HLP_Current))</f>
        <v/>
      </c>
      <c r="L500" s="91">
        <f>IF($E500="","",J500/(1-K500))</f>
        <v/>
      </c>
      <c r="M500" s="90">
        <f>IF($E500="","",'Daily Data'!I500)</f>
        <v/>
      </c>
      <c r="N500" s="91">
        <f>IF($E500="","",M500*(1-K500)-I500)</f>
        <v/>
      </c>
      <c r="O500" s="92" t="n">
        <v>124366</v>
      </c>
      <c r="P500" s="93">
        <f>IF($E500="","",(L500+F500+M500)*K500)</f>
        <v/>
      </c>
      <c r="Q500" s="91">
        <f>IF($E500="","",L500*K500)</f>
        <v/>
      </c>
      <c r="R500" s="91">
        <f>IF($E500="","",F500*K500)</f>
        <v/>
      </c>
      <c r="S500" s="91">
        <f>IF($E500="","",M500*K500)</f>
        <v/>
      </c>
      <c r="T500" s="63">
        <f>IF(OR($E500="",B500=0),"",L500/B500*10000)</f>
        <v/>
      </c>
      <c r="U500" s="63">
        <f>IF(OR($E500="",C500=0),"",F500/C500*10000)</f>
        <v/>
      </c>
      <c r="V500" s="63">
        <f>IF(OR($E500="",D500=0),"",M500/D500*10000)</f>
        <v/>
      </c>
    </row>
    <row r="501">
      <c r="A501" s="35" t="n">
        <v>46155</v>
      </c>
      <c r="B501" s="90">
        <f>'Daily Data'!B501</f>
        <v/>
      </c>
      <c r="C501" s="90">
        <f>'Daily Data'!D501</f>
        <v/>
      </c>
      <c r="D501" s="90">
        <f>'Daily Data'!C501</f>
        <v/>
      </c>
      <c r="E501" s="90">
        <f>IF('Daily Data'!E501="","",'Daily Data'!E501)</f>
        <v/>
      </c>
      <c r="F501" s="90">
        <f>IF($E501="","",'Daily Data'!F501)</f>
        <v/>
      </c>
      <c r="G501" s="90">
        <f>IF($E501="","",'Daily Data'!G501)</f>
        <v/>
      </c>
      <c r="H501" s="91">
        <f>IF($E501="","",(1-K501)*F501-G501)</f>
        <v/>
      </c>
      <c r="I501" s="90">
        <f>IF($E501="","",'Daily Data'!H501)</f>
        <v/>
      </c>
      <c r="J501" s="91">
        <f>IF($E501="","",E501-H501-I501)</f>
        <v/>
      </c>
      <c r="K501" s="60">
        <f>IF($E501="","",IF(A501&lt;HLP_ChangeDate,HLP_Legacy,HLP_Current))</f>
        <v/>
      </c>
      <c r="L501" s="91">
        <f>IF($E501="","",J501/(1-K501))</f>
        <v/>
      </c>
      <c r="M501" s="90">
        <f>IF($E501="","",'Daily Data'!I501)</f>
        <v/>
      </c>
      <c r="N501" s="91">
        <f>IF($E501="","",M501*(1-K501)-I501)</f>
        <v/>
      </c>
      <c r="O501" s="92" t="n">
        <v>129391</v>
      </c>
      <c r="P501" s="93">
        <f>IF($E501="","",(L501+F501+M501)*K501)</f>
        <v/>
      </c>
      <c r="Q501" s="91">
        <f>IF($E501="","",L501*K501)</f>
        <v/>
      </c>
      <c r="R501" s="91">
        <f>IF($E501="","",F501*K501)</f>
        <v/>
      </c>
      <c r="S501" s="91">
        <f>IF($E501="","",M501*K501)</f>
        <v/>
      </c>
      <c r="T501" s="63">
        <f>IF(OR($E501="",B501=0),"",L501/B501*10000)</f>
        <v/>
      </c>
      <c r="U501" s="63">
        <f>IF(OR($E501="",C501=0),"",F501/C501*10000)</f>
        <v/>
      </c>
      <c r="V501" s="63">
        <f>IF(OR($E501="",D501=0),"",M501/D501*10000)</f>
        <v/>
      </c>
    </row>
    <row r="502">
      <c r="A502" s="35" t="n">
        <v>46156</v>
      </c>
      <c r="B502" s="90">
        <f>'Daily Data'!B502</f>
        <v/>
      </c>
      <c r="C502" s="90">
        <f>'Daily Data'!D502</f>
        <v/>
      </c>
      <c r="D502" s="90">
        <f>'Daily Data'!C502</f>
        <v/>
      </c>
      <c r="E502" s="90">
        <f>IF('Daily Data'!E502="","",'Daily Data'!E502)</f>
        <v/>
      </c>
      <c r="F502" s="90">
        <f>IF($E502="","",'Daily Data'!F502)</f>
        <v/>
      </c>
      <c r="G502" s="90">
        <f>IF($E502="","",'Daily Data'!G502)</f>
        <v/>
      </c>
      <c r="H502" s="91">
        <f>IF($E502="","",(1-K502)*F502-G502)</f>
        <v/>
      </c>
      <c r="I502" s="90">
        <f>IF($E502="","",'Daily Data'!H502)</f>
        <v/>
      </c>
      <c r="J502" s="91">
        <f>IF($E502="","",E502-H502-I502)</f>
        <v/>
      </c>
      <c r="K502" s="60">
        <f>IF($E502="","",IF(A502&lt;HLP_ChangeDate,HLP_Legacy,HLP_Current))</f>
        <v/>
      </c>
      <c r="L502" s="91">
        <f>IF($E502="","",J502/(1-K502))</f>
        <v/>
      </c>
      <c r="M502" s="90">
        <f>IF($E502="","",'Daily Data'!I502)</f>
        <v/>
      </c>
      <c r="N502" s="91">
        <f>IF($E502="","",M502*(1-K502)-I502)</f>
        <v/>
      </c>
      <c r="O502" s="92" t="n">
        <v>153990</v>
      </c>
      <c r="P502" s="93">
        <f>IF($E502="","",(L502+F502+M502)*K502)</f>
        <v/>
      </c>
      <c r="Q502" s="91">
        <f>IF($E502="","",L502*K502)</f>
        <v/>
      </c>
      <c r="R502" s="91">
        <f>IF($E502="","",F502*K502)</f>
        <v/>
      </c>
      <c r="S502" s="91">
        <f>IF($E502="","",M502*K502)</f>
        <v/>
      </c>
      <c r="T502" s="63">
        <f>IF(OR($E502="",B502=0),"",L502/B502*10000)</f>
        <v/>
      </c>
      <c r="U502" s="63">
        <f>IF(OR($E502="",C502=0),"",F502/C502*10000)</f>
        <v/>
      </c>
      <c r="V502" s="63">
        <f>IF(OR($E502="",D502=0),"",M502/D502*10000)</f>
        <v/>
      </c>
    </row>
    <row r="503">
      <c r="A503" s="35" t="n">
        <v>46157</v>
      </c>
      <c r="B503" s="90">
        <f>'Daily Data'!B503</f>
        <v/>
      </c>
      <c r="C503" s="90">
        <f>'Daily Data'!D503</f>
        <v/>
      </c>
      <c r="D503" s="90">
        <f>'Daily Data'!C503</f>
        <v/>
      </c>
      <c r="E503" s="90">
        <f>IF('Daily Data'!E503="","",'Daily Data'!E503)</f>
        <v/>
      </c>
      <c r="F503" s="90">
        <f>IF($E503="","",'Daily Data'!F503)</f>
        <v/>
      </c>
      <c r="G503" s="90">
        <f>IF($E503="","",'Daily Data'!G503)</f>
        <v/>
      </c>
      <c r="H503" s="91">
        <f>IF($E503="","",(1-K503)*F503-G503)</f>
        <v/>
      </c>
      <c r="I503" s="90">
        <f>IF($E503="","",'Daily Data'!H503)</f>
        <v/>
      </c>
      <c r="J503" s="91">
        <f>IF($E503="","",E503-H503-I503)</f>
        <v/>
      </c>
      <c r="K503" s="60">
        <f>IF($E503="","",IF(A503&lt;HLP_ChangeDate,HLP_Legacy,HLP_Current))</f>
        <v/>
      </c>
      <c r="L503" s="91">
        <f>IF($E503="","",J503/(1-K503))</f>
        <v/>
      </c>
      <c r="M503" s="90">
        <f>IF($E503="","",'Daily Data'!I503)</f>
        <v/>
      </c>
      <c r="N503" s="91">
        <f>IF($E503="","",M503*(1-K503)-I503)</f>
        <v/>
      </c>
      <c r="O503" s="92" t="n">
        <v>137945</v>
      </c>
      <c r="P503" s="93">
        <f>IF($E503="","",(L503+F503+M503)*K503)</f>
        <v/>
      </c>
      <c r="Q503" s="91">
        <f>IF($E503="","",L503*K503)</f>
        <v/>
      </c>
      <c r="R503" s="91">
        <f>IF($E503="","",F503*K503)</f>
        <v/>
      </c>
      <c r="S503" s="91">
        <f>IF($E503="","",M503*K503)</f>
        <v/>
      </c>
      <c r="T503" s="63">
        <f>IF(OR($E503="",B503=0),"",L503/B503*10000)</f>
        <v/>
      </c>
      <c r="U503" s="63">
        <f>IF(OR($E503="",C503=0),"",F503/C503*10000)</f>
        <v/>
      </c>
      <c r="V503" s="63">
        <f>IF(OR($E503="",D503=0),"",M503/D503*10000)</f>
        <v/>
      </c>
    </row>
    <row r="504">
      <c r="A504" s="35" t="n">
        <v>46158</v>
      </c>
      <c r="B504" s="90">
        <f>'Daily Data'!B504</f>
        <v/>
      </c>
      <c r="C504" s="90">
        <f>'Daily Data'!D504</f>
        <v/>
      </c>
      <c r="D504" s="90">
        <f>'Daily Data'!C504</f>
        <v/>
      </c>
      <c r="E504" s="90">
        <f>IF('Daily Data'!E504="","",'Daily Data'!E504)</f>
        <v/>
      </c>
      <c r="F504" s="90">
        <f>IF($E504="","",'Daily Data'!F504)</f>
        <v/>
      </c>
      <c r="G504" s="90">
        <f>IF($E504="","",'Daily Data'!G504)</f>
        <v/>
      </c>
      <c r="H504" s="91">
        <f>IF($E504="","",(1-K504)*F504-G504)</f>
        <v/>
      </c>
      <c r="I504" s="90">
        <f>IF($E504="","",'Daily Data'!H504)</f>
        <v/>
      </c>
      <c r="J504" s="91">
        <f>IF($E504="","",E504-H504-I504)</f>
        <v/>
      </c>
      <c r="K504" s="60">
        <f>IF($E504="","",IF(A504&lt;HLP_ChangeDate,HLP_Legacy,HLP_Current))</f>
        <v/>
      </c>
      <c r="L504" s="91">
        <f>IF($E504="","",J504/(1-K504))</f>
        <v/>
      </c>
      <c r="M504" s="90">
        <f>IF($E504="","",'Daily Data'!I504)</f>
        <v/>
      </c>
      <c r="N504" s="91">
        <f>IF($E504="","",M504*(1-K504)-I504)</f>
        <v/>
      </c>
      <c r="O504" s="92" t="n">
        <v>76160</v>
      </c>
      <c r="P504" s="93">
        <f>IF($E504="","",(L504+F504+M504)*K504)</f>
        <v/>
      </c>
      <c r="Q504" s="91">
        <f>IF($E504="","",L504*K504)</f>
        <v/>
      </c>
      <c r="R504" s="91">
        <f>IF($E504="","",F504*K504)</f>
        <v/>
      </c>
      <c r="S504" s="91">
        <f>IF($E504="","",M504*K504)</f>
        <v/>
      </c>
      <c r="T504" s="63">
        <f>IF(OR($E504="",B504=0),"",L504/B504*10000)</f>
        <v/>
      </c>
      <c r="U504" s="63">
        <f>IF(OR($E504="",C504=0),"",F504/C504*10000)</f>
        <v/>
      </c>
      <c r="V504" s="63">
        <f>IF(OR($E504="",D504=0),"",M504/D504*10000)</f>
        <v/>
      </c>
    </row>
    <row r="505">
      <c r="A505" s="35" t="n">
        <v>46159</v>
      </c>
      <c r="B505" s="90">
        <f>'Daily Data'!B505</f>
        <v/>
      </c>
      <c r="C505" s="90">
        <f>'Daily Data'!D505</f>
        <v/>
      </c>
      <c r="D505" s="90">
        <f>'Daily Data'!C505</f>
        <v/>
      </c>
      <c r="E505" s="90">
        <f>IF('Daily Data'!E505="","",'Daily Data'!E505)</f>
        <v/>
      </c>
      <c r="F505" s="90">
        <f>IF($E505="","",'Daily Data'!F505)</f>
        <v/>
      </c>
      <c r="G505" s="90">
        <f>IF($E505="","",'Daily Data'!G505)</f>
        <v/>
      </c>
      <c r="H505" s="91">
        <f>IF($E505="","",(1-K505)*F505-G505)</f>
        <v/>
      </c>
      <c r="I505" s="90">
        <f>IF($E505="","",'Daily Data'!H505)</f>
        <v/>
      </c>
      <c r="J505" s="91">
        <f>IF($E505="","",E505-H505-I505)</f>
        <v/>
      </c>
      <c r="K505" s="60">
        <f>IF($E505="","",IF(A505&lt;HLP_ChangeDate,HLP_Legacy,HLP_Current))</f>
        <v/>
      </c>
      <c r="L505" s="91">
        <f>IF($E505="","",J505/(1-K505))</f>
        <v/>
      </c>
      <c r="M505" s="90">
        <f>IF($E505="","",'Daily Data'!I505)</f>
        <v/>
      </c>
      <c r="N505" s="91">
        <f>IF($E505="","",M505*(1-K505)-I505)</f>
        <v/>
      </c>
      <c r="O505" s="92" t="n">
        <v>80352</v>
      </c>
      <c r="P505" s="93">
        <f>IF($E505="","",(L505+F505+M505)*K505)</f>
        <v/>
      </c>
      <c r="Q505" s="91">
        <f>IF($E505="","",L505*K505)</f>
        <v/>
      </c>
      <c r="R505" s="91">
        <f>IF($E505="","",F505*K505)</f>
        <v/>
      </c>
      <c r="S505" s="91">
        <f>IF($E505="","",M505*K505)</f>
        <v/>
      </c>
      <c r="T505" s="63">
        <f>IF(OR($E505="",B505=0),"",L505/B505*10000)</f>
        <v/>
      </c>
      <c r="U505" s="63">
        <f>IF(OR($E505="",C505=0),"",F505/C505*10000)</f>
        <v/>
      </c>
      <c r="V505" s="63">
        <f>IF(OR($E505="",D505=0),"",M505/D505*10000)</f>
        <v/>
      </c>
    </row>
    <row r="506">
      <c r="A506" s="35" t="n">
        <v>46160</v>
      </c>
      <c r="B506" s="90">
        <f>'Daily Data'!B506</f>
        <v/>
      </c>
      <c r="C506" s="90">
        <f>'Daily Data'!D506</f>
        <v/>
      </c>
      <c r="D506" s="90">
        <f>'Daily Data'!C506</f>
        <v/>
      </c>
      <c r="E506" s="90">
        <f>IF('Daily Data'!E506="","",'Daily Data'!E506)</f>
        <v/>
      </c>
      <c r="F506" s="90">
        <f>IF($E506="","",'Daily Data'!F506)</f>
        <v/>
      </c>
      <c r="G506" s="90">
        <f>IF($E506="","",'Daily Data'!G506)</f>
        <v/>
      </c>
      <c r="H506" s="91">
        <f>IF($E506="","",(1-K506)*F506-G506)</f>
        <v/>
      </c>
      <c r="I506" s="90">
        <f>IF($E506="","",'Daily Data'!H506)</f>
        <v/>
      </c>
      <c r="J506" s="91">
        <f>IF($E506="","",E506-H506-I506)</f>
        <v/>
      </c>
      <c r="K506" s="60">
        <f>IF($E506="","",IF(A506&lt;HLP_ChangeDate,HLP_Legacy,HLP_Current))</f>
        <v/>
      </c>
      <c r="L506" s="91">
        <f>IF($E506="","",J506/(1-K506))</f>
        <v/>
      </c>
      <c r="M506" s="90">
        <f>IF($E506="","",'Daily Data'!I506)</f>
        <v/>
      </c>
      <c r="N506" s="91">
        <f>IF($E506="","",M506*(1-K506)-I506)</f>
        <v/>
      </c>
      <c r="O506" s="92" t="n">
        <v>145372</v>
      </c>
      <c r="P506" s="93">
        <f>IF($E506="","",(L506+F506+M506)*K506)</f>
        <v/>
      </c>
      <c r="Q506" s="91">
        <f>IF($E506="","",L506*K506)</f>
        <v/>
      </c>
      <c r="R506" s="91">
        <f>IF($E506="","",F506*K506)</f>
        <v/>
      </c>
      <c r="S506" s="91">
        <f>IF($E506="","",M506*K506)</f>
        <v/>
      </c>
      <c r="T506" s="63">
        <f>IF(OR($E506="",B506=0),"",L506/B506*10000)</f>
        <v/>
      </c>
      <c r="U506" s="63">
        <f>IF(OR($E506="",C506=0),"",F506/C506*10000)</f>
        <v/>
      </c>
      <c r="V506" s="63">
        <f>IF(OR($E506="",D506=0),"",M506/D506*10000)</f>
        <v/>
      </c>
    </row>
    <row r="507">
      <c r="A507" s="35" t="n">
        <v>46161</v>
      </c>
      <c r="B507" s="90">
        <f>'Daily Data'!B507</f>
        <v/>
      </c>
      <c r="C507" s="90">
        <f>'Daily Data'!D507</f>
        <v/>
      </c>
      <c r="D507" s="90">
        <f>'Daily Data'!C507</f>
        <v/>
      </c>
      <c r="E507" s="90">
        <f>IF('Daily Data'!E507="","",'Daily Data'!E507)</f>
        <v/>
      </c>
      <c r="F507" s="90">
        <f>IF($E507="","",'Daily Data'!F507)</f>
        <v/>
      </c>
      <c r="G507" s="90">
        <f>IF($E507="","",'Daily Data'!G507)</f>
        <v/>
      </c>
      <c r="H507" s="91">
        <f>IF($E507="","",(1-K507)*F507-G507)</f>
        <v/>
      </c>
      <c r="I507" s="90">
        <f>IF($E507="","",'Daily Data'!H507)</f>
        <v/>
      </c>
      <c r="J507" s="91">
        <f>IF($E507="","",E507-H507-I507)</f>
        <v/>
      </c>
      <c r="K507" s="60">
        <f>IF($E507="","",IF(A507&lt;HLP_ChangeDate,HLP_Legacy,HLP_Current))</f>
        <v/>
      </c>
      <c r="L507" s="91">
        <f>IF($E507="","",J507/(1-K507))</f>
        <v/>
      </c>
      <c r="M507" s="90">
        <f>IF($E507="","",'Daily Data'!I507)</f>
        <v/>
      </c>
      <c r="N507" s="91">
        <f>IF($E507="","",M507*(1-K507)-I507)</f>
        <v/>
      </c>
      <c r="O507" s="92" t="n">
        <v>82811</v>
      </c>
      <c r="P507" s="93">
        <f>IF($E507="","",(L507+F507+M507)*K507)</f>
        <v/>
      </c>
      <c r="Q507" s="91">
        <f>IF($E507="","",L507*K507)</f>
        <v/>
      </c>
      <c r="R507" s="91">
        <f>IF($E507="","",F507*K507)</f>
        <v/>
      </c>
      <c r="S507" s="91">
        <f>IF($E507="","",M507*K507)</f>
        <v/>
      </c>
      <c r="T507" s="63">
        <f>IF(OR($E507="",B507=0),"",L507/B507*10000)</f>
        <v/>
      </c>
      <c r="U507" s="63">
        <f>IF(OR($E507="",C507=0),"",F507/C507*10000)</f>
        <v/>
      </c>
      <c r="V507" s="63">
        <f>IF(OR($E507="",D507=0),"",M507/D507*10000)</f>
        <v/>
      </c>
    </row>
    <row r="508">
      <c r="A508" s="35" t="n">
        <v>46162</v>
      </c>
      <c r="B508" s="90">
        <f>'Daily Data'!B508</f>
        <v/>
      </c>
      <c r="C508" s="90">
        <f>'Daily Data'!D508</f>
        <v/>
      </c>
      <c r="D508" s="90">
        <f>'Daily Data'!C508</f>
        <v/>
      </c>
      <c r="E508" s="90">
        <f>IF('Daily Data'!E508="","",'Daily Data'!E508)</f>
        <v/>
      </c>
      <c r="F508" s="90">
        <f>IF($E508="","",'Daily Data'!F508)</f>
        <v/>
      </c>
      <c r="G508" s="90">
        <f>IF($E508="","",'Daily Data'!G508)</f>
        <v/>
      </c>
      <c r="H508" s="91">
        <f>IF($E508="","",(1-K508)*F508-G508)</f>
        <v/>
      </c>
      <c r="I508" s="90">
        <f>IF($E508="","",'Daily Data'!H508)</f>
        <v/>
      </c>
      <c r="J508" s="91">
        <f>IF($E508="","",E508-H508-I508)</f>
        <v/>
      </c>
      <c r="K508" s="60">
        <f>IF($E508="","",IF(A508&lt;HLP_ChangeDate,HLP_Legacy,HLP_Current))</f>
        <v/>
      </c>
      <c r="L508" s="91">
        <f>IF($E508="","",J508/(1-K508))</f>
        <v/>
      </c>
      <c r="M508" s="90">
        <f>IF($E508="","",'Daily Data'!I508)</f>
        <v/>
      </c>
      <c r="N508" s="91">
        <f>IF($E508="","",M508*(1-K508)-I508)</f>
        <v/>
      </c>
      <c r="O508" s="92" t="n">
        <v>89113</v>
      </c>
      <c r="P508" s="93">
        <f>IF($E508="","",(L508+F508+M508)*K508)</f>
        <v/>
      </c>
      <c r="Q508" s="91">
        <f>IF($E508="","",L508*K508)</f>
        <v/>
      </c>
      <c r="R508" s="91">
        <f>IF($E508="","",F508*K508)</f>
        <v/>
      </c>
      <c r="S508" s="91">
        <f>IF($E508="","",M508*K508)</f>
        <v/>
      </c>
      <c r="T508" s="63">
        <f>IF(OR($E508="",B508=0),"",L508/B508*10000)</f>
        <v/>
      </c>
      <c r="U508" s="63">
        <f>IF(OR($E508="",C508=0),"",F508/C508*10000)</f>
        <v/>
      </c>
      <c r="V508" s="63">
        <f>IF(OR($E508="",D508=0),"",M508/D508*10000)</f>
        <v/>
      </c>
    </row>
  </sheetData>
  <autoFilter ref="A3:V508"/>
  <mergeCells count="5">
    <mergeCell ref="T2:V2"/>
    <mergeCell ref="K2:S2"/>
    <mergeCell ref="E2:J2"/>
    <mergeCell ref="A1:V1"/>
    <mergeCell ref="B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</cols>
  <sheetData>
    <row r="1" ht="44" customHeight="1">
      <c r="A1" s="25" t="inlineStr">
        <is>
          <t>OTS BREAKDOWN — historical Outstanding Token Supply, daily 2025-01-01 → 2026-05-20.  Cols B–P = the schedule itself; cols Q–Y = formula verification + burn decomposition (audit + projection). For PROJECTION: project Buyback (D) from HC Rev / HYPE price, project Daily Emission (E), project the three burn streams (W/X/Y); then S,Q,U give projected AF, FE, CumBurns, which feed OTS (O).</t>
        </is>
      </c>
    </row>
    <row r="2">
      <c r="B2" s="26" t="inlineStr">
        <is>
          <t>SUPPLY FLOWS</t>
        </is>
      </c>
      <c r="I2" s="26" t="inlineStr">
        <is>
          <t>OUTSTANDING TOKEN SUPPLY  (OTS = 1bn HYPE − the five buckets)</t>
        </is>
      </c>
      <c r="Q2" s="29" t="inlineStr">
        <is>
          <t>FORMULA VERIFICATION  (running balances; should ≈ 0)</t>
        </is>
      </c>
      <c r="W2" s="64" t="inlineStr">
        <is>
          <t>BURN DECOMPOSITION  (Daily Burn = EVM + Auction + AF)</t>
        </is>
      </c>
      <c r="Z2" s="27" t="inlineStr">
        <is>
          <t>STAKING  (ASXN actuals + implied APR)</t>
        </is>
      </c>
      <c r="AE2" s="26" t="inlineStr">
        <is>
          <t>OTS COMPOSITION  (OTS = Circulating + Core Contributors)</t>
        </is>
      </c>
    </row>
    <row r="3" ht="46" customHeight="1">
      <c r="A3" s="33" t="inlineStr">
        <is>
          <t>Date</t>
        </is>
      </c>
      <c r="B3" s="33" t="inlineStr">
        <is>
          <t>Revenue → Buyback ($)</t>
        </is>
      </c>
      <c r="C3" s="33" t="inlineStr">
        <is>
          <t>HYPE Price ($)</t>
        </is>
      </c>
      <c r="D3" s="33" t="inlineStr">
        <is>
          <t>HYPE Bought Back (HYPE)</t>
        </is>
      </c>
      <c r="E3" s="33" t="inlineStr">
        <is>
          <t>Emissions / Staking Rewards (HYPE)</t>
        </is>
      </c>
      <c r="F3" s="33" t="inlineStr">
        <is>
          <t>Fees Burned (HYPE)</t>
        </is>
      </c>
      <c r="G3" s="33" t="inlineStr">
        <is>
          <t>Team Tokens Unlocked (HYPE)</t>
        </is>
      </c>
      <c r="H3" s="33" t="inlineStr">
        <is>
          <t>Cumulative Team Vested (HYPE)</t>
        </is>
      </c>
      <c r="I3" s="33" t="inlineStr">
        <is>
          <t>Initial Supply (HYPE)</t>
        </is>
      </c>
      <c r="J3" s="33" t="inlineStr">
        <is>
          <t>(−) Future Emissions Reserve (HYPE)</t>
        </is>
      </c>
      <c r="K3" s="33" t="inlineStr">
        <is>
          <t>(−) Hyper Foundation (HYPE)</t>
        </is>
      </c>
      <c r="L3" s="33" t="inlineStr">
        <is>
          <t>(−) Assistance Fund (HYPE)</t>
        </is>
      </c>
      <c r="M3" s="33" t="inlineStr">
        <is>
          <t>(−) Community Grants (HYPE)</t>
        </is>
      </c>
      <c r="N3" s="33" t="inlineStr">
        <is>
          <t>(−) Cumulative Fees Burnt (HYPE)</t>
        </is>
      </c>
      <c r="O3" s="33">
        <f> Outstanding Token Supply (HYPE)</f>
        <v/>
      </c>
      <c r="P3" s="33" t="inlineStr">
        <is>
          <t>OTS Value ($)</t>
        </is>
      </c>
      <c r="Q3" s="33" t="inlineStr">
        <is>
          <t>FE — Formula (running)</t>
        </is>
      </c>
      <c r="R3" s="33" t="inlineStr">
        <is>
          <t>FE — Match (Data−Formula)</t>
        </is>
      </c>
      <c r="S3" s="33" t="inlineStr">
        <is>
          <t>AF — Pure Buyback Formula</t>
        </is>
      </c>
      <c r="T3" s="33" t="inlineStr">
        <is>
          <t>AF — Match (Data−Formula)</t>
        </is>
      </c>
      <c r="U3" s="33" t="inlineStr">
        <is>
          <t>CumBurns — Running Sum</t>
        </is>
      </c>
      <c r="V3" s="33" t="inlineStr">
        <is>
          <t>CumBurns — Match (Data−Formula)</t>
        </is>
      </c>
      <c r="W3" s="33" t="inlineStr">
        <is>
          <t>Burn: EVM gas (HYPE)</t>
        </is>
      </c>
      <c r="X3" s="33" t="inlineStr">
        <is>
          <t>Burn: HIP-1 auction (HYPE)</t>
        </is>
      </c>
      <c r="Y3" s="33" t="inlineStr">
        <is>
          <t>Burn: AF / other (HYPE) — residual</t>
        </is>
      </c>
      <c r="Z3" s="33" t="inlineStr">
        <is>
          <t>Active Stake (M HYPE)</t>
        </is>
      </c>
      <c r="AA3" s="33" t="inlineStr">
        <is>
          <t>Inactive Stake (M HYPE)</t>
        </is>
      </c>
      <c r="AB3" s="33" t="inlineStr">
        <is>
          <t>Total Stake (M HYPE)</t>
        </is>
      </c>
      <c r="AC3" s="33" t="inlineStr">
        <is>
          <t>Implied Staking APR</t>
        </is>
      </c>
      <c r="AD3" s="33" t="inlineStr">
        <is>
          <t>% of OTS Staked</t>
        </is>
      </c>
      <c r="AE3" s="33" t="inlineStr">
        <is>
          <t>Team Locked Remaining (M HYPE)</t>
        </is>
      </c>
      <c r="AF3" s="33" t="inlineStr">
        <is>
          <t>Circulating Supply (M HYPE)</t>
        </is>
      </c>
    </row>
    <row r="4">
      <c r="A4" s="35" t="n">
        <v>45658</v>
      </c>
      <c r="B4" s="90">
        <f>IF('Daily Data'!E4="","",'Daily Data'!E4)</f>
        <v/>
      </c>
      <c r="C4" s="65" t="n">
        <v>24</v>
      </c>
      <c r="D4" s="94" t="n">
        <v>48753.46999999881</v>
      </c>
      <c r="E4" s="94" t="n">
        <v>24499.3537</v>
      </c>
      <c r="F4" s="94" t="n">
        <v>941.1022</v>
      </c>
      <c r="G4" s="94" t="n"/>
      <c r="H4" s="95">
        <f>SUM($G$4:G4)</f>
        <v/>
      </c>
      <c r="I4" s="94" t="n">
        <v>1000000000</v>
      </c>
      <c r="J4" s="94" t="n">
        <v>427980282.4381</v>
      </c>
      <c r="K4" s="94" t="n">
        <v>60000000</v>
      </c>
      <c r="L4" s="94" t="n">
        <v>11719550.93</v>
      </c>
      <c r="M4" s="94" t="n">
        <v>3000000</v>
      </c>
      <c r="N4" s="94" t="n">
        <v>111035.769299984</v>
      </c>
      <c r="O4" s="96">
        <f>IF(OR(I4="",J4="",L4="",N4=""),"",I4-J4-K4-L4-M4-N4)</f>
        <v/>
      </c>
      <c r="P4" s="91">
        <f>IF(OR(O4="",C4=""),"",O4*C4)</f>
        <v/>
      </c>
      <c r="Q4" s="69">
        <f>J4</f>
        <v/>
      </c>
      <c r="R4" s="97">
        <f>IF(OR(J4="",Q4=""),"",J4-Q4)</f>
        <v/>
      </c>
      <c r="S4" s="69">
        <f>L4</f>
        <v/>
      </c>
      <c r="T4" s="97">
        <f>IF(OR(L4="",S4=""),"",L4-S4)</f>
        <v/>
      </c>
      <c r="U4" s="69">
        <f>N4</f>
        <v/>
      </c>
      <c r="V4" s="97">
        <f>IF(OR(N4="",U4=""),"",N4-U4)</f>
        <v/>
      </c>
      <c r="W4" s="71">
        <f>IF(OR(C4="",C4=0,'Daily Data'!J4=""),"",'Daily Data'!J4/C4)</f>
        <v/>
      </c>
      <c r="X4" s="71">
        <f>IF(OR(C4="",C4=0,'Daily Data'!K4=""),"",'Daily Data'!K4/C4)</f>
        <v/>
      </c>
      <c r="Y4" s="71">
        <f>IF(OR(F4="",W4="",X4=""),"",F4-W4-X4)</f>
        <v/>
      </c>
      <c r="Z4" s="72" t="n">
        <v>363.65</v>
      </c>
      <c r="AA4" s="72" t="n">
        <v>64.17</v>
      </c>
      <c r="AB4" s="73">
        <f>Z4+AA4</f>
        <v/>
      </c>
      <c r="AC4" s="74">
        <f>IF(OR(E4="",E4=0,AB4=""),"",E4*365/(AB4*1000000))</f>
        <v/>
      </c>
      <c r="AD4" s="98">
        <f>IF(OR(O4="",O4=0,AB4=""),"",(AB4*1000000)/O4)</f>
        <v/>
      </c>
      <c r="AE4" s="99">
        <f>IF(H4="","",(Team_Genesis-H4)/1000000)</f>
        <v/>
      </c>
      <c r="AF4" s="99">
        <f>IF(OR(O4="",AE4=""),"",(O4-AE4*1000000)/1000000)</f>
        <v/>
      </c>
    </row>
    <row r="5">
      <c r="A5" s="35" t="n">
        <v>45659</v>
      </c>
      <c r="B5" s="90">
        <f>IF('Daily Data'!E5="","",'Daily Data'!E5)</f>
        <v/>
      </c>
      <c r="C5" s="65" t="n">
        <v>26.31</v>
      </c>
      <c r="D5" s="94" t="n">
        <v>37230.03000000119</v>
      </c>
      <c r="E5" s="94" t="n">
        <v>24851.902</v>
      </c>
      <c r="F5" s="94" t="n">
        <v>920.9016</v>
      </c>
      <c r="G5" s="94" t="n"/>
      <c r="H5" s="95">
        <f>SUM($G$4:G5)</f>
        <v/>
      </c>
      <c r="I5" s="94" t="n">
        <v>1000000000</v>
      </c>
      <c r="J5" s="95">
        <f>J4-E5</f>
        <v/>
      </c>
      <c r="K5" s="94" t="n">
        <v>60000000</v>
      </c>
      <c r="L5" s="94" t="n">
        <v>11756780.96</v>
      </c>
      <c r="M5" s="94" t="n">
        <v>3000000</v>
      </c>
      <c r="N5" s="94" t="n">
        <v>111956.6708999872</v>
      </c>
      <c r="O5" s="96">
        <f>IF(OR(I5="",J5="",L5="",N5=""),"",I5-J5-K5-L5-M5-N5)</f>
        <v/>
      </c>
      <c r="P5" s="91">
        <f>IF(OR(O5="",C5=""),"",O5*C5)</f>
        <v/>
      </c>
      <c r="Q5" s="69">
        <f>Q4-E5</f>
        <v/>
      </c>
      <c r="R5" s="97">
        <f>IF(OR(J5="",Q5=""),"",J5-Q5)</f>
        <v/>
      </c>
      <c r="S5" s="69">
        <f>IF(D5="",S4,S4+D5)</f>
        <v/>
      </c>
      <c r="T5" s="97">
        <f>IF(OR(L5="",S5=""),"",L5-S5)</f>
        <v/>
      </c>
      <c r="U5" s="69">
        <f>IF(F5="",U4,U4+F5)</f>
        <v/>
      </c>
      <c r="V5" s="97">
        <f>IF(OR(N5="",U5=""),"",N5-U5)</f>
        <v/>
      </c>
      <c r="W5" s="71">
        <f>IF(OR(C5="",C5=0,'Daily Data'!J5=""),"",'Daily Data'!J5/C5)</f>
        <v/>
      </c>
      <c r="X5" s="71">
        <f>IF(OR(C5="",C5=0,'Daily Data'!K5=""),"",'Daily Data'!K5/C5)</f>
        <v/>
      </c>
      <c r="Y5" s="71">
        <f>IF(OR(F5="",W5="",X5=""),"",F5-W5-X5)</f>
        <v/>
      </c>
      <c r="Z5" s="72" t="n">
        <v>363.65</v>
      </c>
      <c r="AA5" s="72" t="n">
        <v>64.17</v>
      </c>
      <c r="AB5" s="73">
        <f>Z5+AA5</f>
        <v/>
      </c>
      <c r="AC5" s="74">
        <f>IF(OR(E5="",E5=0,AB5=""),"",E5*365/(AB5*1000000))</f>
        <v/>
      </c>
      <c r="AD5" s="98">
        <f>IF(OR(O5="",O5=0,AB5=""),"",(AB5*1000000)/O5)</f>
        <v/>
      </c>
      <c r="AE5" s="99">
        <f>IF(H5="","",(Team_Genesis-H5)/1000000)</f>
        <v/>
      </c>
      <c r="AF5" s="99">
        <f>IF(OR(O5="",AE5=""),"",(O5-AE5*1000000)/1000000)</f>
        <v/>
      </c>
    </row>
    <row r="6">
      <c r="A6" s="35" t="n">
        <v>45660</v>
      </c>
      <c r="B6" s="90">
        <f>IF('Daily Data'!E6="","",'Daily Data'!E6)</f>
        <v/>
      </c>
      <c r="C6" s="65" t="n">
        <v>23.15</v>
      </c>
      <c r="D6" s="94" t="n">
        <v>55732.00999999978</v>
      </c>
      <c r="E6" s="94" t="n">
        <v>25219.868</v>
      </c>
      <c r="F6" s="94" t="n">
        <v>905.5316</v>
      </c>
      <c r="G6" s="94" t="n"/>
      <c r="H6" s="95">
        <f>SUM($G$4:G6)</f>
        <v/>
      </c>
      <c r="I6" s="94" t="n">
        <v>1000000000</v>
      </c>
      <c r="J6" s="95">
        <f>J5-E6</f>
        <v/>
      </c>
      <c r="K6" s="94" t="n">
        <v>60000000</v>
      </c>
      <c r="L6" s="94" t="n">
        <v>11812512.97</v>
      </c>
      <c r="M6" s="94" t="n">
        <v>3000000</v>
      </c>
      <c r="N6" s="94" t="n">
        <v>112862.2024999857</v>
      </c>
      <c r="O6" s="96">
        <f>IF(OR(I6="",J6="",L6="",N6=""),"",I6-J6-K6-L6-M6-N6)</f>
        <v/>
      </c>
      <c r="P6" s="91">
        <f>IF(OR(O6="",C6=""),"",O6*C6)</f>
        <v/>
      </c>
      <c r="Q6" s="69">
        <f>Q5-E6</f>
        <v/>
      </c>
      <c r="R6" s="97">
        <f>IF(OR(J6="",Q6=""),"",J6-Q6)</f>
        <v/>
      </c>
      <c r="S6" s="69">
        <f>IF(D6="",S5,S5+D6)</f>
        <v/>
      </c>
      <c r="T6" s="97">
        <f>IF(OR(L6="",S6=""),"",L6-S6)</f>
        <v/>
      </c>
      <c r="U6" s="69">
        <f>IF(F6="",U5,U5+F6)</f>
        <v/>
      </c>
      <c r="V6" s="97">
        <f>IF(OR(N6="",U6=""),"",N6-U6)</f>
        <v/>
      </c>
      <c r="W6" s="71">
        <f>IF(OR(C6="",C6=0,'Daily Data'!J6=""),"",'Daily Data'!J6/C6)</f>
        <v/>
      </c>
      <c r="X6" s="71">
        <f>IF(OR(C6="",C6=0,'Daily Data'!K6=""),"",'Daily Data'!K6/C6)</f>
        <v/>
      </c>
      <c r="Y6" s="71">
        <f>IF(OR(F6="",W6="",X6=""),"",F6-W6-X6)</f>
        <v/>
      </c>
      <c r="Z6" s="72" t="n">
        <v>363.65</v>
      </c>
      <c r="AA6" s="72" t="n">
        <v>64.17</v>
      </c>
      <c r="AB6" s="73">
        <f>Z6+AA6</f>
        <v/>
      </c>
      <c r="AC6" s="74">
        <f>IF(OR(E6="",E6=0,AB6=""),"",E6*365/(AB6*1000000))</f>
        <v/>
      </c>
      <c r="AD6" s="98">
        <f>IF(OR(O6="",O6=0,AB6=""),"",(AB6*1000000)/O6)</f>
        <v/>
      </c>
      <c r="AE6" s="99">
        <f>IF(H6="","",(Team_Genesis-H6)/1000000)</f>
        <v/>
      </c>
      <c r="AF6" s="99">
        <f>IF(OR(O6="",AE6=""),"",(O6-AE6*1000000)/1000000)</f>
        <v/>
      </c>
    </row>
    <row r="7">
      <c r="A7" s="35" t="n">
        <v>45661</v>
      </c>
      <c r="B7" s="90">
        <f>IF('Daily Data'!E7="","",'Daily Data'!E7)</f>
        <v/>
      </c>
      <c r="C7" s="65" t="n">
        <v>24.43</v>
      </c>
      <c r="D7" s="94" t="n">
        <v>34281.41000000015</v>
      </c>
      <c r="E7" s="94" t="n">
        <v>25452.7777</v>
      </c>
      <c r="F7" s="94" t="n">
        <v>1232.8801</v>
      </c>
      <c r="G7" s="94" t="n"/>
      <c r="H7" s="95">
        <f>SUM($G$4:G7)</f>
        <v/>
      </c>
      <c r="I7" s="94" t="n">
        <v>1000000000</v>
      </c>
      <c r="J7" s="95">
        <f>J6-E7</f>
        <v/>
      </c>
      <c r="K7" s="94" t="n">
        <v>60000000</v>
      </c>
      <c r="L7" s="94" t="n">
        <v>11846794.38</v>
      </c>
      <c r="M7" s="94" t="n">
        <v>3000000</v>
      </c>
      <c r="N7" s="94" t="n">
        <v>114095.0825999975</v>
      </c>
      <c r="O7" s="96">
        <f>IF(OR(I7="",J7="",L7="",N7=""),"",I7-J7-K7-L7-M7-N7)</f>
        <v/>
      </c>
      <c r="P7" s="91">
        <f>IF(OR(O7="",C7=""),"",O7*C7)</f>
        <v/>
      </c>
      <c r="Q7" s="69">
        <f>Q6-E7</f>
        <v/>
      </c>
      <c r="R7" s="97">
        <f>IF(OR(J7="",Q7=""),"",J7-Q7)</f>
        <v/>
      </c>
      <c r="S7" s="69">
        <f>IF(D7="",S6,S6+D7)</f>
        <v/>
      </c>
      <c r="T7" s="97">
        <f>IF(OR(L7="",S7=""),"",L7-S7)</f>
        <v/>
      </c>
      <c r="U7" s="69">
        <f>IF(F7="",U6,U6+F7)</f>
        <v/>
      </c>
      <c r="V7" s="97">
        <f>IF(OR(N7="",U7=""),"",N7-U7)</f>
        <v/>
      </c>
      <c r="W7" s="71">
        <f>IF(OR(C7="",C7=0,'Daily Data'!J7=""),"",'Daily Data'!J7/C7)</f>
        <v/>
      </c>
      <c r="X7" s="71">
        <f>IF(OR(C7="",C7=0,'Daily Data'!K7=""),"",'Daily Data'!K7/C7)</f>
        <v/>
      </c>
      <c r="Y7" s="71">
        <f>IF(OR(F7="",W7="",X7=""),"",F7-W7-X7)</f>
        <v/>
      </c>
      <c r="Z7" s="72" t="n">
        <v>363.65</v>
      </c>
      <c r="AA7" s="72" t="n">
        <v>64.17</v>
      </c>
      <c r="AB7" s="73">
        <f>Z7+AA7</f>
        <v/>
      </c>
      <c r="AC7" s="74">
        <f>IF(OR(E7="",E7=0,AB7=""),"",E7*365/(AB7*1000000))</f>
        <v/>
      </c>
      <c r="AD7" s="98">
        <f>IF(OR(O7="",O7=0,AB7=""),"",(AB7*1000000)/O7)</f>
        <v/>
      </c>
      <c r="AE7" s="99">
        <f>IF(H7="","",(Team_Genesis-H7)/1000000)</f>
        <v/>
      </c>
      <c r="AF7" s="99">
        <f>IF(OR(O7="",AE7=""),"",(O7-AE7*1000000)/1000000)</f>
        <v/>
      </c>
    </row>
    <row r="8">
      <c r="A8" s="35" t="n">
        <v>45662</v>
      </c>
      <c r="B8" s="90">
        <f>IF('Daily Data'!E8="","",'Daily Data'!E8)</f>
        <v/>
      </c>
      <c r="C8" s="65" t="n">
        <v>25.02</v>
      </c>
      <c r="D8" s="94" t="n">
        <v>42553.46999999881</v>
      </c>
      <c r="E8" s="94" t="n">
        <v>25665.1115</v>
      </c>
      <c r="F8" s="94" t="n">
        <v>617.3145</v>
      </c>
      <c r="G8" s="94" t="n"/>
      <c r="H8" s="95">
        <f>SUM($G$4:G8)</f>
        <v/>
      </c>
      <c r="I8" s="94" t="n">
        <v>1000000000</v>
      </c>
      <c r="J8" s="95">
        <f>J7-E8</f>
        <v/>
      </c>
      <c r="K8" s="94" t="n">
        <v>60000000</v>
      </c>
      <c r="L8" s="94" t="n">
        <v>11889347.85</v>
      </c>
      <c r="M8" s="94" t="n">
        <v>3000000</v>
      </c>
      <c r="N8" s="94" t="n">
        <v>114712.3969999552</v>
      </c>
      <c r="O8" s="96">
        <f>IF(OR(I8="",J8="",L8="",N8=""),"",I8-J8-K8-L8-M8-N8)</f>
        <v/>
      </c>
      <c r="P8" s="91">
        <f>IF(OR(O8="",C8=""),"",O8*C8)</f>
        <v/>
      </c>
      <c r="Q8" s="69">
        <f>Q7-E8</f>
        <v/>
      </c>
      <c r="R8" s="97">
        <f>IF(OR(J8="",Q8=""),"",J8-Q8)</f>
        <v/>
      </c>
      <c r="S8" s="69">
        <f>IF(D8="",S7,S7+D8)</f>
        <v/>
      </c>
      <c r="T8" s="97">
        <f>IF(OR(L8="",S8=""),"",L8-S8)</f>
        <v/>
      </c>
      <c r="U8" s="69">
        <f>IF(F8="",U7,U7+F8)</f>
        <v/>
      </c>
      <c r="V8" s="97">
        <f>IF(OR(N8="",U8=""),"",N8-U8)</f>
        <v/>
      </c>
      <c r="W8" s="71">
        <f>IF(OR(C8="",C8=0,'Daily Data'!J8=""),"",'Daily Data'!J8/C8)</f>
        <v/>
      </c>
      <c r="X8" s="71">
        <f>IF(OR(C8="",C8=0,'Daily Data'!K8=""),"",'Daily Data'!K8/C8)</f>
        <v/>
      </c>
      <c r="Y8" s="71">
        <f>IF(OR(F8="",W8="",X8=""),"",F8-W8-X8)</f>
        <v/>
      </c>
      <c r="Z8" s="72" t="n">
        <v>363.65</v>
      </c>
      <c r="AA8" s="72" t="n">
        <v>64.17</v>
      </c>
      <c r="AB8" s="73">
        <f>Z8+AA8</f>
        <v/>
      </c>
      <c r="AC8" s="74">
        <f>IF(OR(E8="",E8=0,AB8=""),"",E8*365/(AB8*1000000))</f>
        <v/>
      </c>
      <c r="AD8" s="98">
        <f>IF(OR(O8="",O8=0,AB8=""),"",(AB8*1000000)/O8)</f>
        <v/>
      </c>
      <c r="AE8" s="99">
        <f>IF(H8="","",(Team_Genesis-H8)/1000000)</f>
        <v/>
      </c>
      <c r="AF8" s="99">
        <f>IF(OR(O8="",AE8=""),"",(O8-AE8*1000000)/1000000)</f>
        <v/>
      </c>
    </row>
    <row r="9">
      <c r="A9" s="35" t="n">
        <v>45663</v>
      </c>
      <c r="B9" s="90">
        <f>IF('Daily Data'!E9="","",'Daily Data'!E9)</f>
        <v/>
      </c>
      <c r="C9" s="65" t="n">
        <v>24.4</v>
      </c>
      <c r="D9" s="94" t="n">
        <v>43787.33999999985</v>
      </c>
      <c r="E9" s="94" t="n">
        <v>25789.8854</v>
      </c>
      <c r="F9" s="94" t="n">
        <v>447.5855</v>
      </c>
      <c r="G9" s="94" t="n"/>
      <c r="H9" s="95">
        <f>SUM($G$4:G9)</f>
        <v/>
      </c>
      <c r="I9" s="94" t="n">
        <v>1000000000</v>
      </c>
      <c r="J9" s="95">
        <f>J8-E9</f>
        <v/>
      </c>
      <c r="K9" s="94" t="n">
        <v>60000000</v>
      </c>
      <c r="L9" s="94" t="n">
        <v>11933135.19</v>
      </c>
      <c r="M9" s="94" t="n">
        <v>3000000</v>
      </c>
      <c r="N9" s="94" t="n">
        <v>115159.9824999571</v>
      </c>
      <c r="O9" s="96">
        <f>IF(OR(I9="",J9="",L9="",N9=""),"",I9-J9-K9-L9-M9-N9)</f>
        <v/>
      </c>
      <c r="P9" s="91">
        <f>IF(OR(O9="",C9=""),"",O9*C9)</f>
        <v/>
      </c>
      <c r="Q9" s="69">
        <f>Q8-E9</f>
        <v/>
      </c>
      <c r="R9" s="97">
        <f>IF(OR(J9="",Q9=""),"",J9-Q9)</f>
        <v/>
      </c>
      <c r="S9" s="69">
        <f>IF(D9="",S8,S8+D9)</f>
        <v/>
      </c>
      <c r="T9" s="97">
        <f>IF(OR(L9="",S9=""),"",L9-S9)</f>
        <v/>
      </c>
      <c r="U9" s="69">
        <f>IF(F9="",U8,U8+F9)</f>
        <v/>
      </c>
      <c r="V9" s="97">
        <f>IF(OR(N9="",U9=""),"",N9-U9)</f>
        <v/>
      </c>
      <c r="W9" s="71">
        <f>IF(OR(C9="",C9=0,'Daily Data'!J9=""),"",'Daily Data'!J9/C9)</f>
        <v/>
      </c>
      <c r="X9" s="71">
        <f>IF(OR(C9="",C9=0,'Daily Data'!K9=""),"",'Daily Data'!K9/C9)</f>
        <v/>
      </c>
      <c r="Y9" s="71">
        <f>IF(OR(F9="",W9="",X9=""),"",F9-W9-X9)</f>
        <v/>
      </c>
      <c r="Z9" s="72" t="n">
        <v>363.65</v>
      </c>
      <c r="AA9" s="72" t="n">
        <v>64.17</v>
      </c>
      <c r="AB9" s="73">
        <f>Z9+AA9</f>
        <v/>
      </c>
      <c r="AC9" s="74">
        <f>IF(OR(E9="",E9=0,AB9=""),"",E9*365/(AB9*1000000))</f>
        <v/>
      </c>
      <c r="AD9" s="98">
        <f>IF(OR(O9="",O9=0,AB9=""),"",(AB9*1000000)/O9)</f>
        <v/>
      </c>
      <c r="AE9" s="99">
        <f>IF(H9="","",(Team_Genesis-H9)/1000000)</f>
        <v/>
      </c>
      <c r="AF9" s="99">
        <f>IF(OR(O9="",AE9=""),"",(O9-AE9*1000000)/1000000)</f>
        <v/>
      </c>
    </row>
    <row r="10">
      <c r="A10" s="35" t="n">
        <v>45664</v>
      </c>
      <c r="B10" s="90">
        <f>IF('Daily Data'!E10="","",'Daily Data'!E10)</f>
        <v/>
      </c>
      <c r="C10" s="65" t="n">
        <v>25.23</v>
      </c>
      <c r="D10" s="94" t="n">
        <v>58651.70000000112</v>
      </c>
      <c r="E10" s="94" t="n">
        <v>25854.6111</v>
      </c>
      <c r="F10" s="94" t="n">
        <v>718.7295</v>
      </c>
      <c r="G10" s="94" t="n"/>
      <c r="H10" s="95">
        <f>SUM($G$4:G10)</f>
        <v/>
      </c>
      <c r="I10" s="94" t="n">
        <v>1000000000</v>
      </c>
      <c r="J10" s="95">
        <f>J9-E10</f>
        <v/>
      </c>
      <c r="K10" s="94" t="n">
        <v>60000000</v>
      </c>
      <c r="L10" s="94" t="n">
        <v>11991786.89</v>
      </c>
      <c r="M10" s="94" t="n">
        <v>3000000</v>
      </c>
      <c r="N10" s="94" t="n">
        <v>115878.7120000124</v>
      </c>
      <c r="O10" s="96">
        <f>IF(OR(I10="",J10="",L10="",N10=""),"",I10-J10-K10-L10-M10-N10)</f>
        <v/>
      </c>
      <c r="P10" s="91">
        <f>IF(OR(O10="",C10=""),"",O10*C10)</f>
        <v/>
      </c>
      <c r="Q10" s="69">
        <f>Q9-E10</f>
        <v/>
      </c>
      <c r="R10" s="97">
        <f>IF(OR(J10="",Q10=""),"",J10-Q10)</f>
        <v/>
      </c>
      <c r="S10" s="69">
        <f>IF(D10="",S9,S9+D10)</f>
        <v/>
      </c>
      <c r="T10" s="97">
        <f>IF(OR(L10="",S10=""),"",L10-S10)</f>
        <v/>
      </c>
      <c r="U10" s="69">
        <f>IF(F10="",U9,U9+F10)</f>
        <v/>
      </c>
      <c r="V10" s="97">
        <f>IF(OR(N10="",U10=""),"",N10-U10)</f>
        <v/>
      </c>
      <c r="W10" s="71">
        <f>IF(OR(C10="",C10=0,'Daily Data'!J10=""),"",'Daily Data'!J10/C10)</f>
        <v/>
      </c>
      <c r="X10" s="71">
        <f>IF(OR(C10="",C10=0,'Daily Data'!K10=""),"",'Daily Data'!K10/C10)</f>
        <v/>
      </c>
      <c r="Y10" s="71">
        <f>IF(OR(F10="",W10="",X10=""),"",F10-W10-X10)</f>
        <v/>
      </c>
      <c r="Z10" s="72" t="n">
        <v>363.65</v>
      </c>
      <c r="AA10" s="72" t="n">
        <v>64.17</v>
      </c>
      <c r="AB10" s="73">
        <f>Z10+AA10</f>
        <v/>
      </c>
      <c r="AC10" s="74">
        <f>IF(OR(E10="",E10=0,AB10=""),"",E10*365/(AB10*1000000))</f>
        <v/>
      </c>
      <c r="AD10" s="98">
        <f>IF(OR(O10="",O10=0,AB10=""),"",(AB10*1000000)/O10)</f>
        <v/>
      </c>
      <c r="AE10" s="99">
        <f>IF(H10="","",(Team_Genesis-H10)/1000000)</f>
        <v/>
      </c>
      <c r="AF10" s="99">
        <f>IF(OR(O10="",AE10=""),"",(O10-AE10*1000000)/1000000)</f>
        <v/>
      </c>
    </row>
    <row r="11">
      <c r="A11" s="35" t="n">
        <v>45665</v>
      </c>
      <c r="B11" s="90">
        <f>IF('Daily Data'!E11="","",'Daily Data'!E11)</f>
        <v/>
      </c>
      <c r="C11" s="65" t="n">
        <v>23.5</v>
      </c>
      <c r="D11" s="94" t="n">
        <v>84543.46999999881</v>
      </c>
      <c r="E11" s="94" t="n">
        <v>25924.4198</v>
      </c>
      <c r="F11" s="94" t="n">
        <v>744.9065000000001</v>
      </c>
      <c r="G11" s="94" t="n"/>
      <c r="H11" s="95">
        <f>SUM($G$4:G11)</f>
        <v/>
      </c>
      <c r="I11" s="94" t="n">
        <v>1000000000</v>
      </c>
      <c r="J11" s="95">
        <f>J10-E11</f>
        <v/>
      </c>
      <c r="K11" s="94" t="n">
        <v>60000000</v>
      </c>
      <c r="L11" s="94" t="n">
        <v>12076330.36</v>
      </c>
      <c r="M11" s="94" t="n">
        <v>3000000</v>
      </c>
      <c r="N11" s="94" t="n">
        <v>116623.6184999943</v>
      </c>
      <c r="O11" s="96">
        <f>IF(OR(I11="",J11="",L11="",N11=""),"",I11-J11-K11-L11-M11-N11)</f>
        <v/>
      </c>
      <c r="P11" s="91">
        <f>IF(OR(O11="",C11=""),"",O11*C11)</f>
        <v/>
      </c>
      <c r="Q11" s="69">
        <f>Q10-E11</f>
        <v/>
      </c>
      <c r="R11" s="97">
        <f>IF(OR(J11="",Q11=""),"",J11-Q11)</f>
        <v/>
      </c>
      <c r="S11" s="69">
        <f>IF(D11="",S10,S10+D11)</f>
        <v/>
      </c>
      <c r="T11" s="97">
        <f>IF(OR(L11="",S11=""),"",L11-S11)</f>
        <v/>
      </c>
      <c r="U11" s="69">
        <f>IF(F11="",U10,U10+F11)</f>
        <v/>
      </c>
      <c r="V11" s="97">
        <f>IF(OR(N11="",U11=""),"",N11-U11)</f>
        <v/>
      </c>
      <c r="W11" s="71">
        <f>IF(OR(C11="",C11=0,'Daily Data'!J11=""),"",'Daily Data'!J11/C11)</f>
        <v/>
      </c>
      <c r="X11" s="71">
        <f>IF(OR(C11="",C11=0,'Daily Data'!K11=""),"",'Daily Data'!K11/C11)</f>
        <v/>
      </c>
      <c r="Y11" s="71">
        <f>IF(OR(F11="",W11="",X11=""),"",F11-W11-X11)</f>
        <v/>
      </c>
      <c r="Z11" s="72" t="n">
        <v>363.65</v>
      </c>
      <c r="AA11" s="72" t="n">
        <v>64.17</v>
      </c>
      <c r="AB11" s="73">
        <f>Z11+AA11</f>
        <v/>
      </c>
      <c r="AC11" s="74">
        <f>IF(OR(E11="",E11=0,AB11=""),"",E11*365/(AB11*1000000))</f>
        <v/>
      </c>
      <c r="AD11" s="98">
        <f>IF(OR(O11="",O11=0,AB11=""),"",(AB11*1000000)/O11)</f>
        <v/>
      </c>
      <c r="AE11" s="99">
        <f>IF(H11="","",(Team_Genesis-H11)/1000000)</f>
        <v/>
      </c>
      <c r="AF11" s="99">
        <f>IF(OR(O11="",AE11=""),"",(O11-AE11*1000000)/1000000)</f>
        <v/>
      </c>
    </row>
    <row r="12">
      <c r="A12" s="35" t="n">
        <v>45666</v>
      </c>
      <c r="B12" s="90">
        <f>IF('Daily Data'!E12="","",'Daily Data'!E12)</f>
        <v/>
      </c>
      <c r="C12" s="65" t="n">
        <v>22.51</v>
      </c>
      <c r="D12" s="94" t="n">
        <v>80644.52000000142</v>
      </c>
      <c r="E12" s="94" t="n">
        <v>25984.3451</v>
      </c>
      <c r="F12" s="94" t="n">
        <v>1579.5356</v>
      </c>
      <c r="G12" s="94" t="n"/>
      <c r="H12" s="95">
        <f>SUM($G$4:G12)</f>
        <v/>
      </c>
      <c r="I12" s="94" t="n">
        <v>1000000000</v>
      </c>
      <c r="J12" s="95">
        <f>J11-E12</f>
        <v/>
      </c>
      <c r="K12" s="94" t="n">
        <v>60000000</v>
      </c>
      <c r="L12" s="94" t="n">
        <v>12156974.88</v>
      </c>
      <c r="M12" s="94" t="n">
        <v>3000000</v>
      </c>
      <c r="N12" s="94" t="n">
        <v>118203.1540999413</v>
      </c>
      <c r="O12" s="96">
        <f>IF(OR(I12="",J12="",L12="",N12=""),"",I12-J12-K12-L12-M12-N12)</f>
        <v/>
      </c>
      <c r="P12" s="91">
        <f>IF(OR(O12="",C12=""),"",O12*C12)</f>
        <v/>
      </c>
      <c r="Q12" s="69">
        <f>Q11-E12</f>
        <v/>
      </c>
      <c r="R12" s="97">
        <f>IF(OR(J12="",Q12=""),"",J12-Q12)</f>
        <v/>
      </c>
      <c r="S12" s="69">
        <f>IF(D12="",S11,S11+D12)</f>
        <v/>
      </c>
      <c r="T12" s="97">
        <f>IF(OR(L12="",S12=""),"",L12-S12)</f>
        <v/>
      </c>
      <c r="U12" s="69">
        <f>IF(F12="",U11,U11+F12)</f>
        <v/>
      </c>
      <c r="V12" s="97">
        <f>IF(OR(N12="",U12=""),"",N12-U12)</f>
        <v/>
      </c>
      <c r="W12" s="71">
        <f>IF(OR(C12="",C12=0,'Daily Data'!J12=""),"",'Daily Data'!J12/C12)</f>
        <v/>
      </c>
      <c r="X12" s="71">
        <f>IF(OR(C12="",C12=0,'Daily Data'!K12=""),"",'Daily Data'!K12/C12)</f>
        <v/>
      </c>
      <c r="Y12" s="71">
        <f>IF(OR(F12="",W12="",X12=""),"",F12-W12-X12)</f>
        <v/>
      </c>
      <c r="Z12" s="72" t="n">
        <v>363.65</v>
      </c>
      <c r="AA12" s="72" t="n">
        <v>64.17</v>
      </c>
      <c r="AB12" s="73">
        <f>Z12+AA12</f>
        <v/>
      </c>
      <c r="AC12" s="74">
        <f>IF(OR(E12="",E12=0,AB12=""),"",E12*365/(AB12*1000000))</f>
        <v/>
      </c>
      <c r="AD12" s="98">
        <f>IF(OR(O12="",O12=0,AB12=""),"",(AB12*1000000)/O12)</f>
        <v/>
      </c>
      <c r="AE12" s="99">
        <f>IF(H12="","",(Team_Genesis-H12)/1000000)</f>
        <v/>
      </c>
      <c r="AF12" s="99">
        <f>IF(OR(O12="",AE12=""),"",(O12-AE12*1000000)/1000000)</f>
        <v/>
      </c>
    </row>
    <row r="13">
      <c r="A13" s="35" t="n">
        <v>45667</v>
      </c>
      <c r="B13" s="90">
        <f>IF('Daily Data'!E13="","",'Daily Data'!E13)</f>
        <v/>
      </c>
      <c r="C13" s="65" t="n">
        <v>20.28</v>
      </c>
      <c r="D13" s="94" t="n">
        <v>84058.3599999994</v>
      </c>
      <c r="E13" s="94" t="n">
        <v>26008.9029</v>
      </c>
      <c r="F13" s="94" t="n">
        <v>1664.9046</v>
      </c>
      <c r="G13" s="94" t="n"/>
      <c r="H13" s="95">
        <f>SUM($G$4:G13)</f>
        <v/>
      </c>
      <c r="I13" s="94" t="n">
        <v>1000000000</v>
      </c>
      <c r="J13" s="95">
        <f>J12-E13</f>
        <v/>
      </c>
      <c r="K13" s="94" t="n">
        <v>60000000</v>
      </c>
      <c r="L13" s="94" t="n">
        <v>12241033.24</v>
      </c>
      <c r="M13" s="94" t="n">
        <v>3000000</v>
      </c>
      <c r="N13" s="94" t="n">
        <v>119868.0586999655</v>
      </c>
      <c r="O13" s="96">
        <f>IF(OR(I13="",J13="",L13="",N13=""),"",I13-J13-K13-L13-M13-N13)</f>
        <v/>
      </c>
      <c r="P13" s="91">
        <f>IF(OR(O13="",C13=""),"",O13*C13)</f>
        <v/>
      </c>
      <c r="Q13" s="69">
        <f>Q12-E13</f>
        <v/>
      </c>
      <c r="R13" s="97">
        <f>IF(OR(J13="",Q13=""),"",J13-Q13)</f>
        <v/>
      </c>
      <c r="S13" s="69">
        <f>IF(D13="",S12,S12+D13)</f>
        <v/>
      </c>
      <c r="T13" s="97">
        <f>IF(OR(L13="",S13=""),"",L13-S13)</f>
        <v/>
      </c>
      <c r="U13" s="69">
        <f>IF(F13="",U12,U12+F13)</f>
        <v/>
      </c>
      <c r="V13" s="97">
        <f>IF(OR(N13="",U13=""),"",N13-U13)</f>
        <v/>
      </c>
      <c r="W13" s="71">
        <f>IF(OR(C13="",C13=0,'Daily Data'!J13=""),"",'Daily Data'!J13/C13)</f>
        <v/>
      </c>
      <c r="X13" s="71">
        <f>IF(OR(C13="",C13=0,'Daily Data'!K13=""),"",'Daily Data'!K13/C13)</f>
        <v/>
      </c>
      <c r="Y13" s="71">
        <f>IF(OR(F13="",W13="",X13=""),"",F13-W13-X13)</f>
        <v/>
      </c>
      <c r="Z13" s="72" t="n">
        <v>363.65</v>
      </c>
      <c r="AA13" s="72" t="n">
        <v>64.17</v>
      </c>
      <c r="AB13" s="73">
        <f>Z13+AA13</f>
        <v/>
      </c>
      <c r="AC13" s="74">
        <f>IF(OR(E13="",E13=0,AB13=""),"",E13*365/(AB13*1000000))</f>
        <v/>
      </c>
      <c r="AD13" s="98">
        <f>IF(OR(O13="",O13=0,AB13=""),"",(AB13*1000000)/O13)</f>
        <v/>
      </c>
      <c r="AE13" s="99">
        <f>IF(H13="","",(Team_Genesis-H13)/1000000)</f>
        <v/>
      </c>
      <c r="AF13" s="99">
        <f>IF(OR(O13="",AE13=""),"",(O13-AE13*1000000)/1000000)</f>
        <v/>
      </c>
    </row>
    <row r="14">
      <c r="A14" s="35" t="n">
        <v>45668</v>
      </c>
      <c r="B14" s="90">
        <f>IF('Daily Data'!E14="","",'Daily Data'!E14)</f>
        <v/>
      </c>
      <c r="C14" s="65" t="n">
        <v>20.65</v>
      </c>
      <c r="D14" s="94" t="n">
        <v>64375.69999999925</v>
      </c>
      <c r="E14" s="94" t="n">
        <v>26032.7188</v>
      </c>
      <c r="F14" s="94" t="n">
        <v>984.8383</v>
      </c>
      <c r="G14" s="94" t="n"/>
      <c r="H14" s="95">
        <f>SUM($G$4:G14)</f>
        <v/>
      </c>
      <c r="I14" s="94" t="n">
        <v>1000000000</v>
      </c>
      <c r="J14" s="95">
        <f>J13-E14</f>
        <v/>
      </c>
      <c r="K14" s="94" t="n">
        <v>60000000</v>
      </c>
      <c r="L14" s="94" t="n">
        <v>12305408.94</v>
      </c>
      <c r="M14" s="94" t="n">
        <v>3000000</v>
      </c>
      <c r="N14" s="94" t="n">
        <v>120852.8969999552</v>
      </c>
      <c r="O14" s="96">
        <f>IF(OR(I14="",J14="",L14="",N14=""),"",I14-J14-K14-L14-M14-N14)</f>
        <v/>
      </c>
      <c r="P14" s="91">
        <f>IF(OR(O14="",C14=""),"",O14*C14)</f>
        <v/>
      </c>
      <c r="Q14" s="69">
        <f>Q13-E14</f>
        <v/>
      </c>
      <c r="R14" s="97">
        <f>IF(OR(J14="",Q14=""),"",J14-Q14)</f>
        <v/>
      </c>
      <c r="S14" s="69">
        <f>IF(D14="",S13,S13+D14)</f>
        <v/>
      </c>
      <c r="T14" s="97">
        <f>IF(OR(L14="",S14=""),"",L14-S14)</f>
        <v/>
      </c>
      <c r="U14" s="69">
        <f>IF(F14="",U13,U13+F14)</f>
        <v/>
      </c>
      <c r="V14" s="97">
        <f>IF(OR(N14="",U14=""),"",N14-U14)</f>
        <v/>
      </c>
      <c r="W14" s="71">
        <f>IF(OR(C14="",C14=0,'Daily Data'!J14=""),"",'Daily Data'!J14/C14)</f>
        <v/>
      </c>
      <c r="X14" s="71">
        <f>IF(OR(C14="",C14=0,'Daily Data'!K14=""),"",'Daily Data'!K14/C14)</f>
        <v/>
      </c>
      <c r="Y14" s="71">
        <f>IF(OR(F14="",W14="",X14=""),"",F14-W14-X14)</f>
        <v/>
      </c>
      <c r="Z14" s="72" t="n">
        <v>363.65</v>
      </c>
      <c r="AA14" s="72" t="n">
        <v>64.17</v>
      </c>
      <c r="AB14" s="73">
        <f>Z14+AA14</f>
        <v/>
      </c>
      <c r="AC14" s="74">
        <f>IF(OR(E14="",E14=0,AB14=""),"",E14*365/(AB14*1000000))</f>
        <v/>
      </c>
      <c r="AD14" s="98">
        <f>IF(OR(O14="",O14=0,AB14=""),"",(AB14*1000000)/O14)</f>
        <v/>
      </c>
      <c r="AE14" s="99">
        <f>IF(H14="","",(Team_Genesis-H14)/1000000)</f>
        <v/>
      </c>
      <c r="AF14" s="99">
        <f>IF(OR(O14="",AE14=""),"",(O14-AE14*1000000)/1000000)</f>
        <v/>
      </c>
    </row>
    <row r="15">
      <c r="A15" s="35" t="n">
        <v>45669</v>
      </c>
      <c r="B15" s="90">
        <f>IF('Daily Data'!E15="","",'Daily Data'!E15)</f>
        <v/>
      </c>
      <c r="C15" s="65" t="n">
        <v>20.88</v>
      </c>
      <c r="D15" s="94" t="n">
        <v>17684.15000000037</v>
      </c>
      <c r="E15" s="94" t="n">
        <v>26062.989</v>
      </c>
      <c r="F15" s="94" t="n">
        <v>555.3528</v>
      </c>
      <c r="G15" s="94" t="n"/>
      <c r="H15" s="95">
        <f>SUM($G$4:G15)</f>
        <v/>
      </c>
      <c r="I15" s="94" t="n">
        <v>1000000000</v>
      </c>
      <c r="J15" s="95">
        <f>J14-E15</f>
        <v/>
      </c>
      <c r="K15" s="94" t="n">
        <v>60000000</v>
      </c>
      <c r="L15" s="94" t="n">
        <v>12323093.09</v>
      </c>
      <c r="M15" s="94" t="n">
        <v>3000000</v>
      </c>
      <c r="N15" s="94" t="n">
        <v>121408.2497999668</v>
      </c>
      <c r="O15" s="96">
        <f>IF(OR(I15="",J15="",L15="",N15=""),"",I15-J15-K15-L15-M15-N15)</f>
        <v/>
      </c>
      <c r="P15" s="91">
        <f>IF(OR(O15="",C15=""),"",O15*C15)</f>
        <v/>
      </c>
      <c r="Q15" s="69">
        <f>Q14-E15</f>
        <v/>
      </c>
      <c r="R15" s="97">
        <f>IF(OR(J15="",Q15=""),"",J15-Q15)</f>
        <v/>
      </c>
      <c r="S15" s="69">
        <f>IF(D15="",S14,S14+D15)</f>
        <v/>
      </c>
      <c r="T15" s="97">
        <f>IF(OR(L15="",S15=""),"",L15-S15)</f>
        <v/>
      </c>
      <c r="U15" s="69">
        <f>IF(F15="",U14,U14+F15)</f>
        <v/>
      </c>
      <c r="V15" s="97">
        <f>IF(OR(N15="",U15=""),"",N15-U15)</f>
        <v/>
      </c>
      <c r="W15" s="71">
        <f>IF(OR(C15="",C15=0,'Daily Data'!J15=""),"",'Daily Data'!J15/C15)</f>
        <v/>
      </c>
      <c r="X15" s="71">
        <f>IF(OR(C15="",C15=0,'Daily Data'!K15=""),"",'Daily Data'!K15/C15)</f>
        <v/>
      </c>
      <c r="Y15" s="71">
        <f>IF(OR(F15="",W15="",X15=""),"",F15-W15-X15)</f>
        <v/>
      </c>
      <c r="Z15" s="72" t="n">
        <v>363.65</v>
      </c>
      <c r="AA15" s="72" t="n">
        <v>64.17</v>
      </c>
      <c r="AB15" s="73">
        <f>Z15+AA15</f>
        <v/>
      </c>
      <c r="AC15" s="74">
        <f>IF(OR(E15="",E15=0,AB15=""),"",E15*365/(AB15*1000000))</f>
        <v/>
      </c>
      <c r="AD15" s="98">
        <f>IF(OR(O15="",O15=0,AB15=""),"",(AB15*1000000)/O15)</f>
        <v/>
      </c>
      <c r="AE15" s="99">
        <f>IF(H15="","",(Team_Genesis-H15)/1000000)</f>
        <v/>
      </c>
      <c r="AF15" s="99">
        <f>IF(OR(O15="",AE15=""),"",(O15-AE15*1000000)/1000000)</f>
        <v/>
      </c>
    </row>
    <row r="16">
      <c r="A16" s="35" t="n">
        <v>45670</v>
      </c>
      <c r="B16" s="90">
        <f>IF('Daily Data'!E16="","",'Daily Data'!E16)</f>
        <v/>
      </c>
      <c r="C16" s="65" t="n">
        <v>21.12</v>
      </c>
      <c r="D16" s="94" t="n">
        <v>43364.96000000089</v>
      </c>
      <c r="E16" s="94" t="n">
        <v>26085.5853</v>
      </c>
      <c r="F16" s="94" t="n">
        <v>490.8274</v>
      </c>
      <c r="G16" s="94" t="n"/>
      <c r="H16" s="95">
        <f>SUM($G$4:G16)</f>
        <v/>
      </c>
      <c r="I16" s="94" t="n">
        <v>1000000000</v>
      </c>
      <c r="J16" s="95">
        <f>J15-E16</f>
        <v/>
      </c>
      <c r="K16" s="94" t="n">
        <v>60000000</v>
      </c>
      <c r="L16" s="94" t="n">
        <v>12366458.05</v>
      </c>
      <c r="M16" s="94" t="n">
        <v>3000000</v>
      </c>
      <c r="N16" s="94" t="n">
        <v>121899.0772000551</v>
      </c>
      <c r="O16" s="96">
        <f>IF(OR(I16="",J16="",L16="",N16=""),"",I16-J16-K16-L16-M16-N16)</f>
        <v/>
      </c>
      <c r="P16" s="91">
        <f>IF(OR(O16="",C16=""),"",O16*C16)</f>
        <v/>
      </c>
      <c r="Q16" s="69">
        <f>Q15-E16</f>
        <v/>
      </c>
      <c r="R16" s="97">
        <f>IF(OR(J16="",Q16=""),"",J16-Q16)</f>
        <v/>
      </c>
      <c r="S16" s="69">
        <f>IF(D16="",S15,S15+D16)</f>
        <v/>
      </c>
      <c r="T16" s="97">
        <f>IF(OR(L16="",S16=""),"",L16-S16)</f>
        <v/>
      </c>
      <c r="U16" s="69">
        <f>IF(F16="",U15,U15+F16)</f>
        <v/>
      </c>
      <c r="V16" s="97">
        <f>IF(OR(N16="",U16=""),"",N16-U16)</f>
        <v/>
      </c>
      <c r="W16" s="71">
        <f>IF(OR(C16="",C16=0,'Daily Data'!J16=""),"",'Daily Data'!J16/C16)</f>
        <v/>
      </c>
      <c r="X16" s="71">
        <f>IF(OR(C16="",C16=0,'Daily Data'!K16=""),"",'Daily Data'!K16/C16)</f>
        <v/>
      </c>
      <c r="Y16" s="71">
        <f>IF(OR(F16="",W16="",X16=""),"",F16-W16-X16)</f>
        <v/>
      </c>
      <c r="Z16" s="72" t="n">
        <v>363.65</v>
      </c>
      <c r="AA16" s="72" t="n">
        <v>64.17</v>
      </c>
      <c r="AB16" s="73">
        <f>Z16+AA16</f>
        <v/>
      </c>
      <c r="AC16" s="74">
        <f>IF(OR(E16="",E16=0,AB16=""),"",E16*365/(AB16*1000000))</f>
        <v/>
      </c>
      <c r="AD16" s="98">
        <f>IF(OR(O16="",O16=0,AB16=""),"",(AB16*1000000)/O16)</f>
        <v/>
      </c>
      <c r="AE16" s="99">
        <f>IF(H16="","",(Team_Genesis-H16)/1000000)</f>
        <v/>
      </c>
      <c r="AF16" s="99">
        <f>IF(OR(O16="",AE16=""),"",(O16-AE16*1000000)/1000000)</f>
        <v/>
      </c>
    </row>
    <row r="17">
      <c r="A17" s="35" t="n">
        <v>45671</v>
      </c>
      <c r="B17" s="90">
        <f>IF('Daily Data'!E17="","",'Daily Data'!E17)</f>
        <v/>
      </c>
      <c r="C17" s="65" t="n">
        <v>21.63</v>
      </c>
      <c r="D17" s="94" t="n">
        <v>101362.9100000001</v>
      </c>
      <c r="E17" s="94" t="n">
        <v>26275.62</v>
      </c>
      <c r="F17" s="94" t="n">
        <v>1292.8946</v>
      </c>
      <c r="G17" s="94" t="n"/>
      <c r="H17" s="95">
        <f>SUM($G$4:G17)</f>
        <v/>
      </c>
      <c r="I17" s="94" t="n">
        <v>1000000000</v>
      </c>
      <c r="J17" s="95">
        <f>J16-E17</f>
        <v/>
      </c>
      <c r="K17" s="94" t="n">
        <v>60000000</v>
      </c>
      <c r="L17" s="94" t="n">
        <v>12467820.96</v>
      </c>
      <c r="M17" s="94" t="n">
        <v>3000000</v>
      </c>
      <c r="N17" s="94" t="n">
        <v>123191.9717999697</v>
      </c>
      <c r="O17" s="96">
        <f>IF(OR(I17="",J17="",L17="",N17=""),"",I17-J17-K17-L17-M17-N17)</f>
        <v/>
      </c>
      <c r="P17" s="91">
        <f>IF(OR(O17="",C17=""),"",O17*C17)</f>
        <v/>
      </c>
      <c r="Q17" s="69">
        <f>Q16-E17</f>
        <v/>
      </c>
      <c r="R17" s="97">
        <f>IF(OR(J17="",Q17=""),"",J17-Q17)</f>
        <v/>
      </c>
      <c r="S17" s="69">
        <f>IF(D17="",S16,S16+D17)</f>
        <v/>
      </c>
      <c r="T17" s="97">
        <f>IF(OR(L17="",S17=""),"",L17-S17)</f>
        <v/>
      </c>
      <c r="U17" s="69">
        <f>IF(F17="",U16,U16+F17)</f>
        <v/>
      </c>
      <c r="V17" s="97">
        <f>IF(OR(N17="",U17=""),"",N17-U17)</f>
        <v/>
      </c>
      <c r="W17" s="71">
        <f>IF(OR(C17="",C17=0,'Daily Data'!J17=""),"",'Daily Data'!J17/C17)</f>
        <v/>
      </c>
      <c r="X17" s="71">
        <f>IF(OR(C17="",C17=0,'Daily Data'!K17=""),"",'Daily Data'!K17/C17)</f>
        <v/>
      </c>
      <c r="Y17" s="71">
        <f>IF(OR(F17="",W17="",X17=""),"",F17-W17-X17)</f>
        <v/>
      </c>
      <c r="Z17" s="72" t="n">
        <v>363.65</v>
      </c>
      <c r="AA17" s="72" t="n">
        <v>64.17</v>
      </c>
      <c r="AB17" s="73">
        <f>Z17+AA17</f>
        <v/>
      </c>
      <c r="AC17" s="74">
        <f>IF(OR(E17="",E17=0,AB17=""),"",E17*365/(AB17*1000000))</f>
        <v/>
      </c>
      <c r="AD17" s="98">
        <f>IF(OR(O17="",O17=0,AB17=""),"",(AB17*1000000)/O17)</f>
        <v/>
      </c>
      <c r="AE17" s="99">
        <f>IF(H17="","",(Team_Genesis-H17)/1000000)</f>
        <v/>
      </c>
      <c r="AF17" s="99">
        <f>IF(OR(O17="",AE17=""),"",(O17-AE17*1000000)/1000000)</f>
        <v/>
      </c>
    </row>
    <row r="18">
      <c r="A18" s="35" t="n">
        <v>45672</v>
      </c>
      <c r="B18" s="90">
        <f>IF('Daily Data'!E18="","",'Daily Data'!E18)</f>
        <v/>
      </c>
      <c r="C18" s="65" t="n">
        <v>23</v>
      </c>
      <c r="D18" s="94" t="n">
        <v>54953.15999999829</v>
      </c>
      <c r="E18" s="94" t="n">
        <v>26404.1858</v>
      </c>
      <c r="F18" s="94" t="n">
        <v>1035.8599</v>
      </c>
      <c r="G18" s="94" t="n"/>
      <c r="H18" s="95">
        <f>SUM($G$4:G18)</f>
        <v/>
      </c>
      <c r="I18" s="94" t="n">
        <v>1000000000</v>
      </c>
      <c r="J18" s="95">
        <f>J17-E18</f>
        <v/>
      </c>
      <c r="K18" s="94" t="n">
        <v>60000000</v>
      </c>
      <c r="L18" s="94" t="n">
        <v>12522774.12</v>
      </c>
      <c r="M18" s="94" t="n">
        <v>3000000</v>
      </c>
      <c r="N18" s="94" t="n">
        <v>124227.8315999508</v>
      </c>
      <c r="O18" s="96">
        <f>IF(OR(I18="",J18="",L18="",N18=""),"",I18-J18-K18-L18-M18-N18)</f>
        <v/>
      </c>
      <c r="P18" s="91">
        <f>IF(OR(O18="",C18=""),"",O18*C18)</f>
        <v/>
      </c>
      <c r="Q18" s="69">
        <f>Q17-E18</f>
        <v/>
      </c>
      <c r="R18" s="97">
        <f>IF(OR(J18="",Q18=""),"",J18-Q18)</f>
        <v/>
      </c>
      <c r="S18" s="69">
        <f>IF(D18="",S17,S17+D18)</f>
        <v/>
      </c>
      <c r="T18" s="97">
        <f>IF(OR(L18="",S18=""),"",L18-S18)</f>
        <v/>
      </c>
      <c r="U18" s="69">
        <f>IF(F18="",U17,U17+F18)</f>
        <v/>
      </c>
      <c r="V18" s="97">
        <f>IF(OR(N18="",U18=""),"",N18-U18)</f>
        <v/>
      </c>
      <c r="W18" s="71">
        <f>IF(OR(C18="",C18=0,'Daily Data'!J18=""),"",'Daily Data'!J18/C18)</f>
        <v/>
      </c>
      <c r="X18" s="71">
        <f>IF(OR(C18="",C18=0,'Daily Data'!K18=""),"",'Daily Data'!K18/C18)</f>
        <v/>
      </c>
      <c r="Y18" s="71">
        <f>IF(OR(F18="",W18="",X18=""),"",F18-W18-X18)</f>
        <v/>
      </c>
      <c r="Z18" s="72" t="n">
        <v>363.65</v>
      </c>
      <c r="AA18" s="72" t="n">
        <v>64.17</v>
      </c>
      <c r="AB18" s="73">
        <f>Z18+AA18</f>
        <v/>
      </c>
      <c r="AC18" s="74">
        <f>IF(OR(E18="",E18=0,AB18=""),"",E18*365/(AB18*1000000))</f>
        <v/>
      </c>
      <c r="AD18" s="98">
        <f>IF(OR(O18="",O18=0,AB18=""),"",(AB18*1000000)/O18)</f>
        <v/>
      </c>
      <c r="AE18" s="99">
        <f>IF(H18="","",(Team_Genesis-H18)/1000000)</f>
        <v/>
      </c>
      <c r="AF18" s="99">
        <f>IF(OR(O18="",AE18=""),"",(O18-AE18*1000000)/1000000)</f>
        <v/>
      </c>
    </row>
    <row r="19">
      <c r="A19" s="35" t="n">
        <v>45673</v>
      </c>
      <c r="B19" s="90">
        <f>IF('Daily Data'!E19="","",'Daily Data'!E19)</f>
        <v/>
      </c>
      <c r="C19" s="65" t="n">
        <v>24.38</v>
      </c>
      <c r="D19" s="94" t="n">
        <v>69142.86000000127</v>
      </c>
      <c r="E19" s="94" t="n">
        <v>26508.232</v>
      </c>
      <c r="F19" s="94" t="n">
        <v>883.4029</v>
      </c>
      <c r="G19" s="94" t="n"/>
      <c r="H19" s="95">
        <f>SUM($G$4:G19)</f>
        <v/>
      </c>
      <c r="I19" s="94" t="n">
        <v>1000000000</v>
      </c>
      <c r="J19" s="95">
        <f>J18-E19</f>
        <v/>
      </c>
      <c r="K19" s="94" t="n">
        <v>60000000</v>
      </c>
      <c r="L19" s="94" t="n">
        <v>12591916.98</v>
      </c>
      <c r="M19" s="94" t="n">
        <v>3000000</v>
      </c>
      <c r="N19" s="94" t="n">
        <v>125111.2345000505</v>
      </c>
      <c r="O19" s="96">
        <f>IF(OR(I19="",J19="",L19="",N19=""),"",I19-J19-K19-L19-M19-N19)</f>
        <v/>
      </c>
      <c r="P19" s="91">
        <f>IF(OR(O19="",C19=""),"",O19*C19)</f>
        <v/>
      </c>
      <c r="Q19" s="69">
        <f>Q18-E19</f>
        <v/>
      </c>
      <c r="R19" s="97">
        <f>IF(OR(J19="",Q19=""),"",J19-Q19)</f>
        <v/>
      </c>
      <c r="S19" s="69">
        <f>IF(D19="",S18,S18+D19)</f>
        <v/>
      </c>
      <c r="T19" s="97">
        <f>IF(OR(L19="",S19=""),"",L19-S19)</f>
        <v/>
      </c>
      <c r="U19" s="69">
        <f>IF(F19="",U18,U18+F19)</f>
        <v/>
      </c>
      <c r="V19" s="97">
        <f>IF(OR(N19="",U19=""),"",N19-U19)</f>
        <v/>
      </c>
      <c r="W19" s="71">
        <f>IF(OR(C19="",C19=0,'Daily Data'!J19=""),"",'Daily Data'!J19/C19)</f>
        <v/>
      </c>
      <c r="X19" s="71">
        <f>IF(OR(C19="",C19=0,'Daily Data'!K19=""),"",'Daily Data'!K19/C19)</f>
        <v/>
      </c>
      <c r="Y19" s="71">
        <f>IF(OR(F19="",W19="",X19=""),"",F19-W19-X19)</f>
        <v/>
      </c>
      <c r="Z19" s="72" t="n">
        <v>363.65</v>
      </c>
      <c r="AA19" s="72" t="n">
        <v>64.17</v>
      </c>
      <c r="AB19" s="73">
        <f>Z19+AA19</f>
        <v/>
      </c>
      <c r="AC19" s="74">
        <f>IF(OR(E19="",E19=0,AB19=""),"",E19*365/(AB19*1000000))</f>
        <v/>
      </c>
      <c r="AD19" s="98">
        <f>IF(OR(O19="",O19=0,AB19=""),"",(AB19*1000000)/O19)</f>
        <v/>
      </c>
      <c r="AE19" s="99">
        <f>IF(H19="","",(Team_Genesis-H19)/1000000)</f>
        <v/>
      </c>
      <c r="AF19" s="99">
        <f>IF(OR(O19="",AE19=""),"",(O19-AE19*1000000)/1000000)</f>
        <v/>
      </c>
    </row>
    <row r="20">
      <c r="A20" s="35" t="n">
        <v>45674</v>
      </c>
      <c r="B20" s="90">
        <f>IF('Daily Data'!E20="","",'Daily Data'!E20)</f>
        <v/>
      </c>
      <c r="C20" s="65" t="n">
        <v>23.47</v>
      </c>
      <c r="D20" s="94" t="n">
        <v>65564.5700000003</v>
      </c>
      <c r="E20" s="94" t="n">
        <v>26562.754</v>
      </c>
      <c r="F20" s="94" t="n">
        <v>560.1256</v>
      </c>
      <c r="G20" s="94" t="n"/>
      <c r="H20" s="95">
        <f>SUM($G$4:G20)</f>
        <v/>
      </c>
      <c r="I20" s="94" t="n">
        <v>1000000000</v>
      </c>
      <c r="J20" s="95">
        <f>J19-E20</f>
        <v/>
      </c>
      <c r="K20" s="94" t="n">
        <v>60000000</v>
      </c>
      <c r="L20" s="94" t="n">
        <v>12657481.55</v>
      </c>
      <c r="M20" s="94" t="n">
        <v>3000000</v>
      </c>
      <c r="N20" s="94" t="n">
        <v>125671.3601000309</v>
      </c>
      <c r="O20" s="96">
        <f>IF(OR(I20="",J20="",L20="",N20=""),"",I20-J20-K20-L20-M20-N20)</f>
        <v/>
      </c>
      <c r="P20" s="91">
        <f>IF(OR(O20="",C20=""),"",O20*C20)</f>
        <v/>
      </c>
      <c r="Q20" s="69">
        <f>Q19-E20</f>
        <v/>
      </c>
      <c r="R20" s="97">
        <f>IF(OR(J20="",Q20=""),"",J20-Q20)</f>
        <v/>
      </c>
      <c r="S20" s="69">
        <f>IF(D20="",S19,S19+D20)</f>
        <v/>
      </c>
      <c r="T20" s="97">
        <f>IF(OR(L20="",S20=""),"",L20-S20)</f>
        <v/>
      </c>
      <c r="U20" s="69">
        <f>IF(F20="",U19,U19+F20)</f>
        <v/>
      </c>
      <c r="V20" s="97">
        <f>IF(OR(N20="",U20=""),"",N20-U20)</f>
        <v/>
      </c>
      <c r="W20" s="71">
        <f>IF(OR(C20="",C20=0,'Daily Data'!J20=""),"",'Daily Data'!J20/C20)</f>
        <v/>
      </c>
      <c r="X20" s="71">
        <f>IF(OR(C20="",C20=0,'Daily Data'!K20=""),"",'Daily Data'!K20/C20)</f>
        <v/>
      </c>
      <c r="Y20" s="71">
        <f>IF(OR(F20="",W20="",X20=""),"",F20-W20-X20)</f>
        <v/>
      </c>
      <c r="Z20" s="72" t="n">
        <v>363.65</v>
      </c>
      <c r="AA20" s="72" t="n">
        <v>64.17</v>
      </c>
      <c r="AB20" s="73">
        <f>Z20+AA20</f>
        <v/>
      </c>
      <c r="AC20" s="74">
        <f>IF(OR(E20="",E20=0,AB20=""),"",E20*365/(AB20*1000000))</f>
        <v/>
      </c>
      <c r="AD20" s="98">
        <f>IF(OR(O20="",O20=0,AB20=""),"",(AB20*1000000)/O20)</f>
        <v/>
      </c>
      <c r="AE20" s="99">
        <f>IF(H20="","",(Team_Genesis-H20)/1000000)</f>
        <v/>
      </c>
      <c r="AF20" s="99">
        <f>IF(OR(O20="",AE20=""),"",(O20-AE20*1000000)/1000000)</f>
        <v/>
      </c>
    </row>
    <row r="21">
      <c r="A21" s="35" t="n">
        <v>45675</v>
      </c>
      <c r="B21" s="90">
        <f>IF('Daily Data'!E21="","",'Daily Data'!E21)</f>
        <v/>
      </c>
      <c r="C21" s="65" t="n">
        <v>23.09</v>
      </c>
      <c r="D21" s="94" t="n">
        <v>88780.81999999844</v>
      </c>
      <c r="E21" s="94" t="n">
        <v>26584.0125</v>
      </c>
      <c r="F21" s="94" t="n">
        <v>614.0791</v>
      </c>
      <c r="G21" s="94" t="n"/>
      <c r="H21" s="95">
        <f>SUM($G$4:G21)</f>
        <v/>
      </c>
      <c r="I21" s="94" t="n">
        <v>1000000000</v>
      </c>
      <c r="J21" s="95">
        <f>J20-E21</f>
        <v/>
      </c>
      <c r="K21" s="94" t="n">
        <v>60000000</v>
      </c>
      <c r="L21" s="94" t="n">
        <v>12746262.37</v>
      </c>
      <c r="M21" s="94" t="n">
        <v>3000000</v>
      </c>
      <c r="N21" s="94" t="n">
        <v>126285.4392000437</v>
      </c>
      <c r="O21" s="96">
        <f>IF(OR(I21="",J21="",L21="",N21=""),"",I21-J21-K21-L21-M21-N21)</f>
        <v/>
      </c>
      <c r="P21" s="91">
        <f>IF(OR(O21="",C21=""),"",O21*C21)</f>
        <v/>
      </c>
      <c r="Q21" s="69">
        <f>Q20-E21</f>
        <v/>
      </c>
      <c r="R21" s="97">
        <f>IF(OR(J21="",Q21=""),"",J21-Q21)</f>
        <v/>
      </c>
      <c r="S21" s="69">
        <f>IF(D21="",S20,S20+D21)</f>
        <v/>
      </c>
      <c r="T21" s="97">
        <f>IF(OR(L21="",S21=""),"",L21-S21)</f>
        <v/>
      </c>
      <c r="U21" s="69">
        <f>IF(F21="",U20,U20+F21)</f>
        <v/>
      </c>
      <c r="V21" s="97">
        <f>IF(OR(N21="",U21=""),"",N21-U21)</f>
        <v/>
      </c>
      <c r="W21" s="71">
        <f>IF(OR(C21="",C21=0,'Daily Data'!J21=""),"",'Daily Data'!J21/C21)</f>
        <v/>
      </c>
      <c r="X21" s="71">
        <f>IF(OR(C21="",C21=0,'Daily Data'!K21=""),"",'Daily Data'!K21/C21)</f>
        <v/>
      </c>
      <c r="Y21" s="71">
        <f>IF(OR(F21="",W21="",X21=""),"",F21-W21-X21)</f>
        <v/>
      </c>
      <c r="Z21" s="72" t="n">
        <v>363.65</v>
      </c>
      <c r="AA21" s="72" t="n">
        <v>64.17</v>
      </c>
      <c r="AB21" s="73">
        <f>Z21+AA21</f>
        <v/>
      </c>
      <c r="AC21" s="74">
        <f>IF(OR(E21="",E21=0,AB21=""),"",E21*365/(AB21*1000000))</f>
        <v/>
      </c>
      <c r="AD21" s="98">
        <f>IF(OR(O21="",O21=0,AB21=""),"",(AB21*1000000)/O21)</f>
        <v/>
      </c>
      <c r="AE21" s="99">
        <f>IF(H21="","",(Team_Genesis-H21)/1000000)</f>
        <v/>
      </c>
      <c r="AF21" s="99">
        <f>IF(OR(O21="",AE21=""),"",(O21-AE21*1000000)/1000000)</f>
        <v/>
      </c>
    </row>
    <row r="22">
      <c r="A22" s="35" t="n">
        <v>45676</v>
      </c>
      <c r="B22" s="90">
        <f>IF('Daily Data'!E22="","",'Daily Data'!E22)</f>
        <v/>
      </c>
      <c r="C22" s="65" t="n">
        <v>21.94</v>
      </c>
      <c r="D22" s="94" t="n">
        <v>143340.2700000014</v>
      </c>
      <c r="E22" s="94" t="n">
        <v>26576.453</v>
      </c>
      <c r="F22" s="94" t="n">
        <v>1549.2138</v>
      </c>
      <c r="G22" s="94" t="n"/>
      <c r="H22" s="95">
        <f>SUM($G$4:G22)</f>
        <v/>
      </c>
      <c r="I22" s="94" t="n">
        <v>1000000000</v>
      </c>
      <c r="J22" s="95">
        <f>J21-E22</f>
        <v/>
      </c>
      <c r="K22" s="94" t="n">
        <v>60000000</v>
      </c>
      <c r="L22" s="94" t="n">
        <v>12889602.64</v>
      </c>
      <c r="M22" s="94" t="n">
        <v>3000000</v>
      </c>
      <c r="N22" s="94" t="n">
        <v>127834.6529999971</v>
      </c>
      <c r="O22" s="96">
        <f>IF(OR(I22="",J22="",L22="",N22=""),"",I22-J22-K22-L22-M22-N22)</f>
        <v/>
      </c>
      <c r="P22" s="91">
        <f>IF(OR(O22="",C22=""),"",O22*C22)</f>
        <v/>
      </c>
      <c r="Q22" s="69">
        <f>Q21-E22</f>
        <v/>
      </c>
      <c r="R22" s="97">
        <f>IF(OR(J22="",Q22=""),"",J22-Q22)</f>
        <v/>
      </c>
      <c r="S22" s="69">
        <f>IF(D22="",S21,S21+D22)</f>
        <v/>
      </c>
      <c r="T22" s="97">
        <f>IF(OR(L22="",S22=""),"",L22-S22)</f>
        <v/>
      </c>
      <c r="U22" s="69">
        <f>IF(F22="",U21,U21+F22)</f>
        <v/>
      </c>
      <c r="V22" s="97">
        <f>IF(OR(N22="",U22=""),"",N22-U22)</f>
        <v/>
      </c>
      <c r="W22" s="71">
        <f>IF(OR(C22="",C22=0,'Daily Data'!J22=""),"",'Daily Data'!J22/C22)</f>
        <v/>
      </c>
      <c r="X22" s="71">
        <f>IF(OR(C22="",C22=0,'Daily Data'!K22=""),"",'Daily Data'!K22/C22)</f>
        <v/>
      </c>
      <c r="Y22" s="71">
        <f>IF(OR(F22="",W22="",X22=""),"",F22-W22-X22)</f>
        <v/>
      </c>
      <c r="Z22" s="72" t="n">
        <v>363.65</v>
      </c>
      <c r="AA22" s="72" t="n">
        <v>64.17</v>
      </c>
      <c r="AB22" s="73">
        <f>Z22+AA22</f>
        <v/>
      </c>
      <c r="AC22" s="74">
        <f>IF(OR(E22="",E22=0,AB22=""),"",E22*365/(AB22*1000000))</f>
        <v/>
      </c>
      <c r="AD22" s="98">
        <f>IF(OR(O22="",O22=0,AB22=""),"",(AB22*1000000)/O22)</f>
        <v/>
      </c>
      <c r="AE22" s="99">
        <f>IF(H22="","",(Team_Genesis-H22)/1000000)</f>
        <v/>
      </c>
      <c r="AF22" s="99">
        <f>IF(OR(O22="",AE22=""),"",(O22-AE22*1000000)/1000000)</f>
        <v/>
      </c>
    </row>
    <row r="23">
      <c r="A23" s="35" t="n">
        <v>45677</v>
      </c>
      <c r="B23" s="90">
        <f>IF('Daily Data'!E23="","",'Daily Data'!E23)</f>
        <v/>
      </c>
      <c r="C23" s="65" t="n">
        <v>20.19</v>
      </c>
      <c r="D23" s="94" t="n">
        <v>228527.25</v>
      </c>
      <c r="E23" s="94" t="n">
        <v>26541.2726</v>
      </c>
      <c r="F23" s="94" t="n">
        <v>2127.3129</v>
      </c>
      <c r="G23" s="94" t="n"/>
      <c r="H23" s="95">
        <f>SUM($G$4:G23)</f>
        <v/>
      </c>
      <c r="I23" s="94" t="n">
        <v>1000000000</v>
      </c>
      <c r="J23" s="95">
        <f>J22-E23</f>
        <v/>
      </c>
      <c r="K23" s="94" t="n">
        <v>60000000</v>
      </c>
      <c r="L23" s="94" t="n">
        <v>13118129.89</v>
      </c>
      <c r="M23" s="94" t="n">
        <v>3000000</v>
      </c>
      <c r="N23" s="94" t="n">
        <v>129961.9658999443</v>
      </c>
      <c r="O23" s="96">
        <f>IF(OR(I23="",J23="",L23="",N23=""),"",I23-J23-K23-L23-M23-N23)</f>
        <v/>
      </c>
      <c r="P23" s="91">
        <f>IF(OR(O23="",C23=""),"",O23*C23)</f>
        <v/>
      </c>
      <c r="Q23" s="69">
        <f>Q22-E23</f>
        <v/>
      </c>
      <c r="R23" s="97">
        <f>IF(OR(J23="",Q23=""),"",J23-Q23)</f>
        <v/>
      </c>
      <c r="S23" s="69">
        <f>IF(D23="",S22,S22+D23)</f>
        <v/>
      </c>
      <c r="T23" s="97">
        <f>IF(OR(L23="",S23=""),"",L23-S23)</f>
        <v/>
      </c>
      <c r="U23" s="69">
        <f>IF(F23="",U22,U22+F23)</f>
        <v/>
      </c>
      <c r="V23" s="97">
        <f>IF(OR(N23="",U23=""),"",N23-U23)</f>
        <v/>
      </c>
      <c r="W23" s="71">
        <f>IF(OR(C23="",C23=0,'Daily Data'!J23=""),"",'Daily Data'!J23/C23)</f>
        <v/>
      </c>
      <c r="X23" s="71">
        <f>IF(OR(C23="",C23=0,'Daily Data'!K23=""),"",'Daily Data'!K23/C23)</f>
        <v/>
      </c>
      <c r="Y23" s="71">
        <f>IF(OR(F23="",W23="",X23=""),"",F23-W23-X23)</f>
        <v/>
      </c>
      <c r="Z23" s="72" t="n">
        <v>363.65</v>
      </c>
      <c r="AA23" s="72" t="n">
        <v>64.17</v>
      </c>
      <c r="AB23" s="73">
        <f>Z23+AA23</f>
        <v/>
      </c>
      <c r="AC23" s="74">
        <f>IF(OR(E23="",E23=0,AB23=""),"",E23*365/(AB23*1000000))</f>
        <v/>
      </c>
      <c r="AD23" s="98">
        <f>IF(OR(O23="",O23=0,AB23=""),"",(AB23*1000000)/O23)</f>
        <v/>
      </c>
      <c r="AE23" s="99">
        <f>IF(H23="","",(Team_Genesis-H23)/1000000)</f>
        <v/>
      </c>
      <c r="AF23" s="99">
        <f>IF(OR(O23="",AE23=""),"",(O23-AE23*1000000)/1000000)</f>
        <v/>
      </c>
    </row>
    <row r="24">
      <c r="A24" s="35" t="n">
        <v>45678</v>
      </c>
      <c r="B24" s="90">
        <f>IF('Daily Data'!E24="","",'Daily Data'!E24)</f>
        <v/>
      </c>
      <c r="C24" s="65" t="n">
        <v>20.55</v>
      </c>
      <c r="D24" s="94" t="n">
        <v>133128.8899999987</v>
      </c>
      <c r="E24" s="94" t="n">
        <v>26530.7477</v>
      </c>
      <c r="F24" s="94" t="n">
        <v>1392.5278</v>
      </c>
      <c r="G24" s="94" t="n"/>
      <c r="H24" s="95">
        <f>SUM($G$4:G24)</f>
        <v/>
      </c>
      <c r="I24" s="94" t="n">
        <v>1000000000</v>
      </c>
      <c r="J24" s="95">
        <f>J23-E24</f>
        <v/>
      </c>
      <c r="K24" s="94" t="n">
        <v>60000000</v>
      </c>
      <c r="L24" s="94" t="n">
        <v>13251258.78</v>
      </c>
      <c r="M24" s="94" t="n">
        <v>3000000</v>
      </c>
      <c r="N24" s="94" t="n">
        <v>131354.4937000275</v>
      </c>
      <c r="O24" s="96">
        <f>IF(OR(I24="",J24="",L24="",N24=""),"",I24-J24-K24-L24-M24-N24)</f>
        <v/>
      </c>
      <c r="P24" s="91">
        <f>IF(OR(O24="",C24=""),"",O24*C24)</f>
        <v/>
      </c>
      <c r="Q24" s="69">
        <f>Q23-E24</f>
        <v/>
      </c>
      <c r="R24" s="97">
        <f>IF(OR(J24="",Q24=""),"",J24-Q24)</f>
        <v/>
      </c>
      <c r="S24" s="69">
        <f>IF(D24="",S23,S23+D24)</f>
        <v/>
      </c>
      <c r="T24" s="97">
        <f>IF(OR(L24="",S24=""),"",L24-S24)</f>
        <v/>
      </c>
      <c r="U24" s="69">
        <f>IF(F24="",U23,U23+F24)</f>
        <v/>
      </c>
      <c r="V24" s="97">
        <f>IF(OR(N24="",U24=""),"",N24-U24)</f>
        <v/>
      </c>
      <c r="W24" s="71">
        <f>IF(OR(C24="",C24=0,'Daily Data'!J24=""),"",'Daily Data'!J24/C24)</f>
        <v/>
      </c>
      <c r="X24" s="71">
        <f>IF(OR(C24="",C24=0,'Daily Data'!K24=""),"",'Daily Data'!K24/C24)</f>
        <v/>
      </c>
      <c r="Y24" s="71">
        <f>IF(OR(F24="",W24="",X24=""),"",F24-W24-X24)</f>
        <v/>
      </c>
      <c r="Z24" s="72" t="n">
        <v>363.65</v>
      </c>
      <c r="AA24" s="72" t="n">
        <v>64.17</v>
      </c>
      <c r="AB24" s="73">
        <f>Z24+AA24</f>
        <v/>
      </c>
      <c r="AC24" s="74">
        <f>IF(OR(E24="",E24=0,AB24=""),"",E24*365/(AB24*1000000))</f>
        <v/>
      </c>
      <c r="AD24" s="98">
        <f>IF(OR(O24="",O24=0,AB24=""),"",(AB24*1000000)/O24)</f>
        <v/>
      </c>
      <c r="AE24" s="99">
        <f>IF(H24="","",(Team_Genesis-H24)/1000000)</f>
        <v/>
      </c>
      <c r="AF24" s="99">
        <f>IF(OR(O24="",AE24=""),"",(O24-AE24*1000000)/1000000)</f>
        <v/>
      </c>
    </row>
    <row r="25">
      <c r="A25" s="35" t="n">
        <v>45679</v>
      </c>
      <c r="B25" s="90">
        <f>IF('Daily Data'!E25="","",'Daily Data'!E25)</f>
        <v/>
      </c>
      <c r="C25" s="65" t="n">
        <v>23.18</v>
      </c>
      <c r="D25" s="94" t="n">
        <v>71129.96000000089</v>
      </c>
      <c r="E25" s="94" t="n">
        <v>26567.3464</v>
      </c>
      <c r="F25" s="94" t="n">
        <v>1404.8497</v>
      </c>
      <c r="G25" s="94" t="n"/>
      <c r="H25" s="95">
        <f>SUM($G$4:G25)</f>
        <v/>
      </c>
      <c r="I25" s="94" t="n">
        <v>1000000000</v>
      </c>
      <c r="J25" s="95">
        <f>J24-E25</f>
        <v/>
      </c>
      <c r="K25" s="94" t="n">
        <v>60000000</v>
      </c>
      <c r="L25" s="94" t="n">
        <v>13322388.74</v>
      </c>
      <c r="M25" s="94" t="n">
        <v>3000000</v>
      </c>
      <c r="N25" s="94" t="n">
        <v>132759.3432999849</v>
      </c>
      <c r="O25" s="96">
        <f>IF(OR(I25="",J25="",L25="",N25=""),"",I25-J25-K25-L25-M25-N25)</f>
        <v/>
      </c>
      <c r="P25" s="91">
        <f>IF(OR(O25="",C25=""),"",O25*C25)</f>
        <v/>
      </c>
      <c r="Q25" s="69">
        <f>Q24-E25</f>
        <v/>
      </c>
      <c r="R25" s="97">
        <f>IF(OR(J25="",Q25=""),"",J25-Q25)</f>
        <v/>
      </c>
      <c r="S25" s="69">
        <f>IF(D25="",S24,S24+D25)</f>
        <v/>
      </c>
      <c r="T25" s="97">
        <f>IF(OR(L25="",S25=""),"",L25-S25)</f>
        <v/>
      </c>
      <c r="U25" s="69">
        <f>IF(F25="",U24,U24+F25)</f>
        <v/>
      </c>
      <c r="V25" s="97">
        <f>IF(OR(N25="",U25=""),"",N25-U25)</f>
        <v/>
      </c>
      <c r="W25" s="71">
        <f>IF(OR(C25="",C25=0,'Daily Data'!J25=""),"",'Daily Data'!J25/C25)</f>
        <v/>
      </c>
      <c r="X25" s="71">
        <f>IF(OR(C25="",C25=0,'Daily Data'!K25=""),"",'Daily Data'!K25/C25)</f>
        <v/>
      </c>
      <c r="Y25" s="71">
        <f>IF(OR(F25="",W25="",X25=""),"",F25-W25-X25)</f>
        <v/>
      </c>
      <c r="Z25" s="72" t="n">
        <v>363.65</v>
      </c>
      <c r="AA25" s="72" t="n">
        <v>64.17</v>
      </c>
      <c r="AB25" s="73">
        <f>Z25+AA25</f>
        <v/>
      </c>
      <c r="AC25" s="74">
        <f>IF(OR(E25="",E25=0,AB25=""),"",E25*365/(AB25*1000000))</f>
        <v/>
      </c>
      <c r="AD25" s="98">
        <f>IF(OR(O25="",O25=0,AB25=""),"",(AB25*1000000)/O25)</f>
        <v/>
      </c>
      <c r="AE25" s="99">
        <f>IF(H25="","",(Team_Genesis-H25)/1000000)</f>
        <v/>
      </c>
      <c r="AF25" s="99">
        <f>IF(OR(O25="",AE25=""),"",(O25-AE25*1000000)/1000000)</f>
        <v/>
      </c>
    </row>
    <row r="26">
      <c r="A26" s="35" t="n">
        <v>45680</v>
      </c>
      <c r="B26" s="90">
        <f>IF('Daily Data'!E26="","",'Daily Data'!E26)</f>
        <v/>
      </c>
      <c r="C26" s="65" t="n">
        <v>24.31</v>
      </c>
      <c r="D26" s="94" t="n">
        <v>62060.41999999993</v>
      </c>
      <c r="E26" s="94" t="n">
        <v>26581.533</v>
      </c>
      <c r="F26" s="94" t="n">
        <v>923.5959</v>
      </c>
      <c r="G26" s="94" t="n"/>
      <c r="H26" s="95">
        <f>SUM($G$4:G26)</f>
        <v/>
      </c>
      <c r="I26" s="94" t="n">
        <v>1000000000</v>
      </c>
      <c r="J26" s="95">
        <f>J25-E26</f>
        <v/>
      </c>
      <c r="K26" s="94" t="n">
        <v>60000000</v>
      </c>
      <c r="L26" s="94" t="n">
        <v>13384449.16</v>
      </c>
      <c r="M26" s="94" t="n">
        <v>3000000</v>
      </c>
      <c r="N26" s="94" t="n">
        <v>133682.9392000437</v>
      </c>
      <c r="O26" s="96">
        <f>IF(OR(I26="",J26="",L26="",N26=""),"",I26-J26-K26-L26-M26-N26)</f>
        <v/>
      </c>
      <c r="P26" s="91">
        <f>IF(OR(O26="",C26=""),"",O26*C26)</f>
        <v/>
      </c>
      <c r="Q26" s="69">
        <f>Q25-E26</f>
        <v/>
      </c>
      <c r="R26" s="97">
        <f>IF(OR(J26="",Q26=""),"",J26-Q26)</f>
        <v/>
      </c>
      <c r="S26" s="69">
        <f>IF(D26="",S25,S25+D26)</f>
        <v/>
      </c>
      <c r="T26" s="97">
        <f>IF(OR(L26="",S26=""),"",L26-S26)</f>
        <v/>
      </c>
      <c r="U26" s="69">
        <f>IF(F26="",U25,U25+F26)</f>
        <v/>
      </c>
      <c r="V26" s="97">
        <f>IF(OR(N26="",U26=""),"",N26-U26)</f>
        <v/>
      </c>
      <c r="W26" s="71">
        <f>IF(OR(C26="",C26=0,'Daily Data'!J26=""),"",'Daily Data'!J26/C26)</f>
        <v/>
      </c>
      <c r="X26" s="71">
        <f>IF(OR(C26="",C26=0,'Daily Data'!K26=""),"",'Daily Data'!K26/C26)</f>
        <v/>
      </c>
      <c r="Y26" s="71">
        <f>IF(OR(F26="",W26="",X26=""),"",F26-W26-X26)</f>
        <v/>
      </c>
      <c r="Z26" s="72" t="n">
        <v>363.65</v>
      </c>
      <c r="AA26" s="72" t="n">
        <v>64.17</v>
      </c>
      <c r="AB26" s="73">
        <f>Z26+AA26</f>
        <v/>
      </c>
      <c r="AC26" s="74">
        <f>IF(OR(E26="",E26=0,AB26=""),"",E26*365/(AB26*1000000))</f>
        <v/>
      </c>
      <c r="AD26" s="98">
        <f>IF(OR(O26="",O26=0,AB26=""),"",(AB26*1000000)/O26)</f>
        <v/>
      </c>
      <c r="AE26" s="99">
        <f>IF(H26="","",(Team_Genesis-H26)/1000000)</f>
        <v/>
      </c>
      <c r="AF26" s="99">
        <f>IF(OR(O26="",AE26=""),"",(O26-AE26*1000000)/1000000)</f>
        <v/>
      </c>
    </row>
    <row r="27">
      <c r="A27" s="35" t="n">
        <v>45681</v>
      </c>
      <c r="B27" s="90">
        <f>IF('Daily Data'!E27="","",'Daily Data'!E27)</f>
        <v/>
      </c>
      <c r="C27" s="65" t="n">
        <v>21.97</v>
      </c>
      <c r="D27" s="94" t="n">
        <v>115997.0700000003</v>
      </c>
      <c r="E27" s="94" t="n">
        <v>26552.4017</v>
      </c>
      <c r="F27" s="94" t="n">
        <v>1425.0715</v>
      </c>
      <c r="G27" s="94" t="n"/>
      <c r="H27" s="95">
        <f>SUM($G$4:G27)</f>
        <v/>
      </c>
      <c r="I27" s="94" t="n">
        <v>1000000000</v>
      </c>
      <c r="J27" s="95">
        <f>J26-E27</f>
        <v/>
      </c>
      <c r="K27" s="94" t="n">
        <v>60000000</v>
      </c>
      <c r="L27" s="94" t="n">
        <v>13500446.23</v>
      </c>
      <c r="M27" s="94" t="n">
        <v>3000000</v>
      </c>
      <c r="N27" s="94" t="n">
        <v>135108.0106999874</v>
      </c>
      <c r="O27" s="96">
        <f>IF(OR(I27="",J27="",L27="",N27=""),"",I27-J27-K27-L27-M27-N27)</f>
        <v/>
      </c>
      <c r="P27" s="91">
        <f>IF(OR(O27="",C27=""),"",O27*C27)</f>
        <v/>
      </c>
      <c r="Q27" s="69">
        <f>Q26-E27</f>
        <v/>
      </c>
      <c r="R27" s="97">
        <f>IF(OR(J27="",Q27=""),"",J27-Q27)</f>
        <v/>
      </c>
      <c r="S27" s="69">
        <f>IF(D27="",S26,S26+D27)</f>
        <v/>
      </c>
      <c r="T27" s="97">
        <f>IF(OR(L27="",S27=""),"",L27-S27)</f>
        <v/>
      </c>
      <c r="U27" s="69">
        <f>IF(F27="",U26,U26+F27)</f>
        <v/>
      </c>
      <c r="V27" s="97">
        <f>IF(OR(N27="",U27=""),"",N27-U27)</f>
        <v/>
      </c>
      <c r="W27" s="71">
        <f>IF(OR(C27="",C27=0,'Daily Data'!J27=""),"",'Daily Data'!J27/C27)</f>
        <v/>
      </c>
      <c r="X27" s="71">
        <f>IF(OR(C27="",C27=0,'Daily Data'!K27=""),"",'Daily Data'!K27/C27)</f>
        <v/>
      </c>
      <c r="Y27" s="71">
        <f>IF(OR(F27="",W27="",X27=""),"",F27-W27-X27)</f>
        <v/>
      </c>
      <c r="Z27" s="72" t="n">
        <v>363.65</v>
      </c>
      <c r="AA27" s="72" t="n">
        <v>64.17</v>
      </c>
      <c r="AB27" s="73">
        <f>Z27+AA27</f>
        <v/>
      </c>
      <c r="AC27" s="74">
        <f>IF(OR(E27="",E27=0,AB27=""),"",E27*365/(AB27*1000000))</f>
        <v/>
      </c>
      <c r="AD27" s="98">
        <f>IF(OR(O27="",O27=0,AB27=""),"",(AB27*1000000)/O27)</f>
        <v/>
      </c>
      <c r="AE27" s="99">
        <f>IF(H27="","",(Team_Genesis-H27)/1000000)</f>
        <v/>
      </c>
      <c r="AF27" s="99">
        <f>IF(OR(O27="",AE27=""),"",(O27-AE27*1000000)/1000000)</f>
        <v/>
      </c>
    </row>
    <row r="28">
      <c r="A28" s="35" t="n">
        <v>45682</v>
      </c>
      <c r="B28" s="90">
        <f>IF('Daily Data'!E28="","",'Daily Data'!E28)</f>
        <v/>
      </c>
      <c r="C28" s="65" t="n">
        <v>23.06</v>
      </c>
      <c r="D28" s="94" t="n">
        <v>59234.4299999997</v>
      </c>
      <c r="E28" s="94" t="n">
        <v>26530.8113</v>
      </c>
      <c r="F28" s="94" t="n">
        <v>909.6107</v>
      </c>
      <c r="G28" s="94" t="n"/>
      <c r="H28" s="95">
        <f>SUM($G$4:G28)</f>
        <v/>
      </c>
      <c r="I28" s="94" t="n">
        <v>1000000000</v>
      </c>
      <c r="J28" s="95">
        <f>J27-E28</f>
        <v/>
      </c>
      <c r="K28" s="94" t="n">
        <v>60000000</v>
      </c>
      <c r="L28" s="94" t="n">
        <v>13559680.66</v>
      </c>
      <c r="M28" s="94" t="n">
        <v>3000000</v>
      </c>
      <c r="N28" s="94" t="n">
        <v>136017.6213999987</v>
      </c>
      <c r="O28" s="96">
        <f>IF(OR(I28="",J28="",L28="",N28=""),"",I28-J28-K28-L28-M28-N28)</f>
        <v/>
      </c>
      <c r="P28" s="91">
        <f>IF(OR(O28="",C28=""),"",O28*C28)</f>
        <v/>
      </c>
      <c r="Q28" s="69">
        <f>Q27-E28</f>
        <v/>
      </c>
      <c r="R28" s="97">
        <f>IF(OR(J28="",Q28=""),"",J28-Q28)</f>
        <v/>
      </c>
      <c r="S28" s="69">
        <f>IF(D28="",S27,S27+D28)</f>
        <v/>
      </c>
      <c r="T28" s="97">
        <f>IF(OR(L28="",S28=""),"",L28-S28)</f>
        <v/>
      </c>
      <c r="U28" s="69">
        <f>IF(F28="",U27,U27+F28)</f>
        <v/>
      </c>
      <c r="V28" s="97">
        <f>IF(OR(N28="",U28=""),"",N28-U28)</f>
        <v/>
      </c>
      <c r="W28" s="71">
        <f>IF(OR(C28="",C28=0,'Daily Data'!J28=""),"",'Daily Data'!J28/C28)</f>
        <v/>
      </c>
      <c r="X28" s="71">
        <f>IF(OR(C28="",C28=0,'Daily Data'!K28=""),"",'Daily Data'!K28/C28)</f>
        <v/>
      </c>
      <c r="Y28" s="71">
        <f>IF(OR(F28="",W28="",X28=""),"",F28-W28-X28)</f>
        <v/>
      </c>
      <c r="Z28" s="72" t="n">
        <v>363.65</v>
      </c>
      <c r="AA28" s="72" t="n">
        <v>64.17</v>
      </c>
      <c r="AB28" s="73">
        <f>Z28+AA28</f>
        <v/>
      </c>
      <c r="AC28" s="74">
        <f>IF(OR(E28="",E28=0,AB28=""),"",E28*365/(AB28*1000000))</f>
        <v/>
      </c>
      <c r="AD28" s="98">
        <f>IF(OR(O28="",O28=0,AB28=""),"",(AB28*1000000)/O28)</f>
        <v/>
      </c>
      <c r="AE28" s="99">
        <f>IF(H28="","",(Team_Genesis-H28)/1000000)</f>
        <v/>
      </c>
      <c r="AF28" s="99">
        <f>IF(OR(O28="",AE28=""),"",(O28-AE28*1000000)/1000000)</f>
        <v/>
      </c>
    </row>
    <row r="29">
      <c r="A29" s="35" t="n">
        <v>45683</v>
      </c>
      <c r="B29" s="90">
        <f>IF('Daily Data'!E29="","",'Daily Data'!E29)</f>
        <v/>
      </c>
      <c r="C29" s="65" t="n">
        <v>23.15</v>
      </c>
      <c r="D29" s="94" t="n">
        <v>29767.31000000052</v>
      </c>
      <c r="E29" s="94" t="n">
        <v>26541.0291</v>
      </c>
      <c r="F29" s="94" t="n">
        <v>462.2589</v>
      </c>
      <c r="G29" s="94" t="n"/>
      <c r="H29" s="95">
        <f>SUM($G$4:G29)</f>
        <v/>
      </c>
      <c r="I29" s="94" t="n">
        <v>1000000000</v>
      </c>
      <c r="J29" s="95">
        <f>J28-E29</f>
        <v/>
      </c>
      <c r="K29" s="94" t="n">
        <v>60000000</v>
      </c>
      <c r="L29" s="94" t="n">
        <v>13589447.97</v>
      </c>
      <c r="M29" s="94" t="n">
        <v>3000000</v>
      </c>
      <c r="N29" s="94" t="n">
        <v>136479.880300045</v>
      </c>
      <c r="O29" s="96">
        <f>IF(OR(I29="",J29="",L29="",N29=""),"",I29-J29-K29-L29-M29-N29)</f>
        <v/>
      </c>
      <c r="P29" s="91">
        <f>IF(OR(O29="",C29=""),"",O29*C29)</f>
        <v/>
      </c>
      <c r="Q29" s="69">
        <f>Q28-E29</f>
        <v/>
      </c>
      <c r="R29" s="97">
        <f>IF(OR(J29="",Q29=""),"",J29-Q29)</f>
        <v/>
      </c>
      <c r="S29" s="69">
        <f>IF(D29="",S28,S28+D29)</f>
        <v/>
      </c>
      <c r="T29" s="97">
        <f>IF(OR(L29="",S29=""),"",L29-S29)</f>
        <v/>
      </c>
      <c r="U29" s="69">
        <f>IF(F29="",U28,U28+F29)</f>
        <v/>
      </c>
      <c r="V29" s="97">
        <f>IF(OR(N29="",U29=""),"",N29-U29)</f>
        <v/>
      </c>
      <c r="W29" s="71">
        <f>IF(OR(C29="",C29=0,'Daily Data'!J29=""),"",'Daily Data'!J29/C29)</f>
        <v/>
      </c>
      <c r="X29" s="71">
        <f>IF(OR(C29="",C29=0,'Daily Data'!K29=""),"",'Daily Data'!K29/C29)</f>
        <v/>
      </c>
      <c r="Y29" s="71">
        <f>IF(OR(F29="",W29="",X29=""),"",F29-W29-X29)</f>
        <v/>
      </c>
      <c r="Z29" s="72" t="n">
        <v>363.65</v>
      </c>
      <c r="AA29" s="72" t="n">
        <v>64.17</v>
      </c>
      <c r="AB29" s="73">
        <f>Z29+AA29</f>
        <v/>
      </c>
      <c r="AC29" s="74">
        <f>IF(OR(E29="",E29=0,AB29=""),"",E29*365/(AB29*1000000))</f>
        <v/>
      </c>
      <c r="AD29" s="98">
        <f>IF(OR(O29="",O29=0,AB29=""),"",(AB29*1000000)/O29)</f>
        <v/>
      </c>
      <c r="AE29" s="99">
        <f>IF(H29="","",(Team_Genesis-H29)/1000000)</f>
        <v/>
      </c>
      <c r="AF29" s="99">
        <f>IF(OR(O29="",AE29=""),"",(O29-AE29*1000000)/1000000)</f>
        <v/>
      </c>
    </row>
    <row r="30">
      <c r="A30" s="35" t="n">
        <v>45684</v>
      </c>
      <c r="B30" s="90">
        <f>IF('Daily Data'!E30="","",'Daily Data'!E30)</f>
        <v/>
      </c>
      <c r="C30" s="65" t="n">
        <v>22.08</v>
      </c>
      <c r="D30" s="94" t="n">
        <v>76325.70999999903</v>
      </c>
      <c r="E30" s="94" t="n">
        <v>26557.3341</v>
      </c>
      <c r="F30" s="94" t="n">
        <v>515.1838</v>
      </c>
      <c r="G30" s="94" t="n"/>
      <c r="H30" s="95">
        <f>SUM($G$4:G30)</f>
        <v/>
      </c>
      <c r="I30" s="94" t="n">
        <v>1000000000</v>
      </c>
      <c r="J30" s="95">
        <f>J29-E30</f>
        <v/>
      </c>
      <c r="K30" s="94" t="n">
        <v>60000000</v>
      </c>
      <c r="L30" s="94" t="n">
        <v>13665773.68</v>
      </c>
      <c r="M30" s="94" t="n">
        <v>3000000</v>
      </c>
      <c r="N30" s="94" t="n">
        <v>136995.0641000271</v>
      </c>
      <c r="O30" s="96">
        <f>IF(OR(I30="",J30="",L30="",N30=""),"",I30-J30-K30-L30-M30-N30)</f>
        <v/>
      </c>
      <c r="P30" s="91">
        <f>IF(OR(O30="",C30=""),"",O30*C30)</f>
        <v/>
      </c>
      <c r="Q30" s="69">
        <f>Q29-E30</f>
        <v/>
      </c>
      <c r="R30" s="97">
        <f>IF(OR(J30="",Q30=""),"",J30-Q30)</f>
        <v/>
      </c>
      <c r="S30" s="69">
        <f>IF(D30="",S29,S29+D30)</f>
        <v/>
      </c>
      <c r="T30" s="97">
        <f>IF(OR(L30="",S30=""),"",L30-S30)</f>
        <v/>
      </c>
      <c r="U30" s="69">
        <f>IF(F30="",U29,U29+F30)</f>
        <v/>
      </c>
      <c r="V30" s="97">
        <f>IF(OR(N30="",U30=""),"",N30-U30)</f>
        <v/>
      </c>
      <c r="W30" s="71">
        <f>IF(OR(C30="",C30=0,'Daily Data'!J30=""),"",'Daily Data'!J30/C30)</f>
        <v/>
      </c>
      <c r="X30" s="71">
        <f>IF(OR(C30="",C30=0,'Daily Data'!K30=""),"",'Daily Data'!K30/C30)</f>
        <v/>
      </c>
      <c r="Y30" s="71">
        <f>IF(OR(F30="",W30="",X30=""),"",F30-W30-X30)</f>
        <v/>
      </c>
      <c r="Z30" s="72" t="n">
        <v>363.65</v>
      </c>
      <c r="AA30" s="72" t="n">
        <v>64.17</v>
      </c>
      <c r="AB30" s="73">
        <f>Z30+AA30</f>
        <v/>
      </c>
      <c r="AC30" s="74">
        <f>IF(OR(E30="",E30=0,AB30=""),"",E30*365/(AB30*1000000))</f>
        <v/>
      </c>
      <c r="AD30" s="98">
        <f>IF(OR(O30="",O30=0,AB30=""),"",(AB30*1000000)/O30)</f>
        <v/>
      </c>
      <c r="AE30" s="99">
        <f>IF(H30="","",(Team_Genesis-H30)/1000000)</f>
        <v/>
      </c>
      <c r="AF30" s="99">
        <f>IF(OR(O30="",AE30=""),"",(O30-AE30*1000000)/1000000)</f>
        <v/>
      </c>
    </row>
    <row r="31">
      <c r="A31" s="35" t="n">
        <v>45685</v>
      </c>
      <c r="B31" s="90">
        <f>IF('Daily Data'!E31="","",'Daily Data'!E31)</f>
        <v/>
      </c>
      <c r="C31" s="65" t="n">
        <v>23.38</v>
      </c>
      <c r="D31" s="94" t="n">
        <v>98548.05000000075</v>
      </c>
      <c r="E31" s="94" t="n">
        <v>26537.8436</v>
      </c>
      <c r="F31" s="94" t="n">
        <v>1494.8576</v>
      </c>
      <c r="G31" s="94" t="n"/>
      <c r="H31" s="95">
        <f>SUM($G$4:G31)</f>
        <v/>
      </c>
      <c r="I31" s="94" t="n">
        <v>1000000000</v>
      </c>
      <c r="J31" s="95">
        <f>J30-E31</f>
        <v/>
      </c>
      <c r="K31" s="94" t="n">
        <v>60000000</v>
      </c>
      <c r="L31" s="94" t="n">
        <v>13764321.73</v>
      </c>
      <c r="M31" s="94" t="n">
        <v>3000000</v>
      </c>
      <c r="N31" s="94" t="n">
        <v>138489.9217000008</v>
      </c>
      <c r="O31" s="96">
        <f>IF(OR(I31="",J31="",L31="",N31=""),"",I31-J31-K31-L31-M31-N31)</f>
        <v/>
      </c>
      <c r="P31" s="91">
        <f>IF(OR(O31="",C31=""),"",O31*C31)</f>
        <v/>
      </c>
      <c r="Q31" s="69">
        <f>Q30-E31</f>
        <v/>
      </c>
      <c r="R31" s="97">
        <f>IF(OR(J31="",Q31=""),"",J31-Q31)</f>
        <v/>
      </c>
      <c r="S31" s="69">
        <f>IF(D31="",S30,S30+D31)</f>
        <v/>
      </c>
      <c r="T31" s="97">
        <f>IF(OR(L31="",S31=""),"",L31-S31)</f>
        <v/>
      </c>
      <c r="U31" s="69">
        <f>IF(F31="",U30,U30+F31)</f>
        <v/>
      </c>
      <c r="V31" s="97">
        <f>IF(OR(N31="",U31=""),"",N31-U31)</f>
        <v/>
      </c>
      <c r="W31" s="71">
        <f>IF(OR(C31="",C31=0,'Daily Data'!J31=""),"",'Daily Data'!J31/C31)</f>
        <v/>
      </c>
      <c r="X31" s="71">
        <f>IF(OR(C31="",C31=0,'Daily Data'!K31=""),"",'Daily Data'!K31/C31)</f>
        <v/>
      </c>
      <c r="Y31" s="71">
        <f>IF(OR(F31="",W31="",X31=""),"",F31-W31-X31)</f>
        <v/>
      </c>
      <c r="Z31" s="72" t="n">
        <v>363.65</v>
      </c>
      <c r="AA31" s="72" t="n">
        <v>64.17</v>
      </c>
      <c r="AB31" s="73">
        <f>Z31+AA31</f>
        <v/>
      </c>
      <c r="AC31" s="74">
        <f>IF(OR(E31="",E31=0,AB31=""),"",E31*365/(AB31*1000000))</f>
        <v/>
      </c>
      <c r="AD31" s="98">
        <f>IF(OR(O31="",O31=0,AB31=""),"",(AB31*1000000)/O31)</f>
        <v/>
      </c>
      <c r="AE31" s="99">
        <f>IF(H31="","",(Team_Genesis-H31)/1000000)</f>
        <v/>
      </c>
      <c r="AF31" s="99">
        <f>IF(OR(O31="",AE31=""),"",(O31-AE31*1000000)/1000000)</f>
        <v/>
      </c>
    </row>
    <row r="32">
      <c r="A32" s="35" t="n">
        <v>45686</v>
      </c>
      <c r="B32" s="90">
        <f>IF('Daily Data'!E32="","",'Daily Data'!E32)</f>
        <v/>
      </c>
      <c r="C32" s="65" t="n">
        <v>22.28</v>
      </c>
      <c r="D32" s="94" t="n">
        <v>65908.87999999896</v>
      </c>
      <c r="E32" s="94" t="n">
        <v>26534.2908</v>
      </c>
      <c r="F32" s="94" t="n">
        <v>925.2888</v>
      </c>
      <c r="G32" s="94" t="n"/>
      <c r="H32" s="95">
        <f>SUM($G$4:G32)</f>
        <v/>
      </c>
      <c r="I32" s="94" t="n">
        <v>1000000000</v>
      </c>
      <c r="J32" s="95">
        <f>J31-E32</f>
        <v/>
      </c>
      <c r="K32" s="94" t="n">
        <v>60000000</v>
      </c>
      <c r="L32" s="94" t="n">
        <v>13830230.61</v>
      </c>
      <c r="M32" s="94" t="n">
        <v>3000000</v>
      </c>
      <c r="N32" s="94" t="n">
        <v>139415.2105000019</v>
      </c>
      <c r="O32" s="96">
        <f>IF(OR(I32="",J32="",L32="",N32=""),"",I32-J32-K32-L32-M32-N32)</f>
        <v/>
      </c>
      <c r="P32" s="91">
        <f>IF(OR(O32="",C32=""),"",O32*C32)</f>
        <v/>
      </c>
      <c r="Q32" s="69">
        <f>Q31-E32</f>
        <v/>
      </c>
      <c r="R32" s="97">
        <f>IF(OR(J32="",Q32=""),"",J32-Q32)</f>
        <v/>
      </c>
      <c r="S32" s="69">
        <f>IF(D32="",S31,S31+D32)</f>
        <v/>
      </c>
      <c r="T32" s="97">
        <f>IF(OR(L32="",S32=""),"",L32-S32)</f>
        <v/>
      </c>
      <c r="U32" s="69">
        <f>IF(F32="",U31,U31+F32)</f>
        <v/>
      </c>
      <c r="V32" s="97">
        <f>IF(OR(N32="",U32=""),"",N32-U32)</f>
        <v/>
      </c>
      <c r="W32" s="71">
        <f>IF(OR(C32="",C32=0,'Daily Data'!J32=""),"",'Daily Data'!J32/C32)</f>
        <v/>
      </c>
      <c r="X32" s="71">
        <f>IF(OR(C32="",C32=0,'Daily Data'!K32=""),"",'Daily Data'!K32/C32)</f>
        <v/>
      </c>
      <c r="Y32" s="71">
        <f>IF(OR(F32="",W32="",X32=""),"",F32-W32-X32)</f>
        <v/>
      </c>
      <c r="Z32" s="72" t="n">
        <v>363.65</v>
      </c>
      <c r="AA32" s="72" t="n">
        <v>64.17</v>
      </c>
      <c r="AB32" s="73">
        <f>Z32+AA32</f>
        <v/>
      </c>
      <c r="AC32" s="74">
        <f>IF(OR(E32="",E32=0,AB32=""),"",E32*365/(AB32*1000000))</f>
        <v/>
      </c>
      <c r="AD32" s="98">
        <f>IF(OR(O32="",O32=0,AB32=""),"",(AB32*1000000)/O32)</f>
        <v/>
      </c>
      <c r="AE32" s="99">
        <f>IF(H32="","",(Team_Genesis-H32)/1000000)</f>
        <v/>
      </c>
      <c r="AF32" s="99">
        <f>IF(OR(O32="",AE32=""),"",(O32-AE32*1000000)/1000000)</f>
        <v/>
      </c>
    </row>
    <row r="33">
      <c r="A33" s="35" t="n">
        <v>45687</v>
      </c>
      <c r="B33" s="90">
        <f>IF('Daily Data'!E33="","",'Daily Data'!E33)</f>
        <v/>
      </c>
      <c r="C33" s="65" t="n">
        <v>23.75</v>
      </c>
      <c r="D33" s="94" t="n">
        <v>86710.35000000149</v>
      </c>
      <c r="E33" s="94" t="n">
        <v>26544.8787</v>
      </c>
      <c r="F33" s="94" t="n">
        <v>730.3546</v>
      </c>
      <c r="G33" s="94" t="n"/>
      <c r="H33" s="95">
        <f>SUM($G$4:G33)</f>
        <v/>
      </c>
      <c r="I33" s="94" t="n">
        <v>1000000000</v>
      </c>
      <c r="J33" s="95">
        <f>J32-E33</f>
        <v/>
      </c>
      <c r="K33" s="94" t="n">
        <v>60000000</v>
      </c>
      <c r="L33" s="94" t="n">
        <v>13916940.96</v>
      </c>
      <c r="M33" s="94" t="n">
        <v>3000000</v>
      </c>
      <c r="N33" s="94" t="n">
        <v>140145.5650999546</v>
      </c>
      <c r="O33" s="96">
        <f>IF(OR(I33="",J33="",L33="",N33=""),"",I33-J33-K33-L33-M33-N33)</f>
        <v/>
      </c>
      <c r="P33" s="91">
        <f>IF(OR(O33="",C33=""),"",O33*C33)</f>
        <v/>
      </c>
      <c r="Q33" s="69">
        <f>Q32-E33</f>
        <v/>
      </c>
      <c r="R33" s="97">
        <f>IF(OR(J33="",Q33=""),"",J33-Q33)</f>
        <v/>
      </c>
      <c r="S33" s="69">
        <f>IF(D33="",S32,S32+D33)</f>
        <v/>
      </c>
      <c r="T33" s="97">
        <f>IF(OR(L33="",S33=""),"",L33-S33)</f>
        <v/>
      </c>
      <c r="U33" s="69">
        <f>IF(F33="",U32,U32+F33)</f>
        <v/>
      </c>
      <c r="V33" s="97">
        <f>IF(OR(N33="",U33=""),"",N33-U33)</f>
        <v/>
      </c>
      <c r="W33" s="71">
        <f>IF(OR(C33="",C33=0,'Daily Data'!J33=""),"",'Daily Data'!J33/C33)</f>
        <v/>
      </c>
      <c r="X33" s="71">
        <f>IF(OR(C33="",C33=0,'Daily Data'!K33=""),"",'Daily Data'!K33/C33)</f>
        <v/>
      </c>
      <c r="Y33" s="71">
        <f>IF(OR(F33="",W33="",X33=""),"",F33-W33-X33)</f>
        <v/>
      </c>
      <c r="Z33" s="72" t="n">
        <v>363.65</v>
      </c>
      <c r="AA33" s="72" t="n">
        <v>64.17</v>
      </c>
      <c r="AB33" s="73">
        <f>Z33+AA33</f>
        <v/>
      </c>
      <c r="AC33" s="74">
        <f>IF(OR(E33="",E33=0,AB33=""),"",E33*365/(AB33*1000000))</f>
        <v/>
      </c>
      <c r="AD33" s="98">
        <f>IF(OR(O33="",O33=0,AB33=""),"",(AB33*1000000)/O33)</f>
        <v/>
      </c>
      <c r="AE33" s="99">
        <f>IF(H33="","",(Team_Genesis-H33)/1000000)</f>
        <v/>
      </c>
      <c r="AF33" s="99">
        <f>IF(OR(O33="",AE33=""),"",(O33-AE33*1000000)/1000000)</f>
        <v/>
      </c>
    </row>
    <row r="34">
      <c r="A34" s="35" t="n">
        <v>45688</v>
      </c>
      <c r="B34" s="90">
        <f>IF('Daily Data'!E34="","",'Daily Data'!E34)</f>
        <v/>
      </c>
      <c r="C34" s="65" t="n">
        <v>26.19</v>
      </c>
      <c r="D34" s="94" t="n">
        <v>39113.89999999851</v>
      </c>
      <c r="E34" s="94" t="n">
        <v>32252.7151</v>
      </c>
      <c r="F34" s="94" t="n">
        <v>1669.5925</v>
      </c>
      <c r="G34" s="94" t="n"/>
      <c r="H34" s="95">
        <f>SUM($G$4:G34)</f>
        <v/>
      </c>
      <c r="I34" s="94" t="n">
        <v>1000000000</v>
      </c>
      <c r="J34" s="95">
        <f>J33-E34</f>
        <v/>
      </c>
      <c r="K34" s="94" t="n">
        <v>60000000</v>
      </c>
      <c r="L34" s="94" t="n">
        <v>13956054.86</v>
      </c>
      <c r="M34" s="94" t="n">
        <v>3000000</v>
      </c>
      <c r="N34" s="94" t="n">
        <v>141815.1575000286</v>
      </c>
      <c r="O34" s="96">
        <f>IF(OR(I34="",J34="",L34="",N34=""),"",I34-J34-K34-L34-M34-N34)</f>
        <v/>
      </c>
      <c r="P34" s="91">
        <f>IF(OR(O34="",C34=""),"",O34*C34)</f>
        <v/>
      </c>
      <c r="Q34" s="69">
        <f>Q33-E34</f>
        <v/>
      </c>
      <c r="R34" s="97">
        <f>IF(OR(J34="",Q34=""),"",J34-Q34)</f>
        <v/>
      </c>
      <c r="S34" s="69">
        <f>IF(D34="",S33,S33+D34)</f>
        <v/>
      </c>
      <c r="T34" s="97">
        <f>IF(OR(L34="",S34=""),"",L34-S34)</f>
        <v/>
      </c>
      <c r="U34" s="69">
        <f>IF(F34="",U33,U33+F34)</f>
        <v/>
      </c>
      <c r="V34" s="97">
        <f>IF(OR(N34="",U34=""),"",N34-U34)</f>
        <v/>
      </c>
      <c r="W34" s="71">
        <f>IF(OR(C34="",C34=0,'Daily Data'!J34=""),"",'Daily Data'!J34/C34)</f>
        <v/>
      </c>
      <c r="X34" s="71">
        <f>IF(OR(C34="",C34=0,'Daily Data'!K34=""),"",'Daily Data'!K34/C34)</f>
        <v/>
      </c>
      <c r="Y34" s="71">
        <f>IF(OR(F34="",W34="",X34=""),"",F34-W34-X34)</f>
        <v/>
      </c>
      <c r="Z34" s="72" t="n">
        <v>363.65</v>
      </c>
      <c r="AA34" s="72" t="n">
        <v>64.17</v>
      </c>
      <c r="AB34" s="73">
        <f>Z34+AA34</f>
        <v/>
      </c>
      <c r="AC34" s="74">
        <f>IF(OR(E34="",E34=0,AB34=""),"",E34*365/(AB34*1000000))</f>
        <v/>
      </c>
      <c r="AD34" s="98">
        <f>IF(OR(O34="",O34=0,AB34=""),"",(AB34*1000000)/O34)</f>
        <v/>
      </c>
      <c r="AE34" s="99">
        <f>IF(H34="","",(Team_Genesis-H34)/1000000)</f>
        <v/>
      </c>
      <c r="AF34" s="99">
        <f>IF(OR(O34="",AE34=""),"",(O34-AE34*1000000)/1000000)</f>
        <v/>
      </c>
    </row>
    <row r="35">
      <c r="A35" s="35" t="n">
        <v>45689</v>
      </c>
      <c r="B35" s="90">
        <f>IF('Daily Data'!E35="","",'Daily Data'!E35)</f>
        <v/>
      </c>
      <c r="C35" s="65" t="n">
        <v>26.92</v>
      </c>
      <c r="D35" s="94" t="n">
        <v>68264.31000000052</v>
      </c>
      <c r="E35" s="94" t="n">
        <v>20850.6254</v>
      </c>
      <c r="F35" s="94" t="n">
        <v>797.4358</v>
      </c>
      <c r="G35" s="94" t="n"/>
      <c r="H35" s="95">
        <f>SUM($G$4:G35)</f>
        <v/>
      </c>
      <c r="I35" s="94" t="n">
        <v>1000000000</v>
      </c>
      <c r="J35" s="95">
        <f>J34-E35</f>
        <v/>
      </c>
      <c r="K35" s="94" t="n">
        <v>60000000</v>
      </c>
      <c r="L35" s="94" t="n">
        <v>14024319.17</v>
      </c>
      <c r="M35" s="94" t="n">
        <v>3000000</v>
      </c>
      <c r="N35" s="94" t="n">
        <v>142612.5932999849</v>
      </c>
      <c r="O35" s="96">
        <f>IF(OR(I35="",J35="",L35="",N35=""),"",I35-J35-K35-L35-M35-N35)</f>
        <v/>
      </c>
      <c r="P35" s="91">
        <f>IF(OR(O35="",C35=""),"",O35*C35)</f>
        <v/>
      </c>
      <c r="Q35" s="69">
        <f>Q34-E35</f>
        <v/>
      </c>
      <c r="R35" s="97">
        <f>IF(OR(J35="",Q35=""),"",J35-Q35)</f>
        <v/>
      </c>
      <c r="S35" s="69">
        <f>IF(D35="",S34,S34+D35)</f>
        <v/>
      </c>
      <c r="T35" s="97">
        <f>IF(OR(L35="",S35=""),"",L35-S35)</f>
        <v/>
      </c>
      <c r="U35" s="69">
        <f>IF(F35="",U34,U34+F35)</f>
        <v/>
      </c>
      <c r="V35" s="97">
        <f>IF(OR(N35="",U35=""),"",N35-U35)</f>
        <v/>
      </c>
      <c r="W35" s="71">
        <f>IF(OR(C35="",C35=0,'Daily Data'!J35=""),"",'Daily Data'!J35/C35)</f>
        <v/>
      </c>
      <c r="X35" s="71">
        <f>IF(OR(C35="",C35=0,'Daily Data'!K35=""),"",'Daily Data'!K35/C35)</f>
        <v/>
      </c>
      <c r="Y35" s="71">
        <f>IF(OR(F35="",W35="",X35=""),"",F35-W35-X35)</f>
        <v/>
      </c>
      <c r="Z35" s="72" t="n">
        <v>358.55</v>
      </c>
      <c r="AA35" s="72" t="n">
        <v>63.27</v>
      </c>
      <c r="AB35" s="73">
        <f>Z35+AA35</f>
        <v/>
      </c>
      <c r="AC35" s="74">
        <f>IF(OR(E35="",E35=0,AB35=""),"",E35*365/(AB35*1000000))</f>
        <v/>
      </c>
      <c r="AD35" s="98">
        <f>IF(OR(O35="",O35=0,AB35=""),"",(AB35*1000000)/O35)</f>
        <v/>
      </c>
      <c r="AE35" s="99">
        <f>IF(H35="","",(Team_Genesis-H35)/1000000)</f>
        <v/>
      </c>
      <c r="AF35" s="99">
        <f>IF(OR(O35="",AE35=""),"",(O35-AE35*1000000)/1000000)</f>
        <v/>
      </c>
    </row>
    <row r="36">
      <c r="A36" s="35" t="n">
        <v>45690</v>
      </c>
      <c r="B36" s="90">
        <f>IF('Daily Data'!E36="","",'Daily Data'!E36)</f>
        <v/>
      </c>
      <c r="C36" s="65" t="n">
        <v>23.17</v>
      </c>
      <c r="D36" s="94" t="n">
        <v>65528.55000000075</v>
      </c>
      <c r="E36" s="94" t="n">
        <v>26556.9092</v>
      </c>
      <c r="F36" s="94" t="n">
        <v>1144.1562</v>
      </c>
      <c r="G36" s="94" t="n"/>
      <c r="H36" s="95">
        <f>SUM($G$4:G36)</f>
        <v/>
      </c>
      <c r="I36" s="94" t="n">
        <v>1000000000</v>
      </c>
      <c r="J36" s="95">
        <f>J35-E36</f>
        <v/>
      </c>
      <c r="K36" s="94" t="n">
        <v>60000000</v>
      </c>
      <c r="L36" s="94" t="n">
        <v>14089847.72</v>
      </c>
      <c r="M36" s="94" t="n">
        <v>3000000</v>
      </c>
      <c r="N36" s="94" t="n">
        <v>143756.7495000362</v>
      </c>
      <c r="O36" s="96">
        <f>IF(OR(I36="",J36="",L36="",N36=""),"",I36-J36-K36-L36-M36-N36)</f>
        <v/>
      </c>
      <c r="P36" s="91">
        <f>IF(OR(O36="",C36=""),"",O36*C36)</f>
        <v/>
      </c>
      <c r="Q36" s="69">
        <f>Q35-E36</f>
        <v/>
      </c>
      <c r="R36" s="97">
        <f>IF(OR(J36="",Q36=""),"",J36-Q36)</f>
        <v/>
      </c>
      <c r="S36" s="69">
        <f>IF(D36="",S35,S35+D36)</f>
        <v/>
      </c>
      <c r="T36" s="97">
        <f>IF(OR(L36="",S36=""),"",L36-S36)</f>
        <v/>
      </c>
      <c r="U36" s="69">
        <f>IF(F36="",U35,U35+F36)</f>
        <v/>
      </c>
      <c r="V36" s="97">
        <f>IF(OR(N36="",U36=""),"",N36-U36)</f>
        <v/>
      </c>
      <c r="W36" s="71">
        <f>IF(OR(C36="",C36=0,'Daily Data'!J36=""),"",'Daily Data'!J36/C36)</f>
        <v/>
      </c>
      <c r="X36" s="71">
        <f>IF(OR(C36="",C36=0,'Daily Data'!K36=""),"",'Daily Data'!K36/C36)</f>
        <v/>
      </c>
      <c r="Y36" s="71">
        <f>IF(OR(F36="",W36="",X36=""),"",F36-W36-X36)</f>
        <v/>
      </c>
      <c r="Z36" s="72" t="n">
        <v>358.55</v>
      </c>
      <c r="AA36" s="72" t="n">
        <v>63.27</v>
      </c>
      <c r="AB36" s="73">
        <f>Z36+AA36</f>
        <v/>
      </c>
      <c r="AC36" s="74">
        <f>IF(OR(E36="",E36=0,AB36=""),"",E36*365/(AB36*1000000))</f>
        <v/>
      </c>
      <c r="AD36" s="98">
        <f>IF(OR(O36="",O36=0,AB36=""),"",(AB36*1000000)/O36)</f>
        <v/>
      </c>
      <c r="AE36" s="99">
        <f>IF(H36="","",(Team_Genesis-H36)/1000000)</f>
        <v/>
      </c>
      <c r="AF36" s="99">
        <f>IF(OR(O36="",AE36=""),"",(O36-AE36*1000000)/1000000)</f>
        <v/>
      </c>
    </row>
    <row r="37">
      <c r="A37" s="35" t="n">
        <v>45691</v>
      </c>
      <c r="B37" s="90">
        <f>IF('Daily Data'!E37="","",'Daily Data'!E37)</f>
        <v/>
      </c>
      <c r="C37" s="65" t="n">
        <v>22.32</v>
      </c>
      <c r="D37" s="94" t="n">
        <v>170472.459999999</v>
      </c>
      <c r="E37" s="94" t="n">
        <v>26546.4187</v>
      </c>
      <c r="F37" s="94" t="n">
        <v>1529.404</v>
      </c>
      <c r="G37" s="94" t="n"/>
      <c r="H37" s="95">
        <f>SUM($G$4:G37)</f>
        <v/>
      </c>
      <c r="I37" s="94" t="n">
        <v>1000000000</v>
      </c>
      <c r="J37" s="95">
        <f>J36-E37</f>
        <v/>
      </c>
      <c r="K37" s="94" t="n">
        <v>60000000</v>
      </c>
      <c r="L37" s="94" t="n">
        <v>14260320.18</v>
      </c>
      <c r="M37" s="94" t="n">
        <v>3000000</v>
      </c>
      <c r="N37" s="94" t="n">
        <v>145286.1534999609</v>
      </c>
      <c r="O37" s="96">
        <f>IF(OR(I37="",J37="",L37="",N37=""),"",I37-J37-K37-L37-M37-N37)</f>
        <v/>
      </c>
      <c r="P37" s="91">
        <f>IF(OR(O37="",C37=""),"",O37*C37)</f>
        <v/>
      </c>
      <c r="Q37" s="69">
        <f>Q36-E37</f>
        <v/>
      </c>
      <c r="R37" s="97">
        <f>IF(OR(J37="",Q37=""),"",J37-Q37)</f>
        <v/>
      </c>
      <c r="S37" s="69">
        <f>IF(D37="",S36,S36+D37)</f>
        <v/>
      </c>
      <c r="T37" s="97">
        <f>IF(OR(L37="",S37=""),"",L37-S37)</f>
        <v/>
      </c>
      <c r="U37" s="69">
        <f>IF(F37="",U36,U36+F37)</f>
        <v/>
      </c>
      <c r="V37" s="97">
        <f>IF(OR(N37="",U37=""),"",N37-U37)</f>
        <v/>
      </c>
      <c r="W37" s="71">
        <f>IF(OR(C37="",C37=0,'Daily Data'!J37=""),"",'Daily Data'!J37/C37)</f>
        <v/>
      </c>
      <c r="X37" s="71">
        <f>IF(OR(C37="",C37=0,'Daily Data'!K37=""),"",'Daily Data'!K37/C37)</f>
        <v/>
      </c>
      <c r="Y37" s="71">
        <f>IF(OR(F37="",W37="",X37=""),"",F37-W37-X37)</f>
        <v/>
      </c>
      <c r="Z37" s="72" t="n">
        <v>358.55</v>
      </c>
      <c r="AA37" s="72" t="n">
        <v>63.27</v>
      </c>
      <c r="AB37" s="73">
        <f>Z37+AA37</f>
        <v/>
      </c>
      <c r="AC37" s="74">
        <f>IF(OR(E37="",E37=0,AB37=""),"",E37*365/(AB37*1000000))</f>
        <v/>
      </c>
      <c r="AD37" s="98">
        <f>IF(OR(O37="",O37=0,AB37=""),"",(AB37*1000000)/O37)</f>
        <v/>
      </c>
      <c r="AE37" s="99">
        <f>IF(H37="","",(Team_Genesis-H37)/1000000)</f>
        <v/>
      </c>
      <c r="AF37" s="99">
        <f>IF(OR(O37="",AE37=""),"",(O37-AE37*1000000)/1000000)</f>
        <v/>
      </c>
    </row>
    <row r="38">
      <c r="A38" s="35" t="n">
        <v>45692</v>
      </c>
      <c r="B38" s="90">
        <f>IF('Daily Data'!E38="","",'Daily Data'!E38)</f>
        <v/>
      </c>
      <c r="C38" s="65" t="n">
        <v>25.19</v>
      </c>
      <c r="D38" s="94" t="n">
        <v>107026.5600000005</v>
      </c>
      <c r="E38" s="94" t="n">
        <v>26535.1684</v>
      </c>
      <c r="F38" s="94" t="n">
        <v>2737.9562</v>
      </c>
      <c r="G38" s="94" t="n"/>
      <c r="H38" s="95">
        <f>SUM($G$4:G38)</f>
        <v/>
      </c>
      <c r="I38" s="94" t="n">
        <v>1000000000</v>
      </c>
      <c r="J38" s="95">
        <f>J37-E38</f>
        <v/>
      </c>
      <c r="K38" s="94" t="n">
        <v>60000000</v>
      </c>
      <c r="L38" s="94" t="n">
        <v>14367346.74</v>
      </c>
      <c r="M38" s="94" t="n">
        <v>3000000</v>
      </c>
      <c r="N38" s="94" t="n">
        <v>148024.1096999645</v>
      </c>
      <c r="O38" s="96">
        <f>IF(OR(I38="",J38="",L38="",N38=""),"",I38-J38-K38-L38-M38-N38)</f>
        <v/>
      </c>
      <c r="P38" s="91">
        <f>IF(OR(O38="",C38=""),"",O38*C38)</f>
        <v/>
      </c>
      <c r="Q38" s="69">
        <f>Q37-E38</f>
        <v/>
      </c>
      <c r="R38" s="97">
        <f>IF(OR(J38="",Q38=""),"",J38-Q38)</f>
        <v/>
      </c>
      <c r="S38" s="69">
        <f>IF(D38="",S37,S37+D38)</f>
        <v/>
      </c>
      <c r="T38" s="97">
        <f>IF(OR(L38="",S38=""),"",L38-S38)</f>
        <v/>
      </c>
      <c r="U38" s="69">
        <f>IF(F38="",U37,U37+F38)</f>
        <v/>
      </c>
      <c r="V38" s="97">
        <f>IF(OR(N38="",U38=""),"",N38-U38)</f>
        <v/>
      </c>
      <c r="W38" s="71">
        <f>IF(OR(C38="",C38=0,'Daily Data'!J38=""),"",'Daily Data'!J38/C38)</f>
        <v/>
      </c>
      <c r="X38" s="71">
        <f>IF(OR(C38="",C38=0,'Daily Data'!K38=""),"",'Daily Data'!K38/C38)</f>
        <v/>
      </c>
      <c r="Y38" s="71">
        <f>IF(OR(F38="",W38="",X38=""),"",F38-W38-X38)</f>
        <v/>
      </c>
      <c r="Z38" s="72" t="n">
        <v>358.55</v>
      </c>
      <c r="AA38" s="72" t="n">
        <v>63.27</v>
      </c>
      <c r="AB38" s="73">
        <f>Z38+AA38</f>
        <v/>
      </c>
      <c r="AC38" s="74">
        <f>IF(OR(E38="",E38=0,AB38=""),"",E38*365/(AB38*1000000))</f>
        <v/>
      </c>
      <c r="AD38" s="98">
        <f>IF(OR(O38="",O38=0,AB38=""),"",(AB38*1000000)/O38)</f>
        <v/>
      </c>
      <c r="AE38" s="99">
        <f>IF(H38="","",(Team_Genesis-H38)/1000000)</f>
        <v/>
      </c>
      <c r="AF38" s="99">
        <f>IF(OR(O38="",AE38=""),"",(O38-AE38*1000000)/1000000)</f>
        <v/>
      </c>
    </row>
    <row r="39">
      <c r="A39" s="35" t="n">
        <v>45693</v>
      </c>
      <c r="B39" s="90">
        <f>IF('Daily Data'!E39="","",'Daily Data'!E39)</f>
        <v/>
      </c>
      <c r="C39" s="65" t="n">
        <v>25.14</v>
      </c>
      <c r="D39" s="94" t="n">
        <v>79638.15000000037</v>
      </c>
      <c r="E39" s="94" t="n">
        <v>26543.4731</v>
      </c>
      <c r="F39" s="94" t="n">
        <v>1264.3163</v>
      </c>
      <c r="G39" s="94" t="n"/>
      <c r="H39" s="95">
        <f>SUM($G$4:G39)</f>
        <v/>
      </c>
      <c r="I39" s="94" t="n">
        <v>1000000000</v>
      </c>
      <c r="J39" s="95">
        <f>J38-E39</f>
        <v/>
      </c>
      <c r="K39" s="94" t="n">
        <v>60000000</v>
      </c>
      <c r="L39" s="94" t="n">
        <v>14446984.89</v>
      </c>
      <c r="M39" s="94" t="n">
        <v>3000000</v>
      </c>
      <c r="N39" s="94" t="n">
        <v>149288.4261000156</v>
      </c>
      <c r="O39" s="96">
        <f>IF(OR(I39="",J39="",L39="",N39=""),"",I39-J39-K39-L39-M39-N39)</f>
        <v/>
      </c>
      <c r="P39" s="91">
        <f>IF(OR(O39="",C39=""),"",O39*C39)</f>
        <v/>
      </c>
      <c r="Q39" s="69">
        <f>Q38-E39</f>
        <v/>
      </c>
      <c r="R39" s="97">
        <f>IF(OR(J39="",Q39=""),"",J39-Q39)</f>
        <v/>
      </c>
      <c r="S39" s="69">
        <f>IF(D39="",S38,S38+D39)</f>
        <v/>
      </c>
      <c r="T39" s="97">
        <f>IF(OR(L39="",S39=""),"",L39-S39)</f>
        <v/>
      </c>
      <c r="U39" s="69">
        <f>IF(F39="",U38,U38+F39)</f>
        <v/>
      </c>
      <c r="V39" s="97">
        <f>IF(OR(N39="",U39=""),"",N39-U39)</f>
        <v/>
      </c>
      <c r="W39" s="71">
        <f>IF(OR(C39="",C39=0,'Daily Data'!J39=""),"",'Daily Data'!J39/C39)</f>
        <v/>
      </c>
      <c r="X39" s="71">
        <f>IF(OR(C39="",C39=0,'Daily Data'!K39=""),"",'Daily Data'!K39/C39)</f>
        <v/>
      </c>
      <c r="Y39" s="71">
        <f>IF(OR(F39="",W39="",X39=""),"",F39-W39-X39)</f>
        <v/>
      </c>
      <c r="Z39" s="72" t="n">
        <v>358.55</v>
      </c>
      <c r="AA39" s="72" t="n">
        <v>63.27</v>
      </c>
      <c r="AB39" s="73">
        <f>Z39+AA39</f>
        <v/>
      </c>
      <c r="AC39" s="74">
        <f>IF(OR(E39="",E39=0,AB39=""),"",E39*365/(AB39*1000000))</f>
        <v/>
      </c>
      <c r="AD39" s="98">
        <f>IF(OR(O39="",O39=0,AB39=""),"",(AB39*1000000)/O39)</f>
        <v/>
      </c>
      <c r="AE39" s="99">
        <f>IF(H39="","",(Team_Genesis-H39)/1000000)</f>
        <v/>
      </c>
      <c r="AF39" s="99">
        <f>IF(OR(O39="",AE39=""),"",(O39-AE39*1000000)/1000000)</f>
        <v/>
      </c>
    </row>
    <row r="40">
      <c r="A40" s="35" t="n">
        <v>45694</v>
      </c>
      <c r="B40" s="90">
        <f>IF('Daily Data'!E40="","",'Daily Data'!E40)</f>
        <v/>
      </c>
      <c r="C40" s="65" t="n">
        <v>24.75</v>
      </c>
      <c r="D40" s="94" t="n">
        <v>49755.99000000022</v>
      </c>
      <c r="E40" s="94" t="n">
        <v>26548.785</v>
      </c>
      <c r="F40" s="94" t="n">
        <v>989.8233</v>
      </c>
      <c r="G40" s="94" t="n"/>
      <c r="H40" s="95">
        <f>SUM($G$4:G40)</f>
        <v/>
      </c>
      <c r="I40" s="94" t="n">
        <v>1000000000</v>
      </c>
      <c r="J40" s="95">
        <f>J39-E40</f>
        <v/>
      </c>
      <c r="K40" s="94" t="n">
        <v>60000000</v>
      </c>
      <c r="L40" s="94" t="n">
        <v>14496740.88</v>
      </c>
      <c r="M40" s="94" t="n">
        <v>3000000</v>
      </c>
      <c r="N40" s="94" t="n">
        <v>150278.2494000196</v>
      </c>
      <c r="O40" s="96">
        <f>IF(OR(I40="",J40="",L40="",N40=""),"",I40-J40-K40-L40-M40-N40)</f>
        <v/>
      </c>
      <c r="P40" s="91">
        <f>IF(OR(O40="",C40=""),"",O40*C40)</f>
        <v/>
      </c>
      <c r="Q40" s="69">
        <f>Q39-E40</f>
        <v/>
      </c>
      <c r="R40" s="97">
        <f>IF(OR(J40="",Q40=""),"",J40-Q40)</f>
        <v/>
      </c>
      <c r="S40" s="69">
        <f>IF(D40="",S39,S39+D40)</f>
        <v/>
      </c>
      <c r="T40" s="97">
        <f>IF(OR(L40="",S40=""),"",L40-S40)</f>
        <v/>
      </c>
      <c r="U40" s="69">
        <f>IF(F40="",U39,U39+F40)</f>
        <v/>
      </c>
      <c r="V40" s="97">
        <f>IF(OR(N40="",U40=""),"",N40-U40)</f>
        <v/>
      </c>
      <c r="W40" s="71">
        <f>IF(OR(C40="",C40=0,'Daily Data'!J40=""),"",'Daily Data'!J40/C40)</f>
        <v/>
      </c>
      <c r="X40" s="71">
        <f>IF(OR(C40="",C40=0,'Daily Data'!K40=""),"",'Daily Data'!K40/C40)</f>
        <v/>
      </c>
      <c r="Y40" s="71">
        <f>IF(OR(F40="",W40="",X40=""),"",F40-W40-X40)</f>
        <v/>
      </c>
      <c r="Z40" s="72" t="n">
        <v>358.55</v>
      </c>
      <c r="AA40" s="72" t="n">
        <v>63.27</v>
      </c>
      <c r="AB40" s="73">
        <f>Z40+AA40</f>
        <v/>
      </c>
      <c r="AC40" s="74">
        <f>IF(OR(E40="",E40=0,AB40=""),"",E40*365/(AB40*1000000))</f>
        <v/>
      </c>
      <c r="AD40" s="98">
        <f>IF(OR(O40="",O40=0,AB40=""),"",(AB40*1000000)/O40)</f>
        <v/>
      </c>
      <c r="AE40" s="99">
        <f>IF(H40="","",(Team_Genesis-H40)/1000000)</f>
        <v/>
      </c>
      <c r="AF40" s="99">
        <f>IF(OR(O40="",AE40=""),"",(O40-AE40*1000000)/1000000)</f>
        <v/>
      </c>
    </row>
    <row r="41">
      <c r="A41" s="35" t="n">
        <v>45695</v>
      </c>
      <c r="B41" s="90">
        <f>IF('Daily Data'!E41="","",'Daily Data'!E41)</f>
        <v/>
      </c>
      <c r="C41" s="65" t="n">
        <v>23.83</v>
      </c>
      <c r="D41" s="94" t="n">
        <v>60283.50999999978</v>
      </c>
      <c r="E41" s="94" t="n">
        <v>26612.2715</v>
      </c>
      <c r="F41" s="94" t="n">
        <v>827.2076</v>
      </c>
      <c r="G41" s="94" t="n"/>
      <c r="H41" s="95">
        <f>SUM($G$4:G41)</f>
        <v/>
      </c>
      <c r="I41" s="94" t="n">
        <v>1000000000</v>
      </c>
      <c r="J41" s="95">
        <f>J40-E41</f>
        <v/>
      </c>
      <c r="K41" s="94" t="n">
        <v>60000000</v>
      </c>
      <c r="L41" s="94" t="n">
        <v>14557024.39</v>
      </c>
      <c r="M41" s="94" t="n">
        <v>3000000</v>
      </c>
      <c r="N41" s="94" t="n">
        <v>151105.4569000006</v>
      </c>
      <c r="O41" s="96">
        <f>IF(OR(I41="",J41="",L41="",N41=""),"",I41-J41-K41-L41-M41-N41)</f>
        <v/>
      </c>
      <c r="P41" s="91">
        <f>IF(OR(O41="",C41=""),"",O41*C41)</f>
        <v/>
      </c>
      <c r="Q41" s="69">
        <f>Q40-E41</f>
        <v/>
      </c>
      <c r="R41" s="97">
        <f>IF(OR(J41="",Q41=""),"",J41-Q41)</f>
        <v/>
      </c>
      <c r="S41" s="69">
        <f>IF(D41="",S40,S40+D41)</f>
        <v/>
      </c>
      <c r="T41" s="97">
        <f>IF(OR(L41="",S41=""),"",L41-S41)</f>
        <v/>
      </c>
      <c r="U41" s="69">
        <f>IF(F41="",U40,U40+F41)</f>
        <v/>
      </c>
      <c r="V41" s="97">
        <f>IF(OR(N41="",U41=""),"",N41-U41)</f>
        <v/>
      </c>
      <c r="W41" s="71">
        <f>IF(OR(C41="",C41=0,'Daily Data'!J41=""),"",'Daily Data'!J41/C41)</f>
        <v/>
      </c>
      <c r="X41" s="71">
        <f>IF(OR(C41="",C41=0,'Daily Data'!K41=""),"",'Daily Data'!K41/C41)</f>
        <v/>
      </c>
      <c r="Y41" s="71">
        <f>IF(OR(F41="",W41="",X41=""),"",F41-W41-X41)</f>
        <v/>
      </c>
      <c r="Z41" s="72" t="n">
        <v>358.55</v>
      </c>
      <c r="AA41" s="72" t="n">
        <v>63.27</v>
      </c>
      <c r="AB41" s="73">
        <f>Z41+AA41</f>
        <v/>
      </c>
      <c r="AC41" s="74">
        <f>IF(OR(E41="",E41=0,AB41=""),"",E41*365/(AB41*1000000))</f>
        <v/>
      </c>
      <c r="AD41" s="98">
        <f>IF(OR(O41="",O41=0,AB41=""),"",(AB41*1000000)/O41)</f>
        <v/>
      </c>
      <c r="AE41" s="99">
        <f>IF(H41="","",(Team_Genesis-H41)/1000000)</f>
        <v/>
      </c>
      <c r="AF41" s="99">
        <f>IF(OR(O41="",AE41=""),"",(O41-AE41*1000000)/1000000)</f>
        <v/>
      </c>
    </row>
    <row r="42">
      <c r="A42" s="35" t="n">
        <v>45696</v>
      </c>
      <c r="B42" s="90">
        <f>IF('Daily Data'!E42="","",'Daily Data'!E42)</f>
        <v/>
      </c>
      <c r="C42" s="65" t="n">
        <v>22.83</v>
      </c>
      <c r="D42" s="94" t="n">
        <v>56388.99000000022</v>
      </c>
      <c r="E42" s="94" t="n">
        <v>26577.9217</v>
      </c>
      <c r="F42" s="94" t="n">
        <v>996.1893</v>
      </c>
      <c r="G42" s="94" t="n"/>
      <c r="H42" s="95">
        <f>SUM($G$4:G42)</f>
        <v/>
      </c>
      <c r="I42" s="94" t="n">
        <v>1000000000</v>
      </c>
      <c r="J42" s="95">
        <f>J41-E42</f>
        <v/>
      </c>
      <c r="K42" s="94" t="n">
        <v>60000000</v>
      </c>
      <c r="L42" s="94" t="n">
        <v>14613413.38</v>
      </c>
      <c r="M42" s="94" t="n">
        <v>3000000</v>
      </c>
      <c r="N42" s="94" t="n">
        <v>152101.6461999416</v>
      </c>
      <c r="O42" s="96">
        <f>IF(OR(I42="",J42="",L42="",N42=""),"",I42-J42-K42-L42-M42-N42)</f>
        <v/>
      </c>
      <c r="P42" s="91">
        <f>IF(OR(O42="",C42=""),"",O42*C42)</f>
        <v/>
      </c>
      <c r="Q42" s="69">
        <f>Q41-E42</f>
        <v/>
      </c>
      <c r="R42" s="97">
        <f>IF(OR(J42="",Q42=""),"",J42-Q42)</f>
        <v/>
      </c>
      <c r="S42" s="69">
        <f>IF(D42="",S41,S41+D42)</f>
        <v/>
      </c>
      <c r="T42" s="97">
        <f>IF(OR(L42="",S42=""),"",L42-S42)</f>
        <v/>
      </c>
      <c r="U42" s="69">
        <f>IF(F42="",U41,U41+F42)</f>
        <v/>
      </c>
      <c r="V42" s="97">
        <f>IF(OR(N42="",U42=""),"",N42-U42)</f>
        <v/>
      </c>
      <c r="W42" s="71">
        <f>IF(OR(C42="",C42=0,'Daily Data'!J42=""),"",'Daily Data'!J42/C42)</f>
        <v/>
      </c>
      <c r="X42" s="71">
        <f>IF(OR(C42="",C42=0,'Daily Data'!K42=""),"",'Daily Data'!K42/C42)</f>
        <v/>
      </c>
      <c r="Y42" s="71">
        <f>IF(OR(F42="",W42="",X42=""),"",F42-W42-X42)</f>
        <v/>
      </c>
      <c r="Z42" s="72" t="n">
        <v>358.55</v>
      </c>
      <c r="AA42" s="72" t="n">
        <v>63.27</v>
      </c>
      <c r="AB42" s="73">
        <f>Z42+AA42</f>
        <v/>
      </c>
      <c r="AC42" s="74">
        <f>IF(OR(E42="",E42=0,AB42=""),"",E42*365/(AB42*1000000))</f>
        <v/>
      </c>
      <c r="AD42" s="98">
        <f>IF(OR(O42="",O42=0,AB42=""),"",(AB42*1000000)/O42)</f>
        <v/>
      </c>
      <c r="AE42" s="99">
        <f>IF(H42="","",(Team_Genesis-H42)/1000000)</f>
        <v/>
      </c>
      <c r="AF42" s="99">
        <f>IF(OR(O42="",AE42=""),"",(O42-AE42*1000000)/1000000)</f>
        <v/>
      </c>
    </row>
    <row r="43">
      <c r="A43" s="35" t="n">
        <v>45697</v>
      </c>
      <c r="B43" s="90">
        <f>IF('Daily Data'!E43="","",'Daily Data'!E43)</f>
        <v/>
      </c>
      <c r="C43" s="65" t="n">
        <v>23.4</v>
      </c>
      <c r="D43" s="94" t="n">
        <v>30535.9299999997</v>
      </c>
      <c r="E43" s="94" t="n">
        <v>26528.1534</v>
      </c>
      <c r="F43" s="94" t="n">
        <v>470.7789</v>
      </c>
      <c r="G43" s="94" t="n"/>
      <c r="H43" s="95">
        <f>SUM($G$4:G43)</f>
        <v/>
      </c>
      <c r="I43" s="94" t="n">
        <v>1000000000</v>
      </c>
      <c r="J43" s="95">
        <f>J42-E43</f>
        <v/>
      </c>
      <c r="K43" s="94" t="n">
        <v>60000000</v>
      </c>
      <c r="L43" s="94" t="n">
        <v>14643949.31</v>
      </c>
      <c r="M43" s="94" t="n">
        <v>3000000</v>
      </c>
      <c r="N43" s="94" t="n">
        <v>152572.4250999689</v>
      </c>
      <c r="O43" s="96">
        <f>IF(OR(I43="",J43="",L43="",N43=""),"",I43-J43-K43-L43-M43-N43)</f>
        <v/>
      </c>
      <c r="P43" s="91">
        <f>IF(OR(O43="",C43=""),"",O43*C43)</f>
        <v/>
      </c>
      <c r="Q43" s="69">
        <f>Q42-E43</f>
        <v/>
      </c>
      <c r="R43" s="97">
        <f>IF(OR(J43="",Q43=""),"",J43-Q43)</f>
        <v/>
      </c>
      <c r="S43" s="69">
        <f>IF(D43="",S42,S42+D43)</f>
        <v/>
      </c>
      <c r="T43" s="97">
        <f>IF(OR(L43="",S43=""),"",L43-S43)</f>
        <v/>
      </c>
      <c r="U43" s="69">
        <f>IF(F43="",U42,U42+F43)</f>
        <v/>
      </c>
      <c r="V43" s="97">
        <f>IF(OR(N43="",U43=""),"",N43-U43)</f>
        <v/>
      </c>
      <c r="W43" s="71">
        <f>IF(OR(C43="",C43=0,'Daily Data'!J43=""),"",'Daily Data'!J43/C43)</f>
        <v/>
      </c>
      <c r="X43" s="71">
        <f>IF(OR(C43="",C43=0,'Daily Data'!K43=""),"",'Daily Data'!K43/C43)</f>
        <v/>
      </c>
      <c r="Y43" s="71">
        <f>IF(OR(F43="",W43="",X43=""),"",F43-W43-X43)</f>
        <v/>
      </c>
      <c r="Z43" s="72" t="n">
        <v>358.55</v>
      </c>
      <c r="AA43" s="72" t="n">
        <v>63.27</v>
      </c>
      <c r="AB43" s="73">
        <f>Z43+AA43</f>
        <v/>
      </c>
      <c r="AC43" s="74">
        <f>IF(OR(E43="",E43=0,AB43=""),"",E43*365/(AB43*1000000))</f>
        <v/>
      </c>
      <c r="AD43" s="98">
        <f>IF(OR(O43="",O43=0,AB43=""),"",(AB43*1000000)/O43)</f>
        <v/>
      </c>
      <c r="AE43" s="99">
        <f>IF(H43="","",(Team_Genesis-H43)/1000000)</f>
        <v/>
      </c>
      <c r="AF43" s="99">
        <f>IF(OR(O43="",AE43=""),"",(O43-AE43*1000000)/1000000)</f>
        <v/>
      </c>
    </row>
    <row r="44">
      <c r="A44" s="35" t="n">
        <v>45698</v>
      </c>
      <c r="B44" s="90">
        <f>IF('Daily Data'!E44="","",'Daily Data'!E44)</f>
        <v/>
      </c>
      <c r="C44" s="65" t="n">
        <v>22.98</v>
      </c>
      <c r="D44" s="94" t="n">
        <v>55150.02999999933</v>
      </c>
      <c r="E44" s="94" t="n">
        <v>26525.1988</v>
      </c>
      <c r="F44" s="94" t="n">
        <v>358.1593</v>
      </c>
      <c r="G44" s="94" t="n"/>
      <c r="H44" s="95">
        <f>SUM($G$4:G44)</f>
        <v/>
      </c>
      <c r="I44" s="94" t="n">
        <v>1000000000</v>
      </c>
      <c r="J44" s="95">
        <f>J43-E44</f>
        <v/>
      </c>
      <c r="K44" s="94" t="n">
        <v>60000000</v>
      </c>
      <c r="L44" s="94" t="n">
        <v>14699099.34</v>
      </c>
      <c r="M44" s="94" t="n">
        <v>3000000</v>
      </c>
      <c r="N44" s="94" t="n">
        <v>152930.5844000578</v>
      </c>
      <c r="O44" s="96">
        <f>IF(OR(I44="",J44="",L44="",N44=""),"",I44-J44-K44-L44-M44-N44)</f>
        <v/>
      </c>
      <c r="P44" s="91">
        <f>IF(OR(O44="",C44=""),"",O44*C44)</f>
        <v/>
      </c>
      <c r="Q44" s="69">
        <f>Q43-E44</f>
        <v/>
      </c>
      <c r="R44" s="97">
        <f>IF(OR(J44="",Q44=""),"",J44-Q44)</f>
        <v/>
      </c>
      <c r="S44" s="69">
        <f>IF(D44="",S43,S43+D44)</f>
        <v/>
      </c>
      <c r="T44" s="97">
        <f>IF(OR(L44="",S44=""),"",L44-S44)</f>
        <v/>
      </c>
      <c r="U44" s="69">
        <f>IF(F44="",U43,U43+F44)</f>
        <v/>
      </c>
      <c r="V44" s="97">
        <f>IF(OR(N44="",U44=""),"",N44-U44)</f>
        <v/>
      </c>
      <c r="W44" s="71">
        <f>IF(OR(C44="",C44=0,'Daily Data'!J44=""),"",'Daily Data'!J44/C44)</f>
        <v/>
      </c>
      <c r="X44" s="71">
        <f>IF(OR(C44="",C44=0,'Daily Data'!K44=""),"",'Daily Data'!K44/C44)</f>
        <v/>
      </c>
      <c r="Y44" s="71">
        <f>IF(OR(F44="",W44="",X44=""),"",F44-W44-X44)</f>
        <v/>
      </c>
      <c r="Z44" s="72" t="n">
        <v>358.55</v>
      </c>
      <c r="AA44" s="72" t="n">
        <v>63.27</v>
      </c>
      <c r="AB44" s="73">
        <f>Z44+AA44</f>
        <v/>
      </c>
      <c r="AC44" s="74">
        <f>IF(OR(E44="",E44=0,AB44=""),"",E44*365/(AB44*1000000))</f>
        <v/>
      </c>
      <c r="AD44" s="98">
        <f>IF(OR(O44="",O44=0,AB44=""),"",(AB44*1000000)/O44)</f>
        <v/>
      </c>
      <c r="AE44" s="99">
        <f>IF(H44="","",(Team_Genesis-H44)/1000000)</f>
        <v/>
      </c>
      <c r="AF44" s="99">
        <f>IF(OR(O44="",AE44=""),"",(O44-AE44*1000000)/1000000)</f>
        <v/>
      </c>
    </row>
    <row r="45">
      <c r="A45" s="35" t="n">
        <v>45699</v>
      </c>
      <c r="B45" s="90">
        <f>IF('Daily Data'!E45="","",'Daily Data'!E45)</f>
        <v/>
      </c>
      <c r="C45" s="65" t="n">
        <v>23.32</v>
      </c>
      <c r="D45" s="94" t="n">
        <v>43822.30000000075</v>
      </c>
      <c r="E45" s="94" t="n">
        <v>26523.3197</v>
      </c>
      <c r="F45" s="94" t="n">
        <v>521.8924</v>
      </c>
      <c r="G45" s="94" t="n"/>
      <c r="H45" s="95">
        <f>SUM($G$4:G45)</f>
        <v/>
      </c>
      <c r="I45" s="94" t="n">
        <v>1000000000</v>
      </c>
      <c r="J45" s="95">
        <f>J44-E45</f>
        <v/>
      </c>
      <c r="K45" s="94" t="n">
        <v>60000000</v>
      </c>
      <c r="L45" s="94" t="n">
        <v>14742921.64</v>
      </c>
      <c r="M45" s="94" t="n">
        <v>3000000</v>
      </c>
      <c r="N45" s="94" t="n">
        <v>153452.4767999649</v>
      </c>
      <c r="O45" s="96">
        <f>IF(OR(I45="",J45="",L45="",N45=""),"",I45-J45-K45-L45-M45-N45)</f>
        <v/>
      </c>
      <c r="P45" s="91">
        <f>IF(OR(O45="",C45=""),"",O45*C45)</f>
        <v/>
      </c>
      <c r="Q45" s="69">
        <f>Q44-E45</f>
        <v/>
      </c>
      <c r="R45" s="97">
        <f>IF(OR(J45="",Q45=""),"",J45-Q45)</f>
        <v/>
      </c>
      <c r="S45" s="69">
        <f>IF(D45="",S44,S44+D45)</f>
        <v/>
      </c>
      <c r="T45" s="97">
        <f>IF(OR(L45="",S45=""),"",L45-S45)</f>
        <v/>
      </c>
      <c r="U45" s="69">
        <f>IF(F45="",U44,U44+F45)</f>
        <v/>
      </c>
      <c r="V45" s="97">
        <f>IF(OR(N45="",U45=""),"",N45-U45)</f>
        <v/>
      </c>
      <c r="W45" s="71">
        <f>IF(OR(C45="",C45=0,'Daily Data'!J45=""),"",'Daily Data'!J45/C45)</f>
        <v/>
      </c>
      <c r="X45" s="71">
        <f>IF(OR(C45="",C45=0,'Daily Data'!K45=""),"",'Daily Data'!K45/C45)</f>
        <v/>
      </c>
      <c r="Y45" s="71">
        <f>IF(OR(F45="",W45="",X45=""),"",F45-W45-X45)</f>
        <v/>
      </c>
      <c r="Z45" s="72" t="n">
        <v>358.55</v>
      </c>
      <c r="AA45" s="72" t="n">
        <v>63.27</v>
      </c>
      <c r="AB45" s="73">
        <f>Z45+AA45</f>
        <v/>
      </c>
      <c r="AC45" s="74">
        <f>IF(OR(E45="",E45=0,AB45=""),"",E45*365/(AB45*1000000))</f>
        <v/>
      </c>
      <c r="AD45" s="98">
        <f>IF(OR(O45="",O45=0,AB45=""),"",(AB45*1000000)/O45)</f>
        <v/>
      </c>
      <c r="AE45" s="99">
        <f>IF(H45="","",(Team_Genesis-H45)/1000000)</f>
        <v/>
      </c>
      <c r="AF45" s="99">
        <f>IF(OR(O45="",AE45=""),"",(O45-AE45*1000000)/1000000)</f>
        <v/>
      </c>
    </row>
    <row r="46">
      <c r="A46" s="35" t="n">
        <v>45700</v>
      </c>
      <c r="B46" s="90">
        <f>IF('Daily Data'!E46="","",'Daily Data'!E46)</f>
        <v/>
      </c>
      <c r="C46" s="65" t="n">
        <v>23.49</v>
      </c>
      <c r="D46" s="94" t="n">
        <v>63989.91000000015</v>
      </c>
      <c r="E46" s="94" t="n">
        <v>26541.3395</v>
      </c>
      <c r="F46" s="94" t="n">
        <v>579.0042</v>
      </c>
      <c r="G46" s="94" t="n"/>
      <c r="H46" s="95">
        <f>SUM($G$4:G46)</f>
        <v/>
      </c>
      <c r="I46" s="94" t="n">
        <v>1000000000</v>
      </c>
      <c r="J46" s="95">
        <f>J45-E46</f>
        <v/>
      </c>
      <c r="K46" s="94" t="n">
        <v>60000000</v>
      </c>
      <c r="L46" s="94" t="n">
        <v>14806911.55</v>
      </c>
      <c r="M46" s="94" t="n">
        <v>3000000</v>
      </c>
      <c r="N46" s="94" t="n">
        <v>154031.4809999466</v>
      </c>
      <c r="O46" s="96">
        <f>IF(OR(I46="",J46="",L46="",N46=""),"",I46-J46-K46-L46-M46-N46)</f>
        <v/>
      </c>
      <c r="P46" s="91">
        <f>IF(OR(O46="",C46=""),"",O46*C46)</f>
        <v/>
      </c>
      <c r="Q46" s="69">
        <f>Q45-E46</f>
        <v/>
      </c>
      <c r="R46" s="97">
        <f>IF(OR(J46="",Q46=""),"",J46-Q46)</f>
        <v/>
      </c>
      <c r="S46" s="69">
        <f>IF(D46="",S45,S45+D46)</f>
        <v/>
      </c>
      <c r="T46" s="97">
        <f>IF(OR(L46="",S46=""),"",L46-S46)</f>
        <v/>
      </c>
      <c r="U46" s="69">
        <f>IF(F46="",U45,U45+F46)</f>
        <v/>
      </c>
      <c r="V46" s="97">
        <f>IF(OR(N46="",U46=""),"",N46-U46)</f>
        <v/>
      </c>
      <c r="W46" s="71">
        <f>IF(OR(C46="",C46=0,'Daily Data'!J46=""),"",'Daily Data'!J46/C46)</f>
        <v/>
      </c>
      <c r="X46" s="71">
        <f>IF(OR(C46="",C46=0,'Daily Data'!K46=""),"",'Daily Data'!K46/C46)</f>
        <v/>
      </c>
      <c r="Y46" s="71">
        <f>IF(OR(F46="",W46="",X46=""),"",F46-W46-X46)</f>
        <v/>
      </c>
      <c r="Z46" s="72" t="n">
        <v>358.55</v>
      </c>
      <c r="AA46" s="72" t="n">
        <v>63.27</v>
      </c>
      <c r="AB46" s="73">
        <f>Z46+AA46</f>
        <v/>
      </c>
      <c r="AC46" s="74">
        <f>IF(OR(E46="",E46=0,AB46=""),"",E46*365/(AB46*1000000))</f>
        <v/>
      </c>
      <c r="AD46" s="98">
        <f>IF(OR(O46="",O46=0,AB46=""),"",(AB46*1000000)/O46)</f>
        <v/>
      </c>
      <c r="AE46" s="99">
        <f>IF(H46="","",(Team_Genesis-H46)/1000000)</f>
        <v/>
      </c>
      <c r="AF46" s="99">
        <f>IF(OR(O46="",AE46=""),"",(O46-AE46*1000000)/1000000)</f>
        <v/>
      </c>
    </row>
    <row r="47">
      <c r="A47" s="35" t="n">
        <v>45701</v>
      </c>
      <c r="B47" s="90">
        <f>IF('Daily Data'!E47="","",'Daily Data'!E47)</f>
        <v/>
      </c>
      <c r="C47" s="65" t="n">
        <v>25.84</v>
      </c>
      <c r="D47" s="94" t="n">
        <v>61012.64999999851</v>
      </c>
      <c r="E47" s="94" t="n">
        <v>26562.25</v>
      </c>
      <c r="F47" s="94" t="n">
        <v>792.7335</v>
      </c>
      <c r="G47" s="94" t="n"/>
      <c r="H47" s="95">
        <f>SUM($G$4:G47)</f>
        <v/>
      </c>
      <c r="I47" s="94" t="n">
        <v>1000000000</v>
      </c>
      <c r="J47" s="95">
        <f>J46-E47</f>
        <v/>
      </c>
      <c r="K47" s="94" t="n">
        <v>60000000</v>
      </c>
      <c r="L47" s="94" t="n">
        <v>14867924.2</v>
      </c>
      <c r="M47" s="94" t="n">
        <v>3000000</v>
      </c>
      <c r="N47" s="94" t="n">
        <v>154824.214599967</v>
      </c>
      <c r="O47" s="96">
        <f>IF(OR(I47="",J47="",L47="",N47=""),"",I47-J47-K47-L47-M47-N47)</f>
        <v/>
      </c>
      <c r="P47" s="91">
        <f>IF(OR(O47="",C47=""),"",O47*C47)</f>
        <v/>
      </c>
      <c r="Q47" s="69">
        <f>Q46-E47</f>
        <v/>
      </c>
      <c r="R47" s="97">
        <f>IF(OR(J47="",Q47=""),"",J47-Q47)</f>
        <v/>
      </c>
      <c r="S47" s="69">
        <f>IF(D47="",S46,S46+D47)</f>
        <v/>
      </c>
      <c r="T47" s="97">
        <f>IF(OR(L47="",S47=""),"",L47-S47)</f>
        <v/>
      </c>
      <c r="U47" s="69">
        <f>IF(F47="",U46,U46+F47)</f>
        <v/>
      </c>
      <c r="V47" s="97">
        <f>IF(OR(N47="",U47=""),"",N47-U47)</f>
        <v/>
      </c>
      <c r="W47" s="71">
        <f>IF(OR(C47="",C47=0,'Daily Data'!J47=""),"",'Daily Data'!J47/C47)</f>
        <v/>
      </c>
      <c r="X47" s="71">
        <f>IF(OR(C47="",C47=0,'Daily Data'!K47=""),"",'Daily Data'!K47/C47)</f>
        <v/>
      </c>
      <c r="Y47" s="71">
        <f>IF(OR(F47="",W47="",X47=""),"",F47-W47-X47)</f>
        <v/>
      </c>
      <c r="Z47" s="72" t="n">
        <v>358.55</v>
      </c>
      <c r="AA47" s="72" t="n">
        <v>63.27</v>
      </c>
      <c r="AB47" s="73">
        <f>Z47+AA47</f>
        <v/>
      </c>
      <c r="AC47" s="74">
        <f>IF(OR(E47="",E47=0,AB47=""),"",E47*365/(AB47*1000000))</f>
        <v/>
      </c>
      <c r="AD47" s="98">
        <f>IF(OR(O47="",O47=0,AB47=""),"",(AB47*1000000)/O47)</f>
        <v/>
      </c>
      <c r="AE47" s="99">
        <f>IF(H47="","",(Team_Genesis-H47)/1000000)</f>
        <v/>
      </c>
      <c r="AF47" s="99">
        <f>IF(OR(O47="",AE47=""),"",(O47-AE47*1000000)/1000000)</f>
        <v/>
      </c>
    </row>
    <row r="48">
      <c r="A48" s="35" t="n">
        <v>45702</v>
      </c>
      <c r="B48" s="90">
        <f>IF('Daily Data'!E48="","",'Daily Data'!E48)</f>
        <v/>
      </c>
      <c r="C48" s="65" t="n">
        <v>26.26</v>
      </c>
      <c r="D48" s="94" t="n">
        <v>46816.71000000089</v>
      </c>
      <c r="E48" s="94" t="n">
        <v>26581.3289</v>
      </c>
      <c r="F48" s="94" t="n">
        <v>591.6068</v>
      </c>
      <c r="G48" s="94" t="n"/>
      <c r="H48" s="95">
        <f>SUM($G$4:G48)</f>
        <v/>
      </c>
      <c r="I48" s="94" t="n">
        <v>1000000000</v>
      </c>
      <c r="J48" s="95">
        <f>J47-E48</f>
        <v/>
      </c>
      <c r="K48" s="94" t="n">
        <v>60000000</v>
      </c>
      <c r="L48" s="94" t="n">
        <v>14914740.91</v>
      </c>
      <c r="M48" s="94" t="n">
        <v>3000000</v>
      </c>
      <c r="N48" s="94" t="n">
        <v>155415.8214000463</v>
      </c>
      <c r="O48" s="96">
        <f>IF(OR(I48="",J48="",L48="",N48=""),"",I48-J48-K48-L48-M48-N48)</f>
        <v/>
      </c>
      <c r="P48" s="91">
        <f>IF(OR(O48="",C48=""),"",O48*C48)</f>
        <v/>
      </c>
      <c r="Q48" s="69">
        <f>Q47-E48</f>
        <v/>
      </c>
      <c r="R48" s="97">
        <f>IF(OR(J48="",Q48=""),"",J48-Q48)</f>
        <v/>
      </c>
      <c r="S48" s="69">
        <f>IF(D48="",S47,S47+D48)</f>
        <v/>
      </c>
      <c r="T48" s="97">
        <f>IF(OR(L48="",S48=""),"",L48-S48)</f>
        <v/>
      </c>
      <c r="U48" s="69">
        <f>IF(F48="",U47,U47+F48)</f>
        <v/>
      </c>
      <c r="V48" s="97">
        <f>IF(OR(N48="",U48=""),"",N48-U48)</f>
        <v/>
      </c>
      <c r="W48" s="71">
        <f>IF(OR(C48="",C48=0,'Daily Data'!J48=""),"",'Daily Data'!J48/C48)</f>
        <v/>
      </c>
      <c r="X48" s="71">
        <f>IF(OR(C48="",C48=0,'Daily Data'!K48=""),"",'Daily Data'!K48/C48)</f>
        <v/>
      </c>
      <c r="Y48" s="71">
        <f>IF(OR(F48="",W48="",X48=""),"",F48-W48-X48)</f>
        <v/>
      </c>
      <c r="Z48" s="72" t="n">
        <v>358.55</v>
      </c>
      <c r="AA48" s="72" t="n">
        <v>63.27</v>
      </c>
      <c r="AB48" s="73">
        <f>Z48+AA48</f>
        <v/>
      </c>
      <c r="AC48" s="74">
        <f>IF(OR(E48="",E48=0,AB48=""),"",E48*365/(AB48*1000000))</f>
        <v/>
      </c>
      <c r="AD48" s="98">
        <f>IF(OR(O48="",O48=0,AB48=""),"",(AB48*1000000)/O48)</f>
        <v/>
      </c>
      <c r="AE48" s="99">
        <f>IF(H48="","",(Team_Genesis-H48)/1000000)</f>
        <v/>
      </c>
      <c r="AF48" s="99">
        <f>IF(OR(O48="",AE48=""),"",(O48-AE48*1000000)/1000000)</f>
        <v/>
      </c>
    </row>
    <row r="49">
      <c r="A49" s="35" t="n">
        <v>45703</v>
      </c>
      <c r="B49" s="90">
        <f>IF('Daily Data'!E49="","",'Daily Data'!E49)</f>
        <v/>
      </c>
      <c r="C49" s="65" t="n">
        <v>26.2</v>
      </c>
      <c r="D49" s="94" t="n">
        <v>50322.1400000006</v>
      </c>
      <c r="E49" s="94" t="n">
        <v>26587.2677</v>
      </c>
      <c r="F49" s="94" t="n">
        <v>978.1297</v>
      </c>
      <c r="G49" s="94" t="n"/>
      <c r="H49" s="95">
        <f>SUM($G$4:G49)</f>
        <v/>
      </c>
      <c r="I49" s="94" t="n">
        <v>1000000000</v>
      </c>
      <c r="J49" s="95">
        <f>J48-E49</f>
        <v/>
      </c>
      <c r="K49" s="94" t="n">
        <v>60000000</v>
      </c>
      <c r="L49" s="94" t="n">
        <v>14965063.05</v>
      </c>
      <c r="M49" s="94" t="n">
        <v>3000000</v>
      </c>
      <c r="N49" s="94" t="n">
        <v>156393.9510999918</v>
      </c>
      <c r="O49" s="96">
        <f>IF(OR(I49="",J49="",L49="",N49=""),"",I49-J49-K49-L49-M49-N49)</f>
        <v/>
      </c>
      <c r="P49" s="91">
        <f>IF(OR(O49="",C49=""),"",O49*C49)</f>
        <v/>
      </c>
      <c r="Q49" s="69">
        <f>Q48-E49</f>
        <v/>
      </c>
      <c r="R49" s="97">
        <f>IF(OR(J49="",Q49=""),"",J49-Q49)</f>
        <v/>
      </c>
      <c r="S49" s="69">
        <f>IF(D49="",S48,S48+D49)</f>
        <v/>
      </c>
      <c r="T49" s="97">
        <f>IF(OR(L49="",S49=""),"",L49-S49)</f>
        <v/>
      </c>
      <c r="U49" s="69">
        <f>IF(F49="",U48,U48+F49)</f>
        <v/>
      </c>
      <c r="V49" s="97">
        <f>IF(OR(N49="",U49=""),"",N49-U49)</f>
        <v/>
      </c>
      <c r="W49" s="71">
        <f>IF(OR(C49="",C49=0,'Daily Data'!J49=""),"",'Daily Data'!J49/C49)</f>
        <v/>
      </c>
      <c r="X49" s="71">
        <f>IF(OR(C49="",C49=0,'Daily Data'!K49=""),"",'Daily Data'!K49/C49)</f>
        <v/>
      </c>
      <c r="Y49" s="71">
        <f>IF(OR(F49="",W49="",X49=""),"",F49-W49-X49)</f>
        <v/>
      </c>
      <c r="Z49" s="72" t="n">
        <v>358.55</v>
      </c>
      <c r="AA49" s="72" t="n">
        <v>63.27</v>
      </c>
      <c r="AB49" s="73">
        <f>Z49+AA49</f>
        <v/>
      </c>
      <c r="AC49" s="74">
        <f>IF(OR(E49="",E49=0,AB49=""),"",E49*365/(AB49*1000000))</f>
        <v/>
      </c>
      <c r="AD49" s="98">
        <f>IF(OR(O49="",O49=0,AB49=""),"",(AB49*1000000)/O49)</f>
        <v/>
      </c>
      <c r="AE49" s="99">
        <f>IF(H49="","",(Team_Genesis-H49)/1000000)</f>
        <v/>
      </c>
      <c r="AF49" s="99">
        <f>IF(OR(O49="",AE49=""),"",(O49-AE49*1000000)/1000000)</f>
        <v/>
      </c>
    </row>
    <row r="50">
      <c r="A50" s="35" t="n">
        <v>45704</v>
      </c>
      <c r="B50" s="90">
        <f>IF('Daily Data'!E50="","",'Daily Data'!E50)</f>
        <v/>
      </c>
      <c r="C50" s="65" t="n">
        <v>25.72</v>
      </c>
      <c r="D50" s="94" t="n">
        <v>22361.34999999963</v>
      </c>
      <c r="E50" s="94" t="n">
        <v>26607.0205</v>
      </c>
      <c r="F50" s="94" t="n">
        <v>420.737</v>
      </c>
      <c r="G50" s="94" t="n"/>
      <c r="H50" s="95">
        <f>SUM($G$4:G50)</f>
        <v/>
      </c>
      <c r="I50" s="94" t="n">
        <v>1000000000</v>
      </c>
      <c r="J50" s="95">
        <f>J49-E50</f>
        <v/>
      </c>
      <c r="K50" s="94" t="n">
        <v>60000000</v>
      </c>
      <c r="L50" s="94" t="n">
        <v>14987424.4</v>
      </c>
      <c r="M50" s="94" t="n">
        <v>3000000</v>
      </c>
      <c r="N50" s="94" t="n">
        <v>156814.6880999804</v>
      </c>
      <c r="O50" s="96">
        <f>IF(OR(I50="",J50="",L50="",N50=""),"",I50-J50-K50-L50-M50-N50)</f>
        <v/>
      </c>
      <c r="P50" s="91">
        <f>IF(OR(O50="",C50=""),"",O50*C50)</f>
        <v/>
      </c>
      <c r="Q50" s="69">
        <f>Q49-E50</f>
        <v/>
      </c>
      <c r="R50" s="97">
        <f>IF(OR(J50="",Q50=""),"",J50-Q50)</f>
        <v/>
      </c>
      <c r="S50" s="69">
        <f>IF(D50="",S49,S49+D50)</f>
        <v/>
      </c>
      <c r="T50" s="97">
        <f>IF(OR(L50="",S50=""),"",L50-S50)</f>
        <v/>
      </c>
      <c r="U50" s="69">
        <f>IF(F50="",U49,U49+F50)</f>
        <v/>
      </c>
      <c r="V50" s="97">
        <f>IF(OR(N50="",U50=""),"",N50-U50)</f>
        <v/>
      </c>
      <c r="W50" s="71">
        <f>IF(OR(C50="",C50=0,'Daily Data'!J50=""),"",'Daily Data'!J50/C50)</f>
        <v/>
      </c>
      <c r="X50" s="71">
        <f>IF(OR(C50="",C50=0,'Daily Data'!K50=""),"",'Daily Data'!K50/C50)</f>
        <v/>
      </c>
      <c r="Y50" s="71">
        <f>IF(OR(F50="",W50="",X50=""),"",F50-W50-X50)</f>
        <v/>
      </c>
      <c r="Z50" s="72" t="n">
        <v>358.55</v>
      </c>
      <c r="AA50" s="72" t="n">
        <v>63.27</v>
      </c>
      <c r="AB50" s="73">
        <f>Z50+AA50</f>
        <v/>
      </c>
      <c r="AC50" s="74">
        <f>IF(OR(E50="",E50=0,AB50=""),"",E50*365/(AB50*1000000))</f>
        <v/>
      </c>
      <c r="AD50" s="98">
        <f>IF(OR(O50="",O50=0,AB50=""),"",(AB50*1000000)/O50)</f>
        <v/>
      </c>
      <c r="AE50" s="99">
        <f>IF(H50="","",(Team_Genesis-H50)/1000000)</f>
        <v/>
      </c>
      <c r="AF50" s="99">
        <f>IF(OR(O50="",AE50=""),"",(O50-AE50*1000000)/1000000)</f>
        <v/>
      </c>
    </row>
    <row r="51">
      <c r="A51" s="35" t="n">
        <v>45705</v>
      </c>
      <c r="B51" s="90">
        <f>IF('Daily Data'!E51="","",'Daily Data'!E51)</f>
        <v/>
      </c>
      <c r="C51" s="65" t="n">
        <v>26.8</v>
      </c>
      <c r="D51" s="94" t="n">
        <v>30930.40000000037</v>
      </c>
      <c r="E51" s="94" t="n">
        <v>26613.6988</v>
      </c>
      <c r="F51" s="94" t="n">
        <v>311.4459</v>
      </c>
      <c r="G51" s="94" t="n"/>
      <c r="H51" s="95">
        <f>SUM($G$4:G51)</f>
        <v/>
      </c>
      <c r="I51" s="94" t="n">
        <v>1000000000</v>
      </c>
      <c r="J51" s="95">
        <f>J50-E51</f>
        <v/>
      </c>
      <c r="K51" s="94" t="n">
        <v>60000000</v>
      </c>
      <c r="L51" s="94" t="n">
        <v>15018354.8</v>
      </c>
      <c r="M51" s="94" t="n">
        <v>3000000</v>
      </c>
      <c r="N51" s="94" t="n">
        <v>157126.1339000463</v>
      </c>
      <c r="O51" s="96">
        <f>IF(OR(I51="",J51="",L51="",N51=""),"",I51-J51-K51-L51-M51-N51)</f>
        <v/>
      </c>
      <c r="P51" s="91">
        <f>IF(OR(O51="",C51=""),"",O51*C51)</f>
        <v/>
      </c>
      <c r="Q51" s="69">
        <f>Q50-E51</f>
        <v/>
      </c>
      <c r="R51" s="97">
        <f>IF(OR(J51="",Q51=""),"",J51-Q51)</f>
        <v/>
      </c>
      <c r="S51" s="69">
        <f>IF(D51="",S50,S50+D51)</f>
        <v/>
      </c>
      <c r="T51" s="97">
        <f>IF(OR(L51="",S51=""),"",L51-S51)</f>
        <v/>
      </c>
      <c r="U51" s="69">
        <f>IF(F51="",U50,U50+F51)</f>
        <v/>
      </c>
      <c r="V51" s="97">
        <f>IF(OR(N51="",U51=""),"",N51-U51)</f>
        <v/>
      </c>
      <c r="W51" s="71">
        <f>IF(OR(C51="",C51=0,'Daily Data'!J51=""),"",'Daily Data'!J51/C51)</f>
        <v/>
      </c>
      <c r="X51" s="71">
        <f>IF(OR(C51="",C51=0,'Daily Data'!K51=""),"",'Daily Data'!K51/C51)</f>
        <v/>
      </c>
      <c r="Y51" s="71">
        <f>IF(OR(F51="",W51="",X51=""),"",F51-W51-X51)</f>
        <v/>
      </c>
      <c r="Z51" s="72" t="n">
        <v>358.55</v>
      </c>
      <c r="AA51" s="72" t="n">
        <v>63.27</v>
      </c>
      <c r="AB51" s="73">
        <f>Z51+AA51</f>
        <v/>
      </c>
      <c r="AC51" s="74">
        <f>IF(OR(E51="",E51=0,AB51=""),"",E51*365/(AB51*1000000))</f>
        <v/>
      </c>
      <c r="AD51" s="98">
        <f>IF(OR(O51="",O51=0,AB51=""),"",(AB51*1000000)/O51)</f>
        <v/>
      </c>
      <c r="AE51" s="99">
        <f>IF(H51="","",(Team_Genesis-H51)/1000000)</f>
        <v/>
      </c>
      <c r="AF51" s="99">
        <f>IF(OR(O51="",AE51=""),"",(O51-AE51*1000000)/1000000)</f>
        <v/>
      </c>
    </row>
    <row r="52">
      <c r="A52" s="35" t="n">
        <v>45706</v>
      </c>
      <c r="B52" s="90">
        <f>IF('Daily Data'!E52="","",'Daily Data'!E52)</f>
        <v/>
      </c>
      <c r="C52" s="65" t="n">
        <v>25.38</v>
      </c>
      <c r="D52" s="94" t="n">
        <v>56574.91000000015</v>
      </c>
      <c r="E52" s="94" t="n">
        <v>26591.793</v>
      </c>
      <c r="F52" s="94" t="n">
        <v>491.1939</v>
      </c>
      <c r="G52" s="94" t="n"/>
      <c r="H52" s="95">
        <f>SUM($G$4:G52)</f>
        <v/>
      </c>
      <c r="I52" s="94" t="n">
        <v>1000000000</v>
      </c>
      <c r="J52" s="95">
        <f>J51-E52</f>
        <v/>
      </c>
      <c r="K52" s="94" t="n">
        <v>60000000</v>
      </c>
      <c r="L52" s="94" t="n">
        <v>15074929.71</v>
      </c>
      <c r="M52" s="94" t="n">
        <v>3000000</v>
      </c>
      <c r="N52" s="94" t="n">
        <v>157617.3278000355</v>
      </c>
      <c r="O52" s="96">
        <f>IF(OR(I52="",J52="",L52="",N52=""),"",I52-J52-K52-L52-M52-N52)</f>
        <v/>
      </c>
      <c r="P52" s="91">
        <f>IF(OR(O52="",C52=""),"",O52*C52)</f>
        <v/>
      </c>
      <c r="Q52" s="69">
        <f>Q51-E52</f>
        <v/>
      </c>
      <c r="R52" s="97">
        <f>IF(OR(J52="",Q52=""),"",J52-Q52)</f>
        <v/>
      </c>
      <c r="S52" s="69">
        <f>IF(D52="",S51,S51+D52)</f>
        <v/>
      </c>
      <c r="T52" s="97">
        <f>IF(OR(L52="",S52=""),"",L52-S52)</f>
        <v/>
      </c>
      <c r="U52" s="69">
        <f>IF(F52="",U51,U51+F52)</f>
        <v/>
      </c>
      <c r="V52" s="97">
        <f>IF(OR(N52="",U52=""),"",N52-U52)</f>
        <v/>
      </c>
      <c r="W52" s="71">
        <f>IF(OR(C52="",C52=0,'Daily Data'!J52=""),"",'Daily Data'!J52/C52)</f>
        <v/>
      </c>
      <c r="X52" s="71">
        <f>IF(OR(C52="",C52=0,'Daily Data'!K52=""),"",'Daily Data'!K52/C52)</f>
        <v/>
      </c>
      <c r="Y52" s="71">
        <f>IF(OR(F52="",W52="",X52=""),"",F52-W52-X52)</f>
        <v/>
      </c>
      <c r="Z52" s="72" t="n">
        <v>358.55</v>
      </c>
      <c r="AA52" s="72" t="n">
        <v>63.27</v>
      </c>
      <c r="AB52" s="73">
        <f>Z52+AA52</f>
        <v/>
      </c>
      <c r="AC52" s="74">
        <f>IF(OR(E52="",E52=0,AB52=""),"",E52*365/(AB52*1000000))</f>
        <v/>
      </c>
      <c r="AD52" s="98">
        <f>IF(OR(O52="",O52=0,AB52=""),"",(AB52*1000000)/O52)</f>
        <v/>
      </c>
      <c r="AE52" s="99">
        <f>IF(H52="","",(Team_Genesis-H52)/1000000)</f>
        <v/>
      </c>
      <c r="AF52" s="99">
        <f>IF(OR(O52="",AE52=""),"",(O52-AE52*1000000)/1000000)</f>
        <v/>
      </c>
    </row>
    <row r="53">
      <c r="A53" s="35" t="n">
        <v>45707</v>
      </c>
      <c r="B53" s="90">
        <f>IF('Daily Data'!E53="","",'Daily Data'!E53)</f>
        <v/>
      </c>
      <c r="C53" s="65" t="n">
        <v>24.08</v>
      </c>
      <c r="D53" s="94" t="n">
        <v>55665.70999999903</v>
      </c>
      <c r="E53" s="94" t="n">
        <v>26568.7312</v>
      </c>
      <c r="F53" s="94" t="n">
        <v>1766.3576</v>
      </c>
      <c r="G53" s="94" t="n"/>
      <c r="H53" s="95">
        <f>SUM($G$4:G53)</f>
        <v/>
      </c>
      <c r="I53" s="94" t="n">
        <v>1000000000</v>
      </c>
      <c r="J53" s="95">
        <f>J52-E53</f>
        <v/>
      </c>
      <c r="K53" s="94" t="n">
        <v>60000000</v>
      </c>
      <c r="L53" s="94" t="n">
        <v>15130595.42</v>
      </c>
      <c r="M53" s="94" t="n">
        <v>3000000</v>
      </c>
      <c r="N53" s="94" t="n">
        <v>159383.6854000092</v>
      </c>
      <c r="O53" s="96">
        <f>IF(OR(I53="",J53="",L53="",N53=""),"",I53-J53-K53-L53-M53-N53)</f>
        <v/>
      </c>
      <c r="P53" s="91">
        <f>IF(OR(O53="",C53=""),"",O53*C53)</f>
        <v/>
      </c>
      <c r="Q53" s="69">
        <f>Q52-E53</f>
        <v/>
      </c>
      <c r="R53" s="97">
        <f>IF(OR(J53="",Q53=""),"",J53-Q53)</f>
        <v/>
      </c>
      <c r="S53" s="69">
        <f>IF(D53="",S52,S52+D53)</f>
        <v/>
      </c>
      <c r="T53" s="97">
        <f>IF(OR(L53="",S53=""),"",L53-S53)</f>
        <v/>
      </c>
      <c r="U53" s="69">
        <f>IF(F53="",U52,U52+F53)</f>
        <v/>
      </c>
      <c r="V53" s="97">
        <f>IF(OR(N53="",U53=""),"",N53-U53)</f>
        <v/>
      </c>
      <c r="W53" s="71">
        <f>IF(OR(C53="",C53=0,'Daily Data'!J53=""),"",'Daily Data'!J53/C53)</f>
        <v/>
      </c>
      <c r="X53" s="71">
        <f>IF(OR(C53="",C53=0,'Daily Data'!K53=""),"",'Daily Data'!K53/C53)</f>
        <v/>
      </c>
      <c r="Y53" s="71">
        <f>IF(OR(F53="",W53="",X53=""),"",F53-W53-X53)</f>
        <v/>
      </c>
      <c r="Z53" s="72" t="n">
        <v>358.55</v>
      </c>
      <c r="AA53" s="72" t="n">
        <v>63.27</v>
      </c>
      <c r="AB53" s="73">
        <f>Z53+AA53</f>
        <v/>
      </c>
      <c r="AC53" s="74">
        <f>IF(OR(E53="",E53=0,AB53=""),"",E53*365/(AB53*1000000))</f>
        <v/>
      </c>
      <c r="AD53" s="98">
        <f>IF(OR(O53="",O53=0,AB53=""),"",(AB53*1000000)/O53)</f>
        <v/>
      </c>
      <c r="AE53" s="99">
        <f>IF(H53="","",(Team_Genesis-H53)/1000000)</f>
        <v/>
      </c>
      <c r="AF53" s="99">
        <f>IF(OR(O53="",AE53=""),"",(O53-AE53*1000000)/1000000)</f>
        <v/>
      </c>
    </row>
    <row r="54">
      <c r="A54" s="35" t="n">
        <v>45708</v>
      </c>
      <c r="B54" s="90">
        <f>IF('Daily Data'!E54="","",'Daily Data'!E54)</f>
        <v/>
      </c>
      <c r="C54" s="65" t="n">
        <v>24.06</v>
      </c>
      <c r="D54" s="94" t="n">
        <v>42610.0700000003</v>
      </c>
      <c r="E54" s="94" t="n">
        <v>26580.8603</v>
      </c>
      <c r="F54" s="94" t="n">
        <v>672.5468</v>
      </c>
      <c r="G54" s="94" t="n"/>
      <c r="H54" s="95">
        <f>SUM($G$4:G54)</f>
        <v/>
      </c>
      <c r="I54" s="94" t="n">
        <v>1000000000</v>
      </c>
      <c r="J54" s="95">
        <f>J53-E54</f>
        <v/>
      </c>
      <c r="K54" s="94" t="n">
        <v>60000000</v>
      </c>
      <c r="L54" s="94" t="n">
        <v>15173205.49</v>
      </c>
      <c r="M54" s="94" t="n">
        <v>3000000</v>
      </c>
      <c r="N54" s="94" t="n">
        <v>160056.2322000265</v>
      </c>
      <c r="O54" s="96">
        <f>IF(OR(I54="",J54="",L54="",N54=""),"",I54-J54-K54-L54-M54-N54)</f>
        <v/>
      </c>
      <c r="P54" s="91">
        <f>IF(OR(O54="",C54=""),"",O54*C54)</f>
        <v/>
      </c>
      <c r="Q54" s="69">
        <f>Q53-E54</f>
        <v/>
      </c>
      <c r="R54" s="97">
        <f>IF(OR(J54="",Q54=""),"",J54-Q54)</f>
        <v/>
      </c>
      <c r="S54" s="69">
        <f>IF(D54="",S53,S53+D54)</f>
        <v/>
      </c>
      <c r="T54" s="97">
        <f>IF(OR(L54="",S54=""),"",L54-S54)</f>
        <v/>
      </c>
      <c r="U54" s="69">
        <f>IF(F54="",U53,U53+F54)</f>
        <v/>
      </c>
      <c r="V54" s="97">
        <f>IF(OR(N54="",U54=""),"",N54-U54)</f>
        <v/>
      </c>
      <c r="W54" s="71">
        <f>IF(OR(C54="",C54=0,'Daily Data'!J54=""),"",'Daily Data'!J54/C54)</f>
        <v/>
      </c>
      <c r="X54" s="71">
        <f>IF(OR(C54="",C54=0,'Daily Data'!K54=""),"",'Daily Data'!K54/C54)</f>
        <v/>
      </c>
      <c r="Y54" s="71">
        <f>IF(OR(F54="",W54="",X54=""),"",F54-W54-X54)</f>
        <v/>
      </c>
      <c r="Z54" s="72" t="n">
        <v>358.55</v>
      </c>
      <c r="AA54" s="72" t="n">
        <v>63.27</v>
      </c>
      <c r="AB54" s="73">
        <f>Z54+AA54</f>
        <v/>
      </c>
      <c r="AC54" s="74">
        <f>IF(OR(E54="",E54=0,AB54=""),"",E54*365/(AB54*1000000))</f>
        <v/>
      </c>
      <c r="AD54" s="98">
        <f>IF(OR(O54="",O54=0,AB54=""),"",(AB54*1000000)/O54)</f>
        <v/>
      </c>
      <c r="AE54" s="99">
        <f>IF(H54="","",(Team_Genesis-H54)/1000000)</f>
        <v/>
      </c>
      <c r="AF54" s="99">
        <f>IF(OR(O54="",AE54=""),"",(O54-AE54*1000000)/1000000)</f>
        <v/>
      </c>
    </row>
    <row r="55">
      <c r="A55" s="35" t="n">
        <v>45709</v>
      </c>
      <c r="B55" s="90">
        <f>IF('Daily Data'!E55="","",'Daily Data'!E55)</f>
        <v/>
      </c>
      <c r="C55" s="65" t="n">
        <v>24.45</v>
      </c>
      <c r="D55" s="94" t="n">
        <v>53987.01999999955</v>
      </c>
      <c r="E55" s="94" t="n">
        <v>26551.3041</v>
      </c>
      <c r="F55" s="94" t="n">
        <v>563.1262</v>
      </c>
      <c r="G55" s="94" t="n"/>
      <c r="H55" s="95">
        <f>SUM($G$4:G55)</f>
        <v/>
      </c>
      <c r="I55" s="94" t="n">
        <v>1000000000</v>
      </c>
      <c r="J55" s="95">
        <f>J54-E55</f>
        <v/>
      </c>
      <c r="K55" s="94" t="n">
        <v>60000000</v>
      </c>
      <c r="L55" s="94" t="n">
        <v>15227192.51</v>
      </c>
      <c r="M55" s="94" t="n">
        <v>3000000</v>
      </c>
      <c r="N55" s="94" t="n">
        <v>160619.3585000038</v>
      </c>
      <c r="O55" s="96">
        <f>IF(OR(I55="",J55="",L55="",N55=""),"",I55-J55-K55-L55-M55-N55)</f>
        <v/>
      </c>
      <c r="P55" s="91">
        <f>IF(OR(O55="",C55=""),"",O55*C55)</f>
        <v/>
      </c>
      <c r="Q55" s="69">
        <f>Q54-E55</f>
        <v/>
      </c>
      <c r="R55" s="97">
        <f>IF(OR(J55="",Q55=""),"",J55-Q55)</f>
        <v/>
      </c>
      <c r="S55" s="69">
        <f>IF(D55="",S54,S54+D55)</f>
        <v/>
      </c>
      <c r="T55" s="97">
        <f>IF(OR(L55="",S55=""),"",L55-S55)</f>
        <v/>
      </c>
      <c r="U55" s="69">
        <f>IF(F55="",U54,U54+F55)</f>
        <v/>
      </c>
      <c r="V55" s="97">
        <f>IF(OR(N55="",U55=""),"",N55-U55)</f>
        <v/>
      </c>
      <c r="W55" s="71">
        <f>IF(OR(C55="",C55=0,'Daily Data'!J55=""),"",'Daily Data'!J55/C55)</f>
        <v/>
      </c>
      <c r="X55" s="71">
        <f>IF(OR(C55="",C55=0,'Daily Data'!K55=""),"",'Daily Data'!K55/C55)</f>
        <v/>
      </c>
      <c r="Y55" s="71">
        <f>IF(OR(F55="",W55="",X55=""),"",F55-W55-X55)</f>
        <v/>
      </c>
      <c r="Z55" s="72" t="n">
        <v>358.55</v>
      </c>
      <c r="AA55" s="72" t="n">
        <v>63.27</v>
      </c>
      <c r="AB55" s="73">
        <f>Z55+AA55</f>
        <v/>
      </c>
      <c r="AC55" s="74">
        <f>IF(OR(E55="",E55=0,AB55=""),"",E55*365/(AB55*1000000))</f>
        <v/>
      </c>
      <c r="AD55" s="98">
        <f>IF(OR(O55="",O55=0,AB55=""),"",(AB55*1000000)/O55)</f>
        <v/>
      </c>
      <c r="AE55" s="99">
        <f>IF(H55="","",(Team_Genesis-H55)/1000000)</f>
        <v/>
      </c>
      <c r="AF55" s="99">
        <f>IF(OR(O55="",AE55=""),"",(O55-AE55*1000000)/1000000)</f>
        <v/>
      </c>
    </row>
    <row r="56">
      <c r="A56" s="35" t="n">
        <v>45710</v>
      </c>
      <c r="B56" s="90">
        <f>IF('Daily Data'!E56="","",'Daily Data'!E56)</f>
        <v/>
      </c>
      <c r="C56" s="65" t="n">
        <v>24.99</v>
      </c>
      <c r="D56" s="94" t="n">
        <v>87874.72000000067</v>
      </c>
      <c r="E56" s="94" t="n">
        <v>26531.5366</v>
      </c>
      <c r="F56" s="94" t="n">
        <v>957.8834000000001</v>
      </c>
      <c r="G56" s="94" t="n"/>
      <c r="H56" s="95">
        <f>SUM($G$4:G56)</f>
        <v/>
      </c>
      <c r="I56" s="94" t="n">
        <v>1000000000</v>
      </c>
      <c r="J56" s="95">
        <f>J55-E56</f>
        <v/>
      </c>
      <c r="K56" s="94" t="n">
        <v>60000000</v>
      </c>
      <c r="L56" s="94" t="n">
        <v>15315067.23</v>
      </c>
      <c r="M56" s="94" t="n">
        <v>3000000</v>
      </c>
      <c r="N56" s="94" t="n">
        <v>161577.2418999672</v>
      </c>
      <c r="O56" s="96">
        <f>IF(OR(I56="",J56="",L56="",N56=""),"",I56-J56-K56-L56-M56-N56)</f>
        <v/>
      </c>
      <c r="P56" s="91">
        <f>IF(OR(O56="",C56=""),"",O56*C56)</f>
        <v/>
      </c>
      <c r="Q56" s="69">
        <f>Q55-E56</f>
        <v/>
      </c>
      <c r="R56" s="97">
        <f>IF(OR(J56="",Q56=""),"",J56-Q56)</f>
        <v/>
      </c>
      <c r="S56" s="69">
        <f>IF(D56="",S55,S55+D56)</f>
        <v/>
      </c>
      <c r="T56" s="97">
        <f>IF(OR(L56="",S56=""),"",L56-S56)</f>
        <v/>
      </c>
      <c r="U56" s="69">
        <f>IF(F56="",U55,U55+F56)</f>
        <v/>
      </c>
      <c r="V56" s="97">
        <f>IF(OR(N56="",U56=""),"",N56-U56)</f>
        <v/>
      </c>
      <c r="W56" s="71">
        <f>IF(OR(C56="",C56=0,'Daily Data'!J56=""),"",'Daily Data'!J56/C56)</f>
        <v/>
      </c>
      <c r="X56" s="71">
        <f>IF(OR(C56="",C56=0,'Daily Data'!K56=""),"",'Daily Data'!K56/C56)</f>
        <v/>
      </c>
      <c r="Y56" s="71">
        <f>IF(OR(F56="",W56="",X56=""),"",F56-W56-X56)</f>
        <v/>
      </c>
      <c r="Z56" s="72" t="n">
        <v>358.55</v>
      </c>
      <c r="AA56" s="72" t="n">
        <v>63.27</v>
      </c>
      <c r="AB56" s="73">
        <f>Z56+AA56</f>
        <v/>
      </c>
      <c r="AC56" s="74">
        <f>IF(OR(E56="",E56=0,AB56=""),"",E56*365/(AB56*1000000))</f>
        <v/>
      </c>
      <c r="AD56" s="98">
        <f>IF(OR(O56="",O56=0,AB56=""),"",(AB56*1000000)/O56)</f>
        <v/>
      </c>
      <c r="AE56" s="99">
        <f>IF(H56="","",(Team_Genesis-H56)/1000000)</f>
        <v/>
      </c>
      <c r="AF56" s="99">
        <f>IF(OR(O56="",AE56=""),"",(O56-AE56*1000000)/1000000)</f>
        <v/>
      </c>
    </row>
    <row r="57">
      <c r="A57" s="35" t="n">
        <v>45711</v>
      </c>
      <c r="B57" s="90">
        <f>IF('Daily Data'!E57="","",'Daily Data'!E57)</f>
        <v/>
      </c>
      <c r="C57" s="65" t="n">
        <v>24.79</v>
      </c>
      <c r="D57" s="94" t="n">
        <v>30681.21999999881</v>
      </c>
      <c r="E57" s="94" t="n">
        <v>26510.0073</v>
      </c>
      <c r="F57" s="94" t="n">
        <v>272.4934</v>
      </c>
      <c r="G57" s="94" t="n"/>
      <c r="H57" s="95">
        <f>SUM($G$4:G57)</f>
        <v/>
      </c>
      <c r="I57" s="94" t="n">
        <v>1000000000</v>
      </c>
      <c r="J57" s="95">
        <f>J56-E57</f>
        <v/>
      </c>
      <c r="K57" s="94" t="n">
        <v>60000000</v>
      </c>
      <c r="L57" s="94" t="n">
        <v>15345748.45</v>
      </c>
      <c r="M57" s="94" t="n">
        <v>3000000</v>
      </c>
      <c r="N57" s="94" t="n">
        <v>161849.7352999449</v>
      </c>
      <c r="O57" s="96">
        <f>IF(OR(I57="",J57="",L57="",N57=""),"",I57-J57-K57-L57-M57-N57)</f>
        <v/>
      </c>
      <c r="P57" s="91">
        <f>IF(OR(O57="",C57=""),"",O57*C57)</f>
        <v/>
      </c>
      <c r="Q57" s="69">
        <f>Q56-E57</f>
        <v/>
      </c>
      <c r="R57" s="97">
        <f>IF(OR(J57="",Q57=""),"",J57-Q57)</f>
        <v/>
      </c>
      <c r="S57" s="69">
        <f>IF(D57="",S56,S56+D57)</f>
        <v/>
      </c>
      <c r="T57" s="97">
        <f>IF(OR(L57="",S57=""),"",L57-S57)</f>
        <v/>
      </c>
      <c r="U57" s="69">
        <f>IF(F57="",U56,U56+F57)</f>
        <v/>
      </c>
      <c r="V57" s="97">
        <f>IF(OR(N57="",U57=""),"",N57-U57)</f>
        <v/>
      </c>
      <c r="W57" s="71">
        <f>IF(OR(C57="",C57=0,'Daily Data'!J57=""),"",'Daily Data'!J57/C57)</f>
        <v/>
      </c>
      <c r="X57" s="71">
        <f>IF(OR(C57="",C57=0,'Daily Data'!K57=""),"",'Daily Data'!K57/C57)</f>
        <v/>
      </c>
      <c r="Y57" s="71">
        <f>IF(OR(F57="",W57="",X57=""),"",F57-W57-X57)</f>
        <v/>
      </c>
      <c r="Z57" s="72" t="n">
        <v>358.55</v>
      </c>
      <c r="AA57" s="72" t="n">
        <v>63.27</v>
      </c>
      <c r="AB57" s="73">
        <f>Z57+AA57</f>
        <v/>
      </c>
      <c r="AC57" s="74">
        <f>IF(OR(E57="",E57=0,AB57=""),"",E57*365/(AB57*1000000))</f>
        <v/>
      </c>
      <c r="AD57" s="98">
        <f>IF(OR(O57="",O57=0,AB57=""),"",(AB57*1000000)/O57)</f>
        <v/>
      </c>
      <c r="AE57" s="99">
        <f>IF(H57="","",(Team_Genesis-H57)/1000000)</f>
        <v/>
      </c>
      <c r="AF57" s="99">
        <f>IF(OR(O57="",AE57=""),"",(O57-AE57*1000000)/1000000)</f>
        <v/>
      </c>
    </row>
    <row r="58">
      <c r="A58" s="35" t="n">
        <v>45712</v>
      </c>
      <c r="B58" s="90">
        <f>IF('Daily Data'!E58="","",'Daily Data'!E58)</f>
        <v/>
      </c>
      <c r="C58" s="65" t="n">
        <v>23.15</v>
      </c>
      <c r="D58" s="94" t="n">
        <v>49548.46000000089</v>
      </c>
      <c r="E58" s="94" t="n">
        <v>26495.5925</v>
      </c>
      <c r="F58" s="94" t="n">
        <v>359.0801</v>
      </c>
      <c r="G58" s="94" t="n"/>
      <c r="H58" s="95">
        <f>SUM($G$4:G58)</f>
        <v/>
      </c>
      <c r="I58" s="94" t="n">
        <v>1000000000</v>
      </c>
      <c r="J58" s="95">
        <f>J57-E58</f>
        <v/>
      </c>
      <c r="K58" s="94" t="n">
        <v>60000000</v>
      </c>
      <c r="L58" s="94" t="n">
        <v>15395296.91</v>
      </c>
      <c r="M58" s="94" t="n">
        <v>3000000</v>
      </c>
      <c r="N58" s="94" t="n">
        <v>162208.815500021</v>
      </c>
      <c r="O58" s="96">
        <f>IF(OR(I58="",J58="",L58="",N58=""),"",I58-J58-K58-L58-M58-N58)</f>
        <v/>
      </c>
      <c r="P58" s="91">
        <f>IF(OR(O58="",C58=""),"",O58*C58)</f>
        <v/>
      </c>
      <c r="Q58" s="69">
        <f>Q57-E58</f>
        <v/>
      </c>
      <c r="R58" s="97">
        <f>IF(OR(J58="",Q58=""),"",J58-Q58)</f>
        <v/>
      </c>
      <c r="S58" s="69">
        <f>IF(D58="",S57,S57+D58)</f>
        <v/>
      </c>
      <c r="T58" s="97">
        <f>IF(OR(L58="",S58=""),"",L58-S58)</f>
        <v/>
      </c>
      <c r="U58" s="69">
        <f>IF(F58="",U57,U57+F58)</f>
        <v/>
      </c>
      <c r="V58" s="97">
        <f>IF(OR(N58="",U58=""),"",N58-U58)</f>
        <v/>
      </c>
      <c r="W58" s="71">
        <f>IF(OR(C58="",C58=0,'Daily Data'!J58=""),"",'Daily Data'!J58/C58)</f>
        <v/>
      </c>
      <c r="X58" s="71">
        <f>IF(OR(C58="",C58=0,'Daily Data'!K58=""),"",'Daily Data'!K58/C58)</f>
        <v/>
      </c>
      <c r="Y58" s="71">
        <f>IF(OR(F58="",W58="",X58=""),"",F58-W58-X58)</f>
        <v/>
      </c>
      <c r="Z58" s="72" t="n">
        <v>358.55</v>
      </c>
      <c r="AA58" s="72" t="n">
        <v>63.27</v>
      </c>
      <c r="AB58" s="73">
        <f>Z58+AA58</f>
        <v/>
      </c>
      <c r="AC58" s="74">
        <f>IF(OR(E58="",E58=0,AB58=""),"",E58*365/(AB58*1000000))</f>
        <v/>
      </c>
      <c r="AD58" s="98">
        <f>IF(OR(O58="",O58=0,AB58=""),"",(AB58*1000000)/O58)</f>
        <v/>
      </c>
      <c r="AE58" s="99">
        <f>IF(H58="","",(Team_Genesis-H58)/1000000)</f>
        <v/>
      </c>
      <c r="AF58" s="99">
        <f>IF(OR(O58="",AE58=""),"",(O58-AE58*1000000)/1000000)</f>
        <v/>
      </c>
    </row>
    <row r="59">
      <c r="A59" s="35" t="n">
        <v>45713</v>
      </c>
      <c r="B59" s="90">
        <f>IF('Daily Data'!E59="","",'Daily Data'!E59)</f>
        <v/>
      </c>
      <c r="C59" s="65" t="n">
        <v>19.88</v>
      </c>
      <c r="D59" s="94" t="n">
        <v>39290.51999999955</v>
      </c>
      <c r="E59" s="94" t="n">
        <v>26462.3619</v>
      </c>
      <c r="F59" s="94" t="n">
        <v>1448.4853</v>
      </c>
      <c r="G59" s="94" t="n"/>
      <c r="H59" s="95">
        <f>SUM($G$4:G59)</f>
        <v/>
      </c>
      <c r="I59" s="94" t="n">
        <v>1000000000</v>
      </c>
      <c r="J59" s="95">
        <f>J58-E59</f>
        <v/>
      </c>
      <c r="K59" s="94" t="n">
        <v>60000000</v>
      </c>
      <c r="L59" s="94" t="n">
        <v>15434587.43</v>
      </c>
      <c r="M59" s="94" t="n">
        <v>3000000</v>
      </c>
      <c r="N59" s="94" t="n">
        <v>163657.3006999493</v>
      </c>
      <c r="O59" s="96">
        <f>IF(OR(I59="",J59="",L59="",N59=""),"",I59-J59-K59-L59-M59-N59)</f>
        <v/>
      </c>
      <c r="P59" s="91">
        <f>IF(OR(O59="",C59=""),"",O59*C59)</f>
        <v/>
      </c>
      <c r="Q59" s="69">
        <f>Q58-E59</f>
        <v/>
      </c>
      <c r="R59" s="97">
        <f>IF(OR(J59="",Q59=""),"",J59-Q59)</f>
        <v/>
      </c>
      <c r="S59" s="69">
        <f>IF(D59="",S58,S58+D59)</f>
        <v/>
      </c>
      <c r="T59" s="97">
        <f>IF(OR(L59="",S59=""),"",L59-S59)</f>
        <v/>
      </c>
      <c r="U59" s="69">
        <f>IF(F59="",U58,U58+F59)</f>
        <v/>
      </c>
      <c r="V59" s="97">
        <f>IF(OR(N59="",U59=""),"",N59-U59)</f>
        <v/>
      </c>
      <c r="W59" s="71">
        <f>IF(OR(C59="",C59=0,'Daily Data'!J59=""),"",'Daily Data'!J59/C59)</f>
        <v/>
      </c>
      <c r="X59" s="71">
        <f>IF(OR(C59="",C59=0,'Daily Data'!K59=""),"",'Daily Data'!K59/C59)</f>
        <v/>
      </c>
      <c r="Y59" s="71">
        <f>IF(OR(F59="",W59="",X59=""),"",F59-W59-X59)</f>
        <v/>
      </c>
      <c r="Z59" s="72" t="n">
        <v>358.55</v>
      </c>
      <c r="AA59" s="72" t="n">
        <v>63.27</v>
      </c>
      <c r="AB59" s="73">
        <f>Z59+AA59</f>
        <v/>
      </c>
      <c r="AC59" s="74">
        <f>IF(OR(E59="",E59=0,AB59=""),"",E59*365/(AB59*1000000))</f>
        <v/>
      </c>
      <c r="AD59" s="98">
        <f>IF(OR(O59="",O59=0,AB59=""),"",(AB59*1000000)/O59)</f>
        <v/>
      </c>
      <c r="AE59" s="99">
        <f>IF(H59="","",(Team_Genesis-H59)/1000000)</f>
        <v/>
      </c>
      <c r="AF59" s="99">
        <f>IF(OR(O59="",AE59=""),"",(O59-AE59*1000000)/1000000)</f>
        <v/>
      </c>
    </row>
    <row r="60">
      <c r="A60" s="35" t="n">
        <v>45714</v>
      </c>
      <c r="B60" s="90">
        <f>IF('Daily Data'!E60="","",'Daily Data'!E60)</f>
        <v/>
      </c>
      <c r="C60" s="65" t="n">
        <v>20.19</v>
      </c>
      <c r="D60" s="94" t="n">
        <v>206273.870000001</v>
      </c>
      <c r="E60" s="94" t="n">
        <v>26402.5399</v>
      </c>
      <c r="F60" s="94" t="n">
        <v>2533.9117</v>
      </c>
      <c r="G60" s="94" t="n"/>
      <c r="H60" s="95">
        <f>SUM($G$4:G60)</f>
        <v/>
      </c>
      <c r="I60" s="94" t="n">
        <v>1000000000</v>
      </c>
      <c r="J60" s="95">
        <f>J59-E60</f>
        <v/>
      </c>
      <c r="K60" s="94" t="n">
        <v>60000000</v>
      </c>
      <c r="L60" s="94" t="n">
        <v>15640861.3</v>
      </c>
      <c r="M60" s="94" t="n">
        <v>3000000</v>
      </c>
      <c r="N60" s="94" t="n">
        <v>166191.2123999596</v>
      </c>
      <c r="O60" s="96">
        <f>IF(OR(I60="",J60="",L60="",N60=""),"",I60-J60-K60-L60-M60-N60)</f>
        <v/>
      </c>
      <c r="P60" s="91">
        <f>IF(OR(O60="",C60=""),"",O60*C60)</f>
        <v/>
      </c>
      <c r="Q60" s="69">
        <f>Q59-E60</f>
        <v/>
      </c>
      <c r="R60" s="97">
        <f>IF(OR(J60="",Q60=""),"",J60-Q60)</f>
        <v/>
      </c>
      <c r="S60" s="69">
        <f>IF(D60="",S59,S59+D60)</f>
        <v/>
      </c>
      <c r="T60" s="97">
        <f>IF(OR(L60="",S60=""),"",L60-S60)</f>
        <v/>
      </c>
      <c r="U60" s="69">
        <f>IF(F60="",U59,U59+F60)</f>
        <v/>
      </c>
      <c r="V60" s="97">
        <f>IF(OR(N60="",U60=""),"",N60-U60)</f>
        <v/>
      </c>
      <c r="W60" s="71">
        <f>IF(OR(C60="",C60=0,'Daily Data'!J60=""),"",'Daily Data'!J60/C60)</f>
        <v/>
      </c>
      <c r="X60" s="71">
        <f>IF(OR(C60="",C60=0,'Daily Data'!K60=""),"",'Daily Data'!K60/C60)</f>
        <v/>
      </c>
      <c r="Y60" s="71">
        <f>IF(OR(F60="",W60="",X60=""),"",F60-W60-X60)</f>
        <v/>
      </c>
      <c r="Z60" s="72" t="n">
        <v>358.55</v>
      </c>
      <c r="AA60" s="72" t="n">
        <v>63.27</v>
      </c>
      <c r="AB60" s="73">
        <f>Z60+AA60</f>
        <v/>
      </c>
      <c r="AC60" s="74">
        <f>IF(OR(E60="",E60=0,AB60=""),"",E60*365/(AB60*1000000))</f>
        <v/>
      </c>
      <c r="AD60" s="98">
        <f>IF(OR(O60="",O60=0,AB60=""),"",(AB60*1000000)/O60)</f>
        <v/>
      </c>
      <c r="AE60" s="99">
        <f>IF(H60="","",(Team_Genesis-H60)/1000000)</f>
        <v/>
      </c>
      <c r="AF60" s="99">
        <f>IF(OR(O60="",AE60=""),"",(O60-AE60*1000000)/1000000)</f>
        <v/>
      </c>
    </row>
    <row r="61">
      <c r="A61" s="35" t="n">
        <v>45715</v>
      </c>
      <c r="B61" s="90">
        <f>IF('Daily Data'!E61="","",'Daily Data'!E61)</f>
        <v/>
      </c>
      <c r="C61" s="65" t="n">
        <v>19.56</v>
      </c>
      <c r="D61" s="94" t="n">
        <v>113214.7899999991</v>
      </c>
      <c r="E61" s="94" t="n">
        <v>26370.7823</v>
      </c>
      <c r="F61" s="94" t="n">
        <v>1291.9301</v>
      </c>
      <c r="G61" s="94" t="n"/>
      <c r="H61" s="95">
        <f>SUM($G$4:G61)</f>
        <v/>
      </c>
      <c r="I61" s="94" t="n">
        <v>1000000000</v>
      </c>
      <c r="J61" s="95">
        <f>J60-E61</f>
        <v/>
      </c>
      <c r="K61" s="94" t="n">
        <v>60000000</v>
      </c>
      <c r="L61" s="94" t="n">
        <v>15754076.09</v>
      </c>
      <c r="M61" s="94" t="n">
        <v>3000000</v>
      </c>
      <c r="N61" s="94" t="n">
        <v>167483.1426000595</v>
      </c>
      <c r="O61" s="96">
        <f>IF(OR(I61="",J61="",L61="",N61=""),"",I61-J61-K61-L61-M61-N61)</f>
        <v/>
      </c>
      <c r="P61" s="91">
        <f>IF(OR(O61="",C61=""),"",O61*C61)</f>
        <v/>
      </c>
      <c r="Q61" s="69">
        <f>Q60-E61</f>
        <v/>
      </c>
      <c r="R61" s="97">
        <f>IF(OR(J61="",Q61=""),"",J61-Q61)</f>
        <v/>
      </c>
      <c r="S61" s="69">
        <f>IF(D61="",S60,S60+D61)</f>
        <v/>
      </c>
      <c r="T61" s="97">
        <f>IF(OR(L61="",S61=""),"",L61-S61)</f>
        <v/>
      </c>
      <c r="U61" s="69">
        <f>IF(F61="",U60,U60+F61)</f>
        <v/>
      </c>
      <c r="V61" s="97">
        <f>IF(OR(N61="",U61=""),"",N61-U61)</f>
        <v/>
      </c>
      <c r="W61" s="71">
        <f>IF(OR(C61="",C61=0,'Daily Data'!J61=""),"",'Daily Data'!J61/C61)</f>
        <v/>
      </c>
      <c r="X61" s="71">
        <f>IF(OR(C61="",C61=0,'Daily Data'!K61=""),"",'Daily Data'!K61/C61)</f>
        <v/>
      </c>
      <c r="Y61" s="71">
        <f>IF(OR(F61="",W61="",X61=""),"",F61-W61-X61)</f>
        <v/>
      </c>
      <c r="Z61" s="72" t="n">
        <v>358.55</v>
      </c>
      <c r="AA61" s="72" t="n">
        <v>63.27</v>
      </c>
      <c r="AB61" s="73">
        <f>Z61+AA61</f>
        <v/>
      </c>
      <c r="AC61" s="74">
        <f>IF(OR(E61="",E61=0,AB61=""),"",E61*365/(AB61*1000000))</f>
        <v/>
      </c>
      <c r="AD61" s="98">
        <f>IF(OR(O61="",O61=0,AB61=""),"",(AB61*1000000)/O61)</f>
        <v/>
      </c>
      <c r="AE61" s="99">
        <f>IF(H61="","",(Team_Genesis-H61)/1000000)</f>
        <v/>
      </c>
      <c r="AF61" s="99">
        <f>IF(OR(O61="",AE61=""),"",(O61-AE61*1000000)/1000000)</f>
        <v/>
      </c>
    </row>
    <row r="62">
      <c r="A62" s="35" t="n">
        <v>45716</v>
      </c>
      <c r="B62" s="90">
        <f>IF('Daily Data'!E62="","",'Daily Data'!E62)</f>
        <v/>
      </c>
      <c r="C62" s="65" t="n">
        <v>20.87</v>
      </c>
      <c r="D62" s="94" t="n">
        <v>109659.9700000007</v>
      </c>
      <c r="E62" s="94" t="n">
        <v>26389.8779</v>
      </c>
      <c r="F62" s="94" t="n">
        <v>800.0368999999999</v>
      </c>
      <c r="G62" s="94" t="n"/>
      <c r="H62" s="95">
        <f>SUM($G$4:G62)</f>
        <v/>
      </c>
      <c r="I62" s="94" t="n">
        <v>1000000000</v>
      </c>
      <c r="J62" s="95">
        <f>J61-E62</f>
        <v/>
      </c>
      <c r="K62" s="94" t="n">
        <v>60000000</v>
      </c>
      <c r="L62" s="94" t="n">
        <v>15863736.06</v>
      </c>
      <c r="M62" s="94" t="n">
        <v>3000000</v>
      </c>
      <c r="N62" s="94" t="n">
        <v>168283.1793999672</v>
      </c>
      <c r="O62" s="96">
        <f>IF(OR(I62="",J62="",L62="",N62=""),"",I62-J62-K62-L62-M62-N62)</f>
        <v/>
      </c>
      <c r="P62" s="91">
        <f>IF(OR(O62="",C62=""),"",O62*C62)</f>
        <v/>
      </c>
      <c r="Q62" s="69">
        <f>Q61-E62</f>
        <v/>
      </c>
      <c r="R62" s="97">
        <f>IF(OR(J62="",Q62=""),"",J62-Q62)</f>
        <v/>
      </c>
      <c r="S62" s="69">
        <f>IF(D62="",S61,S61+D62)</f>
        <v/>
      </c>
      <c r="T62" s="97">
        <f>IF(OR(L62="",S62=""),"",L62-S62)</f>
        <v/>
      </c>
      <c r="U62" s="69">
        <f>IF(F62="",U61,U61+F62)</f>
        <v/>
      </c>
      <c r="V62" s="97">
        <f>IF(OR(N62="",U62=""),"",N62-U62)</f>
        <v/>
      </c>
      <c r="W62" s="71">
        <f>IF(OR(C62="",C62=0,'Daily Data'!J62=""),"",'Daily Data'!J62/C62)</f>
        <v/>
      </c>
      <c r="X62" s="71">
        <f>IF(OR(C62="",C62=0,'Daily Data'!K62=""),"",'Daily Data'!K62/C62)</f>
        <v/>
      </c>
      <c r="Y62" s="71">
        <f>IF(OR(F62="",W62="",X62=""),"",F62-W62-X62)</f>
        <v/>
      </c>
      <c r="Z62" s="72" t="n">
        <v>358.55</v>
      </c>
      <c r="AA62" s="72" t="n">
        <v>63.27</v>
      </c>
      <c r="AB62" s="73">
        <f>Z62+AA62</f>
        <v/>
      </c>
      <c r="AC62" s="74">
        <f>IF(OR(E62="",E62=0,AB62=""),"",E62*365/(AB62*1000000))</f>
        <v/>
      </c>
      <c r="AD62" s="98">
        <f>IF(OR(O62="",O62=0,AB62=""),"",(AB62*1000000)/O62)</f>
        <v/>
      </c>
      <c r="AE62" s="99">
        <f>IF(H62="","",(Team_Genesis-H62)/1000000)</f>
        <v/>
      </c>
      <c r="AF62" s="99">
        <f>IF(OR(O62="",AE62=""),"",(O62-AE62*1000000)/1000000)</f>
        <v/>
      </c>
    </row>
    <row r="63">
      <c r="A63" s="35" t="n">
        <v>45717</v>
      </c>
      <c r="B63" s="90">
        <f>IF('Daily Data'!E63="","",'Daily Data'!E63)</f>
        <v/>
      </c>
      <c r="C63" s="65" t="n">
        <v>19.95</v>
      </c>
      <c r="D63" s="94" t="n">
        <v>92064.69999999925</v>
      </c>
      <c r="E63" s="94" t="n">
        <v>26354.4325</v>
      </c>
      <c r="F63" s="94" t="n">
        <v>1113.9076</v>
      </c>
      <c r="G63" s="94" t="n"/>
      <c r="H63" s="95">
        <f>SUM($G$4:G63)</f>
        <v/>
      </c>
      <c r="I63" s="94" t="n">
        <v>1000000000</v>
      </c>
      <c r="J63" s="95">
        <f>J62-E63</f>
        <v/>
      </c>
      <c r="K63" s="94" t="n">
        <v>60000000</v>
      </c>
      <c r="L63" s="94" t="n">
        <v>15955800.76</v>
      </c>
      <c r="M63" s="94" t="n">
        <v>3000000</v>
      </c>
      <c r="N63" s="94" t="n">
        <v>169397.0870000124</v>
      </c>
      <c r="O63" s="96">
        <f>IF(OR(I63="",J63="",L63="",N63=""),"",I63-J63-K63-L63-M63-N63)</f>
        <v/>
      </c>
      <c r="P63" s="91">
        <f>IF(OR(O63="",C63=""),"",O63*C63)</f>
        <v/>
      </c>
      <c r="Q63" s="69">
        <f>Q62-E63</f>
        <v/>
      </c>
      <c r="R63" s="97">
        <f>IF(OR(J63="",Q63=""),"",J63-Q63)</f>
        <v/>
      </c>
      <c r="S63" s="69">
        <f>IF(D63="",S62,S62+D63)</f>
        <v/>
      </c>
      <c r="T63" s="97">
        <f>IF(OR(L63="",S63=""),"",L63-S63)</f>
        <v/>
      </c>
      <c r="U63" s="69">
        <f>IF(F63="",U62,U62+F63)</f>
        <v/>
      </c>
      <c r="V63" s="97">
        <f>IF(OR(N63="",U63=""),"",N63-U63)</f>
        <v/>
      </c>
      <c r="W63" s="71">
        <f>IF(OR(C63="",C63=0,'Daily Data'!J63=""),"",'Daily Data'!J63/C63)</f>
        <v/>
      </c>
      <c r="X63" s="71">
        <f>IF(OR(C63="",C63=0,'Daily Data'!K63=""),"",'Daily Data'!K63/C63)</f>
        <v/>
      </c>
      <c r="Y63" s="71">
        <f>IF(OR(F63="",W63="",X63=""),"",F63-W63-X63)</f>
        <v/>
      </c>
      <c r="Z63" s="72" t="n">
        <v>358.13</v>
      </c>
      <c r="AA63" s="72" t="n">
        <v>63.2</v>
      </c>
      <c r="AB63" s="73">
        <f>Z63+AA63</f>
        <v/>
      </c>
      <c r="AC63" s="74">
        <f>IF(OR(E63="",E63=0,AB63=""),"",E63*365/(AB63*1000000))</f>
        <v/>
      </c>
      <c r="AD63" s="98">
        <f>IF(OR(O63="",O63=0,AB63=""),"",(AB63*1000000)/O63)</f>
        <v/>
      </c>
      <c r="AE63" s="99">
        <f>IF(H63="","",(Team_Genesis-H63)/1000000)</f>
        <v/>
      </c>
      <c r="AF63" s="99">
        <f>IF(OR(O63="",AE63=""),"",(O63-AE63*1000000)/1000000)</f>
        <v/>
      </c>
    </row>
    <row r="64">
      <c r="A64" s="35" t="n">
        <v>45718</v>
      </c>
      <c r="B64" s="90">
        <f>IF('Daily Data'!E64="","",'Daily Data'!E64)</f>
        <v/>
      </c>
      <c r="C64" s="65" t="n">
        <v>19.6</v>
      </c>
      <c r="D64" s="94" t="n">
        <v>42507.70000000112</v>
      </c>
      <c r="E64" s="94" t="n">
        <v>26347.5556</v>
      </c>
      <c r="F64" s="94" t="n">
        <v>456.8228</v>
      </c>
      <c r="G64" s="94" t="n"/>
      <c r="H64" s="95">
        <f>SUM($G$4:G64)</f>
        <v/>
      </c>
      <c r="I64" s="94" t="n">
        <v>1000000000</v>
      </c>
      <c r="J64" s="95">
        <f>J63-E64</f>
        <v/>
      </c>
      <c r="K64" s="94" t="n">
        <v>60000000</v>
      </c>
      <c r="L64" s="94" t="n">
        <v>15998308.46</v>
      </c>
      <c r="M64" s="94" t="n">
        <v>3000000</v>
      </c>
      <c r="N64" s="94" t="n">
        <v>169853.9098000526</v>
      </c>
      <c r="O64" s="96">
        <f>IF(OR(I64="",J64="",L64="",N64=""),"",I64-J64-K64-L64-M64-N64)</f>
        <v/>
      </c>
      <c r="P64" s="91">
        <f>IF(OR(O64="",C64=""),"",O64*C64)</f>
        <v/>
      </c>
      <c r="Q64" s="69">
        <f>Q63-E64</f>
        <v/>
      </c>
      <c r="R64" s="97">
        <f>IF(OR(J64="",Q64=""),"",J64-Q64)</f>
        <v/>
      </c>
      <c r="S64" s="69">
        <f>IF(D64="",S63,S63+D64)</f>
        <v/>
      </c>
      <c r="T64" s="97">
        <f>IF(OR(L64="",S64=""),"",L64-S64)</f>
        <v/>
      </c>
      <c r="U64" s="69">
        <f>IF(F64="",U63,U63+F64)</f>
        <v/>
      </c>
      <c r="V64" s="97">
        <f>IF(OR(N64="",U64=""),"",N64-U64)</f>
        <v/>
      </c>
      <c r="W64" s="71">
        <f>IF(OR(C64="",C64=0,'Daily Data'!J64=""),"",'Daily Data'!J64/C64)</f>
        <v/>
      </c>
      <c r="X64" s="71">
        <f>IF(OR(C64="",C64=0,'Daily Data'!K64=""),"",'Daily Data'!K64/C64)</f>
        <v/>
      </c>
      <c r="Y64" s="71">
        <f>IF(OR(F64="",W64="",X64=""),"",F64-W64-X64)</f>
        <v/>
      </c>
      <c r="Z64" s="72" t="n">
        <v>358.13</v>
      </c>
      <c r="AA64" s="72" t="n">
        <v>63.2</v>
      </c>
      <c r="AB64" s="73">
        <f>Z64+AA64</f>
        <v/>
      </c>
      <c r="AC64" s="74">
        <f>IF(OR(E64="",E64=0,AB64=""),"",E64*365/(AB64*1000000))</f>
        <v/>
      </c>
      <c r="AD64" s="98">
        <f>IF(OR(O64="",O64=0,AB64=""),"",(AB64*1000000)/O64)</f>
        <v/>
      </c>
      <c r="AE64" s="99">
        <f>IF(H64="","",(Team_Genesis-H64)/1000000)</f>
        <v/>
      </c>
      <c r="AF64" s="99">
        <f>IF(OR(O64="",AE64=""),"",(O64-AE64*1000000)/1000000)</f>
        <v/>
      </c>
    </row>
    <row r="65">
      <c r="A65" s="35" t="n">
        <v>45719</v>
      </c>
      <c r="B65" s="90">
        <f>IF('Daily Data'!E65="","",'Daily Data'!E65)</f>
        <v/>
      </c>
      <c r="C65" s="65" t="n">
        <v>20.53</v>
      </c>
      <c r="D65" s="94" t="n">
        <v>156706.3299999982</v>
      </c>
      <c r="E65" s="94" t="n">
        <v>26343.6937</v>
      </c>
      <c r="F65" s="94" t="n">
        <v>1076.7938</v>
      </c>
      <c r="G65" s="94" t="n"/>
      <c r="H65" s="95">
        <f>SUM($G$4:G65)</f>
        <v/>
      </c>
      <c r="I65" s="94" t="n">
        <v>1000000000</v>
      </c>
      <c r="J65" s="95">
        <f>J64-E65</f>
        <v/>
      </c>
      <c r="K65" s="94" t="n">
        <v>60000000</v>
      </c>
      <c r="L65" s="94" t="n">
        <v>16155014.79</v>
      </c>
      <c r="M65" s="94" t="n">
        <v>3000000</v>
      </c>
      <c r="N65" s="94" t="n">
        <v>170930.703600049</v>
      </c>
      <c r="O65" s="96">
        <f>IF(OR(I65="",J65="",L65="",N65=""),"",I65-J65-K65-L65-M65-N65)</f>
        <v/>
      </c>
      <c r="P65" s="91">
        <f>IF(OR(O65="",C65=""),"",O65*C65)</f>
        <v/>
      </c>
      <c r="Q65" s="69">
        <f>Q64-E65</f>
        <v/>
      </c>
      <c r="R65" s="97">
        <f>IF(OR(J65="",Q65=""),"",J65-Q65)</f>
        <v/>
      </c>
      <c r="S65" s="69">
        <f>IF(D65="",S64,S64+D65)</f>
        <v/>
      </c>
      <c r="T65" s="97">
        <f>IF(OR(L65="",S65=""),"",L65-S65)</f>
        <v/>
      </c>
      <c r="U65" s="69">
        <f>IF(F65="",U64,U64+F65)</f>
        <v/>
      </c>
      <c r="V65" s="97">
        <f>IF(OR(N65="",U65=""),"",N65-U65)</f>
        <v/>
      </c>
      <c r="W65" s="71">
        <f>IF(OR(C65="",C65=0,'Daily Data'!J65=""),"",'Daily Data'!J65/C65)</f>
        <v/>
      </c>
      <c r="X65" s="71">
        <f>IF(OR(C65="",C65=0,'Daily Data'!K65=""),"",'Daily Data'!K65/C65)</f>
        <v/>
      </c>
      <c r="Y65" s="71">
        <f>IF(OR(F65="",W65="",X65=""),"",F65-W65-X65)</f>
        <v/>
      </c>
      <c r="Z65" s="72" t="n">
        <v>358.13</v>
      </c>
      <c r="AA65" s="72" t="n">
        <v>63.2</v>
      </c>
      <c r="AB65" s="73">
        <f>Z65+AA65</f>
        <v/>
      </c>
      <c r="AC65" s="74">
        <f>IF(OR(E65="",E65=0,AB65=""),"",E65*365/(AB65*1000000))</f>
        <v/>
      </c>
      <c r="AD65" s="98">
        <f>IF(OR(O65="",O65=0,AB65=""),"",(AB65*1000000)/O65)</f>
        <v/>
      </c>
      <c r="AE65" s="99">
        <f>IF(H65="","",(Team_Genesis-H65)/1000000)</f>
        <v/>
      </c>
      <c r="AF65" s="99">
        <f>IF(OR(O65="",AE65=""),"",(O65-AE65*1000000)/1000000)</f>
        <v/>
      </c>
    </row>
    <row r="66">
      <c r="A66" s="35" t="n">
        <v>45720</v>
      </c>
      <c r="B66" s="90">
        <f>IF('Daily Data'!E66="","",'Daily Data'!E66)</f>
        <v/>
      </c>
      <c r="C66" s="65" t="n">
        <v>17.88</v>
      </c>
      <c r="D66" s="94" t="n">
        <v>157081.7700000014</v>
      </c>
      <c r="E66" s="94" t="n">
        <v>26300.1912</v>
      </c>
      <c r="F66" s="94" t="n">
        <v>1191.9757</v>
      </c>
      <c r="G66" s="94" t="n"/>
      <c r="H66" s="95">
        <f>SUM($G$4:G66)</f>
        <v/>
      </c>
      <c r="I66" s="94" t="n">
        <v>1000000000</v>
      </c>
      <c r="J66" s="95">
        <f>J65-E66</f>
        <v/>
      </c>
      <c r="K66" s="94" t="n">
        <v>60000000</v>
      </c>
      <c r="L66" s="94" t="n">
        <v>16312096.56</v>
      </c>
      <c r="M66" s="94" t="n">
        <v>3000000</v>
      </c>
      <c r="N66" s="94" t="n">
        <v>172122.6792999506</v>
      </c>
      <c r="O66" s="96">
        <f>IF(OR(I66="",J66="",L66="",N66=""),"",I66-J66-K66-L66-M66-N66)</f>
        <v/>
      </c>
      <c r="P66" s="91">
        <f>IF(OR(O66="",C66=""),"",O66*C66)</f>
        <v/>
      </c>
      <c r="Q66" s="69">
        <f>Q65-E66</f>
        <v/>
      </c>
      <c r="R66" s="97">
        <f>IF(OR(J66="",Q66=""),"",J66-Q66)</f>
        <v/>
      </c>
      <c r="S66" s="69">
        <f>IF(D66="",S65,S65+D66)</f>
        <v/>
      </c>
      <c r="T66" s="97">
        <f>IF(OR(L66="",S66=""),"",L66-S66)</f>
        <v/>
      </c>
      <c r="U66" s="69">
        <f>IF(F66="",U65,U65+F66)</f>
        <v/>
      </c>
      <c r="V66" s="97">
        <f>IF(OR(N66="",U66=""),"",N66-U66)</f>
        <v/>
      </c>
      <c r="W66" s="71">
        <f>IF(OR(C66="",C66=0,'Daily Data'!J66=""),"",'Daily Data'!J66/C66)</f>
        <v/>
      </c>
      <c r="X66" s="71">
        <f>IF(OR(C66="",C66=0,'Daily Data'!K66=""),"",'Daily Data'!K66/C66)</f>
        <v/>
      </c>
      <c r="Y66" s="71">
        <f>IF(OR(F66="",W66="",X66=""),"",F66-W66-X66)</f>
        <v/>
      </c>
      <c r="Z66" s="72" t="n">
        <v>358.13</v>
      </c>
      <c r="AA66" s="72" t="n">
        <v>63.2</v>
      </c>
      <c r="AB66" s="73">
        <f>Z66+AA66</f>
        <v/>
      </c>
      <c r="AC66" s="74">
        <f>IF(OR(E66="",E66=0,AB66=""),"",E66*365/(AB66*1000000))</f>
        <v/>
      </c>
      <c r="AD66" s="98">
        <f>IF(OR(O66="",O66=0,AB66=""),"",(AB66*1000000)/O66)</f>
        <v/>
      </c>
      <c r="AE66" s="99">
        <f>IF(H66="","",(Team_Genesis-H66)/1000000)</f>
        <v/>
      </c>
      <c r="AF66" s="99">
        <f>IF(OR(O66="",AE66=""),"",(O66-AE66*1000000)/1000000)</f>
        <v/>
      </c>
    </row>
    <row r="67">
      <c r="A67" s="35" t="n">
        <v>45721</v>
      </c>
      <c r="B67" s="90">
        <f>IF('Daily Data'!E67="","",'Daily Data'!E67)</f>
        <v/>
      </c>
      <c r="C67" s="65" t="n">
        <v>17.09</v>
      </c>
      <c r="D67" s="94" t="n">
        <v>117418.2899999991</v>
      </c>
      <c r="E67" s="94" t="n">
        <v>26023.1564</v>
      </c>
      <c r="F67" s="94" t="n">
        <v>2036.1675</v>
      </c>
      <c r="G67" s="94" t="n"/>
      <c r="H67" s="95">
        <f>SUM($G$4:G67)</f>
        <v/>
      </c>
      <c r="I67" s="94" t="n">
        <v>1000000000</v>
      </c>
      <c r="J67" s="95">
        <f>J66-E67</f>
        <v/>
      </c>
      <c r="K67" s="94" t="n">
        <v>60000000</v>
      </c>
      <c r="L67" s="94" t="n">
        <v>16429514.85</v>
      </c>
      <c r="M67" s="94" t="n">
        <v>3000000</v>
      </c>
      <c r="N67" s="94" t="n">
        <v>174158.8467999697</v>
      </c>
      <c r="O67" s="96">
        <f>IF(OR(I67="",J67="",L67="",N67=""),"",I67-J67-K67-L67-M67-N67)</f>
        <v/>
      </c>
      <c r="P67" s="91">
        <f>IF(OR(O67="",C67=""),"",O67*C67)</f>
        <v/>
      </c>
      <c r="Q67" s="69">
        <f>Q66-E67</f>
        <v/>
      </c>
      <c r="R67" s="97">
        <f>IF(OR(J67="",Q67=""),"",J67-Q67)</f>
        <v/>
      </c>
      <c r="S67" s="69">
        <f>IF(D67="",S66,S66+D67)</f>
        <v/>
      </c>
      <c r="T67" s="97">
        <f>IF(OR(L67="",S67=""),"",L67-S67)</f>
        <v/>
      </c>
      <c r="U67" s="69">
        <f>IF(F67="",U66,U66+F67)</f>
        <v/>
      </c>
      <c r="V67" s="97">
        <f>IF(OR(N67="",U67=""),"",N67-U67)</f>
        <v/>
      </c>
      <c r="W67" s="71">
        <f>IF(OR(C67="",C67=0,'Daily Data'!J67=""),"",'Daily Data'!J67/C67)</f>
        <v/>
      </c>
      <c r="X67" s="71">
        <f>IF(OR(C67="",C67=0,'Daily Data'!K67=""),"",'Daily Data'!K67/C67)</f>
        <v/>
      </c>
      <c r="Y67" s="71">
        <f>IF(OR(F67="",W67="",X67=""),"",F67-W67-X67)</f>
        <v/>
      </c>
      <c r="Z67" s="72" t="n">
        <v>358.13</v>
      </c>
      <c r="AA67" s="72" t="n">
        <v>63.2</v>
      </c>
      <c r="AB67" s="73">
        <f>Z67+AA67</f>
        <v/>
      </c>
      <c r="AC67" s="74">
        <f>IF(OR(E67="",E67=0,AB67=""),"",E67*365/(AB67*1000000))</f>
        <v/>
      </c>
      <c r="AD67" s="98">
        <f>IF(OR(O67="",O67=0,AB67=""),"",(AB67*1000000)/O67)</f>
        <v/>
      </c>
      <c r="AE67" s="99">
        <f>IF(H67="","",(Team_Genesis-H67)/1000000)</f>
        <v/>
      </c>
      <c r="AF67" s="99">
        <f>IF(OR(O67="",AE67=""),"",(O67-AE67*1000000)/1000000)</f>
        <v/>
      </c>
    </row>
    <row r="68">
      <c r="A68" s="35" t="n">
        <v>45722</v>
      </c>
      <c r="B68" s="90">
        <f>IF('Daily Data'!E68="","",'Daily Data'!E68)</f>
        <v/>
      </c>
      <c r="C68" s="65" t="n">
        <v>17.18</v>
      </c>
      <c r="D68" s="94" t="n">
        <v>82700.41000000015</v>
      </c>
      <c r="E68" s="94" t="n">
        <v>26246.193</v>
      </c>
      <c r="F68" s="94" t="n">
        <v>835.7671</v>
      </c>
      <c r="G68" s="94" t="n"/>
      <c r="H68" s="95">
        <f>SUM($G$4:G68)</f>
        <v/>
      </c>
      <c r="I68" s="94" t="n">
        <v>1000000000</v>
      </c>
      <c r="J68" s="95">
        <f>J67-E68</f>
        <v/>
      </c>
      <c r="K68" s="94" t="n">
        <v>60000000</v>
      </c>
      <c r="L68" s="94" t="n">
        <v>16512215.26</v>
      </c>
      <c r="M68" s="94" t="n">
        <v>3000000</v>
      </c>
      <c r="N68" s="94" t="n">
        <v>174994.6138999462</v>
      </c>
      <c r="O68" s="96">
        <f>IF(OR(I68="",J68="",L68="",N68=""),"",I68-J68-K68-L68-M68-N68)</f>
        <v/>
      </c>
      <c r="P68" s="91">
        <f>IF(OR(O68="",C68=""),"",O68*C68)</f>
        <v/>
      </c>
      <c r="Q68" s="69">
        <f>Q67-E68</f>
        <v/>
      </c>
      <c r="R68" s="97">
        <f>IF(OR(J68="",Q68=""),"",J68-Q68)</f>
        <v/>
      </c>
      <c r="S68" s="69">
        <f>IF(D68="",S67,S67+D68)</f>
        <v/>
      </c>
      <c r="T68" s="97">
        <f>IF(OR(L68="",S68=""),"",L68-S68)</f>
        <v/>
      </c>
      <c r="U68" s="69">
        <f>IF(F68="",U67,U67+F68)</f>
        <v/>
      </c>
      <c r="V68" s="97">
        <f>IF(OR(N68="",U68=""),"",N68-U68)</f>
        <v/>
      </c>
      <c r="W68" s="71">
        <f>IF(OR(C68="",C68=0,'Daily Data'!J68=""),"",'Daily Data'!J68/C68)</f>
        <v/>
      </c>
      <c r="X68" s="71">
        <f>IF(OR(C68="",C68=0,'Daily Data'!K68=""),"",'Daily Data'!K68/C68)</f>
        <v/>
      </c>
      <c r="Y68" s="71">
        <f>IF(OR(F68="",W68="",X68=""),"",F68-W68-X68)</f>
        <v/>
      </c>
      <c r="Z68" s="72" t="n">
        <v>358.13</v>
      </c>
      <c r="AA68" s="72" t="n">
        <v>63.2</v>
      </c>
      <c r="AB68" s="73">
        <f>Z68+AA68</f>
        <v/>
      </c>
      <c r="AC68" s="74">
        <f>IF(OR(E68="",E68=0,AB68=""),"",E68*365/(AB68*1000000))</f>
        <v/>
      </c>
      <c r="AD68" s="98">
        <f>IF(OR(O68="",O68=0,AB68=""),"",(AB68*1000000)/O68)</f>
        <v/>
      </c>
      <c r="AE68" s="99">
        <f>IF(H68="","",(Team_Genesis-H68)/1000000)</f>
        <v/>
      </c>
      <c r="AF68" s="99">
        <f>IF(OR(O68="",AE68=""),"",(O68-AE68*1000000)/1000000)</f>
        <v/>
      </c>
    </row>
    <row r="69">
      <c r="A69" s="35" t="n">
        <v>45723</v>
      </c>
      <c r="B69" s="90">
        <f>IF('Daily Data'!E69="","",'Daily Data'!E69)</f>
        <v/>
      </c>
      <c r="C69" s="65" t="n">
        <v>15.39</v>
      </c>
      <c r="D69" s="94" t="n">
        <v>127211.7200000007</v>
      </c>
      <c r="E69" s="94" t="n">
        <v>26269.2514</v>
      </c>
      <c r="F69" s="94" t="n">
        <v>957.7524</v>
      </c>
      <c r="G69" s="94" t="n"/>
      <c r="H69" s="95">
        <f>SUM($G$4:G69)</f>
        <v/>
      </c>
      <c r="I69" s="94" t="n">
        <v>1000000000</v>
      </c>
      <c r="J69" s="95">
        <f>J68-E69</f>
        <v/>
      </c>
      <c r="K69" s="94" t="n">
        <v>60000000</v>
      </c>
      <c r="L69" s="94" t="n">
        <v>16639426.98</v>
      </c>
      <c r="M69" s="94" t="n">
        <v>3000000</v>
      </c>
      <c r="N69" s="94" t="n">
        <v>175952.3662999868</v>
      </c>
      <c r="O69" s="96">
        <f>IF(OR(I69="",J69="",L69="",N69=""),"",I69-J69-K69-L69-M69-N69)</f>
        <v/>
      </c>
      <c r="P69" s="91">
        <f>IF(OR(O69="",C69=""),"",O69*C69)</f>
        <v/>
      </c>
      <c r="Q69" s="69">
        <f>Q68-E69</f>
        <v/>
      </c>
      <c r="R69" s="97">
        <f>IF(OR(J69="",Q69=""),"",J69-Q69)</f>
        <v/>
      </c>
      <c r="S69" s="69">
        <f>IF(D69="",S68,S68+D69)</f>
        <v/>
      </c>
      <c r="T69" s="97">
        <f>IF(OR(L69="",S69=""),"",L69-S69)</f>
        <v/>
      </c>
      <c r="U69" s="69">
        <f>IF(F69="",U68,U68+F69)</f>
        <v/>
      </c>
      <c r="V69" s="97">
        <f>IF(OR(N69="",U69=""),"",N69-U69)</f>
        <v/>
      </c>
      <c r="W69" s="71">
        <f>IF(OR(C69="",C69=0,'Daily Data'!J69=""),"",'Daily Data'!J69/C69)</f>
        <v/>
      </c>
      <c r="X69" s="71">
        <f>IF(OR(C69="",C69=0,'Daily Data'!K69=""),"",'Daily Data'!K69/C69)</f>
        <v/>
      </c>
      <c r="Y69" s="71">
        <f>IF(OR(F69="",W69="",X69=""),"",F69-W69-X69)</f>
        <v/>
      </c>
      <c r="Z69" s="72" t="n">
        <v>358.13</v>
      </c>
      <c r="AA69" s="72" t="n">
        <v>63.2</v>
      </c>
      <c r="AB69" s="73">
        <f>Z69+AA69</f>
        <v/>
      </c>
      <c r="AC69" s="74">
        <f>IF(OR(E69="",E69=0,AB69=""),"",E69*365/(AB69*1000000))</f>
        <v/>
      </c>
      <c r="AD69" s="98">
        <f>IF(OR(O69="",O69=0,AB69=""),"",(AB69*1000000)/O69)</f>
        <v/>
      </c>
      <c r="AE69" s="99">
        <f>IF(H69="","",(Team_Genesis-H69)/1000000)</f>
        <v/>
      </c>
      <c r="AF69" s="99">
        <f>IF(OR(O69="",AE69=""),"",(O69-AE69*1000000)/1000000)</f>
        <v/>
      </c>
    </row>
    <row r="70">
      <c r="A70" s="35" t="n">
        <v>45724</v>
      </c>
      <c r="B70" s="90">
        <f>IF('Daily Data'!E70="","",'Daily Data'!E70)</f>
        <v/>
      </c>
      <c r="C70" s="65" t="n">
        <v>15.14</v>
      </c>
      <c r="D70" s="94" t="n">
        <v>102220.3399999999</v>
      </c>
      <c r="E70" s="94" t="n">
        <v>26284.4279</v>
      </c>
      <c r="F70" s="94" t="n">
        <v>935.3216</v>
      </c>
      <c r="G70" s="94" t="n"/>
      <c r="H70" s="95">
        <f>SUM($G$4:G70)</f>
        <v/>
      </c>
      <c r="I70" s="94" t="n">
        <v>1000000000</v>
      </c>
      <c r="J70" s="95">
        <f>J69-E70</f>
        <v/>
      </c>
      <c r="K70" s="94" t="n">
        <v>60000000</v>
      </c>
      <c r="L70" s="94" t="n">
        <v>16741647.32</v>
      </c>
      <c r="M70" s="94" t="n">
        <v>3000000</v>
      </c>
      <c r="N70" s="94" t="n">
        <v>176887.6879999638</v>
      </c>
      <c r="O70" s="96">
        <f>IF(OR(I70="",J70="",L70="",N70=""),"",I70-J70-K70-L70-M70-N70)</f>
        <v/>
      </c>
      <c r="P70" s="91">
        <f>IF(OR(O70="",C70=""),"",O70*C70)</f>
        <v/>
      </c>
      <c r="Q70" s="69">
        <f>Q69-E70</f>
        <v/>
      </c>
      <c r="R70" s="97">
        <f>IF(OR(J70="",Q70=""),"",J70-Q70)</f>
        <v/>
      </c>
      <c r="S70" s="69">
        <f>IF(D70="",S69,S69+D70)</f>
        <v/>
      </c>
      <c r="T70" s="97">
        <f>IF(OR(L70="",S70=""),"",L70-S70)</f>
        <v/>
      </c>
      <c r="U70" s="69">
        <f>IF(F70="",U69,U69+F70)</f>
        <v/>
      </c>
      <c r="V70" s="97">
        <f>IF(OR(N70="",U70=""),"",N70-U70)</f>
        <v/>
      </c>
      <c r="W70" s="71">
        <f>IF(OR(C70="",C70=0,'Daily Data'!J70=""),"",'Daily Data'!J70/C70)</f>
        <v/>
      </c>
      <c r="X70" s="71">
        <f>IF(OR(C70="",C70=0,'Daily Data'!K70=""),"",'Daily Data'!K70/C70)</f>
        <v/>
      </c>
      <c r="Y70" s="71">
        <f>IF(OR(F70="",W70="",X70=""),"",F70-W70-X70)</f>
        <v/>
      </c>
      <c r="Z70" s="72" t="n">
        <v>358.13</v>
      </c>
      <c r="AA70" s="72" t="n">
        <v>63.2</v>
      </c>
      <c r="AB70" s="73">
        <f>Z70+AA70</f>
        <v/>
      </c>
      <c r="AC70" s="74">
        <f>IF(OR(E70="",E70=0,AB70=""),"",E70*365/(AB70*1000000))</f>
        <v/>
      </c>
      <c r="AD70" s="98">
        <f>IF(OR(O70="",O70=0,AB70=""),"",(AB70*1000000)/O70)</f>
        <v/>
      </c>
      <c r="AE70" s="99">
        <f>IF(H70="","",(Team_Genesis-H70)/1000000)</f>
        <v/>
      </c>
      <c r="AF70" s="99">
        <f>IF(OR(O70="",AE70=""),"",(O70-AE70*1000000)/1000000)</f>
        <v/>
      </c>
    </row>
    <row r="71">
      <c r="A71" s="35" t="n">
        <v>45725</v>
      </c>
      <c r="B71" s="90">
        <f>IF('Daily Data'!E71="","",'Daily Data'!E71)</f>
        <v/>
      </c>
      <c r="C71" s="65" t="n">
        <v>15.11</v>
      </c>
      <c r="D71" s="94" t="n">
        <v>32005.86999999918</v>
      </c>
      <c r="E71" s="94" t="n">
        <v>26298.1187</v>
      </c>
      <c r="F71" s="94" t="n">
        <v>452.9895</v>
      </c>
      <c r="G71" s="94" t="n"/>
      <c r="H71" s="95">
        <f>SUM($G$4:G71)</f>
        <v/>
      </c>
      <c r="I71" s="94" t="n">
        <v>1000000000</v>
      </c>
      <c r="J71" s="95">
        <f>J70-E71</f>
        <v/>
      </c>
      <c r="K71" s="94" t="n">
        <v>60000000</v>
      </c>
      <c r="L71" s="94" t="n">
        <v>16773653.19</v>
      </c>
      <c r="M71" s="94" t="n">
        <v>3000000</v>
      </c>
      <c r="N71" s="94" t="n">
        <v>177340.6773999929</v>
      </c>
      <c r="O71" s="96">
        <f>IF(OR(I71="",J71="",L71="",N71=""),"",I71-J71-K71-L71-M71-N71)</f>
        <v/>
      </c>
      <c r="P71" s="91">
        <f>IF(OR(O71="",C71=""),"",O71*C71)</f>
        <v/>
      </c>
      <c r="Q71" s="69">
        <f>Q70-E71</f>
        <v/>
      </c>
      <c r="R71" s="97">
        <f>IF(OR(J71="",Q71=""),"",J71-Q71)</f>
        <v/>
      </c>
      <c r="S71" s="69">
        <f>IF(D71="",S70,S70+D71)</f>
        <v/>
      </c>
      <c r="T71" s="97">
        <f>IF(OR(L71="",S71=""),"",L71-S71)</f>
        <v/>
      </c>
      <c r="U71" s="69">
        <f>IF(F71="",U70,U70+F71)</f>
        <v/>
      </c>
      <c r="V71" s="97">
        <f>IF(OR(N71="",U71=""),"",N71-U71)</f>
        <v/>
      </c>
      <c r="W71" s="71">
        <f>IF(OR(C71="",C71=0,'Daily Data'!J71=""),"",'Daily Data'!J71/C71)</f>
        <v/>
      </c>
      <c r="X71" s="71">
        <f>IF(OR(C71="",C71=0,'Daily Data'!K71=""),"",'Daily Data'!K71/C71)</f>
        <v/>
      </c>
      <c r="Y71" s="71">
        <f>IF(OR(F71="",W71="",X71=""),"",F71-W71-X71)</f>
        <v/>
      </c>
      <c r="Z71" s="72" t="n">
        <v>358.13</v>
      </c>
      <c r="AA71" s="72" t="n">
        <v>63.2</v>
      </c>
      <c r="AB71" s="73">
        <f>Z71+AA71</f>
        <v/>
      </c>
      <c r="AC71" s="74">
        <f>IF(OR(E71="",E71=0,AB71=""),"",E71*365/(AB71*1000000))</f>
        <v/>
      </c>
      <c r="AD71" s="98">
        <f>IF(OR(O71="",O71=0,AB71=""),"",(AB71*1000000)/O71)</f>
        <v/>
      </c>
      <c r="AE71" s="99">
        <f>IF(H71="","",(Team_Genesis-H71)/1000000)</f>
        <v/>
      </c>
      <c r="AF71" s="99">
        <f>IF(OR(O71="",AE71=""),"",(O71-AE71*1000000)/1000000)</f>
        <v/>
      </c>
    </row>
    <row r="72">
      <c r="A72" s="35" t="n">
        <v>45726</v>
      </c>
      <c r="B72" s="90">
        <f>IF('Daily Data'!E72="","",'Daily Data'!E72)</f>
        <v/>
      </c>
      <c r="C72" s="65" t="n">
        <v>14.42</v>
      </c>
      <c r="D72" s="94" t="n">
        <v>96802.00000000186</v>
      </c>
      <c r="E72" s="94" t="n">
        <v>26363.6194</v>
      </c>
      <c r="F72" s="94" t="n">
        <v>623.5696</v>
      </c>
      <c r="G72" s="94" t="n"/>
      <c r="H72" s="95">
        <f>SUM($G$4:G72)</f>
        <v/>
      </c>
      <c r="I72" s="94" t="n">
        <v>1000000000</v>
      </c>
      <c r="J72" s="95">
        <f>J71-E72</f>
        <v/>
      </c>
      <c r="K72" s="94" t="n">
        <v>60000000</v>
      </c>
      <c r="L72" s="94" t="n">
        <v>16870455.19</v>
      </c>
      <c r="M72" s="94" t="n">
        <v>3000000</v>
      </c>
      <c r="N72" s="94" t="n">
        <v>177964.246999979</v>
      </c>
      <c r="O72" s="96">
        <f>IF(OR(I72="",J72="",L72="",N72=""),"",I72-J72-K72-L72-M72-N72)</f>
        <v/>
      </c>
      <c r="P72" s="91">
        <f>IF(OR(O72="",C72=""),"",O72*C72)</f>
        <v/>
      </c>
      <c r="Q72" s="69">
        <f>Q71-E72</f>
        <v/>
      </c>
      <c r="R72" s="97">
        <f>IF(OR(J72="",Q72=""),"",J72-Q72)</f>
        <v/>
      </c>
      <c r="S72" s="69">
        <f>IF(D72="",S71,S71+D72)</f>
        <v/>
      </c>
      <c r="T72" s="97">
        <f>IF(OR(L72="",S72=""),"",L72-S72)</f>
        <v/>
      </c>
      <c r="U72" s="69">
        <f>IF(F72="",U71,U71+F72)</f>
        <v/>
      </c>
      <c r="V72" s="97">
        <f>IF(OR(N72="",U72=""),"",N72-U72)</f>
        <v/>
      </c>
      <c r="W72" s="71">
        <f>IF(OR(C72="",C72=0,'Daily Data'!J72=""),"",'Daily Data'!J72/C72)</f>
        <v/>
      </c>
      <c r="X72" s="71">
        <f>IF(OR(C72="",C72=0,'Daily Data'!K72=""),"",'Daily Data'!K72/C72)</f>
        <v/>
      </c>
      <c r="Y72" s="71">
        <f>IF(OR(F72="",W72="",X72=""),"",F72-W72-X72)</f>
        <v/>
      </c>
      <c r="Z72" s="72" t="n">
        <v>358.13</v>
      </c>
      <c r="AA72" s="72" t="n">
        <v>63.2</v>
      </c>
      <c r="AB72" s="73">
        <f>Z72+AA72</f>
        <v/>
      </c>
      <c r="AC72" s="74">
        <f>IF(OR(E72="",E72=0,AB72=""),"",E72*365/(AB72*1000000))</f>
        <v/>
      </c>
      <c r="AD72" s="98">
        <f>IF(OR(O72="",O72=0,AB72=""),"",(AB72*1000000)/O72)</f>
        <v/>
      </c>
      <c r="AE72" s="99">
        <f>IF(H72="","",(Team_Genesis-H72)/1000000)</f>
        <v/>
      </c>
      <c r="AF72" s="99">
        <f>IF(OR(O72="",AE72=""),"",(O72-AE72*1000000)/1000000)</f>
        <v/>
      </c>
    </row>
    <row r="73">
      <c r="A73" s="35" t="n">
        <v>45727</v>
      </c>
      <c r="B73" s="90">
        <f>IF('Daily Data'!E73="","",'Daily Data'!E73)</f>
        <v/>
      </c>
      <c r="C73" s="65" t="n">
        <v>13.46</v>
      </c>
      <c r="D73" s="94" t="n">
        <v>170988.5299999975</v>
      </c>
      <c r="E73" s="94" t="n">
        <v>26334.2317</v>
      </c>
      <c r="F73" s="94" t="n">
        <v>1085.8531</v>
      </c>
      <c r="G73" s="94" t="n"/>
      <c r="H73" s="95">
        <f>SUM($G$4:G73)</f>
        <v/>
      </c>
      <c r="I73" s="94" t="n">
        <v>1000000000</v>
      </c>
      <c r="J73" s="95">
        <f>J72-E73</f>
        <v/>
      </c>
      <c r="K73" s="94" t="n">
        <v>60000000</v>
      </c>
      <c r="L73" s="94" t="n">
        <v>17041443.72</v>
      </c>
      <c r="M73" s="94" t="n">
        <v>3000000</v>
      </c>
      <c r="N73" s="94" t="n">
        <v>179050.1001000404</v>
      </c>
      <c r="O73" s="96">
        <f>IF(OR(I73="",J73="",L73="",N73=""),"",I73-J73-K73-L73-M73-N73)</f>
        <v/>
      </c>
      <c r="P73" s="91">
        <f>IF(OR(O73="",C73=""),"",O73*C73)</f>
        <v/>
      </c>
      <c r="Q73" s="69">
        <f>Q72-E73</f>
        <v/>
      </c>
      <c r="R73" s="97">
        <f>IF(OR(J73="",Q73=""),"",J73-Q73)</f>
        <v/>
      </c>
      <c r="S73" s="69">
        <f>IF(D73="",S72,S72+D73)</f>
        <v/>
      </c>
      <c r="T73" s="97">
        <f>IF(OR(L73="",S73=""),"",L73-S73)</f>
        <v/>
      </c>
      <c r="U73" s="69">
        <f>IF(F73="",U72,U72+F73)</f>
        <v/>
      </c>
      <c r="V73" s="97">
        <f>IF(OR(N73="",U73=""),"",N73-U73)</f>
        <v/>
      </c>
      <c r="W73" s="71">
        <f>IF(OR(C73="",C73=0,'Daily Data'!J73=""),"",'Daily Data'!J73/C73)</f>
        <v/>
      </c>
      <c r="X73" s="71">
        <f>IF(OR(C73="",C73=0,'Daily Data'!K73=""),"",'Daily Data'!K73/C73)</f>
        <v/>
      </c>
      <c r="Y73" s="71">
        <f>IF(OR(F73="",W73="",X73=""),"",F73-W73-X73)</f>
        <v/>
      </c>
      <c r="Z73" s="72" t="n">
        <v>358.13</v>
      </c>
      <c r="AA73" s="72" t="n">
        <v>63.2</v>
      </c>
      <c r="AB73" s="73">
        <f>Z73+AA73</f>
        <v/>
      </c>
      <c r="AC73" s="74">
        <f>IF(OR(E73="",E73=0,AB73=""),"",E73*365/(AB73*1000000))</f>
        <v/>
      </c>
      <c r="AD73" s="98">
        <f>IF(OR(O73="",O73=0,AB73=""),"",(AB73*1000000)/O73)</f>
        <v/>
      </c>
      <c r="AE73" s="99">
        <f>IF(H73="","",(Team_Genesis-H73)/1000000)</f>
        <v/>
      </c>
      <c r="AF73" s="99">
        <f>IF(OR(O73="",AE73=""),"",(O73-AE73*1000000)/1000000)</f>
        <v/>
      </c>
    </row>
    <row r="74">
      <c r="A74" s="35" t="n">
        <v>45728</v>
      </c>
      <c r="B74" s="90">
        <f>IF('Daily Data'!E74="","",'Daily Data'!E74)</f>
        <v/>
      </c>
      <c r="C74" s="65" t="n">
        <v>13.78</v>
      </c>
      <c r="D74" s="94" t="n">
        <v>103046.0400000028</v>
      </c>
      <c r="E74" s="94" t="n">
        <v>26325.6793</v>
      </c>
      <c r="F74" s="94" t="n">
        <v>1086.3826</v>
      </c>
      <c r="G74" s="94" t="n"/>
      <c r="H74" s="95">
        <f>SUM($G$4:G74)</f>
        <v/>
      </c>
      <c r="I74" s="94" t="n">
        <v>1000000000</v>
      </c>
      <c r="J74" s="95">
        <f>J73-E74</f>
        <v/>
      </c>
      <c r="K74" s="94" t="n">
        <v>60000000</v>
      </c>
      <c r="L74" s="94" t="n">
        <v>17144489.76</v>
      </c>
      <c r="M74" s="94" t="n">
        <v>3000000</v>
      </c>
      <c r="N74" s="94" t="n">
        <v>180136.4825999737</v>
      </c>
      <c r="O74" s="96">
        <f>IF(OR(I74="",J74="",L74="",N74=""),"",I74-J74-K74-L74-M74-N74)</f>
        <v/>
      </c>
      <c r="P74" s="91">
        <f>IF(OR(O74="",C74=""),"",O74*C74)</f>
        <v/>
      </c>
      <c r="Q74" s="69">
        <f>Q73-E74</f>
        <v/>
      </c>
      <c r="R74" s="97">
        <f>IF(OR(J74="",Q74=""),"",J74-Q74)</f>
        <v/>
      </c>
      <c r="S74" s="69">
        <f>IF(D74="",S73,S73+D74)</f>
        <v/>
      </c>
      <c r="T74" s="97">
        <f>IF(OR(L74="",S74=""),"",L74-S74)</f>
        <v/>
      </c>
      <c r="U74" s="69">
        <f>IF(F74="",U73,U73+F74)</f>
        <v/>
      </c>
      <c r="V74" s="97">
        <f>IF(OR(N74="",U74=""),"",N74-U74)</f>
        <v/>
      </c>
      <c r="W74" s="71">
        <f>IF(OR(C74="",C74=0,'Daily Data'!J74=""),"",'Daily Data'!J74/C74)</f>
        <v/>
      </c>
      <c r="X74" s="71">
        <f>IF(OR(C74="",C74=0,'Daily Data'!K74=""),"",'Daily Data'!K74/C74)</f>
        <v/>
      </c>
      <c r="Y74" s="71">
        <f>IF(OR(F74="",W74="",X74=""),"",F74-W74-X74)</f>
        <v/>
      </c>
      <c r="Z74" s="72" t="n">
        <v>358.13</v>
      </c>
      <c r="AA74" s="72" t="n">
        <v>63.2</v>
      </c>
      <c r="AB74" s="73">
        <f>Z74+AA74</f>
        <v/>
      </c>
      <c r="AC74" s="74">
        <f>IF(OR(E74="",E74=0,AB74=""),"",E74*365/(AB74*1000000))</f>
        <v/>
      </c>
      <c r="AD74" s="98">
        <f>IF(OR(O74="",O74=0,AB74=""),"",(AB74*1000000)/O74)</f>
        <v/>
      </c>
      <c r="AE74" s="99">
        <f>IF(H74="","",(Team_Genesis-H74)/1000000)</f>
        <v/>
      </c>
      <c r="AF74" s="99">
        <f>IF(OR(O74="",AE74=""),"",(O74-AE74*1000000)/1000000)</f>
        <v/>
      </c>
    </row>
    <row r="75">
      <c r="A75" s="35" t="n">
        <v>45729</v>
      </c>
      <c r="B75" s="90">
        <f>IF('Daily Data'!E75="","",'Daily Data'!E75)</f>
        <v/>
      </c>
      <c r="C75" s="65" t="n">
        <v>13.16</v>
      </c>
      <c r="D75" s="94" t="n">
        <v>111406.2599999979</v>
      </c>
      <c r="E75" s="94" t="n">
        <v>26389.0402</v>
      </c>
      <c r="F75" s="94" t="n">
        <v>1361.7718</v>
      </c>
      <c r="G75" s="94" t="n"/>
      <c r="H75" s="95">
        <f>SUM($G$4:G75)</f>
        <v/>
      </c>
      <c r="I75" s="94" t="n">
        <v>1000000000</v>
      </c>
      <c r="J75" s="95">
        <f>J74-E75</f>
        <v/>
      </c>
      <c r="K75" s="94" t="n">
        <v>60000000</v>
      </c>
      <c r="L75" s="94" t="n">
        <v>17255896.02</v>
      </c>
      <c r="M75" s="94" t="n">
        <v>3000000</v>
      </c>
      <c r="N75" s="94" t="n">
        <v>181498.2544000149</v>
      </c>
      <c r="O75" s="96">
        <f>IF(OR(I75="",J75="",L75="",N75=""),"",I75-J75-K75-L75-M75-N75)</f>
        <v/>
      </c>
      <c r="P75" s="91">
        <f>IF(OR(O75="",C75=""),"",O75*C75)</f>
        <v/>
      </c>
      <c r="Q75" s="69">
        <f>Q74-E75</f>
        <v/>
      </c>
      <c r="R75" s="97">
        <f>IF(OR(J75="",Q75=""),"",J75-Q75)</f>
        <v/>
      </c>
      <c r="S75" s="69">
        <f>IF(D75="",S74,S74+D75)</f>
        <v/>
      </c>
      <c r="T75" s="97">
        <f>IF(OR(L75="",S75=""),"",L75-S75)</f>
        <v/>
      </c>
      <c r="U75" s="69">
        <f>IF(F75="",U74,U74+F75)</f>
        <v/>
      </c>
      <c r="V75" s="97">
        <f>IF(OR(N75="",U75=""),"",N75-U75)</f>
        <v/>
      </c>
      <c r="W75" s="71">
        <f>IF(OR(C75="",C75=0,'Daily Data'!J75=""),"",'Daily Data'!J75/C75)</f>
        <v/>
      </c>
      <c r="X75" s="71">
        <f>IF(OR(C75="",C75=0,'Daily Data'!K75=""),"",'Daily Data'!K75/C75)</f>
        <v/>
      </c>
      <c r="Y75" s="71">
        <f>IF(OR(F75="",W75="",X75=""),"",F75-W75-X75)</f>
        <v/>
      </c>
      <c r="Z75" s="72" t="n">
        <v>358.13</v>
      </c>
      <c r="AA75" s="72" t="n">
        <v>63.2</v>
      </c>
      <c r="AB75" s="73">
        <f>Z75+AA75</f>
        <v/>
      </c>
      <c r="AC75" s="74">
        <f>IF(OR(E75="",E75=0,AB75=""),"",E75*365/(AB75*1000000))</f>
        <v/>
      </c>
      <c r="AD75" s="98">
        <f>IF(OR(O75="",O75=0,AB75=""),"",(AB75*1000000)/O75)</f>
        <v/>
      </c>
      <c r="AE75" s="99">
        <f>IF(H75="","",(Team_Genesis-H75)/1000000)</f>
        <v/>
      </c>
      <c r="AF75" s="99">
        <f>IF(OR(O75="",AE75=""),"",(O75-AE75*1000000)/1000000)</f>
        <v/>
      </c>
    </row>
    <row r="76">
      <c r="A76" s="35" t="n">
        <v>45730</v>
      </c>
      <c r="B76" s="90">
        <f>IF('Daily Data'!E76="","",'Daily Data'!E76)</f>
        <v/>
      </c>
      <c r="C76" s="65" t="n">
        <v>12.32</v>
      </c>
      <c r="D76" s="94" t="n">
        <v>92831.26999999955</v>
      </c>
      <c r="E76" s="94" t="n">
        <v>26348.158</v>
      </c>
      <c r="F76" s="94" t="n">
        <v>1180.449</v>
      </c>
      <c r="G76" s="94" t="n"/>
      <c r="H76" s="95">
        <f>SUM($G$4:G76)</f>
        <v/>
      </c>
      <c r="I76" s="94" t="n">
        <v>1000000000</v>
      </c>
      <c r="J76" s="95">
        <f>J75-E76</f>
        <v/>
      </c>
      <c r="K76" s="94" t="n">
        <v>60000000</v>
      </c>
      <c r="L76" s="94" t="n">
        <v>17348727.29</v>
      </c>
      <c r="M76" s="94" t="n">
        <v>3000000</v>
      </c>
      <c r="N76" s="94" t="n">
        <v>182678.7034000158</v>
      </c>
      <c r="O76" s="96">
        <f>IF(OR(I76="",J76="",L76="",N76=""),"",I76-J76-K76-L76-M76-N76)</f>
        <v/>
      </c>
      <c r="P76" s="91">
        <f>IF(OR(O76="",C76=""),"",O76*C76)</f>
        <v/>
      </c>
      <c r="Q76" s="69">
        <f>Q75-E76</f>
        <v/>
      </c>
      <c r="R76" s="97">
        <f>IF(OR(J76="",Q76=""),"",J76-Q76)</f>
        <v/>
      </c>
      <c r="S76" s="69">
        <f>IF(D76="",S75,S75+D76)</f>
        <v/>
      </c>
      <c r="T76" s="97">
        <f>IF(OR(L76="",S76=""),"",L76-S76)</f>
        <v/>
      </c>
      <c r="U76" s="69">
        <f>IF(F76="",U75,U75+F76)</f>
        <v/>
      </c>
      <c r="V76" s="97">
        <f>IF(OR(N76="",U76=""),"",N76-U76)</f>
        <v/>
      </c>
      <c r="W76" s="71">
        <f>IF(OR(C76="",C76=0,'Daily Data'!J76=""),"",'Daily Data'!J76/C76)</f>
        <v/>
      </c>
      <c r="X76" s="71">
        <f>IF(OR(C76="",C76=0,'Daily Data'!K76=""),"",'Daily Data'!K76/C76)</f>
        <v/>
      </c>
      <c r="Y76" s="71">
        <f>IF(OR(F76="",W76="",X76=""),"",F76-W76-X76)</f>
        <v/>
      </c>
      <c r="Z76" s="72" t="n">
        <v>358.13</v>
      </c>
      <c r="AA76" s="72" t="n">
        <v>63.2</v>
      </c>
      <c r="AB76" s="73">
        <f>Z76+AA76</f>
        <v/>
      </c>
      <c r="AC76" s="74">
        <f>IF(OR(E76="",E76=0,AB76=""),"",E76*365/(AB76*1000000))</f>
        <v/>
      </c>
      <c r="AD76" s="98">
        <f>IF(OR(O76="",O76=0,AB76=""),"",(AB76*1000000)/O76)</f>
        <v/>
      </c>
      <c r="AE76" s="99">
        <f>IF(H76="","",(Team_Genesis-H76)/1000000)</f>
        <v/>
      </c>
      <c r="AF76" s="99">
        <f>IF(OR(O76="",AE76=""),"",(O76-AE76*1000000)/1000000)</f>
        <v/>
      </c>
    </row>
    <row r="77">
      <c r="A77" s="35" t="n">
        <v>45731</v>
      </c>
      <c r="B77" s="90">
        <f>IF('Daily Data'!E77="","",'Daily Data'!E77)</f>
        <v/>
      </c>
      <c r="C77" s="65" t="n">
        <v>13.8</v>
      </c>
      <c r="D77" s="94" t="n">
        <v>66679.62000000104</v>
      </c>
      <c r="E77" s="94" t="n">
        <v>26350.721</v>
      </c>
      <c r="F77" s="94" t="n">
        <v>1123.12</v>
      </c>
      <c r="G77" s="94" t="n"/>
      <c r="H77" s="95">
        <f>SUM($G$4:G77)</f>
        <v/>
      </c>
      <c r="I77" s="94" t="n">
        <v>1000000000</v>
      </c>
      <c r="J77" s="95">
        <f>J76-E77</f>
        <v/>
      </c>
      <c r="K77" s="94" t="n">
        <v>60000000</v>
      </c>
      <c r="L77" s="94" t="n">
        <v>17415406.91</v>
      </c>
      <c r="M77" s="94" t="n">
        <v>3000000</v>
      </c>
      <c r="N77" s="94" t="n">
        <v>183801.8234000206</v>
      </c>
      <c r="O77" s="96">
        <f>IF(OR(I77="",J77="",L77="",N77=""),"",I77-J77-K77-L77-M77-N77)</f>
        <v/>
      </c>
      <c r="P77" s="91">
        <f>IF(OR(O77="",C77=""),"",O77*C77)</f>
        <v/>
      </c>
      <c r="Q77" s="69">
        <f>Q76-E77</f>
        <v/>
      </c>
      <c r="R77" s="97">
        <f>IF(OR(J77="",Q77=""),"",J77-Q77)</f>
        <v/>
      </c>
      <c r="S77" s="69">
        <f>IF(D77="",S76,S76+D77)</f>
        <v/>
      </c>
      <c r="T77" s="97">
        <f>IF(OR(L77="",S77=""),"",L77-S77)</f>
        <v/>
      </c>
      <c r="U77" s="69">
        <f>IF(F77="",U76,U76+F77)</f>
        <v/>
      </c>
      <c r="V77" s="97">
        <f>IF(OR(N77="",U77=""),"",N77-U77)</f>
        <v/>
      </c>
      <c r="W77" s="71">
        <f>IF(OR(C77="",C77=0,'Daily Data'!J77=""),"",'Daily Data'!J77/C77)</f>
        <v/>
      </c>
      <c r="X77" s="71">
        <f>IF(OR(C77="",C77=0,'Daily Data'!K77=""),"",'Daily Data'!K77/C77)</f>
        <v/>
      </c>
      <c r="Y77" s="71">
        <f>IF(OR(F77="",W77="",X77=""),"",F77-W77-X77)</f>
        <v/>
      </c>
      <c r="Z77" s="72" t="n">
        <v>358.13</v>
      </c>
      <c r="AA77" s="72" t="n">
        <v>63.2</v>
      </c>
      <c r="AB77" s="73">
        <f>Z77+AA77</f>
        <v/>
      </c>
      <c r="AC77" s="74">
        <f>IF(OR(E77="",E77=0,AB77=""),"",E77*365/(AB77*1000000))</f>
        <v/>
      </c>
      <c r="AD77" s="98">
        <f>IF(OR(O77="",O77=0,AB77=""),"",(AB77*1000000)/O77)</f>
        <v/>
      </c>
      <c r="AE77" s="99">
        <f>IF(H77="","",(Team_Genesis-H77)/1000000)</f>
        <v/>
      </c>
      <c r="AF77" s="99">
        <f>IF(OR(O77="",AE77=""),"",(O77-AE77*1000000)/1000000)</f>
        <v/>
      </c>
    </row>
    <row r="78">
      <c r="A78" s="35" t="n">
        <v>45732</v>
      </c>
      <c r="B78" s="90">
        <f>IF('Daily Data'!E78="","",'Daily Data'!E78)</f>
        <v/>
      </c>
      <c r="C78" s="65" t="n">
        <v>14.38</v>
      </c>
      <c r="D78" s="94" t="n">
        <v>33187.33999999985</v>
      </c>
      <c r="E78" s="94" t="n">
        <v>26366.3447</v>
      </c>
      <c r="F78" s="94" t="n">
        <v>394.0556</v>
      </c>
      <c r="G78" s="94" t="n"/>
      <c r="H78" s="95">
        <f>SUM($G$4:G78)</f>
        <v/>
      </c>
      <c r="I78" s="94" t="n">
        <v>1000000000</v>
      </c>
      <c r="J78" s="95">
        <f>J77-E78</f>
        <v/>
      </c>
      <c r="K78" s="94" t="n">
        <v>60000000</v>
      </c>
      <c r="L78" s="94" t="n">
        <v>17448594.25</v>
      </c>
      <c r="M78" s="94" t="n">
        <v>3000000</v>
      </c>
      <c r="N78" s="94" t="n">
        <v>184195.8789999485</v>
      </c>
      <c r="O78" s="96">
        <f>IF(OR(I78="",J78="",L78="",N78=""),"",I78-J78-K78-L78-M78-N78)</f>
        <v/>
      </c>
      <c r="P78" s="91">
        <f>IF(OR(O78="",C78=""),"",O78*C78)</f>
        <v/>
      </c>
      <c r="Q78" s="69">
        <f>Q77-E78</f>
        <v/>
      </c>
      <c r="R78" s="97">
        <f>IF(OR(J78="",Q78=""),"",J78-Q78)</f>
        <v/>
      </c>
      <c r="S78" s="69">
        <f>IF(D78="",S77,S77+D78)</f>
        <v/>
      </c>
      <c r="T78" s="97">
        <f>IF(OR(L78="",S78=""),"",L78-S78)</f>
        <v/>
      </c>
      <c r="U78" s="69">
        <f>IF(F78="",U77,U77+F78)</f>
        <v/>
      </c>
      <c r="V78" s="97">
        <f>IF(OR(N78="",U78=""),"",N78-U78)</f>
        <v/>
      </c>
      <c r="W78" s="71">
        <f>IF(OR(C78="",C78=0,'Daily Data'!J78=""),"",'Daily Data'!J78/C78)</f>
        <v/>
      </c>
      <c r="X78" s="71">
        <f>IF(OR(C78="",C78=0,'Daily Data'!K78=""),"",'Daily Data'!K78/C78)</f>
        <v/>
      </c>
      <c r="Y78" s="71">
        <f>IF(OR(F78="",W78="",X78=""),"",F78-W78-X78)</f>
        <v/>
      </c>
      <c r="Z78" s="72" t="n">
        <v>358.13</v>
      </c>
      <c r="AA78" s="72" t="n">
        <v>63.2</v>
      </c>
      <c r="AB78" s="73">
        <f>Z78+AA78</f>
        <v/>
      </c>
      <c r="AC78" s="74">
        <f>IF(OR(E78="",E78=0,AB78=""),"",E78*365/(AB78*1000000))</f>
        <v/>
      </c>
      <c r="AD78" s="98">
        <f>IF(OR(O78="",O78=0,AB78=""),"",(AB78*1000000)/O78)</f>
        <v/>
      </c>
      <c r="AE78" s="99">
        <f>IF(H78="","",(Team_Genesis-H78)/1000000)</f>
        <v/>
      </c>
      <c r="AF78" s="99">
        <f>IF(OR(O78="",AE78=""),"",(O78-AE78*1000000)/1000000)</f>
        <v/>
      </c>
    </row>
    <row r="79">
      <c r="A79" s="35" t="n">
        <v>45733</v>
      </c>
      <c r="B79" s="90">
        <f>IF('Daily Data'!E79="","",'Daily Data'!E79)</f>
        <v/>
      </c>
      <c r="C79" s="65" t="n">
        <v>12.97</v>
      </c>
      <c r="D79" s="94" t="n">
        <v>66425.17000000179</v>
      </c>
      <c r="E79" s="94" t="n">
        <v>26359.8114</v>
      </c>
      <c r="F79" s="94" t="n">
        <v>337.0554</v>
      </c>
      <c r="G79" s="94" t="n"/>
      <c r="H79" s="95">
        <f>SUM($G$4:G79)</f>
        <v/>
      </c>
      <c r="I79" s="94" t="n">
        <v>1000000000</v>
      </c>
      <c r="J79" s="95">
        <f>J78-E79</f>
        <v/>
      </c>
      <c r="K79" s="94" t="n">
        <v>60000000</v>
      </c>
      <c r="L79" s="94" t="n">
        <v>17515019.42</v>
      </c>
      <c r="M79" s="94" t="n">
        <v>3000000</v>
      </c>
      <c r="N79" s="94" t="n">
        <v>184532.9343999624</v>
      </c>
      <c r="O79" s="96">
        <f>IF(OR(I79="",J79="",L79="",N79=""),"",I79-J79-K79-L79-M79-N79)</f>
        <v/>
      </c>
      <c r="P79" s="91">
        <f>IF(OR(O79="",C79=""),"",O79*C79)</f>
        <v/>
      </c>
      <c r="Q79" s="69">
        <f>Q78-E79</f>
        <v/>
      </c>
      <c r="R79" s="97">
        <f>IF(OR(J79="",Q79=""),"",J79-Q79)</f>
        <v/>
      </c>
      <c r="S79" s="69">
        <f>IF(D79="",S78,S78+D79)</f>
        <v/>
      </c>
      <c r="T79" s="97">
        <f>IF(OR(L79="",S79=""),"",L79-S79)</f>
        <v/>
      </c>
      <c r="U79" s="69">
        <f>IF(F79="",U78,U78+F79)</f>
        <v/>
      </c>
      <c r="V79" s="97">
        <f>IF(OR(N79="",U79=""),"",N79-U79)</f>
        <v/>
      </c>
      <c r="W79" s="71">
        <f>IF(OR(C79="",C79=0,'Daily Data'!J79=""),"",'Daily Data'!J79/C79)</f>
        <v/>
      </c>
      <c r="X79" s="71">
        <f>IF(OR(C79="",C79=0,'Daily Data'!K79=""),"",'Daily Data'!K79/C79)</f>
        <v/>
      </c>
      <c r="Y79" s="71">
        <f>IF(OR(F79="",W79="",X79=""),"",F79-W79-X79)</f>
        <v/>
      </c>
      <c r="Z79" s="72" t="n">
        <v>358.13</v>
      </c>
      <c r="AA79" s="72" t="n">
        <v>63.2</v>
      </c>
      <c r="AB79" s="73">
        <f>Z79+AA79</f>
        <v/>
      </c>
      <c r="AC79" s="74">
        <f>IF(OR(E79="",E79=0,AB79=""),"",E79*365/(AB79*1000000))</f>
        <v/>
      </c>
      <c r="AD79" s="98">
        <f>IF(OR(O79="",O79=0,AB79=""),"",(AB79*1000000)/O79)</f>
        <v/>
      </c>
      <c r="AE79" s="99">
        <f>IF(H79="","",(Team_Genesis-H79)/1000000)</f>
        <v/>
      </c>
      <c r="AF79" s="99">
        <f>IF(OR(O79="",AE79=""),"",(O79-AE79*1000000)/1000000)</f>
        <v/>
      </c>
    </row>
    <row r="80">
      <c r="A80" s="35" t="n">
        <v>45734</v>
      </c>
      <c r="B80" s="90">
        <f>IF('Daily Data'!E80="","",'Daily Data'!E80)</f>
        <v/>
      </c>
      <c r="C80" s="65" t="n">
        <v>13.25</v>
      </c>
      <c r="D80" s="94" t="n">
        <v>78677.30999999866</v>
      </c>
      <c r="E80" s="94" t="n">
        <v>26362.7924</v>
      </c>
      <c r="F80" s="94" t="n">
        <v>471.6324</v>
      </c>
      <c r="G80" s="94" t="n"/>
      <c r="H80" s="95">
        <f>SUM($G$4:G80)</f>
        <v/>
      </c>
      <c r="I80" s="94" t="n">
        <v>1000000000</v>
      </c>
      <c r="J80" s="95">
        <f>J79-E80</f>
        <v/>
      </c>
      <c r="K80" s="94" t="n">
        <v>60000000</v>
      </c>
      <c r="L80" s="94" t="n">
        <v>17593696.73</v>
      </c>
      <c r="M80" s="94" t="n">
        <v>3000000</v>
      </c>
      <c r="N80" s="94" t="n">
        <v>185004.5666999817</v>
      </c>
      <c r="O80" s="96">
        <f>IF(OR(I80="",J80="",L80="",N80=""),"",I80-J80-K80-L80-M80-N80)</f>
        <v/>
      </c>
      <c r="P80" s="91">
        <f>IF(OR(O80="",C80=""),"",O80*C80)</f>
        <v/>
      </c>
      <c r="Q80" s="69">
        <f>Q79-E80</f>
        <v/>
      </c>
      <c r="R80" s="97">
        <f>IF(OR(J80="",Q80=""),"",J80-Q80)</f>
        <v/>
      </c>
      <c r="S80" s="69">
        <f>IF(D80="",S79,S79+D80)</f>
        <v/>
      </c>
      <c r="T80" s="97">
        <f>IF(OR(L80="",S80=""),"",L80-S80)</f>
        <v/>
      </c>
      <c r="U80" s="69">
        <f>IF(F80="",U79,U79+F80)</f>
        <v/>
      </c>
      <c r="V80" s="97">
        <f>IF(OR(N80="",U80=""),"",N80-U80)</f>
        <v/>
      </c>
      <c r="W80" s="71">
        <f>IF(OR(C80="",C80=0,'Daily Data'!J80=""),"",'Daily Data'!J80/C80)</f>
        <v/>
      </c>
      <c r="X80" s="71">
        <f>IF(OR(C80="",C80=0,'Daily Data'!K80=""),"",'Daily Data'!K80/C80)</f>
        <v/>
      </c>
      <c r="Y80" s="71">
        <f>IF(OR(F80="",W80="",X80=""),"",F80-W80-X80)</f>
        <v/>
      </c>
      <c r="Z80" s="72" t="n">
        <v>358.13</v>
      </c>
      <c r="AA80" s="72" t="n">
        <v>63.2</v>
      </c>
      <c r="AB80" s="73">
        <f>Z80+AA80</f>
        <v/>
      </c>
      <c r="AC80" s="74">
        <f>IF(OR(E80="",E80=0,AB80=""),"",E80*365/(AB80*1000000))</f>
        <v/>
      </c>
      <c r="AD80" s="98">
        <f>IF(OR(O80="",O80=0,AB80=""),"",(AB80*1000000)/O80)</f>
        <v/>
      </c>
      <c r="AE80" s="99">
        <f>IF(H80="","",(Team_Genesis-H80)/1000000)</f>
        <v/>
      </c>
      <c r="AF80" s="99">
        <f>IF(OR(O80="",AE80=""),"",(O80-AE80*1000000)/1000000)</f>
        <v/>
      </c>
    </row>
    <row r="81">
      <c r="A81" s="35" t="n">
        <v>45735</v>
      </c>
      <c r="B81" s="90">
        <f>IF('Daily Data'!E81="","",'Daily Data'!E81)</f>
        <v/>
      </c>
      <c r="C81" s="65" t="n">
        <v>14.17</v>
      </c>
      <c r="D81" s="94" t="n">
        <v>64659.08999999985</v>
      </c>
      <c r="E81" s="94" t="n">
        <v>26377.2891</v>
      </c>
      <c r="F81" s="94" t="n">
        <v>408.8611</v>
      </c>
      <c r="G81" s="94" t="n"/>
      <c r="H81" s="95">
        <f>SUM($G$4:G81)</f>
        <v/>
      </c>
      <c r="I81" s="94" t="n">
        <v>1000000000</v>
      </c>
      <c r="J81" s="95">
        <f>J80-E81</f>
        <v/>
      </c>
      <c r="K81" s="94" t="n">
        <v>60000000</v>
      </c>
      <c r="L81" s="94" t="n">
        <v>17658355.82</v>
      </c>
      <c r="M81" s="94" t="n">
        <v>3000000</v>
      </c>
      <c r="N81" s="94" t="n">
        <v>185413.4278000593</v>
      </c>
      <c r="O81" s="96">
        <f>IF(OR(I81="",J81="",L81="",N81=""),"",I81-J81-K81-L81-M81-N81)</f>
        <v/>
      </c>
      <c r="P81" s="91">
        <f>IF(OR(O81="",C81=""),"",O81*C81)</f>
        <v/>
      </c>
      <c r="Q81" s="69">
        <f>Q80-E81</f>
        <v/>
      </c>
      <c r="R81" s="97">
        <f>IF(OR(J81="",Q81=""),"",J81-Q81)</f>
        <v/>
      </c>
      <c r="S81" s="69">
        <f>IF(D81="",S80,S80+D81)</f>
        <v/>
      </c>
      <c r="T81" s="97">
        <f>IF(OR(L81="",S81=""),"",L81-S81)</f>
        <v/>
      </c>
      <c r="U81" s="69">
        <f>IF(F81="",U80,U80+F81)</f>
        <v/>
      </c>
      <c r="V81" s="97">
        <f>IF(OR(N81="",U81=""),"",N81-U81)</f>
        <v/>
      </c>
      <c r="W81" s="71">
        <f>IF(OR(C81="",C81=0,'Daily Data'!J81=""),"",'Daily Data'!J81/C81)</f>
        <v/>
      </c>
      <c r="X81" s="71">
        <f>IF(OR(C81="",C81=0,'Daily Data'!K81=""),"",'Daily Data'!K81/C81)</f>
        <v/>
      </c>
      <c r="Y81" s="71">
        <f>IF(OR(F81="",W81="",X81=""),"",F81-W81-X81)</f>
        <v/>
      </c>
      <c r="Z81" s="72" t="n">
        <v>358.13</v>
      </c>
      <c r="AA81" s="72" t="n">
        <v>63.2</v>
      </c>
      <c r="AB81" s="73">
        <f>Z81+AA81</f>
        <v/>
      </c>
      <c r="AC81" s="74">
        <f>IF(OR(E81="",E81=0,AB81=""),"",E81*365/(AB81*1000000))</f>
        <v/>
      </c>
      <c r="AD81" s="98">
        <f>IF(OR(O81="",O81=0,AB81=""),"",(AB81*1000000)/O81)</f>
        <v/>
      </c>
      <c r="AE81" s="99">
        <f>IF(H81="","",(Team_Genesis-H81)/1000000)</f>
        <v/>
      </c>
      <c r="AF81" s="99">
        <f>IF(OR(O81="",AE81=""),"",(O81-AE81*1000000)/1000000)</f>
        <v/>
      </c>
    </row>
    <row r="82">
      <c r="A82" s="35" t="n">
        <v>45736</v>
      </c>
      <c r="B82" s="90">
        <f>IF('Daily Data'!E82="","",'Daily Data'!E82)</f>
        <v/>
      </c>
      <c r="C82" s="65" t="n">
        <v>15.62</v>
      </c>
      <c r="D82" s="94" t="n">
        <v>93242.48</v>
      </c>
      <c r="E82" s="94" t="n">
        <v>26389.3845</v>
      </c>
      <c r="F82" s="94" t="n">
        <v>1047.6243</v>
      </c>
      <c r="G82" s="94" t="n"/>
      <c r="H82" s="95">
        <f>SUM($G$4:G82)</f>
        <v/>
      </c>
      <c r="I82" s="94" t="n">
        <v>1000000000</v>
      </c>
      <c r="J82" s="95">
        <f>J81-E82</f>
        <v/>
      </c>
      <c r="K82" s="94" t="n">
        <v>60000000</v>
      </c>
      <c r="L82" s="94" t="n">
        <v>17751598.3</v>
      </c>
      <c r="M82" s="94" t="n">
        <v>3000000</v>
      </c>
      <c r="N82" s="94" t="n">
        <v>186461.0520999432</v>
      </c>
      <c r="O82" s="96">
        <f>IF(OR(I82="",J82="",L82="",N82=""),"",I82-J82-K82-L82-M82-N82)</f>
        <v/>
      </c>
      <c r="P82" s="91">
        <f>IF(OR(O82="",C82=""),"",O82*C82)</f>
        <v/>
      </c>
      <c r="Q82" s="69">
        <f>Q81-E82</f>
        <v/>
      </c>
      <c r="R82" s="97">
        <f>IF(OR(J82="",Q82=""),"",J82-Q82)</f>
        <v/>
      </c>
      <c r="S82" s="69">
        <f>IF(D82="",S81,S81+D82)</f>
        <v/>
      </c>
      <c r="T82" s="97">
        <f>IF(OR(L82="",S82=""),"",L82-S82)</f>
        <v/>
      </c>
      <c r="U82" s="69">
        <f>IF(F82="",U81,U81+F82)</f>
        <v/>
      </c>
      <c r="V82" s="97">
        <f>IF(OR(N82="",U82=""),"",N82-U82)</f>
        <v/>
      </c>
      <c r="W82" s="71">
        <f>IF(OR(C82="",C82=0,'Daily Data'!J82=""),"",'Daily Data'!J82/C82)</f>
        <v/>
      </c>
      <c r="X82" s="71">
        <f>IF(OR(C82="",C82=0,'Daily Data'!K82=""),"",'Daily Data'!K82/C82)</f>
        <v/>
      </c>
      <c r="Y82" s="71">
        <f>IF(OR(F82="",W82="",X82=""),"",F82-W82-X82)</f>
        <v/>
      </c>
      <c r="Z82" s="72" t="n">
        <v>358.13</v>
      </c>
      <c r="AA82" s="72" t="n">
        <v>63.2</v>
      </c>
      <c r="AB82" s="73">
        <f>Z82+AA82</f>
        <v/>
      </c>
      <c r="AC82" s="74">
        <f>IF(OR(E82="",E82=0,AB82=""),"",E82*365/(AB82*1000000))</f>
        <v/>
      </c>
      <c r="AD82" s="98">
        <f>IF(OR(O82="",O82=0,AB82=""),"",(AB82*1000000)/O82)</f>
        <v/>
      </c>
      <c r="AE82" s="99">
        <f>IF(H82="","",(Team_Genesis-H82)/1000000)</f>
        <v/>
      </c>
      <c r="AF82" s="99">
        <f>IF(OR(O82="",AE82=""),"",(O82-AE82*1000000)/1000000)</f>
        <v/>
      </c>
    </row>
    <row r="83">
      <c r="A83" s="35" t="n">
        <v>45737</v>
      </c>
      <c r="B83" s="90">
        <f>IF('Daily Data'!E83="","",'Daily Data'!E83)</f>
        <v/>
      </c>
      <c r="C83" s="65" t="n">
        <v>14.15</v>
      </c>
      <c r="D83" s="94" t="n">
        <v>70431.98</v>
      </c>
      <c r="E83" s="94" t="n">
        <v>26422.8998</v>
      </c>
      <c r="F83" s="94" t="n">
        <v>592.8651</v>
      </c>
      <c r="G83" s="94" t="n"/>
      <c r="H83" s="95">
        <f>SUM($G$4:G83)</f>
        <v/>
      </c>
      <c r="I83" s="94" t="n">
        <v>1000000000</v>
      </c>
      <c r="J83" s="95">
        <f>J82-E83</f>
        <v/>
      </c>
      <c r="K83" s="94" t="n">
        <v>60000000</v>
      </c>
      <c r="L83" s="94" t="n">
        <v>17822030.28</v>
      </c>
      <c r="M83" s="94" t="n">
        <v>3000000</v>
      </c>
      <c r="N83" s="94" t="n">
        <v>187053.9171999693</v>
      </c>
      <c r="O83" s="96">
        <f>IF(OR(I83="",J83="",L83="",N83=""),"",I83-J83-K83-L83-M83-N83)</f>
        <v/>
      </c>
      <c r="P83" s="91">
        <f>IF(OR(O83="",C83=""),"",O83*C83)</f>
        <v/>
      </c>
      <c r="Q83" s="69">
        <f>Q82-E83</f>
        <v/>
      </c>
      <c r="R83" s="97">
        <f>IF(OR(J83="",Q83=""),"",J83-Q83)</f>
        <v/>
      </c>
      <c r="S83" s="69">
        <f>IF(D83="",S82,S82+D83)</f>
        <v/>
      </c>
      <c r="T83" s="97">
        <f>IF(OR(L83="",S83=""),"",L83-S83)</f>
        <v/>
      </c>
      <c r="U83" s="69">
        <f>IF(F83="",U82,U82+F83)</f>
        <v/>
      </c>
      <c r="V83" s="97">
        <f>IF(OR(N83="",U83=""),"",N83-U83)</f>
        <v/>
      </c>
      <c r="W83" s="71">
        <f>IF(OR(C83="",C83=0,'Daily Data'!J83=""),"",'Daily Data'!J83/C83)</f>
        <v/>
      </c>
      <c r="X83" s="71">
        <f>IF(OR(C83="",C83=0,'Daily Data'!K83=""),"",'Daily Data'!K83/C83)</f>
        <v/>
      </c>
      <c r="Y83" s="71">
        <f>IF(OR(F83="",W83="",X83=""),"",F83-W83-X83)</f>
        <v/>
      </c>
      <c r="Z83" s="72" t="n">
        <v>358.13</v>
      </c>
      <c r="AA83" s="72" t="n">
        <v>63.2</v>
      </c>
      <c r="AB83" s="73">
        <f>Z83+AA83</f>
        <v/>
      </c>
      <c r="AC83" s="74">
        <f>IF(OR(E83="",E83=0,AB83=""),"",E83*365/(AB83*1000000))</f>
        <v/>
      </c>
      <c r="AD83" s="98">
        <f>IF(OR(O83="",O83=0,AB83=""),"",(AB83*1000000)/O83)</f>
        <v/>
      </c>
      <c r="AE83" s="99">
        <f>IF(H83="","",(Team_Genesis-H83)/1000000)</f>
        <v/>
      </c>
      <c r="AF83" s="99">
        <f>IF(OR(O83="",AE83=""),"",(O83-AE83*1000000)/1000000)</f>
        <v/>
      </c>
    </row>
    <row r="84">
      <c r="A84" s="35" t="n">
        <v>45738</v>
      </c>
      <c r="B84" s="90">
        <f>IF('Daily Data'!E84="","",'Daily Data'!E84)</f>
        <v/>
      </c>
      <c r="C84" s="65" t="n">
        <v>15.93</v>
      </c>
      <c r="D84" s="94" t="n">
        <v>53131.87</v>
      </c>
      <c r="E84" s="94" t="n">
        <v>26439.0599</v>
      </c>
      <c r="F84" s="94" t="n">
        <v>633.9893</v>
      </c>
      <c r="G84" s="94" t="n"/>
      <c r="H84" s="95">
        <f>SUM($G$4:G84)</f>
        <v/>
      </c>
      <c r="I84" s="94" t="n">
        <v>1000000000</v>
      </c>
      <c r="J84" s="95">
        <f>J83-E84</f>
        <v/>
      </c>
      <c r="K84" s="94" t="n">
        <v>60000000</v>
      </c>
      <c r="L84" s="94" t="n">
        <v>17875162.15</v>
      </c>
      <c r="M84" s="94" t="n">
        <v>3000000</v>
      </c>
      <c r="N84" s="94" t="n">
        <v>187687.9064999819</v>
      </c>
      <c r="O84" s="96">
        <f>IF(OR(I84="",J84="",L84="",N84=""),"",I84-J84-K84-L84-M84-N84)</f>
        <v/>
      </c>
      <c r="P84" s="91">
        <f>IF(OR(O84="",C84=""),"",O84*C84)</f>
        <v/>
      </c>
      <c r="Q84" s="69">
        <f>Q83-E84</f>
        <v/>
      </c>
      <c r="R84" s="97">
        <f>IF(OR(J84="",Q84=""),"",J84-Q84)</f>
        <v/>
      </c>
      <c r="S84" s="69">
        <f>IF(D84="",S83,S83+D84)</f>
        <v/>
      </c>
      <c r="T84" s="97">
        <f>IF(OR(L84="",S84=""),"",L84-S84)</f>
        <v/>
      </c>
      <c r="U84" s="69">
        <f>IF(F84="",U83,U83+F84)</f>
        <v/>
      </c>
      <c r="V84" s="97">
        <f>IF(OR(N84="",U84=""),"",N84-U84)</f>
        <v/>
      </c>
      <c r="W84" s="71">
        <f>IF(OR(C84="",C84=0,'Daily Data'!J84=""),"",'Daily Data'!J84/C84)</f>
        <v/>
      </c>
      <c r="X84" s="71">
        <f>IF(OR(C84="",C84=0,'Daily Data'!K84=""),"",'Daily Data'!K84/C84)</f>
        <v/>
      </c>
      <c r="Y84" s="71">
        <f>IF(OR(F84="",W84="",X84=""),"",F84-W84-X84)</f>
        <v/>
      </c>
      <c r="Z84" s="72" t="n">
        <v>358.13</v>
      </c>
      <c r="AA84" s="72" t="n">
        <v>63.2</v>
      </c>
      <c r="AB84" s="73">
        <f>Z84+AA84</f>
        <v/>
      </c>
      <c r="AC84" s="74">
        <f>IF(OR(E84="",E84=0,AB84=""),"",E84*365/(AB84*1000000))</f>
        <v/>
      </c>
      <c r="AD84" s="98">
        <f>IF(OR(O84="",O84=0,AB84=""),"",(AB84*1000000)/O84)</f>
        <v/>
      </c>
      <c r="AE84" s="99">
        <f>IF(H84="","",(Team_Genesis-H84)/1000000)</f>
        <v/>
      </c>
      <c r="AF84" s="99">
        <f>IF(OR(O84="",AE84=""),"",(O84-AE84*1000000)/1000000)</f>
        <v/>
      </c>
    </row>
    <row r="85">
      <c r="A85" s="35" t="n">
        <v>45739</v>
      </c>
      <c r="B85" s="90">
        <f>IF('Daily Data'!E85="","",'Daily Data'!E85)</f>
        <v/>
      </c>
      <c r="C85" s="65" t="n">
        <v>15.57</v>
      </c>
      <c r="D85" s="94" t="n">
        <v>28455.13</v>
      </c>
      <c r="E85" s="94" t="n">
        <v>26250.6168</v>
      </c>
      <c r="F85" s="94" t="n">
        <v>393.117</v>
      </c>
      <c r="G85" s="94" t="n"/>
      <c r="H85" s="95">
        <f>SUM($G$4:G85)</f>
        <v/>
      </c>
      <c r="I85" s="94" t="n">
        <v>1000000000</v>
      </c>
      <c r="J85" s="95">
        <f>J84-E85</f>
        <v/>
      </c>
      <c r="K85" s="94" t="n">
        <v>60000000</v>
      </c>
      <c r="L85" s="94" t="n">
        <v>17903617.28</v>
      </c>
      <c r="M85" s="94" t="n">
        <v>3000000</v>
      </c>
      <c r="N85" s="94" t="n">
        <v>188081.0234999657</v>
      </c>
      <c r="O85" s="96">
        <f>IF(OR(I85="",J85="",L85="",N85=""),"",I85-J85-K85-L85-M85-N85)</f>
        <v/>
      </c>
      <c r="P85" s="91">
        <f>IF(OR(O85="",C85=""),"",O85*C85)</f>
        <v/>
      </c>
      <c r="Q85" s="69">
        <f>Q84-E85</f>
        <v/>
      </c>
      <c r="R85" s="97">
        <f>IF(OR(J85="",Q85=""),"",J85-Q85)</f>
        <v/>
      </c>
      <c r="S85" s="69">
        <f>IF(D85="",S84,S84+D85)</f>
        <v/>
      </c>
      <c r="T85" s="97">
        <f>IF(OR(L85="",S85=""),"",L85-S85)</f>
        <v/>
      </c>
      <c r="U85" s="69">
        <f>IF(F85="",U84,U84+F85)</f>
        <v/>
      </c>
      <c r="V85" s="97">
        <f>IF(OR(N85="",U85=""),"",N85-U85)</f>
        <v/>
      </c>
      <c r="W85" s="71">
        <f>IF(OR(C85="",C85=0,'Daily Data'!J85=""),"",'Daily Data'!J85/C85)</f>
        <v/>
      </c>
      <c r="X85" s="71">
        <f>IF(OR(C85="",C85=0,'Daily Data'!K85=""),"",'Daily Data'!K85/C85)</f>
        <v/>
      </c>
      <c r="Y85" s="71">
        <f>IF(OR(F85="",W85="",X85=""),"",F85-W85-X85)</f>
        <v/>
      </c>
      <c r="Z85" s="72" t="n">
        <v>358.13</v>
      </c>
      <c r="AA85" s="72" t="n">
        <v>63.2</v>
      </c>
      <c r="AB85" s="73">
        <f>Z85+AA85</f>
        <v/>
      </c>
      <c r="AC85" s="74">
        <f>IF(OR(E85="",E85=0,AB85=""),"",E85*365/(AB85*1000000))</f>
        <v/>
      </c>
      <c r="AD85" s="98">
        <f>IF(OR(O85="",O85=0,AB85=""),"",(AB85*1000000)/O85)</f>
        <v/>
      </c>
      <c r="AE85" s="99">
        <f>IF(H85="","",(Team_Genesis-H85)/1000000)</f>
        <v/>
      </c>
      <c r="AF85" s="99">
        <f>IF(OR(O85="",AE85=""),"",(O85-AE85*1000000)/1000000)</f>
        <v/>
      </c>
    </row>
    <row r="86">
      <c r="A86" s="35" t="n">
        <v>45740</v>
      </c>
      <c r="B86" s="90">
        <f>IF('Daily Data'!E86="","",'Daily Data'!E86)</f>
        <v/>
      </c>
      <c r="C86" s="65" t="n">
        <v>16.29</v>
      </c>
      <c r="D86" s="94" t="n">
        <v>49430.03</v>
      </c>
      <c r="E86" s="94" t="n">
        <v>26407.9725</v>
      </c>
      <c r="F86" s="94" t="n">
        <v>282.117</v>
      </c>
      <c r="G86" s="94" t="n"/>
      <c r="H86" s="95">
        <f>SUM($G$4:G86)</f>
        <v/>
      </c>
      <c r="I86" s="94" t="n">
        <v>1000000000</v>
      </c>
      <c r="J86" s="95">
        <f>J85-E86</f>
        <v/>
      </c>
      <c r="K86" s="94" t="n">
        <v>60000000</v>
      </c>
      <c r="L86" s="94" t="n">
        <v>17953047.31</v>
      </c>
      <c r="M86" s="94" t="n">
        <v>3000000</v>
      </c>
      <c r="N86" s="94" t="n">
        <v>188363.1404999495</v>
      </c>
      <c r="O86" s="96">
        <f>IF(OR(I86="",J86="",L86="",N86=""),"",I86-J86-K86-L86-M86-N86)</f>
        <v/>
      </c>
      <c r="P86" s="91">
        <f>IF(OR(O86="",C86=""),"",O86*C86)</f>
        <v/>
      </c>
      <c r="Q86" s="69">
        <f>Q85-E86</f>
        <v/>
      </c>
      <c r="R86" s="97">
        <f>IF(OR(J86="",Q86=""),"",J86-Q86)</f>
        <v/>
      </c>
      <c r="S86" s="69">
        <f>IF(D86="",S85,S85+D86)</f>
        <v/>
      </c>
      <c r="T86" s="97">
        <f>IF(OR(L86="",S86=""),"",L86-S86)</f>
        <v/>
      </c>
      <c r="U86" s="69">
        <f>IF(F86="",U85,U85+F86)</f>
        <v/>
      </c>
      <c r="V86" s="97">
        <f>IF(OR(N86="",U86=""),"",N86-U86)</f>
        <v/>
      </c>
      <c r="W86" s="71">
        <f>IF(OR(C86="",C86=0,'Daily Data'!J86=""),"",'Daily Data'!J86/C86)</f>
        <v/>
      </c>
      <c r="X86" s="71">
        <f>IF(OR(C86="",C86=0,'Daily Data'!K86=""),"",'Daily Data'!K86/C86)</f>
        <v/>
      </c>
      <c r="Y86" s="71">
        <f>IF(OR(F86="",W86="",X86=""),"",F86-W86-X86)</f>
        <v/>
      </c>
      <c r="Z86" s="72" t="n">
        <v>358.13</v>
      </c>
      <c r="AA86" s="72" t="n">
        <v>63.2</v>
      </c>
      <c r="AB86" s="73">
        <f>Z86+AA86</f>
        <v/>
      </c>
      <c r="AC86" s="74">
        <f>IF(OR(E86="",E86=0,AB86=""),"",E86*365/(AB86*1000000))</f>
        <v/>
      </c>
      <c r="AD86" s="98">
        <f>IF(OR(O86="",O86=0,AB86=""),"",(AB86*1000000)/O86)</f>
        <v/>
      </c>
      <c r="AE86" s="99">
        <f>IF(H86="","",(Team_Genesis-H86)/1000000)</f>
        <v/>
      </c>
      <c r="AF86" s="99">
        <f>IF(OR(O86="",AE86=""),"",(O86-AE86*1000000)/1000000)</f>
        <v/>
      </c>
    </row>
    <row r="87">
      <c r="A87" s="35" t="n">
        <v>45741</v>
      </c>
      <c r="B87" s="90">
        <f>IF('Daily Data'!E87="","",'Daily Data'!E87)</f>
        <v/>
      </c>
      <c r="C87" s="65" t="n">
        <v>16.77</v>
      </c>
      <c r="D87" s="94" t="n">
        <v>63584.4</v>
      </c>
      <c r="E87" s="94" t="n">
        <v>26408.1199</v>
      </c>
      <c r="F87" s="94" t="n">
        <v>874.4752</v>
      </c>
      <c r="G87" s="94" t="n"/>
      <c r="H87" s="95">
        <f>SUM($G$4:G87)</f>
        <v/>
      </c>
      <c r="I87" s="94" t="n">
        <v>1000000000</v>
      </c>
      <c r="J87" s="95">
        <f>J86-E87</f>
        <v/>
      </c>
      <c r="K87" s="94" t="n">
        <v>60000000</v>
      </c>
      <c r="L87" s="94" t="n">
        <v>18016631.71</v>
      </c>
      <c r="M87" s="94" t="n">
        <v>3000000</v>
      </c>
      <c r="N87" s="94" t="n">
        <v>189237.6157000065</v>
      </c>
      <c r="O87" s="96">
        <f>IF(OR(I87="",J87="",L87="",N87=""),"",I87-J87-K87-L87-M87-N87)</f>
        <v/>
      </c>
      <c r="P87" s="91">
        <f>IF(OR(O87="",C87=""),"",O87*C87)</f>
        <v/>
      </c>
      <c r="Q87" s="69">
        <f>Q86-E87</f>
        <v/>
      </c>
      <c r="R87" s="97">
        <f>IF(OR(J87="",Q87=""),"",J87-Q87)</f>
        <v/>
      </c>
      <c r="S87" s="69">
        <f>IF(D87="",S86,S86+D87)</f>
        <v/>
      </c>
      <c r="T87" s="97">
        <f>IF(OR(L87="",S87=""),"",L87-S87)</f>
        <v/>
      </c>
      <c r="U87" s="69">
        <f>IF(F87="",U86,U86+F87)</f>
        <v/>
      </c>
      <c r="V87" s="97">
        <f>IF(OR(N87="",U87=""),"",N87-U87)</f>
        <v/>
      </c>
      <c r="W87" s="71">
        <f>IF(OR(C87="",C87=0,'Daily Data'!J87=""),"",'Daily Data'!J87/C87)</f>
        <v/>
      </c>
      <c r="X87" s="71">
        <f>IF(OR(C87="",C87=0,'Daily Data'!K87=""),"",'Daily Data'!K87/C87)</f>
        <v/>
      </c>
      <c r="Y87" s="71">
        <f>IF(OR(F87="",W87="",X87=""),"",F87-W87-X87)</f>
        <v/>
      </c>
      <c r="Z87" s="72" t="n">
        <v>358.13</v>
      </c>
      <c r="AA87" s="72" t="n">
        <v>63.2</v>
      </c>
      <c r="AB87" s="73">
        <f>Z87+AA87</f>
        <v/>
      </c>
      <c r="AC87" s="74">
        <f>IF(OR(E87="",E87=0,AB87=""),"",E87*365/(AB87*1000000))</f>
        <v/>
      </c>
      <c r="AD87" s="98">
        <f>IF(OR(O87="",O87=0,AB87=""),"",(AB87*1000000)/O87)</f>
        <v/>
      </c>
      <c r="AE87" s="99">
        <f>IF(H87="","",(Team_Genesis-H87)/1000000)</f>
        <v/>
      </c>
      <c r="AF87" s="99">
        <f>IF(OR(O87="",AE87=""),"",(O87-AE87*1000000)/1000000)</f>
        <v/>
      </c>
    </row>
    <row r="88">
      <c r="A88" s="35" t="n">
        <v>45742</v>
      </c>
      <c r="B88" s="90">
        <f>IF('Daily Data'!E88="","",'Daily Data'!E88)</f>
        <v/>
      </c>
      <c r="C88" s="65" t="n">
        <v>16.03</v>
      </c>
      <c r="D88" s="94" t="n">
        <v>57631.29</v>
      </c>
      <c r="E88" s="94" t="n">
        <v>26422.3743</v>
      </c>
      <c r="F88" s="94" t="n">
        <v>418.2386</v>
      </c>
      <c r="G88" s="94" t="n"/>
      <c r="H88" s="95">
        <f>SUM($G$4:G88)</f>
        <v/>
      </c>
      <c r="I88" s="94" t="n">
        <v>1000000000</v>
      </c>
      <c r="J88" s="95">
        <f>J87-E88</f>
        <v/>
      </c>
      <c r="K88" s="94" t="n">
        <v>60000000</v>
      </c>
      <c r="L88" s="94" t="n">
        <v>18074263</v>
      </c>
      <c r="M88" s="94" t="n">
        <v>3000000</v>
      </c>
      <c r="N88" s="94" t="n">
        <v>189655.8543000221</v>
      </c>
      <c r="O88" s="96">
        <f>IF(OR(I88="",J88="",L88="",N88=""),"",I88-J88-K88-L88-M88-N88)</f>
        <v/>
      </c>
      <c r="P88" s="91">
        <f>IF(OR(O88="",C88=""),"",O88*C88)</f>
        <v/>
      </c>
      <c r="Q88" s="69">
        <f>Q87-E88</f>
        <v/>
      </c>
      <c r="R88" s="97">
        <f>IF(OR(J88="",Q88=""),"",J88-Q88)</f>
        <v/>
      </c>
      <c r="S88" s="69">
        <f>IF(D88="",S87,S87+D88)</f>
        <v/>
      </c>
      <c r="T88" s="97">
        <f>IF(OR(L88="",S88=""),"",L88-S88)</f>
        <v/>
      </c>
      <c r="U88" s="69">
        <f>IF(F88="",U87,U87+F88)</f>
        <v/>
      </c>
      <c r="V88" s="97">
        <f>IF(OR(N88="",U88=""),"",N88-U88)</f>
        <v/>
      </c>
      <c r="W88" s="71">
        <f>IF(OR(C88="",C88=0,'Daily Data'!J88=""),"",'Daily Data'!J88/C88)</f>
        <v/>
      </c>
      <c r="X88" s="71">
        <f>IF(OR(C88="",C88=0,'Daily Data'!K88=""),"",'Daily Data'!K88/C88)</f>
        <v/>
      </c>
      <c r="Y88" s="71">
        <f>IF(OR(F88="",W88="",X88=""),"",F88-W88-X88)</f>
        <v/>
      </c>
      <c r="Z88" s="72" t="n">
        <v>358.13</v>
      </c>
      <c r="AA88" s="72" t="n">
        <v>63.2</v>
      </c>
      <c r="AB88" s="73">
        <f>Z88+AA88</f>
        <v/>
      </c>
      <c r="AC88" s="74">
        <f>IF(OR(E88="",E88=0,AB88=""),"",E88*365/(AB88*1000000))</f>
        <v/>
      </c>
      <c r="AD88" s="98">
        <f>IF(OR(O88="",O88=0,AB88=""),"",(AB88*1000000)/O88)</f>
        <v/>
      </c>
      <c r="AE88" s="99">
        <f>IF(H88="","",(Team_Genesis-H88)/1000000)</f>
        <v/>
      </c>
      <c r="AF88" s="99">
        <f>IF(OR(O88="",AE88=""),"",(O88-AE88*1000000)/1000000)</f>
        <v/>
      </c>
    </row>
    <row r="89">
      <c r="A89" s="35" t="n">
        <v>45743</v>
      </c>
      <c r="B89" s="90">
        <f>IF('Daily Data'!E89="","",'Daily Data'!E89)</f>
        <v/>
      </c>
      <c r="C89" s="65" t="n">
        <v>14.06</v>
      </c>
      <c r="D89" s="94" t="n">
        <v>77117.5</v>
      </c>
      <c r="E89" s="94" t="n">
        <v>26404.3816</v>
      </c>
      <c r="F89" s="94" t="n">
        <v>3348.6945</v>
      </c>
      <c r="G89" s="94" t="n"/>
      <c r="H89" s="95">
        <f>SUM($G$4:G89)</f>
        <v/>
      </c>
      <c r="I89" s="94" t="n">
        <v>1000000000</v>
      </c>
      <c r="J89" s="95">
        <f>J88-E89</f>
        <v/>
      </c>
      <c r="K89" s="94" t="n">
        <v>60000000</v>
      </c>
      <c r="L89" s="94" t="n">
        <v>18151380.5</v>
      </c>
      <c r="M89" s="94" t="n">
        <v>3000000</v>
      </c>
      <c r="N89" s="94" t="n">
        <v>193004.5487999916</v>
      </c>
      <c r="O89" s="96">
        <f>IF(OR(I89="",J89="",L89="",N89=""),"",I89-J89-K89-L89-M89-N89)</f>
        <v/>
      </c>
      <c r="P89" s="91">
        <f>IF(OR(O89="",C89=""),"",O89*C89)</f>
        <v/>
      </c>
      <c r="Q89" s="69">
        <f>Q88-E89</f>
        <v/>
      </c>
      <c r="R89" s="97">
        <f>IF(OR(J89="",Q89=""),"",J89-Q89)</f>
        <v/>
      </c>
      <c r="S89" s="69">
        <f>IF(D89="",S88,S88+D89)</f>
        <v/>
      </c>
      <c r="T89" s="97">
        <f>IF(OR(L89="",S89=""),"",L89-S89)</f>
        <v/>
      </c>
      <c r="U89" s="69">
        <f>IF(F89="",U88,U88+F89)</f>
        <v/>
      </c>
      <c r="V89" s="97">
        <f>IF(OR(N89="",U89=""),"",N89-U89)</f>
        <v/>
      </c>
      <c r="W89" s="71">
        <f>IF(OR(C89="",C89=0,'Daily Data'!J89=""),"",'Daily Data'!J89/C89)</f>
        <v/>
      </c>
      <c r="X89" s="71">
        <f>IF(OR(C89="",C89=0,'Daily Data'!K89=""),"",'Daily Data'!K89/C89)</f>
        <v/>
      </c>
      <c r="Y89" s="71">
        <f>IF(OR(F89="",W89="",X89=""),"",F89-W89-X89)</f>
        <v/>
      </c>
      <c r="Z89" s="72" t="n">
        <v>358.13</v>
      </c>
      <c r="AA89" s="72" t="n">
        <v>63.2</v>
      </c>
      <c r="AB89" s="73">
        <f>Z89+AA89</f>
        <v/>
      </c>
      <c r="AC89" s="74">
        <f>IF(OR(E89="",E89=0,AB89=""),"",E89*365/(AB89*1000000))</f>
        <v/>
      </c>
      <c r="AD89" s="98">
        <f>IF(OR(O89="",O89=0,AB89=""),"",(AB89*1000000)/O89)</f>
        <v/>
      </c>
      <c r="AE89" s="99">
        <f>IF(H89="","",(Team_Genesis-H89)/1000000)</f>
        <v/>
      </c>
      <c r="AF89" s="99">
        <f>IF(OR(O89="",AE89=""),"",(O89-AE89*1000000)/1000000)</f>
        <v/>
      </c>
    </row>
    <row r="90">
      <c r="A90" s="35" t="n">
        <v>45744</v>
      </c>
      <c r="B90" s="90">
        <f>IF('Daily Data'!E90="","",'Daily Data'!E90)</f>
        <v/>
      </c>
      <c r="C90" s="65" t="n">
        <v>14.59</v>
      </c>
      <c r="D90" s="94" t="n">
        <v>62740.01</v>
      </c>
      <c r="E90" s="94" t="n">
        <v>26355.4575</v>
      </c>
      <c r="F90" s="94" t="n">
        <v>572.3714</v>
      </c>
      <c r="G90" s="94" t="n"/>
      <c r="H90" s="95">
        <f>SUM($G$4:G90)</f>
        <v/>
      </c>
      <c r="I90" s="94" t="n">
        <v>1000000000</v>
      </c>
      <c r="J90" s="95">
        <f>J89-E90</f>
        <v/>
      </c>
      <c r="K90" s="94" t="n">
        <v>60000000</v>
      </c>
      <c r="L90" s="94" t="n">
        <v>18214120.51</v>
      </c>
      <c r="M90" s="94" t="n">
        <v>3000000</v>
      </c>
      <c r="N90" s="94" t="n">
        <v>193576.9201999903</v>
      </c>
      <c r="O90" s="96">
        <f>IF(OR(I90="",J90="",L90="",N90=""),"",I90-J90-K90-L90-M90-N90)</f>
        <v/>
      </c>
      <c r="P90" s="91">
        <f>IF(OR(O90="",C90=""),"",O90*C90)</f>
        <v/>
      </c>
      <c r="Q90" s="69">
        <f>Q89-E90</f>
        <v/>
      </c>
      <c r="R90" s="97">
        <f>IF(OR(J90="",Q90=""),"",J90-Q90)</f>
        <v/>
      </c>
      <c r="S90" s="69">
        <f>IF(D90="",S89,S89+D90)</f>
        <v/>
      </c>
      <c r="T90" s="97">
        <f>IF(OR(L90="",S90=""),"",L90-S90)</f>
        <v/>
      </c>
      <c r="U90" s="69">
        <f>IF(F90="",U89,U89+F90)</f>
        <v/>
      </c>
      <c r="V90" s="97">
        <f>IF(OR(N90="",U90=""),"",N90-U90)</f>
        <v/>
      </c>
      <c r="W90" s="71">
        <f>IF(OR(C90="",C90=0,'Daily Data'!J90=""),"",'Daily Data'!J90/C90)</f>
        <v/>
      </c>
      <c r="X90" s="71">
        <f>IF(OR(C90="",C90=0,'Daily Data'!K90=""),"",'Daily Data'!K90/C90)</f>
        <v/>
      </c>
      <c r="Y90" s="71">
        <f>IF(OR(F90="",W90="",X90=""),"",F90-W90-X90)</f>
        <v/>
      </c>
      <c r="Z90" s="72" t="n">
        <v>358.13</v>
      </c>
      <c r="AA90" s="72" t="n">
        <v>63.2</v>
      </c>
      <c r="AB90" s="73">
        <f>Z90+AA90</f>
        <v/>
      </c>
      <c r="AC90" s="74">
        <f>IF(OR(E90="",E90=0,AB90=""),"",E90*365/(AB90*1000000))</f>
        <v/>
      </c>
      <c r="AD90" s="98">
        <f>IF(OR(O90="",O90=0,AB90=""),"",(AB90*1000000)/O90)</f>
        <v/>
      </c>
      <c r="AE90" s="99">
        <f>IF(H90="","",(Team_Genesis-H90)/1000000)</f>
        <v/>
      </c>
      <c r="AF90" s="99">
        <f>IF(OR(O90="",AE90=""),"",(O90-AE90*1000000)/1000000)</f>
        <v/>
      </c>
    </row>
    <row r="91">
      <c r="A91" s="35" t="n">
        <v>45745</v>
      </c>
      <c r="B91" s="90">
        <f>IF('Daily Data'!E91="","",'Daily Data'!E91)</f>
        <v/>
      </c>
      <c r="C91" s="65" t="n">
        <v>13.39</v>
      </c>
      <c r="D91" s="94" t="n">
        <v>70357.02</v>
      </c>
      <c r="E91" s="94" t="n">
        <v>26368.156</v>
      </c>
      <c r="F91" s="94" t="n">
        <v>574.8896</v>
      </c>
      <c r="G91" s="94" t="n"/>
      <c r="H91" s="95">
        <f>SUM($G$4:G91)</f>
        <v/>
      </c>
      <c r="I91" s="94" t="n">
        <v>1000000000</v>
      </c>
      <c r="J91" s="95">
        <f>J90-E91</f>
        <v/>
      </c>
      <c r="K91" s="94" t="n">
        <v>60000000</v>
      </c>
      <c r="L91" s="94" t="n">
        <v>18284477.53</v>
      </c>
      <c r="M91" s="94" t="n">
        <v>3000000</v>
      </c>
      <c r="N91" s="94" t="n">
        <v>194151.8098000288</v>
      </c>
      <c r="O91" s="96">
        <f>IF(OR(I91="",J91="",L91="",N91=""),"",I91-J91-K91-L91-M91-N91)</f>
        <v/>
      </c>
      <c r="P91" s="91">
        <f>IF(OR(O91="",C91=""),"",O91*C91)</f>
        <v/>
      </c>
      <c r="Q91" s="69">
        <f>Q90-E91</f>
        <v/>
      </c>
      <c r="R91" s="97">
        <f>IF(OR(J91="",Q91=""),"",J91-Q91)</f>
        <v/>
      </c>
      <c r="S91" s="69">
        <f>IF(D91="",S90,S90+D91)</f>
        <v/>
      </c>
      <c r="T91" s="97">
        <f>IF(OR(L91="",S91=""),"",L91-S91)</f>
        <v/>
      </c>
      <c r="U91" s="69">
        <f>IF(F91="",U90,U90+F91)</f>
        <v/>
      </c>
      <c r="V91" s="97">
        <f>IF(OR(N91="",U91=""),"",N91-U91)</f>
        <v/>
      </c>
      <c r="W91" s="71">
        <f>IF(OR(C91="",C91=0,'Daily Data'!J91=""),"",'Daily Data'!J91/C91)</f>
        <v/>
      </c>
      <c r="X91" s="71">
        <f>IF(OR(C91="",C91=0,'Daily Data'!K91=""),"",'Daily Data'!K91/C91)</f>
        <v/>
      </c>
      <c r="Y91" s="71">
        <f>IF(OR(F91="",W91="",X91=""),"",F91-W91-X91)</f>
        <v/>
      </c>
      <c r="Z91" s="72" t="n">
        <v>358.13</v>
      </c>
      <c r="AA91" s="72" t="n">
        <v>63.2</v>
      </c>
      <c r="AB91" s="73">
        <f>Z91+AA91</f>
        <v/>
      </c>
      <c r="AC91" s="74">
        <f>IF(OR(E91="",E91=0,AB91=""),"",E91*365/(AB91*1000000))</f>
        <v/>
      </c>
      <c r="AD91" s="98">
        <f>IF(OR(O91="",O91=0,AB91=""),"",(AB91*1000000)/O91)</f>
        <v/>
      </c>
      <c r="AE91" s="99">
        <f>IF(H91="","",(Team_Genesis-H91)/1000000)</f>
        <v/>
      </c>
      <c r="AF91" s="99">
        <f>IF(OR(O91="",AE91=""),"",(O91-AE91*1000000)/1000000)</f>
        <v/>
      </c>
    </row>
    <row r="92">
      <c r="A92" s="35" t="n">
        <v>45746</v>
      </c>
      <c r="B92" s="90">
        <f>IF('Daily Data'!E92="","",'Daily Data'!E92)</f>
        <v/>
      </c>
      <c r="C92" s="65" t="n">
        <v>12.8</v>
      </c>
      <c r="D92" s="94" t="n">
        <v>55468.07</v>
      </c>
      <c r="E92" s="94" t="n">
        <v>26361.1944</v>
      </c>
      <c r="F92" s="94" t="n">
        <v>564.418</v>
      </c>
      <c r="G92" s="94" t="n"/>
      <c r="H92" s="95">
        <f>SUM($G$4:G92)</f>
        <v/>
      </c>
      <c r="I92" s="94" t="n">
        <v>1000000000</v>
      </c>
      <c r="J92" s="95">
        <f>J91-E92</f>
        <v/>
      </c>
      <c r="K92" s="94" t="n">
        <v>60000000</v>
      </c>
      <c r="L92" s="94" t="n">
        <v>18339945.6</v>
      </c>
      <c r="M92" s="94" t="n">
        <v>3000000</v>
      </c>
      <c r="N92" s="94" t="n">
        <v>194716.2278000116</v>
      </c>
      <c r="O92" s="96">
        <f>IF(OR(I92="",J92="",L92="",N92=""),"",I92-J92-K92-L92-M92-N92)</f>
        <v/>
      </c>
      <c r="P92" s="91">
        <f>IF(OR(O92="",C92=""),"",O92*C92)</f>
        <v/>
      </c>
      <c r="Q92" s="69">
        <f>Q91-E92</f>
        <v/>
      </c>
      <c r="R92" s="97">
        <f>IF(OR(J92="",Q92=""),"",J92-Q92)</f>
        <v/>
      </c>
      <c r="S92" s="69">
        <f>IF(D92="",S91,S91+D92)</f>
        <v/>
      </c>
      <c r="T92" s="97">
        <f>IF(OR(L92="",S92=""),"",L92-S92)</f>
        <v/>
      </c>
      <c r="U92" s="69">
        <f>IF(F92="",U91,U91+F92)</f>
        <v/>
      </c>
      <c r="V92" s="97">
        <f>IF(OR(N92="",U92=""),"",N92-U92)</f>
        <v/>
      </c>
      <c r="W92" s="71">
        <f>IF(OR(C92="",C92=0,'Daily Data'!J92=""),"",'Daily Data'!J92/C92)</f>
        <v/>
      </c>
      <c r="X92" s="71">
        <f>IF(OR(C92="",C92=0,'Daily Data'!K92=""),"",'Daily Data'!K92/C92)</f>
        <v/>
      </c>
      <c r="Y92" s="71">
        <f>IF(OR(F92="",W92="",X92=""),"",F92-W92-X92)</f>
        <v/>
      </c>
      <c r="Z92" s="72" t="n">
        <v>358.13</v>
      </c>
      <c r="AA92" s="72" t="n">
        <v>63.2</v>
      </c>
      <c r="AB92" s="73">
        <f>Z92+AA92</f>
        <v/>
      </c>
      <c r="AC92" s="74">
        <f>IF(OR(E92="",E92=0,AB92=""),"",E92*365/(AB92*1000000))</f>
        <v/>
      </c>
      <c r="AD92" s="98">
        <f>IF(OR(O92="",O92=0,AB92=""),"",(AB92*1000000)/O92)</f>
        <v/>
      </c>
      <c r="AE92" s="99">
        <f>IF(H92="","",(Team_Genesis-H92)/1000000)</f>
        <v/>
      </c>
      <c r="AF92" s="99">
        <f>IF(OR(O92="",AE92=""),"",(O92-AE92*1000000)/1000000)</f>
        <v/>
      </c>
    </row>
    <row r="93">
      <c r="A93" s="35" t="n">
        <v>45747</v>
      </c>
      <c r="B93" s="90">
        <f>IF('Daily Data'!E93="","",'Daily Data'!E93)</f>
        <v/>
      </c>
      <c r="C93" s="65" t="n">
        <v>12.48</v>
      </c>
      <c r="D93" s="94" t="n">
        <v>68018.00999999999</v>
      </c>
      <c r="E93" s="94" t="n">
        <v>26329.3381</v>
      </c>
      <c r="F93" s="94" t="n">
        <v>300.1917</v>
      </c>
      <c r="G93" s="94" t="n"/>
      <c r="H93" s="95">
        <f>SUM($G$4:G93)</f>
        <v/>
      </c>
      <c r="I93" s="94" t="n">
        <v>1000000000</v>
      </c>
      <c r="J93" s="95">
        <f>J92-E93</f>
        <v/>
      </c>
      <c r="K93" s="94" t="n">
        <v>60000000</v>
      </c>
      <c r="L93" s="94" t="n">
        <v>18407963.61</v>
      </c>
      <c r="M93" s="94" t="n">
        <v>3000000</v>
      </c>
      <c r="N93" s="94" t="n">
        <v>195016.4194999933</v>
      </c>
      <c r="O93" s="96">
        <f>IF(OR(I93="",J93="",L93="",N93=""),"",I93-J93-K93-L93-M93-N93)</f>
        <v/>
      </c>
      <c r="P93" s="91">
        <f>IF(OR(O93="",C93=""),"",O93*C93)</f>
        <v/>
      </c>
      <c r="Q93" s="69">
        <f>Q92-E93</f>
        <v/>
      </c>
      <c r="R93" s="97">
        <f>IF(OR(J93="",Q93=""),"",J93-Q93)</f>
        <v/>
      </c>
      <c r="S93" s="69">
        <f>IF(D93="",S92,S92+D93)</f>
        <v/>
      </c>
      <c r="T93" s="97">
        <f>IF(OR(L93="",S93=""),"",L93-S93)</f>
        <v/>
      </c>
      <c r="U93" s="69">
        <f>IF(F93="",U92,U92+F93)</f>
        <v/>
      </c>
      <c r="V93" s="97">
        <f>IF(OR(N93="",U93=""),"",N93-U93)</f>
        <v/>
      </c>
      <c r="W93" s="71">
        <f>IF(OR(C93="",C93=0,'Daily Data'!J93=""),"",'Daily Data'!J93/C93)</f>
        <v/>
      </c>
      <c r="X93" s="71">
        <f>IF(OR(C93="",C93=0,'Daily Data'!K93=""),"",'Daily Data'!K93/C93)</f>
        <v/>
      </c>
      <c r="Y93" s="71">
        <f>IF(OR(F93="",W93="",X93=""),"",F93-W93-X93)</f>
        <v/>
      </c>
      <c r="Z93" s="72" t="n">
        <v>358.13</v>
      </c>
      <c r="AA93" s="72" t="n">
        <v>63.2</v>
      </c>
      <c r="AB93" s="73">
        <f>Z93+AA93</f>
        <v/>
      </c>
      <c r="AC93" s="74">
        <f>IF(OR(E93="",E93=0,AB93=""),"",E93*365/(AB93*1000000))</f>
        <v/>
      </c>
      <c r="AD93" s="98">
        <f>IF(OR(O93="",O93=0,AB93=""),"",(AB93*1000000)/O93)</f>
        <v/>
      </c>
      <c r="AE93" s="99">
        <f>IF(H93="","",(Team_Genesis-H93)/1000000)</f>
        <v/>
      </c>
      <c r="AF93" s="99">
        <f>IF(OR(O93="",AE93=""),"",(O93-AE93*1000000)/1000000)</f>
        <v/>
      </c>
    </row>
    <row r="94">
      <c r="A94" s="35" t="n">
        <v>45748</v>
      </c>
      <c r="B94" s="90">
        <f>IF('Daily Data'!E94="","",'Daily Data'!E94)</f>
        <v/>
      </c>
      <c r="C94" s="65" t="n">
        <v>12.99</v>
      </c>
      <c r="D94" s="94" t="n">
        <v>85214.7</v>
      </c>
      <c r="E94" s="94" t="n">
        <v>26348.1635</v>
      </c>
      <c r="F94" s="94" t="n">
        <v>564.9225</v>
      </c>
      <c r="G94" s="94" t="n"/>
      <c r="H94" s="95">
        <f>SUM($G$4:G94)</f>
        <v/>
      </c>
      <c r="I94" s="94" t="n">
        <v>1000000000</v>
      </c>
      <c r="J94" s="95">
        <f>J93-E94</f>
        <v/>
      </c>
      <c r="K94" s="94" t="n">
        <v>60000000</v>
      </c>
      <c r="L94" s="94" t="n">
        <v>18493178.31</v>
      </c>
      <c r="M94" s="94" t="n">
        <v>3000000</v>
      </c>
      <c r="N94" s="94" t="n">
        <v>195581.3420000076</v>
      </c>
      <c r="O94" s="96">
        <f>IF(OR(I94="",J94="",L94="",N94=""),"",I94-J94-K94-L94-M94-N94)</f>
        <v/>
      </c>
      <c r="P94" s="91">
        <f>IF(OR(O94="",C94=""),"",O94*C94)</f>
        <v/>
      </c>
      <c r="Q94" s="69">
        <f>Q93-E94</f>
        <v/>
      </c>
      <c r="R94" s="97">
        <f>IF(OR(J94="",Q94=""),"",J94-Q94)</f>
        <v/>
      </c>
      <c r="S94" s="69">
        <f>IF(D94="",S93,S93+D94)</f>
        <v/>
      </c>
      <c r="T94" s="97">
        <f>IF(OR(L94="",S94=""),"",L94-S94)</f>
        <v/>
      </c>
      <c r="U94" s="69">
        <f>IF(F94="",U93,U93+F94)</f>
        <v/>
      </c>
      <c r="V94" s="97">
        <f>IF(OR(N94="",U94=""),"",N94-U94)</f>
        <v/>
      </c>
      <c r="W94" s="71">
        <f>IF(OR(C94="",C94=0,'Daily Data'!J94=""),"",'Daily Data'!J94/C94)</f>
        <v/>
      </c>
      <c r="X94" s="71">
        <f>IF(OR(C94="",C94=0,'Daily Data'!K94=""),"",'Daily Data'!K94/C94)</f>
        <v/>
      </c>
      <c r="Y94" s="71">
        <f>IF(OR(F94="",W94="",X94=""),"",F94-W94-X94)</f>
        <v/>
      </c>
      <c r="Z94" s="72" t="n">
        <v>353.75</v>
      </c>
      <c r="AA94" s="72" t="n">
        <v>62.43</v>
      </c>
      <c r="AB94" s="73">
        <f>Z94+AA94</f>
        <v/>
      </c>
      <c r="AC94" s="74">
        <f>IF(OR(E94="",E94=0,AB94=""),"",E94*365/(AB94*1000000))</f>
        <v/>
      </c>
      <c r="AD94" s="98">
        <f>IF(OR(O94="",O94=0,AB94=""),"",(AB94*1000000)/O94)</f>
        <v/>
      </c>
      <c r="AE94" s="99">
        <f>IF(H94="","",(Team_Genesis-H94)/1000000)</f>
        <v/>
      </c>
      <c r="AF94" s="99">
        <f>IF(OR(O94="",AE94=""),"",(O94-AE94*1000000)/1000000)</f>
        <v/>
      </c>
    </row>
    <row r="95">
      <c r="A95" s="35" t="n">
        <v>45749</v>
      </c>
      <c r="B95" s="90">
        <f>IF('Daily Data'!E95="","",'Daily Data'!E95)</f>
        <v/>
      </c>
      <c r="C95" s="65" t="n">
        <v>13.03</v>
      </c>
      <c r="D95" s="94" t="n">
        <v>83892.06</v>
      </c>
      <c r="E95" s="94" t="n">
        <v>6623.2099</v>
      </c>
      <c r="F95" s="94" t="n">
        <v>54.2361</v>
      </c>
      <c r="G95" s="94" t="n"/>
      <c r="H95" s="95">
        <f>SUM($G$4:G95)</f>
        <v/>
      </c>
      <c r="I95" s="94" t="n">
        <v>1000000000</v>
      </c>
      <c r="J95" s="95">
        <f>J94-E95</f>
        <v/>
      </c>
      <c r="K95" s="94" t="n">
        <v>60000000</v>
      </c>
      <c r="L95" s="94" t="n">
        <v>18577070.37</v>
      </c>
      <c r="M95" s="94" t="n">
        <v>3000000</v>
      </c>
      <c r="N95" s="94" t="n">
        <v>196133.8008999825</v>
      </c>
      <c r="O95" s="96">
        <f>IF(OR(I95="",J95="",L95="",N95=""),"",I95-J95-K95-L95-M95-N95)</f>
        <v/>
      </c>
      <c r="P95" s="91">
        <f>IF(OR(O95="",C95=""),"",O95*C95)</f>
        <v/>
      </c>
      <c r="Q95" s="69">
        <f>Q94-E95</f>
        <v/>
      </c>
      <c r="R95" s="97">
        <f>IF(OR(J95="",Q95=""),"",J95-Q95)</f>
        <v/>
      </c>
      <c r="S95" s="69">
        <f>IF(D95="",S94,S94+D95)</f>
        <v/>
      </c>
      <c r="T95" s="97">
        <f>IF(OR(L95="",S95=""),"",L95-S95)</f>
        <v/>
      </c>
      <c r="U95" s="69">
        <f>IF(F95="",U94,U94+F95)</f>
        <v/>
      </c>
      <c r="V95" s="97">
        <f>IF(OR(N95="",U95=""),"",N95-U95)</f>
        <v/>
      </c>
      <c r="W95" s="71">
        <f>IF(OR(C95="",C95=0,'Daily Data'!J95=""),"",'Daily Data'!J95/C95)</f>
        <v/>
      </c>
      <c r="X95" s="71">
        <f>IF(OR(C95="",C95=0,'Daily Data'!K95=""),"",'Daily Data'!K95/C95)</f>
        <v/>
      </c>
      <c r="Y95" s="71">
        <f>IF(OR(F95="",W95="",X95=""),"",F95-W95-X95)</f>
        <v/>
      </c>
      <c r="Z95" s="72" t="n">
        <v>353.75</v>
      </c>
      <c r="AA95" s="72" t="n">
        <v>62.43</v>
      </c>
      <c r="AB95" s="73">
        <f>Z95+AA95</f>
        <v/>
      </c>
      <c r="AC95" s="74">
        <f>IF(OR(E95="",E95=0,AB95=""),"",E95*365/(AB95*1000000))</f>
        <v/>
      </c>
      <c r="AD95" s="98">
        <f>IF(OR(O95="",O95=0,AB95=""),"",(AB95*1000000)/O95)</f>
        <v/>
      </c>
      <c r="AE95" s="99">
        <f>IF(H95="","",(Team_Genesis-H95)/1000000)</f>
        <v/>
      </c>
      <c r="AF95" s="99">
        <f>IF(OR(O95="",AE95=""),"",(O95-AE95*1000000)/1000000)</f>
        <v/>
      </c>
    </row>
    <row r="96">
      <c r="A96" s="35" t="n">
        <v>45750</v>
      </c>
      <c r="B96" s="90">
        <f>IF('Daily Data'!E96="","",'Daily Data'!E96)</f>
        <v/>
      </c>
      <c r="C96" s="65" t="n">
        <v>12.06</v>
      </c>
      <c r="D96" s="94" t="n">
        <v>147349.1</v>
      </c>
      <c r="E96" s="94" t="n">
        <v>19999.2249</v>
      </c>
      <c r="F96" s="94" t="n">
        <v>883.6477</v>
      </c>
      <c r="G96" s="94" t="n"/>
      <c r="H96" s="95">
        <f>SUM($G$4:G96)</f>
        <v/>
      </c>
      <c r="I96" s="94" t="n">
        <v>1000000000</v>
      </c>
      <c r="J96" s="95">
        <f>J95-E96</f>
        <v/>
      </c>
      <c r="K96" s="94" t="n">
        <v>60000000</v>
      </c>
      <c r="L96" s="94" t="n">
        <v>18724419.47</v>
      </c>
      <c r="M96" s="94" t="n">
        <v>3000000</v>
      </c>
      <c r="N96" s="94" t="n">
        <v>197017.4486999512</v>
      </c>
      <c r="O96" s="96">
        <f>IF(OR(I96="",J96="",L96="",N96=""),"",I96-J96-K96-L96-M96-N96)</f>
        <v/>
      </c>
      <c r="P96" s="91">
        <f>IF(OR(O96="",C96=""),"",O96*C96)</f>
        <v/>
      </c>
      <c r="Q96" s="69">
        <f>Q95-E96</f>
        <v/>
      </c>
      <c r="R96" s="97">
        <f>IF(OR(J96="",Q96=""),"",J96-Q96)</f>
        <v/>
      </c>
      <c r="S96" s="69">
        <f>IF(D96="",S95,S95+D96)</f>
        <v/>
      </c>
      <c r="T96" s="97">
        <f>IF(OR(L96="",S96=""),"",L96-S96)</f>
        <v/>
      </c>
      <c r="U96" s="69">
        <f>IF(F96="",U95,U95+F96)</f>
        <v/>
      </c>
      <c r="V96" s="97">
        <f>IF(OR(N96="",U96=""),"",N96-U96)</f>
        <v/>
      </c>
      <c r="W96" s="71">
        <f>IF(OR(C96="",C96=0,'Daily Data'!J96=""),"",'Daily Data'!J96/C96)</f>
        <v/>
      </c>
      <c r="X96" s="71">
        <f>IF(OR(C96="",C96=0,'Daily Data'!K96=""),"",'Daily Data'!K96/C96)</f>
        <v/>
      </c>
      <c r="Y96" s="71">
        <f>IF(OR(F96="",W96="",X96=""),"",F96-W96-X96)</f>
        <v/>
      </c>
      <c r="Z96" s="72" t="n">
        <v>353.75</v>
      </c>
      <c r="AA96" s="72" t="n">
        <v>62.43</v>
      </c>
      <c r="AB96" s="73">
        <f>Z96+AA96</f>
        <v/>
      </c>
      <c r="AC96" s="74">
        <f>IF(OR(E96="",E96=0,AB96=""),"",E96*365/(AB96*1000000))</f>
        <v/>
      </c>
      <c r="AD96" s="98">
        <f>IF(OR(O96="",O96=0,AB96=""),"",(AB96*1000000)/O96)</f>
        <v/>
      </c>
      <c r="AE96" s="99">
        <f>IF(H96="","",(Team_Genesis-H96)/1000000)</f>
        <v/>
      </c>
      <c r="AF96" s="99">
        <f>IF(OR(O96="",AE96=""),"",(O96-AE96*1000000)/1000000)</f>
        <v/>
      </c>
    </row>
    <row r="97">
      <c r="A97" s="35" t="n">
        <v>45751</v>
      </c>
      <c r="B97" s="90">
        <f>IF('Daily Data'!E97="","",'Daily Data'!E97)</f>
        <v/>
      </c>
      <c r="C97" s="65" t="n">
        <v>11.78</v>
      </c>
      <c r="D97" s="94" t="n">
        <v>110859.2</v>
      </c>
      <c r="E97" s="94" t="n">
        <v>26342.9936</v>
      </c>
      <c r="F97" s="94" t="n">
        <v>1167.9452</v>
      </c>
      <c r="G97" s="94" t="n"/>
      <c r="H97" s="95">
        <f>SUM($G$4:G97)</f>
        <v/>
      </c>
      <c r="I97" s="94" t="n">
        <v>1000000000</v>
      </c>
      <c r="J97" s="95">
        <f>J96-E97</f>
        <v/>
      </c>
      <c r="K97" s="94" t="n">
        <v>60000000</v>
      </c>
      <c r="L97" s="94" t="n">
        <v>18835278.67</v>
      </c>
      <c r="M97" s="94" t="n">
        <v>3000000</v>
      </c>
      <c r="N97" s="94" t="n">
        <v>198185.3939000368</v>
      </c>
      <c r="O97" s="96">
        <f>IF(OR(I97="",J97="",L97="",N97=""),"",I97-J97-K97-L97-M97-N97)</f>
        <v/>
      </c>
      <c r="P97" s="91">
        <f>IF(OR(O97="",C97=""),"",O97*C97)</f>
        <v/>
      </c>
      <c r="Q97" s="69">
        <f>Q96-E97</f>
        <v/>
      </c>
      <c r="R97" s="97">
        <f>IF(OR(J97="",Q97=""),"",J97-Q97)</f>
        <v/>
      </c>
      <c r="S97" s="69">
        <f>IF(D97="",S96,S96+D97)</f>
        <v/>
      </c>
      <c r="T97" s="97">
        <f>IF(OR(L97="",S97=""),"",L97-S97)</f>
        <v/>
      </c>
      <c r="U97" s="69">
        <f>IF(F97="",U96,U96+F97)</f>
        <v/>
      </c>
      <c r="V97" s="97">
        <f>IF(OR(N97="",U97=""),"",N97-U97)</f>
        <v/>
      </c>
      <c r="W97" s="71">
        <f>IF(OR(C97="",C97=0,'Daily Data'!J97=""),"",'Daily Data'!J97/C97)</f>
        <v/>
      </c>
      <c r="X97" s="71">
        <f>IF(OR(C97="",C97=0,'Daily Data'!K97=""),"",'Daily Data'!K97/C97)</f>
        <v/>
      </c>
      <c r="Y97" s="71">
        <f>IF(OR(F97="",W97="",X97=""),"",F97-W97-X97)</f>
        <v/>
      </c>
      <c r="Z97" s="72" t="n">
        <v>353.75</v>
      </c>
      <c r="AA97" s="72" t="n">
        <v>62.43</v>
      </c>
      <c r="AB97" s="73">
        <f>Z97+AA97</f>
        <v/>
      </c>
      <c r="AC97" s="74">
        <f>IF(OR(E97="",E97=0,AB97=""),"",E97*365/(AB97*1000000))</f>
        <v/>
      </c>
      <c r="AD97" s="98">
        <f>IF(OR(O97="",O97=0,AB97=""),"",(AB97*1000000)/O97)</f>
        <v/>
      </c>
      <c r="AE97" s="99">
        <f>IF(H97="","",(Team_Genesis-H97)/1000000)</f>
        <v/>
      </c>
      <c r="AF97" s="99">
        <f>IF(OR(O97="",AE97=""),"",(O97-AE97*1000000)/1000000)</f>
        <v/>
      </c>
    </row>
    <row r="98">
      <c r="A98" s="35" t="n">
        <v>45752</v>
      </c>
      <c r="B98" s="90">
        <f>IF('Daily Data'!E98="","",'Daily Data'!E98)</f>
        <v/>
      </c>
      <c r="C98" s="65" t="n">
        <v>11.93</v>
      </c>
      <c r="D98" s="94" t="n">
        <v>153210.93</v>
      </c>
      <c r="E98" s="94" t="n">
        <v>26344.3158</v>
      </c>
      <c r="F98" s="94" t="n">
        <v>1096.1885</v>
      </c>
      <c r="G98" s="94" t="n"/>
      <c r="H98" s="95">
        <f>SUM($G$4:G98)</f>
        <v/>
      </c>
      <c r="I98" s="94" t="n">
        <v>1000000000</v>
      </c>
      <c r="J98" s="95">
        <f>J97-E98</f>
        <v/>
      </c>
      <c r="K98" s="94" t="n">
        <v>60000000</v>
      </c>
      <c r="L98" s="94" t="n">
        <v>18988489.6</v>
      </c>
      <c r="M98" s="94" t="n">
        <v>3000000</v>
      </c>
      <c r="N98" s="94" t="n">
        <v>199281.5823999643</v>
      </c>
      <c r="O98" s="96">
        <f>IF(OR(I98="",J98="",L98="",N98=""),"",I98-J98-K98-L98-M98-N98)</f>
        <v/>
      </c>
      <c r="P98" s="91">
        <f>IF(OR(O98="",C98=""),"",O98*C98)</f>
        <v/>
      </c>
      <c r="Q98" s="69">
        <f>Q97-E98</f>
        <v/>
      </c>
      <c r="R98" s="97">
        <f>IF(OR(J98="",Q98=""),"",J98-Q98)</f>
        <v/>
      </c>
      <c r="S98" s="69">
        <f>IF(D98="",S97,S97+D98)</f>
        <v/>
      </c>
      <c r="T98" s="97">
        <f>IF(OR(L98="",S98=""),"",L98-S98)</f>
        <v/>
      </c>
      <c r="U98" s="69">
        <f>IF(F98="",U97,U97+F98)</f>
        <v/>
      </c>
      <c r="V98" s="97">
        <f>IF(OR(N98="",U98=""),"",N98-U98)</f>
        <v/>
      </c>
      <c r="W98" s="71">
        <f>IF(OR(C98="",C98=0,'Daily Data'!J98=""),"",'Daily Data'!J98/C98)</f>
        <v/>
      </c>
      <c r="X98" s="71">
        <f>IF(OR(C98="",C98=0,'Daily Data'!K98=""),"",'Daily Data'!K98/C98)</f>
        <v/>
      </c>
      <c r="Y98" s="71">
        <f>IF(OR(F98="",W98="",X98=""),"",F98-W98-X98)</f>
        <v/>
      </c>
      <c r="Z98" s="72" t="n">
        <v>353.75</v>
      </c>
      <c r="AA98" s="72" t="n">
        <v>62.43</v>
      </c>
      <c r="AB98" s="73">
        <f>Z98+AA98</f>
        <v/>
      </c>
      <c r="AC98" s="74">
        <f>IF(OR(E98="",E98=0,AB98=""),"",E98*365/(AB98*1000000))</f>
        <v/>
      </c>
      <c r="AD98" s="98">
        <f>IF(OR(O98="",O98=0,AB98=""),"",(AB98*1000000)/O98)</f>
        <v/>
      </c>
      <c r="AE98" s="99">
        <f>IF(H98="","",(Team_Genesis-H98)/1000000)</f>
        <v/>
      </c>
      <c r="AF98" s="99">
        <f>IF(OR(O98="",AE98=""),"",(O98-AE98*1000000)/1000000)</f>
        <v/>
      </c>
    </row>
    <row r="99">
      <c r="A99" s="35" t="n">
        <v>45753</v>
      </c>
      <c r="B99" s="90">
        <f>IF('Daily Data'!E99="","",'Daily Data'!E99)</f>
        <v/>
      </c>
      <c r="C99" s="65" t="n">
        <v>11.92</v>
      </c>
      <c r="D99" s="94" t="n">
        <v>42454.63</v>
      </c>
      <c r="E99" s="94" t="n">
        <v>26306.8726</v>
      </c>
      <c r="F99" s="94" t="n">
        <v>316.5482</v>
      </c>
      <c r="G99" s="94" t="n"/>
      <c r="H99" s="95">
        <f>SUM($G$4:G99)</f>
        <v/>
      </c>
      <c r="I99" s="94" t="n">
        <v>1000000000</v>
      </c>
      <c r="J99" s="95">
        <f>J98-E99</f>
        <v/>
      </c>
      <c r="K99" s="94" t="n">
        <v>60000000</v>
      </c>
      <c r="L99" s="94" t="n">
        <v>19030944.23</v>
      </c>
      <c r="M99" s="94" t="n">
        <v>3000000</v>
      </c>
      <c r="N99" s="94" t="n">
        <v>199598.1305999756</v>
      </c>
      <c r="O99" s="96">
        <f>IF(OR(I99="",J99="",L99="",N99=""),"",I99-J99-K99-L99-M99-N99)</f>
        <v/>
      </c>
      <c r="P99" s="91">
        <f>IF(OR(O99="",C99=""),"",O99*C99)</f>
        <v/>
      </c>
      <c r="Q99" s="69">
        <f>Q98-E99</f>
        <v/>
      </c>
      <c r="R99" s="97">
        <f>IF(OR(J99="",Q99=""),"",J99-Q99)</f>
        <v/>
      </c>
      <c r="S99" s="69">
        <f>IF(D99="",S98,S98+D99)</f>
        <v/>
      </c>
      <c r="T99" s="97">
        <f>IF(OR(L99="",S99=""),"",L99-S99)</f>
        <v/>
      </c>
      <c r="U99" s="69">
        <f>IF(F99="",U98,U98+F99)</f>
        <v/>
      </c>
      <c r="V99" s="97">
        <f>IF(OR(N99="",U99=""),"",N99-U99)</f>
        <v/>
      </c>
      <c r="W99" s="71">
        <f>IF(OR(C99="",C99=0,'Daily Data'!J99=""),"",'Daily Data'!J99/C99)</f>
        <v/>
      </c>
      <c r="X99" s="71">
        <f>IF(OR(C99="",C99=0,'Daily Data'!K99=""),"",'Daily Data'!K99/C99)</f>
        <v/>
      </c>
      <c r="Y99" s="71">
        <f>IF(OR(F99="",W99="",X99=""),"",F99-W99-X99)</f>
        <v/>
      </c>
      <c r="Z99" s="72" t="n">
        <v>353.75</v>
      </c>
      <c r="AA99" s="72" t="n">
        <v>62.43</v>
      </c>
      <c r="AB99" s="73">
        <f>Z99+AA99</f>
        <v/>
      </c>
      <c r="AC99" s="74">
        <f>IF(OR(E99="",E99=0,AB99=""),"",E99*365/(AB99*1000000))</f>
        <v/>
      </c>
      <c r="AD99" s="98">
        <f>IF(OR(O99="",O99=0,AB99=""),"",(AB99*1000000)/O99)</f>
        <v/>
      </c>
      <c r="AE99" s="99">
        <f>IF(H99="","",(Team_Genesis-H99)/1000000)</f>
        <v/>
      </c>
      <c r="AF99" s="99">
        <f>IF(OR(O99="",AE99=""),"",(O99-AE99*1000000)/1000000)</f>
        <v/>
      </c>
    </row>
    <row r="100">
      <c r="A100" s="35" t="n">
        <v>45754</v>
      </c>
      <c r="B100" s="90">
        <f>IF('Daily Data'!E100="","",'Daily Data'!E100)</f>
        <v/>
      </c>
      <c r="C100" s="65" t="n">
        <v>10.02</v>
      </c>
      <c r="D100" s="94" t="n">
        <v>256254.02</v>
      </c>
      <c r="E100" s="94" t="n">
        <v>26316.4147</v>
      </c>
      <c r="F100" s="94" t="n">
        <v>939.6004</v>
      </c>
      <c r="G100" s="94" t="n"/>
      <c r="H100" s="95">
        <f>SUM($G$4:G100)</f>
        <v/>
      </c>
      <c r="I100" s="94" t="n">
        <v>1000000000</v>
      </c>
      <c r="J100" s="95">
        <f>J99-E100</f>
        <v/>
      </c>
      <c r="K100" s="94" t="n">
        <v>60000000</v>
      </c>
      <c r="L100" s="94" t="n">
        <v>19287198.25</v>
      </c>
      <c r="M100" s="94" t="n">
        <v>3000000</v>
      </c>
      <c r="N100" s="94" t="n">
        <v>200537.7309999466</v>
      </c>
      <c r="O100" s="96">
        <f>IF(OR(I100="",J100="",L100="",N100=""),"",I100-J100-K100-L100-M100-N100)</f>
        <v/>
      </c>
      <c r="P100" s="91">
        <f>IF(OR(O100="",C100=""),"",O100*C100)</f>
        <v/>
      </c>
      <c r="Q100" s="69">
        <f>Q99-E100</f>
        <v/>
      </c>
      <c r="R100" s="97">
        <f>IF(OR(J100="",Q100=""),"",J100-Q100)</f>
        <v/>
      </c>
      <c r="S100" s="69">
        <f>IF(D100="",S99,S99+D100)</f>
        <v/>
      </c>
      <c r="T100" s="97">
        <f>IF(OR(L100="",S100=""),"",L100-S100)</f>
        <v/>
      </c>
      <c r="U100" s="69">
        <f>IF(F100="",U99,U99+F100)</f>
        <v/>
      </c>
      <c r="V100" s="97">
        <f>IF(OR(N100="",U100=""),"",N100-U100)</f>
        <v/>
      </c>
      <c r="W100" s="71">
        <f>IF(OR(C100="",C100=0,'Daily Data'!J100=""),"",'Daily Data'!J100/C100)</f>
        <v/>
      </c>
      <c r="X100" s="71">
        <f>IF(OR(C100="",C100=0,'Daily Data'!K100=""),"",'Daily Data'!K100/C100)</f>
        <v/>
      </c>
      <c r="Y100" s="71">
        <f>IF(OR(F100="",W100="",X100=""),"",F100-W100-X100)</f>
        <v/>
      </c>
      <c r="Z100" s="72" t="n">
        <v>353.75</v>
      </c>
      <c r="AA100" s="72" t="n">
        <v>62.43</v>
      </c>
      <c r="AB100" s="73">
        <f>Z100+AA100</f>
        <v/>
      </c>
      <c r="AC100" s="74">
        <f>IF(OR(E100="",E100=0,AB100=""),"",E100*365/(AB100*1000000))</f>
        <v/>
      </c>
      <c r="AD100" s="98">
        <f>IF(OR(O100="",O100=0,AB100=""),"",(AB100*1000000)/O100)</f>
        <v/>
      </c>
      <c r="AE100" s="99">
        <f>IF(H100="","",(Team_Genesis-H100)/1000000)</f>
        <v/>
      </c>
      <c r="AF100" s="99">
        <f>IF(OR(O100="",AE100=""),"",(O100-AE100*1000000)/1000000)</f>
        <v/>
      </c>
    </row>
    <row r="101">
      <c r="A101" s="35" t="n">
        <v>45755</v>
      </c>
      <c r="B101" s="90">
        <f>IF('Daily Data'!E101="","",'Daily Data'!E101)</f>
        <v/>
      </c>
      <c r="C101" s="65" t="n">
        <v>11.61</v>
      </c>
      <c r="D101" s="94" t="n">
        <v>209565.99</v>
      </c>
      <c r="E101" s="94" t="n">
        <v>26338.7732</v>
      </c>
      <c r="F101" s="94" t="n">
        <v>2135.0213</v>
      </c>
      <c r="G101" s="94" t="n"/>
      <c r="H101" s="95">
        <f>SUM($G$4:G101)</f>
        <v/>
      </c>
      <c r="I101" s="94" t="n">
        <v>1000000000</v>
      </c>
      <c r="J101" s="95">
        <f>J100-E101</f>
        <v/>
      </c>
      <c r="K101" s="94" t="n">
        <v>60000000</v>
      </c>
      <c r="L101" s="94" t="n">
        <v>19496764.24</v>
      </c>
      <c r="M101" s="94" t="n">
        <v>3000000</v>
      </c>
      <c r="N101" s="94" t="n">
        <v>202672.752300024</v>
      </c>
      <c r="O101" s="96">
        <f>IF(OR(I101="",J101="",L101="",N101=""),"",I101-J101-K101-L101-M101-N101)</f>
        <v/>
      </c>
      <c r="P101" s="91">
        <f>IF(OR(O101="",C101=""),"",O101*C101)</f>
        <v/>
      </c>
      <c r="Q101" s="69">
        <f>Q100-E101</f>
        <v/>
      </c>
      <c r="R101" s="97">
        <f>IF(OR(J101="",Q101=""),"",J101-Q101)</f>
        <v/>
      </c>
      <c r="S101" s="69">
        <f>IF(D101="",S100,S100+D101)</f>
        <v/>
      </c>
      <c r="T101" s="97">
        <f>IF(OR(L101="",S101=""),"",L101-S101)</f>
        <v/>
      </c>
      <c r="U101" s="69">
        <f>IF(F101="",U100,U100+F101)</f>
        <v/>
      </c>
      <c r="V101" s="97">
        <f>IF(OR(N101="",U101=""),"",N101-U101)</f>
        <v/>
      </c>
      <c r="W101" s="71">
        <f>IF(OR(C101="",C101=0,'Daily Data'!J101=""),"",'Daily Data'!J101/C101)</f>
        <v/>
      </c>
      <c r="X101" s="71">
        <f>IF(OR(C101="",C101=0,'Daily Data'!K101=""),"",'Daily Data'!K101/C101)</f>
        <v/>
      </c>
      <c r="Y101" s="71">
        <f>IF(OR(F101="",W101="",X101=""),"",F101-W101-X101)</f>
        <v/>
      </c>
      <c r="Z101" s="72" t="n">
        <v>353.75</v>
      </c>
      <c r="AA101" s="72" t="n">
        <v>62.43</v>
      </c>
      <c r="AB101" s="73">
        <f>Z101+AA101</f>
        <v/>
      </c>
      <c r="AC101" s="74">
        <f>IF(OR(E101="",E101=0,AB101=""),"",E101*365/(AB101*1000000))</f>
        <v/>
      </c>
      <c r="AD101" s="98">
        <f>IF(OR(O101="",O101=0,AB101=""),"",(AB101*1000000)/O101)</f>
        <v/>
      </c>
      <c r="AE101" s="99">
        <f>IF(H101="","",(Team_Genesis-H101)/1000000)</f>
        <v/>
      </c>
      <c r="AF101" s="99">
        <f>IF(OR(O101="",AE101=""),"",(O101-AE101*1000000)/1000000)</f>
        <v/>
      </c>
    </row>
    <row r="102">
      <c r="A102" s="35" t="n">
        <v>45756</v>
      </c>
      <c r="B102" s="90">
        <f>IF('Daily Data'!E102="","",'Daily Data'!E102)</f>
        <v/>
      </c>
      <c r="C102" s="65" t="n">
        <v>11.53</v>
      </c>
      <c r="D102" s="94" t="n">
        <v>177028.08</v>
      </c>
      <c r="E102" s="94" t="n">
        <v>26379.045</v>
      </c>
      <c r="F102" s="94" t="n">
        <v>1189.0274</v>
      </c>
      <c r="G102" s="94" t="n"/>
      <c r="H102" s="95">
        <f>SUM($G$4:G102)</f>
        <v/>
      </c>
      <c r="I102" s="94" t="n">
        <v>1000000000</v>
      </c>
      <c r="J102" s="95">
        <f>J101-E102</f>
        <v/>
      </c>
      <c r="K102" s="94" t="n">
        <v>60000000</v>
      </c>
      <c r="L102" s="94" t="n">
        <v>19673792.32</v>
      </c>
      <c r="M102" s="94" t="n">
        <v>3000000</v>
      </c>
      <c r="N102" s="94" t="n">
        <v>203861.7797000408</v>
      </c>
      <c r="O102" s="96">
        <f>IF(OR(I102="",J102="",L102="",N102=""),"",I102-J102-K102-L102-M102-N102)</f>
        <v/>
      </c>
      <c r="P102" s="91">
        <f>IF(OR(O102="",C102=""),"",O102*C102)</f>
        <v/>
      </c>
      <c r="Q102" s="69">
        <f>Q101-E102</f>
        <v/>
      </c>
      <c r="R102" s="97">
        <f>IF(OR(J102="",Q102=""),"",J102-Q102)</f>
        <v/>
      </c>
      <c r="S102" s="69">
        <f>IF(D102="",S101,S101+D102)</f>
        <v/>
      </c>
      <c r="T102" s="97">
        <f>IF(OR(L102="",S102=""),"",L102-S102)</f>
        <v/>
      </c>
      <c r="U102" s="69">
        <f>IF(F102="",U101,U101+F102)</f>
        <v/>
      </c>
      <c r="V102" s="97">
        <f>IF(OR(N102="",U102=""),"",N102-U102)</f>
        <v/>
      </c>
      <c r="W102" s="71">
        <f>IF(OR(C102="",C102=0,'Daily Data'!J102=""),"",'Daily Data'!J102/C102)</f>
        <v/>
      </c>
      <c r="X102" s="71">
        <f>IF(OR(C102="",C102=0,'Daily Data'!K102=""),"",'Daily Data'!K102/C102)</f>
        <v/>
      </c>
      <c r="Y102" s="71">
        <f>IF(OR(F102="",W102="",X102=""),"",F102-W102-X102)</f>
        <v/>
      </c>
      <c r="Z102" s="72" t="n">
        <v>353.75</v>
      </c>
      <c r="AA102" s="72" t="n">
        <v>62.43</v>
      </c>
      <c r="AB102" s="73">
        <f>Z102+AA102</f>
        <v/>
      </c>
      <c r="AC102" s="74">
        <f>IF(OR(E102="",E102=0,AB102=""),"",E102*365/(AB102*1000000))</f>
        <v/>
      </c>
      <c r="AD102" s="98">
        <f>IF(OR(O102="",O102=0,AB102=""),"",(AB102*1000000)/O102)</f>
        <v/>
      </c>
      <c r="AE102" s="99">
        <f>IF(H102="","",(Team_Genesis-H102)/1000000)</f>
        <v/>
      </c>
      <c r="AF102" s="99">
        <f>IF(OR(O102="",AE102=""),"",(O102-AE102*1000000)/1000000)</f>
        <v/>
      </c>
    </row>
    <row r="103">
      <c r="A103" s="35" t="n">
        <v>45757</v>
      </c>
      <c r="B103" s="90">
        <f>IF('Daily Data'!E103="","",'Daily Data'!E103)</f>
        <v/>
      </c>
      <c r="C103" s="65" t="n">
        <v>13.53</v>
      </c>
      <c r="D103" s="94" t="n">
        <v>179849.25</v>
      </c>
      <c r="E103" s="94" t="n">
        <v>26339.0337</v>
      </c>
      <c r="F103" s="94" t="n">
        <v>2125.1637</v>
      </c>
      <c r="G103" s="94" t="n"/>
      <c r="H103" s="95">
        <f>SUM($G$4:G103)</f>
        <v/>
      </c>
      <c r="I103" s="94" t="n">
        <v>1000000000</v>
      </c>
      <c r="J103" s="95">
        <f>J102-E103</f>
        <v/>
      </c>
      <c r="K103" s="94" t="n">
        <v>60000000</v>
      </c>
      <c r="L103" s="94" t="n">
        <v>19853641.57</v>
      </c>
      <c r="M103" s="94" t="n">
        <v>3000000</v>
      </c>
      <c r="N103" s="94" t="n">
        <v>205986.9434000254</v>
      </c>
      <c r="O103" s="96">
        <f>IF(OR(I103="",J103="",L103="",N103=""),"",I103-J103-K103-L103-M103-N103)</f>
        <v/>
      </c>
      <c r="P103" s="91">
        <f>IF(OR(O103="",C103=""),"",O103*C103)</f>
        <v/>
      </c>
      <c r="Q103" s="69">
        <f>Q102-E103</f>
        <v/>
      </c>
      <c r="R103" s="97">
        <f>IF(OR(J103="",Q103=""),"",J103-Q103)</f>
        <v/>
      </c>
      <c r="S103" s="69">
        <f>IF(D103="",S102,S102+D103)</f>
        <v/>
      </c>
      <c r="T103" s="97">
        <f>IF(OR(L103="",S103=""),"",L103-S103)</f>
        <v/>
      </c>
      <c r="U103" s="69">
        <f>IF(F103="",U102,U102+F103)</f>
        <v/>
      </c>
      <c r="V103" s="97">
        <f>IF(OR(N103="",U103=""),"",N103-U103)</f>
        <v/>
      </c>
      <c r="W103" s="71">
        <f>IF(OR(C103="",C103=0,'Daily Data'!J103=""),"",'Daily Data'!J103/C103)</f>
        <v/>
      </c>
      <c r="X103" s="71">
        <f>IF(OR(C103="",C103=0,'Daily Data'!K103=""),"",'Daily Data'!K103/C103)</f>
        <v/>
      </c>
      <c r="Y103" s="71">
        <f>IF(OR(F103="",W103="",X103=""),"",F103-W103-X103)</f>
        <v/>
      </c>
      <c r="Z103" s="72" t="n">
        <v>353.75</v>
      </c>
      <c r="AA103" s="72" t="n">
        <v>62.43</v>
      </c>
      <c r="AB103" s="73">
        <f>Z103+AA103</f>
        <v/>
      </c>
      <c r="AC103" s="74">
        <f>IF(OR(E103="",E103=0,AB103=""),"",E103*365/(AB103*1000000))</f>
        <v/>
      </c>
      <c r="AD103" s="98">
        <f>IF(OR(O103="",O103=0,AB103=""),"",(AB103*1000000)/O103)</f>
        <v/>
      </c>
      <c r="AE103" s="99">
        <f>IF(H103="","",(Team_Genesis-H103)/1000000)</f>
        <v/>
      </c>
      <c r="AF103" s="99">
        <f>IF(OR(O103="",AE103=""),"",(O103-AE103*1000000)/1000000)</f>
        <v/>
      </c>
    </row>
    <row r="104">
      <c r="A104" s="35" t="n">
        <v>45758</v>
      </c>
      <c r="B104" s="90">
        <f>IF('Daily Data'!E104="","",'Daily Data'!E104)</f>
        <v/>
      </c>
      <c r="C104" s="65" t="n">
        <v>14.18</v>
      </c>
      <c r="D104" s="94" t="n">
        <v>109034.1</v>
      </c>
      <c r="E104" s="94" t="n">
        <v>26358.6189</v>
      </c>
      <c r="F104" s="94" t="n">
        <v>1005.1581</v>
      </c>
      <c r="G104" s="94" t="n"/>
      <c r="H104" s="95">
        <f>SUM($G$4:G104)</f>
        <v/>
      </c>
      <c r="I104" s="94" t="n">
        <v>1000000000</v>
      </c>
      <c r="J104" s="95">
        <f>J103-E104</f>
        <v/>
      </c>
      <c r="K104" s="94" t="n">
        <v>60000000</v>
      </c>
      <c r="L104" s="94" t="n">
        <v>19962675.67</v>
      </c>
      <c r="M104" s="94" t="n">
        <v>3000000</v>
      </c>
      <c r="N104" s="94" t="n">
        <v>206992.1015000343</v>
      </c>
      <c r="O104" s="96">
        <f>IF(OR(I104="",J104="",L104="",N104=""),"",I104-J104-K104-L104-M104-N104)</f>
        <v/>
      </c>
      <c r="P104" s="91">
        <f>IF(OR(O104="",C104=""),"",O104*C104)</f>
        <v/>
      </c>
      <c r="Q104" s="69">
        <f>Q103-E104</f>
        <v/>
      </c>
      <c r="R104" s="97">
        <f>IF(OR(J104="",Q104=""),"",J104-Q104)</f>
        <v/>
      </c>
      <c r="S104" s="69">
        <f>IF(D104="",S103,S103+D104)</f>
        <v/>
      </c>
      <c r="T104" s="97">
        <f>IF(OR(L104="",S104=""),"",L104-S104)</f>
        <v/>
      </c>
      <c r="U104" s="69">
        <f>IF(F104="",U103,U103+F104)</f>
        <v/>
      </c>
      <c r="V104" s="97">
        <f>IF(OR(N104="",U104=""),"",N104-U104)</f>
        <v/>
      </c>
      <c r="W104" s="71">
        <f>IF(OR(C104="",C104=0,'Daily Data'!J104=""),"",'Daily Data'!J104/C104)</f>
        <v/>
      </c>
      <c r="X104" s="71">
        <f>IF(OR(C104="",C104=0,'Daily Data'!K104=""),"",'Daily Data'!K104/C104)</f>
        <v/>
      </c>
      <c r="Y104" s="71">
        <f>IF(OR(F104="",W104="",X104=""),"",F104-W104-X104)</f>
        <v/>
      </c>
      <c r="Z104" s="72" t="n">
        <v>353.75</v>
      </c>
      <c r="AA104" s="72" t="n">
        <v>62.43</v>
      </c>
      <c r="AB104" s="73">
        <f>Z104+AA104</f>
        <v/>
      </c>
      <c r="AC104" s="74">
        <f>IF(OR(E104="",E104=0,AB104=""),"",E104*365/(AB104*1000000))</f>
        <v/>
      </c>
      <c r="AD104" s="98">
        <f>IF(OR(O104="",O104=0,AB104=""),"",(AB104*1000000)/O104)</f>
        <v/>
      </c>
      <c r="AE104" s="99">
        <f>IF(H104="","",(Team_Genesis-H104)/1000000)</f>
        <v/>
      </c>
      <c r="AF104" s="99">
        <f>IF(OR(O104="",AE104=""),"",(O104-AE104*1000000)/1000000)</f>
        <v/>
      </c>
    </row>
    <row r="105">
      <c r="A105" s="35" t="n">
        <v>45759</v>
      </c>
      <c r="B105" s="90">
        <f>IF('Daily Data'!E105="","",'Daily Data'!E105)</f>
        <v/>
      </c>
      <c r="C105" s="65" t="n">
        <v>15.53</v>
      </c>
      <c r="D105" s="94" t="n">
        <v>81751.52</v>
      </c>
      <c r="E105" s="94" t="n">
        <v>26323.9627</v>
      </c>
      <c r="F105" s="94" t="n">
        <v>1029.4553</v>
      </c>
      <c r="G105" s="94" t="n"/>
      <c r="H105" s="95">
        <f>SUM($G$4:G105)</f>
        <v/>
      </c>
      <c r="I105" s="94" t="n">
        <v>1000000000</v>
      </c>
      <c r="J105" s="95">
        <f>J104-E105</f>
        <v/>
      </c>
      <c r="K105" s="94" t="n">
        <v>60000000</v>
      </c>
      <c r="L105" s="94" t="n">
        <v>20044427.19</v>
      </c>
      <c r="M105" s="94" t="n">
        <v>3000000</v>
      </c>
      <c r="N105" s="94" t="n">
        <v>208021.5569000244</v>
      </c>
      <c r="O105" s="96">
        <f>IF(OR(I105="",J105="",L105="",N105=""),"",I105-J105-K105-L105-M105-N105)</f>
        <v/>
      </c>
      <c r="P105" s="91">
        <f>IF(OR(O105="",C105=""),"",O105*C105)</f>
        <v/>
      </c>
      <c r="Q105" s="69">
        <f>Q104-E105</f>
        <v/>
      </c>
      <c r="R105" s="97">
        <f>IF(OR(J105="",Q105=""),"",J105-Q105)</f>
        <v/>
      </c>
      <c r="S105" s="69">
        <f>IF(D105="",S104,S104+D105)</f>
        <v/>
      </c>
      <c r="T105" s="97">
        <f>IF(OR(L105="",S105=""),"",L105-S105)</f>
        <v/>
      </c>
      <c r="U105" s="69">
        <f>IF(F105="",U104,U104+F105)</f>
        <v/>
      </c>
      <c r="V105" s="97">
        <f>IF(OR(N105="",U105=""),"",N105-U105)</f>
        <v/>
      </c>
      <c r="W105" s="71">
        <f>IF(OR(C105="",C105=0,'Daily Data'!J105=""),"",'Daily Data'!J105/C105)</f>
        <v/>
      </c>
      <c r="X105" s="71">
        <f>IF(OR(C105="",C105=0,'Daily Data'!K105=""),"",'Daily Data'!K105/C105)</f>
        <v/>
      </c>
      <c r="Y105" s="71">
        <f>IF(OR(F105="",W105="",X105=""),"",F105-W105-X105)</f>
        <v/>
      </c>
      <c r="Z105" s="72" t="n">
        <v>353.75</v>
      </c>
      <c r="AA105" s="72" t="n">
        <v>62.43</v>
      </c>
      <c r="AB105" s="73">
        <f>Z105+AA105</f>
        <v/>
      </c>
      <c r="AC105" s="74">
        <f>IF(OR(E105="",E105=0,AB105=""),"",E105*365/(AB105*1000000))</f>
        <v/>
      </c>
      <c r="AD105" s="98">
        <f>IF(OR(O105="",O105=0,AB105=""),"",(AB105*1000000)/O105)</f>
        <v/>
      </c>
      <c r="AE105" s="99">
        <f>IF(H105="","",(Team_Genesis-H105)/1000000)</f>
        <v/>
      </c>
      <c r="AF105" s="99">
        <f>IF(OR(O105="",AE105=""),"",(O105-AE105*1000000)/1000000)</f>
        <v/>
      </c>
    </row>
    <row r="106">
      <c r="A106" s="35" t="n">
        <v>45760</v>
      </c>
      <c r="B106" s="90">
        <f>IF('Daily Data'!E106="","",'Daily Data'!E106)</f>
        <v/>
      </c>
      <c r="C106" s="65" t="n">
        <v>16.47</v>
      </c>
      <c r="D106" s="94" t="n">
        <v>69492.77</v>
      </c>
      <c r="E106" s="94" t="n">
        <v>26301.9331</v>
      </c>
      <c r="F106" s="94" t="n">
        <v>774.0534</v>
      </c>
      <c r="G106" s="94" t="n"/>
      <c r="H106" s="95">
        <f>SUM($G$4:G106)</f>
        <v/>
      </c>
      <c r="I106" s="94" t="n">
        <v>1000000000</v>
      </c>
      <c r="J106" s="95">
        <f>J105-E106</f>
        <v/>
      </c>
      <c r="K106" s="94" t="n">
        <v>60000000</v>
      </c>
      <c r="L106" s="94" t="n">
        <v>20113919.96</v>
      </c>
      <c r="M106" s="94" t="n">
        <v>3000000</v>
      </c>
      <c r="N106" s="94" t="n">
        <v>208795.6102999449</v>
      </c>
      <c r="O106" s="96">
        <f>IF(OR(I106="",J106="",L106="",N106=""),"",I106-J106-K106-L106-M106-N106)</f>
        <v/>
      </c>
      <c r="P106" s="91">
        <f>IF(OR(O106="",C106=""),"",O106*C106)</f>
        <v/>
      </c>
      <c r="Q106" s="69">
        <f>Q105-E106</f>
        <v/>
      </c>
      <c r="R106" s="97">
        <f>IF(OR(J106="",Q106=""),"",J106-Q106)</f>
        <v/>
      </c>
      <c r="S106" s="69">
        <f>IF(D106="",S105,S105+D106)</f>
        <v/>
      </c>
      <c r="T106" s="97">
        <f>IF(OR(L106="",S106=""),"",L106-S106)</f>
        <v/>
      </c>
      <c r="U106" s="69">
        <f>IF(F106="",U105,U105+F106)</f>
        <v/>
      </c>
      <c r="V106" s="97">
        <f>IF(OR(N106="",U106=""),"",N106-U106)</f>
        <v/>
      </c>
      <c r="W106" s="71">
        <f>IF(OR(C106="",C106=0,'Daily Data'!J106=""),"",'Daily Data'!J106/C106)</f>
        <v/>
      </c>
      <c r="X106" s="71">
        <f>IF(OR(C106="",C106=0,'Daily Data'!K106=""),"",'Daily Data'!K106/C106)</f>
        <v/>
      </c>
      <c r="Y106" s="71">
        <f>IF(OR(F106="",W106="",X106=""),"",F106-W106-X106)</f>
        <v/>
      </c>
      <c r="Z106" s="72" t="n">
        <v>353.75</v>
      </c>
      <c r="AA106" s="72" t="n">
        <v>62.43</v>
      </c>
      <c r="AB106" s="73">
        <f>Z106+AA106</f>
        <v/>
      </c>
      <c r="AC106" s="74">
        <f>IF(OR(E106="",E106=0,AB106=""),"",E106*365/(AB106*1000000))</f>
        <v/>
      </c>
      <c r="AD106" s="98">
        <f>IF(OR(O106="",O106=0,AB106=""),"",(AB106*1000000)/O106)</f>
        <v/>
      </c>
      <c r="AE106" s="99">
        <f>IF(H106="","",(Team_Genesis-H106)/1000000)</f>
        <v/>
      </c>
      <c r="AF106" s="99">
        <f>IF(OR(O106="",AE106=""),"",(O106-AE106*1000000)/1000000)</f>
        <v/>
      </c>
    </row>
    <row r="107">
      <c r="A107" s="35" t="n">
        <v>45761</v>
      </c>
      <c r="B107" s="90">
        <f>IF('Daily Data'!E107="","",'Daily Data'!E107)</f>
        <v/>
      </c>
      <c r="C107" s="65" t="n">
        <v>15.64</v>
      </c>
      <c r="D107" s="94" t="n">
        <v>92420.11</v>
      </c>
      <c r="E107" s="94" t="n">
        <v>26276.6359</v>
      </c>
      <c r="F107" s="94" t="n">
        <v>666.1597</v>
      </c>
      <c r="G107" s="94" t="n"/>
      <c r="H107" s="95">
        <f>SUM($G$4:G107)</f>
        <v/>
      </c>
      <c r="I107" s="94" t="n">
        <v>1000000000</v>
      </c>
      <c r="J107" s="95">
        <f>J106-E107</f>
        <v/>
      </c>
      <c r="K107" s="94" t="n">
        <v>60000000</v>
      </c>
      <c r="L107" s="94" t="n">
        <v>20206340.07</v>
      </c>
      <c r="M107" s="94" t="n">
        <v>3000000</v>
      </c>
      <c r="N107" s="94" t="n">
        <v>209461.7699999809</v>
      </c>
      <c r="O107" s="96">
        <f>IF(OR(I107="",J107="",L107="",N107=""),"",I107-J107-K107-L107-M107-N107)</f>
        <v/>
      </c>
      <c r="P107" s="91">
        <f>IF(OR(O107="",C107=""),"",O107*C107)</f>
        <v/>
      </c>
      <c r="Q107" s="69">
        <f>Q106-E107</f>
        <v/>
      </c>
      <c r="R107" s="97">
        <f>IF(OR(J107="",Q107=""),"",J107-Q107)</f>
        <v/>
      </c>
      <c r="S107" s="69">
        <f>IF(D107="",S106,S106+D107)</f>
        <v/>
      </c>
      <c r="T107" s="97">
        <f>IF(OR(L107="",S107=""),"",L107-S107)</f>
        <v/>
      </c>
      <c r="U107" s="69">
        <f>IF(F107="",U106,U106+F107)</f>
        <v/>
      </c>
      <c r="V107" s="97">
        <f>IF(OR(N107="",U107=""),"",N107-U107)</f>
        <v/>
      </c>
      <c r="W107" s="71">
        <f>IF(OR(C107="",C107=0,'Daily Data'!J107=""),"",'Daily Data'!J107/C107)</f>
        <v/>
      </c>
      <c r="X107" s="71">
        <f>IF(OR(C107="",C107=0,'Daily Data'!K107=""),"",'Daily Data'!K107/C107)</f>
        <v/>
      </c>
      <c r="Y107" s="71">
        <f>IF(OR(F107="",W107="",X107=""),"",F107-W107-X107)</f>
        <v/>
      </c>
      <c r="Z107" s="72" t="n">
        <v>353.75</v>
      </c>
      <c r="AA107" s="72" t="n">
        <v>62.43</v>
      </c>
      <c r="AB107" s="73">
        <f>Z107+AA107</f>
        <v/>
      </c>
      <c r="AC107" s="74">
        <f>IF(OR(E107="",E107=0,AB107=""),"",E107*365/(AB107*1000000))</f>
        <v/>
      </c>
      <c r="AD107" s="98">
        <f>IF(OR(O107="",O107=0,AB107=""),"",(AB107*1000000)/O107)</f>
        <v/>
      </c>
      <c r="AE107" s="99">
        <f>IF(H107="","",(Team_Genesis-H107)/1000000)</f>
        <v/>
      </c>
      <c r="AF107" s="99">
        <f>IF(OR(O107="",AE107=""),"",(O107-AE107*1000000)/1000000)</f>
        <v/>
      </c>
    </row>
    <row r="108">
      <c r="A108" s="35" t="n">
        <v>45762</v>
      </c>
      <c r="B108" s="90">
        <f>IF('Daily Data'!E108="","",'Daily Data'!E108)</f>
        <v/>
      </c>
      <c r="C108" s="65" t="n">
        <v>15.62</v>
      </c>
      <c r="D108" s="94" t="n">
        <v>83639.50999999999</v>
      </c>
      <c r="E108" s="94" t="n">
        <v>26283.8481</v>
      </c>
      <c r="F108" s="94" t="n">
        <v>636.1099</v>
      </c>
      <c r="G108" s="94" t="n"/>
      <c r="H108" s="95">
        <f>SUM($G$4:G108)</f>
        <v/>
      </c>
      <c r="I108" s="94" t="n">
        <v>1000000000</v>
      </c>
      <c r="J108" s="95">
        <f>J107-E108</f>
        <v/>
      </c>
      <c r="K108" s="94" t="n">
        <v>60000000</v>
      </c>
      <c r="L108" s="94" t="n">
        <v>20289979.58</v>
      </c>
      <c r="M108" s="94" t="n">
        <v>3000000</v>
      </c>
      <c r="N108" s="94" t="n">
        <v>210097.8798999786</v>
      </c>
      <c r="O108" s="96">
        <f>IF(OR(I108="",J108="",L108="",N108=""),"",I108-J108-K108-L108-M108-N108)</f>
        <v/>
      </c>
      <c r="P108" s="91">
        <f>IF(OR(O108="",C108=""),"",O108*C108)</f>
        <v/>
      </c>
      <c r="Q108" s="69">
        <f>Q107-E108</f>
        <v/>
      </c>
      <c r="R108" s="97">
        <f>IF(OR(J108="",Q108=""),"",J108-Q108)</f>
        <v/>
      </c>
      <c r="S108" s="69">
        <f>IF(D108="",S107,S107+D108)</f>
        <v/>
      </c>
      <c r="T108" s="97">
        <f>IF(OR(L108="",S108=""),"",L108-S108)</f>
        <v/>
      </c>
      <c r="U108" s="69">
        <f>IF(F108="",U107,U107+F108)</f>
        <v/>
      </c>
      <c r="V108" s="97">
        <f>IF(OR(N108="",U108=""),"",N108-U108)</f>
        <v/>
      </c>
      <c r="W108" s="71">
        <f>IF(OR(C108="",C108=0,'Daily Data'!J108=""),"",'Daily Data'!J108/C108)</f>
        <v/>
      </c>
      <c r="X108" s="71">
        <f>IF(OR(C108="",C108=0,'Daily Data'!K108=""),"",'Daily Data'!K108/C108)</f>
        <v/>
      </c>
      <c r="Y108" s="71">
        <f>IF(OR(F108="",W108="",X108=""),"",F108-W108-X108)</f>
        <v/>
      </c>
      <c r="Z108" s="72" t="n">
        <v>353.75</v>
      </c>
      <c r="AA108" s="72" t="n">
        <v>62.43</v>
      </c>
      <c r="AB108" s="73">
        <f>Z108+AA108</f>
        <v/>
      </c>
      <c r="AC108" s="74">
        <f>IF(OR(E108="",E108=0,AB108=""),"",E108*365/(AB108*1000000))</f>
        <v/>
      </c>
      <c r="AD108" s="98">
        <f>IF(OR(O108="",O108=0,AB108=""),"",(AB108*1000000)/O108)</f>
        <v/>
      </c>
      <c r="AE108" s="99">
        <f>IF(H108="","",(Team_Genesis-H108)/1000000)</f>
        <v/>
      </c>
      <c r="AF108" s="99">
        <f>IF(OR(O108="",AE108=""),"",(O108-AE108*1000000)/1000000)</f>
        <v/>
      </c>
    </row>
    <row r="109">
      <c r="A109" s="35" t="n">
        <v>45763</v>
      </c>
      <c r="B109" s="90">
        <f>IF('Daily Data'!E109="","",'Daily Data'!E109)</f>
        <v/>
      </c>
      <c r="C109" s="65" t="n">
        <v>15.01</v>
      </c>
      <c r="D109" s="94" t="n">
        <v>81538.27</v>
      </c>
      <c r="E109" s="94" t="n">
        <v>26320.225</v>
      </c>
      <c r="F109" s="94" t="n">
        <v>567.9891</v>
      </c>
      <c r="G109" s="94" t="n"/>
      <c r="H109" s="95">
        <f>SUM($G$4:G109)</f>
        <v/>
      </c>
      <c r="I109" s="94" t="n">
        <v>1000000000</v>
      </c>
      <c r="J109" s="95">
        <f>J108-E109</f>
        <v/>
      </c>
      <c r="K109" s="94" t="n">
        <v>60000000</v>
      </c>
      <c r="L109" s="94" t="n">
        <v>20371517.85</v>
      </c>
      <c r="M109" s="94" t="n">
        <v>3000000</v>
      </c>
      <c r="N109" s="94" t="n">
        <v>210665.868999958</v>
      </c>
      <c r="O109" s="96">
        <f>IF(OR(I109="",J109="",L109="",N109=""),"",I109-J109-K109-L109-M109-N109)</f>
        <v/>
      </c>
      <c r="P109" s="91">
        <f>IF(OR(O109="",C109=""),"",O109*C109)</f>
        <v/>
      </c>
      <c r="Q109" s="69">
        <f>Q108-E109</f>
        <v/>
      </c>
      <c r="R109" s="97">
        <f>IF(OR(J109="",Q109=""),"",J109-Q109)</f>
        <v/>
      </c>
      <c r="S109" s="69">
        <f>IF(D109="",S108,S108+D109)</f>
        <v/>
      </c>
      <c r="T109" s="97">
        <f>IF(OR(L109="",S109=""),"",L109-S109)</f>
        <v/>
      </c>
      <c r="U109" s="69">
        <f>IF(F109="",U108,U108+F109)</f>
        <v/>
      </c>
      <c r="V109" s="97">
        <f>IF(OR(N109="",U109=""),"",N109-U109)</f>
        <v/>
      </c>
      <c r="W109" s="71">
        <f>IF(OR(C109="",C109=0,'Daily Data'!J109=""),"",'Daily Data'!J109/C109)</f>
        <v/>
      </c>
      <c r="X109" s="71">
        <f>IF(OR(C109="",C109=0,'Daily Data'!K109=""),"",'Daily Data'!K109/C109)</f>
        <v/>
      </c>
      <c r="Y109" s="71">
        <f>IF(OR(F109="",W109="",X109=""),"",F109-W109-X109)</f>
        <v/>
      </c>
      <c r="Z109" s="72" t="n">
        <v>353.75</v>
      </c>
      <c r="AA109" s="72" t="n">
        <v>62.43</v>
      </c>
      <c r="AB109" s="73">
        <f>Z109+AA109</f>
        <v/>
      </c>
      <c r="AC109" s="74">
        <f>IF(OR(E109="",E109=0,AB109=""),"",E109*365/(AB109*1000000))</f>
        <v/>
      </c>
      <c r="AD109" s="98">
        <f>IF(OR(O109="",O109=0,AB109=""),"",(AB109*1000000)/O109)</f>
        <v/>
      </c>
      <c r="AE109" s="99">
        <f>IF(H109="","",(Team_Genesis-H109)/1000000)</f>
        <v/>
      </c>
      <c r="AF109" s="99">
        <f>IF(OR(O109="",AE109=""),"",(O109-AE109*1000000)/1000000)</f>
        <v/>
      </c>
    </row>
    <row r="110">
      <c r="A110" s="35" t="n">
        <v>45764</v>
      </c>
      <c r="B110" s="90">
        <f>IF('Daily Data'!E110="","",'Daily Data'!E110)</f>
        <v/>
      </c>
      <c r="C110" s="65" t="n">
        <v>15.7</v>
      </c>
      <c r="D110" s="94" t="n">
        <v>88253.77</v>
      </c>
      <c r="E110" s="94" t="n">
        <v>26296.1442</v>
      </c>
      <c r="F110" s="94" t="n">
        <v>643.2034</v>
      </c>
      <c r="G110" s="94" t="n"/>
      <c r="H110" s="95">
        <f>SUM($G$4:G110)</f>
        <v/>
      </c>
      <c r="I110" s="94" t="n">
        <v>1000000000</v>
      </c>
      <c r="J110" s="95">
        <f>J109-E110</f>
        <v/>
      </c>
      <c r="K110" s="94" t="n">
        <v>60000000</v>
      </c>
      <c r="L110" s="94" t="n">
        <v>20459771.62</v>
      </c>
      <c r="M110" s="94" t="n">
        <v>3000000</v>
      </c>
      <c r="N110" s="94" t="n">
        <v>211309.0722999573</v>
      </c>
      <c r="O110" s="96">
        <f>IF(OR(I110="",J110="",L110="",N110=""),"",I110-J110-K110-L110-M110-N110)</f>
        <v/>
      </c>
      <c r="P110" s="91">
        <f>IF(OR(O110="",C110=""),"",O110*C110)</f>
        <v/>
      </c>
      <c r="Q110" s="69">
        <f>Q109-E110</f>
        <v/>
      </c>
      <c r="R110" s="97">
        <f>IF(OR(J110="",Q110=""),"",J110-Q110)</f>
        <v/>
      </c>
      <c r="S110" s="69">
        <f>IF(D110="",S109,S109+D110)</f>
        <v/>
      </c>
      <c r="T110" s="97">
        <f>IF(OR(L110="",S110=""),"",L110-S110)</f>
        <v/>
      </c>
      <c r="U110" s="69">
        <f>IF(F110="",U109,U109+F110)</f>
        <v/>
      </c>
      <c r="V110" s="97">
        <f>IF(OR(N110="",U110=""),"",N110-U110)</f>
        <v/>
      </c>
      <c r="W110" s="71">
        <f>IF(OR(C110="",C110=0,'Daily Data'!J110=""),"",'Daily Data'!J110/C110)</f>
        <v/>
      </c>
      <c r="X110" s="71">
        <f>IF(OR(C110="",C110=0,'Daily Data'!K110=""),"",'Daily Data'!K110/C110)</f>
        <v/>
      </c>
      <c r="Y110" s="71">
        <f>IF(OR(F110="",W110="",X110=""),"",F110-W110-X110)</f>
        <v/>
      </c>
      <c r="Z110" s="72" t="n">
        <v>353.75</v>
      </c>
      <c r="AA110" s="72" t="n">
        <v>62.43</v>
      </c>
      <c r="AB110" s="73">
        <f>Z110+AA110</f>
        <v/>
      </c>
      <c r="AC110" s="74">
        <f>IF(OR(E110="",E110=0,AB110=""),"",E110*365/(AB110*1000000))</f>
        <v/>
      </c>
      <c r="AD110" s="98">
        <f>IF(OR(O110="",O110=0,AB110=""),"",(AB110*1000000)/O110)</f>
        <v/>
      </c>
      <c r="AE110" s="99">
        <f>IF(H110="","",(Team_Genesis-H110)/1000000)</f>
        <v/>
      </c>
      <c r="AF110" s="99">
        <f>IF(OR(O110="",AE110=""),"",(O110-AE110*1000000)/1000000)</f>
        <v/>
      </c>
    </row>
    <row r="111">
      <c r="A111" s="35" t="n">
        <v>45765</v>
      </c>
      <c r="B111" s="90">
        <f>IF('Daily Data'!E111="","",'Daily Data'!E111)</f>
        <v/>
      </c>
      <c r="C111" s="65" t="n">
        <v>17.15</v>
      </c>
      <c r="D111" s="94" t="n">
        <v>52023.07</v>
      </c>
      <c r="E111" s="94" t="n">
        <v>26303.0308</v>
      </c>
      <c r="F111" s="94" t="n">
        <v>940.704</v>
      </c>
      <c r="G111" s="94" t="n"/>
      <c r="H111" s="95">
        <f>SUM($G$4:G111)</f>
        <v/>
      </c>
      <c r="I111" s="94" t="n">
        <v>1000000000</v>
      </c>
      <c r="J111" s="95">
        <f>J110-E111</f>
        <v/>
      </c>
      <c r="K111" s="94" t="n">
        <v>60000000</v>
      </c>
      <c r="L111" s="94" t="n">
        <v>20511794.69</v>
      </c>
      <c r="M111" s="94" t="n">
        <v>3000000</v>
      </c>
      <c r="N111" s="94" t="n">
        <v>212249.7763999701</v>
      </c>
      <c r="O111" s="96">
        <f>IF(OR(I111="",J111="",L111="",N111=""),"",I111-J111-K111-L111-M111-N111)</f>
        <v/>
      </c>
      <c r="P111" s="91">
        <f>IF(OR(O111="",C111=""),"",O111*C111)</f>
        <v/>
      </c>
      <c r="Q111" s="69">
        <f>Q110-E111</f>
        <v/>
      </c>
      <c r="R111" s="97">
        <f>IF(OR(J111="",Q111=""),"",J111-Q111)</f>
        <v/>
      </c>
      <c r="S111" s="69">
        <f>IF(D111="",S110,S110+D111)</f>
        <v/>
      </c>
      <c r="T111" s="97">
        <f>IF(OR(L111="",S111=""),"",L111-S111)</f>
        <v/>
      </c>
      <c r="U111" s="69">
        <f>IF(F111="",U110,U110+F111)</f>
        <v/>
      </c>
      <c r="V111" s="97">
        <f>IF(OR(N111="",U111=""),"",N111-U111)</f>
        <v/>
      </c>
      <c r="W111" s="71">
        <f>IF(OR(C111="",C111=0,'Daily Data'!J111=""),"",'Daily Data'!J111/C111)</f>
        <v/>
      </c>
      <c r="X111" s="71">
        <f>IF(OR(C111="",C111=0,'Daily Data'!K111=""),"",'Daily Data'!K111/C111)</f>
        <v/>
      </c>
      <c r="Y111" s="71">
        <f>IF(OR(F111="",W111="",X111=""),"",F111-W111-X111)</f>
        <v/>
      </c>
      <c r="Z111" s="72" t="n">
        <v>353.75</v>
      </c>
      <c r="AA111" s="72" t="n">
        <v>62.43</v>
      </c>
      <c r="AB111" s="73">
        <f>Z111+AA111</f>
        <v/>
      </c>
      <c r="AC111" s="74">
        <f>IF(OR(E111="",E111=0,AB111=""),"",E111*365/(AB111*1000000))</f>
        <v/>
      </c>
      <c r="AD111" s="98">
        <f>IF(OR(O111="",O111=0,AB111=""),"",(AB111*1000000)/O111)</f>
        <v/>
      </c>
      <c r="AE111" s="99">
        <f>IF(H111="","",(Team_Genesis-H111)/1000000)</f>
        <v/>
      </c>
      <c r="AF111" s="99">
        <f>IF(OR(O111="",AE111=""),"",(O111-AE111*1000000)/1000000)</f>
        <v/>
      </c>
    </row>
    <row r="112">
      <c r="A112" s="35" t="n">
        <v>45766</v>
      </c>
      <c r="B112" s="90">
        <f>IF('Daily Data'!E112="","",'Daily Data'!E112)</f>
        <v/>
      </c>
      <c r="C112" s="65" t="n">
        <v>16.92</v>
      </c>
      <c r="D112" s="94" t="n">
        <v>31600.29</v>
      </c>
      <c r="E112" s="94" t="n">
        <v>26285.6979</v>
      </c>
      <c r="F112" s="94" t="n">
        <v>520.8593</v>
      </c>
      <c r="G112" s="94" t="n"/>
      <c r="H112" s="95">
        <f>SUM($G$4:G112)</f>
        <v/>
      </c>
      <c r="I112" s="94" t="n">
        <v>1000000000</v>
      </c>
      <c r="J112" s="95">
        <f>J111-E112</f>
        <v/>
      </c>
      <c r="K112" s="94" t="n">
        <v>60000000</v>
      </c>
      <c r="L112" s="94" t="n">
        <v>20543394.98</v>
      </c>
      <c r="M112" s="94" t="n">
        <v>3000000</v>
      </c>
      <c r="N112" s="94" t="n">
        <v>212770.6356999874</v>
      </c>
      <c r="O112" s="96">
        <f>IF(OR(I112="",J112="",L112="",N112=""),"",I112-J112-K112-L112-M112-N112)</f>
        <v/>
      </c>
      <c r="P112" s="91">
        <f>IF(OR(O112="",C112=""),"",O112*C112)</f>
        <v/>
      </c>
      <c r="Q112" s="69">
        <f>Q111-E112</f>
        <v/>
      </c>
      <c r="R112" s="97">
        <f>IF(OR(J112="",Q112=""),"",J112-Q112)</f>
        <v/>
      </c>
      <c r="S112" s="69">
        <f>IF(D112="",S111,S111+D112)</f>
        <v/>
      </c>
      <c r="T112" s="97">
        <f>IF(OR(L112="",S112=""),"",L112-S112)</f>
        <v/>
      </c>
      <c r="U112" s="69">
        <f>IF(F112="",U111,U111+F112)</f>
        <v/>
      </c>
      <c r="V112" s="97">
        <f>IF(OR(N112="",U112=""),"",N112-U112)</f>
        <v/>
      </c>
      <c r="W112" s="71">
        <f>IF(OR(C112="",C112=0,'Daily Data'!J112=""),"",'Daily Data'!J112/C112)</f>
        <v/>
      </c>
      <c r="X112" s="71">
        <f>IF(OR(C112="",C112=0,'Daily Data'!K112=""),"",'Daily Data'!K112/C112)</f>
        <v/>
      </c>
      <c r="Y112" s="71">
        <f>IF(OR(F112="",W112="",X112=""),"",F112-W112-X112)</f>
        <v/>
      </c>
      <c r="Z112" s="72" t="n">
        <v>353.75</v>
      </c>
      <c r="AA112" s="72" t="n">
        <v>62.43</v>
      </c>
      <c r="AB112" s="73">
        <f>Z112+AA112</f>
        <v/>
      </c>
      <c r="AC112" s="74">
        <f>IF(OR(E112="",E112=0,AB112=""),"",E112*365/(AB112*1000000))</f>
        <v/>
      </c>
      <c r="AD112" s="98">
        <f>IF(OR(O112="",O112=0,AB112=""),"",(AB112*1000000)/O112)</f>
        <v/>
      </c>
      <c r="AE112" s="99">
        <f>IF(H112="","",(Team_Genesis-H112)/1000000)</f>
        <v/>
      </c>
      <c r="AF112" s="99">
        <f>IF(OR(O112="",AE112=""),"",(O112-AE112*1000000)/1000000)</f>
        <v/>
      </c>
    </row>
    <row r="113">
      <c r="A113" s="35" t="n">
        <v>45767</v>
      </c>
      <c r="B113" s="90">
        <f>IF('Daily Data'!E113="","",'Daily Data'!E113)</f>
        <v/>
      </c>
      <c r="C113" s="65" t="n">
        <v>18.08</v>
      </c>
      <c r="D113" s="94" t="n">
        <v>28426.6</v>
      </c>
      <c r="E113" s="94" t="n">
        <v>26264.1199</v>
      </c>
      <c r="F113" s="94" t="n">
        <v>529.2375</v>
      </c>
      <c r="G113" s="94" t="n"/>
      <c r="H113" s="95">
        <f>SUM($G$4:G113)</f>
        <v/>
      </c>
      <c r="I113" s="94" t="n">
        <v>1000000000</v>
      </c>
      <c r="J113" s="95">
        <f>J112-E113</f>
        <v/>
      </c>
      <c r="K113" s="94" t="n">
        <v>60000000</v>
      </c>
      <c r="L113" s="94" t="n">
        <v>20571821.58</v>
      </c>
      <c r="M113" s="94" t="n">
        <v>3000000</v>
      </c>
      <c r="N113" s="94" t="n">
        <v>213299.8732000589</v>
      </c>
      <c r="O113" s="96">
        <f>IF(OR(I113="",J113="",L113="",N113=""),"",I113-J113-K113-L113-M113-N113)</f>
        <v/>
      </c>
      <c r="P113" s="91">
        <f>IF(OR(O113="",C113=""),"",O113*C113)</f>
        <v/>
      </c>
      <c r="Q113" s="69">
        <f>Q112-E113</f>
        <v/>
      </c>
      <c r="R113" s="97">
        <f>IF(OR(J113="",Q113=""),"",J113-Q113)</f>
        <v/>
      </c>
      <c r="S113" s="69">
        <f>IF(D113="",S112,S112+D113)</f>
        <v/>
      </c>
      <c r="T113" s="97">
        <f>IF(OR(L113="",S113=""),"",L113-S113)</f>
        <v/>
      </c>
      <c r="U113" s="69">
        <f>IF(F113="",U112,U112+F113)</f>
        <v/>
      </c>
      <c r="V113" s="97">
        <f>IF(OR(N113="",U113=""),"",N113-U113)</f>
        <v/>
      </c>
      <c r="W113" s="71">
        <f>IF(OR(C113="",C113=0,'Daily Data'!J113=""),"",'Daily Data'!J113/C113)</f>
        <v/>
      </c>
      <c r="X113" s="71">
        <f>IF(OR(C113="",C113=0,'Daily Data'!K113=""),"",'Daily Data'!K113/C113)</f>
        <v/>
      </c>
      <c r="Y113" s="71">
        <f>IF(OR(F113="",W113="",X113=""),"",F113-W113-X113)</f>
        <v/>
      </c>
      <c r="Z113" s="72" t="n">
        <v>353.75</v>
      </c>
      <c r="AA113" s="72" t="n">
        <v>62.43</v>
      </c>
      <c r="AB113" s="73">
        <f>Z113+AA113</f>
        <v/>
      </c>
      <c r="AC113" s="74">
        <f>IF(OR(E113="",E113=0,AB113=""),"",E113*365/(AB113*1000000))</f>
        <v/>
      </c>
      <c r="AD113" s="98">
        <f>IF(OR(O113="",O113=0,AB113=""),"",(AB113*1000000)/O113)</f>
        <v/>
      </c>
      <c r="AE113" s="99">
        <f>IF(H113="","",(Team_Genesis-H113)/1000000)</f>
        <v/>
      </c>
      <c r="AF113" s="99">
        <f>IF(OR(O113="",AE113=""),"",(O113-AE113*1000000)/1000000)</f>
        <v/>
      </c>
    </row>
    <row r="114">
      <c r="A114" s="35" t="n">
        <v>45768</v>
      </c>
      <c r="B114" s="90">
        <f>IF('Daily Data'!E114="","",'Daily Data'!E114)</f>
        <v/>
      </c>
      <c r="C114" s="65" t="n">
        <v>17.66</v>
      </c>
      <c r="D114" s="94" t="n">
        <v>52255.23</v>
      </c>
      <c r="E114" s="94" t="n">
        <v>26218.992</v>
      </c>
      <c r="F114" s="94" t="n">
        <v>410.4167</v>
      </c>
      <c r="G114" s="94" t="n"/>
      <c r="H114" s="95">
        <f>SUM($G$4:G114)</f>
        <v/>
      </c>
      <c r="I114" s="94" t="n">
        <v>1000000000</v>
      </c>
      <c r="J114" s="95">
        <f>J113-E114</f>
        <v/>
      </c>
      <c r="K114" s="94" t="n">
        <v>60000000</v>
      </c>
      <c r="L114" s="94" t="n">
        <v>20624076.81</v>
      </c>
      <c r="M114" s="94" t="n">
        <v>3000000</v>
      </c>
      <c r="N114" s="94" t="n">
        <v>213710.2898999453</v>
      </c>
      <c r="O114" s="96">
        <f>IF(OR(I114="",J114="",L114="",N114=""),"",I114-J114-K114-L114-M114-N114)</f>
        <v/>
      </c>
      <c r="P114" s="91">
        <f>IF(OR(O114="",C114=""),"",O114*C114)</f>
        <v/>
      </c>
      <c r="Q114" s="69">
        <f>Q113-E114</f>
        <v/>
      </c>
      <c r="R114" s="97">
        <f>IF(OR(J114="",Q114=""),"",J114-Q114)</f>
        <v/>
      </c>
      <c r="S114" s="69">
        <f>IF(D114="",S113,S113+D114)</f>
        <v/>
      </c>
      <c r="T114" s="97">
        <f>IF(OR(L114="",S114=""),"",L114-S114)</f>
        <v/>
      </c>
      <c r="U114" s="69">
        <f>IF(F114="",U113,U113+F114)</f>
        <v/>
      </c>
      <c r="V114" s="97">
        <f>IF(OR(N114="",U114=""),"",N114-U114)</f>
        <v/>
      </c>
      <c r="W114" s="71">
        <f>IF(OR(C114="",C114=0,'Daily Data'!J114=""),"",'Daily Data'!J114/C114)</f>
        <v/>
      </c>
      <c r="X114" s="71">
        <f>IF(OR(C114="",C114=0,'Daily Data'!K114=""),"",'Daily Data'!K114/C114)</f>
        <v/>
      </c>
      <c r="Y114" s="71">
        <f>IF(OR(F114="",W114="",X114=""),"",F114-W114-X114)</f>
        <v/>
      </c>
      <c r="Z114" s="72" t="n">
        <v>353.75</v>
      </c>
      <c r="AA114" s="72" t="n">
        <v>62.43</v>
      </c>
      <c r="AB114" s="73">
        <f>Z114+AA114</f>
        <v/>
      </c>
      <c r="AC114" s="74">
        <f>IF(OR(E114="",E114=0,AB114=""),"",E114*365/(AB114*1000000))</f>
        <v/>
      </c>
      <c r="AD114" s="98">
        <f>IF(OR(O114="",O114=0,AB114=""),"",(AB114*1000000)/O114)</f>
        <v/>
      </c>
      <c r="AE114" s="99">
        <f>IF(H114="","",(Team_Genesis-H114)/1000000)</f>
        <v/>
      </c>
      <c r="AF114" s="99">
        <f>IF(OR(O114="",AE114=""),"",(O114-AE114*1000000)/1000000)</f>
        <v/>
      </c>
    </row>
    <row r="115">
      <c r="A115" s="35" t="n">
        <v>45769</v>
      </c>
      <c r="B115" s="90">
        <f>IF('Daily Data'!E115="","",'Daily Data'!E115)</f>
        <v/>
      </c>
      <c r="C115" s="65" t="n">
        <v>18.09</v>
      </c>
      <c r="D115" s="94" t="n">
        <v>76482.66</v>
      </c>
      <c r="E115" s="94" t="n">
        <v>26258.8912</v>
      </c>
      <c r="F115" s="94" t="n">
        <v>648.3471</v>
      </c>
      <c r="G115" s="94" t="n"/>
      <c r="H115" s="95">
        <f>SUM($G$4:G115)</f>
        <v/>
      </c>
      <c r="I115" s="94" t="n">
        <v>1000000000</v>
      </c>
      <c r="J115" s="95">
        <f>J114-E115</f>
        <v/>
      </c>
      <c r="K115" s="94" t="n">
        <v>60000000</v>
      </c>
      <c r="L115" s="94" t="n">
        <v>20700559.47</v>
      </c>
      <c r="M115" s="94" t="n">
        <v>3000000</v>
      </c>
      <c r="N115" s="94" t="n">
        <v>214358.6368999481</v>
      </c>
      <c r="O115" s="96">
        <f>IF(OR(I115="",J115="",L115="",N115=""),"",I115-J115-K115-L115-M115-N115)</f>
        <v/>
      </c>
      <c r="P115" s="91">
        <f>IF(OR(O115="",C115=""),"",O115*C115)</f>
        <v/>
      </c>
      <c r="Q115" s="69">
        <f>Q114-E115</f>
        <v/>
      </c>
      <c r="R115" s="97">
        <f>IF(OR(J115="",Q115=""),"",J115-Q115)</f>
        <v/>
      </c>
      <c r="S115" s="69">
        <f>IF(D115="",S114,S114+D115)</f>
        <v/>
      </c>
      <c r="T115" s="97">
        <f>IF(OR(L115="",S115=""),"",L115-S115)</f>
        <v/>
      </c>
      <c r="U115" s="69">
        <f>IF(F115="",U114,U114+F115)</f>
        <v/>
      </c>
      <c r="V115" s="97">
        <f>IF(OR(N115="",U115=""),"",N115-U115)</f>
        <v/>
      </c>
      <c r="W115" s="71">
        <f>IF(OR(C115="",C115=0,'Daily Data'!J115=""),"",'Daily Data'!J115/C115)</f>
        <v/>
      </c>
      <c r="X115" s="71">
        <f>IF(OR(C115="",C115=0,'Daily Data'!K115=""),"",'Daily Data'!K115/C115)</f>
        <v/>
      </c>
      <c r="Y115" s="71">
        <f>IF(OR(F115="",W115="",X115=""),"",F115-W115-X115)</f>
        <v/>
      </c>
      <c r="Z115" s="72" t="n">
        <v>353.75</v>
      </c>
      <c r="AA115" s="72" t="n">
        <v>62.43</v>
      </c>
      <c r="AB115" s="73">
        <f>Z115+AA115</f>
        <v/>
      </c>
      <c r="AC115" s="74">
        <f>IF(OR(E115="",E115=0,AB115=""),"",E115*365/(AB115*1000000))</f>
        <v/>
      </c>
      <c r="AD115" s="98">
        <f>IF(OR(O115="",O115=0,AB115=""),"",(AB115*1000000)/O115)</f>
        <v/>
      </c>
      <c r="AE115" s="99">
        <f>IF(H115="","",(Team_Genesis-H115)/1000000)</f>
        <v/>
      </c>
      <c r="AF115" s="99">
        <f>IF(OR(O115="",AE115=""),"",(O115-AE115*1000000)/1000000)</f>
        <v/>
      </c>
    </row>
    <row r="116">
      <c r="A116" s="35" t="n">
        <v>45770</v>
      </c>
      <c r="B116" s="90">
        <f>IF('Daily Data'!E116="","",'Daily Data'!E116)</f>
        <v/>
      </c>
      <c r="C116" s="65" t="n">
        <v>19.11</v>
      </c>
      <c r="D116" s="94" t="n">
        <v>120992.35</v>
      </c>
      <c r="E116" s="94" t="n">
        <v>26217.4408</v>
      </c>
      <c r="F116" s="94" t="n">
        <v>708.6571</v>
      </c>
      <c r="G116" s="94" t="n"/>
      <c r="H116" s="95">
        <f>SUM($G$4:G116)</f>
        <v/>
      </c>
      <c r="I116" s="94" t="n">
        <v>1000000000</v>
      </c>
      <c r="J116" s="95">
        <f>J115-E116</f>
        <v/>
      </c>
      <c r="K116" s="94" t="n">
        <v>60000000</v>
      </c>
      <c r="L116" s="94" t="n">
        <v>20821551.82</v>
      </c>
      <c r="M116" s="94" t="n">
        <v>3000000</v>
      </c>
      <c r="N116" s="94" t="n">
        <v>215067.2940000296</v>
      </c>
      <c r="O116" s="96">
        <f>IF(OR(I116="",J116="",L116="",N116=""),"",I116-J116-K116-L116-M116-N116)</f>
        <v/>
      </c>
      <c r="P116" s="91">
        <f>IF(OR(O116="",C116=""),"",O116*C116)</f>
        <v/>
      </c>
      <c r="Q116" s="69">
        <f>Q115-E116</f>
        <v/>
      </c>
      <c r="R116" s="97">
        <f>IF(OR(J116="",Q116=""),"",J116-Q116)</f>
        <v/>
      </c>
      <c r="S116" s="69">
        <f>IF(D116="",S115,S115+D116)</f>
        <v/>
      </c>
      <c r="T116" s="97">
        <f>IF(OR(L116="",S116=""),"",L116-S116)</f>
        <v/>
      </c>
      <c r="U116" s="69">
        <f>IF(F116="",U115,U115+F116)</f>
        <v/>
      </c>
      <c r="V116" s="97">
        <f>IF(OR(N116="",U116=""),"",N116-U116)</f>
        <v/>
      </c>
      <c r="W116" s="71">
        <f>IF(OR(C116="",C116=0,'Daily Data'!J116=""),"",'Daily Data'!J116/C116)</f>
        <v/>
      </c>
      <c r="X116" s="71">
        <f>IF(OR(C116="",C116=0,'Daily Data'!K116=""),"",'Daily Data'!K116/C116)</f>
        <v/>
      </c>
      <c r="Y116" s="71">
        <f>IF(OR(F116="",W116="",X116=""),"",F116-W116-X116)</f>
        <v/>
      </c>
      <c r="Z116" s="72" t="n">
        <v>353.75</v>
      </c>
      <c r="AA116" s="72" t="n">
        <v>62.43</v>
      </c>
      <c r="AB116" s="73">
        <f>Z116+AA116</f>
        <v/>
      </c>
      <c r="AC116" s="74">
        <f>IF(OR(E116="",E116=0,AB116=""),"",E116*365/(AB116*1000000))</f>
        <v/>
      </c>
      <c r="AD116" s="98">
        <f>IF(OR(O116="",O116=0,AB116=""),"",(AB116*1000000)/O116)</f>
        <v/>
      </c>
      <c r="AE116" s="99">
        <f>IF(H116="","",(Team_Genesis-H116)/1000000)</f>
        <v/>
      </c>
      <c r="AF116" s="99">
        <f>IF(OR(O116="",AE116=""),"",(O116-AE116*1000000)/1000000)</f>
        <v/>
      </c>
    </row>
    <row r="117">
      <c r="A117" s="35" t="n">
        <v>45771</v>
      </c>
      <c r="B117" s="90">
        <f>IF('Daily Data'!E117="","",'Daily Data'!E117)</f>
        <v/>
      </c>
      <c r="C117" s="65" t="n">
        <v>18.32</v>
      </c>
      <c r="D117" s="94" t="n">
        <v>96372.78</v>
      </c>
      <c r="E117" s="94" t="n">
        <v>26193.1501</v>
      </c>
      <c r="F117" s="94" t="n">
        <v>671.4738</v>
      </c>
      <c r="G117" s="94" t="n"/>
      <c r="H117" s="95">
        <f>SUM($G$4:G117)</f>
        <v/>
      </c>
      <c r="I117" s="94" t="n">
        <v>1000000000</v>
      </c>
      <c r="J117" s="95">
        <f>J116-E117</f>
        <v/>
      </c>
      <c r="K117" s="94" t="n">
        <v>60000000</v>
      </c>
      <c r="L117" s="94" t="n">
        <v>20917924.6</v>
      </c>
      <c r="M117" s="94" t="n">
        <v>3000000</v>
      </c>
      <c r="N117" s="94" t="n">
        <v>215738.7677999735</v>
      </c>
      <c r="O117" s="96">
        <f>IF(OR(I117="",J117="",L117="",N117=""),"",I117-J117-K117-L117-M117-N117)</f>
        <v/>
      </c>
      <c r="P117" s="91">
        <f>IF(OR(O117="",C117=""),"",O117*C117)</f>
        <v/>
      </c>
      <c r="Q117" s="69">
        <f>Q116-E117</f>
        <v/>
      </c>
      <c r="R117" s="97">
        <f>IF(OR(J117="",Q117=""),"",J117-Q117)</f>
        <v/>
      </c>
      <c r="S117" s="69">
        <f>IF(D117="",S116,S116+D117)</f>
        <v/>
      </c>
      <c r="T117" s="97">
        <f>IF(OR(L117="",S117=""),"",L117-S117)</f>
        <v/>
      </c>
      <c r="U117" s="69">
        <f>IF(F117="",U116,U116+F117)</f>
        <v/>
      </c>
      <c r="V117" s="97">
        <f>IF(OR(N117="",U117=""),"",N117-U117)</f>
        <v/>
      </c>
      <c r="W117" s="71">
        <f>IF(OR(C117="",C117=0,'Daily Data'!J117=""),"",'Daily Data'!J117/C117)</f>
        <v/>
      </c>
      <c r="X117" s="71">
        <f>IF(OR(C117="",C117=0,'Daily Data'!K117=""),"",'Daily Data'!K117/C117)</f>
        <v/>
      </c>
      <c r="Y117" s="71">
        <f>IF(OR(F117="",W117="",X117=""),"",F117-W117-X117)</f>
        <v/>
      </c>
      <c r="Z117" s="72" t="n">
        <v>353.75</v>
      </c>
      <c r="AA117" s="72" t="n">
        <v>62.43</v>
      </c>
      <c r="AB117" s="73">
        <f>Z117+AA117</f>
        <v/>
      </c>
      <c r="AC117" s="74">
        <f>IF(OR(E117="",E117=0,AB117=""),"",E117*365/(AB117*1000000))</f>
        <v/>
      </c>
      <c r="AD117" s="98">
        <f>IF(OR(O117="",O117=0,AB117=""),"",(AB117*1000000)/O117)</f>
        <v/>
      </c>
      <c r="AE117" s="99">
        <f>IF(H117="","",(Team_Genesis-H117)/1000000)</f>
        <v/>
      </c>
      <c r="AF117" s="99">
        <f>IF(OR(O117="",AE117=""),"",(O117-AE117*1000000)/1000000)</f>
        <v/>
      </c>
    </row>
    <row r="118">
      <c r="A118" s="35" t="n">
        <v>45772</v>
      </c>
      <c r="B118" s="90">
        <f>IF('Daily Data'!E118="","",'Daily Data'!E118)</f>
        <v/>
      </c>
      <c r="C118" s="65" t="n">
        <v>18.93</v>
      </c>
      <c r="D118" s="94" t="n">
        <v>69908.78999999999</v>
      </c>
      <c r="E118" s="94" t="n">
        <v>26180.0593</v>
      </c>
      <c r="F118" s="94" t="n">
        <v>486.2935</v>
      </c>
      <c r="G118" s="94" t="n"/>
      <c r="H118" s="95">
        <f>SUM($G$4:G118)</f>
        <v/>
      </c>
      <c r="I118" s="94" t="n">
        <v>1000000000</v>
      </c>
      <c r="J118" s="95">
        <f>J117-E118</f>
        <v/>
      </c>
      <c r="K118" s="94" t="n">
        <v>60000000</v>
      </c>
      <c r="L118" s="94" t="n">
        <v>20987833.39</v>
      </c>
      <c r="M118" s="94" t="n">
        <v>3000000</v>
      </c>
      <c r="N118" s="94" t="n">
        <v>216225.0612000227</v>
      </c>
      <c r="O118" s="96">
        <f>IF(OR(I118="",J118="",L118="",N118=""),"",I118-J118-K118-L118-M118-N118)</f>
        <v/>
      </c>
      <c r="P118" s="91">
        <f>IF(OR(O118="",C118=""),"",O118*C118)</f>
        <v/>
      </c>
      <c r="Q118" s="69">
        <f>Q117-E118</f>
        <v/>
      </c>
      <c r="R118" s="97">
        <f>IF(OR(J118="",Q118=""),"",J118-Q118)</f>
        <v/>
      </c>
      <c r="S118" s="69">
        <f>IF(D118="",S117,S117+D118)</f>
        <v/>
      </c>
      <c r="T118" s="97">
        <f>IF(OR(L118="",S118=""),"",L118-S118)</f>
        <v/>
      </c>
      <c r="U118" s="69">
        <f>IF(F118="",U117,U117+F118)</f>
        <v/>
      </c>
      <c r="V118" s="97">
        <f>IF(OR(N118="",U118=""),"",N118-U118)</f>
        <v/>
      </c>
      <c r="W118" s="71">
        <f>IF(OR(C118="",C118=0,'Daily Data'!J118=""),"",'Daily Data'!J118/C118)</f>
        <v/>
      </c>
      <c r="X118" s="71">
        <f>IF(OR(C118="",C118=0,'Daily Data'!K118=""),"",'Daily Data'!K118/C118)</f>
        <v/>
      </c>
      <c r="Y118" s="71">
        <f>IF(OR(F118="",W118="",X118=""),"",F118-W118-X118)</f>
        <v/>
      </c>
      <c r="Z118" s="72" t="n">
        <v>353.75</v>
      </c>
      <c r="AA118" s="72" t="n">
        <v>62.43</v>
      </c>
      <c r="AB118" s="73">
        <f>Z118+AA118</f>
        <v/>
      </c>
      <c r="AC118" s="74">
        <f>IF(OR(E118="",E118=0,AB118=""),"",E118*365/(AB118*1000000))</f>
        <v/>
      </c>
      <c r="AD118" s="98">
        <f>IF(OR(O118="",O118=0,AB118=""),"",(AB118*1000000)/O118)</f>
        <v/>
      </c>
      <c r="AE118" s="99">
        <f>IF(H118="","",(Team_Genesis-H118)/1000000)</f>
        <v/>
      </c>
      <c r="AF118" s="99">
        <f>IF(OR(O118="",AE118=""),"",(O118-AE118*1000000)/1000000)</f>
        <v/>
      </c>
    </row>
    <row r="119">
      <c r="A119" s="35" t="n">
        <v>45773</v>
      </c>
      <c r="B119" s="90">
        <f>IF('Daily Data'!E119="","",'Daily Data'!E119)</f>
        <v/>
      </c>
      <c r="C119" s="65" t="n">
        <v>18.41</v>
      </c>
      <c r="D119" s="94" t="n">
        <v>80199.64999999999</v>
      </c>
      <c r="E119" s="94" t="n">
        <v>26167.7741</v>
      </c>
      <c r="F119" s="94" t="n">
        <v>470.6409</v>
      </c>
      <c r="G119" s="94" t="n"/>
      <c r="H119" s="95">
        <f>SUM($G$4:G119)</f>
        <v/>
      </c>
      <c r="I119" s="94" t="n">
        <v>1000000000</v>
      </c>
      <c r="J119" s="95">
        <f>J118-E119</f>
        <v/>
      </c>
      <c r="K119" s="94" t="n">
        <v>60000000</v>
      </c>
      <c r="L119" s="94" t="n">
        <v>21068033.04</v>
      </c>
      <c r="M119" s="94" t="n">
        <v>3000000</v>
      </c>
      <c r="N119" s="94" t="n">
        <v>216695.7021000385</v>
      </c>
      <c r="O119" s="96">
        <f>IF(OR(I119="",J119="",L119="",N119=""),"",I119-J119-K119-L119-M119-N119)</f>
        <v/>
      </c>
      <c r="P119" s="91">
        <f>IF(OR(O119="",C119=""),"",O119*C119)</f>
        <v/>
      </c>
      <c r="Q119" s="69">
        <f>Q118-E119</f>
        <v/>
      </c>
      <c r="R119" s="97">
        <f>IF(OR(J119="",Q119=""),"",J119-Q119)</f>
        <v/>
      </c>
      <c r="S119" s="69">
        <f>IF(D119="",S118,S118+D119)</f>
        <v/>
      </c>
      <c r="T119" s="97">
        <f>IF(OR(L119="",S119=""),"",L119-S119)</f>
        <v/>
      </c>
      <c r="U119" s="69">
        <f>IF(F119="",U118,U118+F119)</f>
        <v/>
      </c>
      <c r="V119" s="97">
        <f>IF(OR(N119="",U119=""),"",N119-U119)</f>
        <v/>
      </c>
      <c r="W119" s="71">
        <f>IF(OR(C119="",C119=0,'Daily Data'!J119=""),"",'Daily Data'!J119/C119)</f>
        <v/>
      </c>
      <c r="X119" s="71">
        <f>IF(OR(C119="",C119=0,'Daily Data'!K119=""),"",'Daily Data'!K119/C119)</f>
        <v/>
      </c>
      <c r="Y119" s="71">
        <f>IF(OR(F119="",W119="",X119=""),"",F119-W119-X119)</f>
        <v/>
      </c>
      <c r="Z119" s="72" t="n">
        <v>353.75</v>
      </c>
      <c r="AA119" s="72" t="n">
        <v>62.43</v>
      </c>
      <c r="AB119" s="73">
        <f>Z119+AA119</f>
        <v/>
      </c>
      <c r="AC119" s="74">
        <f>IF(OR(E119="",E119=0,AB119=""),"",E119*365/(AB119*1000000))</f>
        <v/>
      </c>
      <c r="AD119" s="98">
        <f>IF(OR(O119="",O119=0,AB119=""),"",(AB119*1000000)/O119)</f>
        <v/>
      </c>
      <c r="AE119" s="99">
        <f>IF(H119="","",(Team_Genesis-H119)/1000000)</f>
        <v/>
      </c>
      <c r="AF119" s="99">
        <f>IF(OR(O119="",AE119=""),"",(O119-AE119*1000000)/1000000)</f>
        <v/>
      </c>
    </row>
    <row r="120">
      <c r="A120" s="35" t="n">
        <v>45774</v>
      </c>
      <c r="B120" s="90">
        <f>IF('Daily Data'!E120="","",'Daily Data'!E120)</f>
        <v/>
      </c>
      <c r="C120" s="65" t="n">
        <v>17.99</v>
      </c>
      <c r="D120" s="94" t="n">
        <v>46152.81</v>
      </c>
      <c r="E120" s="94" t="n">
        <v>26128.5247</v>
      </c>
      <c r="F120" s="94" t="n">
        <v>319.0979</v>
      </c>
      <c r="G120" s="94" t="n"/>
      <c r="H120" s="95">
        <f>SUM($G$4:G120)</f>
        <v/>
      </c>
      <c r="I120" s="94" t="n">
        <v>1000000000</v>
      </c>
      <c r="J120" s="95">
        <f>J119-E120</f>
        <v/>
      </c>
      <c r="K120" s="94" t="n">
        <v>60000000</v>
      </c>
      <c r="L120" s="94" t="n">
        <v>21114185.85</v>
      </c>
      <c r="M120" s="94" t="n">
        <v>3000000</v>
      </c>
      <c r="N120" s="94" t="n">
        <v>217014.7999999523</v>
      </c>
      <c r="O120" s="96">
        <f>IF(OR(I120="",J120="",L120="",N120=""),"",I120-J120-K120-L120-M120-N120)</f>
        <v/>
      </c>
      <c r="P120" s="91">
        <f>IF(OR(O120="",C120=""),"",O120*C120)</f>
        <v/>
      </c>
      <c r="Q120" s="69">
        <f>Q119-E120</f>
        <v/>
      </c>
      <c r="R120" s="97">
        <f>IF(OR(J120="",Q120=""),"",J120-Q120)</f>
        <v/>
      </c>
      <c r="S120" s="69">
        <f>IF(D120="",S119,S119+D120)</f>
        <v/>
      </c>
      <c r="T120" s="97">
        <f>IF(OR(L120="",S120=""),"",L120-S120)</f>
        <v/>
      </c>
      <c r="U120" s="69">
        <f>IF(F120="",U119,U119+F120)</f>
        <v/>
      </c>
      <c r="V120" s="97">
        <f>IF(OR(N120="",U120=""),"",N120-U120)</f>
        <v/>
      </c>
      <c r="W120" s="71">
        <f>IF(OR(C120="",C120=0,'Daily Data'!J120=""),"",'Daily Data'!J120/C120)</f>
        <v/>
      </c>
      <c r="X120" s="71">
        <f>IF(OR(C120="",C120=0,'Daily Data'!K120=""),"",'Daily Data'!K120/C120)</f>
        <v/>
      </c>
      <c r="Y120" s="71">
        <f>IF(OR(F120="",W120="",X120=""),"",F120-W120-X120)</f>
        <v/>
      </c>
      <c r="Z120" s="72" t="n">
        <v>353.75</v>
      </c>
      <c r="AA120" s="72" t="n">
        <v>62.43</v>
      </c>
      <c r="AB120" s="73">
        <f>Z120+AA120</f>
        <v/>
      </c>
      <c r="AC120" s="74">
        <f>IF(OR(E120="",E120=0,AB120=""),"",E120*365/(AB120*1000000))</f>
        <v/>
      </c>
      <c r="AD120" s="98">
        <f>IF(OR(O120="",O120=0,AB120=""),"",(AB120*1000000)/O120)</f>
        <v/>
      </c>
      <c r="AE120" s="99">
        <f>IF(H120="","",(Team_Genesis-H120)/1000000)</f>
        <v/>
      </c>
      <c r="AF120" s="99">
        <f>IF(OR(O120="",AE120=""),"",(O120-AE120*1000000)/1000000)</f>
        <v/>
      </c>
    </row>
    <row r="121">
      <c r="A121" s="35" t="n">
        <v>45775</v>
      </c>
      <c r="B121" s="90">
        <f>IF('Daily Data'!E121="","",'Daily Data'!E121)</f>
        <v/>
      </c>
      <c r="C121" s="65" t="n">
        <v>17.35</v>
      </c>
      <c r="D121" s="94" t="n">
        <v>44835</v>
      </c>
      <c r="E121" s="94" t="n">
        <v>26136.1052</v>
      </c>
      <c r="F121" s="94" t="n">
        <v>272.2418</v>
      </c>
      <c r="G121" s="94" t="n"/>
      <c r="H121" s="95">
        <f>SUM($G$4:G121)</f>
        <v/>
      </c>
      <c r="I121" s="94" t="n">
        <v>1000000000</v>
      </c>
      <c r="J121" s="95">
        <f>J120-E121</f>
        <v/>
      </c>
      <c r="K121" s="94" t="n">
        <v>60000000</v>
      </c>
      <c r="L121" s="94" t="n">
        <v>21159020.85</v>
      </c>
      <c r="M121" s="94" t="n">
        <v>3000000</v>
      </c>
      <c r="N121" s="94" t="n">
        <v>217287.0417000055</v>
      </c>
      <c r="O121" s="96">
        <f>IF(OR(I121="",J121="",L121="",N121=""),"",I121-J121-K121-L121-M121-N121)</f>
        <v/>
      </c>
      <c r="P121" s="91">
        <f>IF(OR(O121="",C121=""),"",O121*C121)</f>
        <v/>
      </c>
      <c r="Q121" s="69">
        <f>Q120-E121</f>
        <v/>
      </c>
      <c r="R121" s="97">
        <f>IF(OR(J121="",Q121=""),"",J121-Q121)</f>
        <v/>
      </c>
      <c r="S121" s="69">
        <f>IF(D121="",S120,S120+D121)</f>
        <v/>
      </c>
      <c r="T121" s="97">
        <f>IF(OR(L121="",S121=""),"",L121-S121)</f>
        <v/>
      </c>
      <c r="U121" s="69">
        <f>IF(F121="",U120,U120+F121)</f>
        <v/>
      </c>
      <c r="V121" s="97">
        <f>IF(OR(N121="",U121=""),"",N121-U121)</f>
        <v/>
      </c>
      <c r="W121" s="71">
        <f>IF(OR(C121="",C121=0,'Daily Data'!J121=""),"",'Daily Data'!J121/C121)</f>
        <v/>
      </c>
      <c r="X121" s="71">
        <f>IF(OR(C121="",C121=0,'Daily Data'!K121=""),"",'Daily Data'!K121/C121)</f>
        <v/>
      </c>
      <c r="Y121" s="71">
        <f>IF(OR(F121="",W121="",X121=""),"",F121-W121-X121)</f>
        <v/>
      </c>
      <c r="Z121" s="72" t="n">
        <v>353.75</v>
      </c>
      <c r="AA121" s="72" t="n">
        <v>62.43</v>
      </c>
      <c r="AB121" s="73">
        <f>Z121+AA121</f>
        <v/>
      </c>
      <c r="AC121" s="74">
        <f>IF(OR(E121="",E121=0,AB121=""),"",E121*365/(AB121*1000000))</f>
        <v/>
      </c>
      <c r="AD121" s="98">
        <f>IF(OR(O121="",O121=0,AB121=""),"",(AB121*1000000)/O121)</f>
        <v/>
      </c>
      <c r="AE121" s="99">
        <f>IF(H121="","",(Team_Genesis-H121)/1000000)</f>
        <v/>
      </c>
      <c r="AF121" s="99">
        <f>IF(OR(O121="",AE121=""),"",(O121-AE121*1000000)/1000000)</f>
        <v/>
      </c>
    </row>
    <row r="122">
      <c r="A122" s="35" t="n">
        <v>45776</v>
      </c>
      <c r="B122" s="90">
        <f>IF('Daily Data'!E122="","",'Daily Data'!E122)</f>
        <v/>
      </c>
      <c r="C122" s="65" t="n">
        <v>18.69</v>
      </c>
      <c r="D122" s="94" t="n">
        <v>71896.23</v>
      </c>
      <c r="E122" s="94" t="n">
        <v>26145.6743</v>
      </c>
      <c r="F122" s="94" t="n">
        <v>685.8724</v>
      </c>
      <c r="G122" s="94" t="n"/>
      <c r="H122" s="95">
        <f>SUM($G$4:G122)</f>
        <v/>
      </c>
      <c r="I122" s="94" t="n">
        <v>1000000000</v>
      </c>
      <c r="J122" s="95">
        <f>J121-E122</f>
        <v/>
      </c>
      <c r="K122" s="94" t="n">
        <v>60000000</v>
      </c>
      <c r="L122" s="94" t="n">
        <v>21230917.08</v>
      </c>
      <c r="M122" s="94" t="n">
        <v>3000000</v>
      </c>
      <c r="N122" s="94" t="n">
        <v>217972.9141000509</v>
      </c>
      <c r="O122" s="96">
        <f>IF(OR(I122="",J122="",L122="",N122=""),"",I122-J122-K122-L122-M122-N122)</f>
        <v/>
      </c>
      <c r="P122" s="91">
        <f>IF(OR(O122="",C122=""),"",O122*C122)</f>
        <v/>
      </c>
      <c r="Q122" s="69">
        <f>Q121-E122</f>
        <v/>
      </c>
      <c r="R122" s="97">
        <f>IF(OR(J122="",Q122=""),"",J122-Q122)</f>
        <v/>
      </c>
      <c r="S122" s="69">
        <f>IF(D122="",S121,S121+D122)</f>
        <v/>
      </c>
      <c r="T122" s="97">
        <f>IF(OR(L122="",S122=""),"",L122-S122)</f>
        <v/>
      </c>
      <c r="U122" s="69">
        <f>IF(F122="",U121,U121+F122)</f>
        <v/>
      </c>
      <c r="V122" s="97">
        <f>IF(OR(N122="",U122=""),"",N122-U122)</f>
        <v/>
      </c>
      <c r="W122" s="71">
        <f>IF(OR(C122="",C122=0,'Daily Data'!J122=""),"",'Daily Data'!J122/C122)</f>
        <v/>
      </c>
      <c r="X122" s="71">
        <f>IF(OR(C122="",C122=0,'Daily Data'!K122=""),"",'Daily Data'!K122/C122)</f>
        <v/>
      </c>
      <c r="Y122" s="71">
        <f>IF(OR(F122="",W122="",X122=""),"",F122-W122-X122)</f>
        <v/>
      </c>
      <c r="Z122" s="72" t="n">
        <v>353.75</v>
      </c>
      <c r="AA122" s="72" t="n">
        <v>62.43</v>
      </c>
      <c r="AB122" s="73">
        <f>Z122+AA122</f>
        <v/>
      </c>
      <c r="AC122" s="74">
        <f>IF(OR(E122="",E122=0,AB122=""),"",E122*365/(AB122*1000000))</f>
        <v/>
      </c>
      <c r="AD122" s="98">
        <f>IF(OR(O122="",O122=0,AB122=""),"",(AB122*1000000)/O122)</f>
        <v/>
      </c>
      <c r="AE122" s="99">
        <f>IF(H122="","",(Team_Genesis-H122)/1000000)</f>
        <v/>
      </c>
      <c r="AF122" s="99">
        <f>IF(OR(O122="",AE122=""),"",(O122-AE122*1000000)/1000000)</f>
        <v/>
      </c>
    </row>
    <row r="123">
      <c r="A123" s="35" t="n">
        <v>45777</v>
      </c>
      <c r="B123" s="90">
        <f>IF('Daily Data'!E123="","",'Daily Data'!E123)</f>
        <v/>
      </c>
      <c r="C123" s="65" t="n">
        <v>18.49</v>
      </c>
      <c r="D123" s="94" t="n">
        <v>60069.57</v>
      </c>
      <c r="E123" s="94" t="n">
        <v>26180.9241</v>
      </c>
      <c r="F123" s="94" t="n">
        <v>623.4232</v>
      </c>
      <c r="G123" s="94" t="n"/>
      <c r="H123" s="95">
        <f>SUM($G$4:G123)</f>
        <v/>
      </c>
      <c r="I123" s="94" t="n">
        <v>1000000000</v>
      </c>
      <c r="J123" s="95">
        <f>J122-E123</f>
        <v/>
      </c>
      <c r="K123" s="94" t="n">
        <v>60000000</v>
      </c>
      <c r="L123" s="94" t="n">
        <v>21290986.65</v>
      </c>
      <c r="M123" s="94" t="n">
        <v>3000000</v>
      </c>
      <c r="N123" s="94" t="n">
        <v>218596.337299943</v>
      </c>
      <c r="O123" s="96">
        <f>IF(OR(I123="",J123="",L123="",N123=""),"",I123-J123-K123-L123-M123-N123)</f>
        <v/>
      </c>
      <c r="P123" s="91">
        <f>IF(OR(O123="",C123=""),"",O123*C123)</f>
        <v/>
      </c>
      <c r="Q123" s="69">
        <f>Q122-E123</f>
        <v/>
      </c>
      <c r="R123" s="97">
        <f>IF(OR(J123="",Q123=""),"",J123-Q123)</f>
        <v/>
      </c>
      <c r="S123" s="69">
        <f>IF(D123="",S122,S122+D123)</f>
        <v/>
      </c>
      <c r="T123" s="97">
        <f>IF(OR(L123="",S123=""),"",L123-S123)</f>
        <v/>
      </c>
      <c r="U123" s="69">
        <f>IF(F123="",U122,U122+F123)</f>
        <v/>
      </c>
      <c r="V123" s="97">
        <f>IF(OR(N123="",U123=""),"",N123-U123)</f>
        <v/>
      </c>
      <c r="W123" s="71">
        <f>IF(OR(C123="",C123=0,'Daily Data'!J123=""),"",'Daily Data'!J123/C123)</f>
        <v/>
      </c>
      <c r="X123" s="71">
        <f>IF(OR(C123="",C123=0,'Daily Data'!K123=""),"",'Daily Data'!K123/C123)</f>
        <v/>
      </c>
      <c r="Y123" s="71">
        <f>IF(OR(F123="",W123="",X123=""),"",F123-W123-X123)</f>
        <v/>
      </c>
      <c r="Z123" s="72" t="n">
        <v>353.75</v>
      </c>
      <c r="AA123" s="72" t="n">
        <v>62.43</v>
      </c>
      <c r="AB123" s="73">
        <f>Z123+AA123</f>
        <v/>
      </c>
      <c r="AC123" s="74">
        <f>IF(OR(E123="",E123=0,AB123=""),"",E123*365/(AB123*1000000))</f>
        <v/>
      </c>
      <c r="AD123" s="98">
        <f>IF(OR(O123="",O123=0,AB123=""),"",(AB123*1000000)/O123)</f>
        <v/>
      </c>
      <c r="AE123" s="99">
        <f>IF(H123="","",(Team_Genesis-H123)/1000000)</f>
        <v/>
      </c>
      <c r="AF123" s="99">
        <f>IF(OR(O123="",AE123=""),"",(O123-AE123*1000000)/1000000)</f>
        <v/>
      </c>
    </row>
    <row r="124">
      <c r="A124" s="35" t="n">
        <v>45778</v>
      </c>
      <c r="B124" s="90">
        <f>IF('Daily Data'!E124="","",'Daily Data'!E124)</f>
        <v/>
      </c>
      <c r="C124" s="65" t="n">
        <v>20.26</v>
      </c>
      <c r="D124" s="94" t="n">
        <v>67943.64999999999</v>
      </c>
      <c r="E124" s="94" t="n">
        <v>26120.6661</v>
      </c>
      <c r="F124" s="94" t="n">
        <v>728.1965</v>
      </c>
      <c r="G124" s="94" t="n"/>
      <c r="H124" s="95">
        <f>SUM($G$4:G124)</f>
        <v/>
      </c>
      <c r="I124" s="94" t="n">
        <v>1000000000</v>
      </c>
      <c r="J124" s="95">
        <f>J123-E124</f>
        <v/>
      </c>
      <c r="K124" s="94" t="n">
        <v>60000000</v>
      </c>
      <c r="L124" s="94" t="n">
        <v>21358930.3</v>
      </c>
      <c r="M124" s="94" t="n">
        <v>3000000</v>
      </c>
      <c r="N124" s="94" t="n">
        <v>219324.5338000059</v>
      </c>
      <c r="O124" s="96">
        <f>IF(OR(I124="",J124="",L124="",N124=""),"",I124-J124-K124-L124-M124-N124)</f>
        <v/>
      </c>
      <c r="P124" s="91">
        <f>IF(OR(O124="",C124=""),"",O124*C124)</f>
        <v/>
      </c>
      <c r="Q124" s="69">
        <f>Q123-E124</f>
        <v/>
      </c>
      <c r="R124" s="97">
        <f>IF(OR(J124="",Q124=""),"",J124-Q124)</f>
        <v/>
      </c>
      <c r="S124" s="69">
        <f>IF(D124="",S123,S123+D124)</f>
        <v/>
      </c>
      <c r="T124" s="97">
        <f>IF(OR(L124="",S124=""),"",L124-S124)</f>
        <v/>
      </c>
      <c r="U124" s="69">
        <f>IF(F124="",U123,U123+F124)</f>
        <v/>
      </c>
      <c r="V124" s="97">
        <f>IF(OR(N124="",U124=""),"",N124-U124)</f>
        <v/>
      </c>
      <c r="W124" s="71">
        <f>IF(OR(C124="",C124=0,'Daily Data'!J124=""),"",'Daily Data'!J124/C124)</f>
        <v/>
      </c>
      <c r="X124" s="71">
        <f>IF(OR(C124="",C124=0,'Daily Data'!K124=""),"",'Daily Data'!K124/C124)</f>
        <v/>
      </c>
      <c r="Y124" s="71">
        <f>IF(OR(F124="",W124="",X124=""),"",F124-W124-X124)</f>
        <v/>
      </c>
      <c r="Z124" s="72" t="n">
        <v>355.18</v>
      </c>
      <c r="AA124" s="72" t="n">
        <v>62.68</v>
      </c>
      <c r="AB124" s="73">
        <f>Z124+AA124</f>
        <v/>
      </c>
      <c r="AC124" s="74">
        <f>IF(OR(E124="",E124=0,AB124=""),"",E124*365/(AB124*1000000))</f>
        <v/>
      </c>
      <c r="AD124" s="98">
        <f>IF(OR(O124="",O124=0,AB124=""),"",(AB124*1000000)/O124)</f>
        <v/>
      </c>
      <c r="AE124" s="99">
        <f>IF(H124="","",(Team_Genesis-H124)/1000000)</f>
        <v/>
      </c>
      <c r="AF124" s="99">
        <f>IF(OR(O124="",AE124=""),"",(O124-AE124*1000000)/1000000)</f>
        <v/>
      </c>
    </row>
    <row r="125">
      <c r="A125" s="35" t="n">
        <v>45779</v>
      </c>
      <c r="B125" s="90">
        <f>IF('Daily Data'!E125="","",'Daily Data'!E125)</f>
        <v/>
      </c>
      <c r="C125" s="65" t="n">
        <v>20.03</v>
      </c>
      <c r="D125" s="94" t="n">
        <v>74079.22</v>
      </c>
      <c r="E125" s="94" t="n">
        <v>26181.9903</v>
      </c>
      <c r="F125" s="94" t="n">
        <v>938.5428000000001</v>
      </c>
      <c r="G125" s="94" t="n"/>
      <c r="H125" s="95">
        <f>SUM($G$4:G125)</f>
        <v/>
      </c>
      <c r="I125" s="94" t="n">
        <v>1000000000</v>
      </c>
      <c r="J125" s="95">
        <f>J124-E125</f>
        <v/>
      </c>
      <c r="K125" s="94" t="n">
        <v>60000000</v>
      </c>
      <c r="L125" s="94" t="n">
        <v>21433009.52</v>
      </c>
      <c r="M125" s="94" t="n">
        <v>3000000</v>
      </c>
      <c r="N125" s="94" t="n">
        <v>220263.0766999722</v>
      </c>
      <c r="O125" s="96">
        <f>IF(OR(I125="",J125="",L125="",N125=""),"",I125-J125-K125-L125-M125-N125)</f>
        <v/>
      </c>
      <c r="P125" s="91">
        <f>IF(OR(O125="",C125=""),"",O125*C125)</f>
        <v/>
      </c>
      <c r="Q125" s="69">
        <f>Q124-E125</f>
        <v/>
      </c>
      <c r="R125" s="97">
        <f>IF(OR(J125="",Q125=""),"",J125-Q125)</f>
        <v/>
      </c>
      <c r="S125" s="69">
        <f>IF(D125="",S124,S124+D125)</f>
        <v/>
      </c>
      <c r="T125" s="97">
        <f>IF(OR(L125="",S125=""),"",L125-S125)</f>
        <v/>
      </c>
      <c r="U125" s="69">
        <f>IF(F125="",U124,U124+F125)</f>
        <v/>
      </c>
      <c r="V125" s="97">
        <f>IF(OR(N125="",U125=""),"",N125-U125)</f>
        <v/>
      </c>
      <c r="W125" s="71">
        <f>IF(OR(C125="",C125=0,'Daily Data'!J125=""),"",'Daily Data'!J125/C125)</f>
        <v/>
      </c>
      <c r="X125" s="71">
        <f>IF(OR(C125="",C125=0,'Daily Data'!K125=""),"",'Daily Data'!K125/C125)</f>
        <v/>
      </c>
      <c r="Y125" s="71">
        <f>IF(OR(F125="",W125="",X125=""),"",F125-W125-X125)</f>
        <v/>
      </c>
      <c r="Z125" s="72" t="n">
        <v>355.18</v>
      </c>
      <c r="AA125" s="72" t="n">
        <v>62.68</v>
      </c>
      <c r="AB125" s="73">
        <f>Z125+AA125</f>
        <v/>
      </c>
      <c r="AC125" s="74">
        <f>IF(OR(E125="",E125=0,AB125=""),"",E125*365/(AB125*1000000))</f>
        <v/>
      </c>
      <c r="AD125" s="98">
        <f>IF(OR(O125="",O125=0,AB125=""),"",(AB125*1000000)/O125)</f>
        <v/>
      </c>
      <c r="AE125" s="99">
        <f>IF(H125="","",(Team_Genesis-H125)/1000000)</f>
        <v/>
      </c>
      <c r="AF125" s="99">
        <f>IF(OR(O125="",AE125=""),"",(O125-AE125*1000000)/1000000)</f>
        <v/>
      </c>
    </row>
    <row r="126">
      <c r="A126" s="35" t="n">
        <v>45780</v>
      </c>
      <c r="B126" s="90">
        <f>IF('Daily Data'!E126="","",'Daily Data'!E126)</f>
        <v/>
      </c>
      <c r="C126" s="65" t="n">
        <v>20.72</v>
      </c>
      <c r="D126" s="94" t="n">
        <v>40789.66</v>
      </c>
      <c r="E126" s="94" t="n">
        <v>26252.5339</v>
      </c>
      <c r="F126" s="94" t="n">
        <v>570.6552</v>
      </c>
      <c r="G126" s="94" t="n"/>
      <c r="H126" s="95">
        <f>SUM($G$4:G126)</f>
        <v/>
      </c>
      <c r="I126" s="94" t="n">
        <v>1000000000</v>
      </c>
      <c r="J126" s="95">
        <f>J125-E126</f>
        <v/>
      </c>
      <c r="K126" s="94" t="n">
        <v>60000000</v>
      </c>
      <c r="L126" s="94" t="n">
        <v>21473799.18</v>
      </c>
      <c r="M126" s="94" t="n">
        <v>3000000</v>
      </c>
      <c r="N126" s="94" t="n">
        <v>220833.7318999767</v>
      </c>
      <c r="O126" s="96">
        <f>IF(OR(I126="",J126="",L126="",N126=""),"",I126-J126-K126-L126-M126-N126)</f>
        <v/>
      </c>
      <c r="P126" s="91">
        <f>IF(OR(O126="",C126=""),"",O126*C126)</f>
        <v/>
      </c>
      <c r="Q126" s="69">
        <f>Q125-E126</f>
        <v/>
      </c>
      <c r="R126" s="97">
        <f>IF(OR(J126="",Q126=""),"",J126-Q126)</f>
        <v/>
      </c>
      <c r="S126" s="69">
        <f>IF(D126="",S125,S125+D126)</f>
        <v/>
      </c>
      <c r="T126" s="97">
        <f>IF(OR(L126="",S126=""),"",L126-S126)</f>
        <v/>
      </c>
      <c r="U126" s="69">
        <f>IF(F126="",U125,U125+F126)</f>
        <v/>
      </c>
      <c r="V126" s="97">
        <f>IF(OR(N126="",U126=""),"",N126-U126)</f>
        <v/>
      </c>
      <c r="W126" s="71">
        <f>IF(OR(C126="",C126=0,'Daily Data'!J126=""),"",'Daily Data'!J126/C126)</f>
        <v/>
      </c>
      <c r="X126" s="71">
        <f>IF(OR(C126="",C126=0,'Daily Data'!K126=""),"",'Daily Data'!K126/C126)</f>
        <v/>
      </c>
      <c r="Y126" s="71">
        <f>IF(OR(F126="",W126="",X126=""),"",F126-W126-X126)</f>
        <v/>
      </c>
      <c r="Z126" s="72" t="n">
        <v>355.18</v>
      </c>
      <c r="AA126" s="72" t="n">
        <v>62.68</v>
      </c>
      <c r="AB126" s="73">
        <f>Z126+AA126</f>
        <v/>
      </c>
      <c r="AC126" s="74">
        <f>IF(OR(E126="",E126=0,AB126=""),"",E126*365/(AB126*1000000))</f>
        <v/>
      </c>
      <c r="AD126" s="98">
        <f>IF(OR(O126="",O126=0,AB126=""),"",(AB126*1000000)/O126)</f>
        <v/>
      </c>
      <c r="AE126" s="99">
        <f>IF(H126="","",(Team_Genesis-H126)/1000000)</f>
        <v/>
      </c>
      <c r="AF126" s="99">
        <f>IF(OR(O126="",AE126=""),"",(O126-AE126*1000000)/1000000)</f>
        <v/>
      </c>
    </row>
    <row r="127">
      <c r="A127" s="35" t="n">
        <v>45781</v>
      </c>
      <c r="B127" s="90">
        <f>IF('Daily Data'!E127="","",'Daily Data'!E127)</f>
        <v/>
      </c>
      <c r="C127" s="65" t="n">
        <v>21.14</v>
      </c>
      <c r="D127" s="94" t="n">
        <v>26778.23</v>
      </c>
      <c r="E127" s="94" t="n">
        <v>26273.8404</v>
      </c>
      <c r="F127" s="94" t="n">
        <v>416.9712</v>
      </c>
      <c r="G127" s="94" t="n"/>
      <c r="H127" s="95">
        <f>SUM($G$4:G127)</f>
        <v/>
      </c>
      <c r="I127" s="94" t="n">
        <v>1000000000</v>
      </c>
      <c r="J127" s="95">
        <f>J126-E127</f>
        <v/>
      </c>
      <c r="K127" s="94" t="n">
        <v>60000000</v>
      </c>
      <c r="L127" s="94" t="n">
        <v>21500577.41</v>
      </c>
      <c r="M127" s="94" t="n">
        <v>3000000</v>
      </c>
      <c r="N127" s="94" t="n">
        <v>221250.7029999495</v>
      </c>
      <c r="O127" s="96">
        <f>IF(OR(I127="",J127="",L127="",N127=""),"",I127-J127-K127-L127-M127-N127)</f>
        <v/>
      </c>
      <c r="P127" s="91">
        <f>IF(OR(O127="",C127=""),"",O127*C127)</f>
        <v/>
      </c>
      <c r="Q127" s="69">
        <f>Q126-E127</f>
        <v/>
      </c>
      <c r="R127" s="97">
        <f>IF(OR(J127="",Q127=""),"",J127-Q127)</f>
        <v/>
      </c>
      <c r="S127" s="69">
        <f>IF(D127="",S126,S126+D127)</f>
        <v/>
      </c>
      <c r="T127" s="97">
        <f>IF(OR(L127="",S127=""),"",L127-S127)</f>
        <v/>
      </c>
      <c r="U127" s="69">
        <f>IF(F127="",U126,U126+F127)</f>
        <v/>
      </c>
      <c r="V127" s="97">
        <f>IF(OR(N127="",U127=""),"",N127-U127)</f>
        <v/>
      </c>
      <c r="W127" s="71">
        <f>IF(OR(C127="",C127=0,'Daily Data'!J127=""),"",'Daily Data'!J127/C127)</f>
        <v/>
      </c>
      <c r="X127" s="71">
        <f>IF(OR(C127="",C127=0,'Daily Data'!K127=""),"",'Daily Data'!K127/C127)</f>
        <v/>
      </c>
      <c r="Y127" s="71">
        <f>IF(OR(F127="",W127="",X127=""),"",F127-W127-X127)</f>
        <v/>
      </c>
      <c r="Z127" s="72" t="n">
        <v>355.18</v>
      </c>
      <c r="AA127" s="72" t="n">
        <v>62.68</v>
      </c>
      <c r="AB127" s="73">
        <f>Z127+AA127</f>
        <v/>
      </c>
      <c r="AC127" s="74">
        <f>IF(OR(E127="",E127=0,AB127=""),"",E127*365/(AB127*1000000))</f>
        <v/>
      </c>
      <c r="AD127" s="98">
        <f>IF(OR(O127="",O127=0,AB127=""),"",(AB127*1000000)/O127)</f>
        <v/>
      </c>
      <c r="AE127" s="99">
        <f>IF(H127="","",(Team_Genesis-H127)/1000000)</f>
        <v/>
      </c>
      <c r="AF127" s="99">
        <f>IF(OR(O127="",AE127=""),"",(O127-AE127*1000000)/1000000)</f>
        <v/>
      </c>
    </row>
    <row r="128">
      <c r="A128" s="35" t="n">
        <v>45782</v>
      </c>
      <c r="B128" s="90">
        <f>IF('Daily Data'!E128="","",'Daily Data'!E128)</f>
        <v/>
      </c>
      <c r="C128" s="65" t="n">
        <v>19.94</v>
      </c>
      <c r="D128" s="94" t="n">
        <v>49246.62</v>
      </c>
      <c r="E128" s="94" t="n">
        <v>26237.5716</v>
      </c>
      <c r="F128" s="94" t="n">
        <v>332.2736</v>
      </c>
      <c r="G128" s="94" t="n"/>
      <c r="H128" s="95">
        <f>SUM($G$4:G128)</f>
        <v/>
      </c>
      <c r="I128" s="94" t="n">
        <v>1000000000</v>
      </c>
      <c r="J128" s="95">
        <f>J127-E128</f>
        <v/>
      </c>
      <c r="K128" s="94" t="n">
        <v>60000000</v>
      </c>
      <c r="L128" s="94" t="n">
        <v>21549824.03</v>
      </c>
      <c r="M128" s="94" t="n">
        <v>3000000</v>
      </c>
      <c r="N128" s="94" t="n">
        <v>221582.9766000509</v>
      </c>
      <c r="O128" s="96">
        <f>IF(OR(I128="",J128="",L128="",N128=""),"",I128-J128-K128-L128-M128-N128)</f>
        <v/>
      </c>
      <c r="P128" s="91">
        <f>IF(OR(O128="",C128=""),"",O128*C128)</f>
        <v/>
      </c>
      <c r="Q128" s="69">
        <f>Q127-E128</f>
        <v/>
      </c>
      <c r="R128" s="97">
        <f>IF(OR(J128="",Q128=""),"",J128-Q128)</f>
        <v/>
      </c>
      <c r="S128" s="69">
        <f>IF(D128="",S127,S127+D128)</f>
        <v/>
      </c>
      <c r="T128" s="97">
        <f>IF(OR(L128="",S128=""),"",L128-S128)</f>
        <v/>
      </c>
      <c r="U128" s="69">
        <f>IF(F128="",U127,U127+F128)</f>
        <v/>
      </c>
      <c r="V128" s="97">
        <f>IF(OR(N128="",U128=""),"",N128-U128)</f>
        <v/>
      </c>
      <c r="W128" s="71">
        <f>IF(OR(C128="",C128=0,'Daily Data'!J128=""),"",'Daily Data'!J128/C128)</f>
        <v/>
      </c>
      <c r="X128" s="71">
        <f>IF(OR(C128="",C128=0,'Daily Data'!K128=""),"",'Daily Data'!K128/C128)</f>
        <v/>
      </c>
      <c r="Y128" s="71">
        <f>IF(OR(F128="",W128="",X128=""),"",F128-W128-X128)</f>
        <v/>
      </c>
      <c r="Z128" s="72" t="n">
        <v>355.18</v>
      </c>
      <c r="AA128" s="72" t="n">
        <v>62.68</v>
      </c>
      <c r="AB128" s="73">
        <f>Z128+AA128</f>
        <v/>
      </c>
      <c r="AC128" s="74">
        <f>IF(OR(E128="",E128=0,AB128=""),"",E128*365/(AB128*1000000))</f>
        <v/>
      </c>
      <c r="AD128" s="98">
        <f>IF(OR(O128="",O128=0,AB128=""),"",(AB128*1000000)/O128)</f>
        <v/>
      </c>
      <c r="AE128" s="99">
        <f>IF(H128="","",(Team_Genesis-H128)/1000000)</f>
        <v/>
      </c>
      <c r="AF128" s="99">
        <f>IF(OR(O128="",AE128=""),"",(O128-AE128*1000000)/1000000)</f>
        <v/>
      </c>
    </row>
    <row r="129">
      <c r="A129" s="35" t="n">
        <v>45783</v>
      </c>
      <c r="B129" s="90">
        <f>IF('Daily Data'!E129="","",'Daily Data'!E129)</f>
        <v/>
      </c>
      <c r="C129" s="65" t="n">
        <v>20.2</v>
      </c>
      <c r="D129" s="94" t="n">
        <v>56072.29</v>
      </c>
      <c r="E129" s="94" t="n">
        <v>26248.6152</v>
      </c>
      <c r="F129" s="94" t="n">
        <v>729.029</v>
      </c>
      <c r="G129" s="94" t="n"/>
      <c r="H129" s="95">
        <f>SUM($G$4:G129)</f>
        <v/>
      </c>
      <c r="I129" s="94" t="n">
        <v>1000000000</v>
      </c>
      <c r="J129" s="95">
        <f>J128-E129</f>
        <v/>
      </c>
      <c r="K129" s="94" t="n">
        <v>60000000</v>
      </c>
      <c r="L129" s="94" t="n">
        <v>21605896.32</v>
      </c>
      <c r="M129" s="94" t="n">
        <v>3000000</v>
      </c>
      <c r="N129" s="94" t="n">
        <v>222312.0055999756</v>
      </c>
      <c r="O129" s="96">
        <f>IF(OR(I129="",J129="",L129="",N129=""),"",I129-J129-K129-L129-M129-N129)</f>
        <v/>
      </c>
      <c r="P129" s="91">
        <f>IF(OR(O129="",C129=""),"",O129*C129)</f>
        <v/>
      </c>
      <c r="Q129" s="69">
        <f>Q128-E129</f>
        <v/>
      </c>
      <c r="R129" s="97">
        <f>IF(OR(J129="",Q129=""),"",J129-Q129)</f>
        <v/>
      </c>
      <c r="S129" s="69">
        <f>IF(D129="",S128,S128+D129)</f>
        <v/>
      </c>
      <c r="T129" s="97">
        <f>IF(OR(L129="",S129=""),"",L129-S129)</f>
        <v/>
      </c>
      <c r="U129" s="69">
        <f>IF(F129="",U128,U128+F129)</f>
        <v/>
      </c>
      <c r="V129" s="97">
        <f>IF(OR(N129="",U129=""),"",N129-U129)</f>
        <v/>
      </c>
      <c r="W129" s="71">
        <f>IF(OR(C129="",C129=0,'Daily Data'!J129=""),"",'Daily Data'!J129/C129)</f>
        <v/>
      </c>
      <c r="X129" s="71">
        <f>IF(OR(C129="",C129=0,'Daily Data'!K129=""),"",'Daily Data'!K129/C129)</f>
        <v/>
      </c>
      <c r="Y129" s="71">
        <f>IF(OR(F129="",W129="",X129=""),"",F129-W129-X129)</f>
        <v/>
      </c>
      <c r="Z129" s="72" t="n">
        <v>355.18</v>
      </c>
      <c r="AA129" s="72" t="n">
        <v>62.68</v>
      </c>
      <c r="AB129" s="73">
        <f>Z129+AA129</f>
        <v/>
      </c>
      <c r="AC129" s="74">
        <f>IF(OR(E129="",E129=0,AB129=""),"",E129*365/(AB129*1000000))</f>
        <v/>
      </c>
      <c r="AD129" s="98">
        <f>IF(OR(O129="",O129=0,AB129=""),"",(AB129*1000000)/O129)</f>
        <v/>
      </c>
      <c r="AE129" s="99">
        <f>IF(H129="","",(Team_Genesis-H129)/1000000)</f>
        <v/>
      </c>
      <c r="AF129" s="99">
        <f>IF(OR(O129="",AE129=""),"",(O129-AE129*1000000)/1000000)</f>
        <v/>
      </c>
    </row>
    <row r="130">
      <c r="A130" s="35" t="n">
        <v>45784</v>
      </c>
      <c r="B130" s="90">
        <f>IF('Daily Data'!E130="","",'Daily Data'!E130)</f>
        <v/>
      </c>
      <c r="C130" s="65" t="n">
        <v>21.03</v>
      </c>
      <c r="D130" s="94" t="n">
        <v>78353.91</v>
      </c>
      <c r="E130" s="94" t="n">
        <v>26286.8993</v>
      </c>
      <c r="F130" s="94" t="n">
        <v>970.6196</v>
      </c>
      <c r="G130" s="94" t="n"/>
      <c r="H130" s="95">
        <f>SUM($G$4:G130)</f>
        <v/>
      </c>
      <c r="I130" s="94" t="n">
        <v>1000000000</v>
      </c>
      <c r="J130" s="95">
        <f>J129-E130</f>
        <v/>
      </c>
      <c r="K130" s="94" t="n">
        <v>60000000</v>
      </c>
      <c r="L130" s="94" t="n">
        <v>21684250.23</v>
      </c>
      <c r="M130" s="94" t="n">
        <v>3000000</v>
      </c>
      <c r="N130" s="94" t="n">
        <v>223282.6251000166</v>
      </c>
      <c r="O130" s="96">
        <f>IF(OR(I130="",J130="",L130="",N130=""),"",I130-J130-K130-L130-M130-N130)</f>
        <v/>
      </c>
      <c r="P130" s="91">
        <f>IF(OR(O130="",C130=""),"",O130*C130)</f>
        <v/>
      </c>
      <c r="Q130" s="69">
        <f>Q129-E130</f>
        <v/>
      </c>
      <c r="R130" s="97">
        <f>IF(OR(J130="",Q130=""),"",J130-Q130)</f>
        <v/>
      </c>
      <c r="S130" s="69">
        <f>IF(D130="",S129,S129+D130)</f>
        <v/>
      </c>
      <c r="T130" s="97">
        <f>IF(OR(L130="",S130=""),"",L130-S130)</f>
        <v/>
      </c>
      <c r="U130" s="69">
        <f>IF(F130="",U129,U129+F130)</f>
        <v/>
      </c>
      <c r="V130" s="97">
        <f>IF(OR(N130="",U130=""),"",N130-U130)</f>
        <v/>
      </c>
      <c r="W130" s="71">
        <f>IF(OR(C130="",C130=0,'Daily Data'!J130=""),"",'Daily Data'!J130/C130)</f>
        <v/>
      </c>
      <c r="X130" s="71">
        <f>IF(OR(C130="",C130=0,'Daily Data'!K130=""),"",'Daily Data'!K130/C130)</f>
        <v/>
      </c>
      <c r="Y130" s="71">
        <f>IF(OR(F130="",W130="",X130=""),"",F130-W130-X130)</f>
        <v/>
      </c>
      <c r="Z130" s="72" t="n">
        <v>355.18</v>
      </c>
      <c r="AA130" s="72" t="n">
        <v>62.68</v>
      </c>
      <c r="AB130" s="73">
        <f>Z130+AA130</f>
        <v/>
      </c>
      <c r="AC130" s="74">
        <f>IF(OR(E130="",E130=0,AB130=""),"",E130*365/(AB130*1000000))</f>
        <v/>
      </c>
      <c r="AD130" s="98">
        <f>IF(OR(O130="",O130=0,AB130=""),"",(AB130*1000000)/O130)</f>
        <v/>
      </c>
      <c r="AE130" s="99">
        <f>IF(H130="","",(Team_Genesis-H130)/1000000)</f>
        <v/>
      </c>
      <c r="AF130" s="99">
        <f>IF(OR(O130="",AE130=""),"",(O130-AE130*1000000)/1000000)</f>
        <v/>
      </c>
    </row>
    <row r="131">
      <c r="A131" s="35" t="n">
        <v>45785</v>
      </c>
      <c r="B131" s="90">
        <f>IF('Daily Data'!E131="","",'Daily Data'!E131)</f>
        <v/>
      </c>
      <c r="C131" s="65" t="n">
        <v>21.12</v>
      </c>
      <c r="D131" s="94" t="n">
        <v>94408.36</v>
      </c>
      <c r="E131" s="94" t="n">
        <v>26293.0763</v>
      </c>
      <c r="F131" s="94" t="n">
        <v>779.5515</v>
      </c>
      <c r="G131" s="94" t="n"/>
      <c r="H131" s="95">
        <f>SUM($G$4:G131)</f>
        <v/>
      </c>
      <c r="I131" s="94" t="n">
        <v>1000000000</v>
      </c>
      <c r="J131" s="95">
        <f>J130-E131</f>
        <v/>
      </c>
      <c r="K131" s="94" t="n">
        <v>60000000</v>
      </c>
      <c r="L131" s="94" t="n">
        <v>21778658.59</v>
      </c>
      <c r="M131" s="94" t="n">
        <v>3000000</v>
      </c>
      <c r="N131" s="94" t="n">
        <v>224062.176699996</v>
      </c>
      <c r="O131" s="96">
        <f>IF(OR(I131="",J131="",L131="",N131=""),"",I131-J131-K131-L131-M131-N131)</f>
        <v/>
      </c>
      <c r="P131" s="91">
        <f>IF(OR(O131="",C131=""),"",O131*C131)</f>
        <v/>
      </c>
      <c r="Q131" s="69">
        <f>Q130-E131</f>
        <v/>
      </c>
      <c r="R131" s="97">
        <f>IF(OR(J131="",Q131=""),"",J131-Q131)</f>
        <v/>
      </c>
      <c r="S131" s="69">
        <f>IF(D131="",S130,S130+D131)</f>
        <v/>
      </c>
      <c r="T131" s="97">
        <f>IF(OR(L131="",S131=""),"",L131-S131)</f>
        <v/>
      </c>
      <c r="U131" s="69">
        <f>IF(F131="",U130,U130+F131)</f>
        <v/>
      </c>
      <c r="V131" s="97">
        <f>IF(OR(N131="",U131=""),"",N131-U131)</f>
        <v/>
      </c>
      <c r="W131" s="71">
        <f>IF(OR(C131="",C131=0,'Daily Data'!J131=""),"",'Daily Data'!J131/C131)</f>
        <v/>
      </c>
      <c r="X131" s="71">
        <f>IF(OR(C131="",C131=0,'Daily Data'!K131=""),"",'Daily Data'!K131/C131)</f>
        <v/>
      </c>
      <c r="Y131" s="71">
        <f>IF(OR(F131="",W131="",X131=""),"",F131-W131-X131)</f>
        <v/>
      </c>
      <c r="Z131" s="72" t="n">
        <v>355.18</v>
      </c>
      <c r="AA131" s="72" t="n">
        <v>62.68</v>
      </c>
      <c r="AB131" s="73">
        <f>Z131+AA131</f>
        <v/>
      </c>
      <c r="AC131" s="74">
        <f>IF(OR(E131="",E131=0,AB131=""),"",E131*365/(AB131*1000000))</f>
        <v/>
      </c>
      <c r="AD131" s="98">
        <f>IF(OR(O131="",O131=0,AB131=""),"",(AB131*1000000)/O131)</f>
        <v/>
      </c>
      <c r="AE131" s="99">
        <f>IF(H131="","",(Team_Genesis-H131)/1000000)</f>
        <v/>
      </c>
      <c r="AF131" s="99">
        <f>IF(OR(O131="",AE131=""),"",(O131-AE131*1000000)/1000000)</f>
        <v/>
      </c>
    </row>
    <row r="132">
      <c r="A132" s="35" t="n">
        <v>45786</v>
      </c>
      <c r="B132" s="90">
        <f>IF('Daily Data'!E132="","",'Daily Data'!E132)</f>
        <v/>
      </c>
      <c r="C132" s="65" t="n">
        <v>23.17</v>
      </c>
      <c r="D132" s="94" t="n">
        <v>150005.11</v>
      </c>
      <c r="E132" s="94" t="n">
        <v>26286.2467</v>
      </c>
      <c r="F132" s="94" t="n">
        <v>2047.9404</v>
      </c>
      <c r="G132" s="94" t="n"/>
      <c r="H132" s="95">
        <f>SUM($G$4:G132)</f>
        <v/>
      </c>
      <c r="I132" s="94" t="n">
        <v>1000000000</v>
      </c>
      <c r="J132" s="95">
        <f>J131-E132</f>
        <v/>
      </c>
      <c r="K132" s="94" t="n">
        <v>60000000</v>
      </c>
      <c r="L132" s="94" t="n">
        <v>21928663.7</v>
      </c>
      <c r="M132" s="94" t="n">
        <v>3000000</v>
      </c>
      <c r="N132" s="94" t="n">
        <v>226110.1169999838</v>
      </c>
      <c r="O132" s="96">
        <f>IF(OR(I132="",J132="",L132="",N132=""),"",I132-J132-K132-L132-M132-N132)</f>
        <v/>
      </c>
      <c r="P132" s="91">
        <f>IF(OR(O132="",C132=""),"",O132*C132)</f>
        <v/>
      </c>
      <c r="Q132" s="69">
        <f>Q131-E132</f>
        <v/>
      </c>
      <c r="R132" s="97">
        <f>IF(OR(J132="",Q132=""),"",J132-Q132)</f>
        <v/>
      </c>
      <c r="S132" s="69">
        <f>IF(D132="",S131,S131+D132)</f>
        <v/>
      </c>
      <c r="T132" s="97">
        <f>IF(OR(L132="",S132=""),"",L132-S132)</f>
        <v/>
      </c>
      <c r="U132" s="69">
        <f>IF(F132="",U131,U131+F132)</f>
        <v/>
      </c>
      <c r="V132" s="97">
        <f>IF(OR(N132="",U132=""),"",N132-U132)</f>
        <v/>
      </c>
      <c r="W132" s="71">
        <f>IF(OR(C132="",C132=0,'Daily Data'!J132=""),"",'Daily Data'!J132/C132)</f>
        <v/>
      </c>
      <c r="X132" s="71">
        <f>IF(OR(C132="",C132=0,'Daily Data'!K132=""),"",'Daily Data'!K132/C132)</f>
        <v/>
      </c>
      <c r="Y132" s="71">
        <f>IF(OR(F132="",W132="",X132=""),"",F132-W132-X132)</f>
        <v/>
      </c>
      <c r="Z132" s="72" t="n">
        <v>355.18</v>
      </c>
      <c r="AA132" s="72" t="n">
        <v>62.68</v>
      </c>
      <c r="AB132" s="73">
        <f>Z132+AA132</f>
        <v/>
      </c>
      <c r="AC132" s="74">
        <f>IF(OR(E132="",E132=0,AB132=""),"",E132*365/(AB132*1000000))</f>
        <v/>
      </c>
      <c r="AD132" s="98">
        <f>IF(OR(O132="",O132=0,AB132=""),"",(AB132*1000000)/O132)</f>
        <v/>
      </c>
      <c r="AE132" s="99">
        <f>IF(H132="","",(Team_Genesis-H132)/1000000)</f>
        <v/>
      </c>
      <c r="AF132" s="99">
        <f>IF(OR(O132="",AE132=""),"",(O132-AE132*1000000)/1000000)</f>
        <v/>
      </c>
    </row>
    <row r="133">
      <c r="A133" s="35" t="n">
        <v>45787</v>
      </c>
      <c r="B133" s="90">
        <f>IF('Daily Data'!E133="","",'Daily Data'!E133)</f>
        <v/>
      </c>
      <c r="C133" s="65" t="n">
        <v>24.93</v>
      </c>
      <c r="D133" s="94" t="n">
        <v>78879.00999999999</v>
      </c>
      <c r="E133" s="94" t="n">
        <v>26264.9266</v>
      </c>
      <c r="F133" s="94" t="n">
        <v>1889.7992</v>
      </c>
      <c r="G133" s="94" t="n"/>
      <c r="H133" s="95">
        <f>SUM($G$4:G133)</f>
        <v/>
      </c>
      <c r="I133" s="94" t="n">
        <v>1000000000</v>
      </c>
      <c r="J133" s="95">
        <f>J132-E133</f>
        <v/>
      </c>
      <c r="K133" s="94" t="n">
        <v>60000000</v>
      </c>
      <c r="L133" s="94" t="n">
        <v>22007542.71</v>
      </c>
      <c r="M133" s="94" t="n">
        <v>3000000</v>
      </c>
      <c r="N133" s="94" t="n">
        <v>227999.9162000418</v>
      </c>
      <c r="O133" s="96">
        <f>IF(OR(I133="",J133="",L133="",N133=""),"",I133-J133-K133-L133-M133-N133)</f>
        <v/>
      </c>
      <c r="P133" s="91">
        <f>IF(OR(O133="",C133=""),"",O133*C133)</f>
        <v/>
      </c>
      <c r="Q133" s="69">
        <f>Q132-E133</f>
        <v/>
      </c>
      <c r="R133" s="97">
        <f>IF(OR(J133="",Q133=""),"",J133-Q133)</f>
        <v/>
      </c>
      <c r="S133" s="69">
        <f>IF(D133="",S132,S132+D133)</f>
        <v/>
      </c>
      <c r="T133" s="97">
        <f>IF(OR(L133="",S133=""),"",L133-S133)</f>
        <v/>
      </c>
      <c r="U133" s="69">
        <f>IF(F133="",U132,U132+F133)</f>
        <v/>
      </c>
      <c r="V133" s="97">
        <f>IF(OR(N133="",U133=""),"",N133-U133)</f>
        <v/>
      </c>
      <c r="W133" s="71">
        <f>IF(OR(C133="",C133=0,'Daily Data'!J133=""),"",'Daily Data'!J133/C133)</f>
        <v/>
      </c>
      <c r="X133" s="71">
        <f>IF(OR(C133="",C133=0,'Daily Data'!K133=""),"",'Daily Data'!K133/C133)</f>
        <v/>
      </c>
      <c r="Y133" s="71">
        <f>IF(OR(F133="",W133="",X133=""),"",F133-W133-X133)</f>
        <v/>
      </c>
      <c r="Z133" s="72" t="n">
        <v>355.18</v>
      </c>
      <c r="AA133" s="72" t="n">
        <v>62.68</v>
      </c>
      <c r="AB133" s="73">
        <f>Z133+AA133</f>
        <v/>
      </c>
      <c r="AC133" s="74">
        <f>IF(OR(E133="",E133=0,AB133=""),"",E133*365/(AB133*1000000))</f>
        <v/>
      </c>
      <c r="AD133" s="98">
        <f>IF(OR(O133="",O133=0,AB133=""),"",(AB133*1000000)/O133)</f>
        <v/>
      </c>
      <c r="AE133" s="99">
        <f>IF(H133="","",(Team_Genesis-H133)/1000000)</f>
        <v/>
      </c>
      <c r="AF133" s="99">
        <f>IF(OR(O133="",AE133=""),"",(O133-AE133*1000000)/1000000)</f>
        <v/>
      </c>
    </row>
    <row r="134">
      <c r="A134" s="35" t="n">
        <v>45788</v>
      </c>
      <c r="B134" s="90">
        <f>IF('Daily Data'!E134="","",'Daily Data'!E134)</f>
        <v/>
      </c>
      <c r="C134" s="65" t="n">
        <v>26.25</v>
      </c>
      <c r="D134" s="94" t="n">
        <v>85990.77</v>
      </c>
      <c r="E134" s="94" t="n">
        <v>26383.8354</v>
      </c>
      <c r="F134" s="94" t="n">
        <v>886.5262</v>
      </c>
      <c r="G134" s="94" t="n"/>
      <c r="H134" s="95">
        <f>SUM($G$4:G134)</f>
        <v/>
      </c>
      <c r="I134" s="94" t="n">
        <v>1000000000</v>
      </c>
      <c r="J134" s="95">
        <f>J133-E134</f>
        <v/>
      </c>
      <c r="K134" s="94" t="n">
        <v>60000000</v>
      </c>
      <c r="L134" s="94" t="n">
        <v>22093533.48</v>
      </c>
      <c r="M134" s="94" t="n">
        <v>3000000</v>
      </c>
      <c r="N134" s="94" t="n">
        <v>228886.4424999952</v>
      </c>
      <c r="O134" s="96">
        <f>IF(OR(I134="",J134="",L134="",N134=""),"",I134-J134-K134-L134-M134-N134)</f>
        <v/>
      </c>
      <c r="P134" s="91">
        <f>IF(OR(O134="",C134=""),"",O134*C134)</f>
        <v/>
      </c>
      <c r="Q134" s="69">
        <f>Q133-E134</f>
        <v/>
      </c>
      <c r="R134" s="97">
        <f>IF(OR(J134="",Q134=""),"",J134-Q134)</f>
        <v/>
      </c>
      <c r="S134" s="69">
        <f>IF(D134="",S133,S133+D134)</f>
        <v/>
      </c>
      <c r="T134" s="97">
        <f>IF(OR(L134="",S134=""),"",L134-S134)</f>
        <v/>
      </c>
      <c r="U134" s="69">
        <f>IF(F134="",U133,U133+F134)</f>
        <v/>
      </c>
      <c r="V134" s="97">
        <f>IF(OR(N134="",U134=""),"",N134-U134)</f>
        <v/>
      </c>
      <c r="W134" s="71">
        <f>IF(OR(C134="",C134=0,'Daily Data'!J134=""),"",'Daily Data'!J134/C134)</f>
        <v/>
      </c>
      <c r="X134" s="71">
        <f>IF(OR(C134="",C134=0,'Daily Data'!K134=""),"",'Daily Data'!K134/C134)</f>
        <v/>
      </c>
      <c r="Y134" s="71">
        <f>IF(OR(F134="",W134="",X134=""),"",F134-W134-X134)</f>
        <v/>
      </c>
      <c r="Z134" s="72" t="n">
        <v>355.18</v>
      </c>
      <c r="AA134" s="72" t="n">
        <v>62.68</v>
      </c>
      <c r="AB134" s="73">
        <f>Z134+AA134</f>
        <v/>
      </c>
      <c r="AC134" s="74">
        <f>IF(OR(E134="",E134=0,AB134=""),"",E134*365/(AB134*1000000))</f>
        <v/>
      </c>
      <c r="AD134" s="98">
        <f>IF(OR(O134="",O134=0,AB134=""),"",(AB134*1000000)/O134)</f>
        <v/>
      </c>
      <c r="AE134" s="99">
        <f>IF(H134="","",(Team_Genesis-H134)/1000000)</f>
        <v/>
      </c>
      <c r="AF134" s="99">
        <f>IF(OR(O134="",AE134=""),"",(O134-AE134*1000000)/1000000)</f>
        <v/>
      </c>
    </row>
    <row r="135">
      <c r="A135" s="35" t="n">
        <v>45789</v>
      </c>
      <c r="B135" s="90">
        <f>IF('Daily Data'!E135="","",'Daily Data'!E135)</f>
        <v/>
      </c>
      <c r="C135" s="65" t="n">
        <v>25.03</v>
      </c>
      <c r="D135" s="94" t="n">
        <v>81748.81</v>
      </c>
      <c r="E135" s="94" t="n">
        <v>26327.3026</v>
      </c>
      <c r="F135" s="94" t="n">
        <v>1125.8566</v>
      </c>
      <c r="G135" s="94" t="n"/>
      <c r="H135" s="95">
        <f>SUM($G$4:G135)</f>
        <v/>
      </c>
      <c r="I135" s="94" t="n">
        <v>1000000000</v>
      </c>
      <c r="J135" s="95">
        <f>J134-E135</f>
        <v/>
      </c>
      <c r="K135" s="94" t="n">
        <v>60000000</v>
      </c>
      <c r="L135" s="94" t="n">
        <v>22175282.29</v>
      </c>
      <c r="M135" s="94" t="n">
        <v>3000000</v>
      </c>
      <c r="N135" s="94" t="n">
        <v>230012.2990000248</v>
      </c>
      <c r="O135" s="96">
        <f>IF(OR(I135="",J135="",L135="",N135=""),"",I135-J135-K135-L135-M135-N135)</f>
        <v/>
      </c>
      <c r="P135" s="91">
        <f>IF(OR(O135="",C135=""),"",O135*C135)</f>
        <v/>
      </c>
      <c r="Q135" s="69">
        <f>Q134-E135</f>
        <v/>
      </c>
      <c r="R135" s="97">
        <f>IF(OR(J135="",Q135=""),"",J135-Q135)</f>
        <v/>
      </c>
      <c r="S135" s="69">
        <f>IF(D135="",S134,S134+D135)</f>
        <v/>
      </c>
      <c r="T135" s="97">
        <f>IF(OR(L135="",S135=""),"",L135-S135)</f>
        <v/>
      </c>
      <c r="U135" s="69">
        <f>IF(F135="",U134,U134+F135)</f>
        <v/>
      </c>
      <c r="V135" s="97">
        <f>IF(OR(N135="",U135=""),"",N135-U135)</f>
        <v/>
      </c>
      <c r="W135" s="71">
        <f>IF(OR(C135="",C135=0,'Daily Data'!J135=""),"",'Daily Data'!J135/C135)</f>
        <v/>
      </c>
      <c r="X135" s="71">
        <f>IF(OR(C135="",C135=0,'Daily Data'!K135=""),"",'Daily Data'!K135/C135)</f>
        <v/>
      </c>
      <c r="Y135" s="71">
        <f>IF(OR(F135="",W135="",X135=""),"",F135-W135-X135)</f>
        <v/>
      </c>
      <c r="Z135" s="72" t="n">
        <v>355.18</v>
      </c>
      <c r="AA135" s="72" t="n">
        <v>62.68</v>
      </c>
      <c r="AB135" s="73">
        <f>Z135+AA135</f>
        <v/>
      </c>
      <c r="AC135" s="74">
        <f>IF(OR(E135="",E135=0,AB135=""),"",E135*365/(AB135*1000000))</f>
        <v/>
      </c>
      <c r="AD135" s="98">
        <f>IF(OR(O135="",O135=0,AB135=""),"",(AB135*1000000)/O135)</f>
        <v/>
      </c>
      <c r="AE135" s="99">
        <f>IF(H135="","",(Team_Genesis-H135)/1000000)</f>
        <v/>
      </c>
      <c r="AF135" s="99">
        <f>IF(OR(O135="",AE135=""),"",(O135-AE135*1000000)/1000000)</f>
        <v/>
      </c>
    </row>
    <row r="136">
      <c r="A136" s="35" t="n">
        <v>45790</v>
      </c>
      <c r="B136" s="90">
        <f>IF('Daily Data'!E136="","",'Daily Data'!E136)</f>
        <v/>
      </c>
      <c r="C136" s="65" t="n">
        <v>24.51</v>
      </c>
      <c r="D136" s="94" t="n">
        <v>115846.18</v>
      </c>
      <c r="E136" s="94" t="n">
        <v>26375.9894</v>
      </c>
      <c r="F136" s="94" t="n">
        <v>1150.7927</v>
      </c>
      <c r="G136" s="94" t="n"/>
      <c r="H136" s="95">
        <f>SUM($G$4:G136)</f>
        <v/>
      </c>
      <c r="I136" s="94" t="n">
        <v>1000000000</v>
      </c>
      <c r="J136" s="95">
        <f>J135-E136</f>
        <v/>
      </c>
      <c r="K136" s="94" t="n">
        <v>60000000</v>
      </c>
      <c r="L136" s="94" t="n">
        <v>22291128.47</v>
      </c>
      <c r="M136" s="94" t="n">
        <v>3000000</v>
      </c>
      <c r="N136" s="94" t="n">
        <v>231163.0916999578</v>
      </c>
      <c r="O136" s="96">
        <f>IF(OR(I136="",J136="",L136="",N136=""),"",I136-J136-K136-L136-M136-N136)</f>
        <v/>
      </c>
      <c r="P136" s="91">
        <f>IF(OR(O136="",C136=""),"",O136*C136)</f>
        <v/>
      </c>
      <c r="Q136" s="69">
        <f>Q135-E136</f>
        <v/>
      </c>
      <c r="R136" s="97">
        <f>IF(OR(J136="",Q136=""),"",J136-Q136)</f>
        <v/>
      </c>
      <c r="S136" s="69">
        <f>IF(D136="",S135,S135+D136)</f>
        <v/>
      </c>
      <c r="T136" s="97">
        <f>IF(OR(L136="",S136=""),"",L136-S136)</f>
        <v/>
      </c>
      <c r="U136" s="69">
        <f>IF(F136="",U135,U135+F136)</f>
        <v/>
      </c>
      <c r="V136" s="97">
        <f>IF(OR(N136="",U136=""),"",N136-U136)</f>
        <v/>
      </c>
      <c r="W136" s="71">
        <f>IF(OR(C136="",C136=0,'Daily Data'!J136=""),"",'Daily Data'!J136/C136)</f>
        <v/>
      </c>
      <c r="X136" s="71">
        <f>IF(OR(C136="",C136=0,'Daily Data'!K136=""),"",'Daily Data'!K136/C136)</f>
        <v/>
      </c>
      <c r="Y136" s="71">
        <f>IF(OR(F136="",W136="",X136=""),"",F136-W136-X136)</f>
        <v/>
      </c>
      <c r="Z136" s="72" t="n">
        <v>355.18</v>
      </c>
      <c r="AA136" s="72" t="n">
        <v>62.68</v>
      </c>
      <c r="AB136" s="73">
        <f>Z136+AA136</f>
        <v/>
      </c>
      <c r="AC136" s="74">
        <f>IF(OR(E136="",E136=0,AB136=""),"",E136*365/(AB136*1000000))</f>
        <v/>
      </c>
      <c r="AD136" s="98">
        <f>IF(OR(O136="",O136=0,AB136=""),"",(AB136*1000000)/O136)</f>
        <v/>
      </c>
      <c r="AE136" s="99">
        <f>IF(H136="","",(Team_Genesis-H136)/1000000)</f>
        <v/>
      </c>
      <c r="AF136" s="99">
        <f>IF(OR(O136="",AE136=""),"",(O136-AE136*1000000)/1000000)</f>
        <v/>
      </c>
    </row>
    <row r="137">
      <c r="A137" s="35" t="n">
        <v>45791</v>
      </c>
      <c r="B137" s="90">
        <f>IF('Daily Data'!E137="","",'Daily Data'!E137)</f>
        <v/>
      </c>
      <c r="C137" s="65" t="n">
        <v>25.68</v>
      </c>
      <c r="D137" s="94" t="n">
        <v>96039.05</v>
      </c>
      <c r="E137" s="94" t="n">
        <v>26379.0101</v>
      </c>
      <c r="F137" s="94" t="n">
        <v>998.4329</v>
      </c>
      <c r="G137" s="94" t="n"/>
      <c r="H137" s="95">
        <f>SUM($G$4:G137)</f>
        <v/>
      </c>
      <c r="I137" s="94" t="n">
        <v>1000000000</v>
      </c>
      <c r="J137" s="95">
        <f>J136-E137</f>
        <v/>
      </c>
      <c r="K137" s="94" t="n">
        <v>60000000</v>
      </c>
      <c r="L137" s="94" t="n">
        <v>22387167.52</v>
      </c>
      <c r="M137" s="94" t="n">
        <v>3000000</v>
      </c>
      <c r="N137" s="94" t="n">
        <v>232161.524600029</v>
      </c>
      <c r="O137" s="96">
        <f>IF(OR(I137="",J137="",L137="",N137=""),"",I137-J137-K137-L137-M137-N137)</f>
        <v/>
      </c>
      <c r="P137" s="91">
        <f>IF(OR(O137="",C137=""),"",O137*C137)</f>
        <v/>
      </c>
      <c r="Q137" s="69">
        <f>Q136-E137</f>
        <v/>
      </c>
      <c r="R137" s="97">
        <f>IF(OR(J137="",Q137=""),"",J137-Q137)</f>
        <v/>
      </c>
      <c r="S137" s="69">
        <f>IF(D137="",S136,S136+D137)</f>
        <v/>
      </c>
      <c r="T137" s="97">
        <f>IF(OR(L137="",S137=""),"",L137-S137)</f>
        <v/>
      </c>
      <c r="U137" s="69">
        <f>IF(F137="",U136,U136+F137)</f>
        <v/>
      </c>
      <c r="V137" s="97">
        <f>IF(OR(N137="",U137=""),"",N137-U137)</f>
        <v/>
      </c>
      <c r="W137" s="71">
        <f>IF(OR(C137="",C137=0,'Daily Data'!J137=""),"",'Daily Data'!J137/C137)</f>
        <v/>
      </c>
      <c r="X137" s="71">
        <f>IF(OR(C137="",C137=0,'Daily Data'!K137=""),"",'Daily Data'!K137/C137)</f>
        <v/>
      </c>
      <c r="Y137" s="71">
        <f>IF(OR(F137="",W137="",X137=""),"",F137-W137-X137)</f>
        <v/>
      </c>
      <c r="Z137" s="72" t="n">
        <v>355.18</v>
      </c>
      <c r="AA137" s="72" t="n">
        <v>62.68</v>
      </c>
      <c r="AB137" s="73">
        <f>Z137+AA137</f>
        <v/>
      </c>
      <c r="AC137" s="74">
        <f>IF(OR(E137="",E137=0,AB137=""),"",E137*365/(AB137*1000000))</f>
        <v/>
      </c>
      <c r="AD137" s="98">
        <f>IF(OR(O137="",O137=0,AB137=""),"",(AB137*1000000)/O137)</f>
        <v/>
      </c>
      <c r="AE137" s="99">
        <f>IF(H137="","",(Team_Genesis-H137)/1000000)</f>
        <v/>
      </c>
      <c r="AF137" s="99">
        <f>IF(OR(O137="",AE137=""),"",(O137-AE137*1000000)/1000000)</f>
        <v/>
      </c>
    </row>
    <row r="138">
      <c r="A138" s="35" t="n">
        <v>45792</v>
      </c>
      <c r="B138" s="90">
        <f>IF('Daily Data'!E138="","",'Daily Data'!E138)</f>
        <v/>
      </c>
      <c r="C138" s="65" t="n">
        <v>25.28</v>
      </c>
      <c r="D138" s="94" t="n">
        <v>72382.53</v>
      </c>
      <c r="E138" s="94" t="n">
        <v>26336.2435</v>
      </c>
      <c r="F138" s="94" t="n">
        <v>667.6346</v>
      </c>
      <c r="G138" s="94" t="n"/>
      <c r="H138" s="95">
        <f>SUM($G$4:G138)</f>
        <v/>
      </c>
      <c r="I138" s="94" t="n">
        <v>1000000000</v>
      </c>
      <c r="J138" s="95">
        <f>J137-E138</f>
        <v/>
      </c>
      <c r="K138" s="94" t="n">
        <v>60000000</v>
      </c>
      <c r="L138" s="94" t="n">
        <v>22459550.05</v>
      </c>
      <c r="M138" s="94" t="n">
        <v>3000000</v>
      </c>
      <c r="N138" s="94" t="n">
        <v>232829.1592999697</v>
      </c>
      <c r="O138" s="96">
        <f>IF(OR(I138="",J138="",L138="",N138=""),"",I138-J138-K138-L138-M138-N138)</f>
        <v/>
      </c>
      <c r="P138" s="91">
        <f>IF(OR(O138="",C138=""),"",O138*C138)</f>
        <v/>
      </c>
      <c r="Q138" s="69">
        <f>Q137-E138</f>
        <v/>
      </c>
      <c r="R138" s="97">
        <f>IF(OR(J138="",Q138=""),"",J138-Q138)</f>
        <v/>
      </c>
      <c r="S138" s="69">
        <f>IF(D138="",S137,S137+D138)</f>
        <v/>
      </c>
      <c r="T138" s="97">
        <f>IF(OR(L138="",S138=""),"",L138-S138)</f>
        <v/>
      </c>
      <c r="U138" s="69">
        <f>IF(F138="",U137,U137+F138)</f>
        <v/>
      </c>
      <c r="V138" s="97">
        <f>IF(OR(N138="",U138=""),"",N138-U138)</f>
        <v/>
      </c>
      <c r="W138" s="71">
        <f>IF(OR(C138="",C138=0,'Daily Data'!J138=""),"",'Daily Data'!J138/C138)</f>
        <v/>
      </c>
      <c r="X138" s="71">
        <f>IF(OR(C138="",C138=0,'Daily Data'!K138=""),"",'Daily Data'!K138/C138)</f>
        <v/>
      </c>
      <c r="Y138" s="71">
        <f>IF(OR(F138="",W138="",X138=""),"",F138-W138-X138)</f>
        <v/>
      </c>
      <c r="Z138" s="72" t="n">
        <v>355.18</v>
      </c>
      <c r="AA138" s="72" t="n">
        <v>62.68</v>
      </c>
      <c r="AB138" s="73">
        <f>Z138+AA138</f>
        <v/>
      </c>
      <c r="AC138" s="74">
        <f>IF(OR(E138="",E138=0,AB138=""),"",E138*365/(AB138*1000000))</f>
        <v/>
      </c>
      <c r="AD138" s="98">
        <f>IF(OR(O138="",O138=0,AB138=""),"",(AB138*1000000)/O138)</f>
        <v/>
      </c>
      <c r="AE138" s="99">
        <f>IF(H138="","",(Team_Genesis-H138)/1000000)</f>
        <v/>
      </c>
      <c r="AF138" s="99">
        <f>IF(OR(O138="",AE138=""),"",(O138-AE138*1000000)/1000000)</f>
        <v/>
      </c>
    </row>
    <row r="139">
      <c r="A139" s="35" t="n">
        <v>45793</v>
      </c>
      <c r="B139" s="90">
        <f>IF('Daily Data'!E139="","",'Daily Data'!E139)</f>
        <v/>
      </c>
      <c r="C139" s="65" t="n">
        <v>26.26</v>
      </c>
      <c r="D139" s="94" t="n">
        <v>84745.06</v>
      </c>
      <c r="E139" s="94" t="n">
        <v>26356.8899</v>
      </c>
      <c r="F139" s="94" t="n">
        <v>821.8124</v>
      </c>
      <c r="G139" s="94" t="n"/>
      <c r="H139" s="95">
        <f>SUM($G$4:G139)</f>
        <v/>
      </c>
      <c r="I139" s="94" t="n">
        <v>1000000000</v>
      </c>
      <c r="J139" s="95">
        <f>J138-E139</f>
        <v/>
      </c>
      <c r="K139" s="94" t="n">
        <v>60000000</v>
      </c>
      <c r="L139" s="94" t="n">
        <v>22544295.11</v>
      </c>
      <c r="M139" s="94" t="n">
        <v>3000000</v>
      </c>
      <c r="N139" s="94" t="n">
        <v>233650.9716999531</v>
      </c>
      <c r="O139" s="96">
        <f>IF(OR(I139="",J139="",L139="",N139=""),"",I139-J139-K139-L139-M139-N139)</f>
        <v/>
      </c>
      <c r="P139" s="91">
        <f>IF(OR(O139="",C139=""),"",O139*C139)</f>
        <v/>
      </c>
      <c r="Q139" s="69">
        <f>Q138-E139</f>
        <v/>
      </c>
      <c r="R139" s="97">
        <f>IF(OR(J139="",Q139=""),"",J139-Q139)</f>
        <v/>
      </c>
      <c r="S139" s="69">
        <f>IF(D139="",S138,S138+D139)</f>
        <v/>
      </c>
      <c r="T139" s="97">
        <f>IF(OR(L139="",S139=""),"",L139-S139)</f>
        <v/>
      </c>
      <c r="U139" s="69">
        <f>IF(F139="",U138,U138+F139)</f>
        <v/>
      </c>
      <c r="V139" s="97">
        <f>IF(OR(N139="",U139=""),"",N139-U139)</f>
        <v/>
      </c>
      <c r="W139" s="71">
        <f>IF(OR(C139="",C139=0,'Daily Data'!J139=""),"",'Daily Data'!J139/C139)</f>
        <v/>
      </c>
      <c r="X139" s="71">
        <f>IF(OR(C139="",C139=0,'Daily Data'!K139=""),"",'Daily Data'!K139/C139)</f>
        <v/>
      </c>
      <c r="Y139" s="71">
        <f>IF(OR(F139="",W139="",X139=""),"",F139-W139-X139)</f>
        <v/>
      </c>
      <c r="Z139" s="72" t="n">
        <v>355.18</v>
      </c>
      <c r="AA139" s="72" t="n">
        <v>62.68</v>
      </c>
      <c r="AB139" s="73">
        <f>Z139+AA139</f>
        <v/>
      </c>
      <c r="AC139" s="74">
        <f>IF(OR(E139="",E139=0,AB139=""),"",E139*365/(AB139*1000000))</f>
        <v/>
      </c>
      <c r="AD139" s="98">
        <f>IF(OR(O139="",O139=0,AB139=""),"",(AB139*1000000)/O139)</f>
        <v/>
      </c>
      <c r="AE139" s="99">
        <f>IF(H139="","",(Team_Genesis-H139)/1000000)</f>
        <v/>
      </c>
      <c r="AF139" s="99">
        <f>IF(OR(O139="",AE139=""),"",(O139-AE139*1000000)/1000000)</f>
        <v/>
      </c>
    </row>
    <row r="140">
      <c r="A140" s="35" t="n">
        <v>45794</v>
      </c>
      <c r="B140" s="90">
        <f>IF('Daily Data'!E140="","",'Daily Data'!E140)</f>
        <v/>
      </c>
      <c r="C140" s="65" t="n">
        <v>26.74</v>
      </c>
      <c r="D140" s="94" t="n">
        <v>69880.88</v>
      </c>
      <c r="E140" s="94" t="n">
        <v>26319.8402</v>
      </c>
      <c r="F140" s="94" t="n">
        <v>1419.0542</v>
      </c>
      <c r="G140" s="94" t="n"/>
      <c r="H140" s="95">
        <f>SUM($G$4:G140)</f>
        <v/>
      </c>
      <c r="I140" s="94" t="n">
        <v>1000000000</v>
      </c>
      <c r="J140" s="95">
        <f>J139-E140</f>
        <v/>
      </c>
      <c r="K140" s="94" t="n">
        <v>60000000</v>
      </c>
      <c r="L140" s="94" t="n">
        <v>22614175.99</v>
      </c>
      <c r="M140" s="94" t="n">
        <v>3000000</v>
      </c>
      <c r="N140" s="94" t="n">
        <v>235070.0259000063</v>
      </c>
      <c r="O140" s="96">
        <f>IF(OR(I140="",J140="",L140="",N140=""),"",I140-J140-K140-L140-M140-N140)</f>
        <v/>
      </c>
      <c r="P140" s="91">
        <f>IF(OR(O140="",C140=""),"",O140*C140)</f>
        <v/>
      </c>
      <c r="Q140" s="69">
        <f>Q139-E140</f>
        <v/>
      </c>
      <c r="R140" s="97">
        <f>IF(OR(J140="",Q140=""),"",J140-Q140)</f>
        <v/>
      </c>
      <c r="S140" s="69">
        <f>IF(D140="",S139,S139+D140)</f>
        <v/>
      </c>
      <c r="T140" s="97">
        <f>IF(OR(L140="",S140=""),"",L140-S140)</f>
        <v/>
      </c>
      <c r="U140" s="69">
        <f>IF(F140="",U139,U139+F140)</f>
        <v/>
      </c>
      <c r="V140" s="97">
        <f>IF(OR(N140="",U140=""),"",N140-U140)</f>
        <v/>
      </c>
      <c r="W140" s="71">
        <f>IF(OR(C140="",C140=0,'Daily Data'!J140=""),"",'Daily Data'!J140/C140)</f>
        <v/>
      </c>
      <c r="X140" s="71">
        <f>IF(OR(C140="",C140=0,'Daily Data'!K140=""),"",'Daily Data'!K140/C140)</f>
        <v/>
      </c>
      <c r="Y140" s="71">
        <f>IF(OR(F140="",W140="",X140=""),"",F140-W140-X140)</f>
        <v/>
      </c>
      <c r="Z140" s="72" t="n">
        <v>355.18</v>
      </c>
      <c r="AA140" s="72" t="n">
        <v>62.68</v>
      </c>
      <c r="AB140" s="73">
        <f>Z140+AA140</f>
        <v/>
      </c>
      <c r="AC140" s="74">
        <f>IF(OR(E140="",E140=0,AB140=""),"",E140*365/(AB140*1000000))</f>
        <v/>
      </c>
      <c r="AD140" s="98">
        <f>IF(OR(O140="",O140=0,AB140=""),"",(AB140*1000000)/O140)</f>
        <v/>
      </c>
      <c r="AE140" s="99">
        <f>IF(H140="","",(Team_Genesis-H140)/1000000)</f>
        <v/>
      </c>
      <c r="AF140" s="99">
        <f>IF(OR(O140="",AE140=""),"",(O140-AE140*1000000)/1000000)</f>
        <v/>
      </c>
    </row>
    <row r="141">
      <c r="A141" s="35" t="n">
        <v>45795</v>
      </c>
      <c r="B141" s="90">
        <f>IF('Daily Data'!E141="","",'Daily Data'!E141)</f>
        <v/>
      </c>
      <c r="C141" s="65" t="n">
        <v>26</v>
      </c>
      <c r="D141" s="94" t="n">
        <v>34506.07</v>
      </c>
      <c r="E141" s="94" t="n">
        <v>26317.2146</v>
      </c>
      <c r="F141" s="94" t="n">
        <v>991.9164</v>
      </c>
      <c r="G141" s="94" t="n"/>
      <c r="H141" s="95">
        <f>SUM($G$4:G141)</f>
        <v/>
      </c>
      <c r="I141" s="94" t="n">
        <v>1000000000</v>
      </c>
      <c r="J141" s="95">
        <f>J140-E141</f>
        <v/>
      </c>
      <c r="K141" s="94" t="n">
        <v>60000000</v>
      </c>
      <c r="L141" s="94" t="n">
        <v>22648682.06</v>
      </c>
      <c r="M141" s="94" t="n">
        <v>3000000</v>
      </c>
      <c r="N141" s="94" t="n">
        <v>236061.942299962</v>
      </c>
      <c r="O141" s="96">
        <f>IF(OR(I141="",J141="",L141="",N141=""),"",I141-J141-K141-L141-M141-N141)</f>
        <v/>
      </c>
      <c r="P141" s="91">
        <f>IF(OR(O141="",C141=""),"",O141*C141)</f>
        <v/>
      </c>
      <c r="Q141" s="69">
        <f>Q140-E141</f>
        <v/>
      </c>
      <c r="R141" s="97">
        <f>IF(OR(J141="",Q141=""),"",J141-Q141)</f>
        <v/>
      </c>
      <c r="S141" s="69">
        <f>IF(D141="",S140,S140+D141)</f>
        <v/>
      </c>
      <c r="T141" s="97">
        <f>IF(OR(L141="",S141=""),"",L141-S141)</f>
        <v/>
      </c>
      <c r="U141" s="69">
        <f>IF(F141="",U140,U140+F141)</f>
        <v/>
      </c>
      <c r="V141" s="97">
        <f>IF(OR(N141="",U141=""),"",N141-U141)</f>
        <v/>
      </c>
      <c r="W141" s="71">
        <f>IF(OR(C141="",C141=0,'Daily Data'!J141=""),"",'Daily Data'!J141/C141)</f>
        <v/>
      </c>
      <c r="X141" s="71">
        <f>IF(OR(C141="",C141=0,'Daily Data'!K141=""),"",'Daily Data'!K141/C141)</f>
        <v/>
      </c>
      <c r="Y141" s="71">
        <f>IF(OR(F141="",W141="",X141=""),"",F141-W141-X141)</f>
        <v/>
      </c>
      <c r="Z141" s="72" t="n">
        <v>355.18</v>
      </c>
      <c r="AA141" s="72" t="n">
        <v>62.68</v>
      </c>
      <c r="AB141" s="73">
        <f>Z141+AA141</f>
        <v/>
      </c>
      <c r="AC141" s="74">
        <f>IF(OR(E141="",E141=0,AB141=""),"",E141*365/(AB141*1000000))</f>
        <v/>
      </c>
      <c r="AD141" s="98">
        <f>IF(OR(O141="",O141=0,AB141=""),"",(AB141*1000000)/O141)</f>
        <v/>
      </c>
      <c r="AE141" s="99">
        <f>IF(H141="","",(Team_Genesis-H141)/1000000)</f>
        <v/>
      </c>
      <c r="AF141" s="99">
        <f>IF(OR(O141="",AE141=""),"",(O141-AE141*1000000)/1000000)</f>
        <v/>
      </c>
    </row>
    <row r="142">
      <c r="A142" s="35" t="n">
        <v>45796</v>
      </c>
      <c r="B142" s="90">
        <f>IF('Daily Data'!E142="","",'Daily Data'!E142)</f>
        <v/>
      </c>
      <c r="C142" s="65" t="n">
        <v>27.07</v>
      </c>
      <c r="D142" s="94" t="n">
        <v>116816.87</v>
      </c>
      <c r="E142" s="94" t="n">
        <v>26301.7686</v>
      </c>
      <c r="F142" s="94" t="n">
        <v>844.6677</v>
      </c>
      <c r="G142" s="94" t="n"/>
      <c r="H142" s="95">
        <f>SUM($G$4:G142)</f>
        <v/>
      </c>
      <c r="I142" s="94" t="n">
        <v>1000000000</v>
      </c>
      <c r="J142" s="95">
        <f>J141-E142</f>
        <v/>
      </c>
      <c r="K142" s="94" t="n">
        <v>60000000</v>
      </c>
      <c r="L142" s="94" t="n">
        <v>22765498.93</v>
      </c>
      <c r="M142" s="94" t="n">
        <v>3000000</v>
      </c>
      <c r="N142" s="94" t="n">
        <v>236906.6100000143</v>
      </c>
      <c r="O142" s="96">
        <f>IF(OR(I142="",J142="",L142="",N142=""),"",I142-J142-K142-L142-M142-N142)</f>
        <v/>
      </c>
      <c r="P142" s="91">
        <f>IF(OR(O142="",C142=""),"",O142*C142)</f>
        <v/>
      </c>
      <c r="Q142" s="69">
        <f>Q141-E142</f>
        <v/>
      </c>
      <c r="R142" s="97">
        <f>IF(OR(J142="",Q142=""),"",J142-Q142)</f>
        <v/>
      </c>
      <c r="S142" s="69">
        <f>IF(D142="",S141,S141+D142)</f>
        <v/>
      </c>
      <c r="T142" s="97">
        <f>IF(OR(L142="",S142=""),"",L142-S142)</f>
        <v/>
      </c>
      <c r="U142" s="69">
        <f>IF(F142="",U141,U141+F142)</f>
        <v/>
      </c>
      <c r="V142" s="97">
        <f>IF(OR(N142="",U142=""),"",N142-U142)</f>
        <v/>
      </c>
      <c r="W142" s="71">
        <f>IF(OR(C142="",C142=0,'Daily Data'!J142=""),"",'Daily Data'!J142/C142)</f>
        <v/>
      </c>
      <c r="X142" s="71">
        <f>IF(OR(C142="",C142=0,'Daily Data'!K142=""),"",'Daily Data'!K142/C142)</f>
        <v/>
      </c>
      <c r="Y142" s="71">
        <f>IF(OR(F142="",W142="",X142=""),"",F142-W142-X142)</f>
        <v/>
      </c>
      <c r="Z142" s="72" t="n">
        <v>355.18</v>
      </c>
      <c r="AA142" s="72" t="n">
        <v>62.68</v>
      </c>
      <c r="AB142" s="73">
        <f>Z142+AA142</f>
        <v/>
      </c>
      <c r="AC142" s="74">
        <f>IF(OR(E142="",E142=0,AB142=""),"",E142*365/(AB142*1000000))</f>
        <v/>
      </c>
      <c r="AD142" s="98">
        <f>IF(OR(O142="",O142=0,AB142=""),"",(AB142*1000000)/O142)</f>
        <v/>
      </c>
      <c r="AE142" s="99">
        <f>IF(H142="","",(Team_Genesis-H142)/1000000)</f>
        <v/>
      </c>
      <c r="AF142" s="99">
        <f>IF(OR(O142="",AE142=""),"",(O142-AE142*1000000)/1000000)</f>
        <v/>
      </c>
    </row>
    <row r="143">
      <c r="A143" s="35" t="n">
        <v>45797</v>
      </c>
      <c r="B143" s="90">
        <f>IF('Daily Data'!E143="","",'Daily Data'!E143)</f>
        <v/>
      </c>
      <c r="C143" s="65" t="n">
        <v>26.64</v>
      </c>
      <c r="D143" s="94" t="n">
        <v>90221.34</v>
      </c>
      <c r="E143" s="94" t="n">
        <v>26318.4723</v>
      </c>
      <c r="F143" s="94" t="n">
        <v>1017.3268</v>
      </c>
      <c r="G143" s="94" t="n"/>
      <c r="H143" s="95">
        <f>SUM($G$4:G143)</f>
        <v/>
      </c>
      <c r="I143" s="94" t="n">
        <v>1000000000</v>
      </c>
      <c r="J143" s="95">
        <f>J142-E143</f>
        <v/>
      </c>
      <c r="K143" s="94" t="n">
        <v>60000000</v>
      </c>
      <c r="L143" s="94" t="n">
        <v>22855720.27</v>
      </c>
      <c r="M143" s="94" t="n">
        <v>3000000</v>
      </c>
      <c r="N143" s="94" t="n">
        <v>237923.9368000031</v>
      </c>
      <c r="O143" s="96">
        <f>IF(OR(I143="",J143="",L143="",N143=""),"",I143-J143-K143-L143-M143-N143)</f>
        <v/>
      </c>
      <c r="P143" s="91">
        <f>IF(OR(O143="",C143=""),"",O143*C143)</f>
        <v/>
      </c>
      <c r="Q143" s="69">
        <f>Q142-E143</f>
        <v/>
      </c>
      <c r="R143" s="97">
        <f>IF(OR(J143="",Q143=""),"",J143-Q143)</f>
        <v/>
      </c>
      <c r="S143" s="69">
        <f>IF(D143="",S142,S142+D143)</f>
        <v/>
      </c>
      <c r="T143" s="97">
        <f>IF(OR(L143="",S143=""),"",L143-S143)</f>
        <v/>
      </c>
      <c r="U143" s="69">
        <f>IF(F143="",U142,U142+F143)</f>
        <v/>
      </c>
      <c r="V143" s="97">
        <f>IF(OR(N143="",U143=""),"",N143-U143)</f>
        <v/>
      </c>
      <c r="W143" s="71">
        <f>IF(OR(C143="",C143=0,'Daily Data'!J143=""),"",'Daily Data'!J143/C143)</f>
        <v/>
      </c>
      <c r="X143" s="71">
        <f>IF(OR(C143="",C143=0,'Daily Data'!K143=""),"",'Daily Data'!K143/C143)</f>
        <v/>
      </c>
      <c r="Y143" s="71">
        <f>IF(OR(F143="",W143="",X143=""),"",F143-W143-X143)</f>
        <v/>
      </c>
      <c r="Z143" s="72" t="n">
        <v>355.18</v>
      </c>
      <c r="AA143" s="72" t="n">
        <v>62.68</v>
      </c>
      <c r="AB143" s="73">
        <f>Z143+AA143</f>
        <v/>
      </c>
      <c r="AC143" s="74">
        <f>IF(OR(E143="",E143=0,AB143=""),"",E143*365/(AB143*1000000))</f>
        <v/>
      </c>
      <c r="AD143" s="98">
        <f>IF(OR(O143="",O143=0,AB143=""),"",(AB143*1000000)/O143)</f>
        <v/>
      </c>
      <c r="AE143" s="99">
        <f>IF(H143="","",(Team_Genesis-H143)/1000000)</f>
        <v/>
      </c>
      <c r="AF143" s="99">
        <f>IF(OR(O143="",AE143=""),"",(O143-AE143*1000000)/1000000)</f>
        <v/>
      </c>
    </row>
    <row r="144">
      <c r="A144" s="35" t="n">
        <v>45798</v>
      </c>
      <c r="B144" s="90">
        <f>IF('Daily Data'!E144="","",'Daily Data'!E144)</f>
        <v/>
      </c>
      <c r="C144" s="65" t="n">
        <v>26.46</v>
      </c>
      <c r="D144" s="94" t="n">
        <v>117416.77</v>
      </c>
      <c r="E144" s="94" t="n">
        <v>26382.9301</v>
      </c>
      <c r="F144" s="94" t="n">
        <v>742.3954</v>
      </c>
      <c r="G144" s="94" t="n"/>
      <c r="H144" s="95">
        <f>SUM($G$4:G144)</f>
        <v/>
      </c>
      <c r="I144" s="94" t="n">
        <v>1000000000</v>
      </c>
      <c r="J144" s="95">
        <f>J143-E144</f>
        <v/>
      </c>
      <c r="K144" s="94" t="n">
        <v>60000000</v>
      </c>
      <c r="L144" s="94" t="n">
        <v>22973137.04</v>
      </c>
      <c r="M144" s="94" t="n">
        <v>3000000</v>
      </c>
      <c r="N144" s="94" t="n">
        <v>238666.3321000338</v>
      </c>
      <c r="O144" s="96">
        <f>IF(OR(I144="",J144="",L144="",N144=""),"",I144-J144-K144-L144-M144-N144)</f>
        <v/>
      </c>
      <c r="P144" s="91">
        <f>IF(OR(O144="",C144=""),"",O144*C144)</f>
        <v/>
      </c>
      <c r="Q144" s="69">
        <f>Q143-E144</f>
        <v/>
      </c>
      <c r="R144" s="97">
        <f>IF(OR(J144="",Q144=""),"",J144-Q144)</f>
        <v/>
      </c>
      <c r="S144" s="69">
        <f>IF(D144="",S143,S143+D144)</f>
        <v/>
      </c>
      <c r="T144" s="97">
        <f>IF(OR(L144="",S144=""),"",L144-S144)</f>
        <v/>
      </c>
      <c r="U144" s="69">
        <f>IF(F144="",U143,U143+F144)</f>
        <v/>
      </c>
      <c r="V144" s="97">
        <f>IF(OR(N144="",U144=""),"",N144-U144)</f>
        <v/>
      </c>
      <c r="W144" s="71">
        <f>IF(OR(C144="",C144=0,'Daily Data'!J144=""),"",'Daily Data'!J144/C144)</f>
        <v/>
      </c>
      <c r="X144" s="71">
        <f>IF(OR(C144="",C144=0,'Daily Data'!K144=""),"",'Daily Data'!K144/C144)</f>
        <v/>
      </c>
      <c r="Y144" s="71">
        <f>IF(OR(F144="",W144="",X144=""),"",F144-W144-X144)</f>
        <v/>
      </c>
      <c r="Z144" s="72" t="n">
        <v>355.18</v>
      </c>
      <c r="AA144" s="72" t="n">
        <v>62.68</v>
      </c>
      <c r="AB144" s="73">
        <f>Z144+AA144</f>
        <v/>
      </c>
      <c r="AC144" s="74">
        <f>IF(OR(E144="",E144=0,AB144=""),"",E144*365/(AB144*1000000))</f>
        <v/>
      </c>
      <c r="AD144" s="98">
        <f>IF(OR(O144="",O144=0,AB144=""),"",(AB144*1000000)/O144)</f>
        <v/>
      </c>
      <c r="AE144" s="99">
        <f>IF(H144="","",(Team_Genesis-H144)/1000000)</f>
        <v/>
      </c>
      <c r="AF144" s="99">
        <f>IF(OR(O144="",AE144=""),"",(O144-AE144*1000000)/1000000)</f>
        <v/>
      </c>
    </row>
    <row r="145">
      <c r="A145" s="35" t="n">
        <v>45799</v>
      </c>
      <c r="B145" s="90">
        <f>IF('Daily Data'!E145="","",'Daily Data'!E145)</f>
        <v/>
      </c>
      <c r="C145" s="65" t="n">
        <v>28.24</v>
      </c>
      <c r="D145" s="94" t="n">
        <v>183172.39</v>
      </c>
      <c r="E145" s="94" t="n">
        <v>26369.2575</v>
      </c>
      <c r="F145" s="94" t="n">
        <v>1400.0976</v>
      </c>
      <c r="G145" s="94" t="n"/>
      <c r="H145" s="95">
        <f>SUM($G$4:G145)</f>
        <v/>
      </c>
      <c r="I145" s="94" t="n">
        <v>1000000000</v>
      </c>
      <c r="J145" s="95">
        <f>J144-E145</f>
        <v/>
      </c>
      <c r="K145" s="94" t="n">
        <v>60000000</v>
      </c>
      <c r="L145" s="94" t="n">
        <v>23156309.43</v>
      </c>
      <c r="M145" s="94" t="n">
        <v>3000000</v>
      </c>
      <c r="N145" s="94" t="n">
        <v>240066.4298000336</v>
      </c>
      <c r="O145" s="96">
        <f>IF(OR(I145="",J145="",L145="",N145=""),"",I145-J145-K145-L145-M145-N145)</f>
        <v/>
      </c>
      <c r="P145" s="91">
        <f>IF(OR(O145="",C145=""),"",O145*C145)</f>
        <v/>
      </c>
      <c r="Q145" s="69">
        <f>Q144-E145</f>
        <v/>
      </c>
      <c r="R145" s="97">
        <f>IF(OR(J145="",Q145=""),"",J145-Q145)</f>
        <v/>
      </c>
      <c r="S145" s="69">
        <f>IF(D145="",S144,S144+D145)</f>
        <v/>
      </c>
      <c r="T145" s="97">
        <f>IF(OR(L145="",S145=""),"",L145-S145)</f>
        <v/>
      </c>
      <c r="U145" s="69">
        <f>IF(F145="",U144,U144+F145)</f>
        <v/>
      </c>
      <c r="V145" s="97">
        <f>IF(OR(N145="",U145=""),"",N145-U145)</f>
        <v/>
      </c>
      <c r="W145" s="71">
        <f>IF(OR(C145="",C145=0,'Daily Data'!J145=""),"",'Daily Data'!J145/C145)</f>
        <v/>
      </c>
      <c r="X145" s="71">
        <f>IF(OR(C145="",C145=0,'Daily Data'!K145=""),"",'Daily Data'!K145/C145)</f>
        <v/>
      </c>
      <c r="Y145" s="71">
        <f>IF(OR(F145="",W145="",X145=""),"",F145-W145-X145)</f>
        <v/>
      </c>
      <c r="Z145" s="72" t="n">
        <v>355.18</v>
      </c>
      <c r="AA145" s="72" t="n">
        <v>62.68</v>
      </c>
      <c r="AB145" s="73">
        <f>Z145+AA145</f>
        <v/>
      </c>
      <c r="AC145" s="74">
        <f>IF(OR(E145="",E145=0,AB145=""),"",E145*365/(AB145*1000000))</f>
        <v/>
      </c>
      <c r="AD145" s="98">
        <f>IF(OR(O145="",O145=0,AB145=""),"",(AB145*1000000)/O145)</f>
        <v/>
      </c>
      <c r="AE145" s="99">
        <f>IF(H145="","",(Team_Genesis-H145)/1000000)</f>
        <v/>
      </c>
      <c r="AF145" s="99">
        <f>IF(OR(O145="",AE145=""),"",(O145-AE145*1000000)/1000000)</f>
        <v/>
      </c>
    </row>
    <row r="146">
      <c r="A146" s="35" t="n">
        <v>45800</v>
      </c>
      <c r="B146" s="90">
        <f>IF('Daily Data'!E146="","",'Daily Data'!E146)</f>
        <v/>
      </c>
      <c r="C146" s="65" t="n">
        <v>33.38</v>
      </c>
      <c r="D146" s="94" t="n">
        <v>81894.82000000001</v>
      </c>
      <c r="E146" s="94" t="n">
        <v>26341.6338</v>
      </c>
      <c r="F146" s="94" t="n">
        <v>2802.9091</v>
      </c>
      <c r="G146" s="94" t="n"/>
      <c r="H146" s="95">
        <f>SUM($G$4:G146)</f>
        <v/>
      </c>
      <c r="I146" s="94" t="n">
        <v>1000000000</v>
      </c>
      <c r="J146" s="95">
        <f>J145-E146</f>
        <v/>
      </c>
      <c r="K146" s="94" t="n">
        <v>60000000</v>
      </c>
      <c r="L146" s="94" t="n">
        <v>23238204.25</v>
      </c>
      <c r="M146" s="94" t="n">
        <v>3000000</v>
      </c>
      <c r="N146" s="94" t="n">
        <v>242869.3387999535</v>
      </c>
      <c r="O146" s="96">
        <f>IF(OR(I146="",J146="",L146="",N146=""),"",I146-J146-K146-L146-M146-N146)</f>
        <v/>
      </c>
      <c r="P146" s="91">
        <f>IF(OR(O146="",C146=""),"",O146*C146)</f>
        <v/>
      </c>
      <c r="Q146" s="69">
        <f>Q145-E146</f>
        <v/>
      </c>
      <c r="R146" s="97">
        <f>IF(OR(J146="",Q146=""),"",J146-Q146)</f>
        <v/>
      </c>
      <c r="S146" s="69">
        <f>IF(D146="",S145,S145+D146)</f>
        <v/>
      </c>
      <c r="T146" s="97">
        <f>IF(OR(L146="",S146=""),"",L146-S146)</f>
        <v/>
      </c>
      <c r="U146" s="69">
        <f>IF(F146="",U145,U145+F146)</f>
        <v/>
      </c>
      <c r="V146" s="97">
        <f>IF(OR(N146="",U146=""),"",N146-U146)</f>
        <v/>
      </c>
      <c r="W146" s="71">
        <f>IF(OR(C146="",C146=0,'Daily Data'!J146=""),"",'Daily Data'!J146/C146)</f>
        <v/>
      </c>
      <c r="X146" s="71">
        <f>IF(OR(C146="",C146=0,'Daily Data'!K146=""),"",'Daily Data'!K146/C146)</f>
        <v/>
      </c>
      <c r="Y146" s="71">
        <f>IF(OR(F146="",W146="",X146=""),"",F146-W146-X146)</f>
        <v/>
      </c>
      <c r="Z146" s="72" t="n">
        <v>355.18</v>
      </c>
      <c r="AA146" s="72" t="n">
        <v>62.68</v>
      </c>
      <c r="AB146" s="73">
        <f>Z146+AA146</f>
        <v/>
      </c>
      <c r="AC146" s="74">
        <f>IF(OR(E146="",E146=0,AB146=""),"",E146*365/(AB146*1000000))</f>
        <v/>
      </c>
      <c r="AD146" s="98">
        <f>IF(OR(O146="",O146=0,AB146=""),"",(AB146*1000000)/O146)</f>
        <v/>
      </c>
      <c r="AE146" s="99">
        <f>IF(H146="","",(Team_Genesis-H146)/1000000)</f>
        <v/>
      </c>
      <c r="AF146" s="99">
        <f>IF(OR(O146="",AE146=""),"",(O146-AE146*1000000)/1000000)</f>
        <v/>
      </c>
    </row>
    <row r="147">
      <c r="A147" s="35" t="n">
        <v>45801</v>
      </c>
      <c r="B147" s="90">
        <f>IF('Daily Data'!E147="","",'Daily Data'!E147)</f>
        <v/>
      </c>
      <c r="C147" s="65" t="n">
        <v>33.26</v>
      </c>
      <c r="D147" s="94" t="n">
        <v>98770.75999999999</v>
      </c>
      <c r="E147" s="94" t="n">
        <v>26288.5976</v>
      </c>
      <c r="F147" s="94" t="n">
        <v>2774.1488</v>
      </c>
      <c r="G147" s="94" t="n"/>
      <c r="H147" s="95">
        <f>SUM($G$4:G147)</f>
        <v/>
      </c>
      <c r="I147" s="94" t="n">
        <v>1000000000</v>
      </c>
      <c r="J147" s="95">
        <f>J146-E147</f>
        <v/>
      </c>
      <c r="K147" s="94" t="n">
        <v>60000000</v>
      </c>
      <c r="L147" s="94" t="n">
        <v>23336975.01</v>
      </c>
      <c r="M147" s="94" t="n">
        <v>3000000</v>
      </c>
      <c r="N147" s="94" t="n">
        <v>245643.4876999855</v>
      </c>
      <c r="O147" s="96">
        <f>IF(OR(I147="",J147="",L147="",N147=""),"",I147-J147-K147-L147-M147-N147)</f>
        <v/>
      </c>
      <c r="P147" s="91">
        <f>IF(OR(O147="",C147=""),"",O147*C147)</f>
        <v/>
      </c>
      <c r="Q147" s="69">
        <f>Q146-E147</f>
        <v/>
      </c>
      <c r="R147" s="97">
        <f>IF(OR(J147="",Q147=""),"",J147-Q147)</f>
        <v/>
      </c>
      <c r="S147" s="69">
        <f>IF(D147="",S146,S146+D147)</f>
        <v/>
      </c>
      <c r="T147" s="97">
        <f>IF(OR(L147="",S147=""),"",L147-S147)</f>
        <v/>
      </c>
      <c r="U147" s="69">
        <f>IF(F147="",U146,U146+F147)</f>
        <v/>
      </c>
      <c r="V147" s="97">
        <f>IF(OR(N147="",U147=""),"",N147-U147)</f>
        <v/>
      </c>
      <c r="W147" s="71">
        <f>IF(OR(C147="",C147=0,'Daily Data'!J147=""),"",'Daily Data'!J147/C147)</f>
        <v/>
      </c>
      <c r="X147" s="71">
        <f>IF(OR(C147="",C147=0,'Daily Data'!K147=""),"",'Daily Data'!K147/C147)</f>
        <v/>
      </c>
      <c r="Y147" s="71">
        <f>IF(OR(F147="",W147="",X147=""),"",F147-W147-X147)</f>
        <v/>
      </c>
      <c r="Z147" s="72" t="n">
        <v>355.18</v>
      </c>
      <c r="AA147" s="72" t="n">
        <v>62.68</v>
      </c>
      <c r="AB147" s="73">
        <f>Z147+AA147</f>
        <v/>
      </c>
      <c r="AC147" s="74">
        <f>IF(OR(E147="",E147=0,AB147=""),"",E147*365/(AB147*1000000))</f>
        <v/>
      </c>
      <c r="AD147" s="98">
        <f>IF(OR(O147="",O147=0,AB147=""),"",(AB147*1000000)/O147)</f>
        <v/>
      </c>
      <c r="AE147" s="99">
        <f>IF(H147="","",(Team_Genesis-H147)/1000000)</f>
        <v/>
      </c>
      <c r="AF147" s="99">
        <f>IF(OR(O147="",AE147=""),"",(O147-AE147*1000000)/1000000)</f>
        <v/>
      </c>
    </row>
    <row r="148">
      <c r="A148" s="35" t="n">
        <v>45802</v>
      </c>
      <c r="B148" s="90">
        <f>IF('Daily Data'!E148="","",'Daily Data'!E148)</f>
        <v/>
      </c>
      <c r="C148" s="65" t="n">
        <v>34.84</v>
      </c>
      <c r="D148" s="94" t="n">
        <v>55390.98</v>
      </c>
      <c r="E148" s="94" t="n">
        <v>26274.0281</v>
      </c>
      <c r="F148" s="94" t="n">
        <v>1397.6446</v>
      </c>
      <c r="G148" s="94" t="n"/>
      <c r="H148" s="95">
        <f>SUM($G$4:G148)</f>
        <v/>
      </c>
      <c r="I148" s="94" t="n">
        <v>1000000000</v>
      </c>
      <c r="J148" s="95">
        <f>J147-E148</f>
        <v/>
      </c>
      <c r="K148" s="94" t="n">
        <v>60000000</v>
      </c>
      <c r="L148" s="94" t="n">
        <v>23392365.99</v>
      </c>
      <c r="M148" s="94" t="n">
        <v>3000000</v>
      </c>
      <c r="N148" s="94" t="n">
        <v>247041.1323000193</v>
      </c>
      <c r="O148" s="96">
        <f>IF(OR(I148="",J148="",L148="",N148=""),"",I148-J148-K148-L148-M148-N148)</f>
        <v/>
      </c>
      <c r="P148" s="91">
        <f>IF(OR(O148="",C148=""),"",O148*C148)</f>
        <v/>
      </c>
      <c r="Q148" s="69">
        <f>Q147-E148</f>
        <v/>
      </c>
      <c r="R148" s="97">
        <f>IF(OR(J148="",Q148=""),"",J148-Q148)</f>
        <v/>
      </c>
      <c r="S148" s="69">
        <f>IF(D148="",S147,S147+D148)</f>
        <v/>
      </c>
      <c r="T148" s="97">
        <f>IF(OR(L148="",S148=""),"",L148-S148)</f>
        <v/>
      </c>
      <c r="U148" s="69">
        <f>IF(F148="",U147,U147+F148)</f>
        <v/>
      </c>
      <c r="V148" s="97">
        <f>IF(OR(N148="",U148=""),"",N148-U148)</f>
        <v/>
      </c>
      <c r="W148" s="71">
        <f>IF(OR(C148="",C148=0,'Daily Data'!J148=""),"",'Daily Data'!J148/C148)</f>
        <v/>
      </c>
      <c r="X148" s="71">
        <f>IF(OR(C148="",C148=0,'Daily Data'!K148=""),"",'Daily Data'!K148/C148)</f>
        <v/>
      </c>
      <c r="Y148" s="71">
        <f>IF(OR(F148="",W148="",X148=""),"",F148-W148-X148)</f>
        <v/>
      </c>
      <c r="Z148" s="72" t="n">
        <v>355.18</v>
      </c>
      <c r="AA148" s="72" t="n">
        <v>62.68</v>
      </c>
      <c r="AB148" s="73">
        <f>Z148+AA148</f>
        <v/>
      </c>
      <c r="AC148" s="74">
        <f>IF(OR(E148="",E148=0,AB148=""),"",E148*365/(AB148*1000000))</f>
        <v/>
      </c>
      <c r="AD148" s="98">
        <f>IF(OR(O148="",O148=0,AB148=""),"",(AB148*1000000)/O148)</f>
        <v/>
      </c>
      <c r="AE148" s="99">
        <f>IF(H148="","",(Team_Genesis-H148)/1000000)</f>
        <v/>
      </c>
      <c r="AF148" s="99">
        <f>IF(OR(O148="",AE148=""),"",(O148-AE148*1000000)/1000000)</f>
        <v/>
      </c>
    </row>
    <row r="149">
      <c r="A149" s="35" t="n">
        <v>45803</v>
      </c>
      <c r="B149" s="90">
        <f>IF('Daily Data'!E149="","",'Daily Data'!E149)</f>
        <v/>
      </c>
      <c r="C149" s="65" t="n">
        <v>38.85</v>
      </c>
      <c r="D149" s="94" t="n">
        <v>60341.07</v>
      </c>
      <c r="E149" s="94" t="n">
        <v>25952.4593</v>
      </c>
      <c r="F149" s="94" t="n">
        <v>1801.2147</v>
      </c>
      <c r="G149" s="94" t="n"/>
      <c r="H149" s="95">
        <f>SUM($G$4:G149)</f>
        <v/>
      </c>
      <c r="I149" s="94" t="n">
        <v>1000000000</v>
      </c>
      <c r="J149" s="95">
        <f>J148-E149</f>
        <v/>
      </c>
      <c r="K149" s="94" t="n">
        <v>60000000</v>
      </c>
      <c r="L149" s="94" t="n">
        <v>23452707.06</v>
      </c>
      <c r="M149" s="94" t="n">
        <v>3000000</v>
      </c>
      <c r="N149" s="94" t="n">
        <v>248842.3470000029</v>
      </c>
      <c r="O149" s="96">
        <f>IF(OR(I149="",J149="",L149="",N149=""),"",I149-J149-K149-L149-M149-N149)</f>
        <v/>
      </c>
      <c r="P149" s="91">
        <f>IF(OR(O149="",C149=""),"",O149*C149)</f>
        <v/>
      </c>
      <c r="Q149" s="69">
        <f>Q148-E149</f>
        <v/>
      </c>
      <c r="R149" s="97">
        <f>IF(OR(J149="",Q149=""),"",J149-Q149)</f>
        <v/>
      </c>
      <c r="S149" s="69">
        <f>IF(D149="",S148,S148+D149)</f>
        <v/>
      </c>
      <c r="T149" s="97">
        <f>IF(OR(L149="",S149=""),"",L149-S149)</f>
        <v/>
      </c>
      <c r="U149" s="69">
        <f>IF(F149="",U148,U148+F149)</f>
        <v/>
      </c>
      <c r="V149" s="97">
        <f>IF(OR(N149="",U149=""),"",N149-U149)</f>
        <v/>
      </c>
      <c r="W149" s="71">
        <f>IF(OR(C149="",C149=0,'Daily Data'!J149=""),"",'Daily Data'!J149/C149)</f>
        <v/>
      </c>
      <c r="X149" s="71">
        <f>IF(OR(C149="",C149=0,'Daily Data'!K149=""),"",'Daily Data'!K149/C149)</f>
        <v/>
      </c>
      <c r="Y149" s="71">
        <f>IF(OR(F149="",W149="",X149=""),"",F149-W149-X149)</f>
        <v/>
      </c>
      <c r="Z149" s="72" t="n">
        <v>355.18</v>
      </c>
      <c r="AA149" s="72" t="n">
        <v>62.68</v>
      </c>
      <c r="AB149" s="73">
        <f>Z149+AA149</f>
        <v/>
      </c>
      <c r="AC149" s="74">
        <f>IF(OR(E149="",E149=0,AB149=""),"",E149*365/(AB149*1000000))</f>
        <v/>
      </c>
      <c r="AD149" s="98">
        <f>IF(OR(O149="",O149=0,AB149=""),"",(AB149*1000000)/O149)</f>
        <v/>
      </c>
      <c r="AE149" s="99">
        <f>IF(H149="","",(Team_Genesis-H149)/1000000)</f>
        <v/>
      </c>
      <c r="AF149" s="99">
        <f>IF(OR(O149="",AE149=""),"",(O149-AE149*1000000)/1000000)</f>
        <v/>
      </c>
    </row>
    <row r="150">
      <c r="A150" s="35" t="n">
        <v>45804</v>
      </c>
      <c r="B150" s="90">
        <f>IF('Daily Data'!E150="","",'Daily Data'!E150)</f>
        <v/>
      </c>
      <c r="C150" s="65" t="n">
        <v>37.25</v>
      </c>
      <c r="D150" s="94" t="n">
        <v>61995.05</v>
      </c>
      <c r="E150" s="94" t="n">
        <v>26236.7805</v>
      </c>
      <c r="F150" s="94" t="n">
        <v>2566.597</v>
      </c>
      <c r="G150" s="94" t="n"/>
      <c r="H150" s="95">
        <f>SUM($G$4:G150)</f>
        <v/>
      </c>
      <c r="I150" s="94" t="n">
        <v>1000000000</v>
      </c>
      <c r="J150" s="95">
        <f>J149-E150</f>
        <v/>
      </c>
      <c r="K150" s="94" t="n">
        <v>60000000</v>
      </c>
      <c r="L150" s="94" t="n">
        <v>23514702.11</v>
      </c>
      <c r="M150" s="94" t="n">
        <v>3000000</v>
      </c>
      <c r="N150" s="94" t="n">
        <v>251408.9440000057</v>
      </c>
      <c r="O150" s="96">
        <f>IF(OR(I150="",J150="",L150="",N150=""),"",I150-J150-K150-L150-M150-N150)</f>
        <v/>
      </c>
      <c r="P150" s="91">
        <f>IF(OR(O150="",C150=""),"",O150*C150)</f>
        <v/>
      </c>
      <c r="Q150" s="69">
        <f>Q149-E150</f>
        <v/>
      </c>
      <c r="R150" s="97">
        <f>IF(OR(J150="",Q150=""),"",J150-Q150)</f>
        <v/>
      </c>
      <c r="S150" s="69">
        <f>IF(D150="",S149,S149+D150)</f>
        <v/>
      </c>
      <c r="T150" s="97">
        <f>IF(OR(L150="",S150=""),"",L150-S150)</f>
        <v/>
      </c>
      <c r="U150" s="69">
        <f>IF(F150="",U149,U149+F150)</f>
        <v/>
      </c>
      <c r="V150" s="97">
        <f>IF(OR(N150="",U150=""),"",N150-U150)</f>
        <v/>
      </c>
      <c r="W150" s="71">
        <f>IF(OR(C150="",C150=0,'Daily Data'!J150=""),"",'Daily Data'!J150/C150)</f>
        <v/>
      </c>
      <c r="X150" s="71">
        <f>IF(OR(C150="",C150=0,'Daily Data'!K150=""),"",'Daily Data'!K150/C150)</f>
        <v/>
      </c>
      <c r="Y150" s="71">
        <f>IF(OR(F150="",W150="",X150=""),"",F150-W150-X150)</f>
        <v/>
      </c>
      <c r="Z150" s="72" t="n">
        <v>355.18</v>
      </c>
      <c r="AA150" s="72" t="n">
        <v>62.68</v>
      </c>
      <c r="AB150" s="73">
        <f>Z150+AA150</f>
        <v/>
      </c>
      <c r="AC150" s="74">
        <f>IF(OR(E150="",E150=0,AB150=""),"",E150*365/(AB150*1000000))</f>
        <v/>
      </c>
      <c r="AD150" s="98">
        <f>IF(OR(O150="",O150=0,AB150=""),"",(AB150*1000000)/O150)</f>
        <v/>
      </c>
      <c r="AE150" s="99">
        <f>IF(H150="","",(Team_Genesis-H150)/1000000)</f>
        <v/>
      </c>
      <c r="AF150" s="99">
        <f>IF(OR(O150="",AE150=""),"",(O150-AE150*1000000)/1000000)</f>
        <v/>
      </c>
    </row>
    <row r="151">
      <c r="A151" s="35" t="n">
        <v>45805</v>
      </c>
      <c r="B151" s="90">
        <f>IF('Daily Data'!E151="","",'Daily Data'!E151)</f>
        <v/>
      </c>
      <c r="C151" s="65" t="n">
        <v>35.52</v>
      </c>
      <c r="D151" s="94" t="n">
        <v>69201.32000000001</v>
      </c>
      <c r="E151" s="94" t="n">
        <v>26207.4869</v>
      </c>
      <c r="F151" s="94" t="n">
        <v>2773.3719</v>
      </c>
      <c r="G151" s="94" t="n"/>
      <c r="H151" s="95">
        <f>SUM($G$4:G151)</f>
        <v/>
      </c>
      <c r="I151" s="94" t="n">
        <v>1000000000</v>
      </c>
      <c r="J151" s="95">
        <f>J150-E151</f>
        <v/>
      </c>
      <c r="K151" s="94" t="n">
        <v>60000000</v>
      </c>
      <c r="L151" s="94" t="n">
        <v>23583903.43</v>
      </c>
      <c r="M151" s="94" t="n">
        <v>3000000</v>
      </c>
      <c r="N151" s="94" t="n">
        <v>254182.3158999681</v>
      </c>
      <c r="O151" s="96">
        <f>IF(OR(I151="",J151="",L151="",N151=""),"",I151-J151-K151-L151-M151-N151)</f>
        <v/>
      </c>
      <c r="P151" s="91">
        <f>IF(OR(O151="",C151=""),"",O151*C151)</f>
        <v/>
      </c>
      <c r="Q151" s="69">
        <f>Q150-E151</f>
        <v/>
      </c>
      <c r="R151" s="97">
        <f>IF(OR(J151="",Q151=""),"",J151-Q151)</f>
        <v/>
      </c>
      <c r="S151" s="69">
        <f>IF(D151="",S150,S150+D151)</f>
        <v/>
      </c>
      <c r="T151" s="97">
        <f>IF(OR(L151="",S151=""),"",L151-S151)</f>
        <v/>
      </c>
      <c r="U151" s="69">
        <f>IF(F151="",U150,U150+F151)</f>
        <v/>
      </c>
      <c r="V151" s="97">
        <f>IF(OR(N151="",U151=""),"",N151-U151)</f>
        <v/>
      </c>
      <c r="W151" s="71">
        <f>IF(OR(C151="",C151=0,'Daily Data'!J151=""),"",'Daily Data'!J151/C151)</f>
        <v/>
      </c>
      <c r="X151" s="71">
        <f>IF(OR(C151="",C151=0,'Daily Data'!K151=""),"",'Daily Data'!K151/C151)</f>
        <v/>
      </c>
      <c r="Y151" s="71">
        <f>IF(OR(F151="",W151="",X151=""),"",F151-W151-X151)</f>
        <v/>
      </c>
      <c r="Z151" s="72" t="n">
        <v>355.18</v>
      </c>
      <c r="AA151" s="72" t="n">
        <v>62.68</v>
      </c>
      <c r="AB151" s="73">
        <f>Z151+AA151</f>
        <v/>
      </c>
      <c r="AC151" s="74">
        <f>IF(OR(E151="",E151=0,AB151=""),"",E151*365/(AB151*1000000))</f>
        <v/>
      </c>
      <c r="AD151" s="98">
        <f>IF(OR(O151="",O151=0,AB151=""),"",(AB151*1000000)/O151)</f>
        <v/>
      </c>
      <c r="AE151" s="99">
        <f>IF(H151="","",(Team_Genesis-H151)/1000000)</f>
        <v/>
      </c>
      <c r="AF151" s="99">
        <f>IF(OR(O151="",AE151=""),"",(O151-AE151*1000000)/1000000)</f>
        <v/>
      </c>
    </row>
    <row r="152">
      <c r="A152" s="35" t="n">
        <v>45806</v>
      </c>
      <c r="B152" s="90">
        <f>IF('Daily Data'!E152="","",'Daily Data'!E152)</f>
        <v/>
      </c>
      <c r="C152" s="65" t="n">
        <v>33.82</v>
      </c>
      <c r="D152" s="94" t="n">
        <v>80786.59</v>
      </c>
      <c r="E152" s="94" t="n">
        <v>26214.7499</v>
      </c>
      <c r="F152" s="94" t="n">
        <v>1240.1215</v>
      </c>
      <c r="G152" s="94" t="n"/>
      <c r="H152" s="95">
        <f>SUM($G$4:G152)</f>
        <v/>
      </c>
      <c r="I152" s="94" t="n">
        <v>1000000000</v>
      </c>
      <c r="J152" s="95">
        <f>J151-E152</f>
        <v/>
      </c>
      <c r="K152" s="94" t="n">
        <v>60000000</v>
      </c>
      <c r="L152" s="94" t="n">
        <v>23664690.02</v>
      </c>
      <c r="M152" s="94" t="n">
        <v>3000000</v>
      </c>
      <c r="N152" s="94" t="n">
        <v>255422.4373999834</v>
      </c>
      <c r="O152" s="96">
        <f>IF(OR(I152="",J152="",L152="",N152=""),"",I152-J152-K152-L152-M152-N152)</f>
        <v/>
      </c>
      <c r="P152" s="91">
        <f>IF(OR(O152="",C152=""),"",O152*C152)</f>
        <v/>
      </c>
      <c r="Q152" s="69">
        <f>Q151-E152</f>
        <v/>
      </c>
      <c r="R152" s="97">
        <f>IF(OR(J152="",Q152=""),"",J152-Q152)</f>
        <v/>
      </c>
      <c r="S152" s="69">
        <f>IF(D152="",S151,S151+D152)</f>
        <v/>
      </c>
      <c r="T152" s="97">
        <f>IF(OR(L152="",S152=""),"",L152-S152)</f>
        <v/>
      </c>
      <c r="U152" s="69">
        <f>IF(F152="",U151,U151+F152)</f>
        <v/>
      </c>
      <c r="V152" s="97">
        <f>IF(OR(N152="",U152=""),"",N152-U152)</f>
        <v/>
      </c>
      <c r="W152" s="71">
        <f>IF(OR(C152="",C152=0,'Daily Data'!J152=""),"",'Daily Data'!J152/C152)</f>
        <v/>
      </c>
      <c r="X152" s="71">
        <f>IF(OR(C152="",C152=0,'Daily Data'!K152=""),"",'Daily Data'!K152/C152)</f>
        <v/>
      </c>
      <c r="Y152" s="71">
        <f>IF(OR(F152="",W152="",X152=""),"",F152-W152-X152)</f>
        <v/>
      </c>
      <c r="Z152" s="72" t="n">
        <v>355.18</v>
      </c>
      <c r="AA152" s="72" t="n">
        <v>62.68</v>
      </c>
      <c r="AB152" s="73">
        <f>Z152+AA152</f>
        <v/>
      </c>
      <c r="AC152" s="74">
        <f>IF(OR(E152="",E152=0,AB152=""),"",E152*365/(AB152*1000000))</f>
        <v/>
      </c>
      <c r="AD152" s="98">
        <f>IF(OR(O152="",O152=0,AB152=""),"",(AB152*1000000)/O152)</f>
        <v/>
      </c>
      <c r="AE152" s="99">
        <f>IF(H152="","",(Team_Genesis-H152)/1000000)</f>
        <v/>
      </c>
      <c r="AF152" s="99">
        <f>IF(OR(O152="",AE152=""),"",(O152-AE152*1000000)/1000000)</f>
        <v/>
      </c>
    </row>
    <row r="153">
      <c r="A153" s="35" t="n">
        <v>45807</v>
      </c>
      <c r="B153" s="90">
        <f>IF('Daily Data'!E153="","",'Daily Data'!E153)</f>
        <v/>
      </c>
      <c r="C153" s="65" t="n">
        <v>31.59</v>
      </c>
      <c r="D153" s="94" t="n">
        <v>102673.6</v>
      </c>
      <c r="E153" s="94" t="n">
        <v>26217.0528</v>
      </c>
      <c r="F153" s="94" t="n">
        <v>3266.41</v>
      </c>
      <c r="G153" s="94" t="n"/>
      <c r="H153" s="95">
        <f>SUM($G$4:G153)</f>
        <v/>
      </c>
      <c r="I153" s="94" t="n">
        <v>1000000000</v>
      </c>
      <c r="J153" s="95">
        <f>J152-E153</f>
        <v/>
      </c>
      <c r="K153" s="94" t="n">
        <v>60000000</v>
      </c>
      <c r="L153" s="94" t="n">
        <v>23767363.62</v>
      </c>
      <c r="M153" s="94" t="n">
        <v>3000000</v>
      </c>
      <c r="N153" s="94" t="n">
        <v>258688.8473000526</v>
      </c>
      <c r="O153" s="96">
        <f>IF(OR(I153="",J153="",L153="",N153=""),"",I153-J153-K153-L153-M153-N153)</f>
        <v/>
      </c>
      <c r="P153" s="91">
        <f>IF(OR(O153="",C153=""),"",O153*C153)</f>
        <v/>
      </c>
      <c r="Q153" s="69">
        <f>Q152-E153</f>
        <v/>
      </c>
      <c r="R153" s="97">
        <f>IF(OR(J153="",Q153=""),"",J153-Q153)</f>
        <v/>
      </c>
      <c r="S153" s="69">
        <f>IF(D153="",S152,S152+D153)</f>
        <v/>
      </c>
      <c r="T153" s="97">
        <f>IF(OR(L153="",S153=""),"",L153-S153)</f>
        <v/>
      </c>
      <c r="U153" s="69">
        <f>IF(F153="",U152,U152+F153)</f>
        <v/>
      </c>
      <c r="V153" s="97">
        <f>IF(OR(N153="",U153=""),"",N153-U153)</f>
        <v/>
      </c>
      <c r="W153" s="71">
        <f>IF(OR(C153="",C153=0,'Daily Data'!J153=""),"",'Daily Data'!J153/C153)</f>
        <v/>
      </c>
      <c r="X153" s="71">
        <f>IF(OR(C153="",C153=0,'Daily Data'!K153=""),"",'Daily Data'!K153/C153)</f>
        <v/>
      </c>
      <c r="Y153" s="71">
        <f>IF(OR(F153="",W153="",X153=""),"",F153-W153-X153)</f>
        <v/>
      </c>
      <c r="Z153" s="72" t="n">
        <v>355.18</v>
      </c>
      <c r="AA153" s="72" t="n">
        <v>62.68</v>
      </c>
      <c r="AB153" s="73">
        <f>Z153+AA153</f>
        <v/>
      </c>
      <c r="AC153" s="74">
        <f>IF(OR(E153="",E153=0,AB153=""),"",E153*365/(AB153*1000000))</f>
        <v/>
      </c>
      <c r="AD153" s="98">
        <f>IF(OR(O153="",O153=0,AB153=""),"",(AB153*1000000)/O153)</f>
        <v/>
      </c>
      <c r="AE153" s="99">
        <f>IF(H153="","",(Team_Genesis-H153)/1000000)</f>
        <v/>
      </c>
      <c r="AF153" s="99">
        <f>IF(OR(O153="",AE153=""),"",(O153-AE153*1000000)/1000000)</f>
        <v/>
      </c>
    </row>
    <row r="154">
      <c r="A154" s="35" t="n">
        <v>45808</v>
      </c>
      <c r="B154" s="90">
        <f>IF('Daily Data'!E154="","",'Daily Data'!E154)</f>
        <v/>
      </c>
      <c r="C154" s="65" t="n">
        <v>33.18</v>
      </c>
      <c r="D154" s="94" t="n">
        <v>78478.33</v>
      </c>
      <c r="E154" s="94" t="n">
        <v>26216.242</v>
      </c>
      <c r="F154" s="94" t="n">
        <v>2856.0966</v>
      </c>
      <c r="G154" s="94" t="n"/>
      <c r="H154" s="95">
        <f>SUM($G$4:G154)</f>
        <v/>
      </c>
      <c r="I154" s="94" t="n">
        <v>1000000000</v>
      </c>
      <c r="J154" s="95">
        <f>J153-E154</f>
        <v/>
      </c>
      <c r="K154" s="94" t="n">
        <v>60000000</v>
      </c>
      <c r="L154" s="94" t="n">
        <v>23845841.95</v>
      </c>
      <c r="M154" s="94" t="n">
        <v>3000000</v>
      </c>
      <c r="N154" s="94" t="n">
        <v>261544.9438999891</v>
      </c>
      <c r="O154" s="96">
        <f>IF(OR(I154="",J154="",L154="",N154=""),"",I154-J154-K154-L154-M154-N154)</f>
        <v/>
      </c>
      <c r="P154" s="91">
        <f>IF(OR(O154="",C154=""),"",O154*C154)</f>
        <v/>
      </c>
      <c r="Q154" s="69">
        <f>Q153-E154</f>
        <v/>
      </c>
      <c r="R154" s="97">
        <f>IF(OR(J154="",Q154=""),"",J154-Q154)</f>
        <v/>
      </c>
      <c r="S154" s="69">
        <f>IF(D154="",S153,S153+D154)</f>
        <v/>
      </c>
      <c r="T154" s="97">
        <f>IF(OR(L154="",S154=""),"",L154-S154)</f>
        <v/>
      </c>
      <c r="U154" s="69">
        <f>IF(F154="",U153,U153+F154)</f>
        <v/>
      </c>
      <c r="V154" s="97">
        <f>IF(OR(N154="",U154=""),"",N154-U154)</f>
        <v/>
      </c>
      <c r="W154" s="71">
        <f>IF(OR(C154="",C154=0,'Daily Data'!J154=""),"",'Daily Data'!J154/C154)</f>
        <v/>
      </c>
      <c r="X154" s="71">
        <f>IF(OR(C154="",C154=0,'Daily Data'!K154=""),"",'Daily Data'!K154/C154)</f>
        <v/>
      </c>
      <c r="Y154" s="71">
        <f>IF(OR(F154="",W154="",X154=""),"",F154-W154-X154)</f>
        <v/>
      </c>
      <c r="Z154" s="72" t="n">
        <v>355.18</v>
      </c>
      <c r="AA154" s="72" t="n">
        <v>62.68</v>
      </c>
      <c r="AB154" s="73">
        <f>Z154+AA154</f>
        <v/>
      </c>
      <c r="AC154" s="74">
        <f>IF(OR(E154="",E154=0,AB154=""),"",E154*365/(AB154*1000000))</f>
        <v/>
      </c>
      <c r="AD154" s="98">
        <f>IF(OR(O154="",O154=0,AB154=""),"",(AB154*1000000)/O154)</f>
        <v/>
      </c>
      <c r="AE154" s="99">
        <f>IF(H154="","",(Team_Genesis-H154)/1000000)</f>
        <v/>
      </c>
      <c r="AF154" s="99">
        <f>IF(OR(O154="",AE154=""),"",(O154-AE154*1000000)/1000000)</f>
        <v/>
      </c>
    </row>
    <row r="155">
      <c r="A155" s="35" t="n">
        <v>45809</v>
      </c>
      <c r="B155" s="90">
        <f>IF('Daily Data'!E155="","",'Daily Data'!E155)</f>
        <v/>
      </c>
      <c r="C155" s="65" t="n">
        <v>32.63</v>
      </c>
      <c r="D155" s="94" t="n">
        <v>25779.83</v>
      </c>
      <c r="E155" s="94" t="n">
        <v>26193.0407</v>
      </c>
      <c r="F155" s="94" t="n">
        <v>872.6834</v>
      </c>
      <c r="G155" s="94" t="n"/>
      <c r="H155" s="95">
        <f>SUM($G$4:G155)</f>
        <v/>
      </c>
      <c r="I155" s="94" t="n">
        <v>1000000000</v>
      </c>
      <c r="J155" s="95">
        <f>J154-E155</f>
        <v/>
      </c>
      <c r="K155" s="94" t="n">
        <v>60000000</v>
      </c>
      <c r="L155" s="94" t="n">
        <v>23871621.78</v>
      </c>
      <c r="M155" s="94" t="n">
        <v>3000000</v>
      </c>
      <c r="N155" s="94" t="n">
        <v>262417.627300024</v>
      </c>
      <c r="O155" s="96">
        <f>IF(OR(I155="",J155="",L155="",N155=""),"",I155-J155-K155-L155-M155-N155)</f>
        <v/>
      </c>
      <c r="P155" s="91">
        <f>IF(OR(O155="",C155=""),"",O155*C155)</f>
        <v/>
      </c>
      <c r="Q155" s="69">
        <f>Q154-E155</f>
        <v/>
      </c>
      <c r="R155" s="97">
        <f>IF(OR(J155="",Q155=""),"",J155-Q155)</f>
        <v/>
      </c>
      <c r="S155" s="69">
        <f>IF(D155="",S154,S154+D155)</f>
        <v/>
      </c>
      <c r="T155" s="97">
        <f>IF(OR(L155="",S155=""),"",L155-S155)</f>
        <v/>
      </c>
      <c r="U155" s="69">
        <f>IF(F155="",U154,U154+F155)</f>
        <v/>
      </c>
      <c r="V155" s="97">
        <f>IF(OR(N155="",U155=""),"",N155-U155)</f>
        <v/>
      </c>
      <c r="W155" s="71">
        <f>IF(OR(C155="",C155=0,'Daily Data'!J155=""),"",'Daily Data'!J155/C155)</f>
        <v/>
      </c>
      <c r="X155" s="71">
        <f>IF(OR(C155="",C155=0,'Daily Data'!K155=""),"",'Daily Data'!K155/C155)</f>
        <v/>
      </c>
      <c r="Y155" s="71">
        <f>IF(OR(F155="",W155="",X155=""),"",F155-W155-X155)</f>
        <v/>
      </c>
      <c r="Z155" s="72" t="n">
        <v>358.76</v>
      </c>
      <c r="AA155" s="72" t="n">
        <v>63.31</v>
      </c>
      <c r="AB155" s="73">
        <f>Z155+AA155</f>
        <v/>
      </c>
      <c r="AC155" s="74">
        <f>IF(OR(E155="",E155=0,AB155=""),"",E155*365/(AB155*1000000))</f>
        <v/>
      </c>
      <c r="AD155" s="98">
        <f>IF(OR(O155="",O155=0,AB155=""),"",(AB155*1000000)/O155)</f>
        <v/>
      </c>
      <c r="AE155" s="99">
        <f>IF(H155="","",(Team_Genesis-H155)/1000000)</f>
        <v/>
      </c>
      <c r="AF155" s="99">
        <f>IF(OR(O155="",AE155=""),"",(O155-AE155*1000000)/1000000)</f>
        <v/>
      </c>
    </row>
    <row r="156">
      <c r="A156" s="35" t="n">
        <v>45810</v>
      </c>
      <c r="B156" s="90">
        <f>IF('Daily Data'!E156="","",'Daily Data'!E156)</f>
        <v/>
      </c>
      <c r="C156" s="65" t="n">
        <v>34.14</v>
      </c>
      <c r="D156" s="94" t="n">
        <v>33459.53</v>
      </c>
      <c r="E156" s="94" t="n">
        <v>26154.8497</v>
      </c>
      <c r="F156" s="94" t="n">
        <v>1127.2508</v>
      </c>
      <c r="G156" s="94" t="n"/>
      <c r="H156" s="95">
        <f>SUM($G$4:G156)</f>
        <v/>
      </c>
      <c r="I156" s="94" t="n">
        <v>1000000000</v>
      </c>
      <c r="J156" s="95">
        <f>J155-E156</f>
        <v/>
      </c>
      <c r="K156" s="94" t="n">
        <v>60000000</v>
      </c>
      <c r="L156" s="94" t="n">
        <v>23905081.31</v>
      </c>
      <c r="M156" s="94" t="n">
        <v>3000000</v>
      </c>
      <c r="N156" s="94" t="n">
        <v>263544.8782000542</v>
      </c>
      <c r="O156" s="96">
        <f>IF(OR(I156="",J156="",L156="",N156=""),"",I156-J156-K156-L156-M156-N156)</f>
        <v/>
      </c>
      <c r="P156" s="91">
        <f>IF(OR(O156="",C156=""),"",O156*C156)</f>
        <v/>
      </c>
      <c r="Q156" s="69">
        <f>Q155-E156</f>
        <v/>
      </c>
      <c r="R156" s="97">
        <f>IF(OR(J156="",Q156=""),"",J156-Q156)</f>
        <v/>
      </c>
      <c r="S156" s="69">
        <f>IF(D156="",S155,S155+D156)</f>
        <v/>
      </c>
      <c r="T156" s="97">
        <f>IF(OR(L156="",S156=""),"",L156-S156)</f>
        <v/>
      </c>
      <c r="U156" s="69">
        <f>IF(F156="",U155,U155+F156)</f>
        <v/>
      </c>
      <c r="V156" s="97">
        <f>IF(OR(N156="",U156=""),"",N156-U156)</f>
        <v/>
      </c>
      <c r="W156" s="71">
        <f>IF(OR(C156="",C156=0,'Daily Data'!J156=""),"",'Daily Data'!J156/C156)</f>
        <v/>
      </c>
      <c r="X156" s="71">
        <f>IF(OR(C156="",C156=0,'Daily Data'!K156=""),"",'Daily Data'!K156/C156)</f>
        <v/>
      </c>
      <c r="Y156" s="71">
        <f>IF(OR(F156="",W156="",X156=""),"",F156-W156-X156)</f>
        <v/>
      </c>
      <c r="Z156" s="72" t="n">
        <v>358.76</v>
      </c>
      <c r="AA156" s="72" t="n">
        <v>63.31</v>
      </c>
      <c r="AB156" s="73">
        <f>Z156+AA156</f>
        <v/>
      </c>
      <c r="AC156" s="74">
        <f>IF(OR(E156="",E156=0,AB156=""),"",E156*365/(AB156*1000000))</f>
        <v/>
      </c>
      <c r="AD156" s="98">
        <f>IF(OR(O156="",O156=0,AB156=""),"",(AB156*1000000)/O156)</f>
        <v/>
      </c>
      <c r="AE156" s="99">
        <f>IF(H156="","",(Team_Genesis-H156)/1000000)</f>
        <v/>
      </c>
      <c r="AF156" s="99">
        <f>IF(OR(O156="",AE156=""),"",(O156-AE156*1000000)/1000000)</f>
        <v/>
      </c>
    </row>
    <row r="157">
      <c r="A157" s="35" t="n">
        <v>45811</v>
      </c>
      <c r="B157" s="90">
        <f>IF('Daily Data'!E157="","",'Daily Data'!E157)</f>
        <v/>
      </c>
      <c r="C157" s="65" t="n">
        <v>36.68</v>
      </c>
      <c r="D157" s="94" t="n">
        <v>58331.9</v>
      </c>
      <c r="E157" s="94" t="n">
        <v>26211.5203</v>
      </c>
      <c r="F157" s="94" t="n">
        <v>1977.5927</v>
      </c>
      <c r="G157" s="94" t="n"/>
      <c r="H157" s="95">
        <f>SUM($G$4:G157)</f>
        <v/>
      </c>
      <c r="I157" s="94" t="n">
        <v>1000000000</v>
      </c>
      <c r="J157" s="95">
        <f>J156-E157</f>
        <v/>
      </c>
      <c r="K157" s="94" t="n">
        <v>60000000</v>
      </c>
      <c r="L157" s="94" t="n">
        <v>23963413.21</v>
      </c>
      <c r="M157" s="94" t="n">
        <v>3000000</v>
      </c>
      <c r="N157" s="94" t="n">
        <v>265522.4708000422</v>
      </c>
      <c r="O157" s="96">
        <f>IF(OR(I157="",J157="",L157="",N157=""),"",I157-J157-K157-L157-M157-N157)</f>
        <v/>
      </c>
      <c r="P157" s="91">
        <f>IF(OR(O157="",C157=""),"",O157*C157)</f>
        <v/>
      </c>
      <c r="Q157" s="69">
        <f>Q156-E157</f>
        <v/>
      </c>
      <c r="R157" s="97">
        <f>IF(OR(J157="",Q157=""),"",J157-Q157)</f>
        <v/>
      </c>
      <c r="S157" s="69">
        <f>IF(D157="",S156,S156+D157)</f>
        <v/>
      </c>
      <c r="T157" s="97">
        <f>IF(OR(L157="",S157=""),"",L157-S157)</f>
        <v/>
      </c>
      <c r="U157" s="69">
        <f>IF(F157="",U156,U156+F157)</f>
        <v/>
      </c>
      <c r="V157" s="97">
        <f>IF(OR(N157="",U157=""),"",N157-U157)</f>
        <v/>
      </c>
      <c r="W157" s="71">
        <f>IF(OR(C157="",C157=0,'Daily Data'!J157=""),"",'Daily Data'!J157/C157)</f>
        <v/>
      </c>
      <c r="X157" s="71">
        <f>IF(OR(C157="",C157=0,'Daily Data'!K157=""),"",'Daily Data'!K157/C157)</f>
        <v/>
      </c>
      <c r="Y157" s="71">
        <f>IF(OR(F157="",W157="",X157=""),"",F157-W157-X157)</f>
        <v/>
      </c>
      <c r="Z157" s="72" t="n">
        <v>358.76</v>
      </c>
      <c r="AA157" s="72" t="n">
        <v>63.31</v>
      </c>
      <c r="AB157" s="73">
        <f>Z157+AA157</f>
        <v/>
      </c>
      <c r="AC157" s="74">
        <f>IF(OR(E157="",E157=0,AB157=""),"",E157*365/(AB157*1000000))</f>
        <v/>
      </c>
      <c r="AD157" s="98">
        <f>IF(OR(O157="",O157=0,AB157=""),"",(AB157*1000000)/O157)</f>
        <v/>
      </c>
      <c r="AE157" s="99">
        <f>IF(H157="","",(Team_Genesis-H157)/1000000)</f>
        <v/>
      </c>
      <c r="AF157" s="99">
        <f>IF(OR(O157="",AE157=""),"",(O157-AE157*1000000)/1000000)</f>
        <v/>
      </c>
    </row>
    <row r="158">
      <c r="A158" s="35" t="n">
        <v>45812</v>
      </c>
      <c r="B158" s="90">
        <f>IF('Daily Data'!E158="","",'Daily Data'!E158)</f>
        <v/>
      </c>
      <c r="C158" s="65" t="n">
        <v>35.94</v>
      </c>
      <c r="D158" s="94" t="n">
        <v>56943.92</v>
      </c>
      <c r="E158" s="94" t="n">
        <v>26190.0142</v>
      </c>
      <c r="F158" s="94" t="n">
        <v>2037.2925</v>
      </c>
      <c r="G158" s="94" t="n"/>
      <c r="H158" s="95">
        <f>SUM($G$4:G158)</f>
        <v/>
      </c>
      <c r="I158" s="94" t="n">
        <v>1000000000</v>
      </c>
      <c r="J158" s="95">
        <f>J157-E158</f>
        <v/>
      </c>
      <c r="K158" s="94" t="n">
        <v>60000000</v>
      </c>
      <c r="L158" s="94" t="n">
        <v>24020357.13</v>
      </c>
      <c r="M158" s="94" t="n">
        <v>3000000</v>
      </c>
      <c r="N158" s="94" t="n">
        <v>267559.763299942</v>
      </c>
      <c r="O158" s="96">
        <f>IF(OR(I158="",J158="",L158="",N158=""),"",I158-J158-K158-L158-M158-N158)</f>
        <v/>
      </c>
      <c r="P158" s="91">
        <f>IF(OR(O158="",C158=""),"",O158*C158)</f>
        <v/>
      </c>
      <c r="Q158" s="69">
        <f>Q157-E158</f>
        <v/>
      </c>
      <c r="R158" s="97">
        <f>IF(OR(J158="",Q158=""),"",J158-Q158)</f>
        <v/>
      </c>
      <c r="S158" s="69">
        <f>IF(D158="",S157,S157+D158)</f>
        <v/>
      </c>
      <c r="T158" s="97">
        <f>IF(OR(L158="",S158=""),"",L158-S158)</f>
        <v/>
      </c>
      <c r="U158" s="69">
        <f>IF(F158="",U157,U157+F158)</f>
        <v/>
      </c>
      <c r="V158" s="97">
        <f>IF(OR(N158="",U158=""),"",N158-U158)</f>
        <v/>
      </c>
      <c r="W158" s="71">
        <f>IF(OR(C158="",C158=0,'Daily Data'!J158=""),"",'Daily Data'!J158/C158)</f>
        <v/>
      </c>
      <c r="X158" s="71">
        <f>IF(OR(C158="",C158=0,'Daily Data'!K158=""),"",'Daily Data'!K158/C158)</f>
        <v/>
      </c>
      <c r="Y158" s="71">
        <f>IF(OR(F158="",W158="",X158=""),"",F158-W158-X158)</f>
        <v/>
      </c>
      <c r="Z158" s="72" t="n">
        <v>358.76</v>
      </c>
      <c r="AA158" s="72" t="n">
        <v>63.31</v>
      </c>
      <c r="AB158" s="73">
        <f>Z158+AA158</f>
        <v/>
      </c>
      <c r="AC158" s="74">
        <f>IF(OR(E158="",E158=0,AB158=""),"",E158*365/(AB158*1000000))</f>
        <v/>
      </c>
      <c r="AD158" s="98">
        <f>IF(OR(O158="",O158=0,AB158=""),"",(AB158*1000000)/O158)</f>
        <v/>
      </c>
      <c r="AE158" s="99">
        <f>IF(H158="","",(Team_Genesis-H158)/1000000)</f>
        <v/>
      </c>
      <c r="AF158" s="99">
        <f>IF(OR(O158="",AE158=""),"",(O158-AE158*1000000)/1000000)</f>
        <v/>
      </c>
    </row>
    <row r="159">
      <c r="A159" s="35" t="n">
        <v>45813</v>
      </c>
      <c r="B159" s="90">
        <f>IF('Daily Data'!E159="","",'Daily Data'!E159)</f>
        <v/>
      </c>
      <c r="C159" s="65" t="n">
        <v>35.34</v>
      </c>
      <c r="D159" s="94" t="n">
        <v>44401.02</v>
      </c>
      <c r="E159" s="94" t="n">
        <v>26188.2055</v>
      </c>
      <c r="F159" s="94" t="n">
        <v>1896.2776</v>
      </c>
      <c r="G159" s="94" t="n"/>
      <c r="H159" s="95">
        <f>SUM($G$4:G159)</f>
        <v/>
      </c>
      <c r="I159" s="94" t="n">
        <v>1000000000</v>
      </c>
      <c r="J159" s="95">
        <f>J158-E159</f>
        <v/>
      </c>
      <c r="K159" s="94" t="n">
        <v>60000000</v>
      </c>
      <c r="L159" s="94" t="n">
        <v>24064758.15</v>
      </c>
      <c r="M159" s="94" t="n">
        <v>3000000</v>
      </c>
      <c r="N159" s="94" t="n">
        <v>269456.040899992</v>
      </c>
      <c r="O159" s="96">
        <f>IF(OR(I159="",J159="",L159="",N159=""),"",I159-J159-K159-L159-M159-N159)</f>
        <v/>
      </c>
      <c r="P159" s="91">
        <f>IF(OR(O159="",C159=""),"",O159*C159)</f>
        <v/>
      </c>
      <c r="Q159" s="69">
        <f>Q158-E159</f>
        <v/>
      </c>
      <c r="R159" s="97">
        <f>IF(OR(J159="",Q159=""),"",J159-Q159)</f>
        <v/>
      </c>
      <c r="S159" s="69">
        <f>IF(D159="",S158,S158+D159)</f>
        <v/>
      </c>
      <c r="T159" s="97">
        <f>IF(OR(L159="",S159=""),"",L159-S159)</f>
        <v/>
      </c>
      <c r="U159" s="69">
        <f>IF(F159="",U158,U158+F159)</f>
        <v/>
      </c>
      <c r="V159" s="97">
        <f>IF(OR(N159="",U159=""),"",N159-U159)</f>
        <v/>
      </c>
      <c r="W159" s="71">
        <f>IF(OR(C159="",C159=0,'Daily Data'!J159=""),"",'Daily Data'!J159/C159)</f>
        <v/>
      </c>
      <c r="X159" s="71">
        <f>IF(OR(C159="",C159=0,'Daily Data'!K159=""),"",'Daily Data'!K159/C159)</f>
        <v/>
      </c>
      <c r="Y159" s="71">
        <f>IF(OR(F159="",W159="",X159=""),"",F159-W159-X159)</f>
        <v/>
      </c>
      <c r="Z159" s="72" t="n">
        <v>358.76</v>
      </c>
      <c r="AA159" s="72" t="n">
        <v>63.31</v>
      </c>
      <c r="AB159" s="73">
        <f>Z159+AA159</f>
        <v/>
      </c>
      <c r="AC159" s="74">
        <f>IF(OR(E159="",E159=0,AB159=""),"",E159*365/(AB159*1000000))</f>
        <v/>
      </c>
      <c r="AD159" s="98">
        <f>IF(OR(O159="",O159=0,AB159=""),"",(AB159*1000000)/O159)</f>
        <v/>
      </c>
      <c r="AE159" s="99">
        <f>IF(H159="","",(Team_Genesis-H159)/1000000)</f>
        <v/>
      </c>
      <c r="AF159" s="99">
        <f>IF(OR(O159="",AE159=""),"",(O159-AE159*1000000)/1000000)</f>
        <v/>
      </c>
    </row>
    <row r="160">
      <c r="A160" s="35" t="n">
        <v>45814</v>
      </c>
      <c r="B160" s="90">
        <f>IF('Daily Data'!E160="","",'Daily Data'!E160)</f>
        <v/>
      </c>
      <c r="C160" s="65" t="n">
        <v>33.98</v>
      </c>
      <c r="D160" s="94" t="n">
        <v>93474.94</v>
      </c>
      <c r="E160" s="94" t="n">
        <v>26212.4448</v>
      </c>
      <c r="F160" s="94" t="n">
        <v>1516.1553</v>
      </c>
      <c r="G160" s="94" t="n"/>
      <c r="H160" s="95">
        <f>SUM($G$4:G160)</f>
        <v/>
      </c>
      <c r="I160" s="94" t="n">
        <v>1000000000</v>
      </c>
      <c r="J160" s="95">
        <f>J159-E160</f>
        <v/>
      </c>
      <c r="K160" s="94" t="n">
        <v>60000000</v>
      </c>
      <c r="L160" s="94" t="n">
        <v>24158233.09</v>
      </c>
      <c r="M160" s="94" t="n">
        <v>3000000</v>
      </c>
      <c r="N160" s="94" t="n">
        <v>270972.1963000298</v>
      </c>
      <c r="O160" s="96">
        <f>IF(OR(I160="",J160="",L160="",N160=""),"",I160-J160-K160-L160-M160-N160)</f>
        <v/>
      </c>
      <c r="P160" s="91">
        <f>IF(OR(O160="",C160=""),"",O160*C160)</f>
        <v/>
      </c>
      <c r="Q160" s="69">
        <f>Q159-E160</f>
        <v/>
      </c>
      <c r="R160" s="97">
        <f>IF(OR(J160="",Q160=""),"",J160-Q160)</f>
        <v/>
      </c>
      <c r="S160" s="69">
        <f>IF(D160="",S159,S159+D160)</f>
        <v/>
      </c>
      <c r="T160" s="97">
        <f>IF(OR(L160="",S160=""),"",L160-S160)</f>
        <v/>
      </c>
      <c r="U160" s="69">
        <f>IF(F160="",U159,U159+F160)</f>
        <v/>
      </c>
      <c r="V160" s="97">
        <f>IF(OR(N160="",U160=""),"",N160-U160)</f>
        <v/>
      </c>
      <c r="W160" s="71">
        <f>IF(OR(C160="",C160=0,'Daily Data'!J160=""),"",'Daily Data'!J160/C160)</f>
        <v/>
      </c>
      <c r="X160" s="71">
        <f>IF(OR(C160="",C160=0,'Daily Data'!K160=""),"",'Daily Data'!K160/C160)</f>
        <v/>
      </c>
      <c r="Y160" s="71">
        <f>IF(OR(F160="",W160="",X160=""),"",F160-W160-X160)</f>
        <v/>
      </c>
      <c r="Z160" s="72" t="n">
        <v>358.76</v>
      </c>
      <c r="AA160" s="72" t="n">
        <v>63.31</v>
      </c>
      <c r="AB160" s="73">
        <f>Z160+AA160</f>
        <v/>
      </c>
      <c r="AC160" s="74">
        <f>IF(OR(E160="",E160=0,AB160=""),"",E160*365/(AB160*1000000))</f>
        <v/>
      </c>
      <c r="AD160" s="98">
        <f>IF(OR(O160="",O160=0,AB160=""),"",(AB160*1000000)/O160)</f>
        <v/>
      </c>
      <c r="AE160" s="99">
        <f>IF(H160="","",(Team_Genesis-H160)/1000000)</f>
        <v/>
      </c>
      <c r="AF160" s="99">
        <f>IF(OR(O160="",AE160=""),"",(O160-AE160*1000000)/1000000)</f>
        <v/>
      </c>
    </row>
    <row r="161">
      <c r="A161" s="35" t="n">
        <v>45815</v>
      </c>
      <c r="B161" s="90">
        <f>IF('Daily Data'!E161="","",'Daily Data'!E161)</f>
        <v/>
      </c>
      <c r="C161" s="65" t="n">
        <v>33.03</v>
      </c>
      <c r="D161" s="94" t="n">
        <v>45268.08</v>
      </c>
      <c r="E161" s="94" t="n">
        <v>26173.826</v>
      </c>
      <c r="F161" s="94" t="n">
        <v>1731.8133</v>
      </c>
      <c r="G161" s="94" t="n"/>
      <c r="H161" s="95">
        <f>SUM($G$4:G161)</f>
        <v/>
      </c>
      <c r="I161" s="94" t="n">
        <v>1000000000</v>
      </c>
      <c r="J161" s="95">
        <f>J160-E161</f>
        <v/>
      </c>
      <c r="K161" s="94" t="n">
        <v>60000000</v>
      </c>
      <c r="L161" s="94" t="n">
        <v>24203501.17</v>
      </c>
      <c r="M161" s="94" t="n">
        <v>3000000</v>
      </c>
      <c r="N161" s="94" t="n">
        <v>272704.0095000267</v>
      </c>
      <c r="O161" s="96">
        <f>IF(OR(I161="",J161="",L161="",N161=""),"",I161-J161-K161-L161-M161-N161)</f>
        <v/>
      </c>
      <c r="P161" s="91">
        <f>IF(OR(O161="",C161=""),"",O161*C161)</f>
        <v/>
      </c>
      <c r="Q161" s="69">
        <f>Q160-E161</f>
        <v/>
      </c>
      <c r="R161" s="97">
        <f>IF(OR(J161="",Q161=""),"",J161-Q161)</f>
        <v/>
      </c>
      <c r="S161" s="69">
        <f>IF(D161="",S160,S160+D161)</f>
        <v/>
      </c>
      <c r="T161" s="97">
        <f>IF(OR(L161="",S161=""),"",L161-S161)</f>
        <v/>
      </c>
      <c r="U161" s="69">
        <f>IF(F161="",U160,U160+F161)</f>
        <v/>
      </c>
      <c r="V161" s="97">
        <f>IF(OR(N161="",U161=""),"",N161-U161)</f>
        <v/>
      </c>
      <c r="W161" s="71">
        <f>IF(OR(C161="",C161=0,'Daily Data'!J161=""),"",'Daily Data'!J161/C161)</f>
        <v/>
      </c>
      <c r="X161" s="71">
        <f>IF(OR(C161="",C161=0,'Daily Data'!K161=""),"",'Daily Data'!K161/C161)</f>
        <v/>
      </c>
      <c r="Y161" s="71">
        <f>IF(OR(F161="",W161="",X161=""),"",F161-W161-X161)</f>
        <v/>
      </c>
      <c r="Z161" s="72" t="n">
        <v>358.76</v>
      </c>
      <c r="AA161" s="72" t="n">
        <v>63.31</v>
      </c>
      <c r="AB161" s="73">
        <f>Z161+AA161</f>
        <v/>
      </c>
      <c r="AC161" s="74">
        <f>IF(OR(E161="",E161=0,AB161=""),"",E161*365/(AB161*1000000))</f>
        <v/>
      </c>
      <c r="AD161" s="98">
        <f>IF(OR(O161="",O161=0,AB161=""),"",(AB161*1000000)/O161)</f>
        <v/>
      </c>
      <c r="AE161" s="99">
        <f>IF(H161="","",(Team_Genesis-H161)/1000000)</f>
        <v/>
      </c>
      <c r="AF161" s="99">
        <f>IF(OR(O161="",AE161=""),"",(O161-AE161*1000000)/1000000)</f>
        <v/>
      </c>
    </row>
    <row r="162">
      <c r="A162" s="35" t="n">
        <v>45816</v>
      </c>
      <c r="B162" s="90">
        <f>IF('Daily Data'!E162="","",'Daily Data'!E162)</f>
        <v/>
      </c>
      <c r="C162" s="65" t="n">
        <v>34.72</v>
      </c>
      <c r="D162" s="94" t="n">
        <v>22402.6</v>
      </c>
      <c r="E162" s="94" t="n">
        <v>26210.6307</v>
      </c>
      <c r="F162" s="94" t="n">
        <v>1145.1683</v>
      </c>
      <c r="G162" s="94" t="n"/>
      <c r="H162" s="95">
        <f>SUM($G$4:G162)</f>
        <v/>
      </c>
      <c r="I162" s="94" t="n">
        <v>1000000000</v>
      </c>
      <c r="J162" s="95">
        <f>J161-E162</f>
        <v/>
      </c>
      <c r="K162" s="94" t="n">
        <v>60000000</v>
      </c>
      <c r="L162" s="94" t="n">
        <v>24225903.77</v>
      </c>
      <c r="M162" s="94" t="n">
        <v>3000000</v>
      </c>
      <c r="N162" s="94" t="n">
        <v>273849.1778000593</v>
      </c>
      <c r="O162" s="96">
        <f>IF(OR(I162="",J162="",L162="",N162=""),"",I162-J162-K162-L162-M162-N162)</f>
        <v/>
      </c>
      <c r="P162" s="91">
        <f>IF(OR(O162="",C162=""),"",O162*C162)</f>
        <v/>
      </c>
      <c r="Q162" s="69">
        <f>Q161-E162</f>
        <v/>
      </c>
      <c r="R162" s="97">
        <f>IF(OR(J162="",Q162=""),"",J162-Q162)</f>
        <v/>
      </c>
      <c r="S162" s="69">
        <f>IF(D162="",S161,S161+D162)</f>
        <v/>
      </c>
      <c r="T162" s="97">
        <f>IF(OR(L162="",S162=""),"",L162-S162)</f>
        <v/>
      </c>
      <c r="U162" s="69">
        <f>IF(F162="",U161,U161+F162)</f>
        <v/>
      </c>
      <c r="V162" s="97">
        <f>IF(OR(N162="",U162=""),"",N162-U162)</f>
        <v/>
      </c>
      <c r="W162" s="71">
        <f>IF(OR(C162="",C162=0,'Daily Data'!J162=""),"",'Daily Data'!J162/C162)</f>
        <v/>
      </c>
      <c r="X162" s="71">
        <f>IF(OR(C162="",C162=0,'Daily Data'!K162=""),"",'Daily Data'!K162/C162)</f>
        <v/>
      </c>
      <c r="Y162" s="71">
        <f>IF(OR(F162="",W162="",X162=""),"",F162-W162-X162)</f>
        <v/>
      </c>
      <c r="Z162" s="72" t="n">
        <v>358.76</v>
      </c>
      <c r="AA162" s="72" t="n">
        <v>63.31</v>
      </c>
      <c r="AB162" s="73">
        <f>Z162+AA162</f>
        <v/>
      </c>
      <c r="AC162" s="74">
        <f>IF(OR(E162="",E162=0,AB162=""),"",E162*365/(AB162*1000000))</f>
        <v/>
      </c>
      <c r="AD162" s="98">
        <f>IF(OR(O162="",O162=0,AB162=""),"",(AB162*1000000)/O162)</f>
        <v/>
      </c>
      <c r="AE162" s="99">
        <f>IF(H162="","",(Team_Genesis-H162)/1000000)</f>
        <v/>
      </c>
      <c r="AF162" s="99">
        <f>IF(OR(O162="",AE162=""),"",(O162-AE162*1000000)/1000000)</f>
        <v/>
      </c>
    </row>
    <row r="163">
      <c r="A163" s="35" t="n">
        <v>45817</v>
      </c>
      <c r="B163" s="90">
        <f>IF('Daily Data'!E163="","",'Daily Data'!E163)</f>
        <v/>
      </c>
      <c r="C163" s="65" t="n">
        <v>34.8</v>
      </c>
      <c r="D163" s="94" t="n">
        <v>27813.55</v>
      </c>
      <c r="E163" s="94" t="n">
        <v>25299.7854</v>
      </c>
      <c r="F163" s="94" t="n">
        <v>1303.6525</v>
      </c>
      <c r="G163" s="94" t="n"/>
      <c r="H163" s="95">
        <f>SUM($G$4:G163)</f>
        <v/>
      </c>
      <c r="I163" s="94" t="n">
        <v>1000000000</v>
      </c>
      <c r="J163" s="95">
        <f>J162-E163</f>
        <v/>
      </c>
      <c r="K163" s="94" t="n">
        <v>60000000</v>
      </c>
      <c r="L163" s="94" t="n">
        <v>24253717.32</v>
      </c>
      <c r="M163" s="94" t="n">
        <v>3000000</v>
      </c>
      <c r="N163" s="94" t="n">
        <v>275152.8302999735</v>
      </c>
      <c r="O163" s="96">
        <f>IF(OR(I163="",J163="",L163="",N163=""),"",I163-J163-K163-L163-M163-N163)</f>
        <v/>
      </c>
      <c r="P163" s="91">
        <f>IF(OR(O163="",C163=""),"",O163*C163)</f>
        <v/>
      </c>
      <c r="Q163" s="69">
        <f>Q162-E163</f>
        <v/>
      </c>
      <c r="R163" s="97">
        <f>IF(OR(J163="",Q163=""),"",J163-Q163)</f>
        <v/>
      </c>
      <c r="S163" s="69">
        <f>IF(D163="",S162,S162+D163)</f>
        <v/>
      </c>
      <c r="T163" s="97">
        <f>IF(OR(L163="",S163=""),"",L163-S163)</f>
        <v/>
      </c>
      <c r="U163" s="69">
        <f>IF(F163="",U162,U162+F163)</f>
        <v/>
      </c>
      <c r="V163" s="97">
        <f>IF(OR(N163="",U163=""),"",N163-U163)</f>
        <v/>
      </c>
      <c r="W163" s="71">
        <f>IF(OR(C163="",C163=0,'Daily Data'!J163=""),"",'Daily Data'!J163/C163)</f>
        <v/>
      </c>
      <c r="X163" s="71">
        <f>IF(OR(C163="",C163=0,'Daily Data'!K163=""),"",'Daily Data'!K163/C163)</f>
        <v/>
      </c>
      <c r="Y163" s="71">
        <f>IF(OR(F163="",W163="",X163=""),"",F163-W163-X163)</f>
        <v/>
      </c>
      <c r="Z163" s="72" t="n">
        <v>358.76</v>
      </c>
      <c r="AA163" s="72" t="n">
        <v>63.31</v>
      </c>
      <c r="AB163" s="73">
        <f>Z163+AA163</f>
        <v/>
      </c>
      <c r="AC163" s="74">
        <f>IF(OR(E163="",E163=0,AB163=""),"",E163*365/(AB163*1000000))</f>
        <v/>
      </c>
      <c r="AD163" s="98">
        <f>IF(OR(O163="",O163=0,AB163=""),"",(AB163*1000000)/O163)</f>
        <v/>
      </c>
      <c r="AE163" s="99">
        <f>IF(H163="","",(Team_Genesis-H163)/1000000)</f>
        <v/>
      </c>
      <c r="AF163" s="99">
        <f>IF(OR(O163="",AE163=""),"",(O163-AE163*1000000)/1000000)</f>
        <v/>
      </c>
    </row>
    <row r="164">
      <c r="A164" s="35" t="n">
        <v>45818</v>
      </c>
      <c r="B164" s="90">
        <f>IF('Daily Data'!E164="","",'Daily Data'!E164)</f>
        <v/>
      </c>
      <c r="C164" s="65" t="n">
        <v>38.51</v>
      </c>
      <c r="D164" s="94" t="n">
        <v>72585.42</v>
      </c>
      <c r="E164" s="94" t="n">
        <v>26201.0939</v>
      </c>
      <c r="F164" s="94" t="n">
        <v>1301.1221</v>
      </c>
      <c r="G164" s="94" t="n"/>
      <c r="H164" s="95">
        <f>SUM($G$4:G164)</f>
        <v/>
      </c>
      <c r="I164" s="94" t="n">
        <v>1000000000</v>
      </c>
      <c r="J164" s="95">
        <f>J163-E164</f>
        <v/>
      </c>
      <c r="K164" s="94" t="n">
        <v>60000000</v>
      </c>
      <c r="L164" s="94" t="n">
        <v>24326302.74</v>
      </c>
      <c r="M164" s="94" t="n">
        <v>3000000</v>
      </c>
      <c r="N164" s="94" t="n">
        <v>276453.9523999691</v>
      </c>
      <c r="O164" s="96">
        <f>IF(OR(I164="",J164="",L164="",N164=""),"",I164-J164-K164-L164-M164-N164)</f>
        <v/>
      </c>
      <c r="P164" s="91">
        <f>IF(OR(O164="",C164=""),"",O164*C164)</f>
        <v/>
      </c>
      <c r="Q164" s="69">
        <f>Q163-E164</f>
        <v/>
      </c>
      <c r="R164" s="97">
        <f>IF(OR(J164="",Q164=""),"",J164-Q164)</f>
        <v/>
      </c>
      <c r="S164" s="69">
        <f>IF(D164="",S163,S163+D164)</f>
        <v/>
      </c>
      <c r="T164" s="97">
        <f>IF(OR(L164="",S164=""),"",L164-S164)</f>
        <v/>
      </c>
      <c r="U164" s="69">
        <f>IF(F164="",U163,U163+F164)</f>
        <v/>
      </c>
      <c r="V164" s="97">
        <f>IF(OR(N164="",U164=""),"",N164-U164)</f>
        <v/>
      </c>
      <c r="W164" s="71">
        <f>IF(OR(C164="",C164=0,'Daily Data'!J164=""),"",'Daily Data'!J164/C164)</f>
        <v/>
      </c>
      <c r="X164" s="71">
        <f>IF(OR(C164="",C164=0,'Daily Data'!K164=""),"",'Daily Data'!K164/C164)</f>
        <v/>
      </c>
      <c r="Y164" s="71">
        <f>IF(OR(F164="",W164="",X164=""),"",F164-W164-X164)</f>
        <v/>
      </c>
      <c r="Z164" s="72" t="n">
        <v>358.76</v>
      </c>
      <c r="AA164" s="72" t="n">
        <v>63.31</v>
      </c>
      <c r="AB164" s="73">
        <f>Z164+AA164</f>
        <v/>
      </c>
      <c r="AC164" s="74">
        <f>IF(OR(E164="",E164=0,AB164=""),"",E164*365/(AB164*1000000))</f>
        <v/>
      </c>
      <c r="AD164" s="98">
        <f>IF(OR(O164="",O164=0,AB164=""),"",(AB164*1000000)/O164)</f>
        <v/>
      </c>
      <c r="AE164" s="99">
        <f>IF(H164="","",(Team_Genesis-H164)/1000000)</f>
        <v/>
      </c>
      <c r="AF164" s="99">
        <f>IF(OR(O164="",AE164=""),"",(O164-AE164*1000000)/1000000)</f>
        <v/>
      </c>
    </row>
    <row r="165">
      <c r="A165" s="35" t="n">
        <v>45819</v>
      </c>
      <c r="B165" s="90">
        <f>IF('Daily Data'!E165="","",'Daily Data'!E165)</f>
        <v/>
      </c>
      <c r="C165" s="65" t="n">
        <v>42.21</v>
      </c>
      <c r="D165" s="94" t="n">
        <v>62825.88</v>
      </c>
      <c r="E165" s="94" t="n">
        <v>26194.2846</v>
      </c>
      <c r="F165" s="94" t="n">
        <v>2420.7992</v>
      </c>
      <c r="G165" s="94" t="n"/>
      <c r="H165" s="95">
        <f>SUM($G$4:G165)</f>
        <v/>
      </c>
      <c r="I165" s="94" t="n">
        <v>1000000000</v>
      </c>
      <c r="J165" s="95">
        <f>J164-E165</f>
        <v/>
      </c>
      <c r="K165" s="94" t="n">
        <v>60000000</v>
      </c>
      <c r="L165" s="94" t="n">
        <v>24389128.62</v>
      </c>
      <c r="M165" s="94" t="n">
        <v>3000000</v>
      </c>
      <c r="N165" s="94" t="n">
        <v>278874.7516000271</v>
      </c>
      <c r="O165" s="96">
        <f>IF(OR(I165="",J165="",L165="",N165=""),"",I165-J165-K165-L165-M165-N165)</f>
        <v/>
      </c>
      <c r="P165" s="91">
        <f>IF(OR(O165="",C165=""),"",O165*C165)</f>
        <v/>
      </c>
      <c r="Q165" s="69">
        <f>Q164-E165</f>
        <v/>
      </c>
      <c r="R165" s="97">
        <f>IF(OR(J165="",Q165=""),"",J165-Q165)</f>
        <v/>
      </c>
      <c r="S165" s="69">
        <f>IF(D165="",S164,S164+D165)</f>
        <v/>
      </c>
      <c r="T165" s="97">
        <f>IF(OR(L165="",S165=""),"",L165-S165)</f>
        <v/>
      </c>
      <c r="U165" s="69">
        <f>IF(F165="",U164,U164+F165)</f>
        <v/>
      </c>
      <c r="V165" s="97">
        <f>IF(OR(N165="",U165=""),"",N165-U165)</f>
        <v/>
      </c>
      <c r="W165" s="71">
        <f>IF(OR(C165="",C165=0,'Daily Data'!J165=""),"",'Daily Data'!J165/C165)</f>
        <v/>
      </c>
      <c r="X165" s="71">
        <f>IF(OR(C165="",C165=0,'Daily Data'!K165=""),"",'Daily Data'!K165/C165)</f>
        <v/>
      </c>
      <c r="Y165" s="71">
        <f>IF(OR(F165="",W165="",X165=""),"",F165-W165-X165)</f>
        <v/>
      </c>
      <c r="Z165" s="72" t="n">
        <v>358.76</v>
      </c>
      <c r="AA165" s="72" t="n">
        <v>63.31</v>
      </c>
      <c r="AB165" s="73">
        <f>Z165+AA165</f>
        <v/>
      </c>
      <c r="AC165" s="74">
        <f>IF(OR(E165="",E165=0,AB165=""),"",E165*365/(AB165*1000000))</f>
        <v/>
      </c>
      <c r="AD165" s="98">
        <f>IF(OR(O165="",O165=0,AB165=""),"",(AB165*1000000)/O165)</f>
        <v/>
      </c>
      <c r="AE165" s="99">
        <f>IF(H165="","",(Team_Genesis-H165)/1000000)</f>
        <v/>
      </c>
      <c r="AF165" s="99">
        <f>IF(OR(O165="",AE165=""),"",(O165-AE165*1000000)/1000000)</f>
        <v/>
      </c>
    </row>
    <row r="166">
      <c r="A166" s="35" t="n">
        <v>45820</v>
      </c>
      <c r="B166" s="90">
        <f>IF('Daily Data'!E166="","",'Daily Data'!E166)</f>
        <v/>
      </c>
      <c r="C166" s="65" t="n">
        <v>41.34</v>
      </c>
      <c r="D166" s="94" t="n">
        <v>66551.07000000001</v>
      </c>
      <c r="E166" s="94" t="n">
        <v>26172.6772</v>
      </c>
      <c r="F166" s="94" t="n">
        <v>1573.8715</v>
      </c>
      <c r="G166" s="94" t="n"/>
      <c r="H166" s="95">
        <f>SUM($G$4:G166)</f>
        <v/>
      </c>
      <c r="I166" s="94" t="n">
        <v>1000000000</v>
      </c>
      <c r="J166" s="95">
        <f>J165-E166</f>
        <v/>
      </c>
      <c r="K166" s="94" t="n">
        <v>60000000</v>
      </c>
      <c r="L166" s="94" t="n">
        <v>24455679.69</v>
      </c>
      <c r="M166" s="94" t="n">
        <v>3000000</v>
      </c>
      <c r="N166" s="94" t="n">
        <v>280448.6231000423</v>
      </c>
      <c r="O166" s="96">
        <f>IF(OR(I166="",J166="",L166="",N166=""),"",I166-J166-K166-L166-M166-N166)</f>
        <v/>
      </c>
      <c r="P166" s="91">
        <f>IF(OR(O166="",C166=""),"",O166*C166)</f>
        <v/>
      </c>
      <c r="Q166" s="69">
        <f>Q165-E166</f>
        <v/>
      </c>
      <c r="R166" s="97">
        <f>IF(OR(J166="",Q166=""),"",J166-Q166)</f>
        <v/>
      </c>
      <c r="S166" s="69">
        <f>IF(D166="",S165,S165+D166)</f>
        <v/>
      </c>
      <c r="T166" s="97">
        <f>IF(OR(L166="",S166=""),"",L166-S166)</f>
        <v/>
      </c>
      <c r="U166" s="69">
        <f>IF(F166="",U165,U165+F166)</f>
        <v/>
      </c>
      <c r="V166" s="97">
        <f>IF(OR(N166="",U166=""),"",N166-U166)</f>
        <v/>
      </c>
      <c r="W166" s="71">
        <f>IF(OR(C166="",C166=0,'Daily Data'!J166=""),"",'Daily Data'!J166/C166)</f>
        <v/>
      </c>
      <c r="X166" s="71">
        <f>IF(OR(C166="",C166=0,'Daily Data'!K166=""),"",'Daily Data'!K166/C166)</f>
        <v/>
      </c>
      <c r="Y166" s="71">
        <f>IF(OR(F166="",W166="",X166=""),"",F166-W166-X166)</f>
        <v/>
      </c>
      <c r="Z166" s="72" t="n">
        <v>358.76</v>
      </c>
      <c r="AA166" s="72" t="n">
        <v>63.31</v>
      </c>
      <c r="AB166" s="73">
        <f>Z166+AA166</f>
        <v/>
      </c>
      <c r="AC166" s="74">
        <f>IF(OR(E166="",E166=0,AB166=""),"",E166*365/(AB166*1000000))</f>
        <v/>
      </c>
      <c r="AD166" s="98">
        <f>IF(OR(O166="",O166=0,AB166=""),"",(AB166*1000000)/O166)</f>
        <v/>
      </c>
      <c r="AE166" s="99">
        <f>IF(H166="","",(Team_Genesis-H166)/1000000)</f>
        <v/>
      </c>
      <c r="AF166" s="99">
        <f>IF(OR(O166="",AE166=""),"",(O166-AE166*1000000)/1000000)</f>
        <v/>
      </c>
    </row>
    <row r="167">
      <c r="A167" s="35" t="n">
        <v>45821</v>
      </c>
      <c r="B167" s="90">
        <f>IF('Daily Data'!E167="","",'Daily Data'!E167)</f>
        <v/>
      </c>
      <c r="C167" s="65" t="n">
        <v>39.44</v>
      </c>
      <c r="D167" s="94" t="n">
        <v>106831.07</v>
      </c>
      <c r="E167" s="94" t="n">
        <v>26192.0002</v>
      </c>
      <c r="F167" s="94" t="n">
        <v>1328.325</v>
      </c>
      <c r="G167" s="94" t="n"/>
      <c r="H167" s="95">
        <f>SUM($G$4:G167)</f>
        <v/>
      </c>
      <c r="I167" s="94" t="n">
        <v>1000000000</v>
      </c>
      <c r="J167" s="95">
        <f>J166-E167</f>
        <v/>
      </c>
      <c r="K167" s="94" t="n">
        <v>60000000</v>
      </c>
      <c r="L167" s="94" t="n">
        <v>24562510.76</v>
      </c>
      <c r="M167" s="94" t="n">
        <v>3000000</v>
      </c>
      <c r="N167" s="94" t="n">
        <v>281776.9480999708</v>
      </c>
      <c r="O167" s="96">
        <f>IF(OR(I167="",J167="",L167="",N167=""),"",I167-J167-K167-L167-M167-N167)</f>
        <v/>
      </c>
      <c r="P167" s="91">
        <f>IF(OR(O167="",C167=""),"",O167*C167)</f>
        <v/>
      </c>
      <c r="Q167" s="69">
        <f>Q166-E167</f>
        <v/>
      </c>
      <c r="R167" s="97">
        <f>IF(OR(J167="",Q167=""),"",J167-Q167)</f>
        <v/>
      </c>
      <c r="S167" s="69">
        <f>IF(D167="",S166,S166+D167)</f>
        <v/>
      </c>
      <c r="T167" s="97">
        <f>IF(OR(L167="",S167=""),"",L167-S167)</f>
        <v/>
      </c>
      <c r="U167" s="69">
        <f>IF(F167="",U166,U166+F167)</f>
        <v/>
      </c>
      <c r="V167" s="97">
        <f>IF(OR(N167="",U167=""),"",N167-U167)</f>
        <v/>
      </c>
      <c r="W167" s="71">
        <f>IF(OR(C167="",C167=0,'Daily Data'!J167=""),"",'Daily Data'!J167/C167)</f>
        <v/>
      </c>
      <c r="X167" s="71">
        <f>IF(OR(C167="",C167=0,'Daily Data'!K167=""),"",'Daily Data'!K167/C167)</f>
        <v/>
      </c>
      <c r="Y167" s="71">
        <f>IF(OR(F167="",W167="",X167=""),"",F167-W167-X167)</f>
        <v/>
      </c>
      <c r="Z167" s="72" t="n">
        <v>358.76</v>
      </c>
      <c r="AA167" s="72" t="n">
        <v>63.31</v>
      </c>
      <c r="AB167" s="73">
        <f>Z167+AA167</f>
        <v/>
      </c>
      <c r="AC167" s="74">
        <f>IF(OR(E167="",E167=0,AB167=""),"",E167*365/(AB167*1000000))</f>
        <v/>
      </c>
      <c r="AD167" s="98">
        <f>IF(OR(O167="",O167=0,AB167=""),"",(AB167*1000000)/O167)</f>
        <v/>
      </c>
      <c r="AE167" s="99">
        <f>IF(H167="","",(Team_Genesis-H167)/1000000)</f>
        <v/>
      </c>
      <c r="AF167" s="99">
        <f>IF(OR(O167="",AE167=""),"",(O167-AE167*1000000)/1000000)</f>
        <v/>
      </c>
    </row>
    <row r="168">
      <c r="A168" s="35" t="n">
        <v>45822</v>
      </c>
      <c r="B168" s="90">
        <f>IF('Daily Data'!E168="","",'Daily Data'!E168)</f>
        <v/>
      </c>
      <c r="C168" s="65" t="n">
        <v>42.07</v>
      </c>
      <c r="D168" s="94" t="n">
        <v>53683.83</v>
      </c>
      <c r="E168" s="94" t="n">
        <v>26263.4844</v>
      </c>
      <c r="F168" s="94" t="n">
        <v>2718.0225</v>
      </c>
      <c r="G168" s="94" t="n"/>
      <c r="H168" s="95">
        <f>SUM($G$4:G168)</f>
        <v/>
      </c>
      <c r="I168" s="94" t="n">
        <v>1000000000</v>
      </c>
      <c r="J168" s="95">
        <f>J167-E168</f>
        <v/>
      </c>
      <c r="K168" s="94" t="n">
        <v>60000000</v>
      </c>
      <c r="L168" s="94" t="n">
        <v>24616194.59</v>
      </c>
      <c r="M168" s="94" t="n">
        <v>3000000</v>
      </c>
      <c r="N168" s="94" t="n">
        <v>284494.970600009</v>
      </c>
      <c r="O168" s="96">
        <f>IF(OR(I168="",J168="",L168="",N168=""),"",I168-J168-K168-L168-M168-N168)</f>
        <v/>
      </c>
      <c r="P168" s="91">
        <f>IF(OR(O168="",C168=""),"",O168*C168)</f>
        <v/>
      </c>
      <c r="Q168" s="69">
        <f>Q167-E168</f>
        <v/>
      </c>
      <c r="R168" s="97">
        <f>IF(OR(J168="",Q168=""),"",J168-Q168)</f>
        <v/>
      </c>
      <c r="S168" s="69">
        <f>IF(D168="",S167,S167+D168)</f>
        <v/>
      </c>
      <c r="T168" s="97">
        <f>IF(OR(L168="",S168=""),"",L168-S168)</f>
        <v/>
      </c>
      <c r="U168" s="69">
        <f>IF(F168="",U167,U167+F168)</f>
        <v/>
      </c>
      <c r="V168" s="97">
        <f>IF(OR(N168="",U168=""),"",N168-U168)</f>
        <v/>
      </c>
      <c r="W168" s="71">
        <f>IF(OR(C168="",C168=0,'Daily Data'!J168=""),"",'Daily Data'!J168/C168)</f>
        <v/>
      </c>
      <c r="X168" s="71">
        <f>IF(OR(C168="",C168=0,'Daily Data'!K168=""),"",'Daily Data'!K168/C168)</f>
        <v/>
      </c>
      <c r="Y168" s="71">
        <f>IF(OR(F168="",W168="",X168=""),"",F168-W168-X168)</f>
        <v/>
      </c>
      <c r="Z168" s="72" t="n">
        <v>358.76</v>
      </c>
      <c r="AA168" s="72" t="n">
        <v>63.31</v>
      </c>
      <c r="AB168" s="73">
        <f>Z168+AA168</f>
        <v/>
      </c>
      <c r="AC168" s="74">
        <f>IF(OR(E168="",E168=0,AB168=""),"",E168*365/(AB168*1000000))</f>
        <v/>
      </c>
      <c r="AD168" s="98">
        <f>IF(OR(O168="",O168=0,AB168=""),"",(AB168*1000000)/O168)</f>
        <v/>
      </c>
      <c r="AE168" s="99">
        <f>IF(H168="","",(Team_Genesis-H168)/1000000)</f>
        <v/>
      </c>
      <c r="AF168" s="99">
        <f>IF(OR(O168="",AE168=""),"",(O168-AE168*1000000)/1000000)</f>
        <v/>
      </c>
    </row>
    <row r="169">
      <c r="A169" s="35" t="n">
        <v>45823</v>
      </c>
      <c r="B169" s="90">
        <f>IF('Daily Data'!E169="","",'Daily Data'!E169)</f>
        <v/>
      </c>
      <c r="C169" s="65" t="n">
        <v>40.21</v>
      </c>
      <c r="D169" s="94" t="n">
        <v>28628.23</v>
      </c>
      <c r="E169" s="94" t="n">
        <v>26057.0889</v>
      </c>
      <c r="F169" s="94" t="n">
        <v>1523.9619</v>
      </c>
      <c r="G169" s="94" t="n"/>
      <c r="H169" s="95">
        <f>SUM($G$4:G169)</f>
        <v/>
      </c>
      <c r="I169" s="94" t="n">
        <v>1000000000</v>
      </c>
      <c r="J169" s="95">
        <f>J168-E169</f>
        <v/>
      </c>
      <c r="K169" s="94" t="n">
        <v>60000000</v>
      </c>
      <c r="L169" s="94" t="n">
        <v>24644822.82</v>
      </c>
      <c r="M169" s="94" t="n">
        <v>3000000</v>
      </c>
      <c r="N169" s="94" t="n">
        <v>286018.9323999882</v>
      </c>
      <c r="O169" s="96">
        <f>IF(OR(I169="",J169="",L169="",N169=""),"",I169-J169-K169-L169-M169-N169)</f>
        <v/>
      </c>
      <c r="P169" s="91">
        <f>IF(OR(O169="",C169=""),"",O169*C169)</f>
        <v/>
      </c>
      <c r="Q169" s="69">
        <f>Q168-E169</f>
        <v/>
      </c>
      <c r="R169" s="97">
        <f>IF(OR(J169="",Q169=""),"",J169-Q169)</f>
        <v/>
      </c>
      <c r="S169" s="69">
        <f>IF(D169="",S168,S168+D169)</f>
        <v/>
      </c>
      <c r="T169" s="97">
        <f>IF(OR(L169="",S169=""),"",L169-S169)</f>
        <v/>
      </c>
      <c r="U169" s="69">
        <f>IF(F169="",U168,U168+F169)</f>
        <v/>
      </c>
      <c r="V169" s="97">
        <f>IF(OR(N169="",U169=""),"",N169-U169)</f>
        <v/>
      </c>
      <c r="W169" s="71">
        <f>IF(OR(C169="",C169=0,'Daily Data'!J169=""),"",'Daily Data'!J169/C169)</f>
        <v/>
      </c>
      <c r="X169" s="71">
        <f>IF(OR(C169="",C169=0,'Daily Data'!K169=""),"",'Daily Data'!K169/C169)</f>
        <v/>
      </c>
      <c r="Y169" s="71">
        <f>IF(OR(F169="",W169="",X169=""),"",F169-W169-X169)</f>
        <v/>
      </c>
      <c r="Z169" s="72" t="n">
        <v>358.76</v>
      </c>
      <c r="AA169" s="72" t="n">
        <v>63.31</v>
      </c>
      <c r="AB169" s="73">
        <f>Z169+AA169</f>
        <v/>
      </c>
      <c r="AC169" s="74">
        <f>IF(OR(E169="",E169=0,AB169=""),"",E169*365/(AB169*1000000))</f>
        <v/>
      </c>
      <c r="AD169" s="98">
        <f>IF(OR(O169="",O169=0,AB169=""),"",(AB169*1000000)/O169)</f>
        <v/>
      </c>
      <c r="AE169" s="99">
        <f>IF(H169="","",(Team_Genesis-H169)/1000000)</f>
        <v/>
      </c>
      <c r="AF169" s="99">
        <f>IF(OR(O169="",AE169=""),"",(O169-AE169*1000000)/1000000)</f>
        <v/>
      </c>
    </row>
    <row r="170">
      <c r="A170" s="35" t="n">
        <v>45824</v>
      </c>
      <c r="B170" s="90">
        <f>IF('Daily Data'!E170="","",'Daily Data'!E170)</f>
        <v/>
      </c>
      <c r="C170" s="65" t="n">
        <v>40.98</v>
      </c>
      <c r="D170" s="94" t="n">
        <v>31692.79</v>
      </c>
      <c r="E170" s="94" t="n">
        <v>26275.4979</v>
      </c>
      <c r="F170" s="94" t="n">
        <v>535.3125</v>
      </c>
      <c r="G170" s="94" t="n"/>
      <c r="H170" s="95">
        <f>SUM($G$4:G170)</f>
        <v/>
      </c>
      <c r="I170" s="94" t="n">
        <v>1000000000</v>
      </c>
      <c r="J170" s="95">
        <f>J169-E170</f>
        <v/>
      </c>
      <c r="K170" s="94" t="n">
        <v>60000000</v>
      </c>
      <c r="L170" s="94" t="n">
        <v>24676515.61</v>
      </c>
      <c r="M170" s="94" t="n">
        <v>3000000</v>
      </c>
      <c r="N170" s="94" t="n">
        <v>286554.2450000048</v>
      </c>
      <c r="O170" s="96">
        <f>IF(OR(I170="",J170="",L170="",N170=""),"",I170-J170-K170-L170-M170-N170)</f>
        <v/>
      </c>
      <c r="P170" s="91">
        <f>IF(OR(O170="",C170=""),"",O170*C170)</f>
        <v/>
      </c>
      <c r="Q170" s="69">
        <f>Q169-E170</f>
        <v/>
      </c>
      <c r="R170" s="97">
        <f>IF(OR(J170="",Q170=""),"",J170-Q170)</f>
        <v/>
      </c>
      <c r="S170" s="69">
        <f>IF(D170="",S169,S169+D170)</f>
        <v/>
      </c>
      <c r="T170" s="97">
        <f>IF(OR(L170="",S170=""),"",L170-S170)</f>
        <v/>
      </c>
      <c r="U170" s="69">
        <f>IF(F170="",U169,U169+F170)</f>
        <v/>
      </c>
      <c r="V170" s="97">
        <f>IF(OR(N170="",U170=""),"",N170-U170)</f>
        <v/>
      </c>
      <c r="W170" s="71">
        <f>IF(OR(C170="",C170=0,'Daily Data'!J170=""),"",'Daily Data'!J170/C170)</f>
        <v/>
      </c>
      <c r="X170" s="71">
        <f>IF(OR(C170="",C170=0,'Daily Data'!K170=""),"",'Daily Data'!K170/C170)</f>
        <v/>
      </c>
      <c r="Y170" s="71">
        <f>IF(OR(F170="",W170="",X170=""),"",F170-W170-X170)</f>
        <v/>
      </c>
      <c r="Z170" s="72" t="n">
        <v>358.76</v>
      </c>
      <c r="AA170" s="72" t="n">
        <v>63.31</v>
      </c>
      <c r="AB170" s="73">
        <f>Z170+AA170</f>
        <v/>
      </c>
      <c r="AC170" s="74">
        <f>IF(OR(E170="",E170=0,AB170=""),"",E170*365/(AB170*1000000))</f>
        <v/>
      </c>
      <c r="AD170" s="98">
        <f>IF(OR(O170="",O170=0,AB170=""),"",(AB170*1000000)/O170)</f>
        <v/>
      </c>
      <c r="AE170" s="99">
        <f>IF(H170="","",(Team_Genesis-H170)/1000000)</f>
        <v/>
      </c>
      <c r="AF170" s="99">
        <f>IF(OR(O170="",AE170=""),"",(O170-AE170*1000000)/1000000)</f>
        <v/>
      </c>
    </row>
    <row r="171">
      <c r="A171" s="35" t="n">
        <v>45825</v>
      </c>
      <c r="B171" s="90">
        <f>IF('Daily Data'!E171="","",'Daily Data'!E171)</f>
        <v/>
      </c>
      <c r="C171" s="65" t="n">
        <v>41.36</v>
      </c>
      <c r="D171" s="94" t="n">
        <v>84832.16</v>
      </c>
      <c r="E171" s="94" t="n">
        <v>26285.5777</v>
      </c>
      <c r="F171" s="94" t="n">
        <v>2288.4006</v>
      </c>
      <c r="G171" s="94" t="n"/>
      <c r="H171" s="95">
        <f>SUM($G$4:G171)</f>
        <v/>
      </c>
      <c r="I171" s="94" t="n">
        <v>1000000000</v>
      </c>
      <c r="J171" s="95">
        <f>J170-E171</f>
        <v/>
      </c>
      <c r="K171" s="94" t="n">
        <v>60000000</v>
      </c>
      <c r="L171" s="94" t="n">
        <v>24761347.77</v>
      </c>
      <c r="M171" s="94" t="n">
        <v>3000000</v>
      </c>
      <c r="N171" s="94" t="n">
        <v>288842.6455999613</v>
      </c>
      <c r="O171" s="96">
        <f>IF(OR(I171="",J171="",L171="",N171=""),"",I171-J171-K171-L171-M171-N171)</f>
        <v/>
      </c>
      <c r="P171" s="91">
        <f>IF(OR(O171="",C171=""),"",O171*C171)</f>
        <v/>
      </c>
      <c r="Q171" s="69">
        <f>Q170-E171</f>
        <v/>
      </c>
      <c r="R171" s="97">
        <f>IF(OR(J171="",Q171=""),"",J171-Q171)</f>
        <v/>
      </c>
      <c r="S171" s="69">
        <f>IF(D171="",S170,S170+D171)</f>
        <v/>
      </c>
      <c r="T171" s="97">
        <f>IF(OR(L171="",S171=""),"",L171-S171)</f>
        <v/>
      </c>
      <c r="U171" s="69">
        <f>IF(F171="",U170,U170+F171)</f>
        <v/>
      </c>
      <c r="V171" s="97">
        <f>IF(OR(N171="",U171=""),"",N171-U171)</f>
        <v/>
      </c>
      <c r="W171" s="71">
        <f>IF(OR(C171="",C171=0,'Daily Data'!J171=""),"",'Daily Data'!J171/C171)</f>
        <v/>
      </c>
      <c r="X171" s="71">
        <f>IF(OR(C171="",C171=0,'Daily Data'!K171=""),"",'Daily Data'!K171/C171)</f>
        <v/>
      </c>
      <c r="Y171" s="71">
        <f>IF(OR(F171="",W171="",X171=""),"",F171-W171-X171)</f>
        <v/>
      </c>
      <c r="Z171" s="72" t="n">
        <v>358.76</v>
      </c>
      <c r="AA171" s="72" t="n">
        <v>63.31</v>
      </c>
      <c r="AB171" s="73">
        <f>Z171+AA171</f>
        <v/>
      </c>
      <c r="AC171" s="74">
        <f>IF(OR(E171="",E171=0,AB171=""),"",E171*365/(AB171*1000000))</f>
        <v/>
      </c>
      <c r="AD171" s="98">
        <f>IF(OR(O171="",O171=0,AB171=""),"",(AB171*1000000)/O171)</f>
        <v/>
      </c>
      <c r="AE171" s="99">
        <f>IF(H171="","",(Team_Genesis-H171)/1000000)</f>
        <v/>
      </c>
      <c r="AF171" s="99">
        <f>IF(OR(O171="",AE171=""),"",(O171-AE171*1000000)/1000000)</f>
        <v/>
      </c>
    </row>
    <row r="172">
      <c r="A172" s="35" t="n">
        <v>45826</v>
      </c>
      <c r="B172" s="90">
        <f>IF('Daily Data'!E172="","",'Daily Data'!E172)</f>
        <v/>
      </c>
      <c r="C172" s="65" t="n">
        <v>39.8</v>
      </c>
      <c r="D172" s="94" t="n">
        <v>68011.24000000001</v>
      </c>
      <c r="E172" s="94" t="n">
        <v>26255.0567</v>
      </c>
      <c r="F172" s="94" t="n">
        <v>1751.8615</v>
      </c>
      <c r="G172" s="94" t="n"/>
      <c r="H172" s="95">
        <f>SUM($G$4:G172)</f>
        <v/>
      </c>
      <c r="I172" s="94" t="n">
        <v>1000000000</v>
      </c>
      <c r="J172" s="95">
        <f>J171-E172</f>
        <v/>
      </c>
      <c r="K172" s="94" t="n">
        <v>60000000</v>
      </c>
      <c r="L172" s="94" t="n">
        <v>24829359.01</v>
      </c>
      <c r="M172" s="94" t="n">
        <v>3000000</v>
      </c>
      <c r="N172" s="94" t="n">
        <v>290594.5069999695</v>
      </c>
      <c r="O172" s="96">
        <f>IF(OR(I172="",J172="",L172="",N172=""),"",I172-J172-K172-L172-M172-N172)</f>
        <v/>
      </c>
      <c r="P172" s="91">
        <f>IF(OR(O172="",C172=""),"",O172*C172)</f>
        <v/>
      </c>
      <c r="Q172" s="69">
        <f>Q171-E172</f>
        <v/>
      </c>
      <c r="R172" s="97">
        <f>IF(OR(J172="",Q172=""),"",J172-Q172)</f>
        <v/>
      </c>
      <c r="S172" s="69">
        <f>IF(D172="",S171,S171+D172)</f>
        <v/>
      </c>
      <c r="T172" s="97">
        <f>IF(OR(L172="",S172=""),"",L172-S172)</f>
        <v/>
      </c>
      <c r="U172" s="69">
        <f>IF(F172="",U171,U171+F172)</f>
        <v/>
      </c>
      <c r="V172" s="97">
        <f>IF(OR(N172="",U172=""),"",N172-U172)</f>
        <v/>
      </c>
      <c r="W172" s="71">
        <f>IF(OR(C172="",C172=0,'Daily Data'!J172=""),"",'Daily Data'!J172/C172)</f>
        <v/>
      </c>
      <c r="X172" s="71">
        <f>IF(OR(C172="",C172=0,'Daily Data'!K172=""),"",'Daily Data'!K172/C172)</f>
        <v/>
      </c>
      <c r="Y172" s="71">
        <f>IF(OR(F172="",W172="",X172=""),"",F172-W172-X172)</f>
        <v/>
      </c>
      <c r="Z172" s="72" t="n">
        <v>358.76</v>
      </c>
      <c r="AA172" s="72" t="n">
        <v>63.31</v>
      </c>
      <c r="AB172" s="73">
        <f>Z172+AA172</f>
        <v/>
      </c>
      <c r="AC172" s="74">
        <f>IF(OR(E172="",E172=0,AB172=""),"",E172*365/(AB172*1000000))</f>
        <v/>
      </c>
      <c r="AD172" s="98">
        <f>IF(OR(O172="",O172=0,AB172=""),"",(AB172*1000000)/O172)</f>
        <v/>
      </c>
      <c r="AE172" s="99">
        <f>IF(H172="","",(Team_Genesis-H172)/1000000)</f>
        <v/>
      </c>
      <c r="AF172" s="99">
        <f>IF(OR(O172="",AE172=""),"",(O172-AE172*1000000)/1000000)</f>
        <v/>
      </c>
    </row>
    <row r="173">
      <c r="A173" s="35" t="n">
        <v>45827</v>
      </c>
      <c r="B173" s="90">
        <f>IF('Daily Data'!E173="","",'Daily Data'!E173)</f>
        <v/>
      </c>
      <c r="C173" s="65" t="n">
        <v>39.3</v>
      </c>
      <c r="D173" s="94" t="n">
        <v>55708.49</v>
      </c>
      <c r="E173" s="94" t="n">
        <v>26211.4713</v>
      </c>
      <c r="F173" s="94" t="n">
        <v>1998.2373</v>
      </c>
      <c r="G173" s="94" t="n"/>
      <c r="H173" s="95">
        <f>SUM($G$4:G173)</f>
        <v/>
      </c>
      <c r="I173" s="94" t="n">
        <v>1000000000</v>
      </c>
      <c r="J173" s="95">
        <f>J172-E173</f>
        <v/>
      </c>
      <c r="K173" s="94" t="n">
        <v>60000000</v>
      </c>
      <c r="L173" s="94" t="n">
        <v>24885067.5</v>
      </c>
      <c r="M173" s="94" t="n">
        <v>3000000</v>
      </c>
      <c r="N173" s="94" t="n">
        <v>292592.7443000078</v>
      </c>
      <c r="O173" s="96">
        <f>IF(OR(I173="",J173="",L173="",N173=""),"",I173-J173-K173-L173-M173-N173)</f>
        <v/>
      </c>
      <c r="P173" s="91">
        <f>IF(OR(O173="",C173=""),"",O173*C173)</f>
        <v/>
      </c>
      <c r="Q173" s="69">
        <f>Q172-E173</f>
        <v/>
      </c>
      <c r="R173" s="97">
        <f>IF(OR(J173="",Q173=""),"",J173-Q173)</f>
        <v/>
      </c>
      <c r="S173" s="69">
        <f>IF(D173="",S172,S172+D173)</f>
        <v/>
      </c>
      <c r="T173" s="97">
        <f>IF(OR(L173="",S173=""),"",L173-S173)</f>
        <v/>
      </c>
      <c r="U173" s="69">
        <f>IF(F173="",U172,U172+F173)</f>
        <v/>
      </c>
      <c r="V173" s="97">
        <f>IF(OR(N173="",U173=""),"",N173-U173)</f>
        <v/>
      </c>
      <c r="W173" s="71">
        <f>IF(OR(C173="",C173=0,'Daily Data'!J173=""),"",'Daily Data'!J173/C173)</f>
        <v/>
      </c>
      <c r="X173" s="71">
        <f>IF(OR(C173="",C173=0,'Daily Data'!K173=""),"",'Daily Data'!K173/C173)</f>
        <v/>
      </c>
      <c r="Y173" s="71">
        <f>IF(OR(F173="",W173="",X173=""),"",F173-W173-X173)</f>
        <v/>
      </c>
      <c r="Z173" s="72" t="n">
        <v>358.76</v>
      </c>
      <c r="AA173" s="72" t="n">
        <v>63.31</v>
      </c>
      <c r="AB173" s="73">
        <f>Z173+AA173</f>
        <v/>
      </c>
      <c r="AC173" s="74">
        <f>IF(OR(E173="",E173=0,AB173=""),"",E173*365/(AB173*1000000))</f>
        <v/>
      </c>
      <c r="AD173" s="98">
        <f>IF(OR(O173="",O173=0,AB173=""),"",(AB173*1000000)/O173)</f>
        <v/>
      </c>
      <c r="AE173" s="99">
        <f>IF(H173="","",(Team_Genesis-H173)/1000000)</f>
        <v/>
      </c>
      <c r="AF173" s="99">
        <f>IF(OR(O173="",AE173=""),"",(O173-AE173*1000000)/1000000)</f>
        <v/>
      </c>
    </row>
    <row r="174">
      <c r="A174" s="35" t="n">
        <v>45828</v>
      </c>
      <c r="B174" s="90">
        <f>IF('Daily Data'!E174="","",'Daily Data'!E174)</f>
        <v/>
      </c>
      <c r="C174" s="65" t="n">
        <v>36.93</v>
      </c>
      <c r="D174" s="94" t="n">
        <v>46185.19</v>
      </c>
      <c r="E174" s="94" t="n">
        <v>26182.7163</v>
      </c>
      <c r="F174" s="94" t="n">
        <v>1736.6411</v>
      </c>
      <c r="G174" s="94" t="n"/>
      <c r="H174" s="95">
        <f>SUM($G$4:G174)</f>
        <v/>
      </c>
      <c r="I174" s="94" t="n">
        <v>1000000000</v>
      </c>
      <c r="J174" s="95">
        <f>J173-E174</f>
        <v/>
      </c>
      <c r="K174" s="94" t="n">
        <v>60000000</v>
      </c>
      <c r="L174" s="94" t="n">
        <v>24931252.69</v>
      </c>
      <c r="M174" s="94" t="n">
        <v>3000000</v>
      </c>
      <c r="N174" s="94" t="n">
        <v>294329.3854000568</v>
      </c>
      <c r="O174" s="96">
        <f>IF(OR(I174="",J174="",L174="",N174=""),"",I174-J174-K174-L174-M174-N174)</f>
        <v/>
      </c>
      <c r="P174" s="91">
        <f>IF(OR(O174="",C174=""),"",O174*C174)</f>
        <v/>
      </c>
      <c r="Q174" s="69">
        <f>Q173-E174</f>
        <v/>
      </c>
      <c r="R174" s="97">
        <f>IF(OR(J174="",Q174=""),"",J174-Q174)</f>
        <v/>
      </c>
      <c r="S174" s="69">
        <f>IF(D174="",S173,S173+D174)</f>
        <v/>
      </c>
      <c r="T174" s="97">
        <f>IF(OR(L174="",S174=""),"",L174-S174)</f>
        <v/>
      </c>
      <c r="U174" s="69">
        <f>IF(F174="",U173,U173+F174)</f>
        <v/>
      </c>
      <c r="V174" s="97">
        <f>IF(OR(N174="",U174=""),"",N174-U174)</f>
        <v/>
      </c>
      <c r="W174" s="71">
        <f>IF(OR(C174="",C174=0,'Daily Data'!J174=""),"",'Daily Data'!J174/C174)</f>
        <v/>
      </c>
      <c r="X174" s="71">
        <f>IF(OR(C174="",C174=0,'Daily Data'!K174=""),"",'Daily Data'!K174/C174)</f>
        <v/>
      </c>
      <c r="Y174" s="71">
        <f>IF(OR(F174="",W174="",X174=""),"",F174-W174-X174)</f>
        <v/>
      </c>
      <c r="Z174" s="72" t="n">
        <v>358.76</v>
      </c>
      <c r="AA174" s="72" t="n">
        <v>63.31</v>
      </c>
      <c r="AB174" s="73">
        <f>Z174+AA174</f>
        <v/>
      </c>
      <c r="AC174" s="74">
        <f>IF(OR(E174="",E174=0,AB174=""),"",E174*365/(AB174*1000000))</f>
        <v/>
      </c>
      <c r="AD174" s="98">
        <f>IF(OR(O174="",O174=0,AB174=""),"",(AB174*1000000)/O174)</f>
        <v/>
      </c>
      <c r="AE174" s="99">
        <f>IF(H174="","",(Team_Genesis-H174)/1000000)</f>
        <v/>
      </c>
      <c r="AF174" s="99">
        <f>IF(OR(O174="",AE174=""),"",(O174-AE174*1000000)/1000000)</f>
        <v/>
      </c>
    </row>
    <row r="175">
      <c r="A175" s="35" t="n">
        <v>45829</v>
      </c>
      <c r="B175" s="90">
        <f>IF('Daily Data'!E175="","",'Daily Data'!E175)</f>
        <v/>
      </c>
      <c r="C175" s="65" t="n">
        <v>33.01</v>
      </c>
      <c r="D175" s="94" t="n">
        <v>62400.26</v>
      </c>
      <c r="E175" s="94" t="n">
        <v>26223.7499</v>
      </c>
      <c r="F175" s="94" t="n">
        <v>1975.2883</v>
      </c>
      <c r="G175" s="94" t="n"/>
      <c r="H175" s="95">
        <f>SUM($G$4:G175)</f>
        <v/>
      </c>
      <c r="I175" s="94" t="n">
        <v>1000000000</v>
      </c>
      <c r="J175" s="95">
        <f>J174-E175</f>
        <v/>
      </c>
      <c r="K175" s="94" t="n">
        <v>60000000</v>
      </c>
      <c r="L175" s="94" t="n">
        <v>24993652.95</v>
      </c>
      <c r="M175" s="94" t="n">
        <v>3000000</v>
      </c>
      <c r="N175" s="94" t="n">
        <v>296304.673699975</v>
      </c>
      <c r="O175" s="96">
        <f>IF(OR(I175="",J175="",L175="",N175=""),"",I175-J175-K175-L175-M175-N175)</f>
        <v/>
      </c>
      <c r="P175" s="91">
        <f>IF(OR(O175="",C175=""),"",O175*C175)</f>
        <v/>
      </c>
      <c r="Q175" s="69">
        <f>Q174-E175</f>
        <v/>
      </c>
      <c r="R175" s="97">
        <f>IF(OR(J175="",Q175=""),"",J175-Q175)</f>
        <v/>
      </c>
      <c r="S175" s="69">
        <f>IF(D175="",S174,S174+D175)</f>
        <v/>
      </c>
      <c r="T175" s="97">
        <f>IF(OR(L175="",S175=""),"",L175-S175)</f>
        <v/>
      </c>
      <c r="U175" s="69">
        <f>IF(F175="",U174,U174+F175)</f>
        <v/>
      </c>
      <c r="V175" s="97">
        <f>IF(OR(N175="",U175=""),"",N175-U175)</f>
        <v/>
      </c>
      <c r="W175" s="71">
        <f>IF(OR(C175="",C175=0,'Daily Data'!J175=""),"",'Daily Data'!J175/C175)</f>
        <v/>
      </c>
      <c r="X175" s="71">
        <f>IF(OR(C175="",C175=0,'Daily Data'!K175=""),"",'Daily Data'!K175/C175)</f>
        <v/>
      </c>
      <c r="Y175" s="71">
        <f>IF(OR(F175="",W175="",X175=""),"",F175-W175-X175)</f>
        <v/>
      </c>
      <c r="Z175" s="72" t="n">
        <v>358.76</v>
      </c>
      <c r="AA175" s="72" t="n">
        <v>63.31</v>
      </c>
      <c r="AB175" s="73">
        <f>Z175+AA175</f>
        <v/>
      </c>
      <c r="AC175" s="74">
        <f>IF(OR(E175="",E175=0,AB175=""),"",E175*365/(AB175*1000000))</f>
        <v/>
      </c>
      <c r="AD175" s="98">
        <f>IF(OR(O175="",O175=0,AB175=""),"",(AB175*1000000)/O175)</f>
        <v/>
      </c>
      <c r="AE175" s="99">
        <f>IF(H175="","",(Team_Genesis-H175)/1000000)</f>
        <v/>
      </c>
      <c r="AF175" s="99">
        <f>IF(OR(O175="",AE175=""),"",(O175-AE175*1000000)/1000000)</f>
        <v/>
      </c>
    </row>
    <row r="176">
      <c r="A176" s="35" t="n">
        <v>45830</v>
      </c>
      <c r="B176" s="90">
        <f>IF('Daily Data'!E176="","",'Daily Data'!E176)</f>
        <v/>
      </c>
      <c r="C176" s="65" t="n">
        <v>33.64</v>
      </c>
      <c r="D176" s="94" t="n">
        <v>67413.95</v>
      </c>
      <c r="E176" s="94" t="n">
        <v>26187.2271</v>
      </c>
      <c r="F176" s="94" t="n">
        <v>2172.3448</v>
      </c>
      <c r="G176" s="94" t="n"/>
      <c r="H176" s="95">
        <f>SUM($G$4:G176)</f>
        <v/>
      </c>
      <c r="I176" s="94" t="n">
        <v>1000000000</v>
      </c>
      <c r="J176" s="95">
        <f>J175-E176</f>
        <v/>
      </c>
      <c r="K176" s="94" t="n">
        <v>60000000</v>
      </c>
      <c r="L176" s="94" t="n">
        <v>25061066.9</v>
      </c>
      <c r="M176" s="94" t="n">
        <v>3000000</v>
      </c>
      <c r="N176" s="94" t="n">
        <v>298477.0184999704</v>
      </c>
      <c r="O176" s="96">
        <f>IF(OR(I176="",J176="",L176="",N176=""),"",I176-J176-K176-L176-M176-N176)</f>
        <v/>
      </c>
      <c r="P176" s="91">
        <f>IF(OR(O176="",C176=""),"",O176*C176)</f>
        <v/>
      </c>
      <c r="Q176" s="69">
        <f>Q175-E176</f>
        <v/>
      </c>
      <c r="R176" s="97">
        <f>IF(OR(J176="",Q176=""),"",J176-Q176)</f>
        <v/>
      </c>
      <c r="S176" s="69">
        <f>IF(D176="",S175,S175+D176)</f>
        <v/>
      </c>
      <c r="T176" s="97">
        <f>IF(OR(L176="",S176=""),"",L176-S176)</f>
        <v/>
      </c>
      <c r="U176" s="69">
        <f>IF(F176="",U175,U175+F176)</f>
        <v/>
      </c>
      <c r="V176" s="97">
        <f>IF(OR(N176="",U176=""),"",N176-U176)</f>
        <v/>
      </c>
      <c r="W176" s="71">
        <f>IF(OR(C176="",C176=0,'Daily Data'!J176=""),"",'Daily Data'!J176/C176)</f>
        <v/>
      </c>
      <c r="X176" s="71">
        <f>IF(OR(C176="",C176=0,'Daily Data'!K176=""),"",'Daily Data'!K176/C176)</f>
        <v/>
      </c>
      <c r="Y176" s="71">
        <f>IF(OR(F176="",W176="",X176=""),"",F176-W176-X176)</f>
        <v/>
      </c>
      <c r="Z176" s="72" t="n">
        <v>358.76</v>
      </c>
      <c r="AA176" s="72" t="n">
        <v>63.31</v>
      </c>
      <c r="AB176" s="73">
        <f>Z176+AA176</f>
        <v/>
      </c>
      <c r="AC176" s="74">
        <f>IF(OR(E176="",E176=0,AB176=""),"",E176*365/(AB176*1000000))</f>
        <v/>
      </c>
      <c r="AD176" s="98">
        <f>IF(OR(O176="",O176=0,AB176=""),"",(AB176*1000000)/O176)</f>
        <v/>
      </c>
      <c r="AE176" s="99">
        <f>IF(H176="","",(Team_Genesis-H176)/1000000)</f>
        <v/>
      </c>
      <c r="AF176" s="99">
        <f>IF(OR(O176="",AE176=""),"",(O176-AE176*1000000)/1000000)</f>
        <v/>
      </c>
    </row>
    <row r="177">
      <c r="A177" s="35" t="n">
        <v>45831</v>
      </c>
      <c r="B177" s="90">
        <f>IF('Daily Data'!E177="","",'Daily Data'!E177)</f>
        <v/>
      </c>
      <c r="C177" s="65" t="n">
        <v>35.3</v>
      </c>
      <c r="D177" s="94" t="n">
        <v>93856.7</v>
      </c>
      <c r="E177" s="94" t="n">
        <v>26160.7949</v>
      </c>
      <c r="F177" s="94" t="n">
        <v>1693.9611</v>
      </c>
      <c r="G177" s="94" t="n"/>
      <c r="H177" s="95">
        <f>SUM($G$4:G177)</f>
        <v/>
      </c>
      <c r="I177" s="94" t="n">
        <v>1000000000</v>
      </c>
      <c r="J177" s="95">
        <f>J176-E177</f>
        <v/>
      </c>
      <c r="K177" s="94" t="n">
        <v>60000000</v>
      </c>
      <c r="L177" s="94" t="n">
        <v>25154923.6</v>
      </c>
      <c r="M177" s="94" t="n">
        <v>3000000</v>
      </c>
      <c r="N177" s="94" t="n">
        <v>300170.9796999693</v>
      </c>
      <c r="O177" s="96">
        <f>IF(OR(I177="",J177="",L177="",N177=""),"",I177-J177-K177-L177-M177-N177)</f>
        <v/>
      </c>
      <c r="P177" s="91">
        <f>IF(OR(O177="",C177=""),"",O177*C177)</f>
        <v/>
      </c>
      <c r="Q177" s="69">
        <f>Q176-E177</f>
        <v/>
      </c>
      <c r="R177" s="97">
        <f>IF(OR(J177="",Q177=""),"",J177-Q177)</f>
        <v/>
      </c>
      <c r="S177" s="69">
        <f>IF(D177="",S176,S176+D177)</f>
        <v/>
      </c>
      <c r="T177" s="97">
        <f>IF(OR(L177="",S177=""),"",L177-S177)</f>
        <v/>
      </c>
      <c r="U177" s="69">
        <f>IF(F177="",U176,U176+F177)</f>
        <v/>
      </c>
      <c r="V177" s="97">
        <f>IF(OR(N177="",U177=""),"",N177-U177)</f>
        <v/>
      </c>
      <c r="W177" s="71">
        <f>IF(OR(C177="",C177=0,'Daily Data'!J177=""),"",'Daily Data'!J177/C177)</f>
        <v/>
      </c>
      <c r="X177" s="71">
        <f>IF(OR(C177="",C177=0,'Daily Data'!K177=""),"",'Daily Data'!K177/C177)</f>
        <v/>
      </c>
      <c r="Y177" s="71">
        <f>IF(OR(F177="",W177="",X177=""),"",F177-W177-X177)</f>
        <v/>
      </c>
      <c r="Z177" s="72" t="n">
        <v>358.76</v>
      </c>
      <c r="AA177" s="72" t="n">
        <v>63.31</v>
      </c>
      <c r="AB177" s="73">
        <f>Z177+AA177</f>
        <v/>
      </c>
      <c r="AC177" s="74">
        <f>IF(OR(E177="",E177=0,AB177=""),"",E177*365/(AB177*1000000))</f>
        <v/>
      </c>
      <c r="AD177" s="98">
        <f>IF(OR(O177="",O177=0,AB177=""),"",(AB177*1000000)/O177)</f>
        <v/>
      </c>
      <c r="AE177" s="99">
        <f>IF(H177="","",(Team_Genesis-H177)/1000000)</f>
        <v/>
      </c>
      <c r="AF177" s="99">
        <f>IF(OR(O177="",AE177=""),"",(O177-AE177*1000000)/1000000)</f>
        <v/>
      </c>
    </row>
    <row r="178">
      <c r="A178" s="35" t="n">
        <v>45832</v>
      </c>
      <c r="B178" s="90">
        <f>IF('Daily Data'!E178="","",'Daily Data'!E178)</f>
        <v/>
      </c>
      <c r="C178" s="65" t="n">
        <v>37.87</v>
      </c>
      <c r="D178" s="94" t="n">
        <v>116998.38</v>
      </c>
      <c r="E178" s="94" t="n">
        <v>26181.7962</v>
      </c>
      <c r="F178" s="94" t="n">
        <v>2653.9171</v>
      </c>
      <c r="G178" s="94" t="n"/>
      <c r="H178" s="95">
        <f>SUM($G$4:G178)</f>
        <v/>
      </c>
      <c r="I178" s="94" t="n">
        <v>1000000000</v>
      </c>
      <c r="J178" s="95">
        <f>J177-E178</f>
        <v/>
      </c>
      <c r="K178" s="94" t="n">
        <v>60000000</v>
      </c>
      <c r="L178" s="94" t="n">
        <v>25271921.98</v>
      </c>
      <c r="M178" s="94" t="n">
        <v>3000000</v>
      </c>
      <c r="N178" s="94" t="n">
        <v>302824.8967000246</v>
      </c>
      <c r="O178" s="96">
        <f>IF(OR(I178="",J178="",L178="",N178=""),"",I178-J178-K178-L178-M178-N178)</f>
        <v/>
      </c>
      <c r="P178" s="91">
        <f>IF(OR(O178="",C178=""),"",O178*C178)</f>
        <v/>
      </c>
      <c r="Q178" s="69">
        <f>Q177-E178</f>
        <v/>
      </c>
      <c r="R178" s="97">
        <f>IF(OR(J178="",Q178=""),"",J178-Q178)</f>
        <v/>
      </c>
      <c r="S178" s="69">
        <f>IF(D178="",S177,S177+D178)</f>
        <v/>
      </c>
      <c r="T178" s="97">
        <f>IF(OR(L178="",S178=""),"",L178-S178)</f>
        <v/>
      </c>
      <c r="U178" s="69">
        <f>IF(F178="",U177,U177+F178)</f>
        <v/>
      </c>
      <c r="V178" s="97">
        <f>IF(OR(N178="",U178=""),"",N178-U178)</f>
        <v/>
      </c>
      <c r="W178" s="71">
        <f>IF(OR(C178="",C178=0,'Daily Data'!J178=""),"",'Daily Data'!J178/C178)</f>
        <v/>
      </c>
      <c r="X178" s="71">
        <f>IF(OR(C178="",C178=0,'Daily Data'!K178=""),"",'Daily Data'!K178/C178)</f>
        <v/>
      </c>
      <c r="Y178" s="71">
        <f>IF(OR(F178="",W178="",X178=""),"",F178-W178-X178)</f>
        <v/>
      </c>
      <c r="Z178" s="72" t="n">
        <v>358.76</v>
      </c>
      <c r="AA178" s="72" t="n">
        <v>63.31</v>
      </c>
      <c r="AB178" s="73">
        <f>Z178+AA178</f>
        <v/>
      </c>
      <c r="AC178" s="74">
        <f>IF(OR(E178="",E178=0,AB178=""),"",E178*365/(AB178*1000000))</f>
        <v/>
      </c>
      <c r="AD178" s="98">
        <f>IF(OR(O178="",O178=0,AB178=""),"",(AB178*1000000)/O178)</f>
        <v/>
      </c>
      <c r="AE178" s="99">
        <f>IF(H178="","",(Team_Genesis-H178)/1000000)</f>
        <v/>
      </c>
      <c r="AF178" s="99">
        <f>IF(OR(O178="",AE178=""),"",(O178-AE178*1000000)/1000000)</f>
        <v/>
      </c>
    </row>
    <row r="179">
      <c r="A179" s="35" t="n">
        <v>45833</v>
      </c>
      <c r="B179" s="90">
        <f>IF('Daily Data'!E179="","",'Daily Data'!E179)</f>
        <v/>
      </c>
      <c r="C179" s="65" t="n">
        <v>37.62</v>
      </c>
      <c r="D179" s="94" t="n">
        <v>49011.9</v>
      </c>
      <c r="E179" s="94" t="n">
        <v>26205.6615</v>
      </c>
      <c r="F179" s="94" t="n">
        <v>1860.9468</v>
      </c>
      <c r="G179" s="94" t="n"/>
      <c r="H179" s="95">
        <f>SUM($G$4:G179)</f>
        <v/>
      </c>
      <c r="I179" s="94" t="n">
        <v>1000000000</v>
      </c>
      <c r="J179" s="95">
        <f>J178-E179</f>
        <v/>
      </c>
      <c r="K179" s="94" t="n">
        <v>60000000</v>
      </c>
      <c r="L179" s="94" t="n">
        <v>25320933.88</v>
      </c>
      <c r="M179" s="94" t="n">
        <v>3000000</v>
      </c>
      <c r="N179" s="94" t="n">
        <v>304685.8436000347</v>
      </c>
      <c r="O179" s="96">
        <f>IF(OR(I179="",J179="",L179="",N179=""),"",I179-J179-K179-L179-M179-N179)</f>
        <v/>
      </c>
      <c r="P179" s="91">
        <f>IF(OR(O179="",C179=""),"",O179*C179)</f>
        <v/>
      </c>
      <c r="Q179" s="69">
        <f>Q178-E179</f>
        <v/>
      </c>
      <c r="R179" s="97">
        <f>IF(OR(J179="",Q179=""),"",J179-Q179)</f>
        <v/>
      </c>
      <c r="S179" s="69">
        <f>IF(D179="",S178,S178+D179)</f>
        <v/>
      </c>
      <c r="T179" s="97">
        <f>IF(OR(L179="",S179=""),"",L179-S179)</f>
        <v/>
      </c>
      <c r="U179" s="69">
        <f>IF(F179="",U178,U178+F179)</f>
        <v/>
      </c>
      <c r="V179" s="97">
        <f>IF(OR(N179="",U179=""),"",N179-U179)</f>
        <v/>
      </c>
      <c r="W179" s="71">
        <f>IF(OR(C179="",C179=0,'Daily Data'!J179=""),"",'Daily Data'!J179/C179)</f>
        <v/>
      </c>
      <c r="X179" s="71">
        <f>IF(OR(C179="",C179=0,'Daily Data'!K179=""),"",'Daily Data'!K179/C179)</f>
        <v/>
      </c>
      <c r="Y179" s="71">
        <f>IF(OR(F179="",W179="",X179=""),"",F179-W179-X179)</f>
        <v/>
      </c>
      <c r="Z179" s="72" t="n">
        <v>358.76</v>
      </c>
      <c r="AA179" s="72" t="n">
        <v>63.31</v>
      </c>
      <c r="AB179" s="73">
        <f>Z179+AA179</f>
        <v/>
      </c>
      <c r="AC179" s="74">
        <f>IF(OR(E179="",E179=0,AB179=""),"",E179*365/(AB179*1000000))</f>
        <v/>
      </c>
      <c r="AD179" s="98">
        <f>IF(OR(O179="",O179=0,AB179=""),"",(AB179*1000000)/O179)</f>
        <v/>
      </c>
      <c r="AE179" s="99">
        <f>IF(H179="","",(Team_Genesis-H179)/1000000)</f>
        <v/>
      </c>
      <c r="AF179" s="99">
        <f>IF(OR(O179="",AE179=""),"",(O179-AE179*1000000)/1000000)</f>
        <v/>
      </c>
    </row>
    <row r="180">
      <c r="A180" s="35" t="n">
        <v>45834</v>
      </c>
      <c r="B180" s="90">
        <f>IF('Daily Data'!E180="","",'Daily Data'!E180)</f>
        <v/>
      </c>
      <c r="C180" s="65" t="n">
        <v>37.11</v>
      </c>
      <c r="D180" s="94" t="n">
        <v>53218.85</v>
      </c>
      <c r="E180" s="94" t="n">
        <v>26264.077</v>
      </c>
      <c r="F180" s="94" t="n">
        <v>931.2572</v>
      </c>
      <c r="G180" s="94" t="n"/>
      <c r="H180" s="95">
        <f>SUM($G$4:G180)</f>
        <v/>
      </c>
      <c r="I180" s="94" t="n">
        <v>1000000000</v>
      </c>
      <c r="J180" s="95">
        <f>J179-E180</f>
        <v/>
      </c>
      <c r="K180" s="94" t="n">
        <v>60000000</v>
      </c>
      <c r="L180" s="94" t="n">
        <v>25374152.73</v>
      </c>
      <c r="M180" s="94" t="n">
        <v>3000000</v>
      </c>
      <c r="N180" s="94" t="n">
        <v>305617.1008000374</v>
      </c>
      <c r="O180" s="96">
        <f>IF(OR(I180="",J180="",L180="",N180=""),"",I180-J180-K180-L180-M180-N180)</f>
        <v/>
      </c>
      <c r="P180" s="91">
        <f>IF(OR(O180="",C180=""),"",O180*C180)</f>
        <v/>
      </c>
      <c r="Q180" s="69">
        <f>Q179-E180</f>
        <v/>
      </c>
      <c r="R180" s="97">
        <f>IF(OR(J180="",Q180=""),"",J180-Q180)</f>
        <v/>
      </c>
      <c r="S180" s="69">
        <f>IF(D180="",S179,S179+D180)</f>
        <v/>
      </c>
      <c r="T180" s="97">
        <f>IF(OR(L180="",S180=""),"",L180-S180)</f>
        <v/>
      </c>
      <c r="U180" s="69">
        <f>IF(F180="",U179,U179+F180)</f>
        <v/>
      </c>
      <c r="V180" s="97">
        <f>IF(OR(N180="",U180=""),"",N180-U180)</f>
        <v/>
      </c>
      <c r="W180" s="71">
        <f>IF(OR(C180="",C180=0,'Daily Data'!J180=""),"",'Daily Data'!J180/C180)</f>
        <v/>
      </c>
      <c r="X180" s="71">
        <f>IF(OR(C180="",C180=0,'Daily Data'!K180=""),"",'Daily Data'!K180/C180)</f>
        <v/>
      </c>
      <c r="Y180" s="71">
        <f>IF(OR(F180="",W180="",X180=""),"",F180-W180-X180)</f>
        <v/>
      </c>
      <c r="Z180" s="72" t="n">
        <v>358.76</v>
      </c>
      <c r="AA180" s="72" t="n">
        <v>63.31</v>
      </c>
      <c r="AB180" s="73">
        <f>Z180+AA180</f>
        <v/>
      </c>
      <c r="AC180" s="74">
        <f>IF(OR(E180="",E180=0,AB180=""),"",E180*365/(AB180*1000000))</f>
        <v/>
      </c>
      <c r="AD180" s="98">
        <f>IF(OR(O180="",O180=0,AB180=""),"",(AB180*1000000)/O180)</f>
        <v/>
      </c>
      <c r="AE180" s="99">
        <f>IF(H180="","",(Team_Genesis-H180)/1000000)</f>
        <v/>
      </c>
      <c r="AF180" s="99">
        <f>IF(OR(O180="",AE180=""),"",(O180-AE180*1000000)/1000000)</f>
        <v/>
      </c>
    </row>
    <row r="181">
      <c r="A181" s="35" t="n">
        <v>45835</v>
      </c>
      <c r="B181" s="90">
        <f>IF('Daily Data'!E181="","",'Daily Data'!E181)</f>
        <v/>
      </c>
      <c r="C181" s="65" t="n">
        <v>35.7</v>
      </c>
      <c r="D181" s="94" t="n">
        <v>49767.76</v>
      </c>
      <c r="E181" s="94" t="n">
        <v>26235.3685</v>
      </c>
      <c r="F181" s="94" t="n">
        <v>1348.0803</v>
      </c>
      <c r="G181" s="94" t="n"/>
      <c r="H181" s="95">
        <f>SUM($G$4:G181)</f>
        <v/>
      </c>
      <c r="I181" s="94" t="n">
        <v>1000000000</v>
      </c>
      <c r="J181" s="95">
        <f>J180-E181</f>
        <v/>
      </c>
      <c r="K181" s="94" t="n">
        <v>60000000</v>
      </c>
      <c r="L181" s="94" t="n">
        <v>25423920.49</v>
      </c>
      <c r="M181" s="94" t="n">
        <v>3000000</v>
      </c>
      <c r="N181" s="94" t="n">
        <v>306965.1811000109</v>
      </c>
      <c r="O181" s="96">
        <f>IF(OR(I181="",J181="",L181="",N181=""),"",I181-J181-K181-L181-M181-N181)</f>
        <v/>
      </c>
      <c r="P181" s="91">
        <f>IF(OR(O181="",C181=""),"",O181*C181)</f>
        <v/>
      </c>
      <c r="Q181" s="69">
        <f>Q180-E181</f>
        <v/>
      </c>
      <c r="R181" s="97">
        <f>IF(OR(J181="",Q181=""),"",J181-Q181)</f>
        <v/>
      </c>
      <c r="S181" s="69">
        <f>IF(D181="",S180,S180+D181)</f>
        <v/>
      </c>
      <c r="T181" s="97">
        <f>IF(OR(L181="",S181=""),"",L181-S181)</f>
        <v/>
      </c>
      <c r="U181" s="69">
        <f>IF(F181="",U180,U180+F181)</f>
        <v/>
      </c>
      <c r="V181" s="97">
        <f>IF(OR(N181="",U181=""),"",N181-U181)</f>
        <v/>
      </c>
      <c r="W181" s="71">
        <f>IF(OR(C181="",C181=0,'Daily Data'!J181=""),"",'Daily Data'!J181/C181)</f>
        <v/>
      </c>
      <c r="X181" s="71">
        <f>IF(OR(C181="",C181=0,'Daily Data'!K181=""),"",'Daily Data'!K181/C181)</f>
        <v/>
      </c>
      <c r="Y181" s="71">
        <f>IF(OR(F181="",W181="",X181=""),"",F181-W181-X181)</f>
        <v/>
      </c>
      <c r="Z181" s="72" t="n">
        <v>358.76</v>
      </c>
      <c r="AA181" s="72" t="n">
        <v>63.31</v>
      </c>
      <c r="AB181" s="73">
        <f>Z181+AA181</f>
        <v/>
      </c>
      <c r="AC181" s="74">
        <f>IF(OR(E181="",E181=0,AB181=""),"",E181*365/(AB181*1000000))</f>
        <v/>
      </c>
      <c r="AD181" s="98">
        <f>IF(OR(O181="",O181=0,AB181=""),"",(AB181*1000000)/O181)</f>
        <v/>
      </c>
      <c r="AE181" s="99">
        <f>IF(H181="","",(Team_Genesis-H181)/1000000)</f>
        <v/>
      </c>
      <c r="AF181" s="99">
        <f>IF(OR(O181="",AE181=""),"",(O181-AE181*1000000)/1000000)</f>
        <v/>
      </c>
    </row>
    <row r="182">
      <c r="A182" s="35" t="n">
        <v>45836</v>
      </c>
      <c r="B182" s="90">
        <f>IF('Daily Data'!E182="","",'Daily Data'!E182)</f>
        <v/>
      </c>
      <c r="C182" s="65" t="n">
        <v>36.35</v>
      </c>
      <c r="D182" s="94" t="n">
        <v>32517.99</v>
      </c>
      <c r="E182" s="94" t="n">
        <v>26271.3196</v>
      </c>
      <c r="F182" s="94" t="n">
        <v>599.8286000000001</v>
      </c>
      <c r="G182" s="94" t="n"/>
      <c r="H182" s="95">
        <f>SUM($G$4:G182)</f>
        <v/>
      </c>
      <c r="I182" s="94" t="n">
        <v>1000000000</v>
      </c>
      <c r="J182" s="95">
        <f>J181-E182</f>
        <v/>
      </c>
      <c r="K182" s="94" t="n">
        <v>60000000</v>
      </c>
      <c r="L182" s="94" t="n">
        <v>25456438.48</v>
      </c>
      <c r="M182" s="94" t="n">
        <v>3000000</v>
      </c>
      <c r="N182" s="94" t="n">
        <v>307565.0096999407</v>
      </c>
      <c r="O182" s="96">
        <f>IF(OR(I182="",J182="",L182="",N182=""),"",I182-J182-K182-L182-M182-N182)</f>
        <v/>
      </c>
      <c r="P182" s="91">
        <f>IF(OR(O182="",C182=""),"",O182*C182)</f>
        <v/>
      </c>
      <c r="Q182" s="69">
        <f>Q181-E182</f>
        <v/>
      </c>
      <c r="R182" s="97">
        <f>IF(OR(J182="",Q182=""),"",J182-Q182)</f>
        <v/>
      </c>
      <c r="S182" s="69">
        <f>IF(D182="",S181,S181+D182)</f>
        <v/>
      </c>
      <c r="T182" s="97">
        <f>IF(OR(L182="",S182=""),"",L182-S182)</f>
        <v/>
      </c>
      <c r="U182" s="69">
        <f>IF(F182="",U181,U181+F182)</f>
        <v/>
      </c>
      <c r="V182" s="97">
        <f>IF(OR(N182="",U182=""),"",N182-U182)</f>
        <v/>
      </c>
      <c r="W182" s="71">
        <f>IF(OR(C182="",C182=0,'Daily Data'!J182=""),"",'Daily Data'!J182/C182)</f>
        <v/>
      </c>
      <c r="X182" s="71">
        <f>IF(OR(C182="",C182=0,'Daily Data'!K182=""),"",'Daily Data'!K182/C182)</f>
        <v/>
      </c>
      <c r="Y182" s="71">
        <f>IF(OR(F182="",W182="",X182=""),"",F182-W182-X182)</f>
        <v/>
      </c>
      <c r="Z182" s="72" t="n">
        <v>358.76</v>
      </c>
      <c r="AA182" s="72" t="n">
        <v>63.31</v>
      </c>
      <c r="AB182" s="73">
        <f>Z182+AA182</f>
        <v/>
      </c>
      <c r="AC182" s="74">
        <f>IF(OR(E182="",E182=0,AB182=""),"",E182*365/(AB182*1000000))</f>
        <v/>
      </c>
      <c r="AD182" s="98">
        <f>IF(OR(O182="",O182=0,AB182=""),"",(AB182*1000000)/O182)</f>
        <v/>
      </c>
      <c r="AE182" s="99">
        <f>IF(H182="","",(Team_Genesis-H182)/1000000)</f>
        <v/>
      </c>
      <c r="AF182" s="99">
        <f>IF(OR(O182="",AE182=""),"",(O182-AE182*1000000)/1000000)</f>
        <v/>
      </c>
    </row>
    <row r="183">
      <c r="A183" s="35" t="n">
        <v>45837</v>
      </c>
      <c r="B183" s="90">
        <f>IF('Daily Data'!E183="","",'Daily Data'!E183)</f>
        <v/>
      </c>
      <c r="C183" s="65" t="n">
        <v>37.73</v>
      </c>
      <c r="D183" s="94" t="n">
        <v>14116.47</v>
      </c>
      <c r="E183" s="94" t="n">
        <v>26095.91</v>
      </c>
      <c r="F183" s="94" t="n">
        <v>873.9448</v>
      </c>
      <c r="G183" s="94" t="n"/>
      <c r="H183" s="95">
        <f>SUM($G$4:G183)</f>
        <v/>
      </c>
      <c r="I183" s="94" t="n">
        <v>1000000000</v>
      </c>
      <c r="J183" s="95">
        <f>J182-E183</f>
        <v/>
      </c>
      <c r="K183" s="94" t="n">
        <v>60000000</v>
      </c>
      <c r="L183" s="94" t="n">
        <v>25470554.95</v>
      </c>
      <c r="M183" s="94" t="n">
        <v>3000000</v>
      </c>
      <c r="N183" s="94" t="n">
        <v>308438.9544999599</v>
      </c>
      <c r="O183" s="96">
        <f>IF(OR(I183="",J183="",L183="",N183=""),"",I183-J183-K183-L183-M183-N183)</f>
        <v/>
      </c>
      <c r="P183" s="91">
        <f>IF(OR(O183="",C183=""),"",O183*C183)</f>
        <v/>
      </c>
      <c r="Q183" s="69">
        <f>Q182-E183</f>
        <v/>
      </c>
      <c r="R183" s="97">
        <f>IF(OR(J183="",Q183=""),"",J183-Q183)</f>
        <v/>
      </c>
      <c r="S183" s="69">
        <f>IF(D183="",S182,S182+D183)</f>
        <v/>
      </c>
      <c r="T183" s="97">
        <f>IF(OR(L183="",S183=""),"",L183-S183)</f>
        <v/>
      </c>
      <c r="U183" s="69">
        <f>IF(F183="",U182,U182+F183)</f>
        <v/>
      </c>
      <c r="V183" s="97">
        <f>IF(OR(N183="",U183=""),"",N183-U183)</f>
        <v/>
      </c>
      <c r="W183" s="71">
        <f>IF(OR(C183="",C183=0,'Daily Data'!J183=""),"",'Daily Data'!J183/C183)</f>
        <v/>
      </c>
      <c r="X183" s="71">
        <f>IF(OR(C183="",C183=0,'Daily Data'!K183=""),"",'Daily Data'!K183/C183)</f>
        <v/>
      </c>
      <c r="Y183" s="71">
        <f>IF(OR(F183="",W183="",X183=""),"",F183-W183-X183)</f>
        <v/>
      </c>
      <c r="Z183" s="72" t="n">
        <v>358.76</v>
      </c>
      <c r="AA183" s="72" t="n">
        <v>63.31</v>
      </c>
      <c r="AB183" s="73">
        <f>Z183+AA183</f>
        <v/>
      </c>
      <c r="AC183" s="74">
        <f>IF(OR(E183="",E183=0,AB183=""),"",E183*365/(AB183*1000000))</f>
        <v/>
      </c>
      <c r="AD183" s="98">
        <f>IF(OR(O183="",O183=0,AB183=""),"",(AB183*1000000)/O183)</f>
        <v/>
      </c>
      <c r="AE183" s="99">
        <f>IF(H183="","",(Team_Genesis-H183)/1000000)</f>
        <v/>
      </c>
      <c r="AF183" s="99">
        <f>IF(OR(O183="",AE183=""),"",(O183-AE183*1000000)/1000000)</f>
        <v/>
      </c>
    </row>
    <row r="184">
      <c r="A184" s="35" t="n">
        <v>45838</v>
      </c>
      <c r="B184" s="90">
        <f>IF('Daily Data'!E184="","",'Daily Data'!E184)</f>
        <v/>
      </c>
      <c r="C184" s="65" t="n">
        <v>39.53</v>
      </c>
      <c r="D184" s="94" t="n">
        <v>38320.67</v>
      </c>
      <c r="E184" s="94" t="n">
        <v>26277.9253</v>
      </c>
      <c r="F184" s="94" t="n">
        <v>649.6043</v>
      </c>
      <c r="G184" s="94" t="n"/>
      <c r="H184" s="95">
        <f>SUM($G$4:G184)</f>
        <v/>
      </c>
      <c r="I184" s="94" t="n">
        <v>1000000000</v>
      </c>
      <c r="J184" s="95">
        <f>J183-E184</f>
        <v/>
      </c>
      <c r="K184" s="94" t="n">
        <v>60000000</v>
      </c>
      <c r="L184" s="94" t="n">
        <v>25508875.62</v>
      </c>
      <c r="M184" s="94" t="n">
        <v>3000000</v>
      </c>
      <c r="N184" s="94" t="n">
        <v>309088.5587999821</v>
      </c>
      <c r="O184" s="96">
        <f>IF(OR(I184="",J184="",L184="",N184=""),"",I184-J184-K184-L184-M184-N184)</f>
        <v/>
      </c>
      <c r="P184" s="91">
        <f>IF(OR(O184="",C184=""),"",O184*C184)</f>
        <v/>
      </c>
      <c r="Q184" s="69">
        <f>Q183-E184</f>
        <v/>
      </c>
      <c r="R184" s="97">
        <f>IF(OR(J184="",Q184=""),"",J184-Q184)</f>
        <v/>
      </c>
      <c r="S184" s="69">
        <f>IF(D184="",S183,S183+D184)</f>
        <v/>
      </c>
      <c r="T184" s="97">
        <f>IF(OR(L184="",S184=""),"",L184-S184)</f>
        <v/>
      </c>
      <c r="U184" s="69">
        <f>IF(F184="",U183,U183+F184)</f>
        <v/>
      </c>
      <c r="V184" s="97">
        <f>IF(OR(N184="",U184=""),"",N184-U184)</f>
        <v/>
      </c>
      <c r="W184" s="71">
        <f>IF(OR(C184="",C184=0,'Daily Data'!J184=""),"",'Daily Data'!J184/C184)</f>
        <v/>
      </c>
      <c r="X184" s="71">
        <f>IF(OR(C184="",C184=0,'Daily Data'!K184=""),"",'Daily Data'!K184/C184)</f>
        <v/>
      </c>
      <c r="Y184" s="71">
        <f>IF(OR(F184="",W184="",X184=""),"",F184-W184-X184)</f>
        <v/>
      </c>
      <c r="Z184" s="72" t="n">
        <v>358.76</v>
      </c>
      <c r="AA184" s="72" t="n">
        <v>63.31</v>
      </c>
      <c r="AB184" s="73">
        <f>Z184+AA184</f>
        <v/>
      </c>
      <c r="AC184" s="74">
        <f>IF(OR(E184="",E184=0,AB184=""),"",E184*365/(AB184*1000000))</f>
        <v/>
      </c>
      <c r="AD184" s="98">
        <f>IF(OR(O184="",O184=0,AB184=""),"",(AB184*1000000)/O184)</f>
        <v/>
      </c>
      <c r="AE184" s="99">
        <f>IF(H184="","",(Team_Genesis-H184)/1000000)</f>
        <v/>
      </c>
      <c r="AF184" s="99">
        <f>IF(OR(O184="",AE184=""),"",(O184-AE184*1000000)/1000000)</f>
        <v/>
      </c>
    </row>
    <row r="185">
      <c r="A185" s="35" t="n">
        <v>45839</v>
      </c>
      <c r="B185" s="90">
        <f>IF('Daily Data'!E185="","",'Daily Data'!E185)</f>
        <v/>
      </c>
      <c r="C185" s="65" t="n">
        <v>39.49</v>
      </c>
      <c r="D185" s="94" t="n">
        <v>40397.31</v>
      </c>
      <c r="E185" s="94" t="n">
        <v>26322.6881</v>
      </c>
      <c r="F185" s="94" t="n">
        <v>850.0683</v>
      </c>
      <c r="G185" s="94" t="n"/>
      <c r="H185" s="95">
        <f>SUM($G$4:G185)</f>
        <v/>
      </c>
      <c r="I185" s="94" t="n">
        <v>1000000000</v>
      </c>
      <c r="J185" s="95">
        <f>J184-E185</f>
        <v/>
      </c>
      <c r="K185" s="94" t="n">
        <v>60000000</v>
      </c>
      <c r="L185" s="94" t="n">
        <v>25549272.93</v>
      </c>
      <c r="M185" s="94" t="n">
        <v>3000000</v>
      </c>
      <c r="N185" s="94" t="n">
        <v>309938.6270999908</v>
      </c>
      <c r="O185" s="96">
        <f>IF(OR(I185="",J185="",L185="",N185=""),"",I185-J185-K185-L185-M185-N185)</f>
        <v/>
      </c>
      <c r="P185" s="91">
        <f>IF(OR(O185="",C185=""),"",O185*C185)</f>
        <v/>
      </c>
      <c r="Q185" s="69">
        <f>Q184-E185</f>
        <v/>
      </c>
      <c r="R185" s="97">
        <f>IF(OR(J185="",Q185=""),"",J185-Q185)</f>
        <v/>
      </c>
      <c r="S185" s="69">
        <f>IF(D185="",S184,S184+D185)</f>
        <v/>
      </c>
      <c r="T185" s="97">
        <f>IF(OR(L185="",S185=""),"",L185-S185)</f>
        <v/>
      </c>
      <c r="U185" s="69">
        <f>IF(F185="",U184,U184+F185)</f>
        <v/>
      </c>
      <c r="V185" s="97">
        <f>IF(OR(N185="",U185=""),"",N185-U185)</f>
        <v/>
      </c>
      <c r="W185" s="71">
        <f>IF(OR(C185="",C185=0,'Daily Data'!J185=""),"",'Daily Data'!J185/C185)</f>
        <v/>
      </c>
      <c r="X185" s="71">
        <f>IF(OR(C185="",C185=0,'Daily Data'!K185=""),"",'Daily Data'!K185/C185)</f>
        <v/>
      </c>
      <c r="Y185" s="71">
        <f>IF(OR(F185="",W185="",X185=""),"",F185-W185-X185)</f>
        <v/>
      </c>
      <c r="Z185" s="72" t="n">
        <v>365.02</v>
      </c>
      <c r="AA185" s="72" t="n">
        <v>64.42</v>
      </c>
      <c r="AB185" s="73">
        <f>Z185+AA185</f>
        <v/>
      </c>
      <c r="AC185" s="74">
        <f>IF(OR(E185="",E185=0,AB185=""),"",E185*365/(AB185*1000000))</f>
        <v/>
      </c>
      <c r="AD185" s="98">
        <f>IF(OR(O185="",O185=0,AB185=""),"",(AB185*1000000)/O185)</f>
        <v/>
      </c>
      <c r="AE185" s="99">
        <f>IF(H185="","",(Team_Genesis-H185)/1000000)</f>
        <v/>
      </c>
      <c r="AF185" s="99">
        <f>IF(OR(O185="",AE185=""),"",(O185-AE185*1000000)/1000000)</f>
        <v/>
      </c>
    </row>
    <row r="186">
      <c r="A186" s="35" t="n">
        <v>45840</v>
      </c>
      <c r="B186" s="90">
        <f>IF('Daily Data'!E186="","",'Daily Data'!E186)</f>
        <v/>
      </c>
      <c r="C186" s="65" t="n">
        <v>37.01</v>
      </c>
      <c r="D186" s="94" t="n">
        <v>47673.58</v>
      </c>
      <c r="E186" s="94" t="n">
        <v>26305.5889</v>
      </c>
      <c r="F186" s="94" t="n">
        <v>710.4213</v>
      </c>
      <c r="G186" s="94" t="n"/>
      <c r="H186" s="95">
        <f>SUM($G$4:G186)</f>
        <v/>
      </c>
      <c r="I186" s="94" t="n">
        <v>1000000000</v>
      </c>
      <c r="J186" s="95">
        <f>J185-E186</f>
        <v/>
      </c>
      <c r="K186" s="94" t="n">
        <v>60000000</v>
      </c>
      <c r="L186" s="94" t="n">
        <v>25596946.51</v>
      </c>
      <c r="M186" s="94" t="n">
        <v>3000000</v>
      </c>
      <c r="N186" s="94" t="n">
        <v>310649.0483000278</v>
      </c>
      <c r="O186" s="96">
        <f>IF(OR(I186="",J186="",L186="",N186=""),"",I186-J186-K186-L186-M186-N186)</f>
        <v/>
      </c>
      <c r="P186" s="91">
        <f>IF(OR(O186="",C186=""),"",O186*C186)</f>
        <v/>
      </c>
      <c r="Q186" s="69">
        <f>Q185-E186</f>
        <v/>
      </c>
      <c r="R186" s="97">
        <f>IF(OR(J186="",Q186=""),"",J186-Q186)</f>
        <v/>
      </c>
      <c r="S186" s="69">
        <f>IF(D186="",S185,S185+D186)</f>
        <v/>
      </c>
      <c r="T186" s="97">
        <f>IF(OR(L186="",S186=""),"",L186-S186)</f>
        <v/>
      </c>
      <c r="U186" s="69">
        <f>IF(F186="",U185,U185+F186)</f>
        <v/>
      </c>
      <c r="V186" s="97">
        <f>IF(OR(N186="",U186=""),"",N186-U186)</f>
        <v/>
      </c>
      <c r="W186" s="71">
        <f>IF(OR(C186="",C186=0,'Daily Data'!J186=""),"",'Daily Data'!J186/C186)</f>
        <v/>
      </c>
      <c r="X186" s="71">
        <f>IF(OR(C186="",C186=0,'Daily Data'!K186=""),"",'Daily Data'!K186/C186)</f>
        <v/>
      </c>
      <c r="Y186" s="71">
        <f>IF(OR(F186="",W186="",X186=""),"",F186-W186-X186)</f>
        <v/>
      </c>
      <c r="Z186" s="72" t="n">
        <v>365.02</v>
      </c>
      <c r="AA186" s="72" t="n">
        <v>64.42</v>
      </c>
      <c r="AB186" s="73">
        <f>Z186+AA186</f>
        <v/>
      </c>
      <c r="AC186" s="74">
        <f>IF(OR(E186="",E186=0,AB186=""),"",E186*365/(AB186*1000000))</f>
        <v/>
      </c>
      <c r="AD186" s="98">
        <f>IF(OR(O186="",O186=0,AB186=""),"",(AB186*1000000)/O186)</f>
        <v/>
      </c>
      <c r="AE186" s="99">
        <f>IF(H186="","",(Team_Genesis-H186)/1000000)</f>
        <v/>
      </c>
      <c r="AF186" s="99">
        <f>IF(OR(O186="",AE186=""),"",(O186-AE186*1000000)/1000000)</f>
        <v/>
      </c>
    </row>
    <row r="187">
      <c r="A187" s="35" t="n">
        <v>45841</v>
      </c>
      <c r="B187" s="90">
        <f>IF('Daily Data'!E187="","",'Daily Data'!E187)</f>
        <v/>
      </c>
      <c r="C187" s="65" t="n">
        <v>39.86</v>
      </c>
      <c r="D187" s="94" t="n">
        <v>61753.57</v>
      </c>
      <c r="E187" s="94" t="n">
        <v>26103.9266</v>
      </c>
      <c r="F187" s="94" t="n">
        <v>954.5984999999999</v>
      </c>
      <c r="G187" s="94" t="n"/>
      <c r="H187" s="95">
        <f>SUM($G$4:G187)</f>
        <v/>
      </c>
      <c r="I187" s="94" t="n">
        <v>1000000000</v>
      </c>
      <c r="J187" s="95">
        <f>J186-E187</f>
        <v/>
      </c>
      <c r="K187" s="94" t="n">
        <v>60000000</v>
      </c>
      <c r="L187" s="94" t="n">
        <v>25658700.08</v>
      </c>
      <c r="M187" s="94" t="n">
        <v>3000000</v>
      </c>
      <c r="N187" s="94" t="n">
        <v>311603.6468000412</v>
      </c>
      <c r="O187" s="96">
        <f>IF(OR(I187="",J187="",L187="",N187=""),"",I187-J187-K187-L187-M187-N187)</f>
        <v/>
      </c>
      <c r="P187" s="91">
        <f>IF(OR(O187="",C187=""),"",O187*C187)</f>
        <v/>
      </c>
      <c r="Q187" s="69">
        <f>Q186-E187</f>
        <v/>
      </c>
      <c r="R187" s="97">
        <f>IF(OR(J187="",Q187=""),"",J187-Q187)</f>
        <v/>
      </c>
      <c r="S187" s="69">
        <f>IF(D187="",S186,S186+D187)</f>
        <v/>
      </c>
      <c r="T187" s="97">
        <f>IF(OR(L187="",S187=""),"",L187-S187)</f>
        <v/>
      </c>
      <c r="U187" s="69">
        <f>IF(F187="",U186,U186+F187)</f>
        <v/>
      </c>
      <c r="V187" s="97">
        <f>IF(OR(N187="",U187=""),"",N187-U187)</f>
        <v/>
      </c>
      <c r="W187" s="71">
        <f>IF(OR(C187="",C187=0,'Daily Data'!J187=""),"",'Daily Data'!J187/C187)</f>
        <v/>
      </c>
      <c r="X187" s="71">
        <f>IF(OR(C187="",C187=0,'Daily Data'!K187=""),"",'Daily Data'!K187/C187)</f>
        <v/>
      </c>
      <c r="Y187" s="71">
        <f>IF(OR(F187="",W187="",X187=""),"",F187-W187-X187)</f>
        <v/>
      </c>
      <c r="Z187" s="72" t="n">
        <v>365.02</v>
      </c>
      <c r="AA187" s="72" t="n">
        <v>64.42</v>
      </c>
      <c r="AB187" s="73">
        <f>Z187+AA187</f>
        <v/>
      </c>
      <c r="AC187" s="74">
        <f>IF(OR(E187="",E187=0,AB187=""),"",E187*365/(AB187*1000000))</f>
        <v/>
      </c>
      <c r="AD187" s="98">
        <f>IF(OR(O187="",O187=0,AB187=""),"",(AB187*1000000)/O187)</f>
        <v/>
      </c>
      <c r="AE187" s="99">
        <f>IF(H187="","",(Team_Genesis-H187)/1000000)</f>
        <v/>
      </c>
      <c r="AF187" s="99">
        <f>IF(OR(O187="",AE187=""),"",(O187-AE187*1000000)/1000000)</f>
        <v/>
      </c>
    </row>
    <row r="188">
      <c r="A188" s="35" t="n">
        <v>45842</v>
      </c>
      <c r="B188" s="90">
        <f>IF('Daily Data'!E188="","",'Daily Data'!E188)</f>
        <v/>
      </c>
      <c r="C188" s="65" t="n">
        <v>40.17</v>
      </c>
      <c r="D188" s="94" t="n">
        <v>45057.8</v>
      </c>
      <c r="E188" s="94" t="n">
        <v>26133.6193</v>
      </c>
      <c r="F188" s="94" t="n">
        <v>597.4414</v>
      </c>
      <c r="G188" s="94" t="n"/>
      <c r="H188" s="95">
        <f>SUM($G$4:G188)</f>
        <v/>
      </c>
      <c r="I188" s="94" t="n">
        <v>1000000000</v>
      </c>
      <c r="J188" s="95">
        <f>J187-E188</f>
        <v/>
      </c>
      <c r="K188" s="94" t="n">
        <v>60000000</v>
      </c>
      <c r="L188" s="94" t="n">
        <v>25703757.88</v>
      </c>
      <c r="M188" s="94" t="n">
        <v>3000000</v>
      </c>
      <c r="N188" s="94" t="n">
        <v>312201.0882999897</v>
      </c>
      <c r="O188" s="96">
        <f>IF(OR(I188="",J188="",L188="",N188=""),"",I188-J188-K188-L188-M188-N188)</f>
        <v/>
      </c>
      <c r="P188" s="91">
        <f>IF(OR(O188="",C188=""),"",O188*C188)</f>
        <v/>
      </c>
      <c r="Q188" s="69">
        <f>Q187-E188</f>
        <v/>
      </c>
      <c r="R188" s="97">
        <f>IF(OR(J188="",Q188=""),"",J188-Q188)</f>
        <v/>
      </c>
      <c r="S188" s="69">
        <f>IF(D188="",S187,S187+D188)</f>
        <v/>
      </c>
      <c r="T188" s="97">
        <f>IF(OR(L188="",S188=""),"",L188-S188)</f>
        <v/>
      </c>
      <c r="U188" s="69">
        <f>IF(F188="",U187,U187+F188)</f>
        <v/>
      </c>
      <c r="V188" s="97">
        <f>IF(OR(N188="",U188=""),"",N188-U188)</f>
        <v/>
      </c>
      <c r="W188" s="71">
        <f>IF(OR(C188="",C188=0,'Daily Data'!J188=""),"",'Daily Data'!J188/C188)</f>
        <v/>
      </c>
      <c r="X188" s="71">
        <f>IF(OR(C188="",C188=0,'Daily Data'!K188=""),"",'Daily Data'!K188/C188)</f>
        <v/>
      </c>
      <c r="Y188" s="71">
        <f>IF(OR(F188="",W188="",X188=""),"",F188-W188-X188)</f>
        <v/>
      </c>
      <c r="Z188" s="72" t="n">
        <v>365.02</v>
      </c>
      <c r="AA188" s="72" t="n">
        <v>64.42</v>
      </c>
      <c r="AB188" s="73">
        <f>Z188+AA188</f>
        <v/>
      </c>
      <c r="AC188" s="74">
        <f>IF(OR(E188="",E188=0,AB188=""),"",E188*365/(AB188*1000000))</f>
        <v/>
      </c>
      <c r="AD188" s="98">
        <f>IF(OR(O188="",O188=0,AB188=""),"",(AB188*1000000)/O188)</f>
        <v/>
      </c>
      <c r="AE188" s="99">
        <f>IF(H188="","",(Team_Genesis-H188)/1000000)</f>
        <v/>
      </c>
      <c r="AF188" s="99">
        <f>IF(OR(O188="",AE188=""),"",(O188-AE188*1000000)/1000000)</f>
        <v/>
      </c>
    </row>
    <row r="189">
      <c r="A189" s="35" t="n">
        <v>45843</v>
      </c>
      <c r="B189" s="90">
        <f>IF('Daily Data'!E189="","",'Daily Data'!E189)</f>
        <v/>
      </c>
      <c r="C189" s="65" t="n">
        <v>39.03</v>
      </c>
      <c r="D189" s="94" t="n">
        <v>40813.15</v>
      </c>
      <c r="E189" s="94" t="n">
        <v>26192.9064</v>
      </c>
      <c r="F189" s="94" t="n">
        <v>708.3487</v>
      </c>
      <c r="G189" s="94" t="n"/>
      <c r="H189" s="95">
        <f>SUM($G$4:G189)</f>
        <v/>
      </c>
      <c r="I189" s="94" t="n">
        <v>1000000000</v>
      </c>
      <c r="J189" s="95">
        <f>J188-E189</f>
        <v/>
      </c>
      <c r="K189" s="94" t="n">
        <v>60000000</v>
      </c>
      <c r="L189" s="94" t="n">
        <v>25744571.03</v>
      </c>
      <c r="M189" s="94" t="n">
        <v>3000000</v>
      </c>
      <c r="N189" s="94" t="n">
        <v>312909.4370000362</v>
      </c>
      <c r="O189" s="96">
        <f>IF(OR(I189="",J189="",L189="",N189=""),"",I189-J189-K189-L189-M189-N189)</f>
        <v/>
      </c>
      <c r="P189" s="91">
        <f>IF(OR(O189="",C189=""),"",O189*C189)</f>
        <v/>
      </c>
      <c r="Q189" s="69">
        <f>Q188-E189</f>
        <v/>
      </c>
      <c r="R189" s="97">
        <f>IF(OR(J189="",Q189=""),"",J189-Q189)</f>
        <v/>
      </c>
      <c r="S189" s="69">
        <f>IF(D189="",S188,S188+D189)</f>
        <v/>
      </c>
      <c r="T189" s="97">
        <f>IF(OR(L189="",S189=""),"",L189-S189)</f>
        <v/>
      </c>
      <c r="U189" s="69">
        <f>IF(F189="",U188,U188+F189)</f>
        <v/>
      </c>
      <c r="V189" s="97">
        <f>IF(OR(N189="",U189=""),"",N189-U189)</f>
        <v/>
      </c>
      <c r="W189" s="71">
        <f>IF(OR(C189="",C189=0,'Daily Data'!J189=""),"",'Daily Data'!J189/C189)</f>
        <v/>
      </c>
      <c r="X189" s="71">
        <f>IF(OR(C189="",C189=0,'Daily Data'!K189=""),"",'Daily Data'!K189/C189)</f>
        <v/>
      </c>
      <c r="Y189" s="71">
        <f>IF(OR(F189="",W189="",X189=""),"",F189-W189-X189)</f>
        <v/>
      </c>
      <c r="Z189" s="72" t="n">
        <v>365.02</v>
      </c>
      <c r="AA189" s="72" t="n">
        <v>64.42</v>
      </c>
      <c r="AB189" s="73">
        <f>Z189+AA189</f>
        <v/>
      </c>
      <c r="AC189" s="74">
        <f>IF(OR(E189="",E189=0,AB189=""),"",E189*365/(AB189*1000000))</f>
        <v/>
      </c>
      <c r="AD189" s="98">
        <f>IF(OR(O189="",O189=0,AB189=""),"",(AB189*1000000)/O189)</f>
        <v/>
      </c>
      <c r="AE189" s="99">
        <f>IF(H189="","",(Team_Genesis-H189)/1000000)</f>
        <v/>
      </c>
      <c r="AF189" s="99">
        <f>IF(OR(O189="",AE189=""),"",(O189-AE189*1000000)/1000000)</f>
        <v/>
      </c>
    </row>
    <row r="190">
      <c r="A190" s="35" t="n">
        <v>45844</v>
      </c>
      <c r="B190" s="90">
        <f>IF('Daily Data'!E190="","",'Daily Data'!E190)</f>
        <v/>
      </c>
      <c r="C190" s="65" t="n">
        <v>39.01</v>
      </c>
      <c r="D190" s="94" t="n">
        <v>16520.15</v>
      </c>
      <c r="E190" s="94" t="n">
        <v>26201.8544</v>
      </c>
      <c r="F190" s="94" t="n">
        <v>331.3298</v>
      </c>
      <c r="G190" s="94" t="n"/>
      <c r="H190" s="95">
        <f>SUM($G$4:G190)</f>
        <v/>
      </c>
      <c r="I190" s="94" t="n">
        <v>1000000000</v>
      </c>
      <c r="J190" s="95">
        <f>J189-E190</f>
        <v/>
      </c>
      <c r="K190" s="94" t="n">
        <v>60000000</v>
      </c>
      <c r="L190" s="94" t="n">
        <v>25761091.18</v>
      </c>
      <c r="M190" s="94" t="n">
        <v>3000000</v>
      </c>
      <c r="N190" s="94" t="n">
        <v>313240.766800046</v>
      </c>
      <c r="O190" s="96">
        <f>IF(OR(I190="",J190="",L190="",N190=""),"",I190-J190-K190-L190-M190-N190)</f>
        <v/>
      </c>
      <c r="P190" s="91">
        <f>IF(OR(O190="",C190=""),"",O190*C190)</f>
        <v/>
      </c>
      <c r="Q190" s="69">
        <f>Q189-E190</f>
        <v/>
      </c>
      <c r="R190" s="97">
        <f>IF(OR(J190="",Q190=""),"",J190-Q190)</f>
        <v/>
      </c>
      <c r="S190" s="69">
        <f>IF(D190="",S189,S189+D190)</f>
        <v/>
      </c>
      <c r="T190" s="97">
        <f>IF(OR(L190="",S190=""),"",L190-S190)</f>
        <v/>
      </c>
      <c r="U190" s="69">
        <f>IF(F190="",U189,U189+F190)</f>
        <v/>
      </c>
      <c r="V190" s="97">
        <f>IF(OR(N190="",U190=""),"",N190-U190)</f>
        <v/>
      </c>
      <c r="W190" s="71">
        <f>IF(OR(C190="",C190=0,'Daily Data'!J190=""),"",'Daily Data'!J190/C190)</f>
        <v/>
      </c>
      <c r="X190" s="71">
        <f>IF(OR(C190="",C190=0,'Daily Data'!K190=""),"",'Daily Data'!K190/C190)</f>
        <v/>
      </c>
      <c r="Y190" s="71">
        <f>IF(OR(F190="",W190="",X190=""),"",F190-W190-X190)</f>
        <v/>
      </c>
      <c r="Z190" s="72" t="n">
        <v>365.02</v>
      </c>
      <c r="AA190" s="72" t="n">
        <v>64.42</v>
      </c>
      <c r="AB190" s="73">
        <f>Z190+AA190</f>
        <v/>
      </c>
      <c r="AC190" s="74">
        <f>IF(OR(E190="",E190=0,AB190=""),"",E190*365/(AB190*1000000))</f>
        <v/>
      </c>
      <c r="AD190" s="98">
        <f>IF(OR(O190="",O190=0,AB190=""),"",(AB190*1000000)/O190)</f>
        <v/>
      </c>
      <c r="AE190" s="99">
        <f>IF(H190="","",(Team_Genesis-H190)/1000000)</f>
        <v/>
      </c>
      <c r="AF190" s="99">
        <f>IF(OR(O190="",AE190=""),"",(O190-AE190*1000000)/1000000)</f>
        <v/>
      </c>
    </row>
    <row r="191">
      <c r="A191" s="35" t="n">
        <v>45845</v>
      </c>
      <c r="B191" s="90">
        <f>IF('Daily Data'!E191="","",'Daily Data'!E191)</f>
        <v/>
      </c>
      <c r="C191" s="65" t="n">
        <v>39.72</v>
      </c>
      <c r="D191" s="94" t="n">
        <v>34874.72</v>
      </c>
      <c r="E191" s="94" t="n">
        <v>26216.6899</v>
      </c>
      <c r="F191" s="94" t="n">
        <v>330.7715</v>
      </c>
      <c r="G191" s="94" t="n"/>
      <c r="H191" s="95">
        <f>SUM($G$4:G191)</f>
        <v/>
      </c>
      <c r="I191" s="94" t="n">
        <v>1000000000</v>
      </c>
      <c r="J191" s="95">
        <f>J190-E191</f>
        <v/>
      </c>
      <c r="K191" s="94" t="n">
        <v>60000000</v>
      </c>
      <c r="L191" s="94" t="n">
        <v>25795965.9</v>
      </c>
      <c r="M191" s="94" t="n">
        <v>3000000</v>
      </c>
      <c r="N191" s="94" t="n">
        <v>313571.5383000374</v>
      </c>
      <c r="O191" s="96">
        <f>IF(OR(I191="",J191="",L191="",N191=""),"",I191-J191-K191-L191-M191-N191)</f>
        <v/>
      </c>
      <c r="P191" s="91">
        <f>IF(OR(O191="",C191=""),"",O191*C191)</f>
        <v/>
      </c>
      <c r="Q191" s="69">
        <f>Q190-E191</f>
        <v/>
      </c>
      <c r="R191" s="97">
        <f>IF(OR(J191="",Q191=""),"",J191-Q191)</f>
        <v/>
      </c>
      <c r="S191" s="69">
        <f>IF(D191="",S190,S190+D191)</f>
        <v/>
      </c>
      <c r="T191" s="97">
        <f>IF(OR(L191="",S191=""),"",L191-S191)</f>
        <v/>
      </c>
      <c r="U191" s="69">
        <f>IF(F191="",U190,U190+F191)</f>
        <v/>
      </c>
      <c r="V191" s="97">
        <f>IF(OR(N191="",U191=""),"",N191-U191)</f>
        <v/>
      </c>
      <c r="W191" s="71">
        <f>IF(OR(C191="",C191=0,'Daily Data'!J191=""),"",'Daily Data'!J191/C191)</f>
        <v/>
      </c>
      <c r="X191" s="71">
        <f>IF(OR(C191="",C191=0,'Daily Data'!K191=""),"",'Daily Data'!K191/C191)</f>
        <v/>
      </c>
      <c r="Y191" s="71">
        <f>IF(OR(F191="",W191="",X191=""),"",F191-W191-X191)</f>
        <v/>
      </c>
      <c r="Z191" s="72" t="n">
        <v>365.02</v>
      </c>
      <c r="AA191" s="72" t="n">
        <v>64.42</v>
      </c>
      <c r="AB191" s="73">
        <f>Z191+AA191</f>
        <v/>
      </c>
      <c r="AC191" s="74">
        <f>IF(OR(E191="",E191=0,AB191=""),"",E191*365/(AB191*1000000))</f>
        <v/>
      </c>
      <c r="AD191" s="98">
        <f>IF(OR(O191="",O191=0,AB191=""),"",(AB191*1000000)/O191)</f>
        <v/>
      </c>
      <c r="AE191" s="99">
        <f>IF(H191="","",(Team_Genesis-H191)/1000000)</f>
        <v/>
      </c>
      <c r="AF191" s="99">
        <f>IF(OR(O191="",AE191=""),"",(O191-AE191*1000000)/1000000)</f>
        <v/>
      </c>
    </row>
    <row r="192">
      <c r="A192" s="35" t="n">
        <v>45846</v>
      </c>
      <c r="B192" s="90">
        <f>IF('Daily Data'!E192="","",'Daily Data'!E192)</f>
        <v/>
      </c>
      <c r="C192" s="65" t="n">
        <v>38.59</v>
      </c>
      <c r="D192" s="94" t="n">
        <v>39768.58</v>
      </c>
      <c r="E192" s="94" t="n">
        <v>26255.6227</v>
      </c>
      <c r="F192" s="94" t="n">
        <v>1043.8797</v>
      </c>
      <c r="G192" s="94" t="n"/>
      <c r="H192" s="95">
        <f>SUM($G$4:G192)</f>
        <v/>
      </c>
      <c r="I192" s="94" t="n">
        <v>1000000000</v>
      </c>
      <c r="J192" s="95">
        <f>J191-E192</f>
        <v/>
      </c>
      <c r="K192" s="94" t="n">
        <v>60000000</v>
      </c>
      <c r="L192" s="94" t="n">
        <v>25835734.48</v>
      </c>
      <c r="M192" s="94" t="n">
        <v>3000000</v>
      </c>
      <c r="N192" s="94" t="n">
        <v>314615.4180999994</v>
      </c>
      <c r="O192" s="96">
        <f>IF(OR(I192="",J192="",L192="",N192=""),"",I192-J192-K192-L192-M192-N192)</f>
        <v/>
      </c>
      <c r="P192" s="91">
        <f>IF(OR(O192="",C192=""),"",O192*C192)</f>
        <v/>
      </c>
      <c r="Q192" s="69">
        <f>Q191-E192</f>
        <v/>
      </c>
      <c r="R192" s="97">
        <f>IF(OR(J192="",Q192=""),"",J192-Q192)</f>
        <v/>
      </c>
      <c r="S192" s="69">
        <f>IF(D192="",S191,S191+D192)</f>
        <v/>
      </c>
      <c r="T192" s="97">
        <f>IF(OR(L192="",S192=""),"",L192-S192)</f>
        <v/>
      </c>
      <c r="U192" s="69">
        <f>IF(F192="",U191,U191+F192)</f>
        <v/>
      </c>
      <c r="V192" s="97">
        <f>IF(OR(N192="",U192=""),"",N192-U192)</f>
        <v/>
      </c>
      <c r="W192" s="71">
        <f>IF(OR(C192="",C192=0,'Daily Data'!J192=""),"",'Daily Data'!J192/C192)</f>
        <v/>
      </c>
      <c r="X192" s="71">
        <f>IF(OR(C192="",C192=0,'Daily Data'!K192=""),"",'Daily Data'!K192/C192)</f>
        <v/>
      </c>
      <c r="Y192" s="71">
        <f>IF(OR(F192="",W192="",X192=""),"",F192-W192-X192)</f>
        <v/>
      </c>
      <c r="Z192" s="72" t="n">
        <v>365.02</v>
      </c>
      <c r="AA192" s="72" t="n">
        <v>64.42</v>
      </c>
      <c r="AB192" s="73">
        <f>Z192+AA192</f>
        <v/>
      </c>
      <c r="AC192" s="74">
        <f>IF(OR(E192="",E192=0,AB192=""),"",E192*365/(AB192*1000000))</f>
        <v/>
      </c>
      <c r="AD192" s="98">
        <f>IF(OR(O192="",O192=0,AB192=""),"",(AB192*1000000)/O192)</f>
        <v/>
      </c>
      <c r="AE192" s="99">
        <f>IF(H192="","",(Team_Genesis-H192)/1000000)</f>
        <v/>
      </c>
      <c r="AF192" s="99">
        <f>IF(OR(O192="",AE192=""),"",(O192-AE192*1000000)/1000000)</f>
        <v/>
      </c>
    </row>
    <row r="193">
      <c r="A193" s="35" t="n">
        <v>45847</v>
      </c>
      <c r="B193" s="90">
        <f>IF('Daily Data'!E193="","",'Daily Data'!E193)</f>
        <v/>
      </c>
      <c r="C193" s="65" t="n">
        <v>38.88</v>
      </c>
      <c r="D193" s="94" t="n">
        <v>40396.81</v>
      </c>
      <c r="E193" s="94" t="n">
        <v>26158.1165</v>
      </c>
      <c r="F193" s="94" t="n">
        <v>884.6962</v>
      </c>
      <c r="G193" s="94" t="n"/>
      <c r="H193" s="95">
        <f>SUM($G$4:G193)</f>
        <v/>
      </c>
      <c r="I193" s="94" t="n">
        <v>1000000000</v>
      </c>
      <c r="J193" s="95">
        <f>J192-E193</f>
        <v/>
      </c>
      <c r="K193" s="94" t="n">
        <v>60000000</v>
      </c>
      <c r="L193" s="94" t="n">
        <v>25876131.29</v>
      </c>
      <c r="M193" s="94" t="n">
        <v>3000000</v>
      </c>
      <c r="N193" s="94" t="n">
        <v>315500.1143000126</v>
      </c>
      <c r="O193" s="96">
        <f>IF(OR(I193="",J193="",L193="",N193=""),"",I193-J193-K193-L193-M193-N193)</f>
        <v/>
      </c>
      <c r="P193" s="91">
        <f>IF(OR(O193="",C193=""),"",O193*C193)</f>
        <v/>
      </c>
      <c r="Q193" s="69">
        <f>Q192-E193</f>
        <v/>
      </c>
      <c r="R193" s="97">
        <f>IF(OR(J193="",Q193=""),"",J193-Q193)</f>
        <v/>
      </c>
      <c r="S193" s="69">
        <f>IF(D193="",S192,S192+D193)</f>
        <v/>
      </c>
      <c r="T193" s="97">
        <f>IF(OR(L193="",S193=""),"",L193-S193)</f>
        <v/>
      </c>
      <c r="U193" s="69">
        <f>IF(F193="",U192,U192+F193)</f>
        <v/>
      </c>
      <c r="V193" s="97">
        <f>IF(OR(N193="",U193=""),"",N193-U193)</f>
        <v/>
      </c>
      <c r="W193" s="71">
        <f>IF(OR(C193="",C193=0,'Daily Data'!J193=""),"",'Daily Data'!J193/C193)</f>
        <v/>
      </c>
      <c r="X193" s="71">
        <f>IF(OR(C193="",C193=0,'Daily Data'!K193=""),"",'Daily Data'!K193/C193)</f>
        <v/>
      </c>
      <c r="Y193" s="71">
        <f>IF(OR(F193="",W193="",X193=""),"",F193-W193-X193)</f>
        <v/>
      </c>
      <c r="Z193" s="72" t="n">
        <v>365.02</v>
      </c>
      <c r="AA193" s="72" t="n">
        <v>64.42</v>
      </c>
      <c r="AB193" s="73">
        <f>Z193+AA193</f>
        <v/>
      </c>
      <c r="AC193" s="74">
        <f>IF(OR(E193="",E193=0,AB193=""),"",E193*365/(AB193*1000000))</f>
        <v/>
      </c>
      <c r="AD193" s="98">
        <f>IF(OR(O193="",O193=0,AB193=""),"",(AB193*1000000)/O193)</f>
        <v/>
      </c>
      <c r="AE193" s="99">
        <f>IF(H193="","",(Team_Genesis-H193)/1000000)</f>
        <v/>
      </c>
      <c r="AF193" s="99">
        <f>IF(OR(O193="",AE193=""),"",(O193-AE193*1000000)/1000000)</f>
        <v/>
      </c>
    </row>
    <row r="194">
      <c r="A194" s="35" t="n">
        <v>45848</v>
      </c>
      <c r="B194" s="90">
        <f>IF('Daily Data'!E194="","",'Daily Data'!E194)</f>
        <v/>
      </c>
      <c r="C194" s="65" t="n">
        <v>40.92</v>
      </c>
      <c r="D194" s="94" t="n">
        <v>69330.37</v>
      </c>
      <c r="E194" s="94" t="n">
        <v>26159.7777</v>
      </c>
      <c r="F194" s="94" t="n">
        <v>723.8416</v>
      </c>
      <c r="G194" s="94" t="n"/>
      <c r="H194" s="95">
        <f>SUM($G$4:G194)</f>
        <v/>
      </c>
      <c r="I194" s="94" t="n">
        <v>1000000000</v>
      </c>
      <c r="J194" s="95">
        <f>J193-E194</f>
        <v/>
      </c>
      <c r="K194" s="94" t="n">
        <v>60000000</v>
      </c>
      <c r="L194" s="94" t="n">
        <v>25945461.66</v>
      </c>
      <c r="M194" s="94" t="n">
        <v>3000000</v>
      </c>
      <c r="N194" s="94" t="n">
        <v>316223.9558999538</v>
      </c>
      <c r="O194" s="96">
        <f>IF(OR(I194="",J194="",L194="",N194=""),"",I194-J194-K194-L194-M194-N194)</f>
        <v/>
      </c>
      <c r="P194" s="91">
        <f>IF(OR(O194="",C194=""),"",O194*C194)</f>
        <v/>
      </c>
      <c r="Q194" s="69">
        <f>Q193-E194</f>
        <v/>
      </c>
      <c r="R194" s="97">
        <f>IF(OR(J194="",Q194=""),"",J194-Q194)</f>
        <v/>
      </c>
      <c r="S194" s="69">
        <f>IF(D194="",S193,S193+D194)</f>
        <v/>
      </c>
      <c r="T194" s="97">
        <f>IF(OR(L194="",S194=""),"",L194-S194)</f>
        <v/>
      </c>
      <c r="U194" s="69">
        <f>IF(F194="",U193,U193+F194)</f>
        <v/>
      </c>
      <c r="V194" s="97">
        <f>IF(OR(N194="",U194=""),"",N194-U194)</f>
        <v/>
      </c>
      <c r="W194" s="71">
        <f>IF(OR(C194="",C194=0,'Daily Data'!J194=""),"",'Daily Data'!J194/C194)</f>
        <v/>
      </c>
      <c r="X194" s="71">
        <f>IF(OR(C194="",C194=0,'Daily Data'!K194=""),"",'Daily Data'!K194/C194)</f>
        <v/>
      </c>
      <c r="Y194" s="71">
        <f>IF(OR(F194="",W194="",X194=""),"",F194-W194-X194)</f>
        <v/>
      </c>
      <c r="Z194" s="72" t="n">
        <v>365.02</v>
      </c>
      <c r="AA194" s="72" t="n">
        <v>64.42</v>
      </c>
      <c r="AB194" s="73">
        <f>Z194+AA194</f>
        <v/>
      </c>
      <c r="AC194" s="74">
        <f>IF(OR(E194="",E194=0,AB194=""),"",E194*365/(AB194*1000000))</f>
        <v/>
      </c>
      <c r="AD194" s="98">
        <f>IF(OR(O194="",O194=0,AB194=""),"",(AB194*1000000)/O194)</f>
        <v/>
      </c>
      <c r="AE194" s="99">
        <f>IF(H194="","",(Team_Genesis-H194)/1000000)</f>
        <v/>
      </c>
      <c r="AF194" s="99">
        <f>IF(OR(O194="",AE194=""),"",(O194-AE194*1000000)/1000000)</f>
        <v/>
      </c>
    </row>
    <row r="195">
      <c r="A195" s="35" t="n">
        <v>45849</v>
      </c>
      <c r="B195" s="90">
        <f>IF('Daily Data'!E195="","",'Daily Data'!E195)</f>
        <v/>
      </c>
      <c r="C195" s="65" t="n">
        <v>43.63</v>
      </c>
      <c r="D195" s="94" t="n">
        <v>80315.2</v>
      </c>
      <c r="E195" s="94" t="n">
        <v>26122.8024</v>
      </c>
      <c r="F195" s="94" t="n">
        <v>1451.9016</v>
      </c>
      <c r="G195" s="94" t="n"/>
      <c r="H195" s="95">
        <f>SUM($G$4:G195)</f>
        <v/>
      </c>
      <c r="I195" s="94" t="n">
        <v>1000000000</v>
      </c>
      <c r="J195" s="95">
        <f>J194-E195</f>
        <v/>
      </c>
      <c r="K195" s="94" t="n">
        <v>60000000</v>
      </c>
      <c r="L195" s="94" t="n">
        <v>26025776.86</v>
      </c>
      <c r="M195" s="94" t="n">
        <v>3000000</v>
      </c>
      <c r="N195" s="94" t="n">
        <v>317675.8574999571</v>
      </c>
      <c r="O195" s="96">
        <f>IF(OR(I195="",J195="",L195="",N195=""),"",I195-J195-K195-L195-M195-N195)</f>
        <v/>
      </c>
      <c r="P195" s="91">
        <f>IF(OR(O195="",C195=""),"",O195*C195)</f>
        <v/>
      </c>
      <c r="Q195" s="69">
        <f>Q194-E195</f>
        <v/>
      </c>
      <c r="R195" s="97">
        <f>IF(OR(J195="",Q195=""),"",J195-Q195)</f>
        <v/>
      </c>
      <c r="S195" s="69">
        <f>IF(D195="",S194,S194+D195)</f>
        <v/>
      </c>
      <c r="T195" s="97">
        <f>IF(OR(L195="",S195=""),"",L195-S195)</f>
        <v/>
      </c>
      <c r="U195" s="69">
        <f>IF(F195="",U194,U194+F195)</f>
        <v/>
      </c>
      <c r="V195" s="97">
        <f>IF(OR(N195="",U195=""),"",N195-U195)</f>
        <v/>
      </c>
      <c r="W195" s="71">
        <f>IF(OR(C195="",C195=0,'Daily Data'!J195=""),"",'Daily Data'!J195/C195)</f>
        <v/>
      </c>
      <c r="X195" s="71">
        <f>IF(OR(C195="",C195=0,'Daily Data'!K195=""),"",'Daily Data'!K195/C195)</f>
        <v/>
      </c>
      <c r="Y195" s="71">
        <f>IF(OR(F195="",W195="",X195=""),"",F195-W195-X195)</f>
        <v/>
      </c>
      <c r="Z195" s="72" t="n">
        <v>365.02</v>
      </c>
      <c r="AA195" s="72" t="n">
        <v>64.42</v>
      </c>
      <c r="AB195" s="73">
        <f>Z195+AA195</f>
        <v/>
      </c>
      <c r="AC195" s="74">
        <f>IF(OR(E195="",E195=0,AB195=""),"",E195*365/(AB195*1000000))</f>
        <v/>
      </c>
      <c r="AD195" s="98">
        <f>IF(OR(O195="",O195=0,AB195=""),"",(AB195*1000000)/O195)</f>
        <v/>
      </c>
      <c r="AE195" s="99">
        <f>IF(H195="","",(Team_Genesis-H195)/1000000)</f>
        <v/>
      </c>
      <c r="AF195" s="99">
        <f>IF(OR(O195="",AE195=""),"",(O195-AE195*1000000)/1000000)</f>
        <v/>
      </c>
    </row>
    <row r="196">
      <c r="A196" s="35" t="n">
        <v>45850</v>
      </c>
      <c r="B196" s="90">
        <f>IF('Daily Data'!E196="","",'Daily Data'!E196)</f>
        <v/>
      </c>
      <c r="C196" s="65" t="n">
        <v>46.29</v>
      </c>
      <c r="D196" s="94" t="n">
        <v>74964.00999999999</v>
      </c>
      <c r="E196" s="94" t="n">
        <v>26136.0303</v>
      </c>
      <c r="F196" s="94" t="n">
        <v>1831.2501</v>
      </c>
      <c r="G196" s="94" t="n"/>
      <c r="H196" s="95">
        <f>SUM($G$4:G196)</f>
        <v/>
      </c>
      <c r="I196" s="94" t="n">
        <v>1000000000</v>
      </c>
      <c r="J196" s="95">
        <f>J195-E196</f>
        <v/>
      </c>
      <c r="K196" s="94" t="n">
        <v>60000000</v>
      </c>
      <c r="L196" s="94" t="n">
        <v>26100740.87</v>
      </c>
      <c r="M196" s="94" t="n">
        <v>3000000</v>
      </c>
      <c r="N196" s="94" t="n">
        <v>319507.1074999571</v>
      </c>
      <c r="O196" s="96">
        <f>IF(OR(I196="",J196="",L196="",N196=""),"",I196-J196-K196-L196-M196-N196)</f>
        <v/>
      </c>
      <c r="P196" s="91">
        <f>IF(OR(O196="",C196=""),"",O196*C196)</f>
        <v/>
      </c>
      <c r="Q196" s="69">
        <f>Q195-E196</f>
        <v/>
      </c>
      <c r="R196" s="97">
        <f>IF(OR(J196="",Q196=""),"",J196-Q196)</f>
        <v/>
      </c>
      <c r="S196" s="69">
        <f>IF(D196="",S195,S195+D196)</f>
        <v/>
      </c>
      <c r="T196" s="97">
        <f>IF(OR(L196="",S196=""),"",L196-S196)</f>
        <v/>
      </c>
      <c r="U196" s="69">
        <f>IF(F196="",U195,U195+F196)</f>
        <v/>
      </c>
      <c r="V196" s="97">
        <f>IF(OR(N196="",U196=""),"",N196-U196)</f>
        <v/>
      </c>
      <c r="W196" s="71">
        <f>IF(OR(C196="",C196=0,'Daily Data'!J196=""),"",'Daily Data'!J196/C196)</f>
        <v/>
      </c>
      <c r="X196" s="71">
        <f>IF(OR(C196="",C196=0,'Daily Data'!K196=""),"",'Daily Data'!K196/C196)</f>
        <v/>
      </c>
      <c r="Y196" s="71">
        <f>IF(OR(F196="",W196="",X196=""),"",F196-W196-X196)</f>
        <v/>
      </c>
      <c r="Z196" s="72" t="n">
        <v>365.02</v>
      </c>
      <c r="AA196" s="72" t="n">
        <v>64.42</v>
      </c>
      <c r="AB196" s="73">
        <f>Z196+AA196</f>
        <v/>
      </c>
      <c r="AC196" s="74">
        <f>IF(OR(E196="",E196=0,AB196=""),"",E196*365/(AB196*1000000))</f>
        <v/>
      </c>
      <c r="AD196" s="98">
        <f>IF(OR(O196="",O196=0,AB196=""),"",(AB196*1000000)/O196)</f>
        <v/>
      </c>
      <c r="AE196" s="99">
        <f>IF(H196="","",(Team_Genesis-H196)/1000000)</f>
        <v/>
      </c>
      <c r="AF196" s="99">
        <f>IF(OR(O196="",AE196=""),"",(O196-AE196*1000000)/1000000)</f>
        <v/>
      </c>
    </row>
    <row r="197">
      <c r="A197" s="35" t="n">
        <v>45851</v>
      </c>
      <c r="B197" s="90">
        <f>IF('Daily Data'!E197="","",'Daily Data'!E197)</f>
        <v/>
      </c>
      <c r="C197" s="65" t="n">
        <v>47.13</v>
      </c>
      <c r="D197" s="94" t="n">
        <v>41639.5</v>
      </c>
      <c r="E197" s="94" t="n">
        <v>26013.8934</v>
      </c>
      <c r="F197" s="94" t="n">
        <v>1374.6539</v>
      </c>
      <c r="G197" s="94" t="n"/>
      <c r="H197" s="95">
        <f>SUM($G$4:G197)</f>
        <v/>
      </c>
      <c r="I197" s="94" t="n">
        <v>1000000000</v>
      </c>
      <c r="J197" s="95">
        <f>J196-E197</f>
        <v/>
      </c>
      <c r="K197" s="94" t="n">
        <v>60000000</v>
      </c>
      <c r="L197" s="94" t="n">
        <v>26142380.37</v>
      </c>
      <c r="M197" s="94" t="n">
        <v>3000000</v>
      </c>
      <c r="N197" s="94" t="n">
        <v>320881.7613999844</v>
      </c>
      <c r="O197" s="96">
        <f>IF(OR(I197="",J197="",L197="",N197=""),"",I197-J197-K197-L197-M197-N197)</f>
        <v/>
      </c>
      <c r="P197" s="91">
        <f>IF(OR(O197="",C197=""),"",O197*C197)</f>
        <v/>
      </c>
      <c r="Q197" s="69">
        <f>Q196-E197</f>
        <v/>
      </c>
      <c r="R197" s="97">
        <f>IF(OR(J197="",Q197=""),"",J197-Q197)</f>
        <v/>
      </c>
      <c r="S197" s="69">
        <f>IF(D197="",S196,S196+D197)</f>
        <v/>
      </c>
      <c r="T197" s="97">
        <f>IF(OR(L197="",S197=""),"",L197-S197)</f>
        <v/>
      </c>
      <c r="U197" s="69">
        <f>IF(F197="",U196,U196+F197)</f>
        <v/>
      </c>
      <c r="V197" s="97">
        <f>IF(OR(N197="",U197=""),"",N197-U197)</f>
        <v/>
      </c>
      <c r="W197" s="71">
        <f>IF(OR(C197="",C197=0,'Daily Data'!J197=""),"",'Daily Data'!J197/C197)</f>
        <v/>
      </c>
      <c r="X197" s="71">
        <f>IF(OR(C197="",C197=0,'Daily Data'!K197=""),"",'Daily Data'!K197/C197)</f>
        <v/>
      </c>
      <c r="Y197" s="71">
        <f>IF(OR(F197="",W197="",X197=""),"",F197-W197-X197)</f>
        <v/>
      </c>
      <c r="Z197" s="72" t="n">
        <v>365.02</v>
      </c>
      <c r="AA197" s="72" t="n">
        <v>64.42</v>
      </c>
      <c r="AB197" s="73">
        <f>Z197+AA197</f>
        <v/>
      </c>
      <c r="AC197" s="74">
        <f>IF(OR(E197="",E197=0,AB197=""),"",E197*365/(AB197*1000000))</f>
        <v/>
      </c>
      <c r="AD197" s="98">
        <f>IF(OR(O197="",O197=0,AB197=""),"",(AB197*1000000)/O197)</f>
        <v/>
      </c>
      <c r="AE197" s="99">
        <f>IF(H197="","",(Team_Genesis-H197)/1000000)</f>
        <v/>
      </c>
      <c r="AF197" s="99">
        <f>IF(OR(O197="",AE197=""),"",(O197-AE197*1000000)/1000000)</f>
        <v/>
      </c>
    </row>
    <row r="198">
      <c r="A198" s="35" t="n">
        <v>45852</v>
      </c>
      <c r="B198" s="90">
        <f>IF('Daily Data'!E198="","",'Daily Data'!E198)</f>
        <v/>
      </c>
      <c r="C198" s="65" t="n">
        <v>49.09</v>
      </c>
      <c r="D198" s="94" t="n">
        <v>65683.78</v>
      </c>
      <c r="E198" s="94" t="n">
        <v>26101.0722</v>
      </c>
      <c r="F198" s="94" t="n">
        <v>1452.3753</v>
      </c>
      <c r="G198" s="94" t="n"/>
      <c r="H198" s="95">
        <f>SUM($G$4:G198)</f>
        <v/>
      </c>
      <c r="I198" s="94" t="n">
        <v>1000000000</v>
      </c>
      <c r="J198" s="95">
        <f>J197-E198</f>
        <v/>
      </c>
      <c r="K198" s="94" t="n">
        <v>60000000</v>
      </c>
      <c r="L198" s="94" t="n">
        <v>26208064.15</v>
      </c>
      <c r="M198" s="94" t="n">
        <v>3000000</v>
      </c>
      <c r="N198" s="94" t="n">
        <v>322334.1367000341</v>
      </c>
      <c r="O198" s="96">
        <f>IF(OR(I198="",J198="",L198="",N198=""),"",I198-J198-K198-L198-M198-N198)</f>
        <v/>
      </c>
      <c r="P198" s="91">
        <f>IF(OR(O198="",C198=""),"",O198*C198)</f>
        <v/>
      </c>
      <c r="Q198" s="69">
        <f>Q197-E198</f>
        <v/>
      </c>
      <c r="R198" s="97">
        <f>IF(OR(J198="",Q198=""),"",J198-Q198)</f>
        <v/>
      </c>
      <c r="S198" s="69">
        <f>IF(D198="",S197,S197+D198)</f>
        <v/>
      </c>
      <c r="T198" s="97">
        <f>IF(OR(L198="",S198=""),"",L198-S198)</f>
        <v/>
      </c>
      <c r="U198" s="69">
        <f>IF(F198="",U197,U197+F198)</f>
        <v/>
      </c>
      <c r="V198" s="97">
        <f>IF(OR(N198="",U198=""),"",N198-U198)</f>
        <v/>
      </c>
      <c r="W198" s="71">
        <f>IF(OR(C198="",C198=0,'Daily Data'!J198=""),"",'Daily Data'!J198/C198)</f>
        <v/>
      </c>
      <c r="X198" s="71">
        <f>IF(OR(C198="",C198=0,'Daily Data'!K198=""),"",'Daily Data'!K198/C198)</f>
        <v/>
      </c>
      <c r="Y198" s="71">
        <f>IF(OR(F198="",W198="",X198=""),"",F198-W198-X198)</f>
        <v/>
      </c>
      <c r="Z198" s="72" t="n">
        <v>365.02</v>
      </c>
      <c r="AA198" s="72" t="n">
        <v>64.42</v>
      </c>
      <c r="AB198" s="73">
        <f>Z198+AA198</f>
        <v/>
      </c>
      <c r="AC198" s="74">
        <f>IF(OR(E198="",E198=0,AB198=""),"",E198*365/(AB198*1000000))</f>
        <v/>
      </c>
      <c r="AD198" s="98">
        <f>IF(OR(O198="",O198=0,AB198=""),"",(AB198*1000000)/O198)</f>
        <v/>
      </c>
      <c r="AE198" s="99">
        <f>IF(H198="","",(Team_Genesis-H198)/1000000)</f>
        <v/>
      </c>
      <c r="AF198" s="99">
        <f>IF(OR(O198="",AE198=""),"",(O198-AE198*1000000)/1000000)</f>
        <v/>
      </c>
    </row>
    <row r="199">
      <c r="A199" s="35" t="n">
        <v>45853</v>
      </c>
      <c r="B199" s="90">
        <f>IF('Daily Data'!E199="","",'Daily Data'!E199)</f>
        <v/>
      </c>
      <c r="C199" s="65" t="n">
        <v>47.34</v>
      </c>
      <c r="D199" s="94" t="n">
        <v>83530.85000000001</v>
      </c>
      <c r="E199" s="94" t="n">
        <v>25934.9584</v>
      </c>
      <c r="F199" s="94" t="n">
        <v>1590.787</v>
      </c>
      <c r="G199" s="94" t="n"/>
      <c r="H199" s="95">
        <f>SUM($G$4:G199)</f>
        <v/>
      </c>
      <c r="I199" s="94" t="n">
        <v>1000000000</v>
      </c>
      <c r="J199" s="95">
        <f>J198-E199</f>
        <v/>
      </c>
      <c r="K199" s="94" t="n">
        <v>60000000</v>
      </c>
      <c r="L199" s="94" t="n">
        <v>26291595</v>
      </c>
      <c r="M199" s="94" t="n">
        <v>3000000</v>
      </c>
      <c r="N199" s="94" t="n">
        <v>323924.923699975</v>
      </c>
      <c r="O199" s="96">
        <f>IF(OR(I199="",J199="",L199="",N199=""),"",I199-J199-K199-L199-M199-N199)</f>
        <v/>
      </c>
      <c r="P199" s="91">
        <f>IF(OR(O199="",C199=""),"",O199*C199)</f>
        <v/>
      </c>
      <c r="Q199" s="69">
        <f>Q198-E199</f>
        <v/>
      </c>
      <c r="R199" s="97">
        <f>IF(OR(J199="",Q199=""),"",J199-Q199)</f>
        <v/>
      </c>
      <c r="S199" s="69">
        <f>IF(D199="",S198,S198+D199)</f>
        <v/>
      </c>
      <c r="T199" s="97">
        <f>IF(OR(L199="",S199=""),"",L199-S199)</f>
        <v/>
      </c>
      <c r="U199" s="69">
        <f>IF(F199="",U198,U198+F199)</f>
        <v/>
      </c>
      <c r="V199" s="97">
        <f>IF(OR(N199="",U199=""),"",N199-U199)</f>
        <v/>
      </c>
      <c r="W199" s="71">
        <f>IF(OR(C199="",C199=0,'Daily Data'!J199=""),"",'Daily Data'!J199/C199)</f>
        <v/>
      </c>
      <c r="X199" s="71">
        <f>IF(OR(C199="",C199=0,'Daily Data'!K199=""),"",'Daily Data'!K199/C199)</f>
        <v/>
      </c>
      <c r="Y199" s="71">
        <f>IF(OR(F199="",W199="",X199=""),"",F199-W199-X199)</f>
        <v/>
      </c>
      <c r="Z199" s="72" t="n">
        <v>365.02</v>
      </c>
      <c r="AA199" s="72" t="n">
        <v>64.42</v>
      </c>
      <c r="AB199" s="73">
        <f>Z199+AA199</f>
        <v/>
      </c>
      <c r="AC199" s="74">
        <f>IF(OR(E199="",E199=0,AB199=""),"",E199*365/(AB199*1000000))</f>
        <v/>
      </c>
      <c r="AD199" s="98">
        <f>IF(OR(O199="",O199=0,AB199=""),"",(AB199*1000000)/O199)</f>
        <v/>
      </c>
      <c r="AE199" s="99">
        <f>IF(H199="","",(Team_Genesis-H199)/1000000)</f>
        <v/>
      </c>
      <c r="AF199" s="99">
        <f>IF(OR(O199="",AE199=""),"",(O199-AE199*1000000)/1000000)</f>
        <v/>
      </c>
    </row>
    <row r="200">
      <c r="A200" s="35" t="n">
        <v>45854</v>
      </c>
      <c r="B200" s="90">
        <f>IF('Daily Data'!E200="","",'Daily Data'!E200)</f>
        <v/>
      </c>
      <c r="C200" s="65" t="n">
        <v>47.92</v>
      </c>
      <c r="D200" s="94" t="n">
        <v>90398.67999999999</v>
      </c>
      <c r="E200" s="94" t="n">
        <v>26049.4675</v>
      </c>
      <c r="F200" s="94" t="n">
        <v>762.501</v>
      </c>
      <c r="G200" s="94" t="n"/>
      <c r="H200" s="95">
        <f>SUM($G$4:G200)</f>
        <v/>
      </c>
      <c r="I200" s="94" t="n">
        <v>1000000000</v>
      </c>
      <c r="J200" s="95">
        <f>J199-E200</f>
        <v/>
      </c>
      <c r="K200" s="94" t="n">
        <v>60000000</v>
      </c>
      <c r="L200" s="94" t="n">
        <v>26381993.68</v>
      </c>
      <c r="M200" s="94" t="n">
        <v>3000000</v>
      </c>
      <c r="N200" s="94" t="n">
        <v>324687.4247000217</v>
      </c>
      <c r="O200" s="96">
        <f>IF(OR(I200="",J200="",L200="",N200=""),"",I200-J200-K200-L200-M200-N200)</f>
        <v/>
      </c>
      <c r="P200" s="91">
        <f>IF(OR(O200="",C200=""),"",O200*C200)</f>
        <v/>
      </c>
      <c r="Q200" s="69">
        <f>Q199-E200</f>
        <v/>
      </c>
      <c r="R200" s="97">
        <f>IF(OR(J200="",Q200=""),"",J200-Q200)</f>
        <v/>
      </c>
      <c r="S200" s="69">
        <f>IF(D200="",S199,S199+D200)</f>
        <v/>
      </c>
      <c r="T200" s="97">
        <f>IF(OR(L200="",S200=""),"",L200-S200)</f>
        <v/>
      </c>
      <c r="U200" s="69">
        <f>IF(F200="",U199,U199+F200)</f>
        <v/>
      </c>
      <c r="V200" s="97">
        <f>IF(OR(N200="",U200=""),"",N200-U200)</f>
        <v/>
      </c>
      <c r="W200" s="71">
        <f>IF(OR(C200="",C200=0,'Daily Data'!J200=""),"",'Daily Data'!J200/C200)</f>
        <v/>
      </c>
      <c r="X200" s="71">
        <f>IF(OR(C200="",C200=0,'Daily Data'!K200=""),"",'Daily Data'!K200/C200)</f>
        <v/>
      </c>
      <c r="Y200" s="71">
        <f>IF(OR(F200="",W200="",X200=""),"",F200-W200-X200)</f>
        <v/>
      </c>
      <c r="Z200" s="72" t="n">
        <v>365.02</v>
      </c>
      <c r="AA200" s="72" t="n">
        <v>64.42</v>
      </c>
      <c r="AB200" s="73">
        <f>Z200+AA200</f>
        <v/>
      </c>
      <c r="AC200" s="74">
        <f>IF(OR(E200="",E200=0,AB200=""),"",E200*365/(AB200*1000000))</f>
        <v/>
      </c>
      <c r="AD200" s="98">
        <f>IF(OR(O200="",O200=0,AB200=""),"",(AB200*1000000)/O200)</f>
        <v/>
      </c>
      <c r="AE200" s="99">
        <f>IF(H200="","",(Team_Genesis-H200)/1000000)</f>
        <v/>
      </c>
      <c r="AF200" s="99">
        <f>IF(OR(O200="",AE200=""),"",(O200-AE200*1000000)/1000000)</f>
        <v/>
      </c>
    </row>
    <row r="201">
      <c r="A201" s="35" t="n">
        <v>45855</v>
      </c>
      <c r="B201" s="90">
        <f>IF('Daily Data'!E201="","",'Daily Data'!E201)</f>
        <v/>
      </c>
      <c r="C201" s="65" t="n">
        <v>47.18</v>
      </c>
      <c r="D201" s="94" t="n">
        <v>96658.21000000001</v>
      </c>
      <c r="E201" s="94" t="n">
        <v>26170.3924</v>
      </c>
      <c r="F201" s="94" t="n">
        <v>1597.9602</v>
      </c>
      <c r="G201" s="94" t="n"/>
      <c r="H201" s="95">
        <f>SUM($G$4:G201)</f>
        <v/>
      </c>
      <c r="I201" s="94" t="n">
        <v>1000000000</v>
      </c>
      <c r="J201" s="95">
        <f>J200-E201</f>
        <v/>
      </c>
      <c r="K201" s="94" t="n">
        <v>60000000</v>
      </c>
      <c r="L201" s="94" t="n">
        <v>26478651.89</v>
      </c>
      <c r="M201" s="94" t="n">
        <v>3000000</v>
      </c>
      <c r="N201" s="94" t="n">
        <v>326285.3848999739</v>
      </c>
      <c r="O201" s="96">
        <f>IF(OR(I201="",J201="",L201="",N201=""),"",I201-J201-K201-L201-M201-N201)</f>
        <v/>
      </c>
      <c r="P201" s="91">
        <f>IF(OR(O201="",C201=""),"",O201*C201)</f>
        <v/>
      </c>
      <c r="Q201" s="69">
        <f>Q200-E201</f>
        <v/>
      </c>
      <c r="R201" s="97">
        <f>IF(OR(J201="",Q201=""),"",J201-Q201)</f>
        <v/>
      </c>
      <c r="S201" s="69">
        <f>IF(D201="",S200,S200+D201)</f>
        <v/>
      </c>
      <c r="T201" s="97">
        <f>IF(OR(L201="",S201=""),"",L201-S201)</f>
        <v/>
      </c>
      <c r="U201" s="69">
        <f>IF(F201="",U200,U200+F201)</f>
        <v/>
      </c>
      <c r="V201" s="97">
        <f>IF(OR(N201="",U201=""),"",N201-U201)</f>
        <v/>
      </c>
      <c r="W201" s="71">
        <f>IF(OR(C201="",C201=0,'Daily Data'!J201=""),"",'Daily Data'!J201/C201)</f>
        <v/>
      </c>
      <c r="X201" s="71">
        <f>IF(OR(C201="",C201=0,'Daily Data'!K201=""),"",'Daily Data'!K201/C201)</f>
        <v/>
      </c>
      <c r="Y201" s="71">
        <f>IF(OR(F201="",W201="",X201=""),"",F201-W201-X201)</f>
        <v/>
      </c>
      <c r="Z201" s="72" t="n">
        <v>365.02</v>
      </c>
      <c r="AA201" s="72" t="n">
        <v>64.42</v>
      </c>
      <c r="AB201" s="73">
        <f>Z201+AA201</f>
        <v/>
      </c>
      <c r="AC201" s="74">
        <f>IF(OR(E201="",E201=0,AB201=""),"",E201*365/(AB201*1000000))</f>
        <v/>
      </c>
      <c r="AD201" s="98">
        <f>IF(OR(O201="",O201=0,AB201=""),"",(AB201*1000000)/O201)</f>
        <v/>
      </c>
      <c r="AE201" s="99">
        <f>IF(H201="","",(Team_Genesis-H201)/1000000)</f>
        <v/>
      </c>
      <c r="AF201" s="99">
        <f>IF(OR(O201="",AE201=""),"",(O201-AE201*1000000)/1000000)</f>
        <v/>
      </c>
    </row>
    <row r="202">
      <c r="A202" s="35" t="n">
        <v>45856</v>
      </c>
      <c r="B202" s="90">
        <f>IF('Daily Data'!E202="","",'Daily Data'!E202)</f>
        <v/>
      </c>
      <c r="C202" s="65" t="n">
        <v>45.26</v>
      </c>
      <c r="D202" s="94" t="n">
        <v>117990.63</v>
      </c>
      <c r="E202" s="94" t="n">
        <v>26160.4342</v>
      </c>
      <c r="F202" s="94" t="n">
        <v>1707.7749</v>
      </c>
      <c r="G202" s="94" t="n"/>
      <c r="H202" s="95">
        <f>SUM($G$4:G202)</f>
        <v/>
      </c>
      <c r="I202" s="94" t="n">
        <v>1000000000</v>
      </c>
      <c r="J202" s="95">
        <f>J201-E202</f>
        <v/>
      </c>
      <c r="K202" s="94" t="n">
        <v>60000000</v>
      </c>
      <c r="L202" s="94" t="n">
        <v>26596642.52</v>
      </c>
      <c r="M202" s="94" t="n">
        <v>3000000</v>
      </c>
      <c r="N202" s="94" t="n">
        <v>327993.1598000526</v>
      </c>
      <c r="O202" s="96">
        <f>IF(OR(I202="",J202="",L202="",N202=""),"",I202-J202-K202-L202-M202-N202)</f>
        <v/>
      </c>
      <c r="P202" s="91">
        <f>IF(OR(O202="",C202=""),"",O202*C202)</f>
        <v/>
      </c>
      <c r="Q202" s="69">
        <f>Q201-E202</f>
        <v/>
      </c>
      <c r="R202" s="97">
        <f>IF(OR(J202="",Q202=""),"",J202-Q202)</f>
        <v/>
      </c>
      <c r="S202" s="69">
        <f>IF(D202="",S201,S201+D202)</f>
        <v/>
      </c>
      <c r="T202" s="97">
        <f>IF(OR(L202="",S202=""),"",L202-S202)</f>
        <v/>
      </c>
      <c r="U202" s="69">
        <f>IF(F202="",U201,U201+F202)</f>
        <v/>
      </c>
      <c r="V202" s="97">
        <f>IF(OR(N202="",U202=""),"",N202-U202)</f>
        <v/>
      </c>
      <c r="W202" s="71">
        <f>IF(OR(C202="",C202=0,'Daily Data'!J202=""),"",'Daily Data'!J202/C202)</f>
        <v/>
      </c>
      <c r="X202" s="71">
        <f>IF(OR(C202="",C202=0,'Daily Data'!K202=""),"",'Daily Data'!K202/C202)</f>
        <v/>
      </c>
      <c r="Y202" s="71">
        <f>IF(OR(F202="",W202="",X202=""),"",F202-W202-X202)</f>
        <v/>
      </c>
      <c r="Z202" s="72" t="n">
        <v>365.02</v>
      </c>
      <c r="AA202" s="72" t="n">
        <v>64.42</v>
      </c>
      <c r="AB202" s="73">
        <f>Z202+AA202</f>
        <v/>
      </c>
      <c r="AC202" s="74">
        <f>IF(OR(E202="",E202=0,AB202=""),"",E202*365/(AB202*1000000))</f>
        <v/>
      </c>
      <c r="AD202" s="98">
        <f>IF(OR(O202="",O202=0,AB202=""),"",(AB202*1000000)/O202)</f>
        <v/>
      </c>
      <c r="AE202" s="99">
        <f>IF(H202="","",(Team_Genesis-H202)/1000000)</f>
        <v/>
      </c>
      <c r="AF202" s="99">
        <f>IF(OR(O202="",AE202=""),"",(O202-AE202*1000000)/1000000)</f>
        <v/>
      </c>
    </row>
    <row r="203">
      <c r="A203" s="35" t="n">
        <v>45857</v>
      </c>
      <c r="B203" s="90">
        <f>IF('Daily Data'!E203="","",'Daily Data'!E203)</f>
        <v/>
      </c>
      <c r="C203" s="65" t="n">
        <v>44.7</v>
      </c>
      <c r="D203" s="94" t="n">
        <v>81070.97</v>
      </c>
      <c r="E203" s="94" t="n">
        <v>26235.1622</v>
      </c>
      <c r="F203" s="94" t="n">
        <v>1734.6771</v>
      </c>
      <c r="G203" s="94" t="n"/>
      <c r="H203" s="95">
        <f>SUM($G$4:G203)</f>
        <v/>
      </c>
      <c r="I203" s="94" t="n">
        <v>1000000000</v>
      </c>
      <c r="J203" s="95">
        <f>J202-E203</f>
        <v/>
      </c>
      <c r="K203" s="94" t="n">
        <v>60000000</v>
      </c>
      <c r="L203" s="94" t="n">
        <v>26677713.49</v>
      </c>
      <c r="M203" s="94" t="n">
        <v>3000000</v>
      </c>
      <c r="N203" s="94" t="n">
        <v>329727.8368999958</v>
      </c>
      <c r="O203" s="96">
        <f>IF(OR(I203="",J203="",L203="",N203=""),"",I203-J203-K203-L203-M203-N203)</f>
        <v/>
      </c>
      <c r="P203" s="91">
        <f>IF(OR(O203="",C203=""),"",O203*C203)</f>
        <v/>
      </c>
      <c r="Q203" s="69">
        <f>Q202-E203</f>
        <v/>
      </c>
      <c r="R203" s="97">
        <f>IF(OR(J203="",Q203=""),"",J203-Q203)</f>
        <v/>
      </c>
      <c r="S203" s="69">
        <f>IF(D203="",S202,S202+D203)</f>
        <v/>
      </c>
      <c r="T203" s="97">
        <f>IF(OR(L203="",S203=""),"",L203-S203)</f>
        <v/>
      </c>
      <c r="U203" s="69">
        <f>IF(F203="",U202,U202+F203)</f>
        <v/>
      </c>
      <c r="V203" s="97">
        <f>IF(OR(N203="",U203=""),"",N203-U203)</f>
        <v/>
      </c>
      <c r="W203" s="71">
        <f>IF(OR(C203="",C203=0,'Daily Data'!J203=""),"",'Daily Data'!J203/C203)</f>
        <v/>
      </c>
      <c r="X203" s="71">
        <f>IF(OR(C203="",C203=0,'Daily Data'!K203=""),"",'Daily Data'!K203/C203)</f>
        <v/>
      </c>
      <c r="Y203" s="71">
        <f>IF(OR(F203="",W203="",X203=""),"",F203-W203-X203)</f>
        <v/>
      </c>
      <c r="Z203" s="72" t="n">
        <v>365.02</v>
      </c>
      <c r="AA203" s="72" t="n">
        <v>64.42</v>
      </c>
      <c r="AB203" s="73">
        <f>Z203+AA203</f>
        <v/>
      </c>
      <c r="AC203" s="74">
        <f>IF(OR(E203="",E203=0,AB203=""),"",E203*365/(AB203*1000000))</f>
        <v/>
      </c>
      <c r="AD203" s="98">
        <f>IF(OR(O203="",O203=0,AB203=""),"",(AB203*1000000)/O203)</f>
        <v/>
      </c>
      <c r="AE203" s="99">
        <f>IF(H203="","",(Team_Genesis-H203)/1000000)</f>
        <v/>
      </c>
      <c r="AF203" s="99">
        <f>IF(OR(O203="",AE203=""),"",(O203-AE203*1000000)/1000000)</f>
        <v/>
      </c>
    </row>
    <row r="204">
      <c r="A204" s="35" t="n">
        <v>45858</v>
      </c>
      <c r="B204" s="90">
        <f>IF('Daily Data'!E204="","",'Daily Data'!E204)</f>
        <v/>
      </c>
      <c r="C204" s="65" t="n">
        <v>44.24</v>
      </c>
      <c r="D204" s="94" t="n">
        <v>35661.34</v>
      </c>
      <c r="E204" s="94" t="n">
        <v>25437.4605</v>
      </c>
      <c r="F204" s="94" t="n">
        <v>387.0758</v>
      </c>
      <c r="G204" s="94" t="n"/>
      <c r="H204" s="95">
        <f>SUM($G$4:G204)</f>
        <v/>
      </c>
      <c r="I204" s="94" t="n">
        <v>1000000000</v>
      </c>
      <c r="J204" s="95">
        <f>J203-E204</f>
        <v/>
      </c>
      <c r="K204" s="94" t="n">
        <v>60000000</v>
      </c>
      <c r="L204" s="94" t="n">
        <v>26713374.83</v>
      </c>
      <c r="M204" s="94" t="n">
        <v>3000000</v>
      </c>
      <c r="N204" s="94" t="n">
        <v>330114.912700057</v>
      </c>
      <c r="O204" s="96">
        <f>IF(OR(I204="",J204="",L204="",N204=""),"",I204-J204-K204-L204-M204-N204)</f>
        <v/>
      </c>
      <c r="P204" s="91">
        <f>IF(OR(O204="",C204=""),"",O204*C204)</f>
        <v/>
      </c>
      <c r="Q204" s="69">
        <f>Q203-E204</f>
        <v/>
      </c>
      <c r="R204" s="97">
        <f>IF(OR(J204="",Q204=""),"",J204-Q204)</f>
        <v/>
      </c>
      <c r="S204" s="69">
        <f>IF(D204="",S203,S203+D204)</f>
        <v/>
      </c>
      <c r="T204" s="97">
        <f>IF(OR(L204="",S204=""),"",L204-S204)</f>
        <v/>
      </c>
      <c r="U204" s="69">
        <f>IF(F204="",U203,U203+F204)</f>
        <v/>
      </c>
      <c r="V204" s="97">
        <f>IF(OR(N204="",U204=""),"",N204-U204)</f>
        <v/>
      </c>
      <c r="W204" s="71">
        <f>IF(OR(C204="",C204=0,'Daily Data'!J204=""),"",'Daily Data'!J204/C204)</f>
        <v/>
      </c>
      <c r="X204" s="71">
        <f>IF(OR(C204="",C204=0,'Daily Data'!K204=""),"",'Daily Data'!K204/C204)</f>
        <v/>
      </c>
      <c r="Y204" s="71">
        <f>IF(OR(F204="",W204="",X204=""),"",F204-W204-X204)</f>
        <v/>
      </c>
      <c r="Z204" s="72" t="n">
        <v>365.02</v>
      </c>
      <c r="AA204" s="72" t="n">
        <v>64.42</v>
      </c>
      <c r="AB204" s="73">
        <f>Z204+AA204</f>
        <v/>
      </c>
      <c r="AC204" s="74">
        <f>IF(OR(E204="",E204=0,AB204=""),"",E204*365/(AB204*1000000))</f>
        <v/>
      </c>
      <c r="AD204" s="98">
        <f>IF(OR(O204="",O204=0,AB204=""),"",(AB204*1000000)/O204)</f>
        <v/>
      </c>
      <c r="AE204" s="99">
        <f>IF(H204="","",(Team_Genesis-H204)/1000000)</f>
        <v/>
      </c>
      <c r="AF204" s="99">
        <f>IF(OR(O204="",AE204=""),"",(O204-AE204*1000000)/1000000)</f>
        <v/>
      </c>
    </row>
    <row r="205">
      <c r="A205" s="35" t="n">
        <v>45859</v>
      </c>
      <c r="B205" s="90">
        <f>IF('Daily Data'!E205="","",'Daily Data'!E205)</f>
        <v/>
      </c>
      <c r="C205" s="65" t="n">
        <v>45.49</v>
      </c>
      <c r="D205" s="94" t="n">
        <v>89986.02</v>
      </c>
      <c r="E205" s="94" t="n">
        <v>26253.0862</v>
      </c>
      <c r="F205" s="94" t="n">
        <v>1064.9001</v>
      </c>
      <c r="G205" s="94" t="n"/>
      <c r="H205" s="95">
        <f>SUM($G$4:G205)</f>
        <v/>
      </c>
      <c r="I205" s="94" t="n">
        <v>1000000000</v>
      </c>
      <c r="J205" s="95">
        <f>J204-E205</f>
        <v/>
      </c>
      <c r="K205" s="94" t="n">
        <v>60000000</v>
      </c>
      <c r="L205" s="94" t="n">
        <v>26790541.33</v>
      </c>
      <c r="M205" s="94" t="n">
        <v>3000000</v>
      </c>
      <c r="N205" s="94" t="n">
        <v>331179.8128000498</v>
      </c>
      <c r="O205" s="96">
        <f>IF(OR(I205="",J205="",L205="",N205=""),"",I205-J205-K205-L205-M205-N205)</f>
        <v/>
      </c>
      <c r="P205" s="91">
        <f>IF(OR(O205="",C205=""),"",O205*C205)</f>
        <v/>
      </c>
      <c r="Q205" s="69">
        <f>Q204-E205</f>
        <v/>
      </c>
      <c r="R205" s="97">
        <f>IF(OR(J205="",Q205=""),"",J205-Q205)</f>
        <v/>
      </c>
      <c r="S205" s="69">
        <f>IF(D205="",S204,S204+D205)</f>
        <v/>
      </c>
      <c r="T205" s="97">
        <f>IF(OR(L205="",S205=""),"",L205-S205)</f>
        <v/>
      </c>
      <c r="U205" s="69">
        <f>IF(F205="",U204,U204+F205)</f>
        <v/>
      </c>
      <c r="V205" s="97">
        <f>IF(OR(N205="",U205=""),"",N205-U205)</f>
        <v/>
      </c>
      <c r="W205" s="71">
        <f>IF(OR(C205="",C205=0,'Daily Data'!J205=""),"",'Daily Data'!J205/C205)</f>
        <v/>
      </c>
      <c r="X205" s="71">
        <f>IF(OR(C205="",C205=0,'Daily Data'!K205=""),"",'Daily Data'!K205/C205)</f>
        <v/>
      </c>
      <c r="Y205" s="71">
        <f>IF(OR(F205="",W205="",X205=""),"",F205-W205-X205)</f>
        <v/>
      </c>
      <c r="Z205" s="72" t="n">
        <v>365.02</v>
      </c>
      <c r="AA205" s="72" t="n">
        <v>64.42</v>
      </c>
      <c r="AB205" s="73">
        <f>Z205+AA205</f>
        <v/>
      </c>
      <c r="AC205" s="74">
        <f>IF(OR(E205="",E205=0,AB205=""),"",E205*365/(AB205*1000000))</f>
        <v/>
      </c>
      <c r="AD205" s="98">
        <f>IF(OR(O205="",O205=0,AB205=""),"",(AB205*1000000)/O205)</f>
        <v/>
      </c>
      <c r="AE205" s="99">
        <f>IF(H205="","",(Team_Genesis-H205)/1000000)</f>
        <v/>
      </c>
      <c r="AF205" s="99">
        <f>IF(OR(O205="",AE205=""),"",(O205-AE205*1000000)/1000000)</f>
        <v/>
      </c>
    </row>
    <row r="206">
      <c r="A206" s="35" t="n">
        <v>45860</v>
      </c>
      <c r="B206" s="90">
        <f>IF('Daily Data'!E206="","",'Daily Data'!E206)</f>
        <v/>
      </c>
      <c r="C206" s="65" t="n">
        <v>44.45</v>
      </c>
      <c r="D206" s="94" t="n">
        <v>97303.92</v>
      </c>
      <c r="E206" s="94" t="n">
        <v>26270.2379</v>
      </c>
      <c r="F206" s="94" t="n">
        <v>1351.9293</v>
      </c>
      <c r="G206" s="94" t="n"/>
      <c r="H206" s="95">
        <f>SUM($G$4:G206)</f>
        <v/>
      </c>
      <c r="I206" s="94" t="n">
        <v>1000000000</v>
      </c>
      <c r="J206" s="95">
        <f>J205-E206</f>
        <v/>
      </c>
      <c r="K206" s="94" t="n">
        <v>60000000</v>
      </c>
      <c r="L206" s="94" t="n">
        <v>26894757.84</v>
      </c>
      <c r="M206" s="94" t="n">
        <v>3000000</v>
      </c>
      <c r="N206" s="94" t="n">
        <v>332531.7421000004</v>
      </c>
      <c r="O206" s="96">
        <f>IF(OR(I206="",J206="",L206="",N206=""),"",I206-J206-K206-L206-M206-N206)</f>
        <v/>
      </c>
      <c r="P206" s="91">
        <f>IF(OR(O206="",C206=""),"",O206*C206)</f>
        <v/>
      </c>
      <c r="Q206" s="69">
        <f>Q205-E206</f>
        <v/>
      </c>
      <c r="R206" s="97">
        <f>IF(OR(J206="",Q206=""),"",J206-Q206)</f>
        <v/>
      </c>
      <c r="S206" s="69">
        <f>IF(D206="",S205,S205+D206)</f>
        <v/>
      </c>
      <c r="T206" s="97">
        <f>IF(OR(L206="",S206=""),"",L206-S206)</f>
        <v/>
      </c>
      <c r="U206" s="69">
        <f>IF(F206="",U205,U205+F206)</f>
        <v/>
      </c>
      <c r="V206" s="97">
        <f>IF(OR(N206="",U206=""),"",N206-U206)</f>
        <v/>
      </c>
      <c r="W206" s="71">
        <f>IF(OR(C206="",C206=0,'Daily Data'!J206=""),"",'Daily Data'!J206/C206)</f>
        <v/>
      </c>
      <c r="X206" s="71">
        <f>IF(OR(C206="",C206=0,'Daily Data'!K206=""),"",'Daily Data'!K206/C206)</f>
        <v/>
      </c>
      <c r="Y206" s="71">
        <f>IF(OR(F206="",W206="",X206=""),"",F206-W206-X206)</f>
        <v/>
      </c>
      <c r="Z206" s="72" t="n">
        <v>365.02</v>
      </c>
      <c r="AA206" s="72" t="n">
        <v>64.42</v>
      </c>
      <c r="AB206" s="73">
        <f>Z206+AA206</f>
        <v/>
      </c>
      <c r="AC206" s="74">
        <f>IF(OR(E206="",E206=0,AB206=""),"",E206*365/(AB206*1000000))</f>
        <v/>
      </c>
      <c r="AD206" s="98">
        <f>IF(OR(O206="",O206=0,AB206=""),"",(AB206*1000000)/O206)</f>
        <v/>
      </c>
      <c r="AE206" s="99">
        <f>IF(H206="","",(Team_Genesis-H206)/1000000)</f>
        <v/>
      </c>
      <c r="AF206" s="99">
        <f>IF(OR(O206="",AE206=""),"",(O206-AE206*1000000)/1000000)</f>
        <v/>
      </c>
    </row>
    <row r="207">
      <c r="A207" s="35" t="n">
        <v>45861</v>
      </c>
      <c r="B207" s="90">
        <f>IF('Daily Data'!E207="","",'Daily Data'!E207)</f>
        <v/>
      </c>
      <c r="C207" s="65" t="n">
        <v>45.68</v>
      </c>
      <c r="D207" s="94" t="n">
        <v>96327.11</v>
      </c>
      <c r="E207" s="94" t="n">
        <v>26260.0077</v>
      </c>
      <c r="F207" s="94" t="n">
        <v>1567.0252</v>
      </c>
      <c r="G207" s="94" t="n"/>
      <c r="H207" s="95">
        <f>SUM($G$4:G207)</f>
        <v/>
      </c>
      <c r="I207" s="94" t="n">
        <v>1000000000</v>
      </c>
      <c r="J207" s="95">
        <f>J206-E207</f>
        <v/>
      </c>
      <c r="K207" s="94" t="n">
        <v>60000000</v>
      </c>
      <c r="L207" s="94" t="n">
        <v>26980394.04</v>
      </c>
      <c r="M207" s="94" t="n">
        <v>3000000</v>
      </c>
      <c r="N207" s="94" t="n">
        <v>334098.7674000263</v>
      </c>
      <c r="O207" s="96">
        <f>IF(OR(I207="",J207="",L207="",N207=""),"",I207-J207-K207-L207-M207-N207)</f>
        <v/>
      </c>
      <c r="P207" s="91">
        <f>IF(OR(O207="",C207=""),"",O207*C207)</f>
        <v/>
      </c>
      <c r="Q207" s="69">
        <f>Q206-E207</f>
        <v/>
      </c>
      <c r="R207" s="97">
        <f>IF(OR(J207="",Q207=""),"",J207-Q207)</f>
        <v/>
      </c>
      <c r="S207" s="69">
        <f>IF(D207="",S206,S206+D207)</f>
        <v/>
      </c>
      <c r="T207" s="97">
        <f>IF(OR(L207="",S207=""),"",L207-S207)</f>
        <v/>
      </c>
      <c r="U207" s="69">
        <f>IF(F207="",U206,U206+F207)</f>
        <v/>
      </c>
      <c r="V207" s="97">
        <f>IF(OR(N207="",U207=""),"",N207-U207)</f>
        <v/>
      </c>
      <c r="W207" s="71">
        <f>IF(OR(C207="",C207=0,'Daily Data'!J207=""),"",'Daily Data'!J207/C207)</f>
        <v/>
      </c>
      <c r="X207" s="71">
        <f>IF(OR(C207="",C207=0,'Daily Data'!K207=""),"",'Daily Data'!K207/C207)</f>
        <v/>
      </c>
      <c r="Y207" s="71">
        <f>IF(OR(F207="",W207="",X207=""),"",F207-W207-X207)</f>
        <v/>
      </c>
      <c r="Z207" s="72" t="n">
        <v>365.02</v>
      </c>
      <c r="AA207" s="72" t="n">
        <v>64.42</v>
      </c>
      <c r="AB207" s="73">
        <f>Z207+AA207</f>
        <v/>
      </c>
      <c r="AC207" s="74">
        <f>IF(OR(E207="",E207=0,AB207=""),"",E207*365/(AB207*1000000))</f>
        <v/>
      </c>
      <c r="AD207" s="98">
        <f>IF(OR(O207="",O207=0,AB207=""),"",(AB207*1000000)/O207)</f>
        <v/>
      </c>
      <c r="AE207" s="99">
        <f>IF(H207="","",(Team_Genesis-H207)/1000000)</f>
        <v/>
      </c>
      <c r="AF207" s="99">
        <f>IF(OR(O207="",AE207=""),"",(O207-AE207*1000000)/1000000)</f>
        <v/>
      </c>
    </row>
    <row r="208">
      <c r="A208" s="35" t="n">
        <v>45862</v>
      </c>
      <c r="B208" s="90">
        <f>IF('Daily Data'!E208="","",'Daily Data'!E208)</f>
        <v/>
      </c>
      <c r="C208" s="65" t="n">
        <v>43.62</v>
      </c>
      <c r="D208" s="94" t="n">
        <v>85212.58</v>
      </c>
      <c r="E208" s="94" t="n">
        <v>26273.1</v>
      </c>
      <c r="F208" s="94" t="n">
        <v>1495.0699</v>
      </c>
      <c r="G208" s="94" t="n"/>
      <c r="H208" s="95">
        <f>SUM($G$4:G208)</f>
        <v/>
      </c>
      <c r="I208" s="94" t="n">
        <v>1000000000</v>
      </c>
      <c r="J208" s="95">
        <f>J207-E208</f>
        <v/>
      </c>
      <c r="K208" s="94" t="n">
        <v>60000000</v>
      </c>
      <c r="L208" s="94" t="n">
        <v>27094232.14</v>
      </c>
      <c r="M208" s="94" t="n">
        <v>3000000</v>
      </c>
      <c r="N208" s="94" t="n">
        <v>335593.837299943</v>
      </c>
      <c r="O208" s="96">
        <f>IF(OR(I208="",J208="",L208="",N208=""),"",I208-J208-K208-L208-M208-N208)</f>
        <v/>
      </c>
      <c r="P208" s="91">
        <f>IF(OR(O208="",C208=""),"",O208*C208)</f>
        <v/>
      </c>
      <c r="Q208" s="69">
        <f>Q207-E208</f>
        <v/>
      </c>
      <c r="R208" s="97">
        <f>IF(OR(J208="",Q208=""),"",J208-Q208)</f>
        <v/>
      </c>
      <c r="S208" s="69">
        <f>IF(D208="",S207,S207+D208)</f>
        <v/>
      </c>
      <c r="T208" s="97">
        <f>IF(OR(L208="",S208=""),"",L208-S208)</f>
        <v/>
      </c>
      <c r="U208" s="69">
        <f>IF(F208="",U207,U207+F208)</f>
        <v/>
      </c>
      <c r="V208" s="97">
        <f>IF(OR(N208="",U208=""),"",N208-U208)</f>
        <v/>
      </c>
      <c r="W208" s="71">
        <f>IF(OR(C208="",C208=0,'Daily Data'!J208=""),"",'Daily Data'!J208/C208)</f>
        <v/>
      </c>
      <c r="X208" s="71">
        <f>IF(OR(C208="",C208=0,'Daily Data'!K208=""),"",'Daily Data'!K208/C208)</f>
        <v/>
      </c>
      <c r="Y208" s="71">
        <f>IF(OR(F208="",W208="",X208=""),"",F208-W208-X208)</f>
        <v/>
      </c>
      <c r="Z208" s="72" t="n">
        <v>365.02</v>
      </c>
      <c r="AA208" s="72" t="n">
        <v>64.42</v>
      </c>
      <c r="AB208" s="73">
        <f>Z208+AA208</f>
        <v/>
      </c>
      <c r="AC208" s="74">
        <f>IF(OR(E208="",E208=0,AB208=""),"",E208*365/(AB208*1000000))</f>
        <v/>
      </c>
      <c r="AD208" s="98">
        <f>IF(OR(O208="",O208=0,AB208=""),"",(AB208*1000000)/O208)</f>
        <v/>
      </c>
      <c r="AE208" s="99">
        <f>IF(H208="","",(Team_Genesis-H208)/1000000)</f>
        <v/>
      </c>
      <c r="AF208" s="99">
        <f>IF(OR(O208="",AE208=""),"",(O208-AE208*1000000)/1000000)</f>
        <v/>
      </c>
    </row>
    <row r="209">
      <c r="A209" s="35" t="n">
        <v>45863</v>
      </c>
      <c r="B209" s="90">
        <f>IF('Daily Data'!E209="","",'Daily Data'!E209)</f>
        <v/>
      </c>
      <c r="C209" s="65" t="n">
        <v>41.83</v>
      </c>
      <c r="D209" s="94" t="n">
        <v>91651.09</v>
      </c>
      <c r="E209" s="94" t="n">
        <v>26270.6827</v>
      </c>
      <c r="F209" s="94" t="n">
        <v>2080.4413</v>
      </c>
      <c r="G209" s="94" t="n"/>
      <c r="H209" s="95">
        <f>SUM($G$4:G209)</f>
        <v/>
      </c>
      <c r="I209" s="94" t="n">
        <v>1000000000</v>
      </c>
      <c r="J209" s="95">
        <f>J208-E209</f>
        <v/>
      </c>
      <c r="K209" s="94" t="n">
        <v>60000000</v>
      </c>
      <c r="L209" s="94" t="n">
        <v>27194423.78</v>
      </c>
      <c r="M209" s="94" t="n">
        <v>3000000</v>
      </c>
      <c r="N209" s="94" t="n">
        <v>337674.2785999775</v>
      </c>
      <c r="O209" s="96">
        <f>IF(OR(I209="",J209="",L209="",N209=""),"",I209-J209-K209-L209-M209-N209)</f>
        <v/>
      </c>
      <c r="P209" s="91">
        <f>IF(OR(O209="",C209=""),"",O209*C209)</f>
        <v/>
      </c>
      <c r="Q209" s="69">
        <f>Q208-E209</f>
        <v/>
      </c>
      <c r="R209" s="97">
        <f>IF(OR(J209="",Q209=""),"",J209-Q209)</f>
        <v/>
      </c>
      <c r="S209" s="69">
        <f>IF(D209="",S208,S208+D209)</f>
        <v/>
      </c>
      <c r="T209" s="97">
        <f>IF(OR(L209="",S209=""),"",L209-S209)</f>
        <v/>
      </c>
      <c r="U209" s="69">
        <f>IF(F209="",U208,U208+F209)</f>
        <v/>
      </c>
      <c r="V209" s="97">
        <f>IF(OR(N209="",U209=""),"",N209-U209)</f>
        <v/>
      </c>
      <c r="W209" s="71">
        <f>IF(OR(C209="",C209=0,'Daily Data'!J209=""),"",'Daily Data'!J209/C209)</f>
        <v/>
      </c>
      <c r="X209" s="71">
        <f>IF(OR(C209="",C209=0,'Daily Data'!K209=""),"",'Daily Data'!K209/C209)</f>
        <v/>
      </c>
      <c r="Y209" s="71">
        <f>IF(OR(F209="",W209="",X209=""),"",F209-W209-X209)</f>
        <v/>
      </c>
      <c r="Z209" s="72" t="n">
        <v>365.02</v>
      </c>
      <c r="AA209" s="72" t="n">
        <v>64.42</v>
      </c>
      <c r="AB209" s="73">
        <f>Z209+AA209</f>
        <v/>
      </c>
      <c r="AC209" s="74">
        <f>IF(OR(E209="",E209=0,AB209=""),"",E209*365/(AB209*1000000))</f>
        <v/>
      </c>
      <c r="AD209" s="98">
        <f>IF(OR(O209="",O209=0,AB209=""),"",(AB209*1000000)/O209)</f>
        <v/>
      </c>
      <c r="AE209" s="99">
        <f>IF(H209="","",(Team_Genesis-H209)/1000000)</f>
        <v/>
      </c>
      <c r="AF209" s="99">
        <f>IF(OR(O209="",AE209=""),"",(O209-AE209*1000000)/1000000)</f>
        <v/>
      </c>
    </row>
    <row r="210">
      <c r="A210" s="35" t="n">
        <v>45864</v>
      </c>
      <c r="B210" s="90">
        <f>IF('Daily Data'!E210="","",'Daily Data'!E210)</f>
        <v/>
      </c>
      <c r="C210" s="65" t="n">
        <v>43.94</v>
      </c>
      <c r="D210" s="94" t="n">
        <v>45480.69</v>
      </c>
      <c r="E210" s="94" t="n">
        <v>26267.594</v>
      </c>
      <c r="F210" s="94" t="n">
        <v>620.5895</v>
      </c>
      <c r="G210" s="94" t="n"/>
      <c r="H210" s="95">
        <f>SUM($G$4:G210)</f>
        <v/>
      </c>
      <c r="I210" s="94" t="n">
        <v>1000000000</v>
      </c>
      <c r="J210" s="95">
        <f>J209-E210</f>
        <v/>
      </c>
      <c r="K210" s="94" t="n">
        <v>60000000</v>
      </c>
      <c r="L210" s="94" t="n">
        <v>27257117.78</v>
      </c>
      <c r="M210" s="94" t="n">
        <v>3000000</v>
      </c>
      <c r="N210" s="94" t="n">
        <v>338294.8681000471</v>
      </c>
      <c r="O210" s="96">
        <f>IF(OR(I210="",J210="",L210="",N210=""),"",I210-J210-K210-L210-M210-N210)</f>
        <v/>
      </c>
      <c r="P210" s="91">
        <f>IF(OR(O210="",C210=""),"",O210*C210)</f>
        <v/>
      </c>
      <c r="Q210" s="69">
        <f>Q209-E210</f>
        <v/>
      </c>
      <c r="R210" s="97">
        <f>IF(OR(J210="",Q210=""),"",J210-Q210)</f>
        <v/>
      </c>
      <c r="S210" s="69">
        <f>IF(D210="",S209,S209+D210)</f>
        <v/>
      </c>
      <c r="T210" s="97">
        <f>IF(OR(L210="",S210=""),"",L210-S210)</f>
        <v/>
      </c>
      <c r="U210" s="69">
        <f>IF(F210="",U209,U209+F210)</f>
        <v/>
      </c>
      <c r="V210" s="97">
        <f>IF(OR(N210="",U210=""),"",N210-U210)</f>
        <v/>
      </c>
      <c r="W210" s="71">
        <f>IF(OR(C210="",C210=0,'Daily Data'!J210=""),"",'Daily Data'!J210/C210)</f>
        <v/>
      </c>
      <c r="X210" s="71">
        <f>IF(OR(C210="",C210=0,'Daily Data'!K210=""),"",'Daily Data'!K210/C210)</f>
        <v/>
      </c>
      <c r="Y210" s="71">
        <f>IF(OR(F210="",W210="",X210=""),"",F210-W210-X210)</f>
        <v/>
      </c>
      <c r="Z210" s="72" t="n">
        <v>365.02</v>
      </c>
      <c r="AA210" s="72" t="n">
        <v>64.42</v>
      </c>
      <c r="AB210" s="73">
        <f>Z210+AA210</f>
        <v/>
      </c>
      <c r="AC210" s="74">
        <f>IF(OR(E210="",E210=0,AB210=""),"",E210*365/(AB210*1000000))</f>
        <v/>
      </c>
      <c r="AD210" s="98">
        <f>IF(OR(O210="",O210=0,AB210=""),"",(AB210*1000000)/O210)</f>
        <v/>
      </c>
      <c r="AE210" s="99">
        <f>IF(H210="","",(Team_Genesis-H210)/1000000)</f>
        <v/>
      </c>
      <c r="AF210" s="99">
        <f>IF(OR(O210="",AE210=""),"",(O210-AE210*1000000)/1000000)</f>
        <v/>
      </c>
    </row>
    <row r="211">
      <c r="A211" s="35" t="n">
        <v>45865</v>
      </c>
      <c r="B211" s="90">
        <f>IF('Daily Data'!E211="","",'Daily Data'!E211)</f>
        <v/>
      </c>
      <c r="C211" s="65" t="n">
        <v>43.43</v>
      </c>
      <c r="D211" s="94" t="n">
        <v>48885.03</v>
      </c>
      <c r="E211" s="94" t="n">
        <v>26273.9549</v>
      </c>
      <c r="F211" s="94" t="n">
        <v>1027.789</v>
      </c>
      <c r="G211" s="94" t="n"/>
      <c r="H211" s="95">
        <f>SUM($G$4:G211)</f>
        <v/>
      </c>
      <c r="I211" s="94" t="n">
        <v>1000000000</v>
      </c>
      <c r="J211" s="95">
        <f>J210-E211</f>
        <v/>
      </c>
      <c r="K211" s="94" t="n">
        <v>60000000</v>
      </c>
      <c r="L211" s="94" t="n">
        <v>27288584.56</v>
      </c>
      <c r="M211" s="94" t="n">
        <v>3000000</v>
      </c>
      <c r="N211" s="94" t="n">
        <v>339322.6570999622</v>
      </c>
      <c r="O211" s="96">
        <f>IF(OR(I211="",J211="",L211="",N211=""),"",I211-J211-K211-L211-M211-N211)</f>
        <v/>
      </c>
      <c r="P211" s="91">
        <f>IF(OR(O211="",C211=""),"",O211*C211)</f>
        <v/>
      </c>
      <c r="Q211" s="69">
        <f>Q210-E211</f>
        <v/>
      </c>
      <c r="R211" s="97">
        <f>IF(OR(J211="",Q211=""),"",J211-Q211)</f>
        <v/>
      </c>
      <c r="S211" s="69">
        <f>IF(D211="",S210,S210+D211)</f>
        <v/>
      </c>
      <c r="T211" s="97">
        <f>IF(OR(L211="",S211=""),"",L211-S211)</f>
        <v/>
      </c>
      <c r="U211" s="69">
        <f>IF(F211="",U210,U210+F211)</f>
        <v/>
      </c>
      <c r="V211" s="97">
        <f>IF(OR(N211="",U211=""),"",N211-U211)</f>
        <v/>
      </c>
      <c r="W211" s="71">
        <f>IF(OR(C211="",C211=0,'Daily Data'!J211=""),"",'Daily Data'!J211/C211)</f>
        <v/>
      </c>
      <c r="X211" s="71">
        <f>IF(OR(C211="",C211=0,'Daily Data'!K211=""),"",'Daily Data'!K211/C211)</f>
        <v/>
      </c>
      <c r="Y211" s="71">
        <f>IF(OR(F211="",W211="",X211=""),"",F211-W211-X211)</f>
        <v/>
      </c>
      <c r="Z211" s="72" t="n">
        <v>365.02</v>
      </c>
      <c r="AA211" s="72" t="n">
        <v>64.42</v>
      </c>
      <c r="AB211" s="73">
        <f>Z211+AA211</f>
        <v/>
      </c>
      <c r="AC211" s="74">
        <f>IF(OR(E211="",E211=0,AB211=""),"",E211*365/(AB211*1000000))</f>
        <v/>
      </c>
      <c r="AD211" s="98">
        <f>IF(OR(O211="",O211=0,AB211=""),"",(AB211*1000000)/O211)</f>
        <v/>
      </c>
      <c r="AE211" s="99">
        <f>IF(H211="","",(Team_Genesis-H211)/1000000)</f>
        <v/>
      </c>
      <c r="AF211" s="99">
        <f>IF(OR(O211="",AE211=""),"",(O211-AE211*1000000)/1000000)</f>
        <v/>
      </c>
    </row>
    <row r="212">
      <c r="A212" s="35" t="n">
        <v>45866</v>
      </c>
      <c r="B212" s="90">
        <f>IF('Daily Data'!E212="","",'Daily Data'!E212)</f>
        <v/>
      </c>
      <c r="C212" s="65" t="n">
        <v>43.77</v>
      </c>
      <c r="D212" s="94" t="n">
        <v>74785.14999999999</v>
      </c>
      <c r="E212" s="94" t="n">
        <v>25503.8166</v>
      </c>
      <c r="F212" s="94" t="n">
        <v>415.4104</v>
      </c>
      <c r="G212" s="94" t="n"/>
      <c r="H212" s="95">
        <f>SUM($G$4:G212)</f>
        <v/>
      </c>
      <c r="I212" s="94" t="n">
        <v>1000000000</v>
      </c>
      <c r="J212" s="95">
        <f>J211-E212</f>
        <v/>
      </c>
      <c r="K212" s="94" t="n">
        <v>60000000</v>
      </c>
      <c r="L212" s="94" t="n">
        <v>27345959.54</v>
      </c>
      <c r="M212" s="94" t="n">
        <v>3000000</v>
      </c>
      <c r="N212" s="94" t="n">
        <v>339738.0674999952</v>
      </c>
      <c r="O212" s="96">
        <f>IF(OR(I212="",J212="",L212="",N212=""),"",I212-J212-K212-L212-M212-N212)</f>
        <v/>
      </c>
      <c r="P212" s="91">
        <f>IF(OR(O212="",C212=""),"",O212*C212)</f>
        <v/>
      </c>
      <c r="Q212" s="69">
        <f>Q211-E212</f>
        <v/>
      </c>
      <c r="R212" s="97">
        <f>IF(OR(J212="",Q212=""),"",J212-Q212)</f>
        <v/>
      </c>
      <c r="S212" s="69">
        <f>IF(D212="",S211,S211+D212)</f>
        <v/>
      </c>
      <c r="T212" s="97">
        <f>IF(OR(L212="",S212=""),"",L212-S212)</f>
        <v/>
      </c>
      <c r="U212" s="69">
        <f>IF(F212="",U211,U211+F212)</f>
        <v/>
      </c>
      <c r="V212" s="97">
        <f>IF(OR(N212="",U212=""),"",N212-U212)</f>
        <v/>
      </c>
      <c r="W212" s="71">
        <f>IF(OR(C212="",C212=0,'Daily Data'!J212=""),"",'Daily Data'!J212/C212)</f>
        <v/>
      </c>
      <c r="X212" s="71">
        <f>IF(OR(C212="",C212=0,'Daily Data'!K212=""),"",'Daily Data'!K212/C212)</f>
        <v/>
      </c>
      <c r="Y212" s="71">
        <f>IF(OR(F212="",W212="",X212=""),"",F212-W212-X212)</f>
        <v/>
      </c>
      <c r="Z212" s="72" t="n">
        <v>365.02</v>
      </c>
      <c r="AA212" s="72" t="n">
        <v>64.42</v>
      </c>
      <c r="AB212" s="73">
        <f>Z212+AA212</f>
        <v/>
      </c>
      <c r="AC212" s="74">
        <f>IF(OR(E212="",E212=0,AB212=""),"",E212*365/(AB212*1000000))</f>
        <v/>
      </c>
      <c r="AD212" s="98">
        <f>IF(OR(O212="",O212=0,AB212=""),"",(AB212*1000000)/O212)</f>
        <v/>
      </c>
      <c r="AE212" s="99">
        <f>IF(H212="","",(Team_Genesis-H212)/1000000)</f>
        <v/>
      </c>
      <c r="AF212" s="99">
        <f>IF(OR(O212="",AE212=""),"",(O212-AE212*1000000)/1000000)</f>
        <v/>
      </c>
    </row>
    <row r="213">
      <c r="A213" s="35" t="n">
        <v>45867</v>
      </c>
      <c r="B213" s="90">
        <f>IF('Daily Data'!E213="","",'Daily Data'!E213)</f>
        <v/>
      </c>
      <c r="C213" s="65" t="n">
        <v>44.04</v>
      </c>
      <c r="D213" s="94" t="n">
        <v>71034.64999999999</v>
      </c>
      <c r="E213" s="94" t="n">
        <v>26215.6556</v>
      </c>
      <c r="F213" s="94" t="n">
        <v>1482.5447</v>
      </c>
      <c r="G213" s="94" t="n"/>
      <c r="H213" s="95">
        <f>SUM($G$4:G213)</f>
        <v/>
      </c>
      <c r="I213" s="94" t="n">
        <v>1000000000</v>
      </c>
      <c r="J213" s="95">
        <f>J212-E213</f>
        <v/>
      </c>
      <c r="K213" s="94" t="n">
        <v>60000000</v>
      </c>
      <c r="L213" s="94" t="n">
        <v>27416511.56</v>
      </c>
      <c r="M213" s="94" t="n">
        <v>3000000</v>
      </c>
      <c r="N213" s="94" t="n">
        <v>341220.6123000383</v>
      </c>
      <c r="O213" s="96">
        <f>IF(OR(I213="",J213="",L213="",N213=""),"",I213-J213-K213-L213-M213-N213)</f>
        <v/>
      </c>
      <c r="P213" s="91">
        <f>IF(OR(O213="",C213=""),"",O213*C213)</f>
        <v/>
      </c>
      <c r="Q213" s="69">
        <f>Q212-E213</f>
        <v/>
      </c>
      <c r="R213" s="97">
        <f>IF(OR(J213="",Q213=""),"",J213-Q213)</f>
        <v/>
      </c>
      <c r="S213" s="69">
        <f>IF(D213="",S212,S212+D213)</f>
        <v/>
      </c>
      <c r="T213" s="97">
        <f>IF(OR(L213="",S213=""),"",L213-S213)</f>
        <v/>
      </c>
      <c r="U213" s="69">
        <f>IF(F213="",U212,U212+F213)</f>
        <v/>
      </c>
      <c r="V213" s="97">
        <f>IF(OR(N213="",U213=""),"",N213-U213)</f>
        <v/>
      </c>
      <c r="W213" s="71">
        <f>IF(OR(C213="",C213=0,'Daily Data'!J213=""),"",'Daily Data'!J213/C213)</f>
        <v/>
      </c>
      <c r="X213" s="71">
        <f>IF(OR(C213="",C213=0,'Daily Data'!K213=""),"",'Daily Data'!K213/C213)</f>
        <v/>
      </c>
      <c r="Y213" s="71">
        <f>IF(OR(F213="",W213="",X213=""),"",F213-W213-X213)</f>
        <v/>
      </c>
      <c r="Z213" s="72" t="n">
        <v>365.02</v>
      </c>
      <c r="AA213" s="72" t="n">
        <v>64.42</v>
      </c>
      <c r="AB213" s="73">
        <f>Z213+AA213</f>
        <v/>
      </c>
      <c r="AC213" s="74">
        <f>IF(OR(E213="",E213=0,AB213=""),"",E213*365/(AB213*1000000))</f>
        <v/>
      </c>
      <c r="AD213" s="98">
        <f>IF(OR(O213="",O213=0,AB213=""),"",(AB213*1000000)/O213)</f>
        <v/>
      </c>
      <c r="AE213" s="99">
        <f>IF(H213="","",(Team_Genesis-H213)/1000000)</f>
        <v/>
      </c>
      <c r="AF213" s="99">
        <f>IF(OR(O213="",AE213=""),"",(O213-AE213*1000000)/1000000)</f>
        <v/>
      </c>
    </row>
    <row r="214">
      <c r="A214" s="35" t="n">
        <v>45868</v>
      </c>
      <c r="B214" s="90">
        <f>IF('Daily Data'!E214="","",'Daily Data'!E214)</f>
        <v/>
      </c>
      <c r="C214" s="65" t="n">
        <v>43.41</v>
      </c>
      <c r="D214" s="94" t="n">
        <v>63587.22</v>
      </c>
      <c r="E214" s="94" t="n">
        <v>26279.9993</v>
      </c>
      <c r="F214" s="94" t="n">
        <v>1630.932</v>
      </c>
      <c r="G214" s="94" t="n"/>
      <c r="H214" s="95">
        <f>SUM($G$4:G214)</f>
        <v/>
      </c>
      <c r="I214" s="94" t="n">
        <v>1000000000</v>
      </c>
      <c r="J214" s="95">
        <f>J213-E214</f>
        <v/>
      </c>
      <c r="K214" s="94" t="n">
        <v>60000000</v>
      </c>
      <c r="L214" s="94" t="n">
        <v>27487010.24</v>
      </c>
      <c r="M214" s="94" t="n">
        <v>3000000</v>
      </c>
      <c r="N214" s="94" t="n">
        <v>342851.5441999435</v>
      </c>
      <c r="O214" s="96">
        <f>IF(OR(I214="",J214="",L214="",N214=""),"",I214-J214-K214-L214-M214-N214)</f>
        <v/>
      </c>
      <c r="P214" s="91">
        <f>IF(OR(O214="",C214=""),"",O214*C214)</f>
        <v/>
      </c>
      <c r="Q214" s="69">
        <f>Q213-E214</f>
        <v/>
      </c>
      <c r="R214" s="97">
        <f>IF(OR(J214="",Q214=""),"",J214-Q214)</f>
        <v/>
      </c>
      <c r="S214" s="69">
        <f>IF(D214="",S213,S213+D214)</f>
        <v/>
      </c>
      <c r="T214" s="97">
        <f>IF(OR(L214="",S214=""),"",L214-S214)</f>
        <v/>
      </c>
      <c r="U214" s="69">
        <f>IF(F214="",U213,U213+F214)</f>
        <v/>
      </c>
      <c r="V214" s="97">
        <f>IF(OR(N214="",U214=""),"",N214-U214)</f>
        <v/>
      </c>
      <c r="W214" s="71">
        <f>IF(OR(C214="",C214=0,'Daily Data'!J214=""),"",'Daily Data'!J214/C214)</f>
        <v/>
      </c>
      <c r="X214" s="71">
        <f>IF(OR(C214="",C214=0,'Daily Data'!K214=""),"",'Daily Data'!K214/C214)</f>
        <v/>
      </c>
      <c r="Y214" s="71">
        <f>IF(OR(F214="",W214="",X214=""),"",F214-W214-X214)</f>
        <v/>
      </c>
      <c r="Z214" s="72" t="n">
        <v>365.02</v>
      </c>
      <c r="AA214" s="72" t="n">
        <v>64.42</v>
      </c>
      <c r="AB214" s="73">
        <f>Z214+AA214</f>
        <v/>
      </c>
      <c r="AC214" s="74">
        <f>IF(OR(E214="",E214=0,AB214=""),"",E214*365/(AB214*1000000))</f>
        <v/>
      </c>
      <c r="AD214" s="98">
        <f>IF(OR(O214="",O214=0,AB214=""),"",(AB214*1000000)/O214)</f>
        <v/>
      </c>
      <c r="AE214" s="99">
        <f>IF(H214="","",(Team_Genesis-H214)/1000000)</f>
        <v/>
      </c>
      <c r="AF214" s="99">
        <f>IF(OR(O214="",AE214=""),"",(O214-AE214*1000000)/1000000)</f>
        <v/>
      </c>
    </row>
    <row r="215">
      <c r="A215" s="35" t="n">
        <v>45869</v>
      </c>
      <c r="B215" s="90">
        <f>IF('Daily Data'!E215="","",'Daily Data'!E215)</f>
        <v/>
      </c>
      <c r="C215" s="65" t="n">
        <v>42.21</v>
      </c>
      <c r="D215" s="94" t="n">
        <v>74193.64999999999</v>
      </c>
      <c r="E215" s="94" t="n">
        <v>26380.5006</v>
      </c>
      <c r="F215" s="94" t="n">
        <v>1477.7298</v>
      </c>
      <c r="G215" s="94" t="n"/>
      <c r="H215" s="95">
        <f>SUM($G$4:G215)</f>
        <v/>
      </c>
      <c r="I215" s="94" t="n">
        <v>1000000000</v>
      </c>
      <c r="J215" s="95">
        <f>J214-E215</f>
        <v/>
      </c>
      <c r="K215" s="94" t="n">
        <v>60000000</v>
      </c>
      <c r="L215" s="94" t="n">
        <v>27552679.16</v>
      </c>
      <c r="M215" s="94" t="n">
        <v>3000000</v>
      </c>
      <c r="N215" s="94" t="n">
        <v>344329.274099946</v>
      </c>
      <c r="O215" s="96">
        <f>IF(OR(I215="",J215="",L215="",N215=""),"",I215-J215-K215-L215-M215-N215)</f>
        <v/>
      </c>
      <c r="P215" s="91">
        <f>IF(OR(O215="",C215=""),"",O215*C215)</f>
        <v/>
      </c>
      <c r="Q215" s="69">
        <f>Q214-E215</f>
        <v/>
      </c>
      <c r="R215" s="97">
        <f>IF(OR(J215="",Q215=""),"",J215-Q215)</f>
        <v/>
      </c>
      <c r="S215" s="69">
        <f>IF(D215="",S214,S214+D215)</f>
        <v/>
      </c>
      <c r="T215" s="97">
        <f>IF(OR(L215="",S215=""),"",L215-S215)</f>
        <v/>
      </c>
      <c r="U215" s="69">
        <f>IF(F215="",U214,U214+F215)</f>
        <v/>
      </c>
      <c r="V215" s="97">
        <f>IF(OR(N215="",U215=""),"",N215-U215)</f>
        <v/>
      </c>
      <c r="W215" s="71">
        <f>IF(OR(C215="",C215=0,'Daily Data'!J215=""),"",'Daily Data'!J215/C215)</f>
        <v/>
      </c>
      <c r="X215" s="71">
        <f>IF(OR(C215="",C215=0,'Daily Data'!K215=""),"",'Daily Data'!K215/C215)</f>
        <v/>
      </c>
      <c r="Y215" s="71">
        <f>IF(OR(F215="",W215="",X215=""),"",F215-W215-X215)</f>
        <v/>
      </c>
      <c r="Z215" s="72" t="n">
        <v>365.02</v>
      </c>
      <c r="AA215" s="72" t="n">
        <v>64.42</v>
      </c>
      <c r="AB215" s="73">
        <f>Z215+AA215</f>
        <v/>
      </c>
      <c r="AC215" s="74">
        <f>IF(OR(E215="",E215=0,AB215=""),"",E215*365/(AB215*1000000))</f>
        <v/>
      </c>
      <c r="AD215" s="98">
        <f>IF(OR(O215="",O215=0,AB215=""),"",(AB215*1000000)/O215)</f>
        <v/>
      </c>
      <c r="AE215" s="99">
        <f>IF(H215="","",(Team_Genesis-H215)/1000000)</f>
        <v/>
      </c>
      <c r="AF215" s="99">
        <f>IF(OR(O215="",AE215=""),"",(O215-AE215*1000000)/1000000)</f>
        <v/>
      </c>
    </row>
    <row r="216">
      <c r="A216" s="35" t="n">
        <v>45870</v>
      </c>
      <c r="B216" s="90">
        <f>IF('Daily Data'!E216="","",'Daily Data'!E216)</f>
        <v/>
      </c>
      <c r="C216" s="65" t="n">
        <v>40.34</v>
      </c>
      <c r="D216" s="94" t="n">
        <v>120637.42</v>
      </c>
      <c r="E216" s="94" t="n">
        <v>26361.4326</v>
      </c>
      <c r="F216" s="94" t="n">
        <v>1012.4622</v>
      </c>
      <c r="G216" s="94" t="n"/>
      <c r="H216" s="95">
        <f>SUM($G$4:G216)</f>
        <v/>
      </c>
      <c r="I216" s="94" t="n">
        <v>1000000000</v>
      </c>
      <c r="J216" s="95">
        <f>J215-E216</f>
        <v/>
      </c>
      <c r="K216" s="94" t="n">
        <v>60000000</v>
      </c>
      <c r="L216" s="94" t="n">
        <v>27649852.82</v>
      </c>
      <c r="M216" s="94" t="n">
        <v>3000000</v>
      </c>
      <c r="N216" s="94" t="n">
        <v>345341.736199975</v>
      </c>
      <c r="O216" s="96">
        <f>IF(OR(I216="",J216="",L216="",N216=""),"",I216-J216-K216-L216-M216-N216)</f>
        <v/>
      </c>
      <c r="P216" s="91">
        <f>IF(OR(O216="",C216=""),"",O216*C216)</f>
        <v/>
      </c>
      <c r="Q216" s="69">
        <f>Q215-E216</f>
        <v/>
      </c>
      <c r="R216" s="97">
        <f>IF(OR(J216="",Q216=""),"",J216-Q216)</f>
        <v/>
      </c>
      <c r="S216" s="69">
        <f>IF(D216="",S215,S215+D216)</f>
        <v/>
      </c>
      <c r="T216" s="97">
        <f>IF(OR(L216="",S216=""),"",L216-S216)</f>
        <v/>
      </c>
      <c r="U216" s="69">
        <f>IF(F216="",U215,U215+F216)</f>
        <v/>
      </c>
      <c r="V216" s="97">
        <f>IF(OR(N216="",U216=""),"",N216-U216)</f>
        <v/>
      </c>
      <c r="W216" s="71">
        <f>IF(OR(C216="",C216=0,'Daily Data'!J216=""),"",'Daily Data'!J216/C216)</f>
        <v/>
      </c>
      <c r="X216" s="71">
        <f>IF(OR(C216="",C216=0,'Daily Data'!K216=""),"",'Daily Data'!K216/C216)</f>
        <v/>
      </c>
      <c r="Y216" s="71">
        <f>IF(OR(F216="",W216="",X216=""),"",F216-W216-X216)</f>
        <v/>
      </c>
      <c r="Z216" s="72" t="n">
        <v>369.69</v>
      </c>
      <c r="AA216" s="72" t="n">
        <v>65.23999999999999</v>
      </c>
      <c r="AB216" s="73">
        <f>Z216+AA216</f>
        <v/>
      </c>
      <c r="AC216" s="74">
        <f>IF(OR(E216="",E216=0,AB216=""),"",E216*365/(AB216*1000000))</f>
        <v/>
      </c>
      <c r="AD216" s="98">
        <f>IF(OR(O216="",O216=0,AB216=""),"",(AB216*1000000)/O216)</f>
        <v/>
      </c>
      <c r="AE216" s="99">
        <f>IF(H216="","",(Team_Genesis-H216)/1000000)</f>
        <v/>
      </c>
      <c r="AF216" s="99">
        <f>IF(OR(O216="",AE216=""),"",(O216-AE216*1000000)/1000000)</f>
        <v/>
      </c>
    </row>
    <row r="217">
      <c r="A217" s="35" t="n">
        <v>45871</v>
      </c>
      <c r="B217" s="90">
        <f>IF('Daily Data'!E217="","",'Daily Data'!E217)</f>
        <v/>
      </c>
      <c r="C217" s="65" t="n">
        <v>37.6</v>
      </c>
      <c r="D217" s="94" t="n">
        <v>62168.17</v>
      </c>
      <c r="E217" s="94" t="n">
        <v>26277.6015</v>
      </c>
      <c r="F217" s="94" t="n">
        <v>1602.8112</v>
      </c>
      <c r="G217" s="94" t="n"/>
      <c r="H217" s="95">
        <f>SUM($G$4:G217)</f>
        <v/>
      </c>
      <c r="I217" s="94" t="n">
        <v>1000000000</v>
      </c>
      <c r="J217" s="95">
        <f>J216-E217</f>
        <v/>
      </c>
      <c r="K217" s="94" t="n">
        <v>60000000</v>
      </c>
      <c r="L217" s="94" t="n">
        <v>27747374.36</v>
      </c>
      <c r="M217" s="94" t="n">
        <v>3000000</v>
      </c>
      <c r="N217" s="94" t="n">
        <v>346944.5473999977</v>
      </c>
      <c r="O217" s="96">
        <f>IF(OR(I217="",J217="",L217="",N217=""),"",I217-J217-K217-L217-M217-N217)</f>
        <v/>
      </c>
      <c r="P217" s="91">
        <f>IF(OR(O217="",C217=""),"",O217*C217)</f>
        <v/>
      </c>
      <c r="Q217" s="69">
        <f>Q216-E217</f>
        <v/>
      </c>
      <c r="R217" s="97">
        <f>IF(OR(J217="",Q217=""),"",J217-Q217)</f>
        <v/>
      </c>
      <c r="S217" s="69">
        <f>IF(D217="",S216,S216+D217)</f>
        <v/>
      </c>
      <c r="T217" s="97">
        <f>IF(OR(L217="",S217=""),"",L217-S217)</f>
        <v/>
      </c>
      <c r="U217" s="69">
        <f>IF(F217="",U216,U216+F217)</f>
        <v/>
      </c>
      <c r="V217" s="97">
        <f>IF(OR(N217="",U217=""),"",N217-U217)</f>
        <v/>
      </c>
      <c r="W217" s="71">
        <f>IF(OR(C217="",C217=0,'Daily Data'!J217=""),"",'Daily Data'!J217/C217)</f>
        <v/>
      </c>
      <c r="X217" s="71">
        <f>IF(OR(C217="",C217=0,'Daily Data'!K217=""),"",'Daily Data'!K217/C217)</f>
        <v/>
      </c>
      <c r="Y217" s="71">
        <f>IF(OR(F217="",W217="",X217=""),"",F217-W217-X217)</f>
        <v/>
      </c>
      <c r="Z217" s="72" t="n">
        <v>369.69</v>
      </c>
      <c r="AA217" s="72" t="n">
        <v>65.23999999999999</v>
      </c>
      <c r="AB217" s="73">
        <f>Z217+AA217</f>
        <v/>
      </c>
      <c r="AC217" s="74">
        <f>IF(OR(E217="",E217=0,AB217=""),"",E217*365/(AB217*1000000))</f>
        <v/>
      </c>
      <c r="AD217" s="98">
        <f>IF(OR(O217="",O217=0,AB217=""),"",(AB217*1000000)/O217)</f>
        <v/>
      </c>
      <c r="AE217" s="99">
        <f>IF(H217="","",(Team_Genesis-H217)/1000000)</f>
        <v/>
      </c>
      <c r="AF217" s="99">
        <f>IF(OR(O217="",AE217=""),"",(O217-AE217*1000000)/1000000)</f>
        <v/>
      </c>
    </row>
    <row r="218">
      <c r="A218" s="35" t="n">
        <v>45872</v>
      </c>
      <c r="B218" s="90">
        <f>IF('Daily Data'!E218="","",'Daily Data'!E218)</f>
        <v/>
      </c>
      <c r="C218" s="65" t="n">
        <v>36.91</v>
      </c>
      <c r="D218" s="94" t="n">
        <v>41619.99</v>
      </c>
      <c r="E218" s="94" t="n">
        <v>26043.8984</v>
      </c>
      <c r="F218" s="94" t="n">
        <v>723.8625</v>
      </c>
      <c r="G218" s="94" t="n"/>
      <c r="H218" s="95">
        <f>SUM($G$4:G218)</f>
        <v/>
      </c>
      <c r="I218" s="94" t="n">
        <v>1000000000</v>
      </c>
      <c r="J218" s="95">
        <f>J217-E218</f>
        <v/>
      </c>
      <c r="K218" s="94" t="n">
        <v>60000000</v>
      </c>
      <c r="L218" s="94" t="n">
        <v>27805030.63</v>
      </c>
      <c r="M218" s="94" t="n">
        <v>3000000</v>
      </c>
      <c r="N218" s="94" t="n">
        <v>347668.40989995</v>
      </c>
      <c r="O218" s="96">
        <f>IF(OR(I218="",J218="",L218="",N218=""),"",I218-J218-K218-L218-M218-N218)</f>
        <v/>
      </c>
      <c r="P218" s="91">
        <f>IF(OR(O218="",C218=""),"",O218*C218)</f>
        <v/>
      </c>
      <c r="Q218" s="69">
        <f>Q217-E218</f>
        <v/>
      </c>
      <c r="R218" s="97">
        <f>IF(OR(J218="",Q218=""),"",J218-Q218)</f>
        <v/>
      </c>
      <c r="S218" s="69">
        <f>IF(D218="",S217,S217+D218)</f>
        <v/>
      </c>
      <c r="T218" s="97">
        <f>IF(OR(L218="",S218=""),"",L218-S218)</f>
        <v/>
      </c>
      <c r="U218" s="69">
        <f>IF(F218="",U217,U217+F218)</f>
        <v/>
      </c>
      <c r="V218" s="97">
        <f>IF(OR(N218="",U218=""),"",N218-U218)</f>
        <v/>
      </c>
      <c r="W218" s="71">
        <f>IF(OR(C218="",C218=0,'Daily Data'!J218=""),"",'Daily Data'!J218/C218)</f>
        <v/>
      </c>
      <c r="X218" s="71">
        <f>IF(OR(C218="",C218=0,'Daily Data'!K218=""),"",'Daily Data'!K218/C218)</f>
        <v/>
      </c>
      <c r="Y218" s="71">
        <f>IF(OR(F218="",W218="",X218=""),"",F218-W218-X218)</f>
        <v/>
      </c>
      <c r="Z218" s="72" t="n">
        <v>369.69</v>
      </c>
      <c r="AA218" s="72" t="n">
        <v>65.23999999999999</v>
      </c>
      <c r="AB218" s="73">
        <f>Z218+AA218</f>
        <v/>
      </c>
      <c r="AC218" s="74">
        <f>IF(OR(E218="",E218=0,AB218=""),"",E218*365/(AB218*1000000))</f>
        <v/>
      </c>
      <c r="AD218" s="98">
        <f>IF(OR(O218="",O218=0,AB218=""),"",(AB218*1000000)/O218)</f>
        <v/>
      </c>
      <c r="AE218" s="99">
        <f>IF(H218="","",(Team_Genesis-H218)/1000000)</f>
        <v/>
      </c>
      <c r="AF218" s="99">
        <f>IF(OR(O218="",AE218=""),"",(O218-AE218*1000000)/1000000)</f>
        <v/>
      </c>
    </row>
    <row r="219">
      <c r="A219" s="35" t="n">
        <v>45873</v>
      </c>
      <c r="B219" s="90">
        <f>IF('Daily Data'!E219="","",'Daily Data'!E219)</f>
        <v/>
      </c>
      <c r="C219" s="65" t="n">
        <v>38.11</v>
      </c>
      <c r="D219" s="94" t="n">
        <v>63755.37</v>
      </c>
      <c r="E219" s="94" t="n">
        <v>26395.5924</v>
      </c>
      <c r="F219" s="94" t="n">
        <v>552.175</v>
      </c>
      <c r="G219" s="94" t="n"/>
      <c r="H219" s="95">
        <f>SUM($G$4:G219)</f>
        <v/>
      </c>
      <c r="I219" s="94" t="n">
        <v>1000000000</v>
      </c>
      <c r="J219" s="95">
        <f>J218-E219</f>
        <v/>
      </c>
      <c r="K219" s="94" t="n">
        <v>60000000</v>
      </c>
      <c r="L219" s="94" t="n">
        <v>27844267.3</v>
      </c>
      <c r="M219" s="94" t="n">
        <v>3000000</v>
      </c>
      <c r="N219" s="94" t="n">
        <v>348220.5849000216</v>
      </c>
      <c r="O219" s="96">
        <f>IF(OR(I219="",J219="",L219="",N219=""),"",I219-J219-K219-L219-M219-N219)</f>
        <v/>
      </c>
      <c r="P219" s="91">
        <f>IF(OR(O219="",C219=""),"",O219*C219)</f>
        <v/>
      </c>
      <c r="Q219" s="69">
        <f>Q218-E219</f>
        <v/>
      </c>
      <c r="R219" s="97">
        <f>IF(OR(J219="",Q219=""),"",J219-Q219)</f>
        <v/>
      </c>
      <c r="S219" s="69">
        <f>IF(D219="",S218,S218+D219)</f>
        <v/>
      </c>
      <c r="T219" s="97">
        <f>IF(OR(L219="",S219=""),"",L219-S219)</f>
        <v/>
      </c>
      <c r="U219" s="69">
        <f>IF(F219="",U218,U218+F219)</f>
        <v/>
      </c>
      <c r="V219" s="97">
        <f>IF(OR(N219="",U219=""),"",N219-U219)</f>
        <v/>
      </c>
      <c r="W219" s="71">
        <f>IF(OR(C219="",C219=0,'Daily Data'!J219=""),"",'Daily Data'!J219/C219)</f>
        <v/>
      </c>
      <c r="X219" s="71">
        <f>IF(OR(C219="",C219=0,'Daily Data'!K219=""),"",'Daily Data'!K219/C219)</f>
        <v/>
      </c>
      <c r="Y219" s="71">
        <f>IF(OR(F219="",W219="",X219=""),"",F219-W219-X219)</f>
        <v/>
      </c>
      <c r="Z219" s="72" t="n">
        <v>369.69</v>
      </c>
      <c r="AA219" s="72" t="n">
        <v>65.23999999999999</v>
      </c>
      <c r="AB219" s="73">
        <f>Z219+AA219</f>
        <v/>
      </c>
      <c r="AC219" s="74">
        <f>IF(OR(E219="",E219=0,AB219=""),"",E219*365/(AB219*1000000))</f>
        <v/>
      </c>
      <c r="AD219" s="98">
        <f>IF(OR(O219="",O219=0,AB219=""),"",(AB219*1000000)/O219)</f>
        <v/>
      </c>
      <c r="AE219" s="99">
        <f>IF(H219="","",(Team_Genesis-H219)/1000000)</f>
        <v/>
      </c>
      <c r="AF219" s="99">
        <f>IF(OR(O219="",AE219=""),"",(O219-AE219*1000000)/1000000)</f>
        <v/>
      </c>
    </row>
    <row r="220">
      <c r="A220" s="35" t="n">
        <v>45874</v>
      </c>
      <c r="B220" s="90">
        <f>IF('Daily Data'!E220="","",'Daily Data'!E220)</f>
        <v/>
      </c>
      <c r="C220" s="65" t="n">
        <v>38.66</v>
      </c>
      <c r="D220" s="94" t="n">
        <v>65794.39</v>
      </c>
      <c r="E220" s="94" t="n">
        <v>26389.5639</v>
      </c>
      <c r="F220" s="94" t="n">
        <v>1060.8068</v>
      </c>
      <c r="G220" s="94" t="n"/>
      <c r="H220" s="95">
        <f>SUM($G$4:G220)</f>
        <v/>
      </c>
      <c r="I220" s="94" t="n">
        <v>1000000000</v>
      </c>
      <c r="J220" s="95">
        <f>J219-E220</f>
        <v/>
      </c>
      <c r="K220" s="94" t="n">
        <v>60000000</v>
      </c>
      <c r="L220" s="94" t="n">
        <v>27913180.98</v>
      </c>
      <c r="M220" s="94" t="n">
        <v>3000000</v>
      </c>
      <c r="N220" s="94" t="n">
        <v>349281.3917000294</v>
      </c>
      <c r="O220" s="96">
        <f>IF(OR(I220="",J220="",L220="",N220=""),"",I220-J220-K220-L220-M220-N220)</f>
        <v/>
      </c>
      <c r="P220" s="91">
        <f>IF(OR(O220="",C220=""),"",O220*C220)</f>
        <v/>
      </c>
      <c r="Q220" s="69">
        <f>Q219-E220</f>
        <v/>
      </c>
      <c r="R220" s="97">
        <f>IF(OR(J220="",Q220=""),"",J220-Q220)</f>
        <v/>
      </c>
      <c r="S220" s="69">
        <f>IF(D220="",S219,S219+D220)</f>
        <v/>
      </c>
      <c r="T220" s="97">
        <f>IF(OR(L220="",S220=""),"",L220-S220)</f>
        <v/>
      </c>
      <c r="U220" s="69">
        <f>IF(F220="",U219,U219+F220)</f>
        <v/>
      </c>
      <c r="V220" s="97">
        <f>IF(OR(N220="",U220=""),"",N220-U220)</f>
        <v/>
      </c>
      <c r="W220" s="71">
        <f>IF(OR(C220="",C220=0,'Daily Data'!J220=""),"",'Daily Data'!J220/C220)</f>
        <v/>
      </c>
      <c r="X220" s="71">
        <f>IF(OR(C220="",C220=0,'Daily Data'!K220=""),"",'Daily Data'!K220/C220)</f>
        <v/>
      </c>
      <c r="Y220" s="71">
        <f>IF(OR(F220="",W220="",X220=""),"",F220-W220-X220)</f>
        <v/>
      </c>
      <c r="Z220" s="72" t="n">
        <v>369.69</v>
      </c>
      <c r="AA220" s="72" t="n">
        <v>65.23999999999999</v>
      </c>
      <c r="AB220" s="73">
        <f>Z220+AA220</f>
        <v/>
      </c>
      <c r="AC220" s="74">
        <f>IF(OR(E220="",E220=0,AB220=""),"",E220*365/(AB220*1000000))</f>
        <v/>
      </c>
      <c r="AD220" s="98">
        <f>IF(OR(O220="",O220=0,AB220=""),"",(AB220*1000000)/O220)</f>
        <v/>
      </c>
      <c r="AE220" s="99">
        <f>IF(H220="","",(Team_Genesis-H220)/1000000)</f>
        <v/>
      </c>
      <c r="AF220" s="99">
        <f>IF(OR(O220="",AE220=""),"",(O220-AE220*1000000)/1000000)</f>
        <v/>
      </c>
    </row>
    <row r="221">
      <c r="A221" s="35" t="n">
        <v>45875</v>
      </c>
      <c r="B221" s="90">
        <f>IF('Daily Data'!E221="","",'Daily Data'!E221)</f>
        <v/>
      </c>
      <c r="C221" s="65" t="n">
        <v>38.37</v>
      </c>
      <c r="D221" s="94" t="n">
        <v>55381.01</v>
      </c>
      <c r="E221" s="94" t="n">
        <v>26366.1775</v>
      </c>
      <c r="F221" s="94" t="n">
        <v>684.0744999999999</v>
      </c>
      <c r="G221" s="94" t="n"/>
      <c r="H221" s="95">
        <f>SUM($G$4:G221)</f>
        <v/>
      </c>
      <c r="I221" s="94" t="n">
        <v>1000000000</v>
      </c>
      <c r="J221" s="95">
        <f>J220-E221</f>
        <v/>
      </c>
      <c r="K221" s="94" t="n">
        <v>60000000</v>
      </c>
      <c r="L221" s="94" t="n">
        <v>27977594.07</v>
      </c>
      <c r="M221" s="94" t="n">
        <v>3000000</v>
      </c>
      <c r="N221" s="94" t="n">
        <v>349965.4660999775</v>
      </c>
      <c r="O221" s="96">
        <f>IF(OR(I221="",J221="",L221="",N221=""),"",I221-J221-K221-L221-M221-N221)</f>
        <v/>
      </c>
      <c r="P221" s="91">
        <f>IF(OR(O221="",C221=""),"",O221*C221)</f>
        <v/>
      </c>
      <c r="Q221" s="69">
        <f>Q220-E221</f>
        <v/>
      </c>
      <c r="R221" s="97">
        <f>IF(OR(J221="",Q221=""),"",J221-Q221)</f>
        <v/>
      </c>
      <c r="S221" s="69">
        <f>IF(D221="",S220,S220+D221)</f>
        <v/>
      </c>
      <c r="T221" s="97">
        <f>IF(OR(L221="",S221=""),"",L221-S221)</f>
        <v/>
      </c>
      <c r="U221" s="69">
        <f>IF(F221="",U220,U220+F221)</f>
        <v/>
      </c>
      <c r="V221" s="97">
        <f>IF(OR(N221="",U221=""),"",N221-U221)</f>
        <v/>
      </c>
      <c r="W221" s="71">
        <f>IF(OR(C221="",C221=0,'Daily Data'!J221=""),"",'Daily Data'!J221/C221)</f>
        <v/>
      </c>
      <c r="X221" s="71">
        <f>IF(OR(C221="",C221=0,'Daily Data'!K221=""),"",'Daily Data'!K221/C221)</f>
        <v/>
      </c>
      <c r="Y221" s="71">
        <f>IF(OR(F221="",W221="",X221=""),"",F221-W221-X221)</f>
        <v/>
      </c>
      <c r="Z221" s="72" t="n">
        <v>369.69</v>
      </c>
      <c r="AA221" s="72" t="n">
        <v>65.23999999999999</v>
      </c>
      <c r="AB221" s="73">
        <f>Z221+AA221</f>
        <v/>
      </c>
      <c r="AC221" s="74">
        <f>IF(OR(E221="",E221=0,AB221=""),"",E221*365/(AB221*1000000))</f>
        <v/>
      </c>
      <c r="AD221" s="98">
        <f>IF(OR(O221="",O221=0,AB221=""),"",(AB221*1000000)/O221)</f>
        <v/>
      </c>
      <c r="AE221" s="99">
        <f>IF(H221="","",(Team_Genesis-H221)/1000000)</f>
        <v/>
      </c>
      <c r="AF221" s="99">
        <f>IF(OR(O221="",AE221=""),"",(O221-AE221*1000000)/1000000)</f>
        <v/>
      </c>
    </row>
    <row r="222">
      <c r="A222" s="35" t="n">
        <v>45876</v>
      </c>
      <c r="B222" s="90">
        <f>IF('Daily Data'!E222="","",'Daily Data'!E222)</f>
        <v/>
      </c>
      <c r="C222" s="65" t="n">
        <v>38.03</v>
      </c>
      <c r="D222" s="94" t="n">
        <v>59747.11</v>
      </c>
      <c r="E222" s="94" t="n">
        <v>26362.4824</v>
      </c>
      <c r="F222" s="94" t="n">
        <v>952.0636</v>
      </c>
      <c r="G222" s="94" t="n"/>
      <c r="H222" s="95">
        <f>SUM($G$4:G222)</f>
        <v/>
      </c>
      <c r="I222" s="94" t="n">
        <v>1000000000</v>
      </c>
      <c r="J222" s="95">
        <f>J221-E222</f>
        <v/>
      </c>
      <c r="K222" s="94" t="n">
        <v>60000000</v>
      </c>
      <c r="L222" s="94" t="n">
        <v>28025314.57</v>
      </c>
      <c r="M222" s="94" t="n">
        <v>3000000</v>
      </c>
      <c r="N222" s="94" t="n">
        <v>350917.5297000408</v>
      </c>
      <c r="O222" s="96">
        <f>IF(OR(I222="",J222="",L222="",N222=""),"",I222-J222-K222-L222-M222-N222)</f>
        <v/>
      </c>
      <c r="P222" s="91">
        <f>IF(OR(O222="",C222=""),"",O222*C222)</f>
        <v/>
      </c>
      <c r="Q222" s="69">
        <f>Q221-E222</f>
        <v/>
      </c>
      <c r="R222" s="97">
        <f>IF(OR(J222="",Q222=""),"",J222-Q222)</f>
        <v/>
      </c>
      <c r="S222" s="69">
        <f>IF(D222="",S221,S221+D222)</f>
        <v/>
      </c>
      <c r="T222" s="97">
        <f>IF(OR(L222="",S222=""),"",L222-S222)</f>
        <v/>
      </c>
      <c r="U222" s="69">
        <f>IF(F222="",U221,U221+F222)</f>
        <v/>
      </c>
      <c r="V222" s="97">
        <f>IF(OR(N222="",U222=""),"",N222-U222)</f>
        <v/>
      </c>
      <c r="W222" s="71">
        <f>IF(OR(C222="",C222=0,'Daily Data'!J222=""),"",'Daily Data'!J222/C222)</f>
        <v/>
      </c>
      <c r="X222" s="71">
        <f>IF(OR(C222="",C222=0,'Daily Data'!K222=""),"",'Daily Data'!K222/C222)</f>
        <v/>
      </c>
      <c r="Y222" s="71">
        <f>IF(OR(F222="",W222="",X222=""),"",F222-W222-X222)</f>
        <v/>
      </c>
      <c r="Z222" s="72" t="n">
        <v>369.69</v>
      </c>
      <c r="AA222" s="72" t="n">
        <v>65.23999999999999</v>
      </c>
      <c r="AB222" s="73">
        <f>Z222+AA222</f>
        <v/>
      </c>
      <c r="AC222" s="74">
        <f>IF(OR(E222="",E222=0,AB222=""),"",E222*365/(AB222*1000000))</f>
        <v/>
      </c>
      <c r="AD222" s="98">
        <f>IF(OR(O222="",O222=0,AB222=""),"",(AB222*1000000)/O222)</f>
        <v/>
      </c>
      <c r="AE222" s="99">
        <f>IF(H222="","",(Team_Genesis-H222)/1000000)</f>
        <v/>
      </c>
      <c r="AF222" s="99">
        <f>IF(OR(O222="",AE222=""),"",(O222-AE222*1000000)/1000000)</f>
        <v/>
      </c>
    </row>
    <row r="223">
      <c r="A223" s="35" t="n">
        <v>45877</v>
      </c>
      <c r="B223" s="90">
        <f>IF('Daily Data'!E223="","",'Daily Data'!E223)</f>
        <v/>
      </c>
      <c r="C223" s="65" t="n">
        <v>40.86</v>
      </c>
      <c r="D223" s="94" t="n">
        <v>85296.85000000001</v>
      </c>
      <c r="E223" s="94" t="n">
        <v>26396.2943</v>
      </c>
      <c r="F223" s="94" t="n">
        <v>1277.2851</v>
      </c>
      <c r="G223" s="94" t="n"/>
      <c r="H223" s="95">
        <f>SUM($G$4:G223)</f>
        <v/>
      </c>
      <c r="I223" s="94" t="n">
        <v>1000000000</v>
      </c>
      <c r="J223" s="95">
        <f>J222-E223</f>
        <v/>
      </c>
      <c r="K223" s="94" t="n">
        <v>60000000</v>
      </c>
      <c r="L223" s="94" t="n">
        <v>28111519.57</v>
      </c>
      <c r="M223" s="94" t="n">
        <v>3000000</v>
      </c>
      <c r="N223" s="94" t="n">
        <v>352194.814800024</v>
      </c>
      <c r="O223" s="96">
        <f>IF(OR(I223="",J223="",L223="",N223=""),"",I223-J223-K223-L223-M223-N223)</f>
        <v/>
      </c>
      <c r="P223" s="91">
        <f>IF(OR(O223="",C223=""),"",O223*C223)</f>
        <v/>
      </c>
      <c r="Q223" s="69">
        <f>Q222-E223</f>
        <v/>
      </c>
      <c r="R223" s="97">
        <f>IF(OR(J223="",Q223=""),"",J223-Q223)</f>
        <v/>
      </c>
      <c r="S223" s="69">
        <f>IF(D223="",S222,S222+D223)</f>
        <v/>
      </c>
      <c r="T223" s="97">
        <f>IF(OR(L223="",S223=""),"",L223-S223)</f>
        <v/>
      </c>
      <c r="U223" s="69">
        <f>IF(F223="",U222,U222+F223)</f>
        <v/>
      </c>
      <c r="V223" s="97">
        <f>IF(OR(N223="",U223=""),"",N223-U223)</f>
        <v/>
      </c>
      <c r="W223" s="71">
        <f>IF(OR(C223="",C223=0,'Daily Data'!J223=""),"",'Daily Data'!J223/C223)</f>
        <v/>
      </c>
      <c r="X223" s="71">
        <f>IF(OR(C223="",C223=0,'Daily Data'!K223=""),"",'Daily Data'!K223/C223)</f>
        <v/>
      </c>
      <c r="Y223" s="71">
        <f>IF(OR(F223="",W223="",X223=""),"",F223-W223-X223)</f>
        <v/>
      </c>
      <c r="Z223" s="72" t="n">
        <v>369.69</v>
      </c>
      <c r="AA223" s="72" t="n">
        <v>65.23999999999999</v>
      </c>
      <c r="AB223" s="73">
        <f>Z223+AA223</f>
        <v/>
      </c>
      <c r="AC223" s="74">
        <f>IF(OR(E223="",E223=0,AB223=""),"",E223*365/(AB223*1000000))</f>
        <v/>
      </c>
      <c r="AD223" s="98">
        <f>IF(OR(O223="",O223=0,AB223=""),"",(AB223*1000000)/O223)</f>
        <v/>
      </c>
      <c r="AE223" s="99">
        <f>IF(H223="","",(Team_Genesis-H223)/1000000)</f>
        <v/>
      </c>
      <c r="AF223" s="99">
        <f>IF(OR(O223="",AE223=""),"",(O223-AE223*1000000)/1000000)</f>
        <v/>
      </c>
    </row>
    <row r="224">
      <c r="A224" s="35" t="n">
        <v>45878</v>
      </c>
      <c r="B224" s="90">
        <f>IF('Daily Data'!E224="","",'Daily Data'!E224)</f>
        <v/>
      </c>
      <c r="C224" s="65" t="n">
        <v>40.94</v>
      </c>
      <c r="D224" s="94" t="n">
        <v>66407.03</v>
      </c>
      <c r="E224" s="94" t="n">
        <v>26363.757</v>
      </c>
      <c r="F224" s="94" t="n">
        <v>584.8424</v>
      </c>
      <c r="G224" s="94" t="n"/>
      <c r="H224" s="95">
        <f>SUM($G$4:G224)</f>
        <v/>
      </c>
      <c r="I224" s="94" t="n">
        <v>1000000000</v>
      </c>
      <c r="J224" s="95">
        <f>J223-E224</f>
        <v/>
      </c>
      <c r="K224" s="94" t="n">
        <v>60000000</v>
      </c>
      <c r="L224" s="94" t="n">
        <v>28221636.38</v>
      </c>
      <c r="M224" s="94" t="n">
        <v>3000000</v>
      </c>
      <c r="N224" s="94" t="n">
        <v>352779.6571999788</v>
      </c>
      <c r="O224" s="96">
        <f>IF(OR(I224="",J224="",L224="",N224=""),"",I224-J224-K224-L224-M224-N224)</f>
        <v/>
      </c>
      <c r="P224" s="91">
        <f>IF(OR(O224="",C224=""),"",O224*C224)</f>
        <v/>
      </c>
      <c r="Q224" s="69">
        <f>Q223-E224</f>
        <v/>
      </c>
      <c r="R224" s="97">
        <f>IF(OR(J224="",Q224=""),"",J224-Q224)</f>
        <v/>
      </c>
      <c r="S224" s="69">
        <f>IF(D224="",S223,S223+D224)</f>
        <v/>
      </c>
      <c r="T224" s="97">
        <f>IF(OR(L224="",S224=""),"",L224-S224)</f>
        <v/>
      </c>
      <c r="U224" s="69">
        <f>IF(F224="",U223,U223+F224)</f>
        <v/>
      </c>
      <c r="V224" s="97">
        <f>IF(OR(N224="",U224=""),"",N224-U224)</f>
        <v/>
      </c>
      <c r="W224" s="71">
        <f>IF(OR(C224="",C224=0,'Daily Data'!J224=""),"",'Daily Data'!J224/C224)</f>
        <v/>
      </c>
      <c r="X224" s="71">
        <f>IF(OR(C224="",C224=0,'Daily Data'!K224=""),"",'Daily Data'!K224/C224)</f>
        <v/>
      </c>
      <c r="Y224" s="71">
        <f>IF(OR(F224="",W224="",X224=""),"",F224-W224-X224)</f>
        <v/>
      </c>
      <c r="Z224" s="72" t="n">
        <v>369.69</v>
      </c>
      <c r="AA224" s="72" t="n">
        <v>65.23999999999999</v>
      </c>
      <c r="AB224" s="73">
        <f>Z224+AA224</f>
        <v/>
      </c>
      <c r="AC224" s="74">
        <f>IF(OR(E224="",E224=0,AB224=""),"",E224*365/(AB224*1000000))</f>
        <v/>
      </c>
      <c r="AD224" s="98">
        <f>IF(OR(O224="",O224=0,AB224=""),"",(AB224*1000000)/O224)</f>
        <v/>
      </c>
      <c r="AE224" s="99">
        <f>IF(H224="","",(Team_Genesis-H224)/1000000)</f>
        <v/>
      </c>
      <c r="AF224" s="99">
        <f>IF(OR(O224="",AE224=""),"",(O224-AE224*1000000)/1000000)</f>
        <v/>
      </c>
    </row>
    <row r="225">
      <c r="A225" s="35" t="n">
        <v>45879</v>
      </c>
      <c r="B225" s="90">
        <f>IF('Daily Data'!E225="","",'Daily Data'!E225)</f>
        <v/>
      </c>
      <c r="C225" s="65" t="n">
        <v>43.81</v>
      </c>
      <c r="D225" s="94" t="n">
        <v>59071.34</v>
      </c>
      <c r="E225" s="94" t="n">
        <v>26141.3602</v>
      </c>
      <c r="F225" s="94" t="n">
        <v>1317.9291</v>
      </c>
      <c r="G225" s="94" t="n"/>
      <c r="H225" s="95">
        <f>SUM($G$4:G225)</f>
        <v/>
      </c>
      <c r="I225" s="94" t="n">
        <v>1000000000</v>
      </c>
      <c r="J225" s="95">
        <f>J224-E225</f>
        <v/>
      </c>
      <c r="K225" s="94" t="n">
        <v>60000000</v>
      </c>
      <c r="L225" s="94" t="n">
        <v>28288043.41</v>
      </c>
      <c r="M225" s="94" t="n">
        <v>3000000</v>
      </c>
      <c r="N225" s="94" t="n">
        <v>354097.5861999989</v>
      </c>
      <c r="O225" s="96">
        <f>IF(OR(I225="",J225="",L225="",N225=""),"",I225-J225-K225-L225-M225-N225)</f>
        <v/>
      </c>
      <c r="P225" s="91">
        <f>IF(OR(O225="",C225=""),"",O225*C225)</f>
        <v/>
      </c>
      <c r="Q225" s="69">
        <f>Q224-E225</f>
        <v/>
      </c>
      <c r="R225" s="97">
        <f>IF(OR(J225="",Q225=""),"",J225-Q225)</f>
        <v/>
      </c>
      <c r="S225" s="69">
        <f>IF(D225="",S224,S224+D225)</f>
        <v/>
      </c>
      <c r="T225" s="97">
        <f>IF(OR(L225="",S225=""),"",L225-S225)</f>
        <v/>
      </c>
      <c r="U225" s="69">
        <f>IF(F225="",U224,U224+F225)</f>
        <v/>
      </c>
      <c r="V225" s="97">
        <f>IF(OR(N225="",U225=""),"",N225-U225)</f>
        <v/>
      </c>
      <c r="W225" s="71">
        <f>IF(OR(C225="",C225=0,'Daily Data'!J225=""),"",'Daily Data'!J225/C225)</f>
        <v/>
      </c>
      <c r="X225" s="71">
        <f>IF(OR(C225="",C225=0,'Daily Data'!K225=""),"",'Daily Data'!K225/C225)</f>
        <v/>
      </c>
      <c r="Y225" s="71">
        <f>IF(OR(F225="",W225="",X225=""),"",F225-W225-X225)</f>
        <v/>
      </c>
      <c r="Z225" s="72" t="n">
        <v>369.69</v>
      </c>
      <c r="AA225" s="72" t="n">
        <v>65.23999999999999</v>
      </c>
      <c r="AB225" s="73">
        <f>Z225+AA225</f>
        <v/>
      </c>
      <c r="AC225" s="74">
        <f>IF(OR(E225="",E225=0,AB225=""),"",E225*365/(AB225*1000000))</f>
        <v/>
      </c>
      <c r="AD225" s="98">
        <f>IF(OR(O225="",O225=0,AB225=""),"",(AB225*1000000)/O225)</f>
        <v/>
      </c>
      <c r="AE225" s="99">
        <f>IF(H225="","",(Team_Genesis-H225)/1000000)</f>
        <v/>
      </c>
      <c r="AF225" s="99">
        <f>IF(OR(O225="",AE225=""),"",(O225-AE225*1000000)/1000000)</f>
        <v/>
      </c>
    </row>
    <row r="226">
      <c r="A226" s="35" t="n">
        <v>45880</v>
      </c>
      <c r="B226" s="90">
        <f>IF('Daily Data'!E226="","",'Daily Data'!E226)</f>
        <v/>
      </c>
      <c r="C226" s="65" t="n">
        <v>45.22</v>
      </c>
      <c r="D226" s="94" t="n">
        <v>101216.76</v>
      </c>
      <c r="E226" s="94" t="n">
        <v>26376.4255</v>
      </c>
      <c r="F226" s="94" t="n">
        <v>416.7786</v>
      </c>
      <c r="G226" s="94" t="n"/>
      <c r="H226" s="95">
        <f>SUM($G$4:G226)</f>
        <v/>
      </c>
      <c r="I226" s="94" t="n">
        <v>1000000000</v>
      </c>
      <c r="J226" s="95">
        <f>J225-E226</f>
        <v/>
      </c>
      <c r="K226" s="94" t="n">
        <v>60000000</v>
      </c>
      <c r="L226" s="94" t="n">
        <v>28388988.26</v>
      </c>
      <c r="M226" s="94" t="n">
        <v>3000000</v>
      </c>
      <c r="N226" s="94" t="n">
        <v>354514.3647999763</v>
      </c>
      <c r="O226" s="96">
        <f>IF(OR(I226="",J226="",L226="",N226=""),"",I226-J226-K226-L226-M226-N226)</f>
        <v/>
      </c>
      <c r="P226" s="91">
        <f>IF(OR(O226="",C226=""),"",O226*C226)</f>
        <v/>
      </c>
      <c r="Q226" s="69">
        <f>Q225-E226</f>
        <v/>
      </c>
      <c r="R226" s="97">
        <f>IF(OR(J226="",Q226=""),"",J226-Q226)</f>
        <v/>
      </c>
      <c r="S226" s="69">
        <f>IF(D226="",S225,S225+D226)</f>
        <v/>
      </c>
      <c r="T226" s="97">
        <f>IF(OR(L226="",S226=""),"",L226-S226)</f>
        <v/>
      </c>
      <c r="U226" s="69">
        <f>IF(F226="",U225,U225+F226)</f>
        <v/>
      </c>
      <c r="V226" s="97">
        <f>IF(OR(N226="",U226=""),"",N226-U226)</f>
        <v/>
      </c>
      <c r="W226" s="71">
        <f>IF(OR(C226="",C226=0,'Daily Data'!J226=""),"",'Daily Data'!J226/C226)</f>
        <v/>
      </c>
      <c r="X226" s="71">
        <f>IF(OR(C226="",C226=0,'Daily Data'!K226=""),"",'Daily Data'!K226/C226)</f>
        <v/>
      </c>
      <c r="Y226" s="71">
        <f>IF(OR(F226="",W226="",X226=""),"",F226-W226-X226)</f>
        <v/>
      </c>
      <c r="Z226" s="72" t="n">
        <v>369.69</v>
      </c>
      <c r="AA226" s="72" t="n">
        <v>65.23999999999999</v>
      </c>
      <c r="AB226" s="73">
        <f>Z226+AA226</f>
        <v/>
      </c>
      <c r="AC226" s="74">
        <f>IF(OR(E226="",E226=0,AB226=""),"",E226*365/(AB226*1000000))</f>
        <v/>
      </c>
      <c r="AD226" s="98">
        <f>IF(OR(O226="",O226=0,AB226=""),"",(AB226*1000000)/O226)</f>
        <v/>
      </c>
      <c r="AE226" s="99">
        <f>IF(H226="","",(Team_Genesis-H226)/1000000)</f>
        <v/>
      </c>
      <c r="AF226" s="99">
        <f>IF(OR(O226="",AE226=""),"",(O226-AE226*1000000)/1000000)</f>
        <v/>
      </c>
    </row>
    <row r="227">
      <c r="A227" s="35" t="n">
        <v>45881</v>
      </c>
      <c r="B227" s="90">
        <f>IF('Daily Data'!E227="","",'Daily Data'!E227)</f>
        <v/>
      </c>
      <c r="C227" s="65" t="n">
        <v>43.15</v>
      </c>
      <c r="D227" s="94" t="n">
        <v>100791.05</v>
      </c>
      <c r="E227" s="94" t="n">
        <v>26426.8902</v>
      </c>
      <c r="F227" s="94" t="n">
        <v>1293.1775</v>
      </c>
      <c r="G227" s="94" t="n"/>
      <c r="H227" s="95">
        <f>SUM($G$4:G227)</f>
        <v/>
      </c>
      <c r="I227" s="94" t="n">
        <v>1000000000</v>
      </c>
      <c r="J227" s="95">
        <f>J226-E227</f>
        <v/>
      </c>
      <c r="K227" s="94" t="n">
        <v>60000000</v>
      </c>
      <c r="L227" s="94" t="n">
        <v>28489779.31</v>
      </c>
      <c r="M227" s="94" t="n">
        <v>3000000</v>
      </c>
      <c r="N227" s="94" t="n">
        <v>355807.5422999859</v>
      </c>
      <c r="O227" s="96">
        <f>IF(OR(I227="",J227="",L227="",N227=""),"",I227-J227-K227-L227-M227-N227)</f>
        <v/>
      </c>
      <c r="P227" s="91">
        <f>IF(OR(O227="",C227=""),"",O227*C227)</f>
        <v/>
      </c>
      <c r="Q227" s="69">
        <f>Q226-E227</f>
        <v/>
      </c>
      <c r="R227" s="97">
        <f>IF(OR(J227="",Q227=""),"",J227-Q227)</f>
        <v/>
      </c>
      <c r="S227" s="69">
        <f>IF(D227="",S226,S226+D227)</f>
        <v/>
      </c>
      <c r="T227" s="97">
        <f>IF(OR(L227="",S227=""),"",L227-S227)</f>
        <v/>
      </c>
      <c r="U227" s="69">
        <f>IF(F227="",U226,U226+F227)</f>
        <v/>
      </c>
      <c r="V227" s="97">
        <f>IF(OR(N227="",U227=""),"",N227-U227)</f>
        <v/>
      </c>
      <c r="W227" s="71">
        <f>IF(OR(C227="",C227=0,'Daily Data'!J227=""),"",'Daily Data'!J227/C227)</f>
        <v/>
      </c>
      <c r="X227" s="71">
        <f>IF(OR(C227="",C227=0,'Daily Data'!K227=""),"",'Daily Data'!K227/C227)</f>
        <v/>
      </c>
      <c r="Y227" s="71">
        <f>IF(OR(F227="",W227="",X227=""),"",F227-W227-X227)</f>
        <v/>
      </c>
      <c r="Z227" s="72" t="n">
        <v>369.69</v>
      </c>
      <c r="AA227" s="72" t="n">
        <v>65.23999999999999</v>
      </c>
      <c r="AB227" s="73">
        <f>Z227+AA227</f>
        <v/>
      </c>
      <c r="AC227" s="74">
        <f>IF(OR(E227="",E227=0,AB227=""),"",E227*365/(AB227*1000000))</f>
        <v/>
      </c>
      <c r="AD227" s="98">
        <f>IF(OR(O227="",O227=0,AB227=""),"",(AB227*1000000)/O227)</f>
        <v/>
      </c>
      <c r="AE227" s="99">
        <f>IF(H227="","",(Team_Genesis-H227)/1000000)</f>
        <v/>
      </c>
      <c r="AF227" s="99">
        <f>IF(OR(O227="",AE227=""),"",(O227-AE227*1000000)/1000000)</f>
        <v/>
      </c>
    </row>
    <row r="228">
      <c r="A228" s="35" t="n">
        <v>45882</v>
      </c>
      <c r="B228" s="90">
        <f>IF('Daily Data'!E228="","",'Daily Data'!E228)</f>
        <v/>
      </c>
      <c r="C228" s="65" t="n">
        <v>44.87</v>
      </c>
      <c r="D228" s="94" t="n">
        <v>109111.69</v>
      </c>
      <c r="E228" s="94" t="n">
        <v>26337.768</v>
      </c>
      <c r="F228" s="94" t="n">
        <v>1319.473</v>
      </c>
      <c r="G228" s="94" t="n"/>
      <c r="H228" s="95">
        <f>SUM($G$4:G228)</f>
        <v/>
      </c>
      <c r="I228" s="94" t="n">
        <v>1000000000</v>
      </c>
      <c r="J228" s="95">
        <f>J227-E228</f>
        <v/>
      </c>
      <c r="K228" s="94" t="n">
        <v>60000000</v>
      </c>
      <c r="L228" s="94" t="n">
        <v>28599162.91</v>
      </c>
      <c r="M228" s="94" t="n">
        <v>3000000</v>
      </c>
      <c r="N228" s="94" t="n">
        <v>357127.0153000355</v>
      </c>
      <c r="O228" s="96">
        <f>IF(OR(I228="",J228="",L228="",N228=""),"",I228-J228-K228-L228-M228-N228)</f>
        <v/>
      </c>
      <c r="P228" s="91">
        <f>IF(OR(O228="",C228=""),"",O228*C228)</f>
        <v/>
      </c>
      <c r="Q228" s="69">
        <f>Q227-E228</f>
        <v/>
      </c>
      <c r="R228" s="97">
        <f>IF(OR(J228="",Q228=""),"",J228-Q228)</f>
        <v/>
      </c>
      <c r="S228" s="69">
        <f>IF(D228="",S227,S227+D228)</f>
        <v/>
      </c>
      <c r="T228" s="97">
        <f>IF(OR(L228="",S228=""),"",L228-S228)</f>
        <v/>
      </c>
      <c r="U228" s="69">
        <f>IF(F228="",U227,U227+F228)</f>
        <v/>
      </c>
      <c r="V228" s="97">
        <f>IF(OR(N228="",U228=""),"",N228-U228)</f>
        <v/>
      </c>
      <c r="W228" s="71">
        <f>IF(OR(C228="",C228=0,'Daily Data'!J228=""),"",'Daily Data'!J228/C228)</f>
        <v/>
      </c>
      <c r="X228" s="71">
        <f>IF(OR(C228="",C228=0,'Daily Data'!K228=""),"",'Daily Data'!K228/C228)</f>
        <v/>
      </c>
      <c r="Y228" s="71">
        <f>IF(OR(F228="",W228="",X228=""),"",F228-W228-X228)</f>
        <v/>
      </c>
      <c r="Z228" s="72" t="n">
        <v>369.69</v>
      </c>
      <c r="AA228" s="72" t="n">
        <v>65.23999999999999</v>
      </c>
      <c r="AB228" s="73">
        <f>Z228+AA228</f>
        <v/>
      </c>
      <c r="AC228" s="74">
        <f>IF(OR(E228="",E228=0,AB228=""),"",E228*365/(AB228*1000000))</f>
        <v/>
      </c>
      <c r="AD228" s="98">
        <f>IF(OR(O228="",O228=0,AB228=""),"",(AB228*1000000)/O228)</f>
        <v/>
      </c>
      <c r="AE228" s="99">
        <f>IF(H228="","",(Team_Genesis-H228)/1000000)</f>
        <v/>
      </c>
      <c r="AF228" s="99">
        <f>IF(OR(O228="",AE228=""),"",(O228-AE228*1000000)/1000000)</f>
        <v/>
      </c>
    </row>
    <row r="229">
      <c r="A229" s="35" t="n">
        <v>45883</v>
      </c>
      <c r="B229" s="90">
        <f>IF('Daily Data'!E229="","",'Daily Data'!E229)</f>
        <v/>
      </c>
      <c r="C229" s="65" t="n">
        <v>47.77</v>
      </c>
      <c r="D229" s="94" t="n">
        <v>167809.16</v>
      </c>
      <c r="E229" s="94" t="n">
        <v>26365.7818</v>
      </c>
      <c r="F229" s="94" t="n">
        <v>1863.2942</v>
      </c>
      <c r="G229" s="94" t="n"/>
      <c r="H229" s="95">
        <f>SUM($G$4:G229)</f>
        <v/>
      </c>
      <c r="I229" s="94" t="n">
        <v>1000000000</v>
      </c>
      <c r="J229" s="95">
        <f>J228-E229</f>
        <v/>
      </c>
      <c r="K229" s="94" t="n">
        <v>60000000</v>
      </c>
      <c r="L229" s="94" t="n">
        <v>28764050.72</v>
      </c>
      <c r="M229" s="94" t="n">
        <v>3000000</v>
      </c>
      <c r="N229" s="94" t="n">
        <v>358990.309499979</v>
      </c>
      <c r="O229" s="96">
        <f>IF(OR(I229="",J229="",L229="",N229=""),"",I229-J229-K229-L229-M229-N229)</f>
        <v/>
      </c>
      <c r="P229" s="91">
        <f>IF(OR(O229="",C229=""),"",O229*C229)</f>
        <v/>
      </c>
      <c r="Q229" s="69">
        <f>Q228-E229</f>
        <v/>
      </c>
      <c r="R229" s="97">
        <f>IF(OR(J229="",Q229=""),"",J229-Q229)</f>
        <v/>
      </c>
      <c r="S229" s="69">
        <f>IF(D229="",S228,S228+D229)</f>
        <v/>
      </c>
      <c r="T229" s="97">
        <f>IF(OR(L229="",S229=""),"",L229-S229)</f>
        <v/>
      </c>
      <c r="U229" s="69">
        <f>IF(F229="",U228,U228+F229)</f>
        <v/>
      </c>
      <c r="V229" s="97">
        <f>IF(OR(N229="",U229=""),"",N229-U229)</f>
        <v/>
      </c>
      <c r="W229" s="71">
        <f>IF(OR(C229="",C229=0,'Daily Data'!J229=""),"",'Daily Data'!J229/C229)</f>
        <v/>
      </c>
      <c r="X229" s="71">
        <f>IF(OR(C229="",C229=0,'Daily Data'!K229=""),"",'Daily Data'!K229/C229)</f>
        <v/>
      </c>
      <c r="Y229" s="71">
        <f>IF(OR(F229="",W229="",X229=""),"",F229-W229-X229)</f>
        <v/>
      </c>
      <c r="Z229" s="72" t="n">
        <v>369.69</v>
      </c>
      <c r="AA229" s="72" t="n">
        <v>65.23999999999999</v>
      </c>
      <c r="AB229" s="73">
        <f>Z229+AA229</f>
        <v/>
      </c>
      <c r="AC229" s="74">
        <f>IF(OR(E229="",E229=0,AB229=""),"",E229*365/(AB229*1000000))</f>
        <v/>
      </c>
      <c r="AD229" s="98">
        <f>IF(OR(O229="",O229=0,AB229=""),"",(AB229*1000000)/O229)</f>
        <v/>
      </c>
      <c r="AE229" s="99">
        <f>IF(H229="","",(Team_Genesis-H229)/1000000)</f>
        <v/>
      </c>
      <c r="AF229" s="99">
        <f>IF(OR(O229="",AE229=""),"",(O229-AE229*1000000)/1000000)</f>
        <v/>
      </c>
    </row>
    <row r="230">
      <c r="A230" s="35" t="n">
        <v>45884</v>
      </c>
      <c r="B230" s="90">
        <f>IF('Daily Data'!E230="","",'Daily Data'!E230)</f>
        <v/>
      </c>
      <c r="C230" s="65" t="n">
        <v>46</v>
      </c>
      <c r="D230" s="94" t="n">
        <v>77150.31</v>
      </c>
      <c r="E230" s="94" t="n">
        <v>26256.5939</v>
      </c>
      <c r="F230" s="94" t="n">
        <v>1373.4081</v>
      </c>
      <c r="G230" s="94" t="n"/>
      <c r="H230" s="95">
        <f>SUM($G$4:G230)</f>
        <v/>
      </c>
      <c r="I230" s="94" t="n">
        <v>1000000000</v>
      </c>
      <c r="J230" s="95">
        <f>J229-E230</f>
        <v/>
      </c>
      <c r="K230" s="94" t="n">
        <v>60000000</v>
      </c>
      <c r="L230" s="94" t="n">
        <v>28843895.32</v>
      </c>
      <c r="M230" s="94" t="n">
        <v>3000000</v>
      </c>
      <c r="N230" s="94" t="n">
        <v>360363.7174999714</v>
      </c>
      <c r="O230" s="96">
        <f>IF(OR(I230="",J230="",L230="",N230=""),"",I230-J230-K230-L230-M230-N230)</f>
        <v/>
      </c>
      <c r="P230" s="91">
        <f>IF(OR(O230="",C230=""),"",O230*C230)</f>
        <v/>
      </c>
      <c r="Q230" s="69">
        <f>Q229-E230</f>
        <v/>
      </c>
      <c r="R230" s="97">
        <f>IF(OR(J230="",Q230=""),"",J230-Q230)</f>
        <v/>
      </c>
      <c r="S230" s="69">
        <f>IF(D230="",S229,S229+D230)</f>
        <v/>
      </c>
      <c r="T230" s="97">
        <f>IF(OR(L230="",S230=""),"",L230-S230)</f>
        <v/>
      </c>
      <c r="U230" s="69">
        <f>IF(F230="",U229,U229+F230)</f>
        <v/>
      </c>
      <c r="V230" s="97">
        <f>IF(OR(N230="",U230=""),"",N230-U230)</f>
        <v/>
      </c>
      <c r="W230" s="71">
        <f>IF(OR(C230="",C230=0,'Daily Data'!J230=""),"",'Daily Data'!J230/C230)</f>
        <v/>
      </c>
      <c r="X230" s="71">
        <f>IF(OR(C230="",C230=0,'Daily Data'!K230=""),"",'Daily Data'!K230/C230)</f>
        <v/>
      </c>
      <c r="Y230" s="71">
        <f>IF(OR(F230="",W230="",X230=""),"",F230-W230-X230)</f>
        <v/>
      </c>
      <c r="Z230" s="72" t="n">
        <v>369.69</v>
      </c>
      <c r="AA230" s="72" t="n">
        <v>65.23999999999999</v>
      </c>
      <c r="AB230" s="73">
        <f>Z230+AA230</f>
        <v/>
      </c>
      <c r="AC230" s="74">
        <f>IF(OR(E230="",E230=0,AB230=""),"",E230*365/(AB230*1000000))</f>
        <v/>
      </c>
      <c r="AD230" s="98">
        <f>IF(OR(O230="",O230=0,AB230=""),"",(AB230*1000000)/O230)</f>
        <v/>
      </c>
      <c r="AE230" s="99">
        <f>IF(H230="","",(Team_Genesis-H230)/1000000)</f>
        <v/>
      </c>
      <c r="AF230" s="99">
        <f>IF(OR(O230="",AE230=""),"",(O230-AE230*1000000)/1000000)</f>
        <v/>
      </c>
    </row>
    <row r="231">
      <c r="A231" s="35" t="n">
        <v>45885</v>
      </c>
      <c r="B231" s="90">
        <f>IF('Daily Data'!E231="","",'Daily Data'!E231)</f>
        <v/>
      </c>
      <c r="C231" s="65" t="n">
        <v>48.24</v>
      </c>
      <c r="D231" s="94" t="n">
        <v>28971.85</v>
      </c>
      <c r="E231" s="94" t="n">
        <v>26182.6599</v>
      </c>
      <c r="F231" s="94" t="n">
        <v>1709.1627</v>
      </c>
      <c r="G231" s="94" t="n"/>
      <c r="H231" s="95">
        <f>SUM($G$4:G231)</f>
        <v/>
      </c>
      <c r="I231" s="94" t="n">
        <v>1000000000</v>
      </c>
      <c r="J231" s="95">
        <f>J230-E231</f>
        <v/>
      </c>
      <c r="K231" s="94" t="n">
        <v>60000000</v>
      </c>
      <c r="L231" s="94" t="n">
        <v>28873094.23</v>
      </c>
      <c r="M231" s="94" t="n">
        <v>3000000</v>
      </c>
      <c r="N231" s="94" t="n">
        <v>362072.880300045</v>
      </c>
      <c r="O231" s="96">
        <f>IF(OR(I231="",J231="",L231="",N231=""),"",I231-J231-K231-L231-M231-N231)</f>
        <v/>
      </c>
      <c r="P231" s="91">
        <f>IF(OR(O231="",C231=""),"",O231*C231)</f>
        <v/>
      </c>
      <c r="Q231" s="69">
        <f>Q230-E231</f>
        <v/>
      </c>
      <c r="R231" s="97">
        <f>IF(OR(J231="",Q231=""),"",J231-Q231)</f>
        <v/>
      </c>
      <c r="S231" s="69">
        <f>IF(D231="",S230,S230+D231)</f>
        <v/>
      </c>
      <c r="T231" s="97">
        <f>IF(OR(L231="",S231=""),"",L231-S231)</f>
        <v/>
      </c>
      <c r="U231" s="69">
        <f>IF(F231="",U230,U230+F231)</f>
        <v/>
      </c>
      <c r="V231" s="97">
        <f>IF(OR(N231="",U231=""),"",N231-U231)</f>
        <v/>
      </c>
      <c r="W231" s="71">
        <f>IF(OR(C231="",C231=0,'Daily Data'!J231=""),"",'Daily Data'!J231/C231)</f>
        <v/>
      </c>
      <c r="X231" s="71">
        <f>IF(OR(C231="",C231=0,'Daily Data'!K231=""),"",'Daily Data'!K231/C231)</f>
        <v/>
      </c>
      <c r="Y231" s="71">
        <f>IF(OR(F231="",W231="",X231=""),"",F231-W231-X231)</f>
        <v/>
      </c>
      <c r="Z231" s="72" t="n">
        <v>369.69</v>
      </c>
      <c r="AA231" s="72" t="n">
        <v>65.23999999999999</v>
      </c>
      <c r="AB231" s="73">
        <f>Z231+AA231</f>
        <v/>
      </c>
      <c r="AC231" s="74">
        <f>IF(OR(E231="",E231=0,AB231=""),"",E231*365/(AB231*1000000))</f>
        <v/>
      </c>
      <c r="AD231" s="98">
        <f>IF(OR(O231="",O231=0,AB231=""),"",(AB231*1000000)/O231)</f>
        <v/>
      </c>
      <c r="AE231" s="99">
        <f>IF(H231="","",(Team_Genesis-H231)/1000000)</f>
        <v/>
      </c>
      <c r="AF231" s="99">
        <f>IF(OR(O231="",AE231=""),"",(O231-AE231*1000000)/1000000)</f>
        <v/>
      </c>
    </row>
    <row r="232">
      <c r="A232" s="35" t="n">
        <v>45886</v>
      </c>
      <c r="B232" s="90">
        <f>IF('Daily Data'!E232="","",'Daily Data'!E232)</f>
        <v/>
      </c>
      <c r="C232" s="65" t="n">
        <v>46.32</v>
      </c>
      <c r="D232" s="94" t="n">
        <v>36315.48</v>
      </c>
      <c r="E232" s="94" t="n">
        <v>26168.0725</v>
      </c>
      <c r="F232" s="94" t="n">
        <v>924.1917999999999</v>
      </c>
      <c r="G232" s="94" t="n"/>
      <c r="H232" s="95">
        <f>SUM($G$4:G232)</f>
        <v/>
      </c>
      <c r="I232" s="94" t="n">
        <v>1000000000</v>
      </c>
      <c r="J232" s="95">
        <f>J231-E232</f>
        <v/>
      </c>
      <c r="K232" s="94" t="n">
        <v>60000000</v>
      </c>
      <c r="L232" s="94" t="n">
        <v>28909605.98</v>
      </c>
      <c r="M232" s="94" t="n">
        <v>3000000</v>
      </c>
      <c r="N232" s="94" t="n">
        <v>362997.0721000433</v>
      </c>
      <c r="O232" s="96">
        <f>IF(OR(I232="",J232="",L232="",N232=""),"",I232-J232-K232-L232-M232-N232)</f>
        <v/>
      </c>
      <c r="P232" s="91">
        <f>IF(OR(O232="",C232=""),"",O232*C232)</f>
        <v/>
      </c>
      <c r="Q232" s="69">
        <f>Q231-E232</f>
        <v/>
      </c>
      <c r="R232" s="97">
        <f>IF(OR(J232="",Q232=""),"",J232-Q232)</f>
        <v/>
      </c>
      <c r="S232" s="69">
        <f>IF(D232="",S231,S231+D232)</f>
        <v/>
      </c>
      <c r="T232" s="97">
        <f>IF(OR(L232="",S232=""),"",L232-S232)</f>
        <v/>
      </c>
      <c r="U232" s="69">
        <f>IF(F232="",U231,U231+F232)</f>
        <v/>
      </c>
      <c r="V232" s="97">
        <f>IF(OR(N232="",U232=""),"",N232-U232)</f>
        <v/>
      </c>
      <c r="W232" s="71">
        <f>IF(OR(C232="",C232=0,'Daily Data'!J232=""),"",'Daily Data'!J232/C232)</f>
        <v/>
      </c>
      <c r="X232" s="71">
        <f>IF(OR(C232="",C232=0,'Daily Data'!K232=""),"",'Daily Data'!K232/C232)</f>
        <v/>
      </c>
      <c r="Y232" s="71">
        <f>IF(OR(F232="",W232="",X232=""),"",F232-W232-X232)</f>
        <v/>
      </c>
      <c r="Z232" s="72" t="n">
        <v>369.69</v>
      </c>
      <c r="AA232" s="72" t="n">
        <v>65.23999999999999</v>
      </c>
      <c r="AB232" s="73">
        <f>Z232+AA232</f>
        <v/>
      </c>
      <c r="AC232" s="74">
        <f>IF(OR(E232="",E232=0,AB232=""),"",E232*365/(AB232*1000000))</f>
        <v/>
      </c>
      <c r="AD232" s="98">
        <f>IF(OR(O232="",O232=0,AB232=""),"",(AB232*1000000)/O232)</f>
        <v/>
      </c>
      <c r="AE232" s="99">
        <f>IF(H232="","",(Team_Genesis-H232)/1000000)</f>
        <v/>
      </c>
      <c r="AF232" s="99">
        <f>IF(OR(O232="",AE232=""),"",(O232-AE232*1000000)/1000000)</f>
        <v/>
      </c>
    </row>
    <row r="233">
      <c r="A233" s="35" t="n">
        <v>45887</v>
      </c>
      <c r="B233" s="90">
        <f>IF('Daily Data'!E233="","",'Daily Data'!E233)</f>
        <v/>
      </c>
      <c r="C233" s="65" t="n">
        <v>46.04</v>
      </c>
      <c r="D233" s="94" t="n">
        <v>92598.72</v>
      </c>
      <c r="E233" s="94" t="n">
        <v>26239.5597</v>
      </c>
      <c r="F233" s="94" t="n">
        <v>413.5272</v>
      </c>
      <c r="G233" s="94" t="n"/>
      <c r="H233" s="95">
        <f>SUM($G$4:G233)</f>
        <v/>
      </c>
      <c r="I233" s="94" t="n">
        <v>1000000000</v>
      </c>
      <c r="J233" s="95">
        <f>J232-E233</f>
        <v/>
      </c>
      <c r="K233" s="94" t="n">
        <v>60000000</v>
      </c>
      <c r="L233" s="94" t="n">
        <v>29002008.43</v>
      </c>
      <c r="M233" s="94" t="n">
        <v>3000000</v>
      </c>
      <c r="N233" s="94" t="n">
        <v>363410.5993000269</v>
      </c>
      <c r="O233" s="96">
        <f>IF(OR(I233="",J233="",L233="",N233=""),"",I233-J233-K233-L233-M233-N233)</f>
        <v/>
      </c>
      <c r="P233" s="91">
        <f>IF(OR(O233="",C233=""),"",O233*C233)</f>
        <v/>
      </c>
      <c r="Q233" s="69">
        <f>Q232-E233</f>
        <v/>
      </c>
      <c r="R233" s="97">
        <f>IF(OR(J233="",Q233=""),"",J233-Q233)</f>
        <v/>
      </c>
      <c r="S233" s="69">
        <f>IF(D233="",S232,S232+D233)</f>
        <v/>
      </c>
      <c r="T233" s="97">
        <f>IF(OR(L233="",S233=""),"",L233-S233)</f>
        <v/>
      </c>
      <c r="U233" s="69">
        <f>IF(F233="",U232,U232+F233)</f>
        <v/>
      </c>
      <c r="V233" s="97">
        <f>IF(OR(N233="",U233=""),"",N233-U233)</f>
        <v/>
      </c>
      <c r="W233" s="71">
        <f>IF(OR(C233="",C233=0,'Daily Data'!J233=""),"",'Daily Data'!J233/C233)</f>
        <v/>
      </c>
      <c r="X233" s="71">
        <f>IF(OR(C233="",C233=0,'Daily Data'!K233=""),"",'Daily Data'!K233/C233)</f>
        <v/>
      </c>
      <c r="Y233" s="71">
        <f>IF(OR(F233="",W233="",X233=""),"",F233-W233-X233)</f>
        <v/>
      </c>
      <c r="Z233" s="72" t="n">
        <v>369.69</v>
      </c>
      <c r="AA233" s="72" t="n">
        <v>65.23999999999999</v>
      </c>
      <c r="AB233" s="73">
        <f>Z233+AA233</f>
        <v/>
      </c>
      <c r="AC233" s="74">
        <f>IF(OR(E233="",E233=0,AB233=""),"",E233*365/(AB233*1000000))</f>
        <v/>
      </c>
      <c r="AD233" s="98">
        <f>IF(OR(O233="",O233=0,AB233=""),"",(AB233*1000000)/O233)</f>
        <v/>
      </c>
      <c r="AE233" s="99">
        <f>IF(H233="","",(Team_Genesis-H233)/1000000)</f>
        <v/>
      </c>
      <c r="AF233" s="99">
        <f>IF(OR(O233="",AE233=""),"",(O233-AE233*1000000)/1000000)</f>
        <v/>
      </c>
    </row>
    <row r="234">
      <c r="A234" s="35" t="n">
        <v>45888</v>
      </c>
      <c r="B234" s="90">
        <f>IF('Daily Data'!E234="","",'Daily Data'!E234)</f>
        <v/>
      </c>
      <c r="C234" s="65" t="n">
        <v>43.21</v>
      </c>
      <c r="D234" s="94" t="n">
        <v>98671.67</v>
      </c>
      <c r="E234" s="94" t="n">
        <v>26295.1059</v>
      </c>
      <c r="F234" s="94" t="n">
        <v>731.1435</v>
      </c>
      <c r="G234" s="94" t="n"/>
      <c r="H234" s="95">
        <f>SUM($G$4:G234)</f>
        <v/>
      </c>
      <c r="I234" s="94" t="n">
        <v>1000000000</v>
      </c>
      <c r="J234" s="95">
        <f>J233-E234</f>
        <v/>
      </c>
      <c r="K234" s="94" t="n">
        <v>60000000</v>
      </c>
      <c r="L234" s="94" t="n">
        <v>29100680.1</v>
      </c>
      <c r="M234" s="94" t="n">
        <v>3000000</v>
      </c>
      <c r="N234" s="94" t="n">
        <v>364141.7426999807</v>
      </c>
      <c r="O234" s="96">
        <f>IF(OR(I234="",J234="",L234="",N234=""),"",I234-J234-K234-L234-M234-N234)</f>
        <v/>
      </c>
      <c r="P234" s="91">
        <f>IF(OR(O234="",C234=""),"",O234*C234)</f>
        <v/>
      </c>
      <c r="Q234" s="69">
        <f>Q233-E234</f>
        <v/>
      </c>
      <c r="R234" s="97">
        <f>IF(OR(J234="",Q234=""),"",J234-Q234)</f>
        <v/>
      </c>
      <c r="S234" s="69">
        <f>IF(D234="",S233,S233+D234)</f>
        <v/>
      </c>
      <c r="T234" s="97">
        <f>IF(OR(L234="",S234=""),"",L234-S234)</f>
        <v/>
      </c>
      <c r="U234" s="69">
        <f>IF(F234="",U233,U233+F234)</f>
        <v/>
      </c>
      <c r="V234" s="97">
        <f>IF(OR(N234="",U234=""),"",N234-U234)</f>
        <v/>
      </c>
      <c r="W234" s="71">
        <f>IF(OR(C234="",C234=0,'Daily Data'!J234=""),"",'Daily Data'!J234/C234)</f>
        <v/>
      </c>
      <c r="X234" s="71">
        <f>IF(OR(C234="",C234=0,'Daily Data'!K234=""),"",'Daily Data'!K234/C234)</f>
        <v/>
      </c>
      <c r="Y234" s="71">
        <f>IF(OR(F234="",W234="",X234=""),"",F234-W234-X234)</f>
        <v/>
      </c>
      <c r="Z234" s="72" t="n">
        <v>369.69</v>
      </c>
      <c r="AA234" s="72" t="n">
        <v>65.23999999999999</v>
      </c>
      <c r="AB234" s="73">
        <f>Z234+AA234</f>
        <v/>
      </c>
      <c r="AC234" s="74">
        <f>IF(OR(E234="",E234=0,AB234=""),"",E234*365/(AB234*1000000))</f>
        <v/>
      </c>
      <c r="AD234" s="98">
        <f>IF(OR(O234="",O234=0,AB234=""),"",(AB234*1000000)/O234)</f>
        <v/>
      </c>
      <c r="AE234" s="99">
        <f>IF(H234="","",(Team_Genesis-H234)/1000000)</f>
        <v/>
      </c>
      <c r="AF234" s="99">
        <f>IF(OR(O234="",AE234=""),"",(O234-AE234*1000000)/1000000)</f>
        <v/>
      </c>
    </row>
    <row r="235">
      <c r="A235" s="35" t="n">
        <v>45889</v>
      </c>
      <c r="B235" s="90">
        <f>IF('Daily Data'!E235="","",'Daily Data'!E235)</f>
        <v/>
      </c>
      <c r="C235" s="65" t="n">
        <v>41.52</v>
      </c>
      <c r="D235" s="94" t="n">
        <v>92180.89</v>
      </c>
      <c r="E235" s="94" t="n">
        <v>26302.267</v>
      </c>
      <c r="F235" s="94" t="n">
        <v>1238.6553</v>
      </c>
      <c r="G235" s="94" t="n"/>
      <c r="H235" s="95">
        <f>SUM($G$4:G235)</f>
        <v/>
      </c>
      <c r="I235" s="94" t="n">
        <v>1000000000</v>
      </c>
      <c r="J235" s="95">
        <f>J234-E235</f>
        <v/>
      </c>
      <c r="K235" s="94" t="n">
        <v>60000000</v>
      </c>
      <c r="L235" s="94" t="n">
        <v>29193133.72</v>
      </c>
      <c r="M235" s="94" t="n">
        <v>3000000</v>
      </c>
      <c r="N235" s="94" t="n">
        <v>365380.3980000019</v>
      </c>
      <c r="O235" s="96">
        <f>IF(OR(I235="",J235="",L235="",N235=""),"",I235-J235-K235-L235-M235-N235)</f>
        <v/>
      </c>
      <c r="P235" s="91">
        <f>IF(OR(O235="",C235=""),"",O235*C235)</f>
        <v/>
      </c>
      <c r="Q235" s="69">
        <f>Q234-E235</f>
        <v/>
      </c>
      <c r="R235" s="97">
        <f>IF(OR(J235="",Q235=""),"",J235-Q235)</f>
        <v/>
      </c>
      <c r="S235" s="69">
        <f>IF(D235="",S234,S234+D235)</f>
        <v/>
      </c>
      <c r="T235" s="97">
        <f>IF(OR(L235="",S235=""),"",L235-S235)</f>
        <v/>
      </c>
      <c r="U235" s="69">
        <f>IF(F235="",U234,U234+F235)</f>
        <v/>
      </c>
      <c r="V235" s="97">
        <f>IF(OR(N235="",U235=""),"",N235-U235)</f>
        <v/>
      </c>
      <c r="W235" s="71">
        <f>IF(OR(C235="",C235=0,'Daily Data'!J235=""),"",'Daily Data'!J235/C235)</f>
        <v/>
      </c>
      <c r="X235" s="71">
        <f>IF(OR(C235="",C235=0,'Daily Data'!K235=""),"",'Daily Data'!K235/C235)</f>
        <v/>
      </c>
      <c r="Y235" s="71">
        <f>IF(OR(F235="",W235="",X235=""),"",F235-W235-X235)</f>
        <v/>
      </c>
      <c r="Z235" s="72" t="n">
        <v>369.69</v>
      </c>
      <c r="AA235" s="72" t="n">
        <v>65.23999999999999</v>
      </c>
      <c r="AB235" s="73">
        <f>Z235+AA235</f>
        <v/>
      </c>
      <c r="AC235" s="74">
        <f>IF(OR(E235="",E235=0,AB235=""),"",E235*365/(AB235*1000000))</f>
        <v/>
      </c>
      <c r="AD235" s="98">
        <f>IF(OR(O235="",O235=0,AB235=""),"",(AB235*1000000)/O235)</f>
        <v/>
      </c>
      <c r="AE235" s="99">
        <f>IF(H235="","",(Team_Genesis-H235)/1000000)</f>
        <v/>
      </c>
      <c r="AF235" s="99">
        <f>IF(OR(O235="",AE235=""),"",(O235-AE235*1000000)/1000000)</f>
        <v/>
      </c>
    </row>
    <row r="236">
      <c r="A236" s="35" t="n">
        <v>45890</v>
      </c>
      <c r="B236" s="90">
        <f>IF('Daily Data'!E236="","",'Daily Data'!E236)</f>
        <v/>
      </c>
      <c r="C236" s="65" t="n">
        <v>43.03</v>
      </c>
      <c r="D236" s="94" t="n">
        <v>76866.14999999999</v>
      </c>
      <c r="E236" s="94" t="n">
        <v>26232.6918</v>
      </c>
      <c r="F236" s="94" t="n">
        <v>2110.2162</v>
      </c>
      <c r="G236" s="94" t="n"/>
      <c r="H236" s="95">
        <f>SUM($G$4:G236)</f>
        <v/>
      </c>
      <c r="I236" s="94" t="n">
        <v>1000000000</v>
      </c>
      <c r="J236" s="95">
        <f>J235-E236</f>
        <v/>
      </c>
      <c r="K236" s="94" t="n">
        <v>60000000</v>
      </c>
      <c r="L236" s="94" t="n">
        <v>29269478.54</v>
      </c>
      <c r="M236" s="94" t="n">
        <v>3000000</v>
      </c>
      <c r="N236" s="94" t="n">
        <v>367490.614199996</v>
      </c>
      <c r="O236" s="96">
        <f>IF(OR(I236="",J236="",L236="",N236=""),"",I236-J236-K236-L236-M236-N236)</f>
        <v/>
      </c>
      <c r="P236" s="91">
        <f>IF(OR(O236="",C236=""),"",O236*C236)</f>
        <v/>
      </c>
      <c r="Q236" s="69">
        <f>Q235-E236</f>
        <v/>
      </c>
      <c r="R236" s="97">
        <f>IF(OR(J236="",Q236=""),"",J236-Q236)</f>
        <v/>
      </c>
      <c r="S236" s="69">
        <f>IF(D236="",S235,S235+D236)</f>
        <v/>
      </c>
      <c r="T236" s="97">
        <f>IF(OR(L236="",S236=""),"",L236-S236)</f>
        <v/>
      </c>
      <c r="U236" s="69">
        <f>IF(F236="",U235,U235+F236)</f>
        <v/>
      </c>
      <c r="V236" s="97">
        <f>IF(OR(N236="",U236=""),"",N236-U236)</f>
        <v/>
      </c>
      <c r="W236" s="71">
        <f>IF(OR(C236="",C236=0,'Daily Data'!J236=""),"",'Daily Data'!J236/C236)</f>
        <v/>
      </c>
      <c r="X236" s="71">
        <f>IF(OR(C236="",C236=0,'Daily Data'!K236=""),"",'Daily Data'!K236/C236)</f>
        <v/>
      </c>
      <c r="Y236" s="71">
        <f>IF(OR(F236="",W236="",X236=""),"",F236-W236-X236)</f>
        <v/>
      </c>
      <c r="Z236" s="72" t="n">
        <v>369.69</v>
      </c>
      <c r="AA236" s="72" t="n">
        <v>65.23999999999999</v>
      </c>
      <c r="AB236" s="73">
        <f>Z236+AA236</f>
        <v/>
      </c>
      <c r="AC236" s="74">
        <f>IF(OR(E236="",E236=0,AB236=""),"",E236*365/(AB236*1000000))</f>
        <v/>
      </c>
      <c r="AD236" s="98">
        <f>IF(OR(O236="",O236=0,AB236=""),"",(AB236*1000000)/O236)</f>
        <v/>
      </c>
      <c r="AE236" s="99">
        <f>IF(H236="","",(Team_Genesis-H236)/1000000)</f>
        <v/>
      </c>
      <c r="AF236" s="99">
        <f>IF(OR(O236="",AE236=""),"",(O236-AE236*1000000)/1000000)</f>
        <v/>
      </c>
    </row>
    <row r="237">
      <c r="A237" s="35" t="n">
        <v>45891</v>
      </c>
      <c r="B237" s="90">
        <f>IF('Daily Data'!E237="","",'Daily Data'!E237)</f>
        <v/>
      </c>
      <c r="C237" s="65" t="n">
        <v>40.63</v>
      </c>
      <c r="D237" s="94" t="n">
        <v>130153.58</v>
      </c>
      <c r="E237" s="94" t="n">
        <v>26316.9537</v>
      </c>
      <c r="F237" s="94" t="n">
        <v>476.4692</v>
      </c>
      <c r="G237" s="94" t="n"/>
      <c r="H237" s="95">
        <f>SUM($G$4:G237)</f>
        <v/>
      </c>
      <c r="I237" s="94" t="n">
        <v>1000000000</v>
      </c>
      <c r="J237" s="95">
        <f>J236-E237</f>
        <v/>
      </c>
      <c r="K237" s="94" t="n">
        <v>60000000</v>
      </c>
      <c r="L237" s="94" t="n">
        <v>29399880.72</v>
      </c>
      <c r="M237" s="94" t="n">
        <v>3000000</v>
      </c>
      <c r="N237" s="94" t="n">
        <v>367967.0834000111</v>
      </c>
      <c r="O237" s="96">
        <f>IF(OR(I237="",J237="",L237="",N237=""),"",I237-J237-K237-L237-M237-N237)</f>
        <v/>
      </c>
      <c r="P237" s="91">
        <f>IF(OR(O237="",C237=""),"",O237*C237)</f>
        <v/>
      </c>
      <c r="Q237" s="69">
        <f>Q236-E237</f>
        <v/>
      </c>
      <c r="R237" s="97">
        <f>IF(OR(J237="",Q237=""),"",J237-Q237)</f>
        <v/>
      </c>
      <c r="S237" s="69">
        <f>IF(D237="",S236,S236+D237)</f>
        <v/>
      </c>
      <c r="T237" s="97">
        <f>IF(OR(L237="",S237=""),"",L237-S237)</f>
        <v/>
      </c>
      <c r="U237" s="69">
        <f>IF(F237="",U236,U236+F237)</f>
        <v/>
      </c>
      <c r="V237" s="97">
        <f>IF(OR(N237="",U237=""),"",N237-U237)</f>
        <v/>
      </c>
      <c r="W237" s="71">
        <f>IF(OR(C237="",C237=0,'Daily Data'!J237=""),"",'Daily Data'!J237/C237)</f>
        <v/>
      </c>
      <c r="X237" s="71">
        <f>IF(OR(C237="",C237=0,'Daily Data'!K237=""),"",'Daily Data'!K237/C237)</f>
        <v/>
      </c>
      <c r="Y237" s="71">
        <f>IF(OR(F237="",W237="",X237=""),"",F237-W237-X237)</f>
        <v/>
      </c>
      <c r="Z237" s="72" t="n">
        <v>369.69</v>
      </c>
      <c r="AA237" s="72" t="n">
        <v>65.23999999999999</v>
      </c>
      <c r="AB237" s="73">
        <f>Z237+AA237</f>
        <v/>
      </c>
      <c r="AC237" s="74">
        <f>IF(OR(E237="",E237=0,AB237=""),"",E237*365/(AB237*1000000))</f>
        <v/>
      </c>
      <c r="AD237" s="98">
        <f>IF(OR(O237="",O237=0,AB237=""),"",(AB237*1000000)/O237)</f>
        <v/>
      </c>
      <c r="AE237" s="99">
        <f>IF(H237="","",(Team_Genesis-H237)/1000000)</f>
        <v/>
      </c>
      <c r="AF237" s="99">
        <f>IF(OR(O237="",AE237=""),"",(O237-AE237*1000000)/1000000)</f>
        <v/>
      </c>
    </row>
    <row r="238">
      <c r="A238" s="35" t="n">
        <v>45892</v>
      </c>
      <c r="B238" s="90">
        <f>IF('Daily Data'!E238="","",'Daily Data'!E238)</f>
        <v/>
      </c>
      <c r="C238" s="65" t="n">
        <v>44.98</v>
      </c>
      <c r="D238" s="94" t="n">
        <v>57895.64</v>
      </c>
      <c r="E238" s="94" t="n">
        <v>26337.2215</v>
      </c>
      <c r="F238" s="94" t="n">
        <v>2213.6907</v>
      </c>
      <c r="G238" s="94" t="n"/>
      <c r="H238" s="95">
        <f>SUM($G$4:G238)</f>
        <v/>
      </c>
      <c r="I238" s="94" t="n">
        <v>1000000000</v>
      </c>
      <c r="J238" s="95">
        <f>J237-E238</f>
        <v/>
      </c>
      <c r="K238" s="94" t="n">
        <v>60000000</v>
      </c>
      <c r="L238" s="94" t="n">
        <v>29457776.36</v>
      </c>
      <c r="M238" s="94" t="n">
        <v>3000000</v>
      </c>
      <c r="N238" s="94" t="n">
        <v>370180.7741999626</v>
      </c>
      <c r="O238" s="96">
        <f>IF(OR(I238="",J238="",L238="",N238=""),"",I238-J238-K238-L238-M238-N238)</f>
        <v/>
      </c>
      <c r="P238" s="91">
        <f>IF(OR(O238="",C238=""),"",O238*C238)</f>
        <v/>
      </c>
      <c r="Q238" s="69">
        <f>Q237-E238</f>
        <v/>
      </c>
      <c r="R238" s="97">
        <f>IF(OR(J238="",Q238=""),"",J238-Q238)</f>
        <v/>
      </c>
      <c r="S238" s="69">
        <f>IF(D238="",S237,S237+D238)</f>
        <v/>
      </c>
      <c r="T238" s="97">
        <f>IF(OR(L238="",S238=""),"",L238-S238)</f>
        <v/>
      </c>
      <c r="U238" s="69">
        <f>IF(F238="",U237,U237+F238)</f>
        <v/>
      </c>
      <c r="V238" s="97">
        <f>IF(OR(N238="",U238=""),"",N238-U238)</f>
        <v/>
      </c>
      <c r="W238" s="71">
        <f>IF(OR(C238="",C238=0,'Daily Data'!J238=""),"",'Daily Data'!J238/C238)</f>
        <v/>
      </c>
      <c r="X238" s="71">
        <f>IF(OR(C238="",C238=0,'Daily Data'!K238=""),"",'Daily Data'!K238/C238)</f>
        <v/>
      </c>
      <c r="Y238" s="71">
        <f>IF(OR(F238="",W238="",X238=""),"",F238-W238-X238)</f>
        <v/>
      </c>
      <c r="Z238" s="72" t="n">
        <v>369.69</v>
      </c>
      <c r="AA238" s="72" t="n">
        <v>65.23999999999999</v>
      </c>
      <c r="AB238" s="73">
        <f>Z238+AA238</f>
        <v/>
      </c>
      <c r="AC238" s="74">
        <f>IF(OR(E238="",E238=0,AB238=""),"",E238*365/(AB238*1000000))</f>
        <v/>
      </c>
      <c r="AD238" s="98">
        <f>IF(OR(O238="",O238=0,AB238=""),"",(AB238*1000000)/O238)</f>
        <v/>
      </c>
      <c r="AE238" s="99">
        <f>IF(H238="","",(Team_Genesis-H238)/1000000)</f>
        <v/>
      </c>
      <c r="AF238" s="99">
        <f>IF(OR(O238="",AE238=""),"",(O238-AE238*1000000)/1000000)</f>
        <v/>
      </c>
    </row>
    <row r="239">
      <c r="A239" s="35" t="n">
        <v>45893</v>
      </c>
      <c r="B239" s="90">
        <f>IF('Daily Data'!E239="","",'Daily Data'!E239)</f>
        <v/>
      </c>
      <c r="C239" s="65" t="n">
        <v>44.83</v>
      </c>
      <c r="D239" s="94" t="n">
        <v>117446.82</v>
      </c>
      <c r="E239" s="94" t="n">
        <v>25925.0993</v>
      </c>
      <c r="F239" s="94" t="n">
        <v>374.1172</v>
      </c>
      <c r="G239" s="94" t="n"/>
      <c r="H239" s="95">
        <f>SUM($G$4:G239)</f>
        <v/>
      </c>
      <c r="I239" s="94" t="n">
        <v>1000000000</v>
      </c>
      <c r="J239" s="95">
        <f>J238-E239</f>
        <v/>
      </c>
      <c r="K239" s="94" t="n">
        <v>60000000</v>
      </c>
      <c r="L239" s="94" t="n">
        <v>29575440.54</v>
      </c>
      <c r="M239" s="94" t="n">
        <v>3000000</v>
      </c>
      <c r="N239" s="94" t="n">
        <v>370554.8913999796</v>
      </c>
      <c r="O239" s="96">
        <f>IF(OR(I239="",J239="",L239="",N239=""),"",I239-J239-K239-L239-M239-N239)</f>
        <v/>
      </c>
      <c r="P239" s="91">
        <f>IF(OR(O239="",C239=""),"",O239*C239)</f>
        <v/>
      </c>
      <c r="Q239" s="69">
        <f>Q238-E239</f>
        <v/>
      </c>
      <c r="R239" s="97">
        <f>IF(OR(J239="",Q239=""),"",J239-Q239)</f>
        <v/>
      </c>
      <c r="S239" s="69">
        <f>IF(D239="",S238,S238+D239)</f>
        <v/>
      </c>
      <c r="T239" s="97">
        <f>IF(OR(L239="",S239=""),"",L239-S239)</f>
        <v/>
      </c>
      <c r="U239" s="69">
        <f>IF(F239="",U238,U238+F239)</f>
        <v/>
      </c>
      <c r="V239" s="97">
        <f>IF(OR(N239="",U239=""),"",N239-U239)</f>
        <v/>
      </c>
      <c r="W239" s="71">
        <f>IF(OR(C239="",C239=0,'Daily Data'!J239=""),"",'Daily Data'!J239/C239)</f>
        <v/>
      </c>
      <c r="X239" s="71">
        <f>IF(OR(C239="",C239=0,'Daily Data'!K239=""),"",'Daily Data'!K239/C239)</f>
        <v/>
      </c>
      <c r="Y239" s="71">
        <f>IF(OR(F239="",W239="",X239=""),"",F239-W239-X239)</f>
        <v/>
      </c>
      <c r="Z239" s="72" t="n">
        <v>369.69</v>
      </c>
      <c r="AA239" s="72" t="n">
        <v>65.23999999999999</v>
      </c>
      <c r="AB239" s="73">
        <f>Z239+AA239</f>
        <v/>
      </c>
      <c r="AC239" s="74">
        <f>IF(OR(E239="",E239=0,AB239=""),"",E239*365/(AB239*1000000))</f>
        <v/>
      </c>
      <c r="AD239" s="98">
        <f>IF(OR(O239="",O239=0,AB239=""),"",(AB239*1000000)/O239)</f>
        <v/>
      </c>
      <c r="AE239" s="99">
        <f>IF(H239="","",(Team_Genesis-H239)/1000000)</f>
        <v/>
      </c>
      <c r="AF239" s="99">
        <f>IF(OR(O239="",AE239=""),"",(O239-AE239*1000000)/1000000)</f>
        <v/>
      </c>
    </row>
    <row r="240">
      <c r="A240" s="35" t="n">
        <v>45894</v>
      </c>
      <c r="B240" s="90">
        <f>IF('Daily Data'!E240="","",'Daily Data'!E240)</f>
        <v/>
      </c>
      <c r="C240" s="65" t="n">
        <v>46.28</v>
      </c>
      <c r="D240" s="94" t="n">
        <v>124431.35</v>
      </c>
      <c r="E240" s="94" t="n">
        <v>26363.9334</v>
      </c>
      <c r="F240" s="94" t="n">
        <v>2861.0986</v>
      </c>
      <c r="G240" s="94" t="n"/>
      <c r="H240" s="95">
        <f>SUM($G$4:G240)</f>
        <v/>
      </c>
      <c r="I240" s="94" t="n">
        <v>1000000000</v>
      </c>
      <c r="J240" s="95">
        <f>J239-E240</f>
        <v/>
      </c>
      <c r="K240" s="94" t="n">
        <v>60000000</v>
      </c>
      <c r="L240" s="94" t="n">
        <v>29699945.26</v>
      </c>
      <c r="M240" s="94" t="n">
        <v>3000000</v>
      </c>
      <c r="N240" s="94" t="n">
        <v>373415.9898999929</v>
      </c>
      <c r="O240" s="96">
        <f>IF(OR(I240="",J240="",L240="",N240=""),"",I240-J240-K240-L240-M240-N240)</f>
        <v/>
      </c>
      <c r="P240" s="91">
        <f>IF(OR(O240="",C240=""),"",O240*C240)</f>
        <v/>
      </c>
      <c r="Q240" s="69">
        <f>Q239-E240</f>
        <v/>
      </c>
      <c r="R240" s="97">
        <f>IF(OR(J240="",Q240=""),"",J240-Q240)</f>
        <v/>
      </c>
      <c r="S240" s="69">
        <f>IF(D240="",S239,S239+D240)</f>
        <v/>
      </c>
      <c r="T240" s="97">
        <f>IF(OR(L240="",S240=""),"",L240-S240)</f>
        <v/>
      </c>
      <c r="U240" s="69">
        <f>IF(F240="",U239,U239+F240)</f>
        <v/>
      </c>
      <c r="V240" s="97">
        <f>IF(OR(N240="",U240=""),"",N240-U240)</f>
        <v/>
      </c>
      <c r="W240" s="71">
        <f>IF(OR(C240="",C240=0,'Daily Data'!J240=""),"",'Daily Data'!J240/C240)</f>
        <v/>
      </c>
      <c r="X240" s="71">
        <f>IF(OR(C240="",C240=0,'Daily Data'!K240=""),"",'Daily Data'!K240/C240)</f>
        <v/>
      </c>
      <c r="Y240" s="71">
        <f>IF(OR(F240="",W240="",X240=""),"",F240-W240-X240)</f>
        <v/>
      </c>
      <c r="Z240" s="72" t="n">
        <v>369.69</v>
      </c>
      <c r="AA240" s="72" t="n">
        <v>65.23999999999999</v>
      </c>
      <c r="AB240" s="73">
        <f>Z240+AA240</f>
        <v/>
      </c>
      <c r="AC240" s="74">
        <f>IF(OR(E240="",E240=0,AB240=""),"",E240*365/(AB240*1000000))</f>
        <v/>
      </c>
      <c r="AD240" s="98">
        <f>IF(OR(O240="",O240=0,AB240=""),"",(AB240*1000000)/O240)</f>
        <v/>
      </c>
      <c r="AE240" s="99">
        <f>IF(H240="","",(Team_Genesis-H240)/1000000)</f>
        <v/>
      </c>
      <c r="AF240" s="99">
        <f>IF(OR(O240="",AE240=""),"",(O240-AE240*1000000)/1000000)</f>
        <v/>
      </c>
    </row>
    <row r="241">
      <c r="A241" s="35" t="n">
        <v>45895</v>
      </c>
      <c r="B241" s="90">
        <f>IF('Daily Data'!E241="","",'Daily Data'!E241)</f>
        <v/>
      </c>
      <c r="C241" s="65" t="n">
        <v>42.81</v>
      </c>
      <c r="D241" s="94" t="n">
        <v>124468.22</v>
      </c>
      <c r="E241" s="94" t="n">
        <v>26366.0098</v>
      </c>
      <c r="F241" s="94" t="n">
        <v>1538.1765</v>
      </c>
      <c r="G241" s="94" t="n"/>
      <c r="H241" s="95">
        <f>SUM($G$4:G241)</f>
        <v/>
      </c>
      <c r="I241" s="94" t="n">
        <v>1000000000</v>
      </c>
      <c r="J241" s="95">
        <f>J240-E241</f>
        <v/>
      </c>
      <c r="K241" s="94" t="n">
        <v>60000000</v>
      </c>
      <c r="L241" s="94" t="n">
        <v>29824454.1</v>
      </c>
      <c r="M241" s="94" t="n">
        <v>3000000</v>
      </c>
      <c r="N241" s="94" t="n">
        <v>374954.1663999557</v>
      </c>
      <c r="O241" s="96">
        <f>IF(OR(I241="",J241="",L241="",N241=""),"",I241-J241-K241-L241-M241-N241)</f>
        <v/>
      </c>
      <c r="P241" s="91">
        <f>IF(OR(O241="",C241=""),"",O241*C241)</f>
        <v/>
      </c>
      <c r="Q241" s="69">
        <f>Q240-E241</f>
        <v/>
      </c>
      <c r="R241" s="97">
        <f>IF(OR(J241="",Q241=""),"",J241-Q241)</f>
        <v/>
      </c>
      <c r="S241" s="69">
        <f>IF(D241="",S240,S240+D241)</f>
        <v/>
      </c>
      <c r="T241" s="97">
        <f>IF(OR(L241="",S241=""),"",L241-S241)</f>
        <v/>
      </c>
      <c r="U241" s="69">
        <f>IF(F241="",U240,U240+F241)</f>
        <v/>
      </c>
      <c r="V241" s="97">
        <f>IF(OR(N241="",U241=""),"",N241-U241)</f>
        <v/>
      </c>
      <c r="W241" s="71">
        <f>IF(OR(C241="",C241=0,'Daily Data'!J241=""),"",'Daily Data'!J241/C241)</f>
        <v/>
      </c>
      <c r="X241" s="71">
        <f>IF(OR(C241="",C241=0,'Daily Data'!K241=""),"",'Daily Data'!K241/C241)</f>
        <v/>
      </c>
      <c r="Y241" s="71">
        <f>IF(OR(F241="",W241="",X241=""),"",F241-W241-X241)</f>
        <v/>
      </c>
      <c r="Z241" s="72" t="n">
        <v>369.69</v>
      </c>
      <c r="AA241" s="72" t="n">
        <v>65.23999999999999</v>
      </c>
      <c r="AB241" s="73">
        <f>Z241+AA241</f>
        <v/>
      </c>
      <c r="AC241" s="74">
        <f>IF(OR(E241="",E241=0,AB241=""),"",E241*365/(AB241*1000000))</f>
        <v/>
      </c>
      <c r="AD241" s="98">
        <f>IF(OR(O241="",O241=0,AB241=""),"",(AB241*1000000)/O241)</f>
        <v/>
      </c>
      <c r="AE241" s="99">
        <f>IF(H241="","",(Team_Genesis-H241)/1000000)</f>
        <v/>
      </c>
      <c r="AF241" s="99">
        <f>IF(OR(O241="",AE241=""),"",(O241-AE241*1000000)/1000000)</f>
        <v/>
      </c>
    </row>
    <row r="242">
      <c r="A242" s="35" t="n">
        <v>45896</v>
      </c>
      <c r="B242" s="90">
        <f>IF('Daily Data'!E242="","",'Daily Data'!E242)</f>
        <v/>
      </c>
      <c r="C242" s="65" t="n">
        <v>48.58</v>
      </c>
      <c r="D242" s="94" t="n">
        <v>73824.09</v>
      </c>
      <c r="E242" s="94" t="n">
        <v>26403.5722</v>
      </c>
      <c r="F242" s="94" t="n">
        <v>2522.4986</v>
      </c>
      <c r="G242" s="94" t="n"/>
      <c r="H242" s="95">
        <f>SUM($G$4:G242)</f>
        <v/>
      </c>
      <c r="I242" s="94" t="n">
        <v>1000000000</v>
      </c>
      <c r="J242" s="95">
        <f>J241-E242</f>
        <v/>
      </c>
      <c r="K242" s="94" t="n">
        <v>60000000</v>
      </c>
      <c r="L242" s="94" t="n">
        <v>29897946.84</v>
      </c>
      <c r="M242" s="94" t="n">
        <v>3000000</v>
      </c>
      <c r="N242" s="94" t="n">
        <v>377476.6649999619</v>
      </c>
      <c r="O242" s="96">
        <f>IF(OR(I242="",J242="",L242="",N242=""),"",I242-J242-K242-L242-M242-N242)</f>
        <v/>
      </c>
      <c r="P242" s="91">
        <f>IF(OR(O242="",C242=""),"",O242*C242)</f>
        <v/>
      </c>
      <c r="Q242" s="69">
        <f>Q241-E242</f>
        <v/>
      </c>
      <c r="R242" s="97">
        <f>IF(OR(J242="",Q242=""),"",J242-Q242)</f>
        <v/>
      </c>
      <c r="S242" s="69">
        <f>IF(D242="",S241,S241+D242)</f>
        <v/>
      </c>
      <c r="T242" s="97">
        <f>IF(OR(L242="",S242=""),"",L242-S242)</f>
        <v/>
      </c>
      <c r="U242" s="69">
        <f>IF(F242="",U241,U241+F242)</f>
        <v/>
      </c>
      <c r="V242" s="97">
        <f>IF(OR(N242="",U242=""),"",N242-U242)</f>
        <v/>
      </c>
      <c r="W242" s="71">
        <f>IF(OR(C242="",C242=0,'Daily Data'!J242=""),"",'Daily Data'!J242/C242)</f>
        <v/>
      </c>
      <c r="X242" s="71">
        <f>IF(OR(C242="",C242=0,'Daily Data'!K242=""),"",'Daily Data'!K242/C242)</f>
        <v/>
      </c>
      <c r="Y242" s="71">
        <f>IF(OR(F242="",W242="",X242=""),"",F242-W242-X242)</f>
        <v/>
      </c>
      <c r="Z242" s="72" t="n">
        <v>369.69</v>
      </c>
      <c r="AA242" s="72" t="n">
        <v>65.23999999999999</v>
      </c>
      <c r="AB242" s="73">
        <f>Z242+AA242</f>
        <v/>
      </c>
      <c r="AC242" s="74">
        <f>IF(OR(E242="",E242=0,AB242=""),"",E242*365/(AB242*1000000))</f>
        <v/>
      </c>
      <c r="AD242" s="98">
        <f>IF(OR(O242="",O242=0,AB242=""),"",(AB242*1000000)/O242)</f>
        <v/>
      </c>
      <c r="AE242" s="99">
        <f>IF(H242="","",(Team_Genesis-H242)/1000000)</f>
        <v/>
      </c>
      <c r="AF242" s="99">
        <f>IF(OR(O242="",AE242=""),"",(O242-AE242*1000000)/1000000)</f>
        <v/>
      </c>
    </row>
    <row r="243">
      <c r="A243" s="35" t="n">
        <v>45897</v>
      </c>
      <c r="B243" s="90">
        <f>IF('Daily Data'!E243="","",'Daily Data'!E243)</f>
        <v/>
      </c>
      <c r="C243" s="65" t="n">
        <v>47.12</v>
      </c>
      <c r="D243" s="94" t="n">
        <v>59964.64</v>
      </c>
      <c r="E243" s="94" t="n">
        <v>26384</v>
      </c>
      <c r="F243" s="94" t="n">
        <v>2596.5887</v>
      </c>
      <c r="G243" s="94" t="n"/>
      <c r="H243" s="95">
        <f>SUM($G$4:G243)</f>
        <v/>
      </c>
      <c r="I243" s="94" t="n">
        <v>1000000000</v>
      </c>
      <c r="J243" s="95">
        <f>J242-E243</f>
        <v/>
      </c>
      <c r="K243" s="94" t="n">
        <v>60000000</v>
      </c>
      <c r="L243" s="94" t="n">
        <v>29957492.26</v>
      </c>
      <c r="M243" s="94" t="n">
        <v>3000000</v>
      </c>
      <c r="N243" s="94" t="n">
        <v>380073.2537000179</v>
      </c>
      <c r="O243" s="96">
        <f>IF(OR(I243="",J243="",L243="",N243=""),"",I243-J243-K243-L243-M243-N243)</f>
        <v/>
      </c>
      <c r="P243" s="91">
        <f>IF(OR(O243="",C243=""),"",O243*C243)</f>
        <v/>
      </c>
      <c r="Q243" s="69">
        <f>Q242-E243</f>
        <v/>
      </c>
      <c r="R243" s="97">
        <f>IF(OR(J243="",Q243=""),"",J243-Q243)</f>
        <v/>
      </c>
      <c r="S243" s="69">
        <f>IF(D243="",S242,S242+D243)</f>
        <v/>
      </c>
      <c r="T243" s="97">
        <f>IF(OR(L243="",S243=""),"",L243-S243)</f>
        <v/>
      </c>
      <c r="U243" s="69">
        <f>IF(F243="",U242,U242+F243)</f>
        <v/>
      </c>
      <c r="V243" s="97">
        <f>IF(OR(N243="",U243=""),"",N243-U243)</f>
        <v/>
      </c>
      <c r="W243" s="71">
        <f>IF(OR(C243="",C243=0,'Daily Data'!J243=""),"",'Daily Data'!J243/C243)</f>
        <v/>
      </c>
      <c r="X243" s="71">
        <f>IF(OR(C243="",C243=0,'Daily Data'!K243=""),"",'Daily Data'!K243/C243)</f>
        <v/>
      </c>
      <c r="Y243" s="71">
        <f>IF(OR(F243="",W243="",X243=""),"",F243-W243-X243)</f>
        <v/>
      </c>
      <c r="Z243" s="72" t="n">
        <v>369.69</v>
      </c>
      <c r="AA243" s="72" t="n">
        <v>65.23999999999999</v>
      </c>
      <c r="AB243" s="73">
        <f>Z243+AA243</f>
        <v/>
      </c>
      <c r="AC243" s="74">
        <f>IF(OR(E243="",E243=0,AB243=""),"",E243*365/(AB243*1000000))</f>
        <v/>
      </c>
      <c r="AD243" s="98">
        <f>IF(OR(O243="",O243=0,AB243=""),"",(AB243*1000000)/O243)</f>
        <v/>
      </c>
      <c r="AE243" s="99">
        <f>IF(H243="","",(Team_Genesis-H243)/1000000)</f>
        <v/>
      </c>
      <c r="AF243" s="99">
        <f>IF(OR(O243="",AE243=""),"",(O243-AE243*1000000)/1000000)</f>
        <v/>
      </c>
    </row>
    <row r="244">
      <c r="A244" s="35" t="n">
        <v>45898</v>
      </c>
      <c r="B244" s="90">
        <f>IF('Daily Data'!E244="","",'Daily Data'!E244)</f>
        <v/>
      </c>
      <c r="C244" s="65" t="n">
        <v>45.57</v>
      </c>
      <c r="D244" s="94" t="n">
        <v>101222.13</v>
      </c>
      <c r="E244" s="94" t="n">
        <v>26324.2015</v>
      </c>
      <c r="F244" s="94" t="n">
        <v>775.6297</v>
      </c>
      <c r="G244" s="94" t="n"/>
      <c r="H244" s="95">
        <f>SUM($G$4:G244)</f>
        <v/>
      </c>
      <c r="I244" s="94" t="n">
        <v>1000000000</v>
      </c>
      <c r="J244" s="95">
        <f>J243-E244</f>
        <v/>
      </c>
      <c r="K244" s="94" t="n">
        <v>60000000</v>
      </c>
      <c r="L244" s="94" t="n">
        <v>30059183.69</v>
      </c>
      <c r="M244" s="94" t="n">
        <v>3000000</v>
      </c>
      <c r="N244" s="94" t="n">
        <v>380848.8833999634</v>
      </c>
      <c r="O244" s="96">
        <f>IF(OR(I244="",J244="",L244="",N244=""),"",I244-J244-K244-L244-M244-N244)</f>
        <v/>
      </c>
      <c r="P244" s="91">
        <f>IF(OR(O244="",C244=""),"",O244*C244)</f>
        <v/>
      </c>
      <c r="Q244" s="69">
        <f>Q243-E244</f>
        <v/>
      </c>
      <c r="R244" s="97">
        <f>IF(OR(J244="",Q244=""),"",J244-Q244)</f>
        <v/>
      </c>
      <c r="S244" s="69">
        <f>IF(D244="",S243,S243+D244)</f>
        <v/>
      </c>
      <c r="T244" s="97">
        <f>IF(OR(L244="",S244=""),"",L244-S244)</f>
        <v/>
      </c>
      <c r="U244" s="69">
        <f>IF(F244="",U243,U243+F244)</f>
        <v/>
      </c>
      <c r="V244" s="97">
        <f>IF(OR(N244="",U244=""),"",N244-U244)</f>
        <v/>
      </c>
      <c r="W244" s="71">
        <f>IF(OR(C244="",C244=0,'Daily Data'!J244=""),"",'Daily Data'!J244/C244)</f>
        <v/>
      </c>
      <c r="X244" s="71">
        <f>IF(OR(C244="",C244=0,'Daily Data'!K244=""),"",'Daily Data'!K244/C244)</f>
        <v/>
      </c>
      <c r="Y244" s="71">
        <f>IF(OR(F244="",W244="",X244=""),"",F244-W244-X244)</f>
        <v/>
      </c>
      <c r="Z244" s="72" t="n">
        <v>369.69</v>
      </c>
      <c r="AA244" s="72" t="n">
        <v>65.23999999999999</v>
      </c>
      <c r="AB244" s="73">
        <f>Z244+AA244</f>
        <v/>
      </c>
      <c r="AC244" s="74">
        <f>IF(OR(E244="",E244=0,AB244=""),"",E244*365/(AB244*1000000))</f>
        <v/>
      </c>
      <c r="AD244" s="98">
        <f>IF(OR(O244="",O244=0,AB244=""),"",(AB244*1000000)/O244)</f>
        <v/>
      </c>
      <c r="AE244" s="99">
        <f>IF(H244="","",(Team_Genesis-H244)/1000000)</f>
        <v/>
      </c>
      <c r="AF244" s="99">
        <f>IF(OR(O244="",AE244=""),"",(O244-AE244*1000000)/1000000)</f>
        <v/>
      </c>
    </row>
    <row r="245">
      <c r="A245" s="35" t="n">
        <v>45899</v>
      </c>
      <c r="B245" s="90">
        <f>IF('Daily Data'!E245="","",'Daily Data'!E245)</f>
        <v/>
      </c>
      <c r="C245" s="65" t="n">
        <v>44.41</v>
      </c>
      <c r="D245" s="94" t="n">
        <v>43251.17</v>
      </c>
      <c r="E245" s="94" t="n">
        <v>26261.8781</v>
      </c>
      <c r="F245" s="94" t="n">
        <v>1515.4212</v>
      </c>
      <c r="G245" s="94" t="n"/>
      <c r="H245" s="95">
        <f>SUM($G$4:G245)</f>
        <v/>
      </c>
      <c r="I245" s="94" t="n">
        <v>1000000000</v>
      </c>
      <c r="J245" s="95">
        <f>J244-E245</f>
        <v/>
      </c>
      <c r="K245" s="94" t="n">
        <v>60000000</v>
      </c>
      <c r="L245" s="94" t="n">
        <v>30102384.78</v>
      </c>
      <c r="M245" s="94" t="n">
        <v>3000000</v>
      </c>
      <c r="N245" s="94" t="n">
        <v>382364.3046000004</v>
      </c>
      <c r="O245" s="96">
        <f>IF(OR(I245="",J245="",L245="",N245=""),"",I245-J245-K245-L245-M245-N245)</f>
        <v/>
      </c>
      <c r="P245" s="91">
        <f>IF(OR(O245="",C245=""),"",O245*C245)</f>
        <v/>
      </c>
      <c r="Q245" s="69">
        <f>Q244-E245</f>
        <v/>
      </c>
      <c r="R245" s="97">
        <f>IF(OR(J245="",Q245=""),"",J245-Q245)</f>
        <v/>
      </c>
      <c r="S245" s="69">
        <f>IF(D245="",S244,S244+D245)</f>
        <v/>
      </c>
      <c r="T245" s="97">
        <f>IF(OR(L245="",S245=""),"",L245-S245)</f>
        <v/>
      </c>
      <c r="U245" s="69">
        <f>IF(F245="",U244,U244+F245)</f>
        <v/>
      </c>
      <c r="V245" s="97">
        <f>IF(OR(N245="",U245=""),"",N245-U245)</f>
        <v/>
      </c>
      <c r="W245" s="71">
        <f>IF(OR(C245="",C245=0,'Daily Data'!J245=""),"",'Daily Data'!J245/C245)</f>
        <v/>
      </c>
      <c r="X245" s="71">
        <f>IF(OR(C245="",C245=0,'Daily Data'!K245=""),"",'Daily Data'!K245/C245)</f>
        <v/>
      </c>
      <c r="Y245" s="71">
        <f>IF(OR(F245="",W245="",X245=""),"",F245-W245-X245)</f>
        <v/>
      </c>
      <c r="Z245" s="72" t="n">
        <v>369.69</v>
      </c>
      <c r="AA245" s="72" t="n">
        <v>65.23999999999999</v>
      </c>
      <c r="AB245" s="73">
        <f>Z245+AA245</f>
        <v/>
      </c>
      <c r="AC245" s="74">
        <f>IF(OR(E245="",E245=0,AB245=""),"",E245*365/(AB245*1000000))</f>
        <v/>
      </c>
      <c r="AD245" s="98">
        <f>IF(OR(O245="",O245=0,AB245=""),"",(AB245*1000000)/O245)</f>
        <v/>
      </c>
      <c r="AE245" s="99">
        <f>IF(H245="","",(Team_Genesis-H245)/1000000)</f>
        <v/>
      </c>
      <c r="AF245" s="99">
        <f>IF(OR(O245="",AE245=""),"",(O245-AE245*1000000)/1000000)</f>
        <v/>
      </c>
    </row>
    <row r="246">
      <c r="A246" s="35" t="n">
        <v>45900</v>
      </c>
      <c r="B246" s="90">
        <f>IF('Daily Data'!E246="","",'Daily Data'!E246)</f>
        <v/>
      </c>
      <c r="C246" s="65" t="n">
        <v>44.1</v>
      </c>
      <c r="D246" s="94" t="n">
        <v>39932.11</v>
      </c>
      <c r="E246" s="94" t="n">
        <v>26548.2562</v>
      </c>
      <c r="F246" s="94" t="n">
        <v>1051.6584</v>
      </c>
      <c r="G246" s="94" t="n"/>
      <c r="H246" s="95">
        <f>SUM($G$4:G246)</f>
        <v/>
      </c>
      <c r="I246" s="94" t="n">
        <v>1000000000</v>
      </c>
      <c r="J246" s="95">
        <f>J245-E246</f>
        <v/>
      </c>
      <c r="K246" s="94" t="n">
        <v>60000000</v>
      </c>
      <c r="L246" s="94" t="n">
        <v>30142542.9</v>
      </c>
      <c r="M246" s="94" t="n">
        <v>3000000</v>
      </c>
      <c r="N246" s="94" t="n">
        <v>383415.9630000591</v>
      </c>
      <c r="O246" s="96">
        <f>IF(OR(I246="",J246="",L246="",N246=""),"",I246-J246-K246-L246-M246-N246)</f>
        <v/>
      </c>
      <c r="P246" s="91">
        <f>IF(OR(O246="",C246=""),"",O246*C246)</f>
        <v/>
      </c>
      <c r="Q246" s="69">
        <f>Q245-E246</f>
        <v/>
      </c>
      <c r="R246" s="97">
        <f>IF(OR(J246="",Q246=""),"",J246-Q246)</f>
        <v/>
      </c>
      <c r="S246" s="69">
        <f>IF(D246="",S245,S245+D246)</f>
        <v/>
      </c>
      <c r="T246" s="97">
        <f>IF(OR(L246="",S246=""),"",L246-S246)</f>
        <v/>
      </c>
      <c r="U246" s="69">
        <f>IF(F246="",U245,U245+F246)</f>
        <v/>
      </c>
      <c r="V246" s="97">
        <f>IF(OR(N246="",U246=""),"",N246-U246)</f>
        <v/>
      </c>
      <c r="W246" s="71">
        <f>IF(OR(C246="",C246=0,'Daily Data'!J246=""),"",'Daily Data'!J246/C246)</f>
        <v/>
      </c>
      <c r="X246" s="71">
        <f>IF(OR(C246="",C246=0,'Daily Data'!K246=""),"",'Daily Data'!K246/C246)</f>
        <v/>
      </c>
      <c r="Y246" s="71">
        <f>IF(OR(F246="",W246="",X246=""),"",F246-W246-X246)</f>
        <v/>
      </c>
      <c r="Z246" s="72" t="n">
        <v>369.69</v>
      </c>
      <c r="AA246" s="72" t="n">
        <v>65.23999999999999</v>
      </c>
      <c r="AB246" s="73">
        <f>Z246+AA246</f>
        <v/>
      </c>
      <c r="AC246" s="74">
        <f>IF(OR(E246="",E246=0,AB246=""),"",E246*365/(AB246*1000000))</f>
        <v/>
      </c>
      <c r="AD246" s="98">
        <f>IF(OR(O246="",O246=0,AB246=""),"",(AB246*1000000)/O246)</f>
        <v/>
      </c>
      <c r="AE246" s="99">
        <f>IF(H246="","",(Team_Genesis-H246)/1000000)</f>
        <v/>
      </c>
      <c r="AF246" s="99">
        <f>IF(OR(O246="",AE246=""),"",(O246-AE246*1000000)/1000000)</f>
        <v/>
      </c>
    </row>
    <row r="247">
      <c r="A247" s="35" t="n">
        <v>45901</v>
      </c>
      <c r="B247" s="90">
        <f>IF('Daily Data'!E247="","",'Daily Data'!E247)</f>
        <v/>
      </c>
      <c r="C247" s="65" t="n">
        <v>44.2</v>
      </c>
      <c r="D247" s="94" t="n">
        <v>68021.86</v>
      </c>
      <c r="E247" s="94" t="n">
        <v>26680.4789</v>
      </c>
      <c r="F247" s="94" t="n">
        <v>996.2214</v>
      </c>
      <c r="G247" s="94" t="n"/>
      <c r="H247" s="95">
        <f>SUM($G$4:G247)</f>
        <v/>
      </c>
      <c r="I247" s="94" t="n">
        <v>1000000000</v>
      </c>
      <c r="J247" s="95">
        <f>J246-E247</f>
        <v/>
      </c>
      <c r="K247" s="94" t="n">
        <v>60000000</v>
      </c>
      <c r="L247" s="94" t="n">
        <v>30210338.75</v>
      </c>
      <c r="M247" s="94" t="n">
        <v>3000000</v>
      </c>
      <c r="N247" s="94" t="n">
        <v>384412.1843999624</v>
      </c>
      <c r="O247" s="96">
        <f>IF(OR(I247="",J247="",L247="",N247=""),"",I247-J247-K247-L247-M247-N247)</f>
        <v/>
      </c>
      <c r="P247" s="91">
        <f>IF(OR(O247="",C247=""),"",O247*C247)</f>
        <v/>
      </c>
      <c r="Q247" s="69">
        <f>Q246-E247</f>
        <v/>
      </c>
      <c r="R247" s="97">
        <f>IF(OR(J247="",Q247=""),"",J247-Q247)</f>
        <v/>
      </c>
      <c r="S247" s="69">
        <f>IF(D247="",S246,S246+D247)</f>
        <v/>
      </c>
      <c r="T247" s="97">
        <f>IF(OR(L247="",S247=""),"",L247-S247)</f>
        <v/>
      </c>
      <c r="U247" s="69">
        <f>IF(F247="",U246,U246+F247)</f>
        <v/>
      </c>
      <c r="V247" s="97">
        <f>IF(OR(N247="",U247=""),"",N247-U247)</f>
        <v/>
      </c>
      <c r="W247" s="71">
        <f>IF(OR(C247="",C247=0,'Daily Data'!J247=""),"",'Daily Data'!J247/C247)</f>
        <v/>
      </c>
      <c r="X247" s="71">
        <f>IF(OR(C247="",C247=0,'Daily Data'!K247=""),"",'Daily Data'!K247/C247)</f>
        <v/>
      </c>
      <c r="Y247" s="71">
        <f>IF(OR(F247="",W247="",X247=""),"",F247-W247-X247)</f>
        <v/>
      </c>
      <c r="Z247" s="72" t="n">
        <v>361.67</v>
      </c>
      <c r="AA247" s="72" t="n">
        <v>63.82</v>
      </c>
      <c r="AB247" s="73">
        <f>Z247+AA247</f>
        <v/>
      </c>
      <c r="AC247" s="74">
        <f>IF(OR(E247="",E247=0,AB247=""),"",E247*365/(AB247*1000000))</f>
        <v/>
      </c>
      <c r="AD247" s="98">
        <f>IF(OR(O247="",O247=0,AB247=""),"",(AB247*1000000)/O247)</f>
        <v/>
      </c>
      <c r="AE247" s="99">
        <f>IF(H247="","",(Team_Genesis-H247)/1000000)</f>
        <v/>
      </c>
      <c r="AF247" s="99">
        <f>IF(OR(O247="",AE247=""),"",(O247-AE247*1000000)/1000000)</f>
        <v/>
      </c>
    </row>
    <row r="248">
      <c r="A248" s="35" t="n">
        <v>45902</v>
      </c>
      <c r="B248" s="90">
        <f>IF('Daily Data'!E248="","",'Daily Data'!E248)</f>
        <v/>
      </c>
      <c r="C248" s="65" t="n">
        <v>42.98</v>
      </c>
      <c r="D248" s="94" t="n">
        <v>69292.78</v>
      </c>
      <c r="E248" s="94" t="n">
        <v>26649.846</v>
      </c>
      <c r="F248" s="94" t="n">
        <v>470.2765</v>
      </c>
      <c r="G248" s="94" t="n"/>
      <c r="H248" s="95">
        <f>SUM($G$4:G248)</f>
        <v/>
      </c>
      <c r="I248" s="94" t="n">
        <v>1000000000</v>
      </c>
      <c r="J248" s="95">
        <f>J247-E248</f>
        <v/>
      </c>
      <c r="K248" s="94" t="n">
        <v>60000000</v>
      </c>
      <c r="L248" s="94" t="n">
        <v>30279631.53</v>
      </c>
      <c r="M248" s="94" t="n">
        <v>3000000</v>
      </c>
      <c r="N248" s="94" t="n">
        <v>384882.4608999491</v>
      </c>
      <c r="O248" s="96">
        <f>IF(OR(I248="",J248="",L248="",N248=""),"",I248-J248-K248-L248-M248-N248)</f>
        <v/>
      </c>
      <c r="P248" s="91">
        <f>IF(OR(O248="",C248=""),"",O248*C248)</f>
        <v/>
      </c>
      <c r="Q248" s="69">
        <f>Q247-E248</f>
        <v/>
      </c>
      <c r="R248" s="97">
        <f>IF(OR(J248="",Q248=""),"",J248-Q248)</f>
        <v/>
      </c>
      <c r="S248" s="69">
        <f>IF(D248="",S247,S247+D248)</f>
        <v/>
      </c>
      <c r="T248" s="97">
        <f>IF(OR(L248="",S248=""),"",L248-S248)</f>
        <v/>
      </c>
      <c r="U248" s="69">
        <f>IF(F248="",U247,U247+F248)</f>
        <v/>
      </c>
      <c r="V248" s="97">
        <f>IF(OR(N248="",U248=""),"",N248-U248)</f>
        <v/>
      </c>
      <c r="W248" s="71">
        <f>IF(OR(C248="",C248=0,'Daily Data'!J248=""),"",'Daily Data'!J248/C248)</f>
        <v/>
      </c>
      <c r="X248" s="71">
        <f>IF(OR(C248="",C248=0,'Daily Data'!K248=""),"",'Daily Data'!K248/C248)</f>
        <v/>
      </c>
      <c r="Y248" s="71">
        <f>IF(OR(F248="",W248="",X248=""),"",F248-W248-X248)</f>
        <v/>
      </c>
      <c r="Z248" s="72" t="n">
        <v>361.67</v>
      </c>
      <c r="AA248" s="72" t="n">
        <v>63.82</v>
      </c>
      <c r="AB248" s="73">
        <f>Z248+AA248</f>
        <v/>
      </c>
      <c r="AC248" s="74">
        <f>IF(OR(E248="",E248=0,AB248=""),"",E248*365/(AB248*1000000))</f>
        <v/>
      </c>
      <c r="AD248" s="98">
        <f>IF(OR(O248="",O248=0,AB248=""),"",(AB248*1000000)/O248)</f>
        <v/>
      </c>
      <c r="AE248" s="99">
        <f>IF(H248="","",(Team_Genesis-H248)/1000000)</f>
        <v/>
      </c>
      <c r="AF248" s="99">
        <f>IF(OR(O248="",AE248=""),"",(O248-AE248*1000000)/1000000)</f>
        <v/>
      </c>
    </row>
    <row r="249">
      <c r="A249" s="35" t="n">
        <v>45903</v>
      </c>
      <c r="B249" s="90">
        <f>IF('Daily Data'!E249="","",'Daily Data'!E249)</f>
        <v/>
      </c>
      <c r="C249" s="65" t="n">
        <v>44.99</v>
      </c>
      <c r="D249" s="94" t="n">
        <v>49663.71</v>
      </c>
      <c r="E249" s="94" t="n">
        <v>26600.4145</v>
      </c>
      <c r="F249" s="94" t="n">
        <v>1849.0277</v>
      </c>
      <c r="G249" s="94" t="n"/>
      <c r="H249" s="95">
        <f>SUM($G$4:G249)</f>
        <v/>
      </c>
      <c r="I249" s="94" t="n">
        <v>1000000000</v>
      </c>
      <c r="J249" s="95">
        <f>J248-E249</f>
        <v/>
      </c>
      <c r="K249" s="94" t="n">
        <v>60000000</v>
      </c>
      <c r="L249" s="94" t="n">
        <v>30329295.24</v>
      </c>
      <c r="M249" s="94" t="n">
        <v>3000000</v>
      </c>
      <c r="N249" s="94" t="n">
        <v>386731.4886000156</v>
      </c>
      <c r="O249" s="96">
        <f>IF(OR(I249="",J249="",L249="",N249=""),"",I249-J249-K249-L249-M249-N249)</f>
        <v/>
      </c>
      <c r="P249" s="91">
        <f>IF(OR(O249="",C249=""),"",O249*C249)</f>
        <v/>
      </c>
      <c r="Q249" s="69">
        <f>Q248-E249</f>
        <v/>
      </c>
      <c r="R249" s="97">
        <f>IF(OR(J249="",Q249=""),"",J249-Q249)</f>
        <v/>
      </c>
      <c r="S249" s="69">
        <f>IF(D249="",S248,S248+D249)</f>
        <v/>
      </c>
      <c r="T249" s="97">
        <f>IF(OR(L249="",S249=""),"",L249-S249)</f>
        <v/>
      </c>
      <c r="U249" s="69">
        <f>IF(F249="",U248,U248+F249)</f>
        <v/>
      </c>
      <c r="V249" s="97">
        <f>IF(OR(N249="",U249=""),"",N249-U249)</f>
        <v/>
      </c>
      <c r="W249" s="71">
        <f>IF(OR(C249="",C249=0,'Daily Data'!J249=""),"",'Daily Data'!J249/C249)</f>
        <v/>
      </c>
      <c r="X249" s="71">
        <f>IF(OR(C249="",C249=0,'Daily Data'!K249=""),"",'Daily Data'!K249/C249)</f>
        <v/>
      </c>
      <c r="Y249" s="71">
        <f>IF(OR(F249="",W249="",X249=""),"",F249-W249-X249)</f>
        <v/>
      </c>
      <c r="Z249" s="72" t="n">
        <v>361.67</v>
      </c>
      <c r="AA249" s="72" t="n">
        <v>63.82</v>
      </c>
      <c r="AB249" s="73">
        <f>Z249+AA249</f>
        <v/>
      </c>
      <c r="AC249" s="74">
        <f>IF(OR(E249="",E249=0,AB249=""),"",E249*365/(AB249*1000000))</f>
        <v/>
      </c>
      <c r="AD249" s="98">
        <f>IF(OR(O249="",O249=0,AB249=""),"",(AB249*1000000)/O249)</f>
        <v/>
      </c>
      <c r="AE249" s="99">
        <f>IF(H249="","",(Team_Genesis-H249)/1000000)</f>
        <v/>
      </c>
      <c r="AF249" s="99">
        <f>IF(OR(O249="",AE249=""),"",(O249-AE249*1000000)/1000000)</f>
        <v/>
      </c>
    </row>
    <row r="250">
      <c r="A250" s="35" t="n">
        <v>45904</v>
      </c>
      <c r="B250" s="90">
        <f>IF('Daily Data'!E250="","",'Daily Data'!E250)</f>
        <v/>
      </c>
      <c r="C250" s="65" t="n">
        <v>45.78</v>
      </c>
      <c r="D250" s="94" t="n">
        <v>56982.19</v>
      </c>
      <c r="E250" s="94" t="n">
        <v>26579.8812</v>
      </c>
      <c r="F250" s="94" t="n">
        <v>500.6941</v>
      </c>
      <c r="G250" s="94" t="n"/>
      <c r="H250" s="95">
        <f>SUM($G$4:G250)</f>
        <v/>
      </c>
      <c r="I250" s="94" t="n">
        <v>1000000000</v>
      </c>
      <c r="J250" s="95">
        <f>J249-E250</f>
        <v/>
      </c>
      <c r="K250" s="94" t="n">
        <v>60000000</v>
      </c>
      <c r="L250" s="94" t="n">
        <v>30386453.73</v>
      </c>
      <c r="M250" s="94" t="n">
        <v>3000000</v>
      </c>
      <c r="N250" s="94" t="n">
        <v>387232.182700038</v>
      </c>
      <c r="O250" s="96">
        <f>IF(OR(I250="",J250="",L250="",N250=""),"",I250-J250-K250-L250-M250-N250)</f>
        <v/>
      </c>
      <c r="P250" s="91">
        <f>IF(OR(O250="",C250=""),"",O250*C250)</f>
        <v/>
      </c>
      <c r="Q250" s="69">
        <f>Q249-E250</f>
        <v/>
      </c>
      <c r="R250" s="97">
        <f>IF(OR(J250="",Q250=""),"",J250-Q250)</f>
        <v/>
      </c>
      <c r="S250" s="69">
        <f>IF(D250="",S249,S249+D250)</f>
        <v/>
      </c>
      <c r="T250" s="97">
        <f>IF(OR(L250="",S250=""),"",L250-S250)</f>
        <v/>
      </c>
      <c r="U250" s="69">
        <f>IF(F250="",U249,U249+F250)</f>
        <v/>
      </c>
      <c r="V250" s="97">
        <f>IF(OR(N250="",U250=""),"",N250-U250)</f>
        <v/>
      </c>
      <c r="W250" s="71">
        <f>IF(OR(C250="",C250=0,'Daily Data'!J250=""),"",'Daily Data'!J250/C250)</f>
        <v/>
      </c>
      <c r="X250" s="71">
        <f>IF(OR(C250="",C250=0,'Daily Data'!K250=""),"",'Daily Data'!K250/C250)</f>
        <v/>
      </c>
      <c r="Y250" s="71">
        <f>IF(OR(F250="",W250="",X250=""),"",F250-W250-X250)</f>
        <v/>
      </c>
      <c r="Z250" s="72" t="n">
        <v>361.67</v>
      </c>
      <c r="AA250" s="72" t="n">
        <v>63.82</v>
      </c>
      <c r="AB250" s="73">
        <f>Z250+AA250</f>
        <v/>
      </c>
      <c r="AC250" s="74">
        <f>IF(OR(E250="",E250=0,AB250=""),"",E250*365/(AB250*1000000))</f>
        <v/>
      </c>
      <c r="AD250" s="98">
        <f>IF(OR(O250="",O250=0,AB250=""),"",(AB250*1000000)/O250)</f>
        <v/>
      </c>
      <c r="AE250" s="99">
        <f>IF(H250="","",(Team_Genesis-H250)/1000000)</f>
        <v/>
      </c>
      <c r="AF250" s="99">
        <f>IF(OR(O250="",AE250=""),"",(O250-AE250*1000000)/1000000)</f>
        <v/>
      </c>
    </row>
    <row r="251">
      <c r="A251" s="35" t="n">
        <v>45905</v>
      </c>
      <c r="B251" s="90">
        <f>IF('Daily Data'!E251="","",'Daily Data'!E251)</f>
        <v/>
      </c>
      <c r="C251" s="65" t="n">
        <v>45.37</v>
      </c>
      <c r="D251" s="94" t="n">
        <v>72961.84</v>
      </c>
      <c r="E251" s="94" t="n">
        <v>26477.5564</v>
      </c>
      <c r="F251" s="94" t="n">
        <v>922.0321</v>
      </c>
      <c r="G251" s="94" t="n"/>
      <c r="H251" s="95">
        <f>SUM($G$4:G251)</f>
        <v/>
      </c>
      <c r="I251" s="94" t="n">
        <v>1000000000</v>
      </c>
      <c r="J251" s="95">
        <f>J250-E251</f>
        <v/>
      </c>
      <c r="K251" s="94" t="n">
        <v>60000000</v>
      </c>
      <c r="L251" s="94" t="n">
        <v>30459239.27</v>
      </c>
      <c r="M251" s="94" t="n">
        <v>3000000</v>
      </c>
      <c r="N251" s="94" t="n">
        <v>388154.2148000002</v>
      </c>
      <c r="O251" s="96">
        <f>IF(OR(I251="",J251="",L251="",N251=""),"",I251-J251-K251-L251-M251-N251)</f>
        <v/>
      </c>
      <c r="P251" s="91">
        <f>IF(OR(O251="",C251=""),"",O251*C251)</f>
        <v/>
      </c>
      <c r="Q251" s="69">
        <f>Q250-E251</f>
        <v/>
      </c>
      <c r="R251" s="97">
        <f>IF(OR(J251="",Q251=""),"",J251-Q251)</f>
        <v/>
      </c>
      <c r="S251" s="69">
        <f>IF(D251="",S250,S250+D251)</f>
        <v/>
      </c>
      <c r="T251" s="97">
        <f>IF(OR(L251="",S251=""),"",L251-S251)</f>
        <v/>
      </c>
      <c r="U251" s="69">
        <f>IF(F251="",U250,U250+F251)</f>
        <v/>
      </c>
      <c r="V251" s="97">
        <f>IF(OR(N251="",U251=""),"",N251-U251)</f>
        <v/>
      </c>
      <c r="W251" s="71">
        <f>IF(OR(C251="",C251=0,'Daily Data'!J251=""),"",'Daily Data'!J251/C251)</f>
        <v/>
      </c>
      <c r="X251" s="71">
        <f>IF(OR(C251="",C251=0,'Daily Data'!K251=""),"",'Daily Data'!K251/C251)</f>
        <v/>
      </c>
      <c r="Y251" s="71">
        <f>IF(OR(F251="",W251="",X251=""),"",F251-W251-X251)</f>
        <v/>
      </c>
      <c r="Z251" s="72" t="n">
        <v>361.67</v>
      </c>
      <c r="AA251" s="72" t="n">
        <v>63.82</v>
      </c>
      <c r="AB251" s="73">
        <f>Z251+AA251</f>
        <v/>
      </c>
      <c r="AC251" s="74">
        <f>IF(OR(E251="",E251=0,AB251=""),"",E251*365/(AB251*1000000))</f>
        <v/>
      </c>
      <c r="AD251" s="98">
        <f>IF(OR(O251="",O251=0,AB251=""),"",(AB251*1000000)/O251)</f>
        <v/>
      </c>
      <c r="AE251" s="99">
        <f>IF(H251="","",(Team_Genesis-H251)/1000000)</f>
        <v/>
      </c>
      <c r="AF251" s="99">
        <f>IF(OR(O251="",AE251=""),"",(O251-AE251*1000000)/1000000)</f>
        <v/>
      </c>
    </row>
    <row r="252">
      <c r="A252" s="35" t="n">
        <v>45906</v>
      </c>
      <c r="B252" s="90">
        <f>IF('Daily Data'!E252="","",'Daily Data'!E252)</f>
        <v/>
      </c>
      <c r="C252" s="65" t="n">
        <v>47.44</v>
      </c>
      <c r="D252" s="94" t="n">
        <v>21417.47</v>
      </c>
      <c r="E252" s="94" t="n">
        <v>26466.1282</v>
      </c>
      <c r="F252" s="94" t="n">
        <v>660.0802</v>
      </c>
      <c r="G252" s="94" t="n"/>
      <c r="H252" s="95">
        <f>SUM($G$4:G252)</f>
        <v/>
      </c>
      <c r="I252" s="94" t="n">
        <v>1000000000</v>
      </c>
      <c r="J252" s="95">
        <f>J251-E252</f>
        <v/>
      </c>
      <c r="K252" s="94" t="n">
        <v>60000000</v>
      </c>
      <c r="L252" s="94" t="n">
        <v>30480656.74</v>
      </c>
      <c r="M252" s="94" t="n">
        <v>3000000</v>
      </c>
      <c r="N252" s="94" t="n">
        <v>388814.2949999571</v>
      </c>
      <c r="O252" s="96">
        <f>IF(OR(I252="",J252="",L252="",N252=""),"",I252-J252-K252-L252-M252-N252)</f>
        <v/>
      </c>
      <c r="P252" s="91">
        <f>IF(OR(O252="",C252=""),"",O252*C252)</f>
        <v/>
      </c>
      <c r="Q252" s="69">
        <f>Q251-E252</f>
        <v/>
      </c>
      <c r="R252" s="97">
        <f>IF(OR(J252="",Q252=""),"",J252-Q252)</f>
        <v/>
      </c>
      <c r="S252" s="69">
        <f>IF(D252="",S251,S251+D252)</f>
        <v/>
      </c>
      <c r="T252" s="97">
        <f>IF(OR(L252="",S252=""),"",L252-S252)</f>
        <v/>
      </c>
      <c r="U252" s="69">
        <f>IF(F252="",U251,U251+F252)</f>
        <v/>
      </c>
      <c r="V252" s="97">
        <f>IF(OR(N252="",U252=""),"",N252-U252)</f>
        <v/>
      </c>
      <c r="W252" s="71">
        <f>IF(OR(C252="",C252=0,'Daily Data'!J252=""),"",'Daily Data'!J252/C252)</f>
        <v/>
      </c>
      <c r="X252" s="71">
        <f>IF(OR(C252="",C252=0,'Daily Data'!K252=""),"",'Daily Data'!K252/C252)</f>
        <v/>
      </c>
      <c r="Y252" s="71">
        <f>IF(OR(F252="",W252="",X252=""),"",F252-W252-X252)</f>
        <v/>
      </c>
      <c r="Z252" s="72" t="n">
        <v>361.67</v>
      </c>
      <c r="AA252" s="72" t="n">
        <v>63.82</v>
      </c>
      <c r="AB252" s="73">
        <f>Z252+AA252</f>
        <v/>
      </c>
      <c r="AC252" s="74">
        <f>IF(OR(E252="",E252=0,AB252=""),"",E252*365/(AB252*1000000))</f>
        <v/>
      </c>
      <c r="AD252" s="98">
        <f>IF(OR(O252="",O252=0,AB252=""),"",(AB252*1000000)/O252)</f>
        <v/>
      </c>
      <c r="AE252" s="99">
        <f>IF(H252="","",(Team_Genesis-H252)/1000000)</f>
        <v/>
      </c>
      <c r="AF252" s="99">
        <f>IF(OR(O252="",AE252=""),"",(O252-AE252*1000000)/1000000)</f>
        <v/>
      </c>
    </row>
    <row r="253">
      <c r="A253" s="35" t="n">
        <v>45907</v>
      </c>
      <c r="B253" s="90">
        <f>IF('Daily Data'!E253="","",'Daily Data'!E253)</f>
        <v/>
      </c>
      <c r="C253" s="65" t="n">
        <v>46.2</v>
      </c>
      <c r="D253" s="94" t="n">
        <v>22861.04</v>
      </c>
      <c r="E253" s="94" t="n">
        <v>26495.0245</v>
      </c>
      <c r="F253" s="94" t="n">
        <v>869.383</v>
      </c>
      <c r="G253" s="94" t="n"/>
      <c r="H253" s="95">
        <f>SUM($G$4:G253)</f>
        <v/>
      </c>
      <c r="I253" s="94" t="n">
        <v>1000000000</v>
      </c>
      <c r="J253" s="95">
        <f>J252-E253</f>
        <v/>
      </c>
      <c r="K253" s="94" t="n">
        <v>60000000</v>
      </c>
      <c r="L253" s="94" t="n">
        <v>30503517.78</v>
      </c>
      <c r="M253" s="94" t="n">
        <v>3000000</v>
      </c>
      <c r="N253" s="94" t="n">
        <v>389683.6779999733</v>
      </c>
      <c r="O253" s="96">
        <f>IF(OR(I253="",J253="",L253="",N253=""),"",I253-J253-K253-L253-M253-N253)</f>
        <v/>
      </c>
      <c r="P253" s="91">
        <f>IF(OR(O253="",C253=""),"",O253*C253)</f>
        <v/>
      </c>
      <c r="Q253" s="69">
        <f>Q252-E253</f>
        <v/>
      </c>
      <c r="R253" s="97">
        <f>IF(OR(J253="",Q253=""),"",J253-Q253)</f>
        <v/>
      </c>
      <c r="S253" s="69">
        <f>IF(D253="",S252,S252+D253)</f>
        <v/>
      </c>
      <c r="T253" s="97">
        <f>IF(OR(L253="",S253=""),"",L253-S253)</f>
        <v/>
      </c>
      <c r="U253" s="69">
        <f>IF(F253="",U252,U252+F253)</f>
        <v/>
      </c>
      <c r="V253" s="97">
        <f>IF(OR(N253="",U253=""),"",N253-U253)</f>
        <v/>
      </c>
      <c r="W253" s="71">
        <f>IF(OR(C253="",C253=0,'Daily Data'!J253=""),"",'Daily Data'!J253/C253)</f>
        <v/>
      </c>
      <c r="X253" s="71">
        <f>IF(OR(C253="",C253=0,'Daily Data'!K253=""),"",'Daily Data'!K253/C253)</f>
        <v/>
      </c>
      <c r="Y253" s="71">
        <f>IF(OR(F253="",W253="",X253=""),"",F253-W253-X253)</f>
        <v/>
      </c>
      <c r="Z253" s="72" t="n">
        <v>361.67</v>
      </c>
      <c r="AA253" s="72" t="n">
        <v>63.82</v>
      </c>
      <c r="AB253" s="73">
        <f>Z253+AA253</f>
        <v/>
      </c>
      <c r="AC253" s="74">
        <f>IF(OR(E253="",E253=0,AB253=""),"",E253*365/(AB253*1000000))</f>
        <v/>
      </c>
      <c r="AD253" s="98">
        <f>IF(OR(O253="",O253=0,AB253=""),"",(AB253*1000000)/O253)</f>
        <v/>
      </c>
      <c r="AE253" s="99">
        <f>IF(H253="","",(Team_Genesis-H253)/1000000)</f>
        <v/>
      </c>
      <c r="AF253" s="99">
        <f>IF(OR(O253="",AE253=""),"",(O253-AE253*1000000)/1000000)</f>
        <v/>
      </c>
    </row>
    <row r="254">
      <c r="A254" s="35" t="n">
        <v>45908</v>
      </c>
      <c r="B254" s="90">
        <f>IF('Daily Data'!E254="","",'Daily Data'!E254)</f>
        <v/>
      </c>
      <c r="C254" s="65" t="n">
        <v>47.08</v>
      </c>
      <c r="D254" s="94" t="n">
        <v>52527.18</v>
      </c>
      <c r="E254" s="94" t="n">
        <v>26585.8381</v>
      </c>
      <c r="F254" s="94" t="n">
        <v>393.8362</v>
      </c>
      <c r="G254" s="94" t="n"/>
      <c r="H254" s="95">
        <f>SUM($G$4:G254)</f>
        <v/>
      </c>
      <c r="I254" s="94" t="n">
        <v>1000000000</v>
      </c>
      <c r="J254" s="95">
        <f>J253-E254</f>
        <v/>
      </c>
      <c r="K254" s="94" t="n">
        <v>60000000</v>
      </c>
      <c r="L254" s="94" t="n">
        <v>30556044.96</v>
      </c>
      <c r="M254" s="94" t="n">
        <v>3000000</v>
      </c>
      <c r="N254" s="94" t="n">
        <v>390077.5141999722</v>
      </c>
      <c r="O254" s="96">
        <f>IF(OR(I254="",J254="",L254="",N254=""),"",I254-J254-K254-L254-M254-N254)</f>
        <v/>
      </c>
      <c r="P254" s="91">
        <f>IF(OR(O254="",C254=""),"",O254*C254)</f>
        <v/>
      </c>
      <c r="Q254" s="69">
        <f>Q253-E254</f>
        <v/>
      </c>
      <c r="R254" s="97">
        <f>IF(OR(J254="",Q254=""),"",J254-Q254)</f>
        <v/>
      </c>
      <c r="S254" s="69">
        <f>IF(D254="",S253,S253+D254)</f>
        <v/>
      </c>
      <c r="T254" s="97">
        <f>IF(OR(L254="",S254=""),"",L254-S254)</f>
        <v/>
      </c>
      <c r="U254" s="69">
        <f>IF(F254="",U253,U253+F254)</f>
        <v/>
      </c>
      <c r="V254" s="97">
        <f>IF(OR(N254="",U254=""),"",N254-U254)</f>
        <v/>
      </c>
      <c r="W254" s="71">
        <f>IF(OR(C254="",C254=0,'Daily Data'!J254=""),"",'Daily Data'!J254/C254)</f>
        <v/>
      </c>
      <c r="X254" s="71">
        <f>IF(OR(C254="",C254=0,'Daily Data'!K254=""),"",'Daily Data'!K254/C254)</f>
        <v/>
      </c>
      <c r="Y254" s="71">
        <f>IF(OR(F254="",W254="",X254=""),"",F254-W254-X254)</f>
        <v/>
      </c>
      <c r="Z254" s="72" t="n">
        <v>361.67</v>
      </c>
      <c r="AA254" s="72" t="n">
        <v>63.82</v>
      </c>
      <c r="AB254" s="73">
        <f>Z254+AA254</f>
        <v/>
      </c>
      <c r="AC254" s="74">
        <f>IF(OR(E254="",E254=0,AB254=""),"",E254*365/(AB254*1000000))</f>
        <v/>
      </c>
      <c r="AD254" s="98">
        <f>IF(OR(O254="",O254=0,AB254=""),"",(AB254*1000000)/O254)</f>
        <v/>
      </c>
      <c r="AE254" s="99">
        <f>IF(H254="","",(Team_Genesis-H254)/1000000)</f>
        <v/>
      </c>
      <c r="AF254" s="99">
        <f>IF(OR(O254="",AE254=""),"",(O254-AE254*1000000)/1000000)</f>
        <v/>
      </c>
    </row>
    <row r="255">
      <c r="A255" s="35" t="n">
        <v>45909</v>
      </c>
      <c r="B255" s="90">
        <f>IF('Daily Data'!E255="","",'Daily Data'!E255)</f>
        <v/>
      </c>
      <c r="C255" s="65" t="n">
        <v>50.83</v>
      </c>
      <c r="D255" s="94" t="n">
        <v>53818.18</v>
      </c>
      <c r="E255" s="94" t="n">
        <v>26573.7835</v>
      </c>
      <c r="F255" s="94" t="n">
        <v>1758.4763</v>
      </c>
      <c r="G255" s="94" t="n"/>
      <c r="H255" s="95">
        <f>SUM($G$4:G255)</f>
        <v/>
      </c>
      <c r="I255" s="94" t="n">
        <v>1000000000</v>
      </c>
      <c r="J255" s="95">
        <f>J254-E255</f>
        <v/>
      </c>
      <c r="K255" s="94" t="n">
        <v>60000000</v>
      </c>
      <c r="L255" s="94" t="n">
        <v>30609863.14</v>
      </c>
      <c r="M255" s="94" t="n">
        <v>3000000</v>
      </c>
      <c r="N255" s="94" t="n">
        <v>391835.9904999733</v>
      </c>
      <c r="O255" s="96">
        <f>IF(OR(I255="",J255="",L255="",N255=""),"",I255-J255-K255-L255-M255-N255)</f>
        <v/>
      </c>
      <c r="P255" s="91">
        <f>IF(OR(O255="",C255=""),"",O255*C255)</f>
        <v/>
      </c>
      <c r="Q255" s="69">
        <f>Q254-E255</f>
        <v/>
      </c>
      <c r="R255" s="97">
        <f>IF(OR(J255="",Q255=""),"",J255-Q255)</f>
        <v/>
      </c>
      <c r="S255" s="69">
        <f>IF(D255="",S254,S254+D255)</f>
        <v/>
      </c>
      <c r="T255" s="97">
        <f>IF(OR(L255="",S255=""),"",L255-S255)</f>
        <v/>
      </c>
      <c r="U255" s="69">
        <f>IF(F255="",U254,U254+F255)</f>
        <v/>
      </c>
      <c r="V255" s="97">
        <f>IF(OR(N255="",U255=""),"",N255-U255)</f>
        <v/>
      </c>
      <c r="W255" s="71">
        <f>IF(OR(C255="",C255=0,'Daily Data'!J255=""),"",'Daily Data'!J255/C255)</f>
        <v/>
      </c>
      <c r="X255" s="71">
        <f>IF(OR(C255="",C255=0,'Daily Data'!K255=""),"",'Daily Data'!K255/C255)</f>
        <v/>
      </c>
      <c r="Y255" s="71">
        <f>IF(OR(F255="",W255="",X255=""),"",F255-W255-X255)</f>
        <v/>
      </c>
      <c r="Z255" s="72" t="n">
        <v>361.67</v>
      </c>
      <c r="AA255" s="72" t="n">
        <v>63.82</v>
      </c>
      <c r="AB255" s="73">
        <f>Z255+AA255</f>
        <v/>
      </c>
      <c r="AC255" s="74">
        <f>IF(OR(E255="",E255=0,AB255=""),"",E255*365/(AB255*1000000))</f>
        <v/>
      </c>
      <c r="AD255" s="98">
        <f>IF(OR(O255="",O255=0,AB255=""),"",(AB255*1000000)/O255)</f>
        <v/>
      </c>
      <c r="AE255" s="99">
        <f>IF(H255="","",(Team_Genesis-H255)/1000000)</f>
        <v/>
      </c>
      <c r="AF255" s="99">
        <f>IF(OR(O255="",AE255=""),"",(O255-AE255*1000000)/1000000)</f>
        <v/>
      </c>
    </row>
    <row r="256">
      <c r="A256" s="35" t="n">
        <v>45910</v>
      </c>
      <c r="B256" s="90">
        <f>IF('Daily Data'!E256="","",'Daily Data'!E256)</f>
        <v/>
      </c>
      <c r="C256" s="65" t="n">
        <v>53</v>
      </c>
      <c r="D256" s="94" t="n">
        <v>56960.36</v>
      </c>
      <c r="E256" s="94" t="n">
        <v>26497.9912</v>
      </c>
      <c r="F256" s="94" t="n">
        <v>1883.9013</v>
      </c>
      <c r="G256" s="94" t="n"/>
      <c r="H256" s="95">
        <f>SUM($G$4:G256)</f>
        <v/>
      </c>
      <c r="I256" s="94" t="n">
        <v>1000000000</v>
      </c>
      <c r="J256" s="95">
        <f>J255-E256</f>
        <v/>
      </c>
      <c r="K256" s="94" t="n">
        <v>60000000</v>
      </c>
      <c r="L256" s="94" t="n">
        <v>30667003.89</v>
      </c>
      <c r="M256" s="94" t="n">
        <v>3000000</v>
      </c>
      <c r="N256" s="94" t="n">
        <v>393719.891800046</v>
      </c>
      <c r="O256" s="96">
        <f>IF(OR(I256="",J256="",L256="",N256=""),"",I256-J256-K256-L256-M256-N256)</f>
        <v/>
      </c>
      <c r="P256" s="91">
        <f>IF(OR(O256="",C256=""),"",O256*C256)</f>
        <v/>
      </c>
      <c r="Q256" s="69">
        <f>Q255-E256</f>
        <v/>
      </c>
      <c r="R256" s="97">
        <f>IF(OR(J256="",Q256=""),"",J256-Q256)</f>
        <v/>
      </c>
      <c r="S256" s="69">
        <f>IF(D256="",S255,S255+D256)</f>
        <v/>
      </c>
      <c r="T256" s="97">
        <f>IF(OR(L256="",S256=""),"",L256-S256)</f>
        <v/>
      </c>
      <c r="U256" s="69">
        <f>IF(F256="",U255,U255+F256)</f>
        <v/>
      </c>
      <c r="V256" s="97">
        <f>IF(OR(N256="",U256=""),"",N256-U256)</f>
        <v/>
      </c>
      <c r="W256" s="71">
        <f>IF(OR(C256="",C256=0,'Daily Data'!J256=""),"",'Daily Data'!J256/C256)</f>
        <v/>
      </c>
      <c r="X256" s="71">
        <f>IF(OR(C256="",C256=0,'Daily Data'!K256=""),"",'Daily Data'!K256/C256)</f>
        <v/>
      </c>
      <c r="Y256" s="71">
        <f>IF(OR(F256="",W256="",X256=""),"",F256-W256-X256)</f>
        <v/>
      </c>
      <c r="Z256" s="72" t="n">
        <v>361.67</v>
      </c>
      <c r="AA256" s="72" t="n">
        <v>63.82</v>
      </c>
      <c r="AB256" s="73">
        <f>Z256+AA256</f>
        <v/>
      </c>
      <c r="AC256" s="74">
        <f>IF(OR(E256="",E256=0,AB256=""),"",E256*365/(AB256*1000000))</f>
        <v/>
      </c>
      <c r="AD256" s="98">
        <f>IF(OR(O256="",O256=0,AB256=""),"",(AB256*1000000)/O256)</f>
        <v/>
      </c>
      <c r="AE256" s="99">
        <f>IF(H256="","",(Team_Genesis-H256)/1000000)</f>
        <v/>
      </c>
      <c r="AF256" s="99">
        <f>IF(OR(O256="",AE256=""),"",(O256-AE256*1000000)/1000000)</f>
        <v/>
      </c>
    </row>
    <row r="257">
      <c r="A257" s="35" t="n">
        <v>45911</v>
      </c>
      <c r="B257" s="90">
        <f>IF('Daily Data'!E257="","",'Daily Data'!E257)</f>
        <v/>
      </c>
      <c r="C257" s="65" t="n">
        <v>55.69</v>
      </c>
      <c r="D257" s="94" t="n">
        <v>50755.36</v>
      </c>
      <c r="E257" s="94" t="n">
        <v>26585.6629</v>
      </c>
      <c r="F257" s="94" t="n">
        <v>962.3786</v>
      </c>
      <c r="G257" s="94" t="n"/>
      <c r="H257" s="95">
        <f>SUM($G$4:G257)</f>
        <v/>
      </c>
      <c r="I257" s="94" t="n">
        <v>1000000000</v>
      </c>
      <c r="J257" s="95">
        <f>J256-E257</f>
        <v/>
      </c>
      <c r="K257" s="94" t="n">
        <v>60000000</v>
      </c>
      <c r="L257" s="94" t="n">
        <v>30717578.86</v>
      </c>
      <c r="M257" s="94" t="n">
        <v>3000000</v>
      </c>
      <c r="N257" s="94" t="n">
        <v>394682.2704000473</v>
      </c>
      <c r="O257" s="96">
        <f>IF(OR(I257="",J257="",L257="",N257=""),"",I257-J257-K257-L257-M257-N257)</f>
        <v/>
      </c>
      <c r="P257" s="91">
        <f>IF(OR(O257="",C257=""),"",O257*C257)</f>
        <v/>
      </c>
      <c r="Q257" s="69">
        <f>Q256-E257</f>
        <v/>
      </c>
      <c r="R257" s="97">
        <f>IF(OR(J257="",Q257=""),"",J257-Q257)</f>
        <v/>
      </c>
      <c r="S257" s="69">
        <f>IF(D257="",S256,S256+D257)</f>
        <v/>
      </c>
      <c r="T257" s="97">
        <f>IF(OR(L257="",S257=""),"",L257-S257)</f>
        <v/>
      </c>
      <c r="U257" s="69">
        <f>IF(F257="",U256,U256+F257)</f>
        <v/>
      </c>
      <c r="V257" s="97">
        <f>IF(OR(N257="",U257=""),"",N257-U257)</f>
        <v/>
      </c>
      <c r="W257" s="71">
        <f>IF(OR(C257="",C257=0,'Daily Data'!J257=""),"",'Daily Data'!J257/C257)</f>
        <v/>
      </c>
      <c r="X257" s="71">
        <f>IF(OR(C257="",C257=0,'Daily Data'!K257=""),"",'Daily Data'!K257/C257)</f>
        <v/>
      </c>
      <c r="Y257" s="71">
        <f>IF(OR(F257="",W257="",X257=""),"",F257-W257-X257)</f>
        <v/>
      </c>
      <c r="Z257" s="72" t="n">
        <v>361.67</v>
      </c>
      <c r="AA257" s="72" t="n">
        <v>63.82</v>
      </c>
      <c r="AB257" s="73">
        <f>Z257+AA257</f>
        <v/>
      </c>
      <c r="AC257" s="74">
        <f>IF(OR(E257="",E257=0,AB257=""),"",E257*365/(AB257*1000000))</f>
        <v/>
      </c>
      <c r="AD257" s="98">
        <f>IF(OR(O257="",O257=0,AB257=""),"",(AB257*1000000)/O257)</f>
        <v/>
      </c>
      <c r="AE257" s="99">
        <f>IF(H257="","",(Team_Genesis-H257)/1000000)</f>
        <v/>
      </c>
      <c r="AF257" s="99">
        <f>IF(OR(O257="",AE257=""),"",(O257-AE257*1000000)/1000000)</f>
        <v/>
      </c>
    </row>
    <row r="258">
      <c r="A258" s="35" t="n">
        <v>45912</v>
      </c>
      <c r="B258" s="90">
        <f>IF('Daily Data'!E258="","",'Daily Data'!E258)</f>
        <v/>
      </c>
      <c r="C258" s="65" t="n">
        <v>56.93</v>
      </c>
      <c r="D258" s="94" t="n">
        <v>69085.89999999999</v>
      </c>
      <c r="E258" s="94" t="n">
        <v>26596.9858</v>
      </c>
      <c r="F258" s="94" t="n">
        <v>1764.2211</v>
      </c>
      <c r="G258" s="94" t="n"/>
      <c r="H258" s="95">
        <f>SUM($G$4:G258)</f>
        <v/>
      </c>
      <c r="I258" s="94" t="n">
        <v>1000000000</v>
      </c>
      <c r="J258" s="95">
        <f>J257-E258</f>
        <v/>
      </c>
      <c r="K258" s="94" t="n">
        <v>60000000</v>
      </c>
      <c r="L258" s="94" t="n">
        <v>30786664.76</v>
      </c>
      <c r="M258" s="94" t="n">
        <v>3000000</v>
      </c>
      <c r="N258" s="94" t="n">
        <v>396446.49150002</v>
      </c>
      <c r="O258" s="96">
        <f>IF(OR(I258="",J258="",L258="",N258=""),"",I258-J258-K258-L258-M258-N258)</f>
        <v/>
      </c>
      <c r="P258" s="91">
        <f>IF(OR(O258="",C258=""),"",O258*C258)</f>
        <v/>
      </c>
      <c r="Q258" s="69">
        <f>Q257-E258</f>
        <v/>
      </c>
      <c r="R258" s="97">
        <f>IF(OR(J258="",Q258=""),"",J258-Q258)</f>
        <v/>
      </c>
      <c r="S258" s="69">
        <f>IF(D258="",S257,S257+D258)</f>
        <v/>
      </c>
      <c r="T258" s="97">
        <f>IF(OR(L258="",S258=""),"",L258-S258)</f>
        <v/>
      </c>
      <c r="U258" s="69">
        <f>IF(F258="",U257,U257+F258)</f>
        <v/>
      </c>
      <c r="V258" s="97">
        <f>IF(OR(N258="",U258=""),"",N258-U258)</f>
        <v/>
      </c>
      <c r="W258" s="71">
        <f>IF(OR(C258="",C258=0,'Daily Data'!J258=""),"",'Daily Data'!J258/C258)</f>
        <v/>
      </c>
      <c r="X258" s="71">
        <f>IF(OR(C258="",C258=0,'Daily Data'!K258=""),"",'Daily Data'!K258/C258)</f>
        <v/>
      </c>
      <c r="Y258" s="71">
        <f>IF(OR(F258="",W258="",X258=""),"",F258-W258-X258)</f>
        <v/>
      </c>
      <c r="Z258" s="72" t="n">
        <v>361.67</v>
      </c>
      <c r="AA258" s="72" t="n">
        <v>63.82</v>
      </c>
      <c r="AB258" s="73">
        <f>Z258+AA258</f>
        <v/>
      </c>
      <c r="AC258" s="74">
        <f>IF(OR(E258="",E258=0,AB258=""),"",E258*365/(AB258*1000000))</f>
        <v/>
      </c>
      <c r="AD258" s="98">
        <f>IF(OR(O258="",O258=0,AB258=""),"",(AB258*1000000)/O258)</f>
        <v/>
      </c>
      <c r="AE258" s="99">
        <f>IF(H258="","",(Team_Genesis-H258)/1000000)</f>
        <v/>
      </c>
      <c r="AF258" s="99">
        <f>IF(OR(O258="",AE258=""),"",(O258-AE258*1000000)/1000000)</f>
        <v/>
      </c>
    </row>
    <row r="259">
      <c r="A259" s="35" t="n">
        <v>45913</v>
      </c>
      <c r="B259" s="90">
        <f>IF('Daily Data'!E259="","",'Daily Data'!E259)</f>
        <v/>
      </c>
      <c r="C259" s="65" t="n">
        <v>55.25</v>
      </c>
      <c r="D259" s="94" t="n">
        <v>42254.53</v>
      </c>
      <c r="E259" s="94" t="n">
        <v>26610.6412</v>
      </c>
      <c r="F259" s="94" t="n">
        <v>1590.6385</v>
      </c>
      <c r="G259" s="94" t="n"/>
      <c r="H259" s="95">
        <f>SUM($G$4:G259)</f>
        <v/>
      </c>
      <c r="I259" s="94" t="n">
        <v>1000000000</v>
      </c>
      <c r="J259" s="95">
        <f>J258-E259</f>
        <v/>
      </c>
      <c r="K259" s="94" t="n">
        <v>60000000</v>
      </c>
      <c r="L259" s="94" t="n">
        <v>30828919.29</v>
      </c>
      <c r="M259" s="94" t="n">
        <v>3000000</v>
      </c>
      <c r="N259" s="94" t="n">
        <v>398037.1301000118</v>
      </c>
      <c r="O259" s="96">
        <f>IF(OR(I259="",J259="",L259="",N259=""),"",I259-J259-K259-L259-M259-N259)</f>
        <v/>
      </c>
      <c r="P259" s="91">
        <f>IF(OR(O259="",C259=""),"",O259*C259)</f>
        <v/>
      </c>
      <c r="Q259" s="69">
        <f>Q258-E259</f>
        <v/>
      </c>
      <c r="R259" s="97">
        <f>IF(OR(J259="",Q259=""),"",J259-Q259)</f>
        <v/>
      </c>
      <c r="S259" s="69">
        <f>IF(D259="",S258,S258+D259)</f>
        <v/>
      </c>
      <c r="T259" s="97">
        <f>IF(OR(L259="",S259=""),"",L259-S259)</f>
        <v/>
      </c>
      <c r="U259" s="69">
        <f>IF(F259="",U258,U258+F259)</f>
        <v/>
      </c>
      <c r="V259" s="97">
        <f>IF(OR(N259="",U259=""),"",N259-U259)</f>
        <v/>
      </c>
      <c r="W259" s="71">
        <f>IF(OR(C259="",C259=0,'Daily Data'!J259=""),"",'Daily Data'!J259/C259)</f>
        <v/>
      </c>
      <c r="X259" s="71">
        <f>IF(OR(C259="",C259=0,'Daily Data'!K259=""),"",'Daily Data'!K259/C259)</f>
        <v/>
      </c>
      <c r="Y259" s="71">
        <f>IF(OR(F259="",W259="",X259=""),"",F259-W259-X259)</f>
        <v/>
      </c>
      <c r="Z259" s="72" t="n">
        <v>361.67</v>
      </c>
      <c r="AA259" s="72" t="n">
        <v>63.82</v>
      </c>
      <c r="AB259" s="73">
        <f>Z259+AA259</f>
        <v/>
      </c>
      <c r="AC259" s="74">
        <f>IF(OR(E259="",E259=0,AB259=""),"",E259*365/(AB259*1000000))</f>
        <v/>
      </c>
      <c r="AD259" s="98">
        <f>IF(OR(O259="",O259=0,AB259=""),"",(AB259*1000000)/O259)</f>
        <v/>
      </c>
      <c r="AE259" s="99">
        <f>IF(H259="","",(Team_Genesis-H259)/1000000)</f>
        <v/>
      </c>
      <c r="AF259" s="99">
        <f>IF(OR(O259="",AE259=""),"",(O259-AE259*1000000)/1000000)</f>
        <v/>
      </c>
    </row>
    <row r="260">
      <c r="A260" s="35" t="n">
        <v>45914</v>
      </c>
      <c r="B260" s="90">
        <f>IF('Daily Data'!E260="","",'Daily Data'!E260)</f>
        <v/>
      </c>
      <c r="C260" s="65" t="n">
        <v>54.8</v>
      </c>
      <c r="D260" s="94" t="n">
        <v>44985.96</v>
      </c>
      <c r="E260" s="94" t="n">
        <v>26575.8632</v>
      </c>
      <c r="F260" s="94" t="n">
        <v>1322.6154</v>
      </c>
      <c r="G260" s="94" t="n"/>
      <c r="H260" s="95">
        <f>SUM($G$4:G260)</f>
        <v/>
      </c>
      <c r="I260" s="94" t="n">
        <v>1000000000</v>
      </c>
      <c r="J260" s="95">
        <f>J259-E260</f>
        <v/>
      </c>
      <c r="K260" s="94" t="n">
        <v>60000000</v>
      </c>
      <c r="L260" s="94" t="n">
        <v>30873905.25</v>
      </c>
      <c r="M260" s="94" t="n">
        <v>3000000</v>
      </c>
      <c r="N260" s="94" t="n">
        <v>399359.7453999519</v>
      </c>
      <c r="O260" s="96">
        <f>IF(OR(I260="",J260="",L260="",N260=""),"",I260-J260-K260-L260-M260-N260)</f>
        <v/>
      </c>
      <c r="P260" s="91">
        <f>IF(OR(O260="",C260=""),"",O260*C260)</f>
        <v/>
      </c>
      <c r="Q260" s="69">
        <f>Q259-E260</f>
        <v/>
      </c>
      <c r="R260" s="97">
        <f>IF(OR(J260="",Q260=""),"",J260-Q260)</f>
        <v/>
      </c>
      <c r="S260" s="69">
        <f>IF(D260="",S259,S259+D260)</f>
        <v/>
      </c>
      <c r="T260" s="97">
        <f>IF(OR(L260="",S260=""),"",L260-S260)</f>
        <v/>
      </c>
      <c r="U260" s="69">
        <f>IF(F260="",U259,U259+F260)</f>
        <v/>
      </c>
      <c r="V260" s="97">
        <f>IF(OR(N260="",U260=""),"",N260-U260)</f>
        <v/>
      </c>
      <c r="W260" s="71">
        <f>IF(OR(C260="",C260=0,'Daily Data'!J260=""),"",'Daily Data'!J260/C260)</f>
        <v/>
      </c>
      <c r="X260" s="71">
        <f>IF(OR(C260="",C260=0,'Daily Data'!K260=""),"",'Daily Data'!K260/C260)</f>
        <v/>
      </c>
      <c r="Y260" s="71">
        <f>IF(OR(F260="",W260="",X260=""),"",F260-W260-X260)</f>
        <v/>
      </c>
      <c r="Z260" s="72" t="n">
        <v>361.67</v>
      </c>
      <c r="AA260" s="72" t="n">
        <v>63.82</v>
      </c>
      <c r="AB260" s="73">
        <f>Z260+AA260</f>
        <v/>
      </c>
      <c r="AC260" s="74">
        <f>IF(OR(E260="",E260=0,AB260=""),"",E260*365/(AB260*1000000))</f>
        <v/>
      </c>
      <c r="AD260" s="98">
        <f>IF(OR(O260="",O260=0,AB260=""),"",(AB260*1000000)/O260)</f>
        <v/>
      </c>
      <c r="AE260" s="99">
        <f>IF(H260="","",(Team_Genesis-H260)/1000000)</f>
        <v/>
      </c>
      <c r="AF260" s="99">
        <f>IF(OR(O260="",AE260=""),"",(O260-AE260*1000000)/1000000)</f>
        <v/>
      </c>
    </row>
    <row r="261">
      <c r="A261" s="35" t="n">
        <v>45915</v>
      </c>
      <c r="B261" s="90">
        <f>IF('Daily Data'!E261="","",'Daily Data'!E261)</f>
        <v/>
      </c>
      <c r="C261" s="65" t="n">
        <v>53.92</v>
      </c>
      <c r="D261" s="94" t="n">
        <v>57922.8</v>
      </c>
      <c r="E261" s="94" t="n">
        <v>26579.8241</v>
      </c>
      <c r="F261" s="94" t="n">
        <v>2114.4975</v>
      </c>
      <c r="G261" s="94" t="n"/>
      <c r="H261" s="95">
        <f>SUM($G$4:G261)</f>
        <v/>
      </c>
      <c r="I261" s="94" t="n">
        <v>1000000000</v>
      </c>
      <c r="J261" s="95">
        <f>J260-E261</f>
        <v/>
      </c>
      <c r="K261" s="94" t="n">
        <v>60000000</v>
      </c>
      <c r="L261" s="94" t="n">
        <v>30933107.91</v>
      </c>
      <c r="M261" s="94" t="n">
        <v>3000000</v>
      </c>
      <c r="N261" s="94" t="n">
        <v>401474.2430000305</v>
      </c>
      <c r="O261" s="96">
        <f>IF(OR(I261="",J261="",L261="",N261=""),"",I261-J261-K261-L261-M261-N261)</f>
        <v/>
      </c>
      <c r="P261" s="91">
        <f>IF(OR(O261="",C261=""),"",O261*C261)</f>
        <v/>
      </c>
      <c r="Q261" s="69">
        <f>Q260-E261</f>
        <v/>
      </c>
      <c r="R261" s="97">
        <f>IF(OR(J261="",Q261=""),"",J261-Q261)</f>
        <v/>
      </c>
      <c r="S261" s="69">
        <f>IF(D261="",S260,S260+D261)</f>
        <v/>
      </c>
      <c r="T261" s="97">
        <f>IF(OR(L261="",S261=""),"",L261-S261)</f>
        <v/>
      </c>
      <c r="U261" s="69">
        <f>IF(F261="",U260,U260+F261)</f>
        <v/>
      </c>
      <c r="V261" s="97">
        <f>IF(OR(N261="",U261=""),"",N261-U261)</f>
        <v/>
      </c>
      <c r="W261" s="71">
        <f>IF(OR(C261="",C261=0,'Daily Data'!J261=""),"",'Daily Data'!J261/C261)</f>
        <v/>
      </c>
      <c r="X261" s="71">
        <f>IF(OR(C261="",C261=0,'Daily Data'!K261=""),"",'Daily Data'!K261/C261)</f>
        <v/>
      </c>
      <c r="Y261" s="71">
        <f>IF(OR(F261="",W261="",X261=""),"",F261-W261-X261)</f>
        <v/>
      </c>
      <c r="Z261" s="72" t="n">
        <v>361.67</v>
      </c>
      <c r="AA261" s="72" t="n">
        <v>63.82</v>
      </c>
      <c r="AB261" s="73">
        <f>Z261+AA261</f>
        <v/>
      </c>
      <c r="AC261" s="74">
        <f>IF(OR(E261="",E261=0,AB261=""),"",E261*365/(AB261*1000000))</f>
        <v/>
      </c>
      <c r="AD261" s="98">
        <f>IF(OR(O261="",O261=0,AB261=""),"",(AB261*1000000)/O261)</f>
        <v/>
      </c>
      <c r="AE261" s="99">
        <f>IF(H261="","",(Team_Genesis-H261)/1000000)</f>
        <v/>
      </c>
      <c r="AF261" s="99">
        <f>IF(OR(O261="",AE261=""),"",(O261-AE261*1000000)/1000000)</f>
        <v/>
      </c>
    </row>
    <row r="262">
      <c r="A262" s="35" t="n">
        <v>45916</v>
      </c>
      <c r="B262" s="90">
        <f>IF('Daily Data'!E262="","",'Daily Data'!E262)</f>
        <v/>
      </c>
      <c r="C262" s="65" t="n">
        <v>53.85</v>
      </c>
      <c r="D262" s="94" t="n">
        <v>48484.79</v>
      </c>
      <c r="E262" s="94" t="n">
        <v>26544.4866</v>
      </c>
      <c r="F262" s="94" t="n">
        <v>3313.2701</v>
      </c>
      <c r="G262" s="94" t="n"/>
      <c r="H262" s="95">
        <f>SUM($G$4:G262)</f>
        <v/>
      </c>
      <c r="I262" s="94" t="n">
        <v>1000000000</v>
      </c>
      <c r="J262" s="95">
        <f>J261-E262</f>
        <v/>
      </c>
      <c r="K262" s="94" t="n">
        <v>60000000</v>
      </c>
      <c r="L262" s="94" t="n">
        <v>30980292.85</v>
      </c>
      <c r="M262" s="94" t="n">
        <v>3000000</v>
      </c>
      <c r="N262" s="94" t="n">
        <v>404787.5130000114</v>
      </c>
      <c r="O262" s="96">
        <f>IF(OR(I262="",J262="",L262="",N262=""),"",I262-J262-K262-L262-M262-N262)</f>
        <v/>
      </c>
      <c r="P262" s="91">
        <f>IF(OR(O262="",C262=""),"",O262*C262)</f>
        <v/>
      </c>
      <c r="Q262" s="69">
        <f>Q261-E262</f>
        <v/>
      </c>
      <c r="R262" s="97">
        <f>IF(OR(J262="",Q262=""),"",J262-Q262)</f>
        <v/>
      </c>
      <c r="S262" s="69">
        <f>IF(D262="",S261,S261+D262)</f>
        <v/>
      </c>
      <c r="T262" s="97">
        <f>IF(OR(L262="",S262=""),"",L262-S262)</f>
        <v/>
      </c>
      <c r="U262" s="69">
        <f>IF(F262="",U261,U261+F262)</f>
        <v/>
      </c>
      <c r="V262" s="97">
        <f>IF(OR(N262="",U262=""),"",N262-U262)</f>
        <v/>
      </c>
      <c r="W262" s="71">
        <f>IF(OR(C262="",C262=0,'Daily Data'!J262=""),"",'Daily Data'!J262/C262)</f>
        <v/>
      </c>
      <c r="X262" s="71">
        <f>IF(OR(C262="",C262=0,'Daily Data'!K262=""),"",'Daily Data'!K262/C262)</f>
        <v/>
      </c>
      <c r="Y262" s="71">
        <f>IF(OR(F262="",W262="",X262=""),"",F262-W262-X262)</f>
        <v/>
      </c>
      <c r="Z262" s="72" t="n">
        <v>361.67</v>
      </c>
      <c r="AA262" s="72" t="n">
        <v>63.82</v>
      </c>
      <c r="AB262" s="73">
        <f>Z262+AA262</f>
        <v/>
      </c>
      <c r="AC262" s="74">
        <f>IF(OR(E262="",E262=0,AB262=""),"",E262*365/(AB262*1000000))</f>
        <v/>
      </c>
      <c r="AD262" s="98">
        <f>IF(OR(O262="",O262=0,AB262=""),"",(AB262*1000000)/O262)</f>
        <v/>
      </c>
      <c r="AE262" s="99">
        <f>IF(H262="","",(Team_Genesis-H262)/1000000)</f>
        <v/>
      </c>
      <c r="AF262" s="99">
        <f>IF(OR(O262="",AE262=""),"",(O262-AE262*1000000)/1000000)</f>
        <v/>
      </c>
    </row>
    <row r="263">
      <c r="A263" s="35" t="n">
        <v>45917</v>
      </c>
      <c r="B263" s="90">
        <f>IF('Daily Data'!E263="","",'Daily Data'!E263)</f>
        <v/>
      </c>
      <c r="C263" s="65" t="n">
        <v>54.08</v>
      </c>
      <c r="D263" s="94" t="n">
        <v>63294.81</v>
      </c>
      <c r="E263" s="94" t="n">
        <v>26519.9032</v>
      </c>
      <c r="F263" s="94" t="n">
        <v>697.1051</v>
      </c>
      <c r="G263" s="94" t="n"/>
      <c r="H263" s="95">
        <f>SUM($G$4:G263)</f>
        <v/>
      </c>
      <c r="I263" s="94" t="n">
        <v>1000000000</v>
      </c>
      <c r="J263" s="95">
        <f>J262-E263</f>
        <v/>
      </c>
      <c r="K263" s="94" t="n">
        <v>60000000</v>
      </c>
      <c r="L263" s="94" t="n">
        <v>31042329.24</v>
      </c>
      <c r="M263" s="94" t="n">
        <v>3000000</v>
      </c>
      <c r="N263" s="94" t="n">
        <v>405484.6181000471</v>
      </c>
      <c r="O263" s="96">
        <f>IF(OR(I263="",J263="",L263="",N263=""),"",I263-J263-K263-L263-M263-N263)</f>
        <v/>
      </c>
      <c r="P263" s="91">
        <f>IF(OR(O263="",C263=""),"",O263*C263)</f>
        <v/>
      </c>
      <c r="Q263" s="69">
        <f>Q262-E263</f>
        <v/>
      </c>
      <c r="R263" s="97">
        <f>IF(OR(J263="",Q263=""),"",J263-Q263)</f>
        <v/>
      </c>
      <c r="S263" s="69">
        <f>IF(D263="",S262,S262+D263)</f>
        <v/>
      </c>
      <c r="T263" s="97">
        <f>IF(OR(L263="",S263=""),"",L263-S263)</f>
        <v/>
      </c>
      <c r="U263" s="69">
        <f>IF(F263="",U262,U262+F263)</f>
        <v/>
      </c>
      <c r="V263" s="97">
        <f>IF(OR(N263="",U263=""),"",N263-U263)</f>
        <v/>
      </c>
      <c r="W263" s="71">
        <f>IF(OR(C263="",C263=0,'Daily Data'!J263=""),"",'Daily Data'!J263/C263)</f>
        <v/>
      </c>
      <c r="X263" s="71">
        <f>IF(OR(C263="",C263=0,'Daily Data'!K263=""),"",'Daily Data'!K263/C263)</f>
        <v/>
      </c>
      <c r="Y263" s="71">
        <f>IF(OR(F263="",W263="",X263=""),"",F263-W263-X263)</f>
        <v/>
      </c>
      <c r="Z263" s="72" t="n">
        <v>361.67</v>
      </c>
      <c r="AA263" s="72" t="n">
        <v>63.82</v>
      </c>
      <c r="AB263" s="73">
        <f>Z263+AA263</f>
        <v/>
      </c>
      <c r="AC263" s="74">
        <f>IF(OR(E263="",E263=0,AB263=""),"",E263*365/(AB263*1000000))</f>
        <v/>
      </c>
      <c r="AD263" s="98">
        <f>IF(OR(O263="",O263=0,AB263=""),"",(AB263*1000000)/O263)</f>
        <v/>
      </c>
      <c r="AE263" s="99">
        <f>IF(H263="","",(Team_Genesis-H263)/1000000)</f>
        <v/>
      </c>
      <c r="AF263" s="99">
        <f>IF(OR(O263="",AE263=""),"",(O263-AE263*1000000)/1000000)</f>
        <v/>
      </c>
    </row>
    <row r="264">
      <c r="A264" s="35" t="n">
        <v>45918</v>
      </c>
      <c r="B264" s="90">
        <f>IF('Daily Data'!E264="","",'Daily Data'!E264)</f>
        <v/>
      </c>
      <c r="C264" s="65" t="n">
        <v>57.9</v>
      </c>
      <c r="D264" s="94" t="n">
        <v>51082.94</v>
      </c>
      <c r="E264" s="94" t="n">
        <v>26535.3939</v>
      </c>
      <c r="F264" s="94" t="n">
        <v>1522.8477</v>
      </c>
      <c r="G264" s="94" t="n"/>
      <c r="H264" s="95">
        <f>SUM($G$4:G264)</f>
        <v/>
      </c>
      <c r="I264" s="94" t="n">
        <v>1000000000</v>
      </c>
      <c r="J264" s="95">
        <f>J263-E264</f>
        <v/>
      </c>
      <c r="K264" s="94" t="n">
        <v>60000000</v>
      </c>
      <c r="L264" s="94" t="n">
        <v>31094690.59</v>
      </c>
      <c r="M264" s="94" t="n">
        <v>3000000</v>
      </c>
      <c r="N264" s="94" t="n">
        <v>407007.4658999443</v>
      </c>
      <c r="O264" s="96">
        <f>IF(OR(I264="",J264="",L264="",N264=""),"",I264-J264-K264-L264-M264-N264)</f>
        <v/>
      </c>
      <c r="P264" s="91">
        <f>IF(OR(O264="",C264=""),"",O264*C264)</f>
        <v/>
      </c>
      <c r="Q264" s="69">
        <f>Q263-E264</f>
        <v/>
      </c>
      <c r="R264" s="97">
        <f>IF(OR(J264="",Q264=""),"",J264-Q264)</f>
        <v/>
      </c>
      <c r="S264" s="69">
        <f>IF(D264="",S263,S263+D264)</f>
        <v/>
      </c>
      <c r="T264" s="97">
        <f>IF(OR(L264="",S264=""),"",L264-S264)</f>
        <v/>
      </c>
      <c r="U264" s="69">
        <f>IF(F264="",U263,U263+F264)</f>
        <v/>
      </c>
      <c r="V264" s="97">
        <f>IF(OR(N264="",U264=""),"",N264-U264)</f>
        <v/>
      </c>
      <c r="W264" s="71">
        <f>IF(OR(C264="",C264=0,'Daily Data'!J264=""),"",'Daily Data'!J264/C264)</f>
        <v/>
      </c>
      <c r="X264" s="71">
        <f>IF(OR(C264="",C264=0,'Daily Data'!K264=""),"",'Daily Data'!K264/C264)</f>
        <v/>
      </c>
      <c r="Y264" s="71">
        <f>IF(OR(F264="",W264="",X264=""),"",F264-W264-X264)</f>
        <v/>
      </c>
      <c r="Z264" s="72" t="n">
        <v>361.67</v>
      </c>
      <c r="AA264" s="72" t="n">
        <v>63.82</v>
      </c>
      <c r="AB264" s="73">
        <f>Z264+AA264</f>
        <v/>
      </c>
      <c r="AC264" s="74">
        <f>IF(OR(E264="",E264=0,AB264=""),"",E264*365/(AB264*1000000))</f>
        <v/>
      </c>
      <c r="AD264" s="98">
        <f>IF(OR(O264="",O264=0,AB264=""),"",(AB264*1000000)/O264)</f>
        <v/>
      </c>
      <c r="AE264" s="99">
        <f>IF(H264="","",(Team_Genesis-H264)/1000000)</f>
        <v/>
      </c>
      <c r="AF264" s="99">
        <f>IF(OR(O264="",AE264=""),"",(O264-AE264*1000000)/1000000)</f>
        <v/>
      </c>
    </row>
    <row r="265">
      <c r="A265" s="35" t="n">
        <v>45919</v>
      </c>
      <c r="B265" s="90">
        <f>IF('Daily Data'!E265="","",'Daily Data'!E265)</f>
        <v/>
      </c>
      <c r="C265" s="65" t="n">
        <v>58.79</v>
      </c>
      <c r="D265" s="94" t="n">
        <v>47875.75</v>
      </c>
      <c r="E265" s="94" t="n">
        <v>26519.1483</v>
      </c>
      <c r="F265" s="94" t="n">
        <v>1422.2344</v>
      </c>
      <c r="G265" s="94" t="n"/>
      <c r="H265" s="95">
        <f>SUM($G$4:G265)</f>
        <v/>
      </c>
      <c r="I265" s="94" t="n">
        <v>1000000000</v>
      </c>
      <c r="J265" s="95">
        <f>J264-E265</f>
        <v/>
      </c>
      <c r="K265" s="94" t="n">
        <v>60000000</v>
      </c>
      <c r="L265" s="94" t="n">
        <v>31142566.34</v>
      </c>
      <c r="M265" s="94" t="n">
        <v>3000000</v>
      </c>
      <c r="N265" s="94" t="n">
        <v>408429.7001999617</v>
      </c>
      <c r="O265" s="96">
        <f>IF(OR(I265="",J265="",L265="",N265=""),"",I265-J265-K265-L265-M265-N265)</f>
        <v/>
      </c>
      <c r="P265" s="91">
        <f>IF(OR(O265="",C265=""),"",O265*C265)</f>
        <v/>
      </c>
      <c r="Q265" s="69">
        <f>Q264-E265</f>
        <v/>
      </c>
      <c r="R265" s="97">
        <f>IF(OR(J265="",Q265=""),"",J265-Q265)</f>
        <v/>
      </c>
      <c r="S265" s="69">
        <f>IF(D265="",S264,S264+D265)</f>
        <v/>
      </c>
      <c r="T265" s="97">
        <f>IF(OR(L265="",S265=""),"",L265-S265)</f>
        <v/>
      </c>
      <c r="U265" s="69">
        <f>IF(F265="",U264,U264+F265)</f>
        <v/>
      </c>
      <c r="V265" s="97">
        <f>IF(OR(N265="",U265=""),"",N265-U265)</f>
        <v/>
      </c>
      <c r="W265" s="71">
        <f>IF(OR(C265="",C265=0,'Daily Data'!J265=""),"",'Daily Data'!J265/C265)</f>
        <v/>
      </c>
      <c r="X265" s="71">
        <f>IF(OR(C265="",C265=0,'Daily Data'!K265=""),"",'Daily Data'!K265/C265)</f>
        <v/>
      </c>
      <c r="Y265" s="71">
        <f>IF(OR(F265="",W265="",X265=""),"",F265-W265-X265)</f>
        <v/>
      </c>
      <c r="Z265" s="72" t="n">
        <v>361.67</v>
      </c>
      <c r="AA265" s="72" t="n">
        <v>63.82</v>
      </c>
      <c r="AB265" s="73">
        <f>Z265+AA265</f>
        <v/>
      </c>
      <c r="AC265" s="74">
        <f>IF(OR(E265="",E265=0,AB265=""),"",E265*365/(AB265*1000000))</f>
        <v/>
      </c>
      <c r="AD265" s="98">
        <f>IF(OR(O265="",O265=0,AB265=""),"",(AB265*1000000)/O265)</f>
        <v/>
      </c>
      <c r="AE265" s="99">
        <f>IF(H265="","",(Team_Genesis-H265)/1000000)</f>
        <v/>
      </c>
      <c r="AF265" s="99">
        <f>IF(OR(O265="",AE265=""),"",(O265-AE265*1000000)/1000000)</f>
        <v/>
      </c>
    </row>
    <row r="266">
      <c r="A266" s="35" t="n">
        <v>45920</v>
      </c>
      <c r="B266" s="90">
        <f>IF('Daily Data'!E266="","",'Daily Data'!E266)</f>
        <v/>
      </c>
      <c r="C266" s="65" t="n">
        <v>56.09</v>
      </c>
      <c r="D266" s="94" t="n">
        <v>26174.58</v>
      </c>
      <c r="E266" s="94" t="n">
        <v>26520.645</v>
      </c>
      <c r="F266" s="94" t="n">
        <v>1487.1558</v>
      </c>
      <c r="G266" s="94" t="n"/>
      <c r="H266" s="95">
        <f>SUM($G$4:G266)</f>
        <v/>
      </c>
      <c r="I266" s="94" t="n">
        <v>1000000000</v>
      </c>
      <c r="J266" s="95">
        <f>J265-E266</f>
        <v/>
      </c>
      <c r="K266" s="94" t="n">
        <v>60000000</v>
      </c>
      <c r="L266" s="94" t="n">
        <v>31168740.92</v>
      </c>
      <c r="M266" s="94" t="n">
        <v>3000000</v>
      </c>
      <c r="N266" s="94" t="n">
        <v>409916.8559999466</v>
      </c>
      <c r="O266" s="96">
        <f>IF(OR(I266="",J266="",L266="",N266=""),"",I266-J266-K266-L266-M266-N266)</f>
        <v/>
      </c>
      <c r="P266" s="91">
        <f>IF(OR(O266="",C266=""),"",O266*C266)</f>
        <v/>
      </c>
      <c r="Q266" s="69">
        <f>Q265-E266</f>
        <v/>
      </c>
      <c r="R266" s="97">
        <f>IF(OR(J266="",Q266=""),"",J266-Q266)</f>
        <v/>
      </c>
      <c r="S266" s="69">
        <f>IF(D266="",S265,S265+D266)</f>
        <v/>
      </c>
      <c r="T266" s="97">
        <f>IF(OR(L266="",S266=""),"",L266-S266)</f>
        <v/>
      </c>
      <c r="U266" s="69">
        <f>IF(F266="",U265,U265+F266)</f>
        <v/>
      </c>
      <c r="V266" s="97">
        <f>IF(OR(N266="",U266=""),"",N266-U266)</f>
        <v/>
      </c>
      <c r="W266" s="71">
        <f>IF(OR(C266="",C266=0,'Daily Data'!J266=""),"",'Daily Data'!J266/C266)</f>
        <v/>
      </c>
      <c r="X266" s="71">
        <f>IF(OR(C266="",C266=0,'Daily Data'!K266=""),"",'Daily Data'!K266/C266)</f>
        <v/>
      </c>
      <c r="Y266" s="71">
        <f>IF(OR(F266="",W266="",X266=""),"",F266-W266-X266)</f>
        <v/>
      </c>
      <c r="Z266" s="72" t="n">
        <v>361.67</v>
      </c>
      <c r="AA266" s="72" t="n">
        <v>63.82</v>
      </c>
      <c r="AB266" s="73">
        <f>Z266+AA266</f>
        <v/>
      </c>
      <c r="AC266" s="74">
        <f>IF(OR(E266="",E266=0,AB266=""),"",E266*365/(AB266*1000000))</f>
        <v/>
      </c>
      <c r="AD266" s="98">
        <f>IF(OR(O266="",O266=0,AB266=""),"",(AB266*1000000)/O266)</f>
        <v/>
      </c>
      <c r="AE266" s="99">
        <f>IF(H266="","",(Team_Genesis-H266)/1000000)</f>
        <v/>
      </c>
      <c r="AF266" s="99">
        <f>IF(OR(O266="",AE266=""),"",(O266-AE266*1000000)/1000000)</f>
        <v/>
      </c>
    </row>
    <row r="267">
      <c r="A267" s="35" t="n">
        <v>45921</v>
      </c>
      <c r="B267" s="90">
        <f>IF('Daily Data'!E267="","",'Daily Data'!E267)</f>
        <v/>
      </c>
      <c r="C267" s="65" t="n">
        <v>54.19</v>
      </c>
      <c r="D267" s="94" t="n">
        <v>32969.48</v>
      </c>
      <c r="E267" s="94" t="n">
        <v>26520.6144</v>
      </c>
      <c r="F267" s="94" t="n">
        <v>379.3241</v>
      </c>
      <c r="G267" s="94" t="n"/>
      <c r="H267" s="95">
        <f>SUM($G$4:G267)</f>
        <v/>
      </c>
      <c r="I267" s="94" t="n">
        <v>1000000000</v>
      </c>
      <c r="J267" s="95">
        <f>J266-E267</f>
        <v/>
      </c>
      <c r="K267" s="94" t="n">
        <v>60000000</v>
      </c>
      <c r="L267" s="94" t="n">
        <v>31202104.65</v>
      </c>
      <c r="M267" s="94" t="n">
        <v>3000000</v>
      </c>
      <c r="N267" s="94" t="n">
        <v>410296.1800999641</v>
      </c>
      <c r="O267" s="96">
        <f>IF(OR(I267="",J267="",L267="",N267=""),"",I267-J267-K267-L267-M267-N267)</f>
        <v/>
      </c>
      <c r="P267" s="91">
        <f>IF(OR(O267="",C267=""),"",O267*C267)</f>
        <v/>
      </c>
      <c r="Q267" s="69">
        <f>Q266-E267</f>
        <v/>
      </c>
      <c r="R267" s="97">
        <f>IF(OR(J267="",Q267=""),"",J267-Q267)</f>
        <v/>
      </c>
      <c r="S267" s="69">
        <f>IF(D267="",S266,S266+D267)</f>
        <v/>
      </c>
      <c r="T267" s="97">
        <f>IF(OR(L267="",S267=""),"",L267-S267)</f>
        <v/>
      </c>
      <c r="U267" s="69">
        <f>IF(F267="",U266,U266+F267)</f>
        <v/>
      </c>
      <c r="V267" s="97">
        <f>IF(OR(N267="",U267=""),"",N267-U267)</f>
        <v/>
      </c>
      <c r="W267" s="71">
        <f>IF(OR(C267="",C267=0,'Daily Data'!J267=""),"",'Daily Data'!J267/C267)</f>
        <v/>
      </c>
      <c r="X267" s="71">
        <f>IF(OR(C267="",C267=0,'Daily Data'!K267=""),"",'Daily Data'!K267/C267)</f>
        <v/>
      </c>
      <c r="Y267" s="71">
        <f>IF(OR(F267="",W267="",X267=""),"",F267-W267-X267)</f>
        <v/>
      </c>
      <c r="Z267" s="72" t="n">
        <v>361.67</v>
      </c>
      <c r="AA267" s="72" t="n">
        <v>63.82</v>
      </c>
      <c r="AB267" s="73">
        <f>Z267+AA267</f>
        <v/>
      </c>
      <c r="AC267" s="74">
        <f>IF(OR(E267="",E267=0,AB267=""),"",E267*365/(AB267*1000000))</f>
        <v/>
      </c>
      <c r="AD267" s="98">
        <f>IF(OR(O267="",O267=0,AB267=""),"",(AB267*1000000)/O267)</f>
        <v/>
      </c>
      <c r="AE267" s="99">
        <f>IF(H267="","",(Team_Genesis-H267)/1000000)</f>
        <v/>
      </c>
      <c r="AF267" s="99">
        <f>IF(OR(O267="",AE267=""),"",(O267-AE267*1000000)/1000000)</f>
        <v/>
      </c>
    </row>
    <row r="268">
      <c r="A268" s="35" t="n">
        <v>45922</v>
      </c>
      <c r="B268" s="90">
        <f>IF('Daily Data'!E268="","",'Daily Data'!E268)</f>
        <v/>
      </c>
      <c r="C268" s="65" t="n">
        <v>50.96</v>
      </c>
      <c r="D268" s="94" t="n">
        <v>99115.08</v>
      </c>
      <c r="E268" s="94" t="n">
        <v>26481.2514</v>
      </c>
      <c r="F268" s="94" t="n">
        <v>1654.3808</v>
      </c>
      <c r="G268" s="94" t="n"/>
      <c r="H268" s="95">
        <f>SUM($G$4:G268)</f>
        <v/>
      </c>
      <c r="I268" s="94" t="n">
        <v>1000000000</v>
      </c>
      <c r="J268" s="95">
        <f>J267-E268</f>
        <v/>
      </c>
      <c r="K268" s="94" t="n">
        <v>60000000</v>
      </c>
      <c r="L268" s="94" t="n">
        <v>31301565.54</v>
      </c>
      <c r="M268" s="94" t="n">
        <v>3000000</v>
      </c>
      <c r="N268" s="94" t="n">
        <v>411950.5607999563</v>
      </c>
      <c r="O268" s="96">
        <f>IF(OR(I268="",J268="",L268="",N268=""),"",I268-J268-K268-L268-M268-N268)</f>
        <v/>
      </c>
      <c r="P268" s="91">
        <f>IF(OR(O268="",C268=""),"",O268*C268)</f>
        <v/>
      </c>
      <c r="Q268" s="69">
        <f>Q267-E268</f>
        <v/>
      </c>
      <c r="R268" s="97">
        <f>IF(OR(J268="",Q268=""),"",J268-Q268)</f>
        <v/>
      </c>
      <c r="S268" s="69">
        <f>IF(D268="",S267,S267+D268)</f>
        <v/>
      </c>
      <c r="T268" s="97">
        <f>IF(OR(L268="",S268=""),"",L268-S268)</f>
        <v/>
      </c>
      <c r="U268" s="69">
        <f>IF(F268="",U267,U267+F268)</f>
        <v/>
      </c>
      <c r="V268" s="97">
        <f>IF(OR(N268="",U268=""),"",N268-U268)</f>
        <v/>
      </c>
      <c r="W268" s="71">
        <f>IF(OR(C268="",C268=0,'Daily Data'!J268=""),"",'Daily Data'!J268/C268)</f>
        <v/>
      </c>
      <c r="X268" s="71">
        <f>IF(OR(C268="",C268=0,'Daily Data'!K268=""),"",'Daily Data'!K268/C268)</f>
        <v/>
      </c>
      <c r="Y268" s="71">
        <f>IF(OR(F268="",W268="",X268=""),"",F268-W268-X268)</f>
        <v/>
      </c>
      <c r="Z268" s="72" t="n">
        <v>361.67</v>
      </c>
      <c r="AA268" s="72" t="n">
        <v>63.82</v>
      </c>
      <c r="AB268" s="73">
        <f>Z268+AA268</f>
        <v/>
      </c>
      <c r="AC268" s="74">
        <f>IF(OR(E268="",E268=0,AB268=""),"",E268*365/(AB268*1000000))</f>
        <v/>
      </c>
      <c r="AD268" s="98">
        <f>IF(OR(O268="",O268=0,AB268=""),"",(AB268*1000000)/O268)</f>
        <v/>
      </c>
      <c r="AE268" s="99">
        <f>IF(H268="","",(Team_Genesis-H268)/1000000)</f>
        <v/>
      </c>
      <c r="AF268" s="99">
        <f>IF(OR(O268="",AE268=""),"",(O268-AE268*1000000)/1000000)</f>
        <v/>
      </c>
    </row>
    <row r="269">
      <c r="A269" s="35" t="n">
        <v>45923</v>
      </c>
      <c r="B269" s="90">
        <f>IF('Daily Data'!E269="","",'Daily Data'!E269)</f>
        <v/>
      </c>
      <c r="C269" s="65" t="n">
        <v>46.88</v>
      </c>
      <c r="D269" s="94" t="n">
        <v>60343.93</v>
      </c>
      <c r="E269" s="94" t="n">
        <v>26550.3898</v>
      </c>
      <c r="F269" s="94" t="n">
        <v>1779.5668</v>
      </c>
      <c r="G269" s="94" t="n"/>
      <c r="H269" s="95">
        <f>SUM($G$4:G269)</f>
        <v/>
      </c>
      <c r="I269" s="94" t="n">
        <v>1000000000</v>
      </c>
      <c r="J269" s="95">
        <f>J268-E269</f>
        <v/>
      </c>
      <c r="K269" s="94" t="n">
        <v>60000000</v>
      </c>
      <c r="L269" s="94" t="n">
        <v>31361169.41</v>
      </c>
      <c r="M269" s="94" t="n">
        <v>3000000</v>
      </c>
      <c r="N269" s="94" t="n">
        <v>413730.1275999546</v>
      </c>
      <c r="O269" s="96">
        <f>IF(OR(I269="",J269="",L269="",N269=""),"",I269-J269-K269-L269-M269-N269)</f>
        <v/>
      </c>
      <c r="P269" s="91">
        <f>IF(OR(O269="",C269=""),"",O269*C269)</f>
        <v/>
      </c>
      <c r="Q269" s="69">
        <f>Q268-E269</f>
        <v/>
      </c>
      <c r="R269" s="97">
        <f>IF(OR(J269="",Q269=""),"",J269-Q269)</f>
        <v/>
      </c>
      <c r="S269" s="69">
        <f>IF(D269="",S268,S268+D269)</f>
        <v/>
      </c>
      <c r="T269" s="97">
        <f>IF(OR(L269="",S269=""),"",L269-S269)</f>
        <v/>
      </c>
      <c r="U269" s="69">
        <f>IF(F269="",U268,U268+F269)</f>
        <v/>
      </c>
      <c r="V269" s="97">
        <f>IF(OR(N269="",U269=""),"",N269-U269)</f>
        <v/>
      </c>
      <c r="W269" s="71">
        <f>IF(OR(C269="",C269=0,'Daily Data'!J269=""),"",'Daily Data'!J269/C269)</f>
        <v/>
      </c>
      <c r="X269" s="71">
        <f>IF(OR(C269="",C269=0,'Daily Data'!K269=""),"",'Daily Data'!K269/C269)</f>
        <v/>
      </c>
      <c r="Y269" s="71">
        <f>IF(OR(F269="",W269="",X269=""),"",F269-W269-X269)</f>
        <v/>
      </c>
      <c r="Z269" s="72" t="n">
        <v>361.67</v>
      </c>
      <c r="AA269" s="72" t="n">
        <v>63.82</v>
      </c>
      <c r="AB269" s="73">
        <f>Z269+AA269</f>
        <v/>
      </c>
      <c r="AC269" s="74">
        <f>IF(OR(E269="",E269=0,AB269=""),"",E269*365/(AB269*1000000))</f>
        <v/>
      </c>
      <c r="AD269" s="98">
        <f>IF(OR(O269="",O269=0,AB269=""),"",(AB269*1000000)/O269)</f>
        <v/>
      </c>
      <c r="AE269" s="99">
        <f>IF(H269="","",(Team_Genesis-H269)/1000000)</f>
        <v/>
      </c>
      <c r="AF269" s="99">
        <f>IF(OR(O269="",AE269=""),"",(O269-AE269*1000000)/1000000)</f>
        <v/>
      </c>
    </row>
    <row r="270">
      <c r="A270" s="35" t="n">
        <v>45924</v>
      </c>
      <c r="B270" s="90">
        <f>IF('Daily Data'!E270="","",'Daily Data'!E270)</f>
        <v/>
      </c>
      <c r="C270" s="65" t="n">
        <v>44.74</v>
      </c>
      <c r="D270" s="94" t="n">
        <v>59159.16</v>
      </c>
      <c r="E270" s="94" t="n">
        <v>26333.996</v>
      </c>
      <c r="F270" s="94" t="n">
        <v>1059.8152</v>
      </c>
      <c r="G270" s="94" t="n"/>
      <c r="H270" s="95">
        <f>SUM($G$4:G270)</f>
        <v/>
      </c>
      <c r="I270" s="94" t="n">
        <v>1000000000</v>
      </c>
      <c r="J270" s="95">
        <f>J269-E270</f>
        <v/>
      </c>
      <c r="K270" s="94" t="n">
        <v>60000000</v>
      </c>
      <c r="L270" s="94" t="n">
        <v>31420547.02</v>
      </c>
      <c r="M270" s="94" t="n">
        <v>3000000</v>
      </c>
      <c r="N270" s="94" t="n">
        <v>414789.942800045</v>
      </c>
      <c r="O270" s="96">
        <f>IF(OR(I270="",J270="",L270="",N270=""),"",I270-J270-K270-L270-M270-N270)</f>
        <v/>
      </c>
      <c r="P270" s="91">
        <f>IF(OR(O270="",C270=""),"",O270*C270)</f>
        <v/>
      </c>
      <c r="Q270" s="69">
        <f>Q269-E270</f>
        <v/>
      </c>
      <c r="R270" s="97">
        <f>IF(OR(J270="",Q270=""),"",J270-Q270)</f>
        <v/>
      </c>
      <c r="S270" s="69">
        <f>IF(D270="",S269,S269+D270)</f>
        <v/>
      </c>
      <c r="T270" s="97">
        <f>IF(OR(L270="",S270=""),"",L270-S270)</f>
        <v/>
      </c>
      <c r="U270" s="69">
        <f>IF(F270="",U269,U269+F270)</f>
        <v/>
      </c>
      <c r="V270" s="97">
        <f>IF(OR(N270="",U270=""),"",N270-U270)</f>
        <v/>
      </c>
      <c r="W270" s="71">
        <f>IF(OR(C270="",C270=0,'Daily Data'!J270=""),"",'Daily Data'!J270/C270)</f>
        <v/>
      </c>
      <c r="X270" s="71">
        <f>IF(OR(C270="",C270=0,'Daily Data'!K270=""),"",'Daily Data'!K270/C270)</f>
        <v/>
      </c>
      <c r="Y270" s="71">
        <f>IF(OR(F270="",W270="",X270=""),"",F270-W270-X270)</f>
        <v/>
      </c>
      <c r="Z270" s="72" t="n">
        <v>361.67</v>
      </c>
      <c r="AA270" s="72" t="n">
        <v>63.82</v>
      </c>
      <c r="AB270" s="73">
        <f>Z270+AA270</f>
        <v/>
      </c>
      <c r="AC270" s="74">
        <f>IF(OR(E270="",E270=0,AB270=""),"",E270*365/(AB270*1000000))</f>
        <v/>
      </c>
      <c r="AD270" s="98">
        <f>IF(OR(O270="",O270=0,AB270=""),"",(AB270*1000000)/O270)</f>
        <v/>
      </c>
      <c r="AE270" s="99">
        <f>IF(H270="","",(Team_Genesis-H270)/1000000)</f>
        <v/>
      </c>
      <c r="AF270" s="99">
        <f>IF(OR(O270="",AE270=""),"",(O270-AE270*1000000)/1000000)</f>
        <v/>
      </c>
    </row>
    <row r="271">
      <c r="A271" s="35" t="n">
        <v>45925</v>
      </c>
      <c r="B271" s="90">
        <f>IF('Daily Data'!E271="","",'Daily Data'!E271)</f>
        <v/>
      </c>
      <c r="C271" s="65" t="n">
        <v>45.8</v>
      </c>
      <c r="D271" s="94" t="n">
        <v>119037.7</v>
      </c>
      <c r="E271" s="94" t="n">
        <v>26490.2406</v>
      </c>
      <c r="F271" s="94" t="n">
        <v>1835.6658</v>
      </c>
      <c r="G271" s="94" t="n"/>
      <c r="H271" s="95">
        <f>SUM($G$4:G271)</f>
        <v/>
      </c>
      <c r="I271" s="94" t="n">
        <v>1000000000</v>
      </c>
      <c r="J271" s="95">
        <f>J270-E271</f>
        <v/>
      </c>
      <c r="K271" s="94" t="n">
        <v>60000000</v>
      </c>
      <c r="L271" s="94" t="n">
        <v>31539671.17</v>
      </c>
      <c r="M271" s="94" t="n">
        <v>3000000</v>
      </c>
      <c r="N271" s="94" t="n">
        <v>416625.6086000204</v>
      </c>
      <c r="O271" s="96">
        <f>IF(OR(I271="",J271="",L271="",N271=""),"",I271-J271-K271-L271-M271-N271)</f>
        <v/>
      </c>
      <c r="P271" s="91">
        <f>IF(OR(O271="",C271=""),"",O271*C271)</f>
        <v/>
      </c>
      <c r="Q271" s="69">
        <f>Q270-E271</f>
        <v/>
      </c>
      <c r="R271" s="97">
        <f>IF(OR(J271="",Q271=""),"",J271-Q271)</f>
        <v/>
      </c>
      <c r="S271" s="69">
        <f>IF(D271="",S270,S270+D271)</f>
        <v/>
      </c>
      <c r="T271" s="97">
        <f>IF(OR(L271="",S271=""),"",L271-S271)</f>
        <v/>
      </c>
      <c r="U271" s="69">
        <f>IF(F271="",U270,U270+F271)</f>
        <v/>
      </c>
      <c r="V271" s="97">
        <f>IF(OR(N271="",U271=""),"",N271-U271)</f>
        <v/>
      </c>
      <c r="W271" s="71">
        <f>IF(OR(C271="",C271=0,'Daily Data'!J271=""),"",'Daily Data'!J271/C271)</f>
        <v/>
      </c>
      <c r="X271" s="71">
        <f>IF(OR(C271="",C271=0,'Daily Data'!K271=""),"",'Daily Data'!K271/C271)</f>
        <v/>
      </c>
      <c r="Y271" s="71">
        <f>IF(OR(F271="",W271="",X271=""),"",F271-W271-X271)</f>
        <v/>
      </c>
      <c r="Z271" s="72" t="n">
        <v>361.67</v>
      </c>
      <c r="AA271" s="72" t="n">
        <v>63.82</v>
      </c>
      <c r="AB271" s="73">
        <f>Z271+AA271</f>
        <v/>
      </c>
      <c r="AC271" s="74">
        <f>IF(OR(E271="",E271=0,AB271=""),"",E271*365/(AB271*1000000))</f>
        <v/>
      </c>
      <c r="AD271" s="98">
        <f>IF(OR(O271="",O271=0,AB271=""),"",(AB271*1000000)/O271)</f>
        <v/>
      </c>
      <c r="AE271" s="99">
        <f>IF(H271="","",(Team_Genesis-H271)/1000000)</f>
        <v/>
      </c>
      <c r="AF271" s="99">
        <f>IF(OR(O271="",AE271=""),"",(O271-AE271*1000000)/1000000)</f>
        <v/>
      </c>
    </row>
    <row r="272">
      <c r="A272" s="35" t="n">
        <v>45926</v>
      </c>
      <c r="B272" s="90">
        <f>IF('Daily Data'!E272="","",'Daily Data'!E272)</f>
        <v/>
      </c>
      <c r="C272" s="65" t="n">
        <v>41.15</v>
      </c>
      <c r="D272" s="94" t="n">
        <v>65870.34</v>
      </c>
      <c r="E272" s="94" t="n">
        <v>26434.0542</v>
      </c>
      <c r="F272" s="94" t="n">
        <v>2653.1531</v>
      </c>
      <c r="G272" s="94" t="n"/>
      <c r="H272" s="95">
        <f>SUM($G$4:G272)</f>
        <v/>
      </c>
      <c r="I272" s="94" t="n">
        <v>1000000000</v>
      </c>
      <c r="J272" s="95">
        <f>J271-E272</f>
        <v/>
      </c>
      <c r="K272" s="94" t="n">
        <v>60000000</v>
      </c>
      <c r="L272" s="94" t="n">
        <v>31605236.61</v>
      </c>
      <c r="M272" s="94" t="n">
        <v>3000000</v>
      </c>
      <c r="N272" s="94" t="n">
        <v>419278.7617000341</v>
      </c>
      <c r="O272" s="96">
        <f>IF(OR(I272="",J272="",L272="",N272=""),"",I272-J272-K272-L272-M272-N272)</f>
        <v/>
      </c>
      <c r="P272" s="91">
        <f>IF(OR(O272="",C272=""),"",O272*C272)</f>
        <v/>
      </c>
      <c r="Q272" s="69">
        <f>Q271-E272</f>
        <v/>
      </c>
      <c r="R272" s="97">
        <f>IF(OR(J272="",Q272=""),"",J272-Q272)</f>
        <v/>
      </c>
      <c r="S272" s="69">
        <f>IF(D272="",S271,S271+D272)</f>
        <v/>
      </c>
      <c r="T272" s="97">
        <f>IF(OR(L272="",S272=""),"",L272-S272)</f>
        <v/>
      </c>
      <c r="U272" s="69">
        <f>IF(F272="",U271,U271+F272)</f>
        <v/>
      </c>
      <c r="V272" s="97">
        <f>IF(OR(N272="",U272=""),"",N272-U272)</f>
        <v/>
      </c>
      <c r="W272" s="71">
        <f>IF(OR(C272="",C272=0,'Daily Data'!J272=""),"",'Daily Data'!J272/C272)</f>
        <v/>
      </c>
      <c r="X272" s="71">
        <f>IF(OR(C272="",C272=0,'Daily Data'!K272=""),"",'Daily Data'!K272/C272)</f>
        <v/>
      </c>
      <c r="Y272" s="71">
        <f>IF(OR(F272="",W272="",X272=""),"",F272-W272-X272)</f>
        <v/>
      </c>
      <c r="Z272" s="72" t="n">
        <v>361.67</v>
      </c>
      <c r="AA272" s="72" t="n">
        <v>63.82</v>
      </c>
      <c r="AB272" s="73">
        <f>Z272+AA272</f>
        <v/>
      </c>
      <c r="AC272" s="74">
        <f>IF(OR(E272="",E272=0,AB272=""),"",E272*365/(AB272*1000000))</f>
        <v/>
      </c>
      <c r="AD272" s="98">
        <f>IF(OR(O272="",O272=0,AB272=""),"",(AB272*1000000)/O272)</f>
        <v/>
      </c>
      <c r="AE272" s="99">
        <f>IF(H272="","",(Team_Genesis-H272)/1000000)</f>
        <v/>
      </c>
      <c r="AF272" s="99">
        <f>IF(OR(O272="",AE272=""),"",(O272-AE272*1000000)/1000000)</f>
        <v/>
      </c>
    </row>
    <row r="273">
      <c r="A273" s="35" t="n">
        <v>45927</v>
      </c>
      <c r="B273" s="90">
        <f>IF('Daily Data'!E273="","",'Daily Data'!E273)</f>
        <v/>
      </c>
      <c r="C273" s="65" t="n">
        <v>44.89</v>
      </c>
      <c r="D273" s="94" t="n">
        <v>32624.52</v>
      </c>
      <c r="E273" s="94" t="n">
        <v>26395.275</v>
      </c>
      <c r="F273" s="94" t="n">
        <v>1489.1978</v>
      </c>
      <c r="G273" s="94" t="n"/>
      <c r="H273" s="95">
        <f>SUM($G$4:G273)</f>
        <v/>
      </c>
      <c r="I273" s="94" t="n">
        <v>1000000000</v>
      </c>
      <c r="J273" s="95">
        <f>J272-E273</f>
        <v/>
      </c>
      <c r="K273" s="94" t="n">
        <v>60000000</v>
      </c>
      <c r="L273" s="94" t="n">
        <v>31675614.22</v>
      </c>
      <c r="M273" s="94" t="n">
        <v>3000000</v>
      </c>
      <c r="N273" s="94" t="n">
        <v>420767.9595999718</v>
      </c>
      <c r="O273" s="96">
        <f>IF(OR(I273="",J273="",L273="",N273=""),"",I273-J273-K273-L273-M273-N273)</f>
        <v/>
      </c>
      <c r="P273" s="91">
        <f>IF(OR(O273="",C273=""),"",O273*C273)</f>
        <v/>
      </c>
      <c r="Q273" s="69">
        <f>Q272-E273</f>
        <v/>
      </c>
      <c r="R273" s="97">
        <f>IF(OR(J273="",Q273=""),"",J273-Q273)</f>
        <v/>
      </c>
      <c r="S273" s="69">
        <f>IF(D273="",S272,S272+D273)</f>
        <v/>
      </c>
      <c r="T273" s="97">
        <f>IF(OR(L273="",S273=""),"",L273-S273)</f>
        <v/>
      </c>
      <c r="U273" s="69">
        <f>IF(F273="",U272,U272+F273)</f>
        <v/>
      </c>
      <c r="V273" s="97">
        <f>IF(OR(N273="",U273=""),"",N273-U273)</f>
        <v/>
      </c>
      <c r="W273" s="71">
        <f>IF(OR(C273="",C273=0,'Daily Data'!J273=""),"",'Daily Data'!J273/C273)</f>
        <v/>
      </c>
      <c r="X273" s="71">
        <f>IF(OR(C273="",C273=0,'Daily Data'!K273=""),"",'Daily Data'!K273/C273)</f>
        <v/>
      </c>
      <c r="Y273" s="71">
        <f>IF(OR(F273="",W273="",X273=""),"",F273-W273-X273)</f>
        <v/>
      </c>
      <c r="Z273" s="72" t="n">
        <v>361.67</v>
      </c>
      <c r="AA273" s="72" t="n">
        <v>63.82</v>
      </c>
      <c r="AB273" s="73">
        <f>Z273+AA273</f>
        <v/>
      </c>
      <c r="AC273" s="74">
        <f>IF(OR(E273="",E273=0,AB273=""),"",E273*365/(AB273*1000000))</f>
        <v/>
      </c>
      <c r="AD273" s="98">
        <f>IF(OR(O273="",O273=0,AB273=""),"",(AB273*1000000)/O273)</f>
        <v/>
      </c>
      <c r="AE273" s="99">
        <f>IF(H273="","",(Team_Genesis-H273)/1000000)</f>
        <v/>
      </c>
      <c r="AF273" s="99">
        <f>IF(OR(O273="",AE273=""),"",(O273-AE273*1000000)/1000000)</f>
        <v/>
      </c>
    </row>
    <row r="274">
      <c r="A274" s="35" t="n">
        <v>45928</v>
      </c>
      <c r="B274" s="90">
        <f>IF('Daily Data'!E274="","",'Daily Data'!E274)</f>
        <v/>
      </c>
      <c r="C274" s="65" t="n">
        <v>45.62</v>
      </c>
      <c r="D274" s="94" t="n">
        <v>37753.09</v>
      </c>
      <c r="E274" s="94" t="n">
        <v>26313.7776</v>
      </c>
      <c r="F274" s="94" t="n">
        <v>1177.5401</v>
      </c>
      <c r="G274" s="94" t="n"/>
      <c r="H274" s="95">
        <f>SUM($G$4:G274)</f>
        <v/>
      </c>
      <c r="I274" s="94" t="n">
        <v>1000000000</v>
      </c>
      <c r="J274" s="95">
        <f>J273-E274</f>
        <v/>
      </c>
      <c r="K274" s="94" t="n">
        <v>60000000</v>
      </c>
      <c r="L274" s="94" t="n">
        <v>31675614.22</v>
      </c>
      <c r="M274" s="94" t="n">
        <v>3000000</v>
      </c>
      <c r="N274" s="94" t="n">
        <v>421945.4996999502</v>
      </c>
      <c r="O274" s="96">
        <f>IF(OR(I274="",J274="",L274="",N274=""),"",I274-J274-K274-L274-M274-N274)</f>
        <v/>
      </c>
      <c r="P274" s="91">
        <f>IF(OR(O274="",C274=""),"",O274*C274)</f>
        <v/>
      </c>
      <c r="Q274" s="69">
        <f>Q273-E274</f>
        <v/>
      </c>
      <c r="R274" s="97">
        <f>IF(OR(J274="",Q274=""),"",J274-Q274)</f>
        <v/>
      </c>
      <c r="S274" s="69">
        <f>IF(D274="",S273,S273+D274)</f>
        <v/>
      </c>
      <c r="T274" s="97">
        <f>IF(OR(L274="",S274=""),"",L274-S274)</f>
        <v/>
      </c>
      <c r="U274" s="69">
        <f>IF(F274="",U273,U273+F274)</f>
        <v/>
      </c>
      <c r="V274" s="97">
        <f>IF(OR(N274="",U274=""),"",N274-U274)</f>
        <v/>
      </c>
      <c r="W274" s="71">
        <f>IF(OR(C274="",C274=0,'Daily Data'!J274=""),"",'Daily Data'!J274/C274)</f>
        <v/>
      </c>
      <c r="X274" s="71">
        <f>IF(OR(C274="",C274=0,'Daily Data'!K274=""),"",'Daily Data'!K274/C274)</f>
        <v/>
      </c>
      <c r="Y274" s="71">
        <f>IF(OR(F274="",W274="",X274=""),"",F274-W274-X274)</f>
        <v/>
      </c>
      <c r="Z274" s="72" t="n">
        <v>361.67</v>
      </c>
      <c r="AA274" s="72" t="n">
        <v>63.82</v>
      </c>
      <c r="AB274" s="73">
        <f>Z274+AA274</f>
        <v/>
      </c>
      <c r="AC274" s="74">
        <f>IF(OR(E274="",E274=0,AB274=""),"",E274*365/(AB274*1000000))</f>
        <v/>
      </c>
      <c r="AD274" s="98">
        <f>IF(OR(O274="",O274=0,AB274=""),"",(AB274*1000000)/O274)</f>
        <v/>
      </c>
      <c r="AE274" s="99">
        <f>IF(H274="","",(Team_Genesis-H274)/1000000)</f>
        <v/>
      </c>
      <c r="AF274" s="99">
        <f>IF(OR(O274="",AE274=""),"",(O274-AE274*1000000)/1000000)</f>
        <v/>
      </c>
    </row>
    <row r="275">
      <c r="A275" s="35" t="n">
        <v>45929</v>
      </c>
      <c r="B275" s="90">
        <f>IF('Daily Data'!E275="","",'Daily Data'!E275)</f>
        <v/>
      </c>
      <c r="C275" s="65" t="n">
        <v>46.84</v>
      </c>
      <c r="D275" s="94" t="n">
        <v>53114.97</v>
      </c>
      <c r="E275" s="94" t="n">
        <v>26353.2422</v>
      </c>
      <c r="F275" s="94" t="n">
        <v>1419.9657</v>
      </c>
      <c r="G275" s="94" t="n"/>
      <c r="H275" s="95">
        <f>SUM($G$4:G275)</f>
        <v/>
      </c>
      <c r="I275" s="94" t="n">
        <v>1000000000</v>
      </c>
      <c r="J275" s="95">
        <f>J274-E275</f>
        <v/>
      </c>
      <c r="K275" s="94" t="n">
        <v>60000000</v>
      </c>
      <c r="L275" s="94" t="n">
        <v>31728729.19</v>
      </c>
      <c r="M275" s="94" t="n">
        <v>3000000</v>
      </c>
      <c r="N275" s="94" t="n">
        <v>423365.4653999805</v>
      </c>
      <c r="O275" s="96">
        <f>IF(OR(I275="",J275="",L275="",N275=""),"",I275-J275-K275-L275-M275-N275)</f>
        <v/>
      </c>
      <c r="P275" s="91">
        <f>IF(OR(O275="",C275=""),"",O275*C275)</f>
        <v/>
      </c>
      <c r="Q275" s="69">
        <f>Q274-E275</f>
        <v/>
      </c>
      <c r="R275" s="97">
        <f>IF(OR(J275="",Q275=""),"",J275-Q275)</f>
        <v/>
      </c>
      <c r="S275" s="69">
        <f>IF(D275="",S274,S274+D275)</f>
        <v/>
      </c>
      <c r="T275" s="97">
        <f>IF(OR(L275="",S275=""),"",L275-S275)</f>
        <v/>
      </c>
      <c r="U275" s="69">
        <f>IF(F275="",U274,U274+F275)</f>
        <v/>
      </c>
      <c r="V275" s="97">
        <f>IF(OR(N275="",U275=""),"",N275-U275)</f>
        <v/>
      </c>
      <c r="W275" s="71">
        <f>IF(OR(C275="",C275=0,'Daily Data'!J275=""),"",'Daily Data'!J275/C275)</f>
        <v/>
      </c>
      <c r="X275" s="71">
        <f>IF(OR(C275="",C275=0,'Daily Data'!K275=""),"",'Daily Data'!K275/C275)</f>
        <v/>
      </c>
      <c r="Y275" s="71">
        <f>IF(OR(F275="",W275="",X275=""),"",F275-W275-X275)</f>
        <v/>
      </c>
      <c r="Z275" s="72" t="n">
        <v>361.67</v>
      </c>
      <c r="AA275" s="72" t="n">
        <v>63.82</v>
      </c>
      <c r="AB275" s="73">
        <f>Z275+AA275</f>
        <v/>
      </c>
      <c r="AC275" s="74">
        <f>IF(OR(E275="",E275=0,AB275=""),"",E275*365/(AB275*1000000))</f>
        <v/>
      </c>
      <c r="AD275" s="98">
        <f>IF(OR(O275="",O275=0,AB275=""),"",(AB275*1000000)/O275)</f>
        <v/>
      </c>
      <c r="AE275" s="99">
        <f>IF(H275="","",(Team_Genesis-H275)/1000000)</f>
        <v/>
      </c>
      <c r="AF275" s="99">
        <f>IF(OR(O275="",AE275=""),"",(O275-AE275*1000000)/1000000)</f>
        <v/>
      </c>
    </row>
    <row r="276">
      <c r="A276" s="35" t="n">
        <v>45930</v>
      </c>
      <c r="B276" s="90">
        <f>IF('Daily Data'!E276="","",'Daily Data'!E276)</f>
        <v/>
      </c>
      <c r="C276" s="65" t="n">
        <v>46.11</v>
      </c>
      <c r="D276" s="94" t="n">
        <v>56329.96</v>
      </c>
      <c r="E276" s="94" t="n">
        <v>26353.0446</v>
      </c>
      <c r="F276" s="94" t="n">
        <v>1560.4482</v>
      </c>
      <c r="G276" s="94" t="n"/>
      <c r="H276" s="95">
        <f>SUM($G$4:G276)</f>
        <v/>
      </c>
      <c r="I276" s="94" t="n">
        <v>1000000000</v>
      </c>
      <c r="J276" s="95">
        <f>J275-E276</f>
        <v/>
      </c>
      <c r="K276" s="94" t="n">
        <v>60000000</v>
      </c>
      <c r="L276" s="94" t="n">
        <v>31785059.15</v>
      </c>
      <c r="M276" s="94" t="n">
        <v>3000000</v>
      </c>
      <c r="N276" s="94" t="n">
        <v>424925.913599968</v>
      </c>
      <c r="O276" s="96">
        <f>IF(OR(I276="",J276="",L276="",N276=""),"",I276-J276-K276-L276-M276-N276)</f>
        <v/>
      </c>
      <c r="P276" s="91">
        <f>IF(OR(O276="",C276=""),"",O276*C276)</f>
        <v/>
      </c>
      <c r="Q276" s="69">
        <f>Q275-E276</f>
        <v/>
      </c>
      <c r="R276" s="97">
        <f>IF(OR(J276="",Q276=""),"",J276-Q276)</f>
        <v/>
      </c>
      <c r="S276" s="69">
        <f>IF(D276="",S275,S275+D276)</f>
        <v/>
      </c>
      <c r="T276" s="97">
        <f>IF(OR(L276="",S276=""),"",L276-S276)</f>
        <v/>
      </c>
      <c r="U276" s="69">
        <f>IF(F276="",U275,U275+F276)</f>
        <v/>
      </c>
      <c r="V276" s="97">
        <f>IF(OR(N276="",U276=""),"",N276-U276)</f>
        <v/>
      </c>
      <c r="W276" s="71">
        <f>IF(OR(C276="",C276=0,'Daily Data'!J276=""),"",'Daily Data'!J276/C276)</f>
        <v/>
      </c>
      <c r="X276" s="71">
        <f>IF(OR(C276="",C276=0,'Daily Data'!K276=""),"",'Daily Data'!K276/C276)</f>
        <v/>
      </c>
      <c r="Y276" s="71">
        <f>IF(OR(F276="",W276="",X276=""),"",F276-W276-X276)</f>
        <v/>
      </c>
      <c r="Z276" s="72" t="n">
        <v>361.67</v>
      </c>
      <c r="AA276" s="72" t="n">
        <v>63.82</v>
      </c>
      <c r="AB276" s="73">
        <f>Z276+AA276</f>
        <v/>
      </c>
      <c r="AC276" s="74">
        <f>IF(OR(E276="",E276=0,AB276=""),"",E276*365/(AB276*1000000))</f>
        <v/>
      </c>
      <c r="AD276" s="98">
        <f>IF(OR(O276="",O276=0,AB276=""),"",(AB276*1000000)/O276)</f>
        <v/>
      </c>
      <c r="AE276" s="99">
        <f>IF(H276="","",(Team_Genesis-H276)/1000000)</f>
        <v/>
      </c>
      <c r="AF276" s="99">
        <f>IF(OR(O276="",AE276=""),"",(O276-AE276*1000000)/1000000)</f>
        <v/>
      </c>
    </row>
    <row r="277">
      <c r="A277" s="35" t="n">
        <v>45931</v>
      </c>
      <c r="B277" s="90">
        <f>IF('Daily Data'!E277="","",'Daily Data'!E277)</f>
        <v/>
      </c>
      <c r="C277" s="65" t="n">
        <v>45.26</v>
      </c>
      <c r="D277" s="94" t="n">
        <v>60619.99</v>
      </c>
      <c r="E277" s="94" t="n">
        <v>26351.695</v>
      </c>
      <c r="F277" s="94" t="n">
        <v>1559.708</v>
      </c>
      <c r="G277" s="94" t="n"/>
      <c r="H277" s="95">
        <f>SUM($G$4:G277)</f>
        <v/>
      </c>
      <c r="I277" s="94" t="n">
        <v>1000000000</v>
      </c>
      <c r="J277" s="95">
        <f>J276-E277</f>
        <v/>
      </c>
      <c r="K277" s="94" t="n">
        <v>60000000</v>
      </c>
      <c r="L277" s="94" t="n">
        <v>31845679.14</v>
      </c>
      <c r="M277" s="94" t="n">
        <v>3000000</v>
      </c>
      <c r="N277" s="94" t="n">
        <v>426485.6215000153</v>
      </c>
      <c r="O277" s="96">
        <f>IF(OR(I277="",J277="",L277="",N277=""),"",I277-J277-K277-L277-M277-N277)</f>
        <v/>
      </c>
      <c r="P277" s="91">
        <f>IF(OR(O277="",C277=""),"",O277*C277)</f>
        <v/>
      </c>
      <c r="Q277" s="69">
        <f>Q276-E277</f>
        <v/>
      </c>
      <c r="R277" s="97">
        <f>IF(OR(J277="",Q277=""),"",J277-Q277)</f>
        <v/>
      </c>
      <c r="S277" s="69">
        <f>IF(D277="",S276,S276+D277)</f>
        <v/>
      </c>
      <c r="T277" s="97">
        <f>IF(OR(L277="",S277=""),"",L277-S277)</f>
        <v/>
      </c>
      <c r="U277" s="69">
        <f>IF(F277="",U276,U276+F277)</f>
        <v/>
      </c>
      <c r="V277" s="97">
        <f>IF(OR(N277="",U277=""),"",N277-U277)</f>
        <v/>
      </c>
      <c r="W277" s="71">
        <f>IF(OR(C277="",C277=0,'Daily Data'!J277=""),"",'Daily Data'!J277/C277)</f>
        <v/>
      </c>
      <c r="X277" s="71">
        <f>IF(OR(C277="",C277=0,'Daily Data'!K277=""),"",'Daily Data'!K277/C277)</f>
        <v/>
      </c>
      <c r="Y277" s="71">
        <f>IF(OR(F277="",W277="",X277=""),"",F277-W277-X277)</f>
        <v/>
      </c>
      <c r="Z277" s="72" t="n">
        <v>355.03</v>
      </c>
      <c r="AA277" s="72" t="n">
        <v>62.65</v>
      </c>
      <c r="AB277" s="73">
        <f>Z277+AA277</f>
        <v/>
      </c>
      <c r="AC277" s="74">
        <f>IF(OR(E277="",E277=0,AB277=""),"",E277*365/(AB277*1000000))</f>
        <v/>
      </c>
      <c r="AD277" s="98">
        <f>IF(OR(O277="",O277=0,AB277=""),"",(AB277*1000000)/O277)</f>
        <v/>
      </c>
      <c r="AE277" s="99">
        <f>IF(H277="","",(Team_Genesis-H277)/1000000)</f>
        <v/>
      </c>
      <c r="AF277" s="99">
        <f>IF(OR(O277="",AE277=""),"",(O277-AE277*1000000)/1000000)</f>
        <v/>
      </c>
    </row>
    <row r="278">
      <c r="A278" s="35" t="n">
        <v>45932</v>
      </c>
      <c r="B278" s="90">
        <f>IF('Daily Data'!E278="","",'Daily Data'!E278)</f>
        <v/>
      </c>
      <c r="C278" s="65" t="n">
        <v>47.92</v>
      </c>
      <c r="D278" s="94" t="n">
        <v>64602.58</v>
      </c>
      <c r="E278" s="94" t="n">
        <v>26326.8913</v>
      </c>
      <c r="F278" s="94" t="n">
        <v>2228.7202</v>
      </c>
      <c r="G278" s="94" t="n"/>
      <c r="H278" s="95">
        <f>SUM($G$4:G278)</f>
        <v/>
      </c>
      <c r="I278" s="94" t="n">
        <v>1000000000</v>
      </c>
      <c r="J278" s="95">
        <f>J277-E278</f>
        <v/>
      </c>
      <c r="K278" s="94" t="n">
        <v>60000000</v>
      </c>
      <c r="L278" s="94" t="n">
        <v>31910281.72</v>
      </c>
      <c r="M278" s="94" t="n">
        <v>3000000</v>
      </c>
      <c r="N278" s="94" t="n">
        <v>428714.3417999744</v>
      </c>
      <c r="O278" s="96">
        <f>IF(OR(I278="",J278="",L278="",N278=""),"",I278-J278-K278-L278-M278-N278)</f>
        <v/>
      </c>
      <c r="P278" s="91">
        <f>IF(OR(O278="",C278=""),"",O278*C278)</f>
        <v/>
      </c>
      <c r="Q278" s="69">
        <f>Q277-E278</f>
        <v/>
      </c>
      <c r="R278" s="97">
        <f>IF(OR(J278="",Q278=""),"",J278-Q278)</f>
        <v/>
      </c>
      <c r="S278" s="69">
        <f>IF(D278="",S277,S277+D278)</f>
        <v/>
      </c>
      <c r="T278" s="97">
        <f>IF(OR(L278="",S278=""),"",L278-S278)</f>
        <v/>
      </c>
      <c r="U278" s="69">
        <f>IF(F278="",U277,U277+F278)</f>
        <v/>
      </c>
      <c r="V278" s="97">
        <f>IF(OR(N278="",U278=""),"",N278-U278)</f>
        <v/>
      </c>
      <c r="W278" s="71">
        <f>IF(OR(C278="",C278=0,'Daily Data'!J278=""),"",'Daily Data'!J278/C278)</f>
        <v/>
      </c>
      <c r="X278" s="71">
        <f>IF(OR(C278="",C278=0,'Daily Data'!K278=""),"",'Daily Data'!K278/C278)</f>
        <v/>
      </c>
      <c r="Y278" s="71">
        <f>IF(OR(F278="",W278="",X278=""),"",F278-W278-X278)</f>
        <v/>
      </c>
      <c r="Z278" s="72" t="n">
        <v>355.03</v>
      </c>
      <c r="AA278" s="72" t="n">
        <v>62.65</v>
      </c>
      <c r="AB278" s="73">
        <f>Z278+AA278</f>
        <v/>
      </c>
      <c r="AC278" s="74">
        <f>IF(OR(E278="",E278=0,AB278=""),"",E278*365/(AB278*1000000))</f>
        <v/>
      </c>
      <c r="AD278" s="98">
        <f>IF(OR(O278="",O278=0,AB278=""),"",(AB278*1000000)/O278)</f>
        <v/>
      </c>
      <c r="AE278" s="99">
        <f>IF(H278="","",(Team_Genesis-H278)/1000000)</f>
        <v/>
      </c>
      <c r="AF278" s="99">
        <f>IF(OR(O278="",AE278=""),"",(O278-AE278*1000000)/1000000)</f>
        <v/>
      </c>
    </row>
    <row r="279">
      <c r="A279" s="35" t="n">
        <v>45933</v>
      </c>
      <c r="B279" s="90">
        <f>IF('Daily Data'!E279="","",'Daily Data'!E279)</f>
        <v/>
      </c>
      <c r="C279" s="65" t="n">
        <v>50.45</v>
      </c>
      <c r="D279" s="94" t="n">
        <v>63968.63</v>
      </c>
      <c r="E279" s="94" t="n">
        <v>26375.1157</v>
      </c>
      <c r="F279" s="94" t="n">
        <v>2052.1029</v>
      </c>
      <c r="G279" s="94" t="n"/>
      <c r="H279" s="95">
        <f>SUM($G$4:G279)</f>
        <v/>
      </c>
      <c r="I279" s="94" t="n">
        <v>1000000000</v>
      </c>
      <c r="J279" s="95">
        <f>J278-E279</f>
        <v/>
      </c>
      <c r="K279" s="94" t="n">
        <v>60000000</v>
      </c>
      <c r="L279" s="94" t="n">
        <v>31974250.35</v>
      </c>
      <c r="M279" s="94" t="n">
        <v>3000000</v>
      </c>
      <c r="N279" s="94" t="n">
        <v>430766.4447000027</v>
      </c>
      <c r="O279" s="96">
        <f>IF(OR(I279="",J279="",L279="",N279=""),"",I279-J279-K279-L279-M279-N279)</f>
        <v/>
      </c>
      <c r="P279" s="91">
        <f>IF(OR(O279="",C279=""),"",O279*C279)</f>
        <v/>
      </c>
      <c r="Q279" s="69">
        <f>Q278-E279</f>
        <v/>
      </c>
      <c r="R279" s="97">
        <f>IF(OR(J279="",Q279=""),"",J279-Q279)</f>
        <v/>
      </c>
      <c r="S279" s="69">
        <f>IF(D279="",S278,S278+D279)</f>
        <v/>
      </c>
      <c r="T279" s="97">
        <f>IF(OR(L279="",S279=""),"",L279-S279)</f>
        <v/>
      </c>
      <c r="U279" s="69">
        <f>IF(F279="",U278,U278+F279)</f>
        <v/>
      </c>
      <c r="V279" s="97">
        <f>IF(OR(N279="",U279=""),"",N279-U279)</f>
        <v/>
      </c>
      <c r="W279" s="71">
        <f>IF(OR(C279="",C279=0,'Daily Data'!J279=""),"",'Daily Data'!J279/C279)</f>
        <v/>
      </c>
      <c r="X279" s="71">
        <f>IF(OR(C279="",C279=0,'Daily Data'!K279=""),"",'Daily Data'!K279/C279)</f>
        <v/>
      </c>
      <c r="Y279" s="71">
        <f>IF(OR(F279="",W279="",X279=""),"",F279-W279-X279)</f>
        <v/>
      </c>
      <c r="Z279" s="72" t="n">
        <v>355.03</v>
      </c>
      <c r="AA279" s="72" t="n">
        <v>62.65</v>
      </c>
      <c r="AB279" s="73">
        <f>Z279+AA279</f>
        <v/>
      </c>
      <c r="AC279" s="74">
        <f>IF(OR(E279="",E279=0,AB279=""),"",E279*365/(AB279*1000000))</f>
        <v/>
      </c>
      <c r="AD279" s="98">
        <f>IF(OR(O279="",O279=0,AB279=""),"",(AB279*1000000)/O279)</f>
        <v/>
      </c>
      <c r="AE279" s="99">
        <f>IF(H279="","",(Team_Genesis-H279)/1000000)</f>
        <v/>
      </c>
      <c r="AF279" s="99">
        <f>IF(OR(O279="",AE279=""),"",(O279-AE279*1000000)/1000000)</f>
        <v/>
      </c>
    </row>
    <row r="280">
      <c r="A280" s="35" t="n">
        <v>45934</v>
      </c>
      <c r="B280" s="90">
        <f>IF('Daily Data'!E280="","",'Daily Data'!E280)</f>
        <v/>
      </c>
      <c r="C280" s="65" t="n">
        <v>49.28</v>
      </c>
      <c r="D280" s="94" t="n">
        <v>29332</v>
      </c>
      <c r="E280" s="94" t="n">
        <v>26401.1862</v>
      </c>
      <c r="F280" s="94" t="n">
        <v>1300.9188</v>
      </c>
      <c r="G280" s="94" t="n"/>
      <c r="H280" s="95">
        <f>SUM($G$4:G280)</f>
        <v/>
      </c>
      <c r="I280" s="94" t="n">
        <v>1000000000</v>
      </c>
      <c r="J280" s="95">
        <f>J279-E280</f>
        <v/>
      </c>
      <c r="K280" s="94" t="n">
        <v>60000000</v>
      </c>
      <c r="L280" s="94" t="n">
        <v>32003582.35</v>
      </c>
      <c r="M280" s="94" t="n">
        <v>3000000</v>
      </c>
      <c r="N280" s="94" t="n">
        <v>432067.363499999</v>
      </c>
      <c r="O280" s="96">
        <f>IF(OR(I280="",J280="",L280="",N280=""),"",I280-J280-K280-L280-M280-N280)</f>
        <v/>
      </c>
      <c r="P280" s="91">
        <f>IF(OR(O280="",C280=""),"",O280*C280)</f>
        <v/>
      </c>
      <c r="Q280" s="69">
        <f>Q279-E280</f>
        <v/>
      </c>
      <c r="R280" s="97">
        <f>IF(OR(J280="",Q280=""),"",J280-Q280)</f>
        <v/>
      </c>
      <c r="S280" s="69">
        <f>IF(D280="",S279,S279+D280)</f>
        <v/>
      </c>
      <c r="T280" s="97">
        <f>IF(OR(L280="",S280=""),"",L280-S280)</f>
        <v/>
      </c>
      <c r="U280" s="69">
        <f>IF(F280="",U279,U279+F280)</f>
        <v/>
      </c>
      <c r="V280" s="97">
        <f>IF(OR(N280="",U280=""),"",N280-U280)</f>
        <v/>
      </c>
      <c r="W280" s="71">
        <f>IF(OR(C280="",C280=0,'Daily Data'!J280=""),"",'Daily Data'!J280/C280)</f>
        <v/>
      </c>
      <c r="X280" s="71">
        <f>IF(OR(C280="",C280=0,'Daily Data'!K280=""),"",'Daily Data'!K280/C280)</f>
        <v/>
      </c>
      <c r="Y280" s="71">
        <f>IF(OR(F280="",W280="",X280=""),"",F280-W280-X280)</f>
        <v/>
      </c>
      <c r="Z280" s="72" t="n">
        <v>355.03</v>
      </c>
      <c r="AA280" s="72" t="n">
        <v>62.65</v>
      </c>
      <c r="AB280" s="73">
        <f>Z280+AA280</f>
        <v/>
      </c>
      <c r="AC280" s="74">
        <f>IF(OR(E280="",E280=0,AB280=""),"",E280*365/(AB280*1000000))</f>
        <v/>
      </c>
      <c r="AD280" s="98">
        <f>IF(OR(O280="",O280=0,AB280=""),"",(AB280*1000000)/O280)</f>
        <v/>
      </c>
      <c r="AE280" s="99">
        <f>IF(H280="","",(Team_Genesis-H280)/1000000)</f>
        <v/>
      </c>
      <c r="AF280" s="99">
        <f>IF(OR(O280="",AE280=""),"",(O280-AE280*1000000)/1000000)</f>
        <v/>
      </c>
    </row>
    <row r="281">
      <c r="A281" s="35" t="n">
        <v>45935</v>
      </c>
      <c r="B281" s="90">
        <f>IF('Daily Data'!E281="","",'Daily Data'!E281)</f>
        <v/>
      </c>
      <c r="C281" s="65" t="n">
        <v>49.46</v>
      </c>
      <c r="D281" s="94" t="n">
        <v>56599.12</v>
      </c>
      <c r="E281" s="94" t="n">
        <v>26408.6283</v>
      </c>
      <c r="F281" s="94" t="n">
        <v>1245.0727</v>
      </c>
      <c r="G281" s="94" t="n"/>
      <c r="H281" s="95">
        <f>SUM($G$4:G281)</f>
        <v/>
      </c>
      <c r="I281" s="94" t="n">
        <v>1000000000</v>
      </c>
      <c r="J281" s="95">
        <f>J280-E281</f>
        <v/>
      </c>
      <c r="K281" s="94" t="n">
        <v>60000000</v>
      </c>
      <c r="L281" s="94" t="n">
        <v>32060736.7</v>
      </c>
      <c r="M281" s="94" t="n">
        <v>3000000</v>
      </c>
      <c r="N281" s="94" t="n">
        <v>433312.4361000061</v>
      </c>
      <c r="O281" s="96">
        <f>IF(OR(I281="",J281="",L281="",N281=""),"",I281-J281-K281-L281-M281-N281)</f>
        <v/>
      </c>
      <c r="P281" s="91">
        <f>IF(OR(O281="",C281=""),"",O281*C281)</f>
        <v/>
      </c>
      <c r="Q281" s="69">
        <f>Q280-E281</f>
        <v/>
      </c>
      <c r="R281" s="97">
        <f>IF(OR(J281="",Q281=""),"",J281-Q281)</f>
        <v/>
      </c>
      <c r="S281" s="69">
        <f>IF(D281="",S280,S280+D281)</f>
        <v/>
      </c>
      <c r="T281" s="97">
        <f>IF(OR(L281="",S281=""),"",L281-S281)</f>
        <v/>
      </c>
      <c r="U281" s="69">
        <f>IF(F281="",U280,U280+F281)</f>
        <v/>
      </c>
      <c r="V281" s="97">
        <f>IF(OR(N281="",U281=""),"",N281-U281)</f>
        <v/>
      </c>
      <c r="W281" s="71">
        <f>IF(OR(C281="",C281=0,'Daily Data'!J281=""),"",'Daily Data'!J281/C281)</f>
        <v/>
      </c>
      <c r="X281" s="71">
        <f>IF(OR(C281="",C281=0,'Daily Data'!K281=""),"",'Daily Data'!K281/C281)</f>
        <v/>
      </c>
      <c r="Y281" s="71">
        <f>IF(OR(F281="",W281="",X281=""),"",F281-W281-X281)</f>
        <v/>
      </c>
      <c r="Z281" s="72" t="n">
        <v>355.03</v>
      </c>
      <c r="AA281" s="72" t="n">
        <v>62.65</v>
      </c>
      <c r="AB281" s="73">
        <f>Z281+AA281</f>
        <v/>
      </c>
      <c r="AC281" s="74">
        <f>IF(OR(E281="",E281=0,AB281=""),"",E281*365/(AB281*1000000))</f>
        <v/>
      </c>
      <c r="AD281" s="98">
        <f>IF(OR(O281="",O281=0,AB281=""),"",(AB281*1000000)/O281)</f>
        <v/>
      </c>
      <c r="AE281" s="99">
        <f>IF(H281="","",(Team_Genesis-H281)/1000000)</f>
        <v/>
      </c>
      <c r="AF281" s="99">
        <f>IF(OR(O281="",AE281=""),"",(O281-AE281*1000000)/1000000)</f>
        <v/>
      </c>
    </row>
    <row r="282">
      <c r="A282" s="35" t="n">
        <v>45936</v>
      </c>
      <c r="B282" s="90">
        <f>IF('Daily Data'!E282="","",'Daily Data'!E282)</f>
        <v/>
      </c>
      <c r="C282" s="65" t="n">
        <v>48.21</v>
      </c>
      <c r="D282" s="94" t="n">
        <v>64194.16</v>
      </c>
      <c r="E282" s="94" t="n">
        <v>26412.4511</v>
      </c>
      <c r="F282" s="94" t="n">
        <v>1265.7452</v>
      </c>
      <c r="G282" s="94" t="n"/>
      <c r="H282" s="95">
        <f>SUM($G$4:G282)</f>
        <v/>
      </c>
      <c r="I282" s="94" t="n">
        <v>1000000000</v>
      </c>
      <c r="J282" s="95">
        <f>J281-E282</f>
        <v/>
      </c>
      <c r="K282" s="94" t="n">
        <v>60000000</v>
      </c>
      <c r="L282" s="94" t="n">
        <v>32124587.41</v>
      </c>
      <c r="M282" s="94" t="n">
        <v>3000000</v>
      </c>
      <c r="N282" s="94" t="n">
        <v>434578.1813999414</v>
      </c>
      <c r="O282" s="96">
        <f>IF(OR(I282="",J282="",L282="",N282=""),"",I282-J282-K282-L282-M282-N282)</f>
        <v/>
      </c>
      <c r="P282" s="91">
        <f>IF(OR(O282="",C282=""),"",O282*C282)</f>
        <v/>
      </c>
      <c r="Q282" s="69">
        <f>Q281-E282</f>
        <v/>
      </c>
      <c r="R282" s="97">
        <f>IF(OR(J282="",Q282=""),"",J282-Q282)</f>
        <v/>
      </c>
      <c r="S282" s="69">
        <f>IF(D282="",S281,S281+D282)</f>
        <v/>
      </c>
      <c r="T282" s="97">
        <f>IF(OR(L282="",S282=""),"",L282-S282)</f>
        <v/>
      </c>
      <c r="U282" s="69">
        <f>IF(F282="",U281,U281+F282)</f>
        <v/>
      </c>
      <c r="V282" s="97">
        <f>IF(OR(N282="",U282=""),"",N282-U282)</f>
        <v/>
      </c>
      <c r="W282" s="71">
        <f>IF(OR(C282="",C282=0,'Daily Data'!J282=""),"",'Daily Data'!J282/C282)</f>
        <v/>
      </c>
      <c r="X282" s="71">
        <f>IF(OR(C282="",C282=0,'Daily Data'!K282=""),"",'Daily Data'!K282/C282)</f>
        <v/>
      </c>
      <c r="Y282" s="71">
        <f>IF(OR(F282="",W282="",X282=""),"",F282-W282-X282)</f>
        <v/>
      </c>
      <c r="Z282" s="72" t="n">
        <v>355.03</v>
      </c>
      <c r="AA282" s="72" t="n">
        <v>62.65</v>
      </c>
      <c r="AB282" s="73">
        <f>Z282+AA282</f>
        <v/>
      </c>
      <c r="AC282" s="74">
        <f>IF(OR(E282="",E282=0,AB282=""),"",E282*365/(AB282*1000000))</f>
        <v/>
      </c>
      <c r="AD282" s="98">
        <f>IF(OR(O282="",O282=0,AB282=""),"",(AB282*1000000)/O282)</f>
        <v/>
      </c>
      <c r="AE282" s="99">
        <f>IF(H282="","",(Team_Genesis-H282)/1000000)</f>
        <v/>
      </c>
      <c r="AF282" s="99">
        <f>IF(OR(O282="",AE282=""),"",(O282-AE282*1000000)/1000000)</f>
        <v/>
      </c>
    </row>
    <row r="283">
      <c r="A283" s="35" t="n">
        <v>45937</v>
      </c>
      <c r="B283" s="90">
        <f>IF('Daily Data'!E283="","",'Daily Data'!E283)</f>
        <v/>
      </c>
      <c r="C283" s="65" t="n">
        <v>47.59</v>
      </c>
      <c r="D283" s="94" t="n">
        <v>94377.52</v>
      </c>
      <c r="E283" s="94" t="n">
        <v>26417.4115</v>
      </c>
      <c r="F283" s="94" t="n">
        <v>488.5721</v>
      </c>
      <c r="G283" s="94" t="n"/>
      <c r="H283" s="95">
        <f>SUM($G$4:G283)</f>
        <v/>
      </c>
      <c r="I283" s="94" t="n">
        <v>1000000000</v>
      </c>
      <c r="J283" s="95">
        <f>J282-E283</f>
        <v/>
      </c>
      <c r="K283" s="94" t="n">
        <v>60000000</v>
      </c>
      <c r="L283" s="94" t="n">
        <v>32218974.67</v>
      </c>
      <c r="M283" s="94" t="n">
        <v>3000000</v>
      </c>
      <c r="N283" s="94" t="n">
        <v>435066.7534999847</v>
      </c>
      <c r="O283" s="96">
        <f>IF(OR(I283="",J283="",L283="",N283=""),"",I283-J283-K283-L283-M283-N283)</f>
        <v/>
      </c>
      <c r="P283" s="91">
        <f>IF(OR(O283="",C283=""),"",O283*C283)</f>
        <v/>
      </c>
      <c r="Q283" s="69">
        <f>Q282-E283</f>
        <v/>
      </c>
      <c r="R283" s="97">
        <f>IF(OR(J283="",Q283=""),"",J283-Q283)</f>
        <v/>
      </c>
      <c r="S283" s="69">
        <f>IF(D283="",S282,S282+D283)</f>
        <v/>
      </c>
      <c r="T283" s="97">
        <f>IF(OR(L283="",S283=""),"",L283-S283)</f>
        <v/>
      </c>
      <c r="U283" s="69">
        <f>IF(F283="",U282,U282+F283)</f>
        <v/>
      </c>
      <c r="V283" s="97">
        <f>IF(OR(N283="",U283=""),"",N283-U283)</f>
        <v/>
      </c>
      <c r="W283" s="71">
        <f>IF(OR(C283="",C283=0,'Daily Data'!J283=""),"",'Daily Data'!J283/C283)</f>
        <v/>
      </c>
      <c r="X283" s="71">
        <f>IF(OR(C283="",C283=0,'Daily Data'!K283=""),"",'Daily Data'!K283/C283)</f>
        <v/>
      </c>
      <c r="Y283" s="71">
        <f>IF(OR(F283="",W283="",X283=""),"",F283-W283-X283)</f>
        <v/>
      </c>
      <c r="Z283" s="72" t="n">
        <v>355.03</v>
      </c>
      <c r="AA283" s="72" t="n">
        <v>62.65</v>
      </c>
      <c r="AB283" s="73">
        <f>Z283+AA283</f>
        <v/>
      </c>
      <c r="AC283" s="74">
        <f>IF(OR(E283="",E283=0,AB283=""),"",E283*365/(AB283*1000000))</f>
        <v/>
      </c>
      <c r="AD283" s="98">
        <f>IF(OR(O283="",O283=0,AB283=""),"",(AB283*1000000)/O283)</f>
        <v/>
      </c>
      <c r="AE283" s="99">
        <f>IF(H283="","",(Team_Genesis-H283)/1000000)</f>
        <v/>
      </c>
      <c r="AF283" s="99">
        <f>IF(OR(O283="",AE283=""),"",(O283-AE283*1000000)/1000000)</f>
        <v/>
      </c>
    </row>
    <row r="284">
      <c r="A284" s="35" t="n">
        <v>45938</v>
      </c>
      <c r="B284" s="90">
        <f>IF('Daily Data'!E284="","",'Daily Data'!E284)</f>
        <v/>
      </c>
      <c r="C284" s="65" t="n">
        <v>44.97</v>
      </c>
      <c r="D284" s="94" t="n">
        <v>57969.57</v>
      </c>
      <c r="E284" s="94" t="n">
        <v>26421.9418</v>
      </c>
      <c r="F284" s="94" t="n">
        <v>1239.5163</v>
      </c>
      <c r="G284" s="94" t="n"/>
      <c r="H284" s="95">
        <f>SUM($G$4:G284)</f>
        <v/>
      </c>
      <c r="I284" s="94" t="n">
        <v>1000000000</v>
      </c>
      <c r="J284" s="95">
        <f>J283-E284</f>
        <v/>
      </c>
      <c r="K284" s="94" t="n">
        <v>60000000</v>
      </c>
      <c r="L284" s="94" t="n">
        <v>32235953.87</v>
      </c>
      <c r="M284" s="94" t="n">
        <v>3000000</v>
      </c>
      <c r="N284" s="94" t="n">
        <v>436306.2697999477</v>
      </c>
      <c r="O284" s="96">
        <f>IF(OR(I284="",J284="",L284="",N284=""),"",I284-J284-K284-L284-M284-N284)</f>
        <v/>
      </c>
      <c r="P284" s="91">
        <f>IF(OR(O284="",C284=""),"",O284*C284)</f>
        <v/>
      </c>
      <c r="Q284" s="69">
        <f>Q283-E284</f>
        <v/>
      </c>
      <c r="R284" s="97">
        <f>IF(OR(J284="",Q284=""),"",J284-Q284)</f>
        <v/>
      </c>
      <c r="S284" s="69">
        <f>IF(D284="",S283,S283+D284)</f>
        <v/>
      </c>
      <c r="T284" s="97">
        <f>IF(OR(L284="",S284=""),"",L284-S284)</f>
        <v/>
      </c>
      <c r="U284" s="69">
        <f>IF(F284="",U283,U283+F284)</f>
        <v/>
      </c>
      <c r="V284" s="97">
        <f>IF(OR(N284="",U284=""),"",N284-U284)</f>
        <v/>
      </c>
      <c r="W284" s="71">
        <f>IF(OR(C284="",C284=0,'Daily Data'!J284=""),"",'Daily Data'!J284/C284)</f>
        <v/>
      </c>
      <c r="X284" s="71">
        <f>IF(OR(C284="",C284=0,'Daily Data'!K284=""),"",'Daily Data'!K284/C284)</f>
        <v/>
      </c>
      <c r="Y284" s="71">
        <f>IF(OR(F284="",W284="",X284=""),"",F284-W284-X284)</f>
        <v/>
      </c>
      <c r="Z284" s="72" t="n">
        <v>355.03</v>
      </c>
      <c r="AA284" s="72" t="n">
        <v>62.65</v>
      </c>
      <c r="AB284" s="73">
        <f>Z284+AA284</f>
        <v/>
      </c>
      <c r="AC284" s="74">
        <f>IF(OR(E284="",E284=0,AB284=""),"",E284*365/(AB284*1000000))</f>
        <v/>
      </c>
      <c r="AD284" s="98">
        <f>IF(OR(O284="",O284=0,AB284=""),"",(AB284*1000000)/O284)</f>
        <v/>
      </c>
      <c r="AE284" s="99">
        <f>IF(H284="","",(Team_Genesis-H284)/1000000)</f>
        <v/>
      </c>
      <c r="AF284" s="99">
        <f>IF(OR(O284="",AE284=""),"",(O284-AE284*1000000)/1000000)</f>
        <v/>
      </c>
    </row>
    <row r="285">
      <c r="A285" s="35" t="n">
        <v>45939</v>
      </c>
      <c r="B285" s="90">
        <f>IF('Daily Data'!E285="","",'Daily Data'!E285)</f>
        <v/>
      </c>
      <c r="C285" s="65" t="n">
        <v>46.6</v>
      </c>
      <c r="D285" s="94" t="n">
        <v>79211.56</v>
      </c>
      <c r="E285" s="94" t="n">
        <v>26430.8063</v>
      </c>
      <c r="F285" s="94" t="n">
        <v>400.0284</v>
      </c>
      <c r="G285" s="94" t="n"/>
      <c r="H285" s="95">
        <f>SUM($G$4:G285)</f>
        <v/>
      </c>
      <c r="I285" s="94" t="n">
        <v>1000000000</v>
      </c>
      <c r="J285" s="95">
        <f>J284-E285</f>
        <v/>
      </c>
      <c r="K285" s="94" t="n">
        <v>60000000</v>
      </c>
      <c r="L285" s="94" t="n">
        <v>32294369.12</v>
      </c>
      <c r="M285" s="94" t="n">
        <v>3000000</v>
      </c>
      <c r="N285" s="94" t="n">
        <v>436706.2982000113</v>
      </c>
      <c r="O285" s="96">
        <f>IF(OR(I285="",J285="",L285="",N285=""),"",I285-J285-K285-L285-M285-N285)</f>
        <v/>
      </c>
      <c r="P285" s="91">
        <f>IF(OR(O285="",C285=""),"",O285*C285)</f>
        <v/>
      </c>
      <c r="Q285" s="69">
        <f>Q284-E285</f>
        <v/>
      </c>
      <c r="R285" s="97">
        <f>IF(OR(J285="",Q285=""),"",J285-Q285)</f>
        <v/>
      </c>
      <c r="S285" s="69">
        <f>IF(D285="",S284,S284+D285)</f>
        <v/>
      </c>
      <c r="T285" s="97">
        <f>IF(OR(L285="",S285=""),"",L285-S285)</f>
        <v/>
      </c>
      <c r="U285" s="69">
        <f>IF(F285="",U284,U284+F285)</f>
        <v/>
      </c>
      <c r="V285" s="97">
        <f>IF(OR(N285="",U285=""),"",N285-U285)</f>
        <v/>
      </c>
      <c r="W285" s="71">
        <f>IF(OR(C285="",C285=0,'Daily Data'!J285=""),"",'Daily Data'!J285/C285)</f>
        <v/>
      </c>
      <c r="X285" s="71">
        <f>IF(OR(C285="",C285=0,'Daily Data'!K285=""),"",'Daily Data'!K285/C285)</f>
        <v/>
      </c>
      <c r="Y285" s="71">
        <f>IF(OR(F285="",W285="",X285=""),"",F285-W285-X285)</f>
        <v/>
      </c>
      <c r="Z285" s="72" t="n">
        <v>355.03</v>
      </c>
      <c r="AA285" s="72" t="n">
        <v>62.65</v>
      </c>
      <c r="AB285" s="73">
        <f>Z285+AA285</f>
        <v/>
      </c>
      <c r="AC285" s="74">
        <f>IF(OR(E285="",E285=0,AB285=""),"",E285*365/(AB285*1000000))</f>
        <v/>
      </c>
      <c r="AD285" s="98">
        <f>IF(OR(O285="",O285=0,AB285=""),"",(AB285*1000000)/O285)</f>
        <v/>
      </c>
      <c r="AE285" s="99">
        <f>IF(H285="","",(Team_Genesis-H285)/1000000)</f>
        <v/>
      </c>
      <c r="AF285" s="99">
        <f>IF(OR(O285="",AE285=""),"",(O285-AE285*1000000)/1000000)</f>
        <v/>
      </c>
    </row>
    <row r="286">
      <c r="A286" s="35" t="n">
        <v>45940</v>
      </c>
      <c r="B286" s="90">
        <f>IF('Daily Data'!E286="","",'Daily Data'!E286)</f>
        <v/>
      </c>
      <c r="C286" s="65" t="n">
        <v>44.08</v>
      </c>
      <c r="D286" s="94" t="n">
        <v>507262.99</v>
      </c>
      <c r="E286" s="94" t="n">
        <v>26390.5465</v>
      </c>
      <c r="F286" s="94" t="n">
        <v>1105.4204</v>
      </c>
      <c r="G286" s="94" t="n"/>
      <c r="H286" s="95">
        <f>SUM($G$4:G286)</f>
        <v/>
      </c>
      <c r="I286" s="94" t="n">
        <v>1000000000</v>
      </c>
      <c r="J286" s="95">
        <f>J285-E286</f>
        <v/>
      </c>
      <c r="K286" s="94" t="n">
        <v>60000000</v>
      </c>
      <c r="L286" s="94" t="n">
        <v>32371984.13</v>
      </c>
      <c r="M286" s="94" t="n">
        <v>3000000</v>
      </c>
      <c r="N286" s="94" t="n">
        <v>437811.7186000347</v>
      </c>
      <c r="O286" s="96">
        <f>IF(OR(I286="",J286="",L286="",N286=""),"",I286-J286-K286-L286-M286-N286)</f>
        <v/>
      </c>
      <c r="P286" s="91">
        <f>IF(OR(O286="",C286=""),"",O286*C286)</f>
        <v/>
      </c>
      <c r="Q286" s="69">
        <f>Q285-E286</f>
        <v/>
      </c>
      <c r="R286" s="97">
        <f>IF(OR(J286="",Q286=""),"",J286-Q286)</f>
        <v/>
      </c>
      <c r="S286" s="69">
        <f>IF(D286="",S285,S285+D286)</f>
        <v/>
      </c>
      <c r="T286" s="97">
        <f>IF(OR(L286="",S286=""),"",L286-S286)</f>
        <v/>
      </c>
      <c r="U286" s="69">
        <f>IF(F286="",U285,U285+F286)</f>
        <v/>
      </c>
      <c r="V286" s="97">
        <f>IF(OR(N286="",U286=""),"",N286-U286)</f>
        <v/>
      </c>
      <c r="W286" s="71">
        <f>IF(OR(C286="",C286=0,'Daily Data'!J286=""),"",'Daily Data'!J286/C286)</f>
        <v/>
      </c>
      <c r="X286" s="71">
        <f>IF(OR(C286="",C286=0,'Daily Data'!K286=""),"",'Daily Data'!K286/C286)</f>
        <v/>
      </c>
      <c r="Y286" s="71">
        <f>IF(OR(F286="",W286="",X286=""),"",F286-W286-X286)</f>
        <v/>
      </c>
      <c r="Z286" s="72" t="n">
        <v>355.03</v>
      </c>
      <c r="AA286" s="72" t="n">
        <v>62.65</v>
      </c>
      <c r="AB286" s="73">
        <f>Z286+AA286</f>
        <v/>
      </c>
      <c r="AC286" s="74">
        <f>IF(OR(E286="",E286=0,AB286=""),"",E286*365/(AB286*1000000))</f>
        <v/>
      </c>
      <c r="AD286" s="98">
        <f>IF(OR(O286="",O286=0,AB286=""),"",(AB286*1000000)/O286)</f>
        <v/>
      </c>
      <c r="AE286" s="99">
        <f>IF(H286="","",(Team_Genesis-H286)/1000000)</f>
        <v/>
      </c>
      <c r="AF286" s="99">
        <f>IF(OR(O286="",AE286=""),"",(O286-AE286*1000000)/1000000)</f>
        <v/>
      </c>
    </row>
    <row r="287">
      <c r="A287" s="35" t="n">
        <v>45941</v>
      </c>
      <c r="B287" s="90">
        <f>IF('Daily Data'!E287="","",'Daily Data'!E287)</f>
        <v/>
      </c>
      <c r="C287" s="65" t="n">
        <v>38.23</v>
      </c>
      <c r="D287" s="94" t="n">
        <v>78616.25</v>
      </c>
      <c r="E287" s="94" t="n">
        <v>26366.7242</v>
      </c>
      <c r="F287" s="94" t="n">
        <v>1896.0689</v>
      </c>
      <c r="G287" s="94" t="n"/>
      <c r="H287" s="95">
        <f>SUM($G$4:G287)</f>
        <v/>
      </c>
      <c r="I287" s="94" t="n">
        <v>1000000000</v>
      </c>
      <c r="J287" s="95">
        <f>J286-E287</f>
        <v/>
      </c>
      <c r="K287" s="94" t="n">
        <v>60000000</v>
      </c>
      <c r="L287" s="94" t="n">
        <v>32894296</v>
      </c>
      <c r="M287" s="94" t="n">
        <v>3000000</v>
      </c>
      <c r="N287" s="94" t="n">
        <v>439707.7875000238</v>
      </c>
      <c r="O287" s="96">
        <f>IF(OR(I287="",J287="",L287="",N287=""),"",I287-J287-K287-L287-M287-N287)</f>
        <v/>
      </c>
      <c r="P287" s="91">
        <f>IF(OR(O287="",C287=""),"",O287*C287)</f>
        <v/>
      </c>
      <c r="Q287" s="69">
        <f>Q286-E287</f>
        <v/>
      </c>
      <c r="R287" s="97">
        <f>IF(OR(J287="",Q287=""),"",J287-Q287)</f>
        <v/>
      </c>
      <c r="S287" s="69">
        <f>IF(D287="",S286,S286+D287)</f>
        <v/>
      </c>
      <c r="T287" s="97">
        <f>IF(OR(L287="",S287=""),"",L287-S287)</f>
        <v/>
      </c>
      <c r="U287" s="69">
        <f>IF(F287="",U286,U286+F287)</f>
        <v/>
      </c>
      <c r="V287" s="97">
        <f>IF(OR(N287="",U287=""),"",N287-U287)</f>
        <v/>
      </c>
      <c r="W287" s="71">
        <f>IF(OR(C287="",C287=0,'Daily Data'!J287=""),"",'Daily Data'!J287/C287)</f>
        <v/>
      </c>
      <c r="X287" s="71">
        <f>IF(OR(C287="",C287=0,'Daily Data'!K287=""),"",'Daily Data'!K287/C287)</f>
        <v/>
      </c>
      <c r="Y287" s="71">
        <f>IF(OR(F287="",W287="",X287=""),"",F287-W287-X287)</f>
        <v/>
      </c>
      <c r="Z287" s="72" t="n">
        <v>355.03</v>
      </c>
      <c r="AA287" s="72" t="n">
        <v>62.65</v>
      </c>
      <c r="AB287" s="73">
        <f>Z287+AA287</f>
        <v/>
      </c>
      <c r="AC287" s="74">
        <f>IF(OR(E287="",E287=0,AB287=""),"",E287*365/(AB287*1000000))</f>
        <v/>
      </c>
      <c r="AD287" s="98">
        <f>IF(OR(O287="",O287=0,AB287=""),"",(AB287*1000000)/O287)</f>
        <v/>
      </c>
      <c r="AE287" s="99">
        <f>IF(H287="","",(Team_Genesis-H287)/1000000)</f>
        <v/>
      </c>
      <c r="AF287" s="99">
        <f>IF(OR(O287="",AE287=""),"",(O287-AE287*1000000)/1000000)</f>
        <v/>
      </c>
    </row>
    <row r="288">
      <c r="A288" s="35" t="n">
        <v>45942</v>
      </c>
      <c r="B288" s="90">
        <f>IF('Daily Data'!E288="","",'Daily Data'!E288)</f>
        <v/>
      </c>
      <c r="C288" s="65" t="n">
        <v>36.72</v>
      </c>
      <c r="D288" s="94" t="n">
        <v>84192.56</v>
      </c>
      <c r="E288" s="94" t="n">
        <v>26327.2198</v>
      </c>
      <c r="F288" s="94" t="n">
        <v>2730.5779</v>
      </c>
      <c r="G288" s="94" t="n"/>
      <c r="H288" s="95">
        <f>SUM($G$4:G288)</f>
        <v/>
      </c>
      <c r="I288" s="94" t="n">
        <v>1000000000</v>
      </c>
      <c r="J288" s="95">
        <f>J287-E288</f>
        <v/>
      </c>
      <c r="K288" s="94" t="n">
        <v>60000000</v>
      </c>
      <c r="L288" s="94" t="n">
        <v>32964950.57</v>
      </c>
      <c r="M288" s="94" t="n">
        <v>3000000</v>
      </c>
      <c r="N288" s="94" t="n">
        <v>442438.3653999567</v>
      </c>
      <c r="O288" s="96">
        <f>IF(OR(I288="",J288="",L288="",N288=""),"",I288-J288-K288-L288-M288-N288)</f>
        <v/>
      </c>
      <c r="P288" s="91">
        <f>IF(OR(O288="",C288=""),"",O288*C288)</f>
        <v/>
      </c>
      <c r="Q288" s="69">
        <f>Q287-E288</f>
        <v/>
      </c>
      <c r="R288" s="97">
        <f>IF(OR(J288="",Q288=""),"",J288-Q288)</f>
        <v/>
      </c>
      <c r="S288" s="69">
        <f>IF(D288="",S287,S287+D288)</f>
        <v/>
      </c>
      <c r="T288" s="97">
        <f>IF(OR(L288="",S288=""),"",L288-S288)</f>
        <v/>
      </c>
      <c r="U288" s="69">
        <f>IF(F288="",U287,U287+F288)</f>
        <v/>
      </c>
      <c r="V288" s="97">
        <f>IF(OR(N288="",U288=""),"",N288-U288)</f>
        <v/>
      </c>
      <c r="W288" s="71">
        <f>IF(OR(C288="",C288=0,'Daily Data'!J288=""),"",'Daily Data'!J288/C288)</f>
        <v/>
      </c>
      <c r="X288" s="71">
        <f>IF(OR(C288="",C288=0,'Daily Data'!K288=""),"",'Daily Data'!K288/C288)</f>
        <v/>
      </c>
      <c r="Y288" s="71">
        <f>IF(OR(F288="",W288="",X288=""),"",F288-W288-X288)</f>
        <v/>
      </c>
      <c r="Z288" s="72" t="n">
        <v>355.03</v>
      </c>
      <c r="AA288" s="72" t="n">
        <v>62.65</v>
      </c>
      <c r="AB288" s="73">
        <f>Z288+AA288</f>
        <v/>
      </c>
      <c r="AC288" s="74">
        <f>IF(OR(E288="",E288=0,AB288=""),"",E288*365/(AB288*1000000))</f>
        <v/>
      </c>
      <c r="AD288" s="98">
        <f>IF(OR(O288="",O288=0,AB288=""),"",(AB288*1000000)/O288)</f>
        <v/>
      </c>
      <c r="AE288" s="99">
        <f>IF(H288="","",(Team_Genesis-H288)/1000000)</f>
        <v/>
      </c>
      <c r="AF288" s="99">
        <f>IF(OR(O288="",AE288=""),"",(O288-AE288*1000000)/1000000)</f>
        <v/>
      </c>
    </row>
    <row r="289">
      <c r="A289" s="35" t="n">
        <v>45943</v>
      </c>
      <c r="B289" s="90">
        <f>IF('Daily Data'!E289="","",'Daily Data'!E289)</f>
        <v/>
      </c>
      <c r="C289" s="65" t="n">
        <v>39.64</v>
      </c>
      <c r="D289" s="94" t="n">
        <v>66844.14</v>
      </c>
      <c r="E289" s="94" t="n">
        <v>26292.3723</v>
      </c>
      <c r="F289" s="94" t="n">
        <v>1146.203</v>
      </c>
      <c r="G289" s="94" t="n"/>
      <c r="H289" s="95">
        <f>SUM($G$4:G289)</f>
        <v/>
      </c>
      <c r="I289" s="94" t="n">
        <v>1000000000</v>
      </c>
      <c r="J289" s="95">
        <f>J288-E289</f>
        <v/>
      </c>
      <c r="K289" s="94" t="n">
        <v>60000000</v>
      </c>
      <c r="L289" s="94" t="n">
        <v>33052999.62</v>
      </c>
      <c r="M289" s="94" t="n">
        <v>3000000</v>
      </c>
      <c r="N289" s="94" t="n">
        <v>443584.5684000254</v>
      </c>
      <c r="O289" s="96">
        <f>IF(OR(I289="",J289="",L289="",N289=""),"",I289-J289-K289-L289-M289-N289)</f>
        <v/>
      </c>
      <c r="P289" s="91">
        <f>IF(OR(O289="",C289=""),"",O289*C289)</f>
        <v/>
      </c>
      <c r="Q289" s="69">
        <f>Q288-E289</f>
        <v/>
      </c>
      <c r="R289" s="97">
        <f>IF(OR(J289="",Q289=""),"",J289-Q289)</f>
        <v/>
      </c>
      <c r="S289" s="69">
        <f>IF(D289="",S288,S288+D289)</f>
        <v/>
      </c>
      <c r="T289" s="97">
        <f>IF(OR(L289="",S289=""),"",L289-S289)</f>
        <v/>
      </c>
      <c r="U289" s="69">
        <f>IF(F289="",U288,U288+F289)</f>
        <v/>
      </c>
      <c r="V289" s="97">
        <f>IF(OR(N289="",U289=""),"",N289-U289)</f>
        <v/>
      </c>
      <c r="W289" s="71">
        <f>IF(OR(C289="",C289=0,'Daily Data'!J289=""),"",'Daily Data'!J289/C289)</f>
        <v/>
      </c>
      <c r="X289" s="71">
        <f>IF(OR(C289="",C289=0,'Daily Data'!K289=""),"",'Daily Data'!K289/C289)</f>
        <v/>
      </c>
      <c r="Y289" s="71">
        <f>IF(OR(F289="",W289="",X289=""),"",F289-W289-X289)</f>
        <v/>
      </c>
      <c r="Z289" s="72" t="n">
        <v>355.03</v>
      </c>
      <c r="AA289" s="72" t="n">
        <v>62.65</v>
      </c>
      <c r="AB289" s="73">
        <f>Z289+AA289</f>
        <v/>
      </c>
      <c r="AC289" s="74">
        <f>IF(OR(E289="",E289=0,AB289=""),"",E289*365/(AB289*1000000))</f>
        <v/>
      </c>
      <c r="AD289" s="98">
        <f>IF(OR(O289="",O289=0,AB289=""),"",(AB289*1000000)/O289)</f>
        <v/>
      </c>
      <c r="AE289" s="99">
        <f>IF(H289="","",(Team_Genesis-H289)/1000000)</f>
        <v/>
      </c>
      <c r="AF289" s="99">
        <f>IF(OR(O289="",AE289=""),"",(O289-AE289*1000000)/1000000)</f>
        <v/>
      </c>
    </row>
    <row r="290">
      <c r="A290" s="35" t="n">
        <v>45944</v>
      </c>
      <c r="B290" s="90">
        <f>IF('Daily Data'!E290="","",'Daily Data'!E290)</f>
        <v/>
      </c>
      <c r="C290" s="65" t="n">
        <v>42.57</v>
      </c>
      <c r="D290" s="94" t="n">
        <v>110239.28</v>
      </c>
      <c r="E290" s="94" t="n">
        <v>26269.2748</v>
      </c>
      <c r="F290" s="94" t="n">
        <v>1747.98</v>
      </c>
      <c r="G290" s="94" t="n"/>
      <c r="H290" s="95">
        <f>SUM($G$4:G290)</f>
        <v/>
      </c>
      <c r="I290" s="94" t="n">
        <v>1000000000</v>
      </c>
      <c r="J290" s="95">
        <f>J289-E290</f>
        <v/>
      </c>
      <c r="K290" s="94" t="n">
        <v>60000000</v>
      </c>
      <c r="L290" s="94" t="n">
        <v>33139257.46</v>
      </c>
      <c r="M290" s="94" t="n">
        <v>3000000</v>
      </c>
      <c r="N290" s="94" t="n">
        <v>445332.5484000444</v>
      </c>
      <c r="O290" s="96">
        <f>IF(OR(I290="",J290="",L290="",N290=""),"",I290-J290-K290-L290-M290-N290)</f>
        <v/>
      </c>
      <c r="P290" s="91">
        <f>IF(OR(O290="",C290=""),"",O290*C290)</f>
        <v/>
      </c>
      <c r="Q290" s="69">
        <f>Q289-E290</f>
        <v/>
      </c>
      <c r="R290" s="97">
        <f>IF(OR(J290="",Q290=""),"",J290-Q290)</f>
        <v/>
      </c>
      <c r="S290" s="69">
        <f>IF(D290="",S289,S289+D290)</f>
        <v/>
      </c>
      <c r="T290" s="97">
        <f>IF(OR(L290="",S290=""),"",L290-S290)</f>
        <v/>
      </c>
      <c r="U290" s="69">
        <f>IF(F290="",U289,U289+F290)</f>
        <v/>
      </c>
      <c r="V290" s="97">
        <f>IF(OR(N290="",U290=""),"",N290-U290)</f>
        <v/>
      </c>
      <c r="W290" s="71">
        <f>IF(OR(C290="",C290=0,'Daily Data'!J290=""),"",'Daily Data'!J290/C290)</f>
        <v/>
      </c>
      <c r="X290" s="71">
        <f>IF(OR(C290="",C290=0,'Daily Data'!K290=""),"",'Daily Data'!K290/C290)</f>
        <v/>
      </c>
      <c r="Y290" s="71">
        <f>IF(OR(F290="",W290="",X290=""),"",F290-W290-X290)</f>
        <v/>
      </c>
      <c r="Z290" s="72" t="n">
        <v>355.03</v>
      </c>
      <c r="AA290" s="72" t="n">
        <v>62.65</v>
      </c>
      <c r="AB290" s="73">
        <f>Z290+AA290</f>
        <v/>
      </c>
      <c r="AC290" s="74">
        <f>IF(OR(E290="",E290=0,AB290=""),"",E290*365/(AB290*1000000))</f>
        <v/>
      </c>
      <c r="AD290" s="98">
        <f>IF(OR(O290="",O290=0,AB290=""),"",(AB290*1000000)/O290)</f>
        <v/>
      </c>
      <c r="AE290" s="99">
        <f>IF(H290="","",(Team_Genesis-H290)/1000000)</f>
        <v/>
      </c>
      <c r="AF290" s="99">
        <f>IF(OR(O290="",AE290=""),"",(O290-AE290*1000000)/1000000)</f>
        <v/>
      </c>
    </row>
    <row r="291">
      <c r="A291" s="35" t="n">
        <v>45945</v>
      </c>
      <c r="B291" s="90">
        <f>IF('Daily Data'!E291="","",'Daily Data'!E291)</f>
        <v/>
      </c>
      <c r="C291" s="65" t="n">
        <v>39.08</v>
      </c>
      <c r="D291" s="94" t="n">
        <v>75913.64999999999</v>
      </c>
      <c r="E291" s="94" t="n">
        <v>32330.6166</v>
      </c>
      <c r="F291" s="94" t="n">
        <v>1658.0976</v>
      </c>
      <c r="G291" s="94" t="n"/>
      <c r="H291" s="95">
        <f>SUM($G$4:G291)</f>
        <v/>
      </c>
      <c r="I291" s="94" t="n">
        <v>1000000000</v>
      </c>
      <c r="J291" s="95">
        <f>J290-E291</f>
        <v/>
      </c>
      <c r="K291" s="94" t="n">
        <v>60000000</v>
      </c>
      <c r="L291" s="94" t="n">
        <v>33225824.74</v>
      </c>
      <c r="M291" s="94" t="n">
        <v>3000000</v>
      </c>
      <c r="N291" s="94" t="n">
        <v>446990.6460000277</v>
      </c>
      <c r="O291" s="96">
        <f>IF(OR(I291="",J291="",L291="",N291=""),"",I291-J291-K291-L291-M291-N291)</f>
        <v/>
      </c>
      <c r="P291" s="91">
        <f>IF(OR(O291="",C291=""),"",O291*C291)</f>
        <v/>
      </c>
      <c r="Q291" s="69">
        <f>Q290-E291</f>
        <v/>
      </c>
      <c r="R291" s="97">
        <f>IF(OR(J291="",Q291=""),"",J291-Q291)</f>
        <v/>
      </c>
      <c r="S291" s="69">
        <f>IF(D291="",S290,S290+D291)</f>
        <v/>
      </c>
      <c r="T291" s="97">
        <f>IF(OR(L291="",S291=""),"",L291-S291)</f>
        <v/>
      </c>
      <c r="U291" s="69">
        <f>IF(F291="",U290,U290+F291)</f>
        <v/>
      </c>
      <c r="V291" s="97">
        <f>IF(OR(N291="",U291=""),"",N291-U291)</f>
        <v/>
      </c>
      <c r="W291" s="71">
        <f>IF(OR(C291="",C291=0,'Daily Data'!J291=""),"",'Daily Data'!J291/C291)</f>
        <v/>
      </c>
      <c r="X291" s="71">
        <f>IF(OR(C291="",C291=0,'Daily Data'!K291=""),"",'Daily Data'!K291/C291)</f>
        <v/>
      </c>
      <c r="Y291" s="71">
        <f>IF(OR(F291="",W291="",X291=""),"",F291-W291-X291)</f>
        <v/>
      </c>
      <c r="Z291" s="72" t="n">
        <v>355.03</v>
      </c>
      <c r="AA291" s="72" t="n">
        <v>62.65</v>
      </c>
      <c r="AB291" s="73">
        <f>Z291+AA291</f>
        <v/>
      </c>
      <c r="AC291" s="74">
        <f>IF(OR(E291="",E291=0,AB291=""),"",E291*365/(AB291*1000000))</f>
        <v/>
      </c>
      <c r="AD291" s="98">
        <f>IF(OR(O291="",O291=0,AB291=""),"",(AB291*1000000)/O291)</f>
        <v/>
      </c>
      <c r="AE291" s="99">
        <f>IF(H291="","",(Team_Genesis-H291)/1000000)</f>
        <v/>
      </c>
      <c r="AF291" s="99">
        <f>IF(OR(O291="",AE291=""),"",(O291-AE291*1000000)/1000000)</f>
        <v/>
      </c>
    </row>
    <row r="292">
      <c r="A292" s="35" t="n">
        <v>45946</v>
      </c>
      <c r="B292" s="90">
        <f>IF('Daily Data'!E292="","",'Daily Data'!E292)</f>
        <v/>
      </c>
      <c r="C292" s="65" t="n">
        <v>37.3</v>
      </c>
      <c r="D292" s="94" t="n">
        <v>83220.56</v>
      </c>
      <c r="E292" s="94" t="n">
        <v>30483.492</v>
      </c>
      <c r="F292" s="94" t="n">
        <v>869.1431</v>
      </c>
      <c r="G292" s="94" t="n"/>
      <c r="H292" s="95">
        <f>SUM($G$4:G292)</f>
        <v/>
      </c>
      <c r="I292" s="94" t="n">
        <v>1000000000</v>
      </c>
      <c r="J292" s="95">
        <f>J291-E292</f>
        <v/>
      </c>
      <c r="K292" s="94" t="n">
        <v>60000000</v>
      </c>
      <c r="L292" s="94" t="n">
        <v>33297567.25</v>
      </c>
      <c r="M292" s="94" t="n">
        <v>3000000</v>
      </c>
      <c r="N292" s="94" t="n">
        <v>447859.7891000509</v>
      </c>
      <c r="O292" s="96">
        <f>IF(OR(I292="",J292="",L292="",N292=""),"",I292-J292-K292-L292-M292-N292)</f>
        <v/>
      </c>
      <c r="P292" s="91">
        <f>IF(OR(O292="",C292=""),"",O292*C292)</f>
        <v/>
      </c>
      <c r="Q292" s="69">
        <f>Q291-E292</f>
        <v/>
      </c>
      <c r="R292" s="97">
        <f>IF(OR(J292="",Q292=""),"",J292-Q292)</f>
        <v/>
      </c>
      <c r="S292" s="69">
        <f>IF(D292="",S291,S291+D292)</f>
        <v/>
      </c>
      <c r="T292" s="97">
        <f>IF(OR(L292="",S292=""),"",L292-S292)</f>
        <v/>
      </c>
      <c r="U292" s="69">
        <f>IF(F292="",U291,U291+F292)</f>
        <v/>
      </c>
      <c r="V292" s="97">
        <f>IF(OR(N292="",U292=""),"",N292-U292)</f>
        <v/>
      </c>
      <c r="W292" s="71">
        <f>IF(OR(C292="",C292=0,'Daily Data'!J292=""),"",'Daily Data'!J292/C292)</f>
        <v/>
      </c>
      <c r="X292" s="71">
        <f>IF(OR(C292="",C292=0,'Daily Data'!K292=""),"",'Daily Data'!K292/C292)</f>
        <v/>
      </c>
      <c r="Y292" s="71">
        <f>IF(OR(F292="",W292="",X292=""),"",F292-W292-X292)</f>
        <v/>
      </c>
      <c r="Z292" s="72" t="n">
        <v>355.03</v>
      </c>
      <c r="AA292" s="72" t="n">
        <v>62.65</v>
      </c>
      <c r="AB292" s="73">
        <f>Z292+AA292</f>
        <v/>
      </c>
      <c r="AC292" s="74">
        <f>IF(OR(E292="",E292=0,AB292=""),"",E292*365/(AB292*1000000))</f>
        <v/>
      </c>
      <c r="AD292" s="98">
        <f>IF(OR(O292="",O292=0,AB292=""),"",(AB292*1000000)/O292)</f>
        <v/>
      </c>
      <c r="AE292" s="99">
        <f>IF(H292="","",(Team_Genesis-H292)/1000000)</f>
        <v/>
      </c>
      <c r="AF292" s="99">
        <f>IF(OR(O292="",AE292=""),"",(O292-AE292*1000000)/1000000)</f>
        <v/>
      </c>
    </row>
    <row r="293">
      <c r="A293" s="35" t="n">
        <v>45947</v>
      </c>
      <c r="B293" s="90">
        <f>IF('Daily Data'!E293="","",'Daily Data'!E293)</f>
        <v/>
      </c>
      <c r="C293" s="65" t="n">
        <v>34.08</v>
      </c>
      <c r="D293" s="94" t="n">
        <v>95672.62</v>
      </c>
      <c r="E293" s="94" t="n">
        <v>24464.4903</v>
      </c>
      <c r="F293" s="94" t="n">
        <v>1905.645</v>
      </c>
      <c r="G293" s="94" t="n"/>
      <c r="H293" s="95">
        <f>SUM($G$4:G293)</f>
        <v/>
      </c>
      <c r="I293" s="94" t="n">
        <v>1000000000</v>
      </c>
      <c r="J293" s="95">
        <f>J292-E293</f>
        <v/>
      </c>
      <c r="K293" s="94" t="n">
        <v>60000000</v>
      </c>
      <c r="L293" s="94" t="n">
        <v>33399150.81</v>
      </c>
      <c r="M293" s="94" t="n">
        <v>3000000</v>
      </c>
      <c r="N293" s="94" t="n">
        <v>449765.4342000484</v>
      </c>
      <c r="O293" s="96">
        <f>IF(OR(I293="",J293="",L293="",N293=""),"",I293-J293-K293-L293-M293-N293)</f>
        <v/>
      </c>
      <c r="P293" s="91">
        <f>IF(OR(O293="",C293=""),"",O293*C293)</f>
        <v/>
      </c>
      <c r="Q293" s="69">
        <f>Q292-E293</f>
        <v/>
      </c>
      <c r="R293" s="97">
        <f>IF(OR(J293="",Q293=""),"",J293-Q293)</f>
        <v/>
      </c>
      <c r="S293" s="69">
        <f>IF(D293="",S292,S292+D293)</f>
        <v/>
      </c>
      <c r="T293" s="97">
        <f>IF(OR(L293="",S293=""),"",L293-S293)</f>
        <v/>
      </c>
      <c r="U293" s="69">
        <f>IF(F293="",U292,U292+F293)</f>
        <v/>
      </c>
      <c r="V293" s="97">
        <f>IF(OR(N293="",U293=""),"",N293-U293)</f>
        <v/>
      </c>
      <c r="W293" s="71">
        <f>IF(OR(C293="",C293=0,'Daily Data'!J293=""),"",'Daily Data'!J293/C293)</f>
        <v/>
      </c>
      <c r="X293" s="71">
        <f>IF(OR(C293="",C293=0,'Daily Data'!K293=""),"",'Daily Data'!K293/C293)</f>
        <v/>
      </c>
      <c r="Y293" s="71">
        <f>IF(OR(F293="",W293="",X293=""),"",F293-W293-X293)</f>
        <v/>
      </c>
      <c r="Z293" s="72" t="n">
        <v>355.03</v>
      </c>
      <c r="AA293" s="72" t="n">
        <v>62.65</v>
      </c>
      <c r="AB293" s="73">
        <f>Z293+AA293</f>
        <v/>
      </c>
      <c r="AC293" s="74">
        <f>IF(OR(E293="",E293=0,AB293=""),"",E293*365/(AB293*1000000))</f>
        <v/>
      </c>
      <c r="AD293" s="98">
        <f>IF(OR(O293="",O293=0,AB293=""),"",(AB293*1000000)/O293)</f>
        <v/>
      </c>
      <c r="AE293" s="99">
        <f>IF(H293="","",(Team_Genesis-H293)/1000000)</f>
        <v/>
      </c>
      <c r="AF293" s="99">
        <f>IF(OR(O293="",AE293=""),"",(O293-AE293*1000000)/1000000)</f>
        <v/>
      </c>
    </row>
    <row r="294">
      <c r="A294" s="35" t="n">
        <v>45948</v>
      </c>
      <c r="B294" s="90">
        <f>IF('Daily Data'!E294="","",'Daily Data'!E294)</f>
        <v/>
      </c>
      <c r="C294" s="65" t="n">
        <v>35.21</v>
      </c>
      <c r="D294" s="94" t="n">
        <v>27890.23</v>
      </c>
      <c r="E294" s="94" t="n">
        <v>18294.0242</v>
      </c>
      <c r="F294" s="94" t="n">
        <v>715.6541999999999</v>
      </c>
      <c r="G294" s="94" t="n"/>
      <c r="H294" s="95">
        <f>SUM($G$4:G294)</f>
        <v/>
      </c>
      <c r="I294" s="94" t="n">
        <v>1000000000</v>
      </c>
      <c r="J294" s="95">
        <f>J293-E294</f>
        <v/>
      </c>
      <c r="K294" s="94" t="n">
        <v>60000000</v>
      </c>
      <c r="L294" s="94" t="n">
        <v>33470022.26</v>
      </c>
      <c r="M294" s="94" t="n">
        <v>3000000</v>
      </c>
      <c r="N294" s="94" t="n">
        <v>450481.0884000063</v>
      </c>
      <c r="O294" s="96">
        <f>IF(OR(I294="",J294="",L294="",N294=""),"",I294-J294-K294-L294-M294-N294)</f>
        <v/>
      </c>
      <c r="P294" s="91">
        <f>IF(OR(O294="",C294=""),"",O294*C294)</f>
        <v/>
      </c>
      <c r="Q294" s="69">
        <f>Q293-E294</f>
        <v/>
      </c>
      <c r="R294" s="97">
        <f>IF(OR(J294="",Q294=""),"",J294-Q294)</f>
        <v/>
      </c>
      <c r="S294" s="69">
        <f>IF(D294="",S293,S293+D294)</f>
        <v/>
      </c>
      <c r="T294" s="97">
        <f>IF(OR(L294="",S294=""),"",L294-S294)</f>
        <v/>
      </c>
      <c r="U294" s="69">
        <f>IF(F294="",U293,U293+F294)</f>
        <v/>
      </c>
      <c r="V294" s="97">
        <f>IF(OR(N294="",U294=""),"",N294-U294)</f>
        <v/>
      </c>
      <c r="W294" s="71">
        <f>IF(OR(C294="",C294=0,'Daily Data'!J294=""),"",'Daily Data'!J294/C294)</f>
        <v/>
      </c>
      <c r="X294" s="71">
        <f>IF(OR(C294="",C294=0,'Daily Data'!K294=""),"",'Daily Data'!K294/C294)</f>
        <v/>
      </c>
      <c r="Y294" s="71">
        <f>IF(OR(F294="",W294="",X294=""),"",F294-W294-X294)</f>
        <v/>
      </c>
      <c r="Z294" s="72" t="n">
        <v>355.03</v>
      </c>
      <c r="AA294" s="72" t="n">
        <v>62.65</v>
      </c>
      <c r="AB294" s="73">
        <f>Z294+AA294</f>
        <v/>
      </c>
      <c r="AC294" s="74">
        <f>IF(OR(E294="",E294=0,AB294=""),"",E294*365/(AB294*1000000))</f>
        <v/>
      </c>
      <c r="AD294" s="98">
        <f>IF(OR(O294="",O294=0,AB294=""),"",(AB294*1000000)/O294)</f>
        <v/>
      </c>
      <c r="AE294" s="99">
        <f>IF(H294="","",(Team_Genesis-H294)/1000000)</f>
        <v/>
      </c>
      <c r="AF294" s="99">
        <f>IF(OR(O294="",AE294=""),"",(O294-AE294*1000000)/1000000)</f>
        <v/>
      </c>
    </row>
    <row r="295">
      <c r="A295" s="35" t="n">
        <v>45949</v>
      </c>
      <c r="B295" s="90">
        <f>IF('Daily Data'!E295="","",'Daily Data'!E295)</f>
        <v/>
      </c>
      <c r="C295" s="65" t="n">
        <v>36.48</v>
      </c>
      <c r="D295" s="94" t="n">
        <v>41256.26</v>
      </c>
      <c r="E295" s="94" t="n">
        <v>26082.6342</v>
      </c>
      <c r="F295" s="94" t="n">
        <v>1077.1714</v>
      </c>
      <c r="G295" s="94" t="n"/>
      <c r="H295" s="95">
        <f>SUM($G$4:G295)</f>
        <v/>
      </c>
      <c r="I295" s="94" t="n">
        <v>1000000000</v>
      </c>
      <c r="J295" s="95">
        <f>J294-E295</f>
        <v/>
      </c>
      <c r="K295" s="94" t="n">
        <v>60000000</v>
      </c>
      <c r="L295" s="94" t="n">
        <v>33495735.45</v>
      </c>
      <c r="M295" s="94" t="n">
        <v>3000000</v>
      </c>
      <c r="N295" s="94" t="n">
        <v>451558.2597999573</v>
      </c>
      <c r="O295" s="96">
        <f>IF(OR(I295="",J295="",L295="",N295=""),"",I295-J295-K295-L295-M295-N295)</f>
        <v/>
      </c>
      <c r="P295" s="91">
        <f>IF(OR(O295="",C295=""),"",O295*C295)</f>
        <v/>
      </c>
      <c r="Q295" s="69">
        <f>Q294-E295</f>
        <v/>
      </c>
      <c r="R295" s="97">
        <f>IF(OR(J295="",Q295=""),"",J295-Q295)</f>
        <v/>
      </c>
      <c r="S295" s="69">
        <f>IF(D295="",S294,S294+D295)</f>
        <v/>
      </c>
      <c r="T295" s="97">
        <f>IF(OR(L295="",S295=""),"",L295-S295)</f>
        <v/>
      </c>
      <c r="U295" s="69">
        <f>IF(F295="",U294,U294+F295)</f>
        <v/>
      </c>
      <c r="V295" s="97">
        <f>IF(OR(N295="",U295=""),"",N295-U295)</f>
        <v/>
      </c>
      <c r="W295" s="71">
        <f>IF(OR(C295="",C295=0,'Daily Data'!J295=""),"",'Daily Data'!J295/C295)</f>
        <v/>
      </c>
      <c r="X295" s="71">
        <f>IF(OR(C295="",C295=0,'Daily Data'!K295=""),"",'Daily Data'!K295/C295)</f>
        <v/>
      </c>
      <c r="Y295" s="71">
        <f>IF(OR(F295="",W295="",X295=""),"",F295-W295-X295)</f>
        <v/>
      </c>
      <c r="Z295" s="72" t="n">
        <v>355.03</v>
      </c>
      <c r="AA295" s="72" t="n">
        <v>62.65</v>
      </c>
      <c r="AB295" s="73">
        <f>Z295+AA295</f>
        <v/>
      </c>
      <c r="AC295" s="74">
        <f>IF(OR(E295="",E295=0,AB295=""),"",E295*365/(AB295*1000000))</f>
        <v/>
      </c>
      <c r="AD295" s="98">
        <f>IF(OR(O295="",O295=0,AB295=""),"",(AB295*1000000)/O295)</f>
        <v/>
      </c>
      <c r="AE295" s="99">
        <f>IF(H295="","",(Team_Genesis-H295)/1000000)</f>
        <v/>
      </c>
      <c r="AF295" s="99">
        <f>IF(OR(O295="",AE295=""),"",(O295-AE295*1000000)/1000000)</f>
        <v/>
      </c>
    </row>
    <row r="296">
      <c r="A296" s="35" t="n">
        <v>45950</v>
      </c>
      <c r="B296" s="90">
        <f>IF('Daily Data'!E296="","",'Daily Data'!E296)</f>
        <v/>
      </c>
      <c r="C296" s="65" t="n">
        <v>37.23</v>
      </c>
      <c r="D296" s="94" t="n">
        <v>61726.58</v>
      </c>
      <c r="E296" s="94" t="n">
        <v>26081.3967</v>
      </c>
      <c r="F296" s="94" t="n">
        <v>412.6558</v>
      </c>
      <c r="G296" s="94" t="n"/>
      <c r="H296" s="95">
        <f>SUM($G$4:G296)</f>
        <v/>
      </c>
      <c r="I296" s="94" t="n">
        <v>1000000000</v>
      </c>
      <c r="J296" s="95">
        <f>J295-E296</f>
        <v/>
      </c>
      <c r="K296" s="94" t="n">
        <v>60000000</v>
      </c>
      <c r="L296" s="94" t="n">
        <v>33552212.8</v>
      </c>
      <c r="M296" s="94" t="n">
        <v>3000000</v>
      </c>
      <c r="N296" s="94" t="n">
        <v>451970.9155999422</v>
      </c>
      <c r="O296" s="96">
        <f>IF(OR(I296="",J296="",L296="",N296=""),"",I296-J296-K296-L296-M296-N296)</f>
        <v/>
      </c>
      <c r="P296" s="91">
        <f>IF(OR(O296="",C296=""),"",O296*C296)</f>
        <v/>
      </c>
      <c r="Q296" s="69">
        <f>Q295-E296</f>
        <v/>
      </c>
      <c r="R296" s="97">
        <f>IF(OR(J296="",Q296=""),"",J296-Q296)</f>
        <v/>
      </c>
      <c r="S296" s="69">
        <f>IF(D296="",S295,S295+D296)</f>
        <v/>
      </c>
      <c r="T296" s="97">
        <f>IF(OR(L296="",S296=""),"",L296-S296)</f>
        <v/>
      </c>
      <c r="U296" s="69">
        <f>IF(F296="",U295,U295+F296)</f>
        <v/>
      </c>
      <c r="V296" s="97">
        <f>IF(OR(N296="",U296=""),"",N296-U296)</f>
        <v/>
      </c>
      <c r="W296" s="71">
        <f>IF(OR(C296="",C296=0,'Daily Data'!J296=""),"",'Daily Data'!J296/C296)</f>
        <v/>
      </c>
      <c r="X296" s="71">
        <f>IF(OR(C296="",C296=0,'Daily Data'!K296=""),"",'Daily Data'!K296/C296)</f>
        <v/>
      </c>
      <c r="Y296" s="71">
        <f>IF(OR(F296="",W296="",X296=""),"",F296-W296-X296)</f>
        <v/>
      </c>
      <c r="Z296" s="72" t="n">
        <v>355.03</v>
      </c>
      <c r="AA296" s="72" t="n">
        <v>62.65</v>
      </c>
      <c r="AB296" s="73">
        <f>Z296+AA296</f>
        <v/>
      </c>
      <c r="AC296" s="74">
        <f>IF(OR(E296="",E296=0,AB296=""),"",E296*365/(AB296*1000000))</f>
        <v/>
      </c>
      <c r="AD296" s="98">
        <f>IF(OR(O296="",O296=0,AB296=""),"",(AB296*1000000)/O296)</f>
        <v/>
      </c>
      <c r="AE296" s="99">
        <f>IF(H296="","",(Team_Genesis-H296)/1000000)</f>
        <v/>
      </c>
      <c r="AF296" s="99">
        <f>IF(OR(O296="",AE296=""),"",(O296-AE296*1000000)/1000000)</f>
        <v/>
      </c>
    </row>
    <row r="297">
      <c r="A297" s="35" t="n">
        <v>45951</v>
      </c>
      <c r="B297" s="90">
        <f>IF('Daily Data'!E297="","",'Daily Data'!E297)</f>
        <v/>
      </c>
      <c r="C297" s="65" t="n">
        <v>38.01</v>
      </c>
      <c r="D297" s="94" t="n">
        <v>108263.5</v>
      </c>
      <c r="E297" s="94" t="n">
        <v>26075.5151</v>
      </c>
      <c r="F297" s="94" t="n">
        <v>1955.7853</v>
      </c>
      <c r="G297" s="94" t="n"/>
      <c r="H297" s="95">
        <f>SUM($G$4:G297)</f>
        <v/>
      </c>
      <c r="I297" s="94" t="n">
        <v>1000000000</v>
      </c>
      <c r="J297" s="95">
        <f>J296-E297</f>
        <v/>
      </c>
      <c r="K297" s="94" t="n">
        <v>60000000</v>
      </c>
      <c r="L297" s="94" t="n">
        <v>33610247.32</v>
      </c>
      <c r="M297" s="94" t="n">
        <v>3000000</v>
      </c>
      <c r="N297" s="94" t="n">
        <v>453926.7008999586</v>
      </c>
      <c r="O297" s="96">
        <f>IF(OR(I297="",J297="",L297="",N297=""),"",I297-J297-K297-L297-M297-N297)</f>
        <v/>
      </c>
      <c r="P297" s="91">
        <f>IF(OR(O297="",C297=""),"",O297*C297)</f>
        <v/>
      </c>
      <c r="Q297" s="69">
        <f>Q296-E297</f>
        <v/>
      </c>
      <c r="R297" s="97">
        <f>IF(OR(J297="",Q297=""),"",J297-Q297)</f>
        <v/>
      </c>
      <c r="S297" s="69">
        <f>IF(D297="",S296,S296+D297)</f>
        <v/>
      </c>
      <c r="T297" s="97">
        <f>IF(OR(L297="",S297=""),"",L297-S297)</f>
        <v/>
      </c>
      <c r="U297" s="69">
        <f>IF(F297="",U296,U296+F297)</f>
        <v/>
      </c>
      <c r="V297" s="97">
        <f>IF(OR(N297="",U297=""),"",N297-U297)</f>
        <v/>
      </c>
      <c r="W297" s="71">
        <f>IF(OR(C297="",C297=0,'Daily Data'!J297=""),"",'Daily Data'!J297/C297)</f>
        <v/>
      </c>
      <c r="X297" s="71">
        <f>IF(OR(C297="",C297=0,'Daily Data'!K297=""),"",'Daily Data'!K297/C297)</f>
        <v/>
      </c>
      <c r="Y297" s="71">
        <f>IF(OR(F297="",W297="",X297=""),"",F297-W297-X297)</f>
        <v/>
      </c>
      <c r="Z297" s="72" t="n">
        <v>355.03</v>
      </c>
      <c r="AA297" s="72" t="n">
        <v>62.65</v>
      </c>
      <c r="AB297" s="73">
        <f>Z297+AA297</f>
        <v/>
      </c>
      <c r="AC297" s="74">
        <f>IF(OR(E297="",E297=0,AB297=""),"",E297*365/(AB297*1000000))</f>
        <v/>
      </c>
      <c r="AD297" s="98">
        <f>IF(OR(O297="",O297=0,AB297=""),"",(AB297*1000000)/O297)</f>
        <v/>
      </c>
      <c r="AE297" s="99">
        <f>IF(H297="","",(Team_Genesis-H297)/1000000)</f>
        <v/>
      </c>
      <c r="AF297" s="99">
        <f>IF(OR(O297="",AE297=""),"",(O297-AE297*1000000)/1000000)</f>
        <v/>
      </c>
    </row>
    <row r="298">
      <c r="A298" s="35" t="n">
        <v>45952</v>
      </c>
      <c r="B298" s="90">
        <f>IF('Daily Data'!E298="","",'Daily Data'!E298)</f>
        <v/>
      </c>
      <c r="C298" s="65" t="n">
        <v>34.9</v>
      </c>
      <c r="D298" s="94" t="n">
        <v>86754.64999999999</v>
      </c>
      <c r="E298" s="94" t="n">
        <v>26042.0374</v>
      </c>
      <c r="F298" s="94" t="n">
        <v>852.7009</v>
      </c>
      <c r="G298" s="94" t="n"/>
      <c r="H298" s="95">
        <f>SUM($G$4:G298)</f>
        <v/>
      </c>
      <c r="I298" s="94" t="n">
        <v>1000000000</v>
      </c>
      <c r="J298" s="95">
        <f>J297-E298</f>
        <v/>
      </c>
      <c r="K298" s="94" t="n">
        <v>60000000</v>
      </c>
      <c r="L298" s="94" t="n">
        <v>33714407.27</v>
      </c>
      <c r="M298" s="94" t="n">
        <v>3000000</v>
      </c>
      <c r="N298" s="94" t="n">
        <v>454779.401900053</v>
      </c>
      <c r="O298" s="96">
        <f>IF(OR(I298="",J298="",L298="",N298=""),"",I298-J298-K298-L298-M298-N298)</f>
        <v/>
      </c>
      <c r="P298" s="91">
        <f>IF(OR(O298="",C298=""),"",O298*C298)</f>
        <v/>
      </c>
      <c r="Q298" s="69">
        <f>Q297-E298</f>
        <v/>
      </c>
      <c r="R298" s="97">
        <f>IF(OR(J298="",Q298=""),"",J298-Q298)</f>
        <v/>
      </c>
      <c r="S298" s="69">
        <f>IF(D298="",S297,S297+D298)</f>
        <v/>
      </c>
      <c r="T298" s="97">
        <f>IF(OR(L298="",S298=""),"",L298-S298)</f>
        <v/>
      </c>
      <c r="U298" s="69">
        <f>IF(F298="",U297,U297+F298)</f>
        <v/>
      </c>
      <c r="V298" s="97">
        <f>IF(OR(N298="",U298=""),"",N298-U298)</f>
        <v/>
      </c>
      <c r="W298" s="71">
        <f>IF(OR(C298="",C298=0,'Daily Data'!J298=""),"",'Daily Data'!J298/C298)</f>
        <v/>
      </c>
      <c r="X298" s="71">
        <f>IF(OR(C298="",C298=0,'Daily Data'!K298=""),"",'Daily Data'!K298/C298)</f>
        <v/>
      </c>
      <c r="Y298" s="71">
        <f>IF(OR(F298="",W298="",X298=""),"",F298-W298-X298)</f>
        <v/>
      </c>
      <c r="Z298" s="72" t="n">
        <v>355.03</v>
      </c>
      <c r="AA298" s="72" t="n">
        <v>62.65</v>
      </c>
      <c r="AB298" s="73">
        <f>Z298+AA298</f>
        <v/>
      </c>
      <c r="AC298" s="74">
        <f>IF(OR(E298="",E298=0,AB298=""),"",E298*365/(AB298*1000000))</f>
        <v/>
      </c>
      <c r="AD298" s="98">
        <f>IF(OR(O298="",O298=0,AB298=""),"",(AB298*1000000)/O298)</f>
        <v/>
      </c>
      <c r="AE298" s="99">
        <f>IF(H298="","",(Team_Genesis-H298)/1000000)</f>
        <v/>
      </c>
      <c r="AF298" s="99">
        <f>IF(OR(O298="",AE298=""),"",(O298-AE298*1000000)/1000000)</f>
        <v/>
      </c>
    </row>
    <row r="299">
      <c r="A299" s="35" t="n">
        <v>45953</v>
      </c>
      <c r="B299" s="90">
        <f>IF('Daily Data'!E299="","",'Daily Data'!E299)</f>
        <v/>
      </c>
      <c r="C299" s="65" t="n">
        <v>36.79</v>
      </c>
      <c r="D299" s="94" t="n">
        <v>63430.91</v>
      </c>
      <c r="E299" s="94" t="n">
        <v>26080.1532</v>
      </c>
      <c r="F299" s="94" t="n">
        <v>2114.4851</v>
      </c>
      <c r="G299" s="94" t="n"/>
      <c r="H299" s="95">
        <f>SUM($G$4:G299)</f>
        <v/>
      </c>
      <c r="I299" s="94" t="n">
        <v>1000000000</v>
      </c>
      <c r="J299" s="95">
        <f>J298-E299</f>
        <v/>
      </c>
      <c r="K299" s="94" t="n">
        <v>60000000</v>
      </c>
      <c r="L299" s="94" t="n">
        <v>33798678.78</v>
      </c>
      <c r="M299" s="94" t="n">
        <v>3000000</v>
      </c>
      <c r="N299" s="94" t="n">
        <v>456893.8869999647</v>
      </c>
      <c r="O299" s="96">
        <f>IF(OR(I299="",J299="",L299="",N299=""),"",I299-J299-K299-L299-M299-N299)</f>
        <v/>
      </c>
      <c r="P299" s="91">
        <f>IF(OR(O299="",C299=""),"",O299*C299)</f>
        <v/>
      </c>
      <c r="Q299" s="69">
        <f>Q298-E299</f>
        <v/>
      </c>
      <c r="R299" s="97">
        <f>IF(OR(J299="",Q299=""),"",J299-Q299)</f>
        <v/>
      </c>
      <c r="S299" s="69">
        <f>IF(D299="",S298,S298+D299)</f>
        <v/>
      </c>
      <c r="T299" s="97">
        <f>IF(OR(L299="",S299=""),"",L299-S299)</f>
        <v/>
      </c>
      <c r="U299" s="69">
        <f>IF(F299="",U298,U298+F299)</f>
        <v/>
      </c>
      <c r="V299" s="97">
        <f>IF(OR(N299="",U299=""),"",N299-U299)</f>
        <v/>
      </c>
      <c r="W299" s="71">
        <f>IF(OR(C299="",C299=0,'Daily Data'!J299=""),"",'Daily Data'!J299/C299)</f>
        <v/>
      </c>
      <c r="X299" s="71">
        <f>IF(OR(C299="",C299=0,'Daily Data'!K299=""),"",'Daily Data'!K299/C299)</f>
        <v/>
      </c>
      <c r="Y299" s="71">
        <f>IF(OR(F299="",W299="",X299=""),"",F299-W299-X299)</f>
        <v/>
      </c>
      <c r="Z299" s="72" t="n">
        <v>355.03</v>
      </c>
      <c r="AA299" s="72" t="n">
        <v>62.65</v>
      </c>
      <c r="AB299" s="73">
        <f>Z299+AA299</f>
        <v/>
      </c>
      <c r="AC299" s="74">
        <f>IF(OR(E299="",E299=0,AB299=""),"",E299*365/(AB299*1000000))</f>
        <v/>
      </c>
      <c r="AD299" s="98">
        <f>IF(OR(O299="",O299=0,AB299=""),"",(AB299*1000000)/O299)</f>
        <v/>
      </c>
      <c r="AE299" s="99">
        <f>IF(H299="","",(Team_Genesis-H299)/1000000)</f>
        <v/>
      </c>
      <c r="AF299" s="99">
        <f>IF(OR(O299="",AE299=""),"",(O299-AE299*1000000)/1000000)</f>
        <v/>
      </c>
    </row>
    <row r="300">
      <c r="A300" s="35" t="n">
        <v>45954</v>
      </c>
      <c r="B300" s="90">
        <f>IF('Daily Data'!E300="","",'Daily Data'!E300)</f>
        <v/>
      </c>
      <c r="C300" s="65" t="n">
        <v>40.28</v>
      </c>
      <c r="D300" s="94" t="n">
        <v>50463.82</v>
      </c>
      <c r="E300" s="94" t="n">
        <v>26111.7184</v>
      </c>
      <c r="F300" s="94" t="n">
        <v>1712.4665</v>
      </c>
      <c r="G300" s="94" t="n"/>
      <c r="H300" s="95">
        <f>SUM($G$4:G300)</f>
        <v/>
      </c>
      <c r="I300" s="94" t="n">
        <v>1000000000</v>
      </c>
      <c r="J300" s="95">
        <f>J299-E300</f>
        <v/>
      </c>
      <c r="K300" s="94" t="n">
        <v>60000000</v>
      </c>
      <c r="L300" s="94" t="n">
        <v>33858352.09</v>
      </c>
      <c r="M300" s="94" t="n">
        <v>3000000</v>
      </c>
      <c r="N300" s="94" t="n">
        <v>458606.3535000086</v>
      </c>
      <c r="O300" s="96">
        <f>IF(OR(I300="",J300="",L300="",N300=""),"",I300-J300-K300-L300-M300-N300)</f>
        <v/>
      </c>
      <c r="P300" s="91">
        <f>IF(OR(O300="",C300=""),"",O300*C300)</f>
        <v/>
      </c>
      <c r="Q300" s="69">
        <f>Q299-E300</f>
        <v/>
      </c>
      <c r="R300" s="97">
        <f>IF(OR(J300="",Q300=""),"",J300-Q300)</f>
        <v/>
      </c>
      <c r="S300" s="69">
        <f>IF(D300="",S299,S299+D300)</f>
        <v/>
      </c>
      <c r="T300" s="97">
        <f>IF(OR(L300="",S300=""),"",L300-S300)</f>
        <v/>
      </c>
      <c r="U300" s="69">
        <f>IF(F300="",U299,U299+F300)</f>
        <v/>
      </c>
      <c r="V300" s="97">
        <f>IF(OR(N300="",U300=""),"",N300-U300)</f>
        <v/>
      </c>
      <c r="W300" s="71">
        <f>IF(OR(C300="",C300=0,'Daily Data'!J300=""),"",'Daily Data'!J300/C300)</f>
        <v/>
      </c>
      <c r="X300" s="71">
        <f>IF(OR(C300="",C300=0,'Daily Data'!K300=""),"",'Daily Data'!K300/C300)</f>
        <v/>
      </c>
      <c r="Y300" s="71">
        <f>IF(OR(F300="",W300="",X300=""),"",F300-W300-X300)</f>
        <v/>
      </c>
      <c r="Z300" s="72" t="n">
        <v>355.03</v>
      </c>
      <c r="AA300" s="72" t="n">
        <v>62.65</v>
      </c>
      <c r="AB300" s="73">
        <f>Z300+AA300</f>
        <v/>
      </c>
      <c r="AC300" s="74">
        <f>IF(OR(E300="",E300=0,AB300=""),"",E300*365/(AB300*1000000))</f>
        <v/>
      </c>
      <c r="AD300" s="98">
        <f>IF(OR(O300="",O300=0,AB300=""),"",(AB300*1000000)/O300)</f>
        <v/>
      </c>
      <c r="AE300" s="99">
        <f>IF(H300="","",(Team_Genesis-H300)/1000000)</f>
        <v/>
      </c>
      <c r="AF300" s="99">
        <f>IF(OR(O300="",AE300=""),"",(O300-AE300*1000000)/1000000)</f>
        <v/>
      </c>
    </row>
    <row r="301">
      <c r="A301" s="35" t="n">
        <v>45955</v>
      </c>
      <c r="B301" s="90">
        <f>IF('Daily Data'!E301="","",'Daily Data'!E301)</f>
        <v/>
      </c>
      <c r="C301" s="65" t="n">
        <v>38.98</v>
      </c>
      <c r="D301" s="94" t="n">
        <v>23900.16</v>
      </c>
      <c r="E301" s="94" t="n">
        <v>26119.6365</v>
      </c>
      <c r="F301" s="94" t="n">
        <v>1123.6321</v>
      </c>
      <c r="G301" s="94" t="n"/>
      <c r="H301" s="95">
        <f>SUM($G$4:G301)</f>
        <v/>
      </c>
      <c r="I301" s="94" t="n">
        <v>1000000000</v>
      </c>
      <c r="J301" s="95">
        <f>J300-E301</f>
        <v/>
      </c>
      <c r="K301" s="94" t="n">
        <v>60000000</v>
      </c>
      <c r="L301" s="94" t="n">
        <v>33906947.56</v>
      </c>
      <c r="M301" s="94" t="n">
        <v>3000000</v>
      </c>
      <c r="N301" s="94" t="n">
        <v>459729.9855999947</v>
      </c>
      <c r="O301" s="96">
        <f>IF(OR(I301="",J301="",L301="",N301=""),"",I301-J301-K301-L301-M301-N301)</f>
        <v/>
      </c>
      <c r="P301" s="91">
        <f>IF(OR(O301="",C301=""),"",O301*C301)</f>
        <v/>
      </c>
      <c r="Q301" s="69">
        <f>Q300-E301</f>
        <v/>
      </c>
      <c r="R301" s="97">
        <f>IF(OR(J301="",Q301=""),"",J301-Q301)</f>
        <v/>
      </c>
      <c r="S301" s="69">
        <f>IF(D301="",S300,S300+D301)</f>
        <v/>
      </c>
      <c r="T301" s="97">
        <f>IF(OR(L301="",S301=""),"",L301-S301)</f>
        <v/>
      </c>
      <c r="U301" s="69">
        <f>IF(F301="",U300,U300+F301)</f>
        <v/>
      </c>
      <c r="V301" s="97">
        <f>IF(OR(N301="",U301=""),"",N301-U301)</f>
        <v/>
      </c>
      <c r="W301" s="71">
        <f>IF(OR(C301="",C301=0,'Daily Data'!J301=""),"",'Daily Data'!J301/C301)</f>
        <v/>
      </c>
      <c r="X301" s="71">
        <f>IF(OR(C301="",C301=0,'Daily Data'!K301=""),"",'Daily Data'!K301/C301)</f>
        <v/>
      </c>
      <c r="Y301" s="71">
        <f>IF(OR(F301="",W301="",X301=""),"",F301-W301-X301)</f>
        <v/>
      </c>
      <c r="Z301" s="72" t="n">
        <v>355.03</v>
      </c>
      <c r="AA301" s="72" t="n">
        <v>62.65</v>
      </c>
      <c r="AB301" s="73">
        <f>Z301+AA301</f>
        <v/>
      </c>
      <c r="AC301" s="74">
        <f>IF(OR(E301="",E301=0,AB301=""),"",E301*365/(AB301*1000000))</f>
        <v/>
      </c>
      <c r="AD301" s="98">
        <f>IF(OR(O301="",O301=0,AB301=""),"",(AB301*1000000)/O301)</f>
        <v/>
      </c>
      <c r="AE301" s="99">
        <f>IF(H301="","",(Team_Genesis-H301)/1000000)</f>
        <v/>
      </c>
      <c r="AF301" s="99">
        <f>IF(OR(O301="",AE301=""),"",(O301-AE301*1000000)/1000000)</f>
        <v/>
      </c>
    </row>
    <row r="302">
      <c r="A302" s="35" t="n">
        <v>45956</v>
      </c>
      <c r="B302" s="90">
        <f>IF('Daily Data'!E302="","",'Daily Data'!E302)</f>
        <v/>
      </c>
      <c r="C302" s="65" t="n">
        <v>44.21</v>
      </c>
      <c r="D302" s="94" t="n">
        <v>40200.85</v>
      </c>
      <c r="E302" s="94" t="n">
        <v>26119.244</v>
      </c>
      <c r="F302" s="94" t="n">
        <v>1153.0696</v>
      </c>
      <c r="G302" s="94" t="n"/>
      <c r="H302" s="95">
        <f>SUM($G$4:G302)</f>
        <v/>
      </c>
      <c r="I302" s="94" t="n">
        <v>1000000000</v>
      </c>
      <c r="J302" s="95">
        <f>J301-E302</f>
        <v/>
      </c>
      <c r="K302" s="94" t="n">
        <v>60000000</v>
      </c>
      <c r="L302" s="94" t="n">
        <v>33930325.96</v>
      </c>
      <c r="M302" s="94" t="n">
        <v>3000000</v>
      </c>
      <c r="N302" s="94" t="n">
        <v>460883.0551999807</v>
      </c>
      <c r="O302" s="96">
        <f>IF(OR(I302="",J302="",L302="",N302=""),"",I302-J302-K302-L302-M302-N302)</f>
        <v/>
      </c>
      <c r="P302" s="91">
        <f>IF(OR(O302="",C302=""),"",O302*C302)</f>
        <v/>
      </c>
      <c r="Q302" s="69">
        <f>Q301-E302</f>
        <v/>
      </c>
      <c r="R302" s="97">
        <f>IF(OR(J302="",Q302=""),"",J302-Q302)</f>
        <v/>
      </c>
      <c r="S302" s="69">
        <f>IF(D302="",S301,S301+D302)</f>
        <v/>
      </c>
      <c r="T302" s="97">
        <f>IF(OR(L302="",S302=""),"",L302-S302)</f>
        <v/>
      </c>
      <c r="U302" s="69">
        <f>IF(F302="",U301,U301+F302)</f>
        <v/>
      </c>
      <c r="V302" s="97">
        <f>IF(OR(N302="",U302=""),"",N302-U302)</f>
        <v/>
      </c>
      <c r="W302" s="71">
        <f>IF(OR(C302="",C302=0,'Daily Data'!J302=""),"",'Daily Data'!J302/C302)</f>
        <v/>
      </c>
      <c r="X302" s="71">
        <f>IF(OR(C302="",C302=0,'Daily Data'!K302=""),"",'Daily Data'!K302/C302)</f>
        <v/>
      </c>
      <c r="Y302" s="71">
        <f>IF(OR(F302="",W302="",X302=""),"",F302-W302-X302)</f>
        <v/>
      </c>
      <c r="Z302" s="72" t="n">
        <v>355.03</v>
      </c>
      <c r="AA302" s="72" t="n">
        <v>62.65</v>
      </c>
      <c r="AB302" s="73">
        <f>Z302+AA302</f>
        <v/>
      </c>
      <c r="AC302" s="74">
        <f>IF(OR(E302="",E302=0,AB302=""),"",E302*365/(AB302*1000000))</f>
        <v/>
      </c>
      <c r="AD302" s="98">
        <f>IF(OR(O302="",O302=0,AB302=""),"",(AB302*1000000)/O302)</f>
        <v/>
      </c>
      <c r="AE302" s="99">
        <f>IF(H302="","",(Team_Genesis-H302)/1000000)</f>
        <v/>
      </c>
      <c r="AF302" s="99">
        <f>IF(OR(O302="",AE302=""),"",(O302-AE302*1000000)/1000000)</f>
        <v/>
      </c>
    </row>
    <row r="303">
      <c r="A303" s="35" t="n">
        <v>45957</v>
      </c>
      <c r="B303" s="90">
        <f>IF('Daily Data'!E303="","",'Daily Data'!E303)</f>
        <v/>
      </c>
      <c r="C303" s="65" t="n">
        <v>49.16</v>
      </c>
      <c r="D303" s="94" t="n">
        <v>52411.15</v>
      </c>
      <c r="E303" s="94" t="n">
        <v>30771.3676</v>
      </c>
      <c r="F303" s="94" t="n">
        <v>1937.3233</v>
      </c>
      <c r="G303" s="94" t="n"/>
      <c r="H303" s="95">
        <f>SUM($G$4:G303)</f>
        <v/>
      </c>
      <c r="I303" s="94" t="n">
        <v>1000000000</v>
      </c>
      <c r="J303" s="95">
        <f>J302-E303</f>
        <v/>
      </c>
      <c r="K303" s="94" t="n">
        <v>60000000</v>
      </c>
      <c r="L303" s="94" t="n">
        <v>33981239.81</v>
      </c>
      <c r="M303" s="94" t="n">
        <v>3000000</v>
      </c>
      <c r="N303" s="94" t="n">
        <v>462820.3784999847</v>
      </c>
      <c r="O303" s="96">
        <f>IF(OR(I303="",J303="",L303="",N303=""),"",I303-J303-K303-L303-M303-N303)</f>
        <v/>
      </c>
      <c r="P303" s="91">
        <f>IF(OR(O303="",C303=""),"",O303*C303)</f>
        <v/>
      </c>
      <c r="Q303" s="69">
        <f>Q302-E303</f>
        <v/>
      </c>
      <c r="R303" s="97">
        <f>IF(OR(J303="",Q303=""),"",J303-Q303)</f>
        <v/>
      </c>
      <c r="S303" s="69">
        <f>IF(D303="",S302,S302+D303)</f>
        <v/>
      </c>
      <c r="T303" s="97">
        <f>IF(OR(L303="",S303=""),"",L303-S303)</f>
        <v/>
      </c>
      <c r="U303" s="69">
        <f>IF(F303="",U302,U302+F303)</f>
        <v/>
      </c>
      <c r="V303" s="97">
        <f>IF(OR(N303="",U303=""),"",N303-U303)</f>
        <v/>
      </c>
      <c r="W303" s="71">
        <f>IF(OR(C303="",C303=0,'Daily Data'!J303=""),"",'Daily Data'!J303/C303)</f>
        <v/>
      </c>
      <c r="X303" s="71">
        <f>IF(OR(C303="",C303=0,'Daily Data'!K303=""),"",'Daily Data'!K303/C303)</f>
        <v/>
      </c>
      <c r="Y303" s="71">
        <f>IF(OR(F303="",W303="",X303=""),"",F303-W303-X303)</f>
        <v/>
      </c>
      <c r="Z303" s="72" t="n">
        <v>355.03</v>
      </c>
      <c r="AA303" s="72" t="n">
        <v>62.65</v>
      </c>
      <c r="AB303" s="73">
        <f>Z303+AA303</f>
        <v/>
      </c>
      <c r="AC303" s="74">
        <f>IF(OR(E303="",E303=0,AB303=""),"",E303*365/(AB303*1000000))</f>
        <v/>
      </c>
      <c r="AD303" s="98">
        <f>IF(OR(O303="",O303=0,AB303=""),"",(AB303*1000000)/O303)</f>
        <v/>
      </c>
      <c r="AE303" s="99">
        <f>IF(H303="","",(Team_Genesis-H303)/1000000)</f>
        <v/>
      </c>
      <c r="AF303" s="99">
        <f>IF(OR(O303="",AE303=""),"",(O303-AE303*1000000)/1000000)</f>
        <v/>
      </c>
    </row>
    <row r="304">
      <c r="A304" s="35" t="n">
        <v>45958</v>
      </c>
      <c r="B304" s="90">
        <f>IF('Daily Data'!E304="","",'Daily Data'!E304)</f>
        <v/>
      </c>
      <c r="C304" s="65" t="n">
        <v>46.81</v>
      </c>
      <c r="D304" s="94" t="n">
        <v>57848.3</v>
      </c>
      <c r="E304" s="94" t="n">
        <v>21505.2152</v>
      </c>
      <c r="F304" s="94" t="n">
        <v>2987.1464</v>
      </c>
      <c r="G304" s="94" t="n"/>
      <c r="H304" s="95">
        <f>SUM($G$4:G304)</f>
        <v/>
      </c>
      <c r="I304" s="94" t="n">
        <v>1000000000</v>
      </c>
      <c r="J304" s="95">
        <f>J303-E304</f>
        <v/>
      </c>
      <c r="K304" s="94" t="n">
        <v>60000000</v>
      </c>
      <c r="L304" s="94" t="n">
        <v>34026899.08</v>
      </c>
      <c r="M304" s="94" t="n">
        <v>3000000</v>
      </c>
      <c r="N304" s="94" t="n">
        <v>465807.5248999596</v>
      </c>
      <c r="O304" s="96">
        <f>IF(OR(I304="",J304="",L304="",N304=""),"",I304-J304-K304-L304-M304-N304)</f>
        <v/>
      </c>
      <c r="P304" s="91">
        <f>IF(OR(O304="",C304=""),"",O304*C304)</f>
        <v/>
      </c>
      <c r="Q304" s="69">
        <f>Q303-E304</f>
        <v/>
      </c>
      <c r="R304" s="97">
        <f>IF(OR(J304="",Q304=""),"",J304-Q304)</f>
        <v/>
      </c>
      <c r="S304" s="69">
        <f>IF(D304="",S303,S303+D304)</f>
        <v/>
      </c>
      <c r="T304" s="97">
        <f>IF(OR(L304="",S304=""),"",L304-S304)</f>
        <v/>
      </c>
      <c r="U304" s="69">
        <f>IF(F304="",U303,U303+F304)</f>
        <v/>
      </c>
      <c r="V304" s="97">
        <f>IF(OR(N304="",U304=""),"",N304-U304)</f>
        <v/>
      </c>
      <c r="W304" s="71">
        <f>IF(OR(C304="",C304=0,'Daily Data'!J304=""),"",'Daily Data'!J304/C304)</f>
        <v/>
      </c>
      <c r="X304" s="71">
        <f>IF(OR(C304="",C304=0,'Daily Data'!K304=""),"",'Daily Data'!K304/C304)</f>
        <v/>
      </c>
      <c r="Y304" s="71">
        <f>IF(OR(F304="",W304="",X304=""),"",F304-W304-X304)</f>
        <v/>
      </c>
      <c r="Z304" s="72" t="n">
        <v>355.03</v>
      </c>
      <c r="AA304" s="72" t="n">
        <v>62.65</v>
      </c>
      <c r="AB304" s="73">
        <f>Z304+AA304</f>
        <v/>
      </c>
      <c r="AC304" s="74">
        <f>IF(OR(E304="",E304=0,AB304=""),"",E304*365/(AB304*1000000))</f>
        <v/>
      </c>
      <c r="AD304" s="98">
        <f>IF(OR(O304="",O304=0,AB304=""),"",(AB304*1000000)/O304)</f>
        <v/>
      </c>
      <c r="AE304" s="99">
        <f>IF(H304="","",(Team_Genesis-H304)/1000000)</f>
        <v/>
      </c>
      <c r="AF304" s="99">
        <f>IF(OR(O304="",AE304=""),"",(O304-AE304*1000000)/1000000)</f>
        <v/>
      </c>
    </row>
    <row r="305">
      <c r="A305" s="35" t="n">
        <v>45959</v>
      </c>
      <c r="B305" s="90">
        <f>IF('Daily Data'!E305="","",'Daily Data'!E305)</f>
        <v/>
      </c>
      <c r="C305" s="65" t="n">
        <v>47.54</v>
      </c>
      <c r="D305" s="94" t="n">
        <v>63421.84</v>
      </c>
      <c r="E305" s="94" t="n">
        <v>26132.4928</v>
      </c>
      <c r="F305" s="94" t="n">
        <v>643.3239</v>
      </c>
      <c r="G305" s="94" t="n"/>
      <c r="H305" s="95">
        <f>SUM($G$4:G305)</f>
        <v/>
      </c>
      <c r="I305" s="94" t="n">
        <v>1000000000</v>
      </c>
      <c r="J305" s="95">
        <f>J304-E305</f>
        <v/>
      </c>
      <c r="K305" s="94" t="n">
        <v>60000000</v>
      </c>
      <c r="L305" s="94" t="n">
        <v>34136793.69</v>
      </c>
      <c r="M305" s="94" t="n">
        <v>3000000</v>
      </c>
      <c r="N305" s="94" t="n">
        <v>466450.8487999439</v>
      </c>
      <c r="O305" s="96">
        <f>IF(OR(I305="",J305="",L305="",N305=""),"",I305-J305-K305-L305-M305-N305)</f>
        <v/>
      </c>
      <c r="P305" s="91">
        <f>IF(OR(O305="",C305=""),"",O305*C305)</f>
        <v/>
      </c>
      <c r="Q305" s="69">
        <f>Q304-E305</f>
        <v/>
      </c>
      <c r="R305" s="97">
        <f>IF(OR(J305="",Q305=""),"",J305-Q305)</f>
        <v/>
      </c>
      <c r="S305" s="69">
        <f>IF(D305="",S304,S304+D305)</f>
        <v/>
      </c>
      <c r="T305" s="97">
        <f>IF(OR(L305="",S305=""),"",L305-S305)</f>
        <v/>
      </c>
      <c r="U305" s="69">
        <f>IF(F305="",U304,U304+F305)</f>
        <v/>
      </c>
      <c r="V305" s="97">
        <f>IF(OR(N305="",U305=""),"",N305-U305)</f>
        <v/>
      </c>
      <c r="W305" s="71">
        <f>IF(OR(C305="",C305=0,'Daily Data'!J305=""),"",'Daily Data'!J305/C305)</f>
        <v/>
      </c>
      <c r="X305" s="71">
        <f>IF(OR(C305="",C305=0,'Daily Data'!K305=""),"",'Daily Data'!K305/C305)</f>
        <v/>
      </c>
      <c r="Y305" s="71">
        <f>IF(OR(F305="",W305="",X305=""),"",F305-W305-X305)</f>
        <v/>
      </c>
      <c r="Z305" s="72" t="n">
        <v>355.03</v>
      </c>
      <c r="AA305" s="72" t="n">
        <v>62.65</v>
      </c>
      <c r="AB305" s="73">
        <f>Z305+AA305</f>
        <v/>
      </c>
      <c r="AC305" s="74">
        <f>IF(OR(E305="",E305=0,AB305=""),"",E305*365/(AB305*1000000))</f>
        <v/>
      </c>
      <c r="AD305" s="98">
        <f>IF(OR(O305="",O305=0,AB305=""),"",(AB305*1000000)/O305)</f>
        <v/>
      </c>
      <c r="AE305" s="99">
        <f>IF(H305="","",(Team_Genesis-H305)/1000000)</f>
        <v/>
      </c>
      <c r="AF305" s="99">
        <f>IF(OR(O305="",AE305=""),"",(O305-AE305*1000000)/1000000)</f>
        <v/>
      </c>
    </row>
    <row r="306">
      <c r="A306" s="35" t="n">
        <v>45960</v>
      </c>
      <c r="B306" s="90">
        <f>IF('Daily Data'!E306="","",'Daily Data'!E306)</f>
        <v/>
      </c>
      <c r="C306" s="65" t="n">
        <v>47.76</v>
      </c>
      <c r="D306" s="94" t="n">
        <v>72418.74000000001</v>
      </c>
      <c r="E306" s="94" t="n">
        <v>25584.5234</v>
      </c>
      <c r="F306" s="94" t="n">
        <v>777.1475</v>
      </c>
      <c r="G306" s="94" t="n"/>
      <c r="H306" s="95">
        <f>SUM($G$4:G306)</f>
        <v/>
      </c>
      <c r="I306" s="94" t="n">
        <v>1000000000</v>
      </c>
      <c r="J306" s="95">
        <f>J305-E306</f>
        <v/>
      </c>
      <c r="K306" s="94" t="n">
        <v>60000000</v>
      </c>
      <c r="L306" s="94" t="n">
        <v>34207883.32</v>
      </c>
      <c r="M306" s="94" t="n">
        <v>3000000</v>
      </c>
      <c r="N306" s="94" t="n">
        <v>467227.9962999821</v>
      </c>
      <c r="O306" s="96">
        <f>IF(OR(I306="",J306="",L306="",N306=""),"",I306-J306-K306-L306-M306-N306)</f>
        <v/>
      </c>
      <c r="P306" s="91">
        <f>IF(OR(O306="",C306=""),"",O306*C306)</f>
        <v/>
      </c>
      <c r="Q306" s="69">
        <f>Q305-E306</f>
        <v/>
      </c>
      <c r="R306" s="97">
        <f>IF(OR(J306="",Q306=""),"",J306-Q306)</f>
        <v/>
      </c>
      <c r="S306" s="69">
        <f>IF(D306="",S305,S305+D306)</f>
        <v/>
      </c>
      <c r="T306" s="97">
        <f>IF(OR(L306="",S306=""),"",L306-S306)</f>
        <v/>
      </c>
      <c r="U306" s="69">
        <f>IF(F306="",U305,U305+F306)</f>
        <v/>
      </c>
      <c r="V306" s="97">
        <f>IF(OR(N306="",U306=""),"",N306-U306)</f>
        <v/>
      </c>
      <c r="W306" s="71">
        <f>IF(OR(C306="",C306=0,'Daily Data'!J306=""),"",'Daily Data'!J306/C306)</f>
        <v/>
      </c>
      <c r="X306" s="71">
        <f>IF(OR(C306="",C306=0,'Daily Data'!K306=""),"",'Daily Data'!K306/C306)</f>
        <v/>
      </c>
      <c r="Y306" s="71">
        <f>IF(OR(F306="",W306="",X306=""),"",F306-W306-X306)</f>
        <v/>
      </c>
      <c r="Z306" s="72" t="n">
        <v>355.03</v>
      </c>
      <c r="AA306" s="72" t="n">
        <v>62.65</v>
      </c>
      <c r="AB306" s="73">
        <f>Z306+AA306</f>
        <v/>
      </c>
      <c r="AC306" s="74">
        <f>IF(OR(E306="",E306=0,AB306=""),"",E306*365/(AB306*1000000))</f>
        <v/>
      </c>
      <c r="AD306" s="98">
        <f>IF(OR(O306="",O306=0,AB306=""),"",(AB306*1000000)/O306)</f>
        <v/>
      </c>
      <c r="AE306" s="99">
        <f>IF(H306="","",(Team_Genesis-H306)/1000000)</f>
        <v/>
      </c>
      <c r="AF306" s="99">
        <f>IF(OR(O306="",AE306=""),"",(O306-AE306*1000000)/1000000)</f>
        <v/>
      </c>
    </row>
    <row r="307">
      <c r="A307" s="35" t="n">
        <v>45961</v>
      </c>
      <c r="B307" s="90">
        <f>IF('Daily Data'!E307="","",'Daily Data'!E307)</f>
        <v/>
      </c>
      <c r="C307" s="65" t="n">
        <v>45.53</v>
      </c>
      <c r="D307" s="94" t="n">
        <v>50976.52</v>
      </c>
      <c r="E307" s="94" t="n">
        <v>26132.0917</v>
      </c>
      <c r="F307" s="94" t="n">
        <v>2710.6255</v>
      </c>
      <c r="G307" s="94" t="n"/>
      <c r="H307" s="95">
        <f>SUM($G$4:G307)</f>
        <v/>
      </c>
      <c r="I307" s="94" t="n">
        <v>1000000000</v>
      </c>
      <c r="J307" s="95">
        <f>J306-E307</f>
        <v/>
      </c>
      <c r="K307" s="94" t="n">
        <v>60000000</v>
      </c>
      <c r="L307" s="94" t="n">
        <v>34259513.44</v>
      </c>
      <c r="M307" s="94" t="n">
        <v>3000000</v>
      </c>
      <c r="N307" s="94" t="n">
        <v>469938.6217999458</v>
      </c>
      <c r="O307" s="96">
        <f>IF(OR(I307="",J307="",L307="",N307=""),"",I307-J307-K307-L307-M307-N307)</f>
        <v/>
      </c>
      <c r="P307" s="91">
        <f>IF(OR(O307="",C307=""),"",O307*C307)</f>
        <v/>
      </c>
      <c r="Q307" s="69">
        <f>Q306-E307</f>
        <v/>
      </c>
      <c r="R307" s="97">
        <f>IF(OR(J307="",Q307=""),"",J307-Q307)</f>
        <v/>
      </c>
      <c r="S307" s="69">
        <f>IF(D307="",S306,S306+D307)</f>
        <v/>
      </c>
      <c r="T307" s="97">
        <f>IF(OR(L307="",S307=""),"",L307-S307)</f>
        <v/>
      </c>
      <c r="U307" s="69">
        <f>IF(F307="",U306,U306+F307)</f>
        <v/>
      </c>
      <c r="V307" s="97">
        <f>IF(OR(N307="",U307=""),"",N307-U307)</f>
        <v/>
      </c>
      <c r="W307" s="71">
        <f>IF(OR(C307="",C307=0,'Daily Data'!J307=""),"",'Daily Data'!J307/C307)</f>
        <v/>
      </c>
      <c r="X307" s="71">
        <f>IF(OR(C307="",C307=0,'Daily Data'!K307=""),"",'Daily Data'!K307/C307)</f>
        <v/>
      </c>
      <c r="Y307" s="71">
        <f>IF(OR(F307="",W307="",X307=""),"",F307-W307-X307)</f>
        <v/>
      </c>
      <c r="Z307" s="72" t="n">
        <v>355.03</v>
      </c>
      <c r="AA307" s="72" t="n">
        <v>62.65</v>
      </c>
      <c r="AB307" s="73">
        <f>Z307+AA307</f>
        <v/>
      </c>
      <c r="AC307" s="74">
        <f>IF(OR(E307="",E307=0,AB307=""),"",E307*365/(AB307*1000000))</f>
        <v/>
      </c>
      <c r="AD307" s="98">
        <f>IF(OR(O307="",O307=0,AB307=""),"",(AB307*1000000)/O307)</f>
        <v/>
      </c>
      <c r="AE307" s="99">
        <f>IF(H307="","",(Team_Genesis-H307)/1000000)</f>
        <v/>
      </c>
      <c r="AF307" s="99">
        <f>IF(OR(O307="",AE307=""),"",(O307-AE307*1000000)/1000000)</f>
        <v/>
      </c>
    </row>
    <row r="308">
      <c r="A308" s="35" t="n">
        <v>45962</v>
      </c>
      <c r="B308" s="90">
        <f>IF('Daily Data'!E308="","",'Daily Data'!E308)</f>
        <v/>
      </c>
      <c r="C308" s="65" t="n">
        <v>43.43</v>
      </c>
      <c r="D308" s="94" t="n">
        <v>20798.35</v>
      </c>
      <c r="E308" s="94" t="n">
        <v>26112.4247</v>
      </c>
      <c r="F308" s="94" t="n">
        <v>1407.0012</v>
      </c>
      <c r="G308" s="94" t="n"/>
      <c r="H308" s="95">
        <f>SUM($G$4:G308)</f>
        <v/>
      </c>
      <c r="I308" s="94" t="n">
        <v>1000000000</v>
      </c>
      <c r="J308" s="95">
        <f>J307-E308</f>
        <v/>
      </c>
      <c r="K308" s="94" t="n">
        <v>60000000</v>
      </c>
      <c r="L308" s="94" t="n">
        <v>34280139.13</v>
      </c>
      <c r="M308" s="94" t="n">
        <v>3000000</v>
      </c>
      <c r="N308" s="94" t="n">
        <v>471345.6230000257</v>
      </c>
      <c r="O308" s="96">
        <f>IF(OR(I308="",J308="",L308="",N308=""),"",I308-J308-K308-L308-M308-N308)</f>
        <v/>
      </c>
      <c r="P308" s="91">
        <f>IF(OR(O308="",C308=""),"",O308*C308)</f>
        <v/>
      </c>
      <c r="Q308" s="69">
        <f>Q307-E308</f>
        <v/>
      </c>
      <c r="R308" s="97">
        <f>IF(OR(J308="",Q308=""),"",J308-Q308)</f>
        <v/>
      </c>
      <c r="S308" s="69">
        <f>IF(D308="",S307,S307+D308)</f>
        <v/>
      </c>
      <c r="T308" s="97">
        <f>IF(OR(L308="",S308=""),"",L308-S308)</f>
        <v/>
      </c>
      <c r="U308" s="69">
        <f>IF(F308="",U307,U307+F308)</f>
        <v/>
      </c>
      <c r="V308" s="97">
        <f>IF(OR(N308="",U308=""),"",N308-U308)</f>
        <v/>
      </c>
      <c r="W308" s="71">
        <f>IF(OR(C308="",C308=0,'Daily Data'!J308=""),"",'Daily Data'!J308/C308)</f>
        <v/>
      </c>
      <c r="X308" s="71">
        <f>IF(OR(C308="",C308=0,'Daily Data'!K308=""),"",'Daily Data'!K308/C308)</f>
        <v/>
      </c>
      <c r="Y308" s="71">
        <f>IF(OR(F308="",W308="",X308=""),"",F308-W308-X308)</f>
        <v/>
      </c>
      <c r="Z308" s="72" t="n">
        <v>354.93</v>
      </c>
      <c r="AA308" s="72" t="n">
        <v>62.63</v>
      </c>
      <c r="AB308" s="73">
        <f>Z308+AA308</f>
        <v/>
      </c>
      <c r="AC308" s="74">
        <f>IF(OR(E308="",E308=0,AB308=""),"",E308*365/(AB308*1000000))</f>
        <v/>
      </c>
      <c r="AD308" s="98">
        <f>IF(OR(O308="",O308=0,AB308=""),"",(AB308*1000000)/O308)</f>
        <v/>
      </c>
      <c r="AE308" s="99">
        <f>IF(H308="","",(Team_Genesis-H308)/1000000)</f>
        <v/>
      </c>
      <c r="AF308" s="99">
        <f>IF(OR(O308="",AE308=""),"",(O308-AE308*1000000)/1000000)</f>
        <v/>
      </c>
    </row>
    <row r="309">
      <c r="A309" s="35" t="n">
        <v>45963</v>
      </c>
      <c r="B309" s="90">
        <f>IF('Daily Data'!E309="","",'Daily Data'!E309)</f>
        <v/>
      </c>
      <c r="C309" s="65" t="n">
        <v>42.59</v>
      </c>
      <c r="D309" s="94" t="n">
        <v>26840.13</v>
      </c>
      <c r="E309" s="94" t="n">
        <v>26085.2116</v>
      </c>
      <c r="F309" s="94" t="n">
        <v>1000.5355</v>
      </c>
      <c r="G309" s="94" t="n"/>
      <c r="H309" s="95">
        <f>SUM($G$4:G309)</f>
        <v/>
      </c>
      <c r="I309" s="94" t="n">
        <v>1000000000</v>
      </c>
      <c r="J309" s="95">
        <f>J308-E309</f>
        <v/>
      </c>
      <c r="K309" s="94" t="n">
        <v>60000000</v>
      </c>
      <c r="L309" s="94" t="n">
        <v>34310312.42</v>
      </c>
      <c r="M309" s="94" t="n">
        <v>3000000</v>
      </c>
      <c r="N309" s="94" t="n">
        <v>472346.1584999561</v>
      </c>
      <c r="O309" s="96">
        <f>IF(OR(I309="",J309="",L309="",N309=""),"",I309-J309-K309-L309-M309-N309)</f>
        <v/>
      </c>
      <c r="P309" s="91">
        <f>IF(OR(O309="",C309=""),"",O309*C309)</f>
        <v/>
      </c>
      <c r="Q309" s="69">
        <f>Q308-E309</f>
        <v/>
      </c>
      <c r="R309" s="97">
        <f>IF(OR(J309="",Q309=""),"",J309-Q309)</f>
        <v/>
      </c>
      <c r="S309" s="69">
        <f>IF(D309="",S308,S308+D309)</f>
        <v/>
      </c>
      <c r="T309" s="97">
        <f>IF(OR(L309="",S309=""),"",L309-S309)</f>
        <v/>
      </c>
      <c r="U309" s="69">
        <f>IF(F309="",U308,U308+F309)</f>
        <v/>
      </c>
      <c r="V309" s="97">
        <f>IF(OR(N309="",U309=""),"",N309-U309)</f>
        <v/>
      </c>
      <c r="W309" s="71">
        <f>IF(OR(C309="",C309=0,'Daily Data'!J309=""),"",'Daily Data'!J309/C309)</f>
        <v/>
      </c>
      <c r="X309" s="71">
        <f>IF(OR(C309="",C309=0,'Daily Data'!K309=""),"",'Daily Data'!K309/C309)</f>
        <v/>
      </c>
      <c r="Y309" s="71">
        <f>IF(OR(F309="",W309="",X309=""),"",F309-W309-X309)</f>
        <v/>
      </c>
      <c r="Z309" s="72" t="n">
        <v>354.93</v>
      </c>
      <c r="AA309" s="72" t="n">
        <v>62.63</v>
      </c>
      <c r="AB309" s="73">
        <f>Z309+AA309</f>
        <v/>
      </c>
      <c r="AC309" s="74">
        <f>IF(OR(E309="",E309=0,AB309=""),"",E309*365/(AB309*1000000))</f>
        <v/>
      </c>
      <c r="AD309" s="98">
        <f>IF(OR(O309="",O309=0,AB309=""),"",(AB309*1000000)/O309)</f>
        <v/>
      </c>
      <c r="AE309" s="99">
        <f>IF(H309="","",(Team_Genesis-H309)/1000000)</f>
        <v/>
      </c>
      <c r="AF309" s="99">
        <f>IF(OR(O309="",AE309=""),"",(O309-AE309*1000000)/1000000)</f>
        <v/>
      </c>
    </row>
    <row r="310">
      <c r="A310" s="35" t="n">
        <v>45964</v>
      </c>
      <c r="B310" s="90">
        <f>IF('Daily Data'!E310="","",'Daily Data'!E310)</f>
        <v/>
      </c>
      <c r="C310" s="65" t="n">
        <v>42.3</v>
      </c>
      <c r="D310" s="94" t="n">
        <v>84946.33</v>
      </c>
      <c r="E310" s="94" t="n">
        <v>26120.7791</v>
      </c>
      <c r="F310" s="94" t="n">
        <v>838.5616</v>
      </c>
      <c r="G310" s="94" t="n"/>
      <c r="H310" s="95">
        <f>SUM($G$4:G310)</f>
        <v/>
      </c>
      <c r="I310" s="94" t="n">
        <v>1000000000</v>
      </c>
      <c r="J310" s="95">
        <f>J309-E310</f>
        <v/>
      </c>
      <c r="K310" s="94" t="n">
        <v>60000000</v>
      </c>
      <c r="L310" s="94" t="n">
        <v>34393309.46</v>
      </c>
      <c r="M310" s="94" t="n">
        <v>3000000</v>
      </c>
      <c r="N310" s="94" t="n">
        <v>473184.7201000452</v>
      </c>
      <c r="O310" s="96">
        <f>IF(OR(I310="",J310="",L310="",N310=""),"",I310-J310-K310-L310-M310-N310)</f>
        <v/>
      </c>
      <c r="P310" s="91">
        <f>IF(OR(O310="",C310=""),"",O310*C310)</f>
        <v/>
      </c>
      <c r="Q310" s="69">
        <f>Q309-E310</f>
        <v/>
      </c>
      <c r="R310" s="97">
        <f>IF(OR(J310="",Q310=""),"",J310-Q310)</f>
        <v/>
      </c>
      <c r="S310" s="69">
        <f>IF(D310="",S309,S309+D310)</f>
        <v/>
      </c>
      <c r="T310" s="97">
        <f>IF(OR(L310="",S310=""),"",L310-S310)</f>
        <v/>
      </c>
      <c r="U310" s="69">
        <f>IF(F310="",U309,U309+F310)</f>
        <v/>
      </c>
      <c r="V310" s="97">
        <f>IF(OR(N310="",U310=""),"",N310-U310)</f>
        <v/>
      </c>
      <c r="W310" s="71">
        <f>IF(OR(C310="",C310=0,'Daily Data'!J310=""),"",'Daily Data'!J310/C310)</f>
        <v/>
      </c>
      <c r="X310" s="71">
        <f>IF(OR(C310="",C310=0,'Daily Data'!K310=""),"",'Daily Data'!K310/C310)</f>
        <v/>
      </c>
      <c r="Y310" s="71">
        <f>IF(OR(F310="",W310="",X310=""),"",F310-W310-X310)</f>
        <v/>
      </c>
      <c r="Z310" s="72" t="n">
        <v>354.93</v>
      </c>
      <c r="AA310" s="72" t="n">
        <v>62.63</v>
      </c>
      <c r="AB310" s="73">
        <f>Z310+AA310</f>
        <v/>
      </c>
      <c r="AC310" s="74">
        <f>IF(OR(E310="",E310=0,AB310=""),"",E310*365/(AB310*1000000))</f>
        <v/>
      </c>
      <c r="AD310" s="98">
        <f>IF(OR(O310="",O310=0,AB310=""),"",(AB310*1000000)/O310)</f>
        <v/>
      </c>
      <c r="AE310" s="99">
        <f>IF(H310="","",(Team_Genesis-H310)/1000000)</f>
        <v/>
      </c>
      <c r="AF310" s="99">
        <f>IF(OR(O310="",AE310=""),"",(O310-AE310*1000000)/1000000)</f>
        <v/>
      </c>
    </row>
    <row r="311">
      <c r="A311" s="35" t="n">
        <v>45965</v>
      </c>
      <c r="B311" s="90">
        <f>IF('Daily Data'!E311="","",'Daily Data'!E311)</f>
        <v/>
      </c>
      <c r="C311" s="65" t="n">
        <v>39.25</v>
      </c>
      <c r="D311" s="94" t="n">
        <v>128295.39</v>
      </c>
      <c r="E311" s="94" t="n">
        <v>26102.2179</v>
      </c>
      <c r="F311" s="94" t="n">
        <v>1420.4197</v>
      </c>
      <c r="G311" s="94" t="n"/>
      <c r="H311" s="95">
        <f>SUM($G$4:G311)</f>
        <v/>
      </c>
      <c r="I311" s="94" t="n">
        <v>1000000000</v>
      </c>
      <c r="J311" s="95">
        <f>J310-E311</f>
        <v/>
      </c>
      <c r="K311" s="94" t="n">
        <v>60000000</v>
      </c>
      <c r="L311" s="94" t="n">
        <v>34530179.1</v>
      </c>
      <c r="M311" s="94" t="n">
        <v>3000000</v>
      </c>
      <c r="N311" s="94" t="n">
        <v>474605.1397999525</v>
      </c>
      <c r="O311" s="96">
        <f>IF(OR(I311="",J311="",L311="",N311=""),"",I311-J311-K311-L311-M311-N311)</f>
        <v/>
      </c>
      <c r="P311" s="91">
        <f>IF(OR(O311="",C311=""),"",O311*C311)</f>
        <v/>
      </c>
      <c r="Q311" s="69">
        <f>Q310-E311</f>
        <v/>
      </c>
      <c r="R311" s="97">
        <f>IF(OR(J311="",Q311=""),"",J311-Q311)</f>
        <v/>
      </c>
      <c r="S311" s="69">
        <f>IF(D311="",S310,S310+D311)</f>
        <v/>
      </c>
      <c r="T311" s="97">
        <f>IF(OR(L311="",S311=""),"",L311-S311)</f>
        <v/>
      </c>
      <c r="U311" s="69">
        <f>IF(F311="",U310,U310+F311)</f>
        <v/>
      </c>
      <c r="V311" s="97">
        <f>IF(OR(N311="",U311=""),"",N311-U311)</f>
        <v/>
      </c>
      <c r="W311" s="71">
        <f>IF(OR(C311="",C311=0,'Daily Data'!J311=""),"",'Daily Data'!J311/C311)</f>
        <v/>
      </c>
      <c r="X311" s="71">
        <f>IF(OR(C311="",C311=0,'Daily Data'!K311=""),"",'Daily Data'!K311/C311)</f>
        <v/>
      </c>
      <c r="Y311" s="71">
        <f>IF(OR(F311="",W311="",X311=""),"",F311-W311-X311)</f>
        <v/>
      </c>
      <c r="Z311" s="72" t="n">
        <v>354.93</v>
      </c>
      <c r="AA311" s="72" t="n">
        <v>62.63</v>
      </c>
      <c r="AB311" s="73">
        <f>Z311+AA311</f>
        <v/>
      </c>
      <c r="AC311" s="74">
        <f>IF(OR(E311="",E311=0,AB311=""),"",E311*365/(AB311*1000000))</f>
        <v/>
      </c>
      <c r="AD311" s="98">
        <f>IF(OR(O311="",O311=0,AB311=""),"",(AB311*1000000)/O311)</f>
        <v/>
      </c>
      <c r="AE311" s="99">
        <f>IF(H311="","",(Team_Genesis-H311)/1000000)</f>
        <v/>
      </c>
      <c r="AF311" s="99">
        <f>IF(OR(O311="",AE311=""),"",(O311-AE311*1000000)/1000000)</f>
        <v/>
      </c>
    </row>
    <row r="312">
      <c r="A312" s="35" t="n">
        <v>45966</v>
      </c>
      <c r="B312" s="90">
        <f>IF('Daily Data'!E312="","",'Daily Data'!E312)</f>
        <v/>
      </c>
      <c r="C312" s="65" t="n">
        <v>39.09</v>
      </c>
      <c r="D312" s="94" t="n">
        <v>76813.03</v>
      </c>
      <c r="E312" s="94" t="n">
        <v>25985.3347</v>
      </c>
      <c r="F312" s="94" t="n">
        <v>2903.9061</v>
      </c>
      <c r="G312" s="94" t="n"/>
      <c r="H312" s="95">
        <f>SUM($G$4:G312)</f>
        <v/>
      </c>
      <c r="I312" s="94" t="n">
        <v>1000000000</v>
      </c>
      <c r="J312" s="95">
        <f>J311-E312</f>
        <v/>
      </c>
      <c r="K312" s="94" t="n">
        <v>60000000</v>
      </c>
      <c r="L312" s="94" t="n">
        <v>34598550</v>
      </c>
      <c r="M312" s="94" t="n">
        <v>3000000</v>
      </c>
      <c r="N312" s="94" t="n">
        <v>477509.0458999872</v>
      </c>
      <c r="O312" s="96">
        <f>IF(OR(I312="",J312="",L312="",N312=""),"",I312-J312-K312-L312-M312-N312)</f>
        <v/>
      </c>
      <c r="P312" s="91">
        <f>IF(OR(O312="",C312=""),"",O312*C312)</f>
        <v/>
      </c>
      <c r="Q312" s="69">
        <f>Q311-E312</f>
        <v/>
      </c>
      <c r="R312" s="97">
        <f>IF(OR(J312="",Q312=""),"",J312-Q312)</f>
        <v/>
      </c>
      <c r="S312" s="69">
        <f>IF(D312="",S311,S311+D312)</f>
        <v/>
      </c>
      <c r="T312" s="97">
        <f>IF(OR(L312="",S312=""),"",L312-S312)</f>
        <v/>
      </c>
      <c r="U312" s="69">
        <f>IF(F312="",U311,U311+F312)</f>
        <v/>
      </c>
      <c r="V312" s="97">
        <f>IF(OR(N312="",U312=""),"",N312-U312)</f>
        <v/>
      </c>
      <c r="W312" s="71">
        <f>IF(OR(C312="",C312=0,'Daily Data'!J312=""),"",'Daily Data'!J312/C312)</f>
        <v/>
      </c>
      <c r="X312" s="71">
        <f>IF(OR(C312="",C312=0,'Daily Data'!K312=""),"",'Daily Data'!K312/C312)</f>
        <v/>
      </c>
      <c r="Y312" s="71">
        <f>IF(OR(F312="",W312="",X312=""),"",F312-W312-X312)</f>
        <v/>
      </c>
      <c r="Z312" s="72" t="n">
        <v>354.93</v>
      </c>
      <c r="AA312" s="72" t="n">
        <v>62.63</v>
      </c>
      <c r="AB312" s="73">
        <f>Z312+AA312</f>
        <v/>
      </c>
      <c r="AC312" s="74">
        <f>IF(OR(E312="",E312=0,AB312=""),"",E312*365/(AB312*1000000))</f>
        <v/>
      </c>
      <c r="AD312" s="98">
        <f>IF(OR(O312="",O312=0,AB312=""),"",(AB312*1000000)/O312)</f>
        <v/>
      </c>
      <c r="AE312" s="99">
        <f>IF(H312="","",(Team_Genesis-H312)/1000000)</f>
        <v/>
      </c>
      <c r="AF312" s="99">
        <f>IF(OR(O312="",AE312=""),"",(O312-AE312*1000000)/1000000)</f>
        <v/>
      </c>
    </row>
    <row r="313">
      <c r="A313" s="35" t="n">
        <v>45967</v>
      </c>
      <c r="B313" s="90">
        <f>IF('Daily Data'!E313="","",'Daily Data'!E313)</f>
        <v/>
      </c>
      <c r="C313" s="65" t="n">
        <v>41.04</v>
      </c>
      <c r="D313" s="94" t="n">
        <v>71839.50999999999</v>
      </c>
      <c r="E313" s="94" t="n">
        <v>25961.9492</v>
      </c>
      <c r="F313" s="94" t="n">
        <v>1791.5839</v>
      </c>
      <c r="G313" s="94" t="n">
        <v>1745746</v>
      </c>
      <c r="H313" s="95">
        <f>SUM($G$4:G313)</f>
        <v/>
      </c>
      <c r="I313" s="94" t="n">
        <v>1000000000</v>
      </c>
      <c r="J313" s="95">
        <f>J312-E313</f>
        <v/>
      </c>
      <c r="K313" s="94" t="n">
        <v>60000000</v>
      </c>
      <c r="L313" s="94" t="n">
        <v>34669690.21</v>
      </c>
      <c r="M313" s="94" t="n">
        <v>3000000</v>
      </c>
      <c r="N313" s="94" t="n">
        <v>479300.629799962</v>
      </c>
      <c r="O313" s="96">
        <f>IF(OR(I313="",J313="",L313="",N313=""),"",I313-J313-K313-L313-M313-N313)</f>
        <v/>
      </c>
      <c r="P313" s="91">
        <f>IF(OR(O313="",C313=""),"",O313*C313)</f>
        <v/>
      </c>
      <c r="Q313" s="69">
        <f>Q312-E313</f>
        <v/>
      </c>
      <c r="R313" s="97">
        <f>IF(OR(J313="",Q313=""),"",J313-Q313)</f>
        <v/>
      </c>
      <c r="S313" s="69">
        <f>IF(D313="",S312,S312+D313)</f>
        <v/>
      </c>
      <c r="T313" s="97">
        <f>IF(OR(L313="",S313=""),"",L313-S313)</f>
        <v/>
      </c>
      <c r="U313" s="69">
        <f>IF(F313="",U312,U312+F313)</f>
        <v/>
      </c>
      <c r="V313" s="97">
        <f>IF(OR(N313="",U313=""),"",N313-U313)</f>
        <v/>
      </c>
      <c r="W313" s="71">
        <f>IF(OR(C313="",C313=0,'Daily Data'!J313=""),"",'Daily Data'!J313/C313)</f>
        <v/>
      </c>
      <c r="X313" s="71">
        <f>IF(OR(C313="",C313=0,'Daily Data'!K313=""),"",'Daily Data'!K313/C313)</f>
        <v/>
      </c>
      <c r="Y313" s="71">
        <f>IF(OR(F313="",W313="",X313=""),"",F313-W313-X313)</f>
        <v/>
      </c>
      <c r="Z313" s="72" t="n">
        <v>354.93</v>
      </c>
      <c r="AA313" s="72" t="n">
        <v>62.63</v>
      </c>
      <c r="AB313" s="73">
        <f>Z313+AA313</f>
        <v/>
      </c>
      <c r="AC313" s="74">
        <f>IF(OR(E313="",E313=0,AB313=""),"",E313*365/(AB313*1000000))</f>
        <v/>
      </c>
      <c r="AD313" s="98">
        <f>IF(OR(O313="",O313=0,AB313=""),"",(AB313*1000000)/O313)</f>
        <v/>
      </c>
      <c r="AE313" s="99">
        <f>IF(H313="","",(Team_Genesis-H313)/1000000)</f>
        <v/>
      </c>
      <c r="AF313" s="99">
        <f>IF(OR(O313="",AE313=""),"",(O313-AE313*1000000)/1000000)</f>
        <v/>
      </c>
    </row>
    <row r="314">
      <c r="A314" s="35" t="n">
        <v>45968</v>
      </c>
      <c r="B314" s="90">
        <f>IF('Daily Data'!E314="","",'Daily Data'!E314)</f>
        <v/>
      </c>
      <c r="C314" s="65" t="n">
        <v>38.44</v>
      </c>
      <c r="D314" s="94" t="n">
        <v>79550.84</v>
      </c>
      <c r="E314" s="94" t="n">
        <v>25933.0357</v>
      </c>
      <c r="F314" s="94" t="n">
        <v>769.2206</v>
      </c>
      <c r="G314" s="94" t="n"/>
      <c r="H314" s="95">
        <f>SUM($G$4:G314)</f>
        <v/>
      </c>
      <c r="I314" s="94" t="n">
        <v>1000000000</v>
      </c>
      <c r="J314" s="95">
        <f>J313-E314</f>
        <v/>
      </c>
      <c r="K314" s="94" t="n">
        <v>60000000</v>
      </c>
      <c r="L314" s="94" t="n">
        <v>34749096.65</v>
      </c>
      <c r="M314" s="94" t="n">
        <v>3000000</v>
      </c>
      <c r="N314" s="94" t="n">
        <v>480069.850399971</v>
      </c>
      <c r="O314" s="96">
        <f>IF(OR(I314="",J314="",L314="",N314=""),"",I314-J314-K314-L314-M314-N314)</f>
        <v/>
      </c>
      <c r="P314" s="91">
        <f>IF(OR(O314="",C314=""),"",O314*C314)</f>
        <v/>
      </c>
      <c r="Q314" s="69">
        <f>Q313-E314</f>
        <v/>
      </c>
      <c r="R314" s="97">
        <f>IF(OR(J314="",Q314=""),"",J314-Q314)</f>
        <v/>
      </c>
      <c r="S314" s="69">
        <f>IF(D314="",S313,S313+D314)</f>
        <v/>
      </c>
      <c r="T314" s="97">
        <f>IF(OR(L314="",S314=""),"",L314-S314)</f>
        <v/>
      </c>
      <c r="U314" s="69">
        <f>IF(F314="",U313,U313+F314)</f>
        <v/>
      </c>
      <c r="V314" s="97">
        <f>IF(OR(N314="",U314=""),"",N314-U314)</f>
        <v/>
      </c>
      <c r="W314" s="71">
        <f>IF(OR(C314="",C314=0,'Daily Data'!J314=""),"",'Daily Data'!J314/C314)</f>
        <v/>
      </c>
      <c r="X314" s="71">
        <f>IF(OR(C314="",C314=0,'Daily Data'!K314=""),"",'Daily Data'!K314/C314)</f>
        <v/>
      </c>
      <c r="Y314" s="71">
        <f>IF(OR(F314="",W314="",X314=""),"",F314-W314-X314)</f>
        <v/>
      </c>
      <c r="Z314" s="72" t="n">
        <v>354.93</v>
      </c>
      <c r="AA314" s="72" t="n">
        <v>62.63</v>
      </c>
      <c r="AB314" s="73">
        <f>Z314+AA314</f>
        <v/>
      </c>
      <c r="AC314" s="74">
        <f>IF(OR(E314="",E314=0,AB314=""),"",E314*365/(AB314*1000000))</f>
        <v/>
      </c>
      <c r="AD314" s="98">
        <f>IF(OR(O314="",O314=0,AB314=""),"",(AB314*1000000)/O314)</f>
        <v/>
      </c>
      <c r="AE314" s="99">
        <f>IF(H314="","",(Team_Genesis-H314)/1000000)</f>
        <v/>
      </c>
      <c r="AF314" s="99">
        <f>IF(OR(O314="",AE314=""),"",(O314-AE314*1000000)/1000000)</f>
        <v/>
      </c>
    </row>
    <row r="315">
      <c r="A315" s="35" t="n">
        <v>45969</v>
      </c>
      <c r="B315" s="90">
        <f>IF('Daily Data'!E315="","",'Daily Data'!E315)</f>
        <v/>
      </c>
      <c r="C315" s="65" t="n">
        <v>42.09</v>
      </c>
      <c r="D315" s="94" t="n">
        <v>39496.34</v>
      </c>
      <c r="E315" s="94" t="n">
        <v>25923.3665</v>
      </c>
      <c r="F315" s="94" t="n">
        <v>2190.7271</v>
      </c>
      <c r="G315" s="94" t="n"/>
      <c r="H315" s="95">
        <f>SUM($G$4:G315)</f>
        <v/>
      </c>
      <c r="I315" s="94" t="n">
        <v>1000000000</v>
      </c>
      <c r="J315" s="95">
        <f>J314-E315</f>
        <v/>
      </c>
      <c r="K315" s="94" t="n">
        <v>60000000</v>
      </c>
      <c r="L315" s="94" t="n">
        <v>34788699.69</v>
      </c>
      <c r="M315" s="94" t="n">
        <v>3000000</v>
      </c>
      <c r="N315" s="94" t="n">
        <v>482260.5774999857</v>
      </c>
      <c r="O315" s="96">
        <f>IF(OR(I315="",J315="",L315="",N315=""),"",I315-J315-K315-L315-M315-N315)</f>
        <v/>
      </c>
      <c r="P315" s="91">
        <f>IF(OR(O315="",C315=""),"",O315*C315)</f>
        <v/>
      </c>
      <c r="Q315" s="69">
        <f>Q314-E315</f>
        <v/>
      </c>
      <c r="R315" s="97">
        <f>IF(OR(J315="",Q315=""),"",J315-Q315)</f>
        <v/>
      </c>
      <c r="S315" s="69">
        <f>IF(D315="",S314,S314+D315)</f>
        <v/>
      </c>
      <c r="T315" s="97">
        <f>IF(OR(L315="",S315=""),"",L315-S315)</f>
        <v/>
      </c>
      <c r="U315" s="69">
        <f>IF(F315="",U314,U314+F315)</f>
        <v/>
      </c>
      <c r="V315" s="97">
        <f>IF(OR(N315="",U315=""),"",N315-U315)</f>
        <v/>
      </c>
      <c r="W315" s="71">
        <f>IF(OR(C315="",C315=0,'Daily Data'!J315=""),"",'Daily Data'!J315/C315)</f>
        <v/>
      </c>
      <c r="X315" s="71">
        <f>IF(OR(C315="",C315=0,'Daily Data'!K315=""),"",'Daily Data'!K315/C315)</f>
        <v/>
      </c>
      <c r="Y315" s="71">
        <f>IF(OR(F315="",W315="",X315=""),"",F315-W315-X315)</f>
        <v/>
      </c>
      <c r="Z315" s="72" t="n">
        <v>354.93</v>
      </c>
      <c r="AA315" s="72" t="n">
        <v>62.63</v>
      </c>
      <c r="AB315" s="73">
        <f>Z315+AA315</f>
        <v/>
      </c>
      <c r="AC315" s="74">
        <f>IF(OR(E315="",E315=0,AB315=""),"",E315*365/(AB315*1000000))</f>
        <v/>
      </c>
      <c r="AD315" s="98">
        <f>IF(OR(O315="",O315=0,AB315=""),"",(AB315*1000000)/O315)</f>
        <v/>
      </c>
      <c r="AE315" s="99">
        <f>IF(H315="","",(Team_Genesis-H315)/1000000)</f>
        <v/>
      </c>
      <c r="AF315" s="99">
        <f>IF(OR(O315="",AE315=""),"",(O315-AE315*1000000)/1000000)</f>
        <v/>
      </c>
    </row>
    <row r="316">
      <c r="A316" s="35" t="n">
        <v>45970</v>
      </c>
      <c r="B316" s="90">
        <f>IF('Daily Data'!E316="","",'Daily Data'!E316)</f>
        <v/>
      </c>
      <c r="C316" s="65" t="n">
        <v>40.06</v>
      </c>
      <c r="D316" s="94" t="n">
        <v>42278.57</v>
      </c>
      <c r="E316" s="94" t="n">
        <v>25894.7721</v>
      </c>
      <c r="F316" s="94" t="n">
        <v>972.6213</v>
      </c>
      <c r="G316" s="94" t="n"/>
      <c r="H316" s="95">
        <f>SUM($G$4:G316)</f>
        <v/>
      </c>
      <c r="I316" s="94" t="n">
        <v>1000000000</v>
      </c>
      <c r="J316" s="95">
        <f>J315-E316</f>
        <v/>
      </c>
      <c r="K316" s="94" t="n">
        <v>60000000</v>
      </c>
      <c r="L316" s="94" t="n">
        <v>34831432.51</v>
      </c>
      <c r="M316" s="94" t="n">
        <v>3000000</v>
      </c>
      <c r="N316" s="94" t="n">
        <v>483233.1987999678</v>
      </c>
      <c r="O316" s="96">
        <f>IF(OR(I316="",J316="",L316="",N316=""),"",I316-J316-K316-L316-M316-N316)</f>
        <v/>
      </c>
      <c r="P316" s="91">
        <f>IF(OR(O316="",C316=""),"",O316*C316)</f>
        <v/>
      </c>
      <c r="Q316" s="69">
        <f>Q315-E316</f>
        <v/>
      </c>
      <c r="R316" s="97">
        <f>IF(OR(J316="",Q316=""),"",J316-Q316)</f>
        <v/>
      </c>
      <c r="S316" s="69">
        <f>IF(D316="",S315,S315+D316)</f>
        <v/>
      </c>
      <c r="T316" s="97">
        <f>IF(OR(L316="",S316=""),"",L316-S316)</f>
        <v/>
      </c>
      <c r="U316" s="69">
        <f>IF(F316="",U315,U315+F316)</f>
        <v/>
      </c>
      <c r="V316" s="97">
        <f>IF(OR(N316="",U316=""),"",N316-U316)</f>
        <v/>
      </c>
      <c r="W316" s="71">
        <f>IF(OR(C316="",C316=0,'Daily Data'!J316=""),"",'Daily Data'!J316/C316)</f>
        <v/>
      </c>
      <c r="X316" s="71">
        <f>IF(OR(C316="",C316=0,'Daily Data'!K316=""),"",'Daily Data'!K316/C316)</f>
        <v/>
      </c>
      <c r="Y316" s="71">
        <f>IF(OR(F316="",W316="",X316=""),"",F316-W316-X316)</f>
        <v/>
      </c>
      <c r="Z316" s="72" t="n">
        <v>354.93</v>
      </c>
      <c r="AA316" s="72" t="n">
        <v>62.63</v>
      </c>
      <c r="AB316" s="73">
        <f>Z316+AA316</f>
        <v/>
      </c>
      <c r="AC316" s="74">
        <f>IF(OR(E316="",E316=0,AB316=""),"",E316*365/(AB316*1000000))</f>
        <v/>
      </c>
      <c r="AD316" s="98">
        <f>IF(OR(O316="",O316=0,AB316=""),"",(AB316*1000000)/O316)</f>
        <v/>
      </c>
      <c r="AE316" s="99">
        <f>IF(H316="","",(Team_Genesis-H316)/1000000)</f>
        <v/>
      </c>
      <c r="AF316" s="99">
        <f>IF(OR(O316="",AE316=""),"",(O316-AE316*1000000)/1000000)</f>
        <v/>
      </c>
    </row>
    <row r="317">
      <c r="A317" s="35" t="n">
        <v>45971</v>
      </c>
      <c r="B317" s="90">
        <f>IF('Daily Data'!E317="","",'Daily Data'!E317)</f>
        <v/>
      </c>
      <c r="C317" s="65" t="n">
        <v>41.98</v>
      </c>
      <c r="D317" s="94" t="n">
        <v>58760.44</v>
      </c>
      <c r="E317" s="94" t="n">
        <v>25893.8588</v>
      </c>
      <c r="F317" s="94" t="n">
        <v>1115.504</v>
      </c>
      <c r="G317" s="94" t="n"/>
      <c r="H317" s="95">
        <f>SUM($G$4:G317)</f>
        <v/>
      </c>
      <c r="I317" s="94" t="n">
        <v>1000000000</v>
      </c>
      <c r="J317" s="95">
        <f>J316-E317</f>
        <v/>
      </c>
      <c r="K317" s="94" t="n">
        <v>60000000</v>
      </c>
      <c r="L317" s="94" t="n">
        <v>34889688.91</v>
      </c>
      <c r="M317" s="94" t="n">
        <v>3000000</v>
      </c>
      <c r="N317" s="94" t="n">
        <v>484348.7028000355</v>
      </c>
      <c r="O317" s="96">
        <f>IF(OR(I317="",J317="",L317="",N317=""),"",I317-J317-K317-L317-M317-N317)</f>
        <v/>
      </c>
      <c r="P317" s="91">
        <f>IF(OR(O317="",C317=""),"",O317*C317)</f>
        <v/>
      </c>
      <c r="Q317" s="69">
        <f>Q316-E317</f>
        <v/>
      </c>
      <c r="R317" s="97">
        <f>IF(OR(J317="",Q317=""),"",J317-Q317)</f>
        <v/>
      </c>
      <c r="S317" s="69">
        <f>IF(D317="",S316,S316+D317)</f>
        <v/>
      </c>
      <c r="T317" s="97">
        <f>IF(OR(L317="",S317=""),"",L317-S317)</f>
        <v/>
      </c>
      <c r="U317" s="69">
        <f>IF(F317="",U316,U316+F317)</f>
        <v/>
      </c>
      <c r="V317" s="97">
        <f>IF(OR(N317="",U317=""),"",N317-U317)</f>
        <v/>
      </c>
      <c r="W317" s="71">
        <f>IF(OR(C317="",C317=0,'Daily Data'!J317=""),"",'Daily Data'!J317/C317)</f>
        <v/>
      </c>
      <c r="X317" s="71">
        <f>IF(OR(C317="",C317=0,'Daily Data'!K317=""),"",'Daily Data'!K317/C317)</f>
        <v/>
      </c>
      <c r="Y317" s="71">
        <f>IF(OR(F317="",W317="",X317=""),"",F317-W317-X317)</f>
        <v/>
      </c>
      <c r="Z317" s="72" t="n">
        <v>354.93</v>
      </c>
      <c r="AA317" s="72" t="n">
        <v>62.63</v>
      </c>
      <c r="AB317" s="73">
        <f>Z317+AA317</f>
        <v/>
      </c>
      <c r="AC317" s="74">
        <f>IF(OR(E317="",E317=0,AB317=""),"",E317*365/(AB317*1000000))</f>
        <v/>
      </c>
      <c r="AD317" s="98">
        <f>IF(OR(O317="",O317=0,AB317=""),"",(AB317*1000000)/O317)</f>
        <v/>
      </c>
      <c r="AE317" s="99">
        <f>IF(H317="","",(Team_Genesis-H317)/1000000)</f>
        <v/>
      </c>
      <c r="AF317" s="99">
        <f>IF(OR(O317="",AE317=""),"",(O317-AE317*1000000)/1000000)</f>
        <v/>
      </c>
    </row>
    <row r="318">
      <c r="A318" s="35" t="n">
        <v>45972</v>
      </c>
      <c r="B318" s="90">
        <f>IF('Daily Data'!E318="","",'Daily Data'!E318)</f>
        <v/>
      </c>
      <c r="C318" s="65" t="n">
        <v>40.99</v>
      </c>
      <c r="D318" s="94" t="n">
        <v>65665.92999999999</v>
      </c>
      <c r="E318" s="94" t="n">
        <v>25897.845</v>
      </c>
      <c r="F318" s="94" t="n">
        <v>1227.8531</v>
      </c>
      <c r="G318" s="94" t="n"/>
      <c r="H318" s="95">
        <f>SUM($G$4:G318)</f>
        <v/>
      </c>
      <c r="I318" s="94" t="n">
        <v>1000000000</v>
      </c>
      <c r="J318" s="95">
        <f>J317-E318</f>
        <v/>
      </c>
      <c r="K318" s="94" t="n">
        <v>60000000</v>
      </c>
      <c r="L318" s="94" t="n">
        <v>34955480.73</v>
      </c>
      <c r="M318" s="94" t="n">
        <v>3000000</v>
      </c>
      <c r="N318" s="94" t="n">
        <v>485576.5558999777</v>
      </c>
      <c r="O318" s="96">
        <f>IF(OR(I318="",J318="",L318="",N318=""),"",I318-J318-K318-L318-M318-N318)</f>
        <v/>
      </c>
      <c r="P318" s="91">
        <f>IF(OR(O318="",C318=""),"",O318*C318)</f>
        <v/>
      </c>
      <c r="Q318" s="69">
        <f>Q317-E318</f>
        <v/>
      </c>
      <c r="R318" s="97">
        <f>IF(OR(J318="",Q318=""),"",J318-Q318)</f>
        <v/>
      </c>
      <c r="S318" s="69">
        <f>IF(D318="",S317,S317+D318)</f>
        <v/>
      </c>
      <c r="T318" s="97">
        <f>IF(OR(L318="",S318=""),"",L318-S318)</f>
        <v/>
      </c>
      <c r="U318" s="69">
        <f>IF(F318="",U317,U317+F318)</f>
        <v/>
      </c>
      <c r="V318" s="97">
        <f>IF(OR(N318="",U318=""),"",N318-U318)</f>
        <v/>
      </c>
      <c r="W318" s="71">
        <f>IF(OR(C318="",C318=0,'Daily Data'!J318=""),"",'Daily Data'!J318/C318)</f>
        <v/>
      </c>
      <c r="X318" s="71">
        <f>IF(OR(C318="",C318=0,'Daily Data'!K318=""),"",'Daily Data'!K318/C318)</f>
        <v/>
      </c>
      <c r="Y318" s="71">
        <f>IF(OR(F318="",W318="",X318=""),"",F318-W318-X318)</f>
        <v/>
      </c>
      <c r="Z318" s="72" t="n">
        <v>354.93</v>
      </c>
      <c r="AA318" s="72" t="n">
        <v>62.63</v>
      </c>
      <c r="AB318" s="73">
        <f>Z318+AA318</f>
        <v/>
      </c>
      <c r="AC318" s="74">
        <f>IF(OR(E318="",E318=0,AB318=""),"",E318*365/(AB318*1000000))</f>
        <v/>
      </c>
      <c r="AD318" s="98">
        <f>IF(OR(O318="",O318=0,AB318=""),"",(AB318*1000000)/O318)</f>
        <v/>
      </c>
      <c r="AE318" s="99">
        <f>IF(H318="","",(Team_Genesis-H318)/1000000)</f>
        <v/>
      </c>
      <c r="AF318" s="99">
        <f>IF(OR(O318="",AE318=""),"",(O318-AE318*1000000)/1000000)</f>
        <v/>
      </c>
    </row>
    <row r="319">
      <c r="A319" s="35" t="n">
        <v>45973</v>
      </c>
      <c r="B319" s="90">
        <f>IF('Daily Data'!E319="","",'Daily Data'!E319)</f>
        <v/>
      </c>
      <c r="C319" s="65" t="n">
        <v>38.76</v>
      </c>
      <c r="D319" s="94" t="n">
        <v>57050.12</v>
      </c>
      <c r="E319" s="94" t="n">
        <v>25950.145</v>
      </c>
      <c r="F319" s="94" t="n">
        <v>1130.4074</v>
      </c>
      <c r="G319" s="94" t="n"/>
      <c r="H319" s="95">
        <f>SUM($G$4:G319)</f>
        <v/>
      </c>
      <c r="I319" s="94" t="n">
        <v>1000000000</v>
      </c>
      <c r="J319" s="95">
        <f>J318-E319</f>
        <v/>
      </c>
      <c r="K319" s="94" t="n">
        <v>60000000</v>
      </c>
      <c r="L319" s="94" t="n">
        <v>35011836.54</v>
      </c>
      <c r="M319" s="94" t="n">
        <v>3000000</v>
      </c>
      <c r="N319" s="94" t="n">
        <v>486706.9634000063</v>
      </c>
      <c r="O319" s="96">
        <f>IF(OR(I319="",J319="",L319="",N319=""),"",I319-J319-K319-L319-M319-N319)</f>
        <v/>
      </c>
      <c r="P319" s="91">
        <f>IF(OR(O319="",C319=""),"",O319*C319)</f>
        <v/>
      </c>
      <c r="Q319" s="69">
        <f>Q318-E319</f>
        <v/>
      </c>
      <c r="R319" s="97">
        <f>IF(OR(J319="",Q319=""),"",J319-Q319)</f>
        <v/>
      </c>
      <c r="S319" s="69">
        <f>IF(D319="",S318,S318+D319)</f>
        <v/>
      </c>
      <c r="T319" s="97">
        <f>IF(OR(L319="",S319=""),"",L319-S319)</f>
        <v/>
      </c>
      <c r="U319" s="69">
        <f>IF(F319="",U318,U318+F319)</f>
        <v/>
      </c>
      <c r="V319" s="97">
        <f>IF(OR(N319="",U319=""),"",N319-U319)</f>
        <v/>
      </c>
      <c r="W319" s="71">
        <f>IF(OR(C319="",C319=0,'Daily Data'!J319=""),"",'Daily Data'!J319/C319)</f>
        <v/>
      </c>
      <c r="X319" s="71">
        <f>IF(OR(C319="",C319=0,'Daily Data'!K319=""),"",'Daily Data'!K319/C319)</f>
        <v/>
      </c>
      <c r="Y319" s="71">
        <f>IF(OR(F319="",W319="",X319=""),"",F319-W319-X319)</f>
        <v/>
      </c>
      <c r="Z319" s="72" t="n">
        <v>354.93</v>
      </c>
      <c r="AA319" s="72" t="n">
        <v>62.63</v>
      </c>
      <c r="AB319" s="73">
        <f>Z319+AA319</f>
        <v/>
      </c>
      <c r="AC319" s="74">
        <f>IF(OR(E319="",E319=0,AB319=""),"",E319*365/(AB319*1000000))</f>
        <v/>
      </c>
      <c r="AD319" s="98">
        <f>IF(OR(O319="",O319=0,AB319=""),"",(AB319*1000000)/O319)</f>
        <v/>
      </c>
      <c r="AE319" s="99">
        <f>IF(H319="","",(Team_Genesis-H319)/1000000)</f>
        <v/>
      </c>
      <c r="AF319" s="99">
        <f>IF(OR(O319="",AE319=""),"",(O319-AE319*1000000)/1000000)</f>
        <v/>
      </c>
    </row>
    <row r="320">
      <c r="A320" s="35" t="n">
        <v>45974</v>
      </c>
      <c r="B320" s="90">
        <f>IF('Daily Data'!E320="","",'Daily Data'!E320)</f>
        <v/>
      </c>
      <c r="C320" s="65" t="n">
        <v>38.17</v>
      </c>
      <c r="D320" s="94" t="n">
        <v>95270.13</v>
      </c>
      <c r="E320" s="94" t="n">
        <v>25638.1525</v>
      </c>
      <c r="F320" s="94" t="n">
        <v>1508.7648</v>
      </c>
      <c r="G320" s="94" t="n"/>
      <c r="H320" s="95">
        <f>SUM($G$4:G320)</f>
        <v/>
      </c>
      <c r="I320" s="94" t="n">
        <v>1000000000</v>
      </c>
      <c r="J320" s="95">
        <f>J319-E320</f>
        <v/>
      </c>
      <c r="K320" s="94" t="n">
        <v>60000000</v>
      </c>
      <c r="L320" s="94" t="n">
        <v>35109691.56</v>
      </c>
      <c r="M320" s="94" t="n">
        <v>3000000</v>
      </c>
      <c r="N320" s="94" t="n">
        <v>488215.7280999422</v>
      </c>
      <c r="O320" s="96">
        <f>IF(OR(I320="",J320="",L320="",N320=""),"",I320-J320-K320-L320-M320-N320)</f>
        <v/>
      </c>
      <c r="P320" s="91">
        <f>IF(OR(O320="",C320=""),"",O320*C320)</f>
        <v/>
      </c>
      <c r="Q320" s="69">
        <f>Q319-E320</f>
        <v/>
      </c>
      <c r="R320" s="97">
        <f>IF(OR(J320="",Q320=""),"",J320-Q320)</f>
        <v/>
      </c>
      <c r="S320" s="69">
        <f>IF(D320="",S319,S319+D320)</f>
        <v/>
      </c>
      <c r="T320" s="97">
        <f>IF(OR(L320="",S320=""),"",L320-S320)</f>
        <v/>
      </c>
      <c r="U320" s="69">
        <f>IF(F320="",U319,U319+F320)</f>
        <v/>
      </c>
      <c r="V320" s="97">
        <f>IF(OR(N320="",U320=""),"",N320-U320)</f>
        <v/>
      </c>
      <c r="W320" s="71">
        <f>IF(OR(C320="",C320=0,'Daily Data'!J320=""),"",'Daily Data'!J320/C320)</f>
        <v/>
      </c>
      <c r="X320" s="71">
        <f>IF(OR(C320="",C320=0,'Daily Data'!K320=""),"",'Daily Data'!K320/C320)</f>
        <v/>
      </c>
      <c r="Y320" s="71">
        <f>IF(OR(F320="",W320="",X320=""),"",F320-W320-X320)</f>
        <v/>
      </c>
      <c r="Z320" s="72" t="n">
        <v>354.93</v>
      </c>
      <c r="AA320" s="72" t="n">
        <v>62.63</v>
      </c>
      <c r="AB320" s="73">
        <f>Z320+AA320</f>
        <v/>
      </c>
      <c r="AC320" s="74">
        <f>IF(OR(E320="",E320=0,AB320=""),"",E320*365/(AB320*1000000))</f>
        <v/>
      </c>
      <c r="AD320" s="98">
        <f>IF(OR(O320="",O320=0,AB320=""),"",(AB320*1000000)/O320)</f>
        <v/>
      </c>
      <c r="AE320" s="99">
        <f>IF(H320="","",(Team_Genesis-H320)/1000000)</f>
        <v/>
      </c>
      <c r="AF320" s="99">
        <f>IF(OR(O320="",AE320=""),"",(O320-AE320*1000000)/1000000)</f>
        <v/>
      </c>
    </row>
    <row r="321">
      <c r="A321" s="35" t="n">
        <v>45975</v>
      </c>
      <c r="B321" s="90">
        <f>IF('Daily Data'!E321="","",'Daily Data'!E321)</f>
        <v/>
      </c>
      <c r="C321" s="65" t="n">
        <v>38.24</v>
      </c>
      <c r="D321" s="94" t="n">
        <v>101425.41</v>
      </c>
      <c r="E321" s="94" t="n">
        <v>25446.1864</v>
      </c>
      <c r="F321" s="94" t="n">
        <v>705.1372</v>
      </c>
      <c r="G321" s="94" t="n"/>
      <c r="H321" s="95">
        <f>SUM($G$4:G321)</f>
        <v/>
      </c>
      <c r="I321" s="94" t="n">
        <v>1000000000</v>
      </c>
      <c r="J321" s="95">
        <f>J320-E321</f>
        <v/>
      </c>
      <c r="K321" s="94" t="n">
        <v>60000000</v>
      </c>
      <c r="L321" s="94" t="n">
        <v>35207988.45</v>
      </c>
      <c r="M321" s="94" t="n">
        <v>3000000</v>
      </c>
      <c r="N321" s="94" t="n">
        <v>488920.8653999567</v>
      </c>
      <c r="O321" s="96">
        <f>IF(OR(I321="",J321="",L321="",N321=""),"",I321-J321-K321-L321-M321-N321)</f>
        <v/>
      </c>
      <c r="P321" s="91">
        <f>IF(OR(O321="",C321=""),"",O321*C321)</f>
        <v/>
      </c>
      <c r="Q321" s="69">
        <f>Q320-E321</f>
        <v/>
      </c>
      <c r="R321" s="97">
        <f>IF(OR(J321="",Q321=""),"",J321-Q321)</f>
        <v/>
      </c>
      <c r="S321" s="69">
        <f>IF(D321="",S320,S320+D321)</f>
        <v/>
      </c>
      <c r="T321" s="97">
        <f>IF(OR(L321="",S321=""),"",L321-S321)</f>
        <v/>
      </c>
      <c r="U321" s="69">
        <f>IF(F321="",U320,U320+F321)</f>
        <v/>
      </c>
      <c r="V321" s="97">
        <f>IF(OR(N321="",U321=""),"",N321-U321)</f>
        <v/>
      </c>
      <c r="W321" s="71">
        <f>IF(OR(C321="",C321=0,'Daily Data'!J321=""),"",'Daily Data'!J321/C321)</f>
        <v/>
      </c>
      <c r="X321" s="71">
        <f>IF(OR(C321="",C321=0,'Daily Data'!K321=""),"",'Daily Data'!K321/C321)</f>
        <v/>
      </c>
      <c r="Y321" s="71">
        <f>IF(OR(F321="",W321="",X321=""),"",F321-W321-X321)</f>
        <v/>
      </c>
      <c r="Z321" s="72" t="n">
        <v>354.93</v>
      </c>
      <c r="AA321" s="72" t="n">
        <v>62.63</v>
      </c>
      <c r="AB321" s="73">
        <f>Z321+AA321</f>
        <v/>
      </c>
      <c r="AC321" s="74">
        <f>IF(OR(E321="",E321=0,AB321=""),"",E321*365/(AB321*1000000))</f>
        <v/>
      </c>
      <c r="AD321" s="98">
        <f>IF(OR(O321="",O321=0,AB321=""),"",(AB321*1000000)/O321)</f>
        <v/>
      </c>
      <c r="AE321" s="99">
        <f>IF(H321="","",(Team_Genesis-H321)/1000000)</f>
        <v/>
      </c>
      <c r="AF321" s="99">
        <f>IF(OR(O321="",AE321=""),"",(O321-AE321*1000000)/1000000)</f>
        <v/>
      </c>
    </row>
    <row r="322">
      <c r="A322" s="35" t="n">
        <v>45976</v>
      </c>
      <c r="B322" s="90">
        <f>IF('Daily Data'!E322="","",'Daily Data'!E322)</f>
        <v/>
      </c>
      <c r="C322" s="65" t="n">
        <v>37.67</v>
      </c>
      <c r="D322" s="94" t="n">
        <v>34839.66</v>
      </c>
      <c r="E322" s="94" t="n">
        <v>25324.6023</v>
      </c>
      <c r="F322" s="94" t="n">
        <v>2028.2638</v>
      </c>
      <c r="G322" s="94" t="n"/>
      <c r="H322" s="95">
        <f>SUM($G$4:G322)</f>
        <v/>
      </c>
      <c r="I322" s="94" t="n">
        <v>1000000000</v>
      </c>
      <c r="J322" s="95">
        <f>J321-E322</f>
        <v/>
      </c>
      <c r="K322" s="94" t="n">
        <v>60000000</v>
      </c>
      <c r="L322" s="94" t="n">
        <v>35243905.51</v>
      </c>
      <c r="M322" s="94" t="n">
        <v>3000000</v>
      </c>
      <c r="N322" s="94" t="n">
        <v>490949.1291999817</v>
      </c>
      <c r="O322" s="96">
        <f>IF(OR(I322="",J322="",L322="",N322=""),"",I322-J322-K322-L322-M322-N322)</f>
        <v/>
      </c>
      <c r="P322" s="91">
        <f>IF(OR(O322="",C322=""),"",O322*C322)</f>
        <v/>
      </c>
      <c r="Q322" s="69">
        <f>Q321-E322</f>
        <v/>
      </c>
      <c r="R322" s="97">
        <f>IF(OR(J322="",Q322=""),"",J322-Q322)</f>
        <v/>
      </c>
      <c r="S322" s="69">
        <f>IF(D322="",S321,S321+D322)</f>
        <v/>
      </c>
      <c r="T322" s="97">
        <f>IF(OR(L322="",S322=""),"",L322-S322)</f>
        <v/>
      </c>
      <c r="U322" s="69">
        <f>IF(F322="",U321,U321+F322)</f>
        <v/>
      </c>
      <c r="V322" s="97">
        <f>IF(OR(N322="",U322=""),"",N322-U322)</f>
        <v/>
      </c>
      <c r="W322" s="71">
        <f>IF(OR(C322="",C322=0,'Daily Data'!J322=""),"",'Daily Data'!J322/C322)</f>
        <v/>
      </c>
      <c r="X322" s="71">
        <f>IF(OR(C322="",C322=0,'Daily Data'!K322=""),"",'Daily Data'!K322/C322)</f>
        <v/>
      </c>
      <c r="Y322" s="71">
        <f>IF(OR(F322="",W322="",X322=""),"",F322-W322-X322)</f>
        <v/>
      </c>
      <c r="Z322" s="72" t="n">
        <v>354.93</v>
      </c>
      <c r="AA322" s="72" t="n">
        <v>62.63</v>
      </c>
      <c r="AB322" s="73">
        <f>Z322+AA322</f>
        <v/>
      </c>
      <c r="AC322" s="74">
        <f>IF(OR(E322="",E322=0,AB322=""),"",E322*365/(AB322*1000000))</f>
        <v/>
      </c>
      <c r="AD322" s="98">
        <f>IF(OR(O322="",O322=0,AB322=""),"",(AB322*1000000)/O322)</f>
        <v/>
      </c>
      <c r="AE322" s="99">
        <f>IF(H322="","",(Team_Genesis-H322)/1000000)</f>
        <v/>
      </c>
      <c r="AF322" s="99">
        <f>IF(OR(O322="",AE322=""),"",(O322-AE322*1000000)/1000000)</f>
        <v/>
      </c>
    </row>
    <row r="323">
      <c r="A323" s="35" t="n">
        <v>45977</v>
      </c>
      <c r="B323" s="90">
        <f>IF('Daily Data'!E323="","",'Daily Data'!E323)</f>
        <v/>
      </c>
      <c r="C323" s="65" t="n">
        <v>38.39</v>
      </c>
      <c r="D323" s="94" t="n">
        <v>50364.81</v>
      </c>
      <c r="E323" s="94" t="n">
        <v>25348.0065</v>
      </c>
      <c r="F323" s="94" t="n">
        <v>368.3821</v>
      </c>
      <c r="G323" s="94" t="n"/>
      <c r="H323" s="95">
        <f>SUM($G$4:G323)</f>
        <v/>
      </c>
      <c r="I323" s="94" t="n">
        <v>1000000000</v>
      </c>
      <c r="J323" s="95">
        <f>J322-E323</f>
        <v/>
      </c>
      <c r="K323" s="94" t="n">
        <v>60000000</v>
      </c>
      <c r="L323" s="94" t="n">
        <v>35296567.11</v>
      </c>
      <c r="M323" s="94" t="n">
        <v>3000000</v>
      </c>
      <c r="N323" s="94" t="n">
        <v>491317.5112999678</v>
      </c>
      <c r="O323" s="96">
        <f>IF(OR(I323="",J323="",L323="",N323=""),"",I323-J323-K323-L323-M323-N323)</f>
        <v/>
      </c>
      <c r="P323" s="91">
        <f>IF(OR(O323="",C323=""),"",O323*C323)</f>
        <v/>
      </c>
      <c r="Q323" s="69">
        <f>Q322-E323</f>
        <v/>
      </c>
      <c r="R323" s="97">
        <f>IF(OR(J323="",Q323=""),"",J323-Q323)</f>
        <v/>
      </c>
      <c r="S323" s="69">
        <f>IF(D323="",S322,S322+D323)</f>
        <v/>
      </c>
      <c r="T323" s="97">
        <f>IF(OR(L323="",S323=""),"",L323-S323)</f>
        <v/>
      </c>
      <c r="U323" s="69">
        <f>IF(F323="",U322,U322+F323)</f>
        <v/>
      </c>
      <c r="V323" s="97">
        <f>IF(OR(N323="",U323=""),"",N323-U323)</f>
        <v/>
      </c>
      <c r="W323" s="71">
        <f>IF(OR(C323="",C323=0,'Daily Data'!J323=""),"",'Daily Data'!J323/C323)</f>
        <v/>
      </c>
      <c r="X323" s="71">
        <f>IF(OR(C323="",C323=0,'Daily Data'!K323=""),"",'Daily Data'!K323/C323)</f>
        <v/>
      </c>
      <c r="Y323" s="71">
        <f>IF(OR(F323="",W323="",X323=""),"",F323-W323-X323)</f>
        <v/>
      </c>
      <c r="Z323" s="72" t="n">
        <v>354.93</v>
      </c>
      <c r="AA323" s="72" t="n">
        <v>62.63</v>
      </c>
      <c r="AB323" s="73">
        <f>Z323+AA323</f>
        <v/>
      </c>
      <c r="AC323" s="74">
        <f>IF(OR(E323="",E323=0,AB323=""),"",E323*365/(AB323*1000000))</f>
        <v/>
      </c>
      <c r="AD323" s="98">
        <f>IF(OR(O323="",O323=0,AB323=""),"",(AB323*1000000)/O323)</f>
        <v/>
      </c>
      <c r="AE323" s="99">
        <f>IF(H323="","",(Team_Genesis-H323)/1000000)</f>
        <v/>
      </c>
      <c r="AF323" s="99">
        <f>IF(OR(O323="",AE323=""),"",(O323-AE323*1000000)/1000000)</f>
        <v/>
      </c>
    </row>
    <row r="324">
      <c r="A324" s="35" t="n">
        <v>45978</v>
      </c>
      <c r="B324" s="90">
        <f>IF('Daily Data'!E324="","",'Daily Data'!E324)</f>
        <v/>
      </c>
      <c r="C324" s="65" t="n">
        <v>38.69</v>
      </c>
      <c r="D324" s="94" t="n">
        <v>73999.24000000001</v>
      </c>
      <c r="E324" s="94" t="n">
        <v>25332.2468</v>
      </c>
      <c r="F324" s="94" t="n">
        <v>1015.1872</v>
      </c>
      <c r="G324" s="94" t="n"/>
      <c r="H324" s="95">
        <f>SUM($G$4:G324)</f>
        <v/>
      </c>
      <c r="I324" s="94" t="n">
        <v>1000000000</v>
      </c>
      <c r="J324" s="95">
        <f>J323-E324</f>
        <v/>
      </c>
      <c r="K324" s="94" t="n">
        <v>60000000</v>
      </c>
      <c r="L324" s="94" t="n">
        <v>35367094.07</v>
      </c>
      <c r="M324" s="94" t="n">
        <v>3000000</v>
      </c>
      <c r="N324" s="94" t="n">
        <v>492332.6985000372</v>
      </c>
      <c r="O324" s="96">
        <f>IF(OR(I324="",J324="",L324="",N324=""),"",I324-J324-K324-L324-M324-N324)</f>
        <v/>
      </c>
      <c r="P324" s="91">
        <f>IF(OR(O324="",C324=""),"",O324*C324)</f>
        <v/>
      </c>
      <c r="Q324" s="69">
        <f>Q323-E324</f>
        <v/>
      </c>
      <c r="R324" s="97">
        <f>IF(OR(J324="",Q324=""),"",J324-Q324)</f>
        <v/>
      </c>
      <c r="S324" s="69">
        <f>IF(D324="",S323,S323+D324)</f>
        <v/>
      </c>
      <c r="T324" s="97">
        <f>IF(OR(L324="",S324=""),"",L324-S324)</f>
        <v/>
      </c>
      <c r="U324" s="69">
        <f>IF(F324="",U323,U323+F324)</f>
        <v/>
      </c>
      <c r="V324" s="97">
        <f>IF(OR(N324="",U324=""),"",N324-U324)</f>
        <v/>
      </c>
      <c r="W324" s="71">
        <f>IF(OR(C324="",C324=0,'Daily Data'!J324=""),"",'Daily Data'!J324/C324)</f>
        <v/>
      </c>
      <c r="X324" s="71">
        <f>IF(OR(C324="",C324=0,'Daily Data'!K324=""),"",'Daily Data'!K324/C324)</f>
        <v/>
      </c>
      <c r="Y324" s="71">
        <f>IF(OR(F324="",W324="",X324=""),"",F324-W324-X324)</f>
        <v/>
      </c>
      <c r="Z324" s="72" t="n">
        <v>354.93</v>
      </c>
      <c r="AA324" s="72" t="n">
        <v>62.63</v>
      </c>
      <c r="AB324" s="73">
        <f>Z324+AA324</f>
        <v/>
      </c>
      <c r="AC324" s="74">
        <f>IF(OR(E324="",E324=0,AB324=""),"",E324*365/(AB324*1000000))</f>
        <v/>
      </c>
      <c r="AD324" s="98">
        <f>IF(OR(O324="",O324=0,AB324=""),"",(AB324*1000000)/O324)</f>
        <v/>
      </c>
      <c r="AE324" s="99">
        <f>IF(H324="","",(Team_Genesis-H324)/1000000)</f>
        <v/>
      </c>
      <c r="AF324" s="99">
        <f>IF(OR(O324="",AE324=""),"",(O324-AE324*1000000)/1000000)</f>
        <v/>
      </c>
    </row>
    <row r="325">
      <c r="A325" s="35" t="n">
        <v>45979</v>
      </c>
      <c r="B325" s="90">
        <f>IF('Daily Data'!E325="","",'Daily Data'!E325)</f>
        <v/>
      </c>
      <c r="C325" s="65" t="n">
        <v>39.07</v>
      </c>
      <c r="D325" s="94" t="n">
        <v>73038.41</v>
      </c>
      <c r="E325" s="94" t="n">
        <v>25303.9953</v>
      </c>
      <c r="F325" s="94" t="n">
        <v>689.8976</v>
      </c>
      <c r="G325" s="94" t="n"/>
      <c r="H325" s="95">
        <f>SUM($G$4:G325)</f>
        <v/>
      </c>
      <c r="I325" s="94" t="n">
        <v>1000000000</v>
      </c>
      <c r="J325" s="95">
        <f>J324-E325</f>
        <v/>
      </c>
      <c r="K325" s="94" t="n">
        <v>60000000</v>
      </c>
      <c r="L325" s="94" t="n">
        <v>35441466.6</v>
      </c>
      <c r="M325" s="94" t="n">
        <v>3000000</v>
      </c>
      <c r="N325" s="94" t="n">
        <v>493022.5960999727</v>
      </c>
      <c r="O325" s="96">
        <f>IF(OR(I325="",J325="",L325="",N325=""),"",I325-J325-K325-L325-M325-N325)</f>
        <v/>
      </c>
      <c r="P325" s="91">
        <f>IF(OR(O325="",C325=""),"",O325*C325)</f>
        <v/>
      </c>
      <c r="Q325" s="69">
        <f>Q324-E325</f>
        <v/>
      </c>
      <c r="R325" s="97">
        <f>IF(OR(J325="",Q325=""),"",J325-Q325)</f>
        <v/>
      </c>
      <c r="S325" s="69">
        <f>IF(D325="",S324,S324+D325)</f>
        <v/>
      </c>
      <c r="T325" s="97">
        <f>IF(OR(L325="",S325=""),"",L325-S325)</f>
        <v/>
      </c>
      <c r="U325" s="69">
        <f>IF(F325="",U324,U324+F325)</f>
        <v/>
      </c>
      <c r="V325" s="97">
        <f>IF(OR(N325="",U325=""),"",N325-U325)</f>
        <v/>
      </c>
      <c r="W325" s="71">
        <f>IF(OR(C325="",C325=0,'Daily Data'!J325=""),"",'Daily Data'!J325/C325)</f>
        <v/>
      </c>
      <c r="X325" s="71">
        <f>IF(OR(C325="",C325=0,'Daily Data'!K325=""),"",'Daily Data'!K325/C325)</f>
        <v/>
      </c>
      <c r="Y325" s="71">
        <f>IF(OR(F325="",W325="",X325=""),"",F325-W325-X325)</f>
        <v/>
      </c>
      <c r="Z325" s="72" t="n">
        <v>354.93</v>
      </c>
      <c r="AA325" s="72" t="n">
        <v>62.63</v>
      </c>
      <c r="AB325" s="73">
        <f>Z325+AA325</f>
        <v/>
      </c>
      <c r="AC325" s="74">
        <f>IF(OR(E325="",E325=0,AB325=""),"",E325*365/(AB325*1000000))</f>
        <v/>
      </c>
      <c r="AD325" s="98">
        <f>IF(OR(O325="",O325=0,AB325=""),"",(AB325*1000000)/O325)</f>
        <v/>
      </c>
      <c r="AE325" s="99">
        <f>IF(H325="","",(Team_Genesis-H325)/1000000)</f>
        <v/>
      </c>
      <c r="AF325" s="99">
        <f>IF(OR(O325="",AE325=""),"",(O325-AE325*1000000)/1000000)</f>
        <v/>
      </c>
    </row>
    <row r="326">
      <c r="A326" s="35" t="n">
        <v>45980</v>
      </c>
      <c r="B326" s="90">
        <f>IF('Daily Data'!E326="","",'Daily Data'!E326)</f>
        <v/>
      </c>
      <c r="C326" s="65" t="n">
        <v>38.46</v>
      </c>
      <c r="D326" s="94" t="n">
        <v>71425.92999999999</v>
      </c>
      <c r="E326" s="94" t="n">
        <v>25266.5099</v>
      </c>
      <c r="F326" s="94" t="n">
        <v>1970.3837</v>
      </c>
      <c r="G326" s="94" t="n"/>
      <c r="H326" s="95">
        <f>SUM($G$4:G326)</f>
        <v/>
      </c>
      <c r="I326" s="94" t="n">
        <v>1000000000</v>
      </c>
      <c r="J326" s="95">
        <f>J325-E326</f>
        <v/>
      </c>
      <c r="K326" s="94" t="n">
        <v>60000000</v>
      </c>
      <c r="L326" s="94" t="n">
        <v>35515086.06</v>
      </c>
      <c r="M326" s="94" t="n">
        <v>3000000</v>
      </c>
      <c r="N326" s="94" t="n">
        <v>494992.9797999859</v>
      </c>
      <c r="O326" s="96">
        <f>IF(OR(I326="",J326="",L326="",N326=""),"",I326-J326-K326-L326-M326-N326)</f>
        <v/>
      </c>
      <c r="P326" s="91">
        <f>IF(OR(O326="",C326=""),"",O326*C326)</f>
        <v/>
      </c>
      <c r="Q326" s="69">
        <f>Q325-E326</f>
        <v/>
      </c>
      <c r="R326" s="97">
        <f>IF(OR(J326="",Q326=""),"",J326-Q326)</f>
        <v/>
      </c>
      <c r="S326" s="69">
        <f>IF(D326="",S325,S325+D326)</f>
        <v/>
      </c>
      <c r="T326" s="97">
        <f>IF(OR(L326="",S326=""),"",L326-S326)</f>
        <v/>
      </c>
      <c r="U326" s="69">
        <f>IF(F326="",U325,U325+F326)</f>
        <v/>
      </c>
      <c r="V326" s="97">
        <f>IF(OR(N326="",U326=""),"",N326-U326)</f>
        <v/>
      </c>
      <c r="W326" s="71">
        <f>IF(OR(C326="",C326=0,'Daily Data'!J326=""),"",'Daily Data'!J326/C326)</f>
        <v/>
      </c>
      <c r="X326" s="71">
        <f>IF(OR(C326="",C326=0,'Daily Data'!K326=""),"",'Daily Data'!K326/C326)</f>
        <v/>
      </c>
      <c r="Y326" s="71">
        <f>IF(OR(F326="",W326="",X326=""),"",F326-W326-X326)</f>
        <v/>
      </c>
      <c r="Z326" s="72" t="n">
        <v>354.93</v>
      </c>
      <c r="AA326" s="72" t="n">
        <v>62.63</v>
      </c>
      <c r="AB326" s="73">
        <f>Z326+AA326</f>
        <v/>
      </c>
      <c r="AC326" s="74">
        <f>IF(OR(E326="",E326=0,AB326=""),"",E326*365/(AB326*1000000))</f>
        <v/>
      </c>
      <c r="AD326" s="98">
        <f>IF(OR(O326="",O326=0,AB326=""),"",(AB326*1000000)/O326)</f>
        <v/>
      </c>
      <c r="AE326" s="99">
        <f>IF(H326="","",(Team_Genesis-H326)/1000000)</f>
        <v/>
      </c>
      <c r="AF326" s="99">
        <f>IF(OR(O326="",AE326=""),"",(O326-AE326*1000000)/1000000)</f>
        <v/>
      </c>
    </row>
    <row r="327">
      <c r="A327" s="35" t="n">
        <v>45981</v>
      </c>
      <c r="B327" s="90">
        <f>IF('Daily Data'!E327="","",'Daily Data'!E327)</f>
        <v/>
      </c>
      <c r="C327" s="65" t="n">
        <v>38.76</v>
      </c>
      <c r="D327" s="94" t="n">
        <v>86002.89</v>
      </c>
      <c r="E327" s="94" t="n">
        <v>25302.0351</v>
      </c>
      <c r="F327" s="94" t="n">
        <v>746.9853000000001</v>
      </c>
      <c r="G327" s="94" t="n"/>
      <c r="H327" s="95">
        <f>SUM($G$4:G327)</f>
        <v/>
      </c>
      <c r="I327" s="94" t="n">
        <v>1000000000</v>
      </c>
      <c r="J327" s="95">
        <f>J326-E327</f>
        <v/>
      </c>
      <c r="K327" s="94" t="n">
        <v>60000000</v>
      </c>
      <c r="L327" s="94" t="n">
        <v>35598549</v>
      </c>
      <c r="M327" s="94" t="n">
        <v>3000000</v>
      </c>
      <c r="N327" s="94" t="n">
        <v>495739.96510005</v>
      </c>
      <c r="O327" s="96">
        <f>IF(OR(I327="",J327="",L327="",N327=""),"",I327-J327-K327-L327-M327-N327)</f>
        <v/>
      </c>
      <c r="P327" s="91">
        <f>IF(OR(O327="",C327=""),"",O327*C327)</f>
        <v/>
      </c>
      <c r="Q327" s="69">
        <f>Q326-E327</f>
        <v/>
      </c>
      <c r="R327" s="97">
        <f>IF(OR(J327="",Q327=""),"",J327-Q327)</f>
        <v/>
      </c>
      <c r="S327" s="69">
        <f>IF(D327="",S326,S326+D327)</f>
        <v/>
      </c>
      <c r="T327" s="97">
        <f>IF(OR(L327="",S327=""),"",L327-S327)</f>
        <v/>
      </c>
      <c r="U327" s="69">
        <f>IF(F327="",U326,U326+F327)</f>
        <v/>
      </c>
      <c r="V327" s="97">
        <f>IF(OR(N327="",U327=""),"",N327-U327)</f>
        <v/>
      </c>
      <c r="W327" s="71">
        <f>IF(OR(C327="",C327=0,'Daily Data'!J327=""),"",'Daily Data'!J327/C327)</f>
        <v/>
      </c>
      <c r="X327" s="71">
        <f>IF(OR(C327="",C327=0,'Daily Data'!K327=""),"",'Daily Data'!K327/C327)</f>
        <v/>
      </c>
      <c r="Y327" s="71">
        <f>IF(OR(F327="",W327="",X327=""),"",F327-W327-X327)</f>
        <v/>
      </c>
      <c r="Z327" s="72" t="n">
        <v>354.93</v>
      </c>
      <c r="AA327" s="72" t="n">
        <v>62.63</v>
      </c>
      <c r="AB327" s="73">
        <f>Z327+AA327</f>
        <v/>
      </c>
      <c r="AC327" s="74">
        <f>IF(OR(E327="",E327=0,AB327=""),"",E327*365/(AB327*1000000))</f>
        <v/>
      </c>
      <c r="AD327" s="98">
        <f>IF(OR(O327="",O327=0,AB327=""),"",(AB327*1000000)/O327)</f>
        <v/>
      </c>
      <c r="AE327" s="99">
        <f>IF(H327="","",(Team_Genesis-H327)/1000000)</f>
        <v/>
      </c>
      <c r="AF327" s="99">
        <f>IF(OR(O327="",AE327=""),"",(O327-AE327*1000000)/1000000)</f>
        <v/>
      </c>
    </row>
    <row r="328">
      <c r="A328" s="35" t="n">
        <v>45982</v>
      </c>
      <c r="B328" s="90">
        <f>IF('Daily Data'!E328="","",'Daily Data'!E328)</f>
        <v/>
      </c>
      <c r="C328" s="65" t="n">
        <v>38.16</v>
      </c>
      <c r="D328" s="94" t="n">
        <v>131495.54</v>
      </c>
      <c r="E328" s="94" t="n">
        <v>25458.281</v>
      </c>
      <c r="F328" s="94" t="n">
        <v>1603.7265</v>
      </c>
      <c r="G328" s="94" t="n"/>
      <c r="H328" s="95">
        <f>SUM($G$4:G328)</f>
        <v/>
      </c>
      <c r="I328" s="94" t="n">
        <v>1000000000</v>
      </c>
      <c r="J328" s="95">
        <f>J327-E328</f>
        <v/>
      </c>
      <c r="K328" s="94" t="n">
        <v>60000000</v>
      </c>
      <c r="L328" s="94" t="n">
        <v>35732484.14</v>
      </c>
      <c r="M328" s="94" t="n">
        <v>3000000</v>
      </c>
      <c r="N328" s="94" t="n">
        <v>497343.6916999817</v>
      </c>
      <c r="O328" s="96">
        <f>IF(OR(I328="",J328="",L328="",N328=""),"",I328-J328-K328-L328-M328-N328)</f>
        <v/>
      </c>
      <c r="P328" s="91">
        <f>IF(OR(O328="",C328=""),"",O328*C328)</f>
        <v/>
      </c>
      <c r="Q328" s="69">
        <f>Q327-E328</f>
        <v/>
      </c>
      <c r="R328" s="97">
        <f>IF(OR(J328="",Q328=""),"",J328-Q328)</f>
        <v/>
      </c>
      <c r="S328" s="69">
        <f>IF(D328="",S327,S327+D328)</f>
        <v/>
      </c>
      <c r="T328" s="97">
        <f>IF(OR(L328="",S328=""),"",L328-S328)</f>
        <v/>
      </c>
      <c r="U328" s="69">
        <f>IF(F328="",U327,U327+F328)</f>
        <v/>
      </c>
      <c r="V328" s="97">
        <f>IF(OR(N328="",U328=""),"",N328-U328)</f>
        <v/>
      </c>
      <c r="W328" s="71">
        <f>IF(OR(C328="",C328=0,'Daily Data'!J328=""),"",'Daily Data'!J328/C328)</f>
        <v/>
      </c>
      <c r="X328" s="71">
        <f>IF(OR(C328="",C328=0,'Daily Data'!K328=""),"",'Daily Data'!K328/C328)</f>
        <v/>
      </c>
      <c r="Y328" s="71">
        <f>IF(OR(F328="",W328="",X328=""),"",F328-W328-X328)</f>
        <v/>
      </c>
      <c r="Z328" s="72" t="n">
        <v>354.93</v>
      </c>
      <c r="AA328" s="72" t="n">
        <v>62.63</v>
      </c>
      <c r="AB328" s="73">
        <f>Z328+AA328</f>
        <v/>
      </c>
      <c r="AC328" s="74">
        <f>IF(OR(E328="",E328=0,AB328=""),"",E328*365/(AB328*1000000))</f>
        <v/>
      </c>
      <c r="AD328" s="98">
        <f>IF(OR(O328="",O328=0,AB328=""),"",(AB328*1000000)/O328)</f>
        <v/>
      </c>
      <c r="AE328" s="99">
        <f>IF(H328="","",(Team_Genesis-H328)/1000000)</f>
        <v/>
      </c>
      <c r="AF328" s="99">
        <f>IF(OR(O328="",AE328=""),"",(O328-AE328*1000000)/1000000)</f>
        <v/>
      </c>
    </row>
    <row r="329">
      <c r="A329" s="35" t="n">
        <v>45983</v>
      </c>
      <c r="B329" s="90">
        <f>IF('Daily Data'!E329="","",'Daily Data'!E329)</f>
        <v/>
      </c>
      <c r="C329" s="65" t="n">
        <v>33.53</v>
      </c>
      <c r="D329" s="94" t="n">
        <v>45248.9</v>
      </c>
      <c r="E329" s="94" t="n">
        <v>26093.2751</v>
      </c>
      <c r="F329" s="94" t="n">
        <v>1923.115</v>
      </c>
      <c r="G329" s="94" t="n"/>
      <c r="H329" s="95">
        <f>SUM($G$4:G329)</f>
        <v/>
      </c>
      <c r="I329" s="94" t="n">
        <v>1000000000</v>
      </c>
      <c r="J329" s="95">
        <f>J328-E329</f>
        <v/>
      </c>
      <c r="K329" s="94" t="n">
        <v>60000000</v>
      </c>
      <c r="L329" s="94" t="n">
        <v>35775635.35</v>
      </c>
      <c r="M329" s="94" t="n">
        <v>3000000</v>
      </c>
      <c r="N329" s="94" t="n">
        <v>499266.8065999746</v>
      </c>
      <c r="O329" s="96">
        <f>IF(OR(I329="",J329="",L329="",N329=""),"",I329-J329-K329-L329-M329-N329)</f>
        <v/>
      </c>
      <c r="P329" s="91">
        <f>IF(OR(O329="",C329=""),"",O329*C329)</f>
        <v/>
      </c>
      <c r="Q329" s="69">
        <f>Q328-E329</f>
        <v/>
      </c>
      <c r="R329" s="97">
        <f>IF(OR(J329="",Q329=""),"",J329-Q329)</f>
        <v/>
      </c>
      <c r="S329" s="69">
        <f>IF(D329="",S328,S328+D329)</f>
        <v/>
      </c>
      <c r="T329" s="97">
        <f>IF(OR(L329="",S329=""),"",L329-S329)</f>
        <v/>
      </c>
      <c r="U329" s="69">
        <f>IF(F329="",U328,U328+F329)</f>
        <v/>
      </c>
      <c r="V329" s="97">
        <f>IF(OR(N329="",U329=""),"",N329-U329)</f>
        <v/>
      </c>
      <c r="W329" s="71">
        <f>IF(OR(C329="",C329=0,'Daily Data'!J329=""),"",'Daily Data'!J329/C329)</f>
        <v/>
      </c>
      <c r="X329" s="71">
        <f>IF(OR(C329="",C329=0,'Daily Data'!K329=""),"",'Daily Data'!K329/C329)</f>
        <v/>
      </c>
      <c r="Y329" s="71">
        <f>IF(OR(F329="",W329="",X329=""),"",F329-W329-X329)</f>
        <v/>
      </c>
      <c r="Z329" s="72" t="n">
        <v>354.93</v>
      </c>
      <c r="AA329" s="72" t="n">
        <v>62.63</v>
      </c>
      <c r="AB329" s="73">
        <f>Z329+AA329</f>
        <v/>
      </c>
      <c r="AC329" s="74">
        <f>IF(OR(E329="",E329=0,AB329=""),"",E329*365/(AB329*1000000))</f>
        <v/>
      </c>
      <c r="AD329" s="98">
        <f>IF(OR(O329="",O329=0,AB329=""),"",(AB329*1000000)/O329)</f>
        <v/>
      </c>
      <c r="AE329" s="99">
        <f>IF(H329="","",(Team_Genesis-H329)/1000000)</f>
        <v/>
      </c>
      <c r="AF329" s="99">
        <f>IF(OR(O329="",AE329=""),"",(O329-AE329*1000000)/1000000)</f>
        <v/>
      </c>
    </row>
    <row r="330">
      <c r="A330" s="35" t="n">
        <v>45984</v>
      </c>
      <c r="B330" s="90">
        <f>IF('Daily Data'!E330="","",'Daily Data'!E330)</f>
        <v/>
      </c>
      <c r="C330" s="65" t="n">
        <v>29.81</v>
      </c>
      <c r="D330" s="94" t="n">
        <v>57272.67</v>
      </c>
      <c r="E330" s="94" t="n">
        <v>25985.4196</v>
      </c>
      <c r="F330" s="94" t="n">
        <v>996.9057</v>
      </c>
      <c r="G330" s="94" t="n"/>
      <c r="H330" s="95">
        <f>SUM($G$4:G330)</f>
        <v/>
      </c>
      <c r="I330" s="94" t="n">
        <v>1000000000</v>
      </c>
      <c r="J330" s="95">
        <f>J329-E330</f>
        <v/>
      </c>
      <c r="K330" s="94" t="n">
        <v>60000000</v>
      </c>
      <c r="L330" s="94" t="n">
        <v>35834603.26</v>
      </c>
      <c r="M330" s="94" t="n">
        <v>3000000</v>
      </c>
      <c r="N330" s="94" t="n">
        <v>500263.7123999596</v>
      </c>
      <c r="O330" s="96">
        <f>IF(OR(I330="",J330="",L330="",N330=""),"",I330-J330-K330-L330-M330-N330)</f>
        <v/>
      </c>
      <c r="P330" s="91">
        <f>IF(OR(O330="",C330=""),"",O330*C330)</f>
        <v/>
      </c>
      <c r="Q330" s="69">
        <f>Q329-E330</f>
        <v/>
      </c>
      <c r="R330" s="97">
        <f>IF(OR(J330="",Q330=""),"",J330-Q330)</f>
        <v/>
      </c>
      <c r="S330" s="69">
        <f>IF(D330="",S329,S329+D330)</f>
        <v/>
      </c>
      <c r="T330" s="97">
        <f>IF(OR(L330="",S330=""),"",L330-S330)</f>
        <v/>
      </c>
      <c r="U330" s="69">
        <f>IF(F330="",U329,U329+F330)</f>
        <v/>
      </c>
      <c r="V330" s="97">
        <f>IF(OR(N330="",U330=""),"",N330-U330)</f>
        <v/>
      </c>
      <c r="W330" s="71">
        <f>IF(OR(C330="",C330=0,'Daily Data'!J330=""),"",'Daily Data'!J330/C330)</f>
        <v/>
      </c>
      <c r="X330" s="71">
        <f>IF(OR(C330="",C330=0,'Daily Data'!K330=""),"",'Daily Data'!K330/C330)</f>
        <v/>
      </c>
      <c r="Y330" s="71">
        <f>IF(OR(F330="",W330="",X330=""),"",F330-W330-X330)</f>
        <v/>
      </c>
      <c r="Z330" s="72" t="n">
        <v>354.93</v>
      </c>
      <c r="AA330" s="72" t="n">
        <v>62.63</v>
      </c>
      <c r="AB330" s="73">
        <f>Z330+AA330</f>
        <v/>
      </c>
      <c r="AC330" s="74">
        <f>IF(OR(E330="",E330=0,AB330=""),"",E330*365/(AB330*1000000))</f>
        <v/>
      </c>
      <c r="AD330" s="98">
        <f>IF(OR(O330="",O330=0,AB330=""),"",(AB330*1000000)/O330)</f>
        <v/>
      </c>
      <c r="AE330" s="99">
        <f>IF(H330="","",(Team_Genesis-H330)/1000000)</f>
        <v/>
      </c>
      <c r="AF330" s="99">
        <f>IF(OR(O330="",AE330=""),"",(O330-AE330*1000000)/1000000)</f>
        <v/>
      </c>
    </row>
    <row r="331">
      <c r="A331" s="35" t="n">
        <v>45985</v>
      </c>
      <c r="B331" s="90">
        <f>IF('Daily Data'!E331="","",'Daily Data'!E331)</f>
        <v/>
      </c>
      <c r="C331" s="65" t="n">
        <v>31.85</v>
      </c>
      <c r="D331" s="94" t="n">
        <v>79513.28</v>
      </c>
      <c r="E331" s="94" t="n">
        <v>25930.868</v>
      </c>
      <c r="F331" s="94" t="n">
        <v>781.6647</v>
      </c>
      <c r="G331" s="94" t="n"/>
      <c r="H331" s="95">
        <f>SUM($G$4:G331)</f>
        <v/>
      </c>
      <c r="I331" s="94" t="n">
        <v>1000000000</v>
      </c>
      <c r="J331" s="95">
        <f>J330-E331</f>
        <v/>
      </c>
      <c r="K331" s="94" t="n">
        <v>60000000</v>
      </c>
      <c r="L331" s="94" t="n">
        <v>35912351.16</v>
      </c>
      <c r="M331" s="94" t="n">
        <v>3000000</v>
      </c>
      <c r="N331" s="94" t="n">
        <v>501045.3769999743</v>
      </c>
      <c r="O331" s="96">
        <f>IF(OR(I331="",J331="",L331="",N331=""),"",I331-J331-K331-L331-M331-N331)</f>
        <v/>
      </c>
      <c r="P331" s="91">
        <f>IF(OR(O331="",C331=""),"",O331*C331)</f>
        <v/>
      </c>
      <c r="Q331" s="69">
        <f>Q330-E331</f>
        <v/>
      </c>
      <c r="R331" s="97">
        <f>IF(OR(J331="",Q331=""),"",J331-Q331)</f>
        <v/>
      </c>
      <c r="S331" s="69">
        <f>IF(D331="",S330,S330+D331)</f>
        <v/>
      </c>
      <c r="T331" s="97">
        <f>IF(OR(L331="",S331=""),"",L331-S331)</f>
        <v/>
      </c>
      <c r="U331" s="69">
        <f>IF(F331="",U330,U330+F331)</f>
        <v/>
      </c>
      <c r="V331" s="97">
        <f>IF(OR(N331="",U331=""),"",N331-U331)</f>
        <v/>
      </c>
      <c r="W331" s="71">
        <f>IF(OR(C331="",C331=0,'Daily Data'!J331=""),"",'Daily Data'!J331/C331)</f>
        <v/>
      </c>
      <c r="X331" s="71">
        <f>IF(OR(C331="",C331=0,'Daily Data'!K331=""),"",'Daily Data'!K331/C331)</f>
        <v/>
      </c>
      <c r="Y331" s="71">
        <f>IF(OR(F331="",W331="",X331=""),"",F331-W331-X331)</f>
        <v/>
      </c>
      <c r="Z331" s="72" t="n">
        <v>354.93</v>
      </c>
      <c r="AA331" s="72" t="n">
        <v>62.63</v>
      </c>
      <c r="AB331" s="73">
        <f>Z331+AA331</f>
        <v/>
      </c>
      <c r="AC331" s="74">
        <f>IF(OR(E331="",E331=0,AB331=""),"",E331*365/(AB331*1000000))</f>
        <v/>
      </c>
      <c r="AD331" s="98">
        <f>IF(OR(O331="",O331=0,AB331=""),"",(AB331*1000000)/O331)</f>
        <v/>
      </c>
      <c r="AE331" s="99">
        <f>IF(H331="","",(Team_Genesis-H331)/1000000)</f>
        <v/>
      </c>
      <c r="AF331" s="99">
        <f>IF(OR(O331="",AE331=""),"",(O331-AE331*1000000)/1000000)</f>
        <v/>
      </c>
    </row>
    <row r="332">
      <c r="A332" s="35" t="n">
        <v>45986</v>
      </c>
      <c r="B332" s="90">
        <f>IF('Daily Data'!E332="","",'Daily Data'!E332)</f>
        <v/>
      </c>
      <c r="C332" s="65" t="n">
        <v>33.15</v>
      </c>
      <c r="D332" s="94" t="n">
        <v>60402.47</v>
      </c>
      <c r="E332" s="94" t="n">
        <v>25908.1004</v>
      </c>
      <c r="F332" s="94" t="n">
        <v>1412.2144</v>
      </c>
      <c r="G332" s="94" t="n"/>
      <c r="H332" s="95">
        <f>SUM($G$4:G332)</f>
        <v/>
      </c>
      <c r="I332" s="94" t="n">
        <v>1000000000</v>
      </c>
      <c r="J332" s="95">
        <f>J331-E332</f>
        <v/>
      </c>
      <c r="K332" s="94" t="n">
        <v>60000000</v>
      </c>
      <c r="L332" s="94" t="n">
        <v>35971494.16</v>
      </c>
      <c r="M332" s="94" t="n">
        <v>3000000</v>
      </c>
      <c r="N332" s="94" t="n">
        <v>502457.5915000439</v>
      </c>
      <c r="O332" s="96">
        <f>IF(OR(I332="",J332="",L332="",N332=""),"",I332-J332-K332-L332-M332-N332)</f>
        <v/>
      </c>
      <c r="P332" s="91">
        <f>IF(OR(O332="",C332=""),"",O332*C332)</f>
        <v/>
      </c>
      <c r="Q332" s="69">
        <f>Q331-E332</f>
        <v/>
      </c>
      <c r="R332" s="97">
        <f>IF(OR(J332="",Q332=""),"",J332-Q332)</f>
        <v/>
      </c>
      <c r="S332" s="69">
        <f>IF(D332="",S331,S331+D332)</f>
        <v/>
      </c>
      <c r="T332" s="97">
        <f>IF(OR(L332="",S332=""),"",L332-S332)</f>
        <v/>
      </c>
      <c r="U332" s="69">
        <f>IF(F332="",U331,U331+F332)</f>
        <v/>
      </c>
      <c r="V332" s="97">
        <f>IF(OR(N332="",U332=""),"",N332-U332)</f>
        <v/>
      </c>
      <c r="W332" s="71">
        <f>IF(OR(C332="",C332=0,'Daily Data'!J332=""),"",'Daily Data'!J332/C332)</f>
        <v/>
      </c>
      <c r="X332" s="71">
        <f>IF(OR(C332="",C332=0,'Daily Data'!K332=""),"",'Daily Data'!K332/C332)</f>
        <v/>
      </c>
      <c r="Y332" s="71">
        <f>IF(OR(F332="",W332="",X332=""),"",F332-W332-X332)</f>
        <v/>
      </c>
      <c r="Z332" s="72" t="n">
        <v>354.93</v>
      </c>
      <c r="AA332" s="72" t="n">
        <v>62.63</v>
      </c>
      <c r="AB332" s="73">
        <f>Z332+AA332</f>
        <v/>
      </c>
      <c r="AC332" s="74">
        <f>IF(OR(E332="",E332=0,AB332=""),"",E332*365/(AB332*1000000))</f>
        <v/>
      </c>
      <c r="AD332" s="98">
        <f>IF(OR(O332="",O332=0,AB332=""),"",(AB332*1000000)/O332)</f>
        <v/>
      </c>
      <c r="AE332" s="99">
        <f>IF(H332="","",(Team_Genesis-H332)/1000000)</f>
        <v/>
      </c>
      <c r="AF332" s="99">
        <f>IF(OR(O332="",AE332=""),"",(O332-AE332*1000000)/1000000)</f>
        <v/>
      </c>
    </row>
    <row r="333">
      <c r="A333" s="35" t="n">
        <v>45987</v>
      </c>
      <c r="B333" s="90">
        <f>IF('Daily Data'!E333="","",'Daily Data'!E333)</f>
        <v/>
      </c>
      <c r="C333" s="65" t="n">
        <v>33.94</v>
      </c>
      <c r="D333" s="94" t="n">
        <v>62475.15</v>
      </c>
      <c r="E333" s="94" t="n">
        <v>25927.2734</v>
      </c>
      <c r="F333" s="94" t="n">
        <v>1074.1511</v>
      </c>
      <c r="G333" s="94" t="n"/>
      <c r="H333" s="95">
        <f>SUM($G$4:G333)</f>
        <v/>
      </c>
      <c r="I333" s="94" t="n">
        <v>1000000000</v>
      </c>
      <c r="J333" s="95">
        <f>J332-E333</f>
        <v/>
      </c>
      <c r="K333" s="94" t="n">
        <v>60000000</v>
      </c>
      <c r="L333" s="94" t="n">
        <v>36035251.03</v>
      </c>
      <c r="M333" s="94" t="n">
        <v>3000000</v>
      </c>
      <c r="N333" s="94" t="n">
        <v>503531.7425999641</v>
      </c>
      <c r="O333" s="96">
        <f>IF(OR(I333="",J333="",L333="",N333=""),"",I333-J333-K333-L333-M333-N333)</f>
        <v/>
      </c>
      <c r="P333" s="91">
        <f>IF(OR(O333="",C333=""),"",O333*C333)</f>
        <v/>
      </c>
      <c r="Q333" s="69">
        <f>Q332-E333</f>
        <v/>
      </c>
      <c r="R333" s="97">
        <f>IF(OR(J333="",Q333=""),"",J333-Q333)</f>
        <v/>
      </c>
      <c r="S333" s="69">
        <f>IF(D333="",S332,S332+D333)</f>
        <v/>
      </c>
      <c r="T333" s="97">
        <f>IF(OR(L333="",S333=""),"",L333-S333)</f>
        <v/>
      </c>
      <c r="U333" s="69">
        <f>IF(F333="",U332,U332+F333)</f>
        <v/>
      </c>
      <c r="V333" s="97">
        <f>IF(OR(N333="",U333=""),"",N333-U333)</f>
        <v/>
      </c>
      <c r="W333" s="71">
        <f>IF(OR(C333="",C333=0,'Daily Data'!J333=""),"",'Daily Data'!J333/C333)</f>
        <v/>
      </c>
      <c r="X333" s="71">
        <f>IF(OR(C333="",C333=0,'Daily Data'!K333=""),"",'Daily Data'!K333/C333)</f>
        <v/>
      </c>
      <c r="Y333" s="71">
        <f>IF(OR(F333="",W333="",X333=""),"",F333-W333-X333)</f>
        <v/>
      </c>
      <c r="Z333" s="72" t="n">
        <v>354.93</v>
      </c>
      <c r="AA333" s="72" t="n">
        <v>62.63</v>
      </c>
      <c r="AB333" s="73">
        <f>Z333+AA333</f>
        <v/>
      </c>
      <c r="AC333" s="74">
        <f>IF(OR(E333="",E333=0,AB333=""),"",E333*365/(AB333*1000000))</f>
        <v/>
      </c>
      <c r="AD333" s="98">
        <f>IF(OR(O333="",O333=0,AB333=""),"",(AB333*1000000)/O333)</f>
        <v/>
      </c>
      <c r="AE333" s="99">
        <f>IF(H333="","",(Team_Genesis-H333)/1000000)</f>
        <v/>
      </c>
      <c r="AF333" s="99">
        <f>IF(OR(O333="",AE333=""),"",(O333-AE333*1000000)/1000000)</f>
        <v/>
      </c>
    </row>
    <row r="334">
      <c r="A334" s="35" t="n">
        <v>45988</v>
      </c>
      <c r="B334" s="90">
        <f>IF('Daily Data'!E334="","",'Daily Data'!E334)</f>
        <v/>
      </c>
      <c r="C334" s="65" t="n">
        <v>35.86</v>
      </c>
      <c r="D334" s="94" t="n">
        <v>38174.87</v>
      </c>
      <c r="E334" s="94" t="n">
        <v>25939.7711</v>
      </c>
      <c r="F334" s="94" t="n">
        <v>1501.4621</v>
      </c>
      <c r="G334" s="94" t="n"/>
      <c r="H334" s="95">
        <f>SUM($G$4:G334)</f>
        <v/>
      </c>
      <c r="I334" s="94" t="n">
        <v>1000000000</v>
      </c>
      <c r="J334" s="95">
        <f>J333-E334</f>
        <v/>
      </c>
      <c r="K334" s="94" t="n">
        <v>60000000</v>
      </c>
      <c r="L334" s="94" t="n">
        <v>36078643.78</v>
      </c>
      <c r="M334" s="94" t="n">
        <v>3000000</v>
      </c>
      <c r="N334" s="94" t="n">
        <v>505033.2046999931</v>
      </c>
      <c r="O334" s="96">
        <f>IF(OR(I334="",J334="",L334="",N334=""),"",I334-J334-K334-L334-M334-N334)</f>
        <v/>
      </c>
      <c r="P334" s="91">
        <f>IF(OR(O334="",C334=""),"",O334*C334)</f>
        <v/>
      </c>
      <c r="Q334" s="69">
        <f>Q333-E334</f>
        <v/>
      </c>
      <c r="R334" s="97">
        <f>IF(OR(J334="",Q334=""),"",J334-Q334)</f>
        <v/>
      </c>
      <c r="S334" s="69">
        <f>IF(D334="",S333,S333+D334)</f>
        <v/>
      </c>
      <c r="T334" s="97">
        <f>IF(OR(L334="",S334=""),"",L334-S334)</f>
        <v/>
      </c>
      <c r="U334" s="69">
        <f>IF(F334="",U333,U333+F334)</f>
        <v/>
      </c>
      <c r="V334" s="97">
        <f>IF(OR(N334="",U334=""),"",N334-U334)</f>
        <v/>
      </c>
      <c r="W334" s="71">
        <f>IF(OR(C334="",C334=0,'Daily Data'!J334=""),"",'Daily Data'!J334/C334)</f>
        <v/>
      </c>
      <c r="X334" s="71">
        <f>IF(OR(C334="",C334=0,'Daily Data'!K334=""),"",'Daily Data'!K334/C334)</f>
        <v/>
      </c>
      <c r="Y334" s="71">
        <f>IF(OR(F334="",W334="",X334=""),"",F334-W334-X334)</f>
        <v/>
      </c>
      <c r="Z334" s="72" t="n">
        <v>354.93</v>
      </c>
      <c r="AA334" s="72" t="n">
        <v>62.63</v>
      </c>
      <c r="AB334" s="73">
        <f>Z334+AA334</f>
        <v/>
      </c>
      <c r="AC334" s="74">
        <f>IF(OR(E334="",E334=0,AB334=""),"",E334*365/(AB334*1000000))</f>
        <v/>
      </c>
      <c r="AD334" s="98">
        <f>IF(OR(O334="",O334=0,AB334=""),"",(AB334*1000000)/O334)</f>
        <v/>
      </c>
      <c r="AE334" s="99">
        <f>IF(H334="","",(Team_Genesis-H334)/1000000)</f>
        <v/>
      </c>
      <c r="AF334" s="99">
        <f>IF(OR(O334="",AE334=""),"",(O334-AE334*1000000)/1000000)</f>
        <v/>
      </c>
    </row>
    <row r="335">
      <c r="A335" s="35" t="n">
        <v>45989</v>
      </c>
      <c r="B335" s="90">
        <f>IF('Daily Data'!E335="","",'Daily Data'!E335)</f>
        <v/>
      </c>
      <c r="C335" s="65" t="n">
        <v>35.15</v>
      </c>
      <c r="D335" s="94" t="n">
        <v>42843.73</v>
      </c>
      <c r="E335" s="94" t="n">
        <v>31338.8428</v>
      </c>
      <c r="F335" s="94" t="n">
        <v>1305.9098</v>
      </c>
      <c r="G335" s="94" t="n"/>
      <c r="H335" s="95">
        <f>SUM($G$4:G335)</f>
        <v/>
      </c>
      <c r="I335" s="94" t="n">
        <v>1000000000</v>
      </c>
      <c r="J335" s="95">
        <f>J334-E335</f>
        <v/>
      </c>
      <c r="K335" s="94" t="n">
        <v>60000000</v>
      </c>
      <c r="L335" s="94" t="n">
        <v>36115330.7</v>
      </c>
      <c r="M335" s="94" t="n">
        <v>3000000</v>
      </c>
      <c r="N335" s="94" t="n">
        <v>506339.1145000458</v>
      </c>
      <c r="O335" s="96">
        <f>IF(OR(I335="",J335="",L335="",N335=""),"",I335-J335-K335-L335-M335-N335)</f>
        <v/>
      </c>
      <c r="P335" s="91">
        <f>IF(OR(O335="",C335=""),"",O335*C335)</f>
        <v/>
      </c>
      <c r="Q335" s="69">
        <f>Q334-E335</f>
        <v/>
      </c>
      <c r="R335" s="97">
        <f>IF(OR(J335="",Q335=""),"",J335-Q335)</f>
        <v/>
      </c>
      <c r="S335" s="69">
        <f>IF(D335="",S334,S334+D335)</f>
        <v/>
      </c>
      <c r="T335" s="97">
        <f>IF(OR(L335="",S335=""),"",L335-S335)</f>
        <v/>
      </c>
      <c r="U335" s="69">
        <f>IF(F335="",U334,U334+F335)</f>
        <v/>
      </c>
      <c r="V335" s="97">
        <f>IF(OR(N335="",U335=""),"",N335-U335)</f>
        <v/>
      </c>
      <c r="W335" s="71">
        <f>IF(OR(C335="",C335=0,'Daily Data'!J335=""),"",'Daily Data'!J335/C335)</f>
        <v/>
      </c>
      <c r="X335" s="71">
        <f>IF(OR(C335="",C335=0,'Daily Data'!K335=""),"",'Daily Data'!K335/C335)</f>
        <v/>
      </c>
      <c r="Y335" s="71">
        <f>IF(OR(F335="",W335="",X335=""),"",F335-W335-X335)</f>
        <v/>
      </c>
      <c r="Z335" s="72" t="n">
        <v>354.93</v>
      </c>
      <c r="AA335" s="72" t="n">
        <v>62.63</v>
      </c>
      <c r="AB335" s="73">
        <f>Z335+AA335</f>
        <v/>
      </c>
      <c r="AC335" s="74">
        <f>IF(OR(E335="",E335=0,AB335=""),"",E335*365/(AB335*1000000))</f>
        <v/>
      </c>
      <c r="AD335" s="98">
        <f>IF(OR(O335="",O335=0,AB335=""),"",(AB335*1000000)/O335)</f>
        <v/>
      </c>
      <c r="AE335" s="99">
        <f>IF(H335="","",(Team_Genesis-H335)/1000000)</f>
        <v/>
      </c>
      <c r="AF335" s="99">
        <f>IF(OR(O335="",AE335=""),"",(O335-AE335*1000000)/1000000)</f>
        <v/>
      </c>
    </row>
    <row r="336">
      <c r="A336" s="35" t="n">
        <v>45990</v>
      </c>
      <c r="B336" s="90">
        <f>IF('Daily Data'!E336="","",'Daily Data'!E336)</f>
        <v/>
      </c>
      <c r="C336" s="65" t="n">
        <v>35.1</v>
      </c>
      <c r="D336" s="94" t="n">
        <v>23024.51</v>
      </c>
      <c r="E336" s="94" t="n">
        <v>20590.3069</v>
      </c>
      <c r="F336" s="94" t="n">
        <v>1064.5581</v>
      </c>
      <c r="G336" s="94" t="n"/>
      <c r="H336" s="95">
        <f>SUM($G$4:G336)</f>
        <v/>
      </c>
      <c r="I336" s="94" t="n">
        <v>1000000000</v>
      </c>
      <c r="J336" s="95">
        <f>J335-E336</f>
        <v/>
      </c>
      <c r="K336" s="94" t="n">
        <v>60000000</v>
      </c>
      <c r="L336" s="94" t="n">
        <v>36138304.14</v>
      </c>
      <c r="M336" s="94" t="n">
        <v>3000000</v>
      </c>
      <c r="N336" s="94" t="n">
        <v>507403.6726000309</v>
      </c>
      <c r="O336" s="96">
        <f>IF(OR(I336="",J336="",L336="",N336=""),"",I336-J336-K336-L336-M336-N336)</f>
        <v/>
      </c>
      <c r="P336" s="91">
        <f>IF(OR(O336="",C336=""),"",O336*C336)</f>
        <v/>
      </c>
      <c r="Q336" s="69">
        <f>Q335-E336</f>
        <v/>
      </c>
      <c r="R336" s="97">
        <f>IF(OR(J336="",Q336=""),"",J336-Q336)</f>
        <v/>
      </c>
      <c r="S336" s="69">
        <f>IF(D336="",S335,S335+D336)</f>
        <v/>
      </c>
      <c r="T336" s="97">
        <f>IF(OR(L336="",S336=""),"",L336-S336)</f>
        <v/>
      </c>
      <c r="U336" s="69">
        <f>IF(F336="",U335,U335+F336)</f>
        <v/>
      </c>
      <c r="V336" s="97">
        <f>IF(OR(N336="",U336=""),"",N336-U336)</f>
        <v/>
      </c>
      <c r="W336" s="71">
        <f>IF(OR(C336="",C336=0,'Daily Data'!J336=""),"",'Daily Data'!J336/C336)</f>
        <v/>
      </c>
      <c r="X336" s="71">
        <f>IF(OR(C336="",C336=0,'Daily Data'!K336=""),"",'Daily Data'!K336/C336)</f>
        <v/>
      </c>
      <c r="Y336" s="71">
        <f>IF(OR(F336="",W336="",X336=""),"",F336-W336-X336)</f>
        <v/>
      </c>
      <c r="Z336" s="72" t="n">
        <v>354.93</v>
      </c>
      <c r="AA336" s="72" t="n">
        <v>62.63</v>
      </c>
      <c r="AB336" s="73">
        <f>Z336+AA336</f>
        <v/>
      </c>
      <c r="AC336" s="74">
        <f>IF(OR(E336="",E336=0,AB336=""),"",E336*365/(AB336*1000000))</f>
        <v/>
      </c>
      <c r="AD336" s="98">
        <f>IF(OR(O336="",O336=0,AB336=""),"",(AB336*1000000)/O336)</f>
        <v/>
      </c>
      <c r="AE336" s="99">
        <f>IF(H336="","",(Team_Genesis-H336)/1000000)</f>
        <v/>
      </c>
      <c r="AF336" s="99">
        <f>IF(OR(O336="",AE336=""),"",(O336-AE336*1000000)/1000000)</f>
        <v/>
      </c>
    </row>
    <row r="337">
      <c r="A337" s="35" t="n">
        <v>45991</v>
      </c>
      <c r="B337" s="90">
        <f>IF('Daily Data'!E337="","",'Daily Data'!E337)</f>
        <v/>
      </c>
      <c r="C337" s="65" t="n">
        <v>34.39</v>
      </c>
      <c r="D337" s="94" t="n">
        <v>23691.4</v>
      </c>
      <c r="E337" s="94" t="n">
        <v>25920.7845</v>
      </c>
      <c r="F337" s="94" t="n">
        <v>407.8315</v>
      </c>
      <c r="G337" s="94" t="n"/>
      <c r="H337" s="95">
        <f>SUM($G$4:G337)</f>
        <v/>
      </c>
      <c r="I337" s="94" t="n">
        <v>1000000000</v>
      </c>
      <c r="J337" s="95">
        <f>J336-E337</f>
        <v/>
      </c>
      <c r="K337" s="94" t="n">
        <v>60000000</v>
      </c>
      <c r="L337" s="94" t="n">
        <v>36170343.66</v>
      </c>
      <c r="M337" s="94" t="n">
        <v>3000000</v>
      </c>
      <c r="N337" s="94" t="n">
        <v>507811.5040999651</v>
      </c>
      <c r="O337" s="96">
        <f>IF(OR(I337="",J337="",L337="",N337=""),"",I337-J337-K337-L337-M337-N337)</f>
        <v/>
      </c>
      <c r="P337" s="91">
        <f>IF(OR(O337="",C337=""),"",O337*C337)</f>
        <v/>
      </c>
      <c r="Q337" s="69">
        <f>Q336-E337</f>
        <v/>
      </c>
      <c r="R337" s="97">
        <f>IF(OR(J337="",Q337=""),"",J337-Q337)</f>
        <v/>
      </c>
      <c r="S337" s="69">
        <f>IF(D337="",S336,S336+D337)</f>
        <v/>
      </c>
      <c r="T337" s="97">
        <f>IF(OR(L337="",S337=""),"",L337-S337)</f>
        <v/>
      </c>
      <c r="U337" s="69">
        <f>IF(F337="",U336,U336+F337)</f>
        <v/>
      </c>
      <c r="V337" s="97">
        <f>IF(OR(N337="",U337=""),"",N337-U337)</f>
        <v/>
      </c>
      <c r="W337" s="71">
        <f>IF(OR(C337="",C337=0,'Daily Data'!J337=""),"",'Daily Data'!J337/C337)</f>
        <v/>
      </c>
      <c r="X337" s="71">
        <f>IF(OR(C337="",C337=0,'Daily Data'!K337=""),"",'Daily Data'!K337/C337)</f>
        <v/>
      </c>
      <c r="Y337" s="71">
        <f>IF(OR(F337="",W337="",X337=""),"",F337-W337-X337)</f>
        <v/>
      </c>
      <c r="Z337" s="72" t="n">
        <v>354.93</v>
      </c>
      <c r="AA337" s="72" t="n">
        <v>62.63</v>
      </c>
      <c r="AB337" s="73">
        <f>Z337+AA337</f>
        <v/>
      </c>
      <c r="AC337" s="74">
        <f>IF(OR(E337="",E337=0,AB337=""),"",E337*365/(AB337*1000000))</f>
        <v/>
      </c>
      <c r="AD337" s="98">
        <f>IF(OR(O337="",O337=0,AB337=""),"",(AB337*1000000)/O337)</f>
        <v/>
      </c>
      <c r="AE337" s="99">
        <f>IF(H337="","",(Team_Genesis-H337)/1000000)</f>
        <v/>
      </c>
      <c r="AF337" s="99">
        <f>IF(OR(O337="",AE337=""),"",(O337-AE337*1000000)/1000000)</f>
        <v/>
      </c>
    </row>
    <row r="338">
      <c r="A338" s="35" t="n">
        <v>45992</v>
      </c>
      <c r="B338" s="90">
        <f>IF('Daily Data'!E338="","",'Daily Data'!E338)</f>
        <v/>
      </c>
      <c r="C338" s="65" t="n">
        <v>31.17</v>
      </c>
      <c r="D338" s="94" t="n">
        <v>93343.03999999999</v>
      </c>
      <c r="E338" s="94" t="n">
        <v>26009.9969</v>
      </c>
      <c r="F338" s="94" t="n">
        <v>1190.3492</v>
      </c>
      <c r="G338" s="94" t="n"/>
      <c r="H338" s="95">
        <f>SUM($G$4:G338)</f>
        <v/>
      </c>
      <c r="I338" s="94" t="n">
        <v>1000000000</v>
      </c>
      <c r="J338" s="95">
        <f>J337-E338</f>
        <v/>
      </c>
      <c r="K338" s="94" t="n">
        <v>60000000</v>
      </c>
      <c r="L338" s="94" t="n">
        <v>36256264.96</v>
      </c>
      <c r="M338" s="94" t="n">
        <v>3000000</v>
      </c>
      <c r="N338" s="94" t="n">
        <v>509001.8532999754</v>
      </c>
      <c r="O338" s="96">
        <f>IF(OR(I338="",J338="",L338="",N338=""),"",I338-J338-K338-L338-M338-N338)</f>
        <v/>
      </c>
      <c r="P338" s="91">
        <f>IF(OR(O338="",C338=""),"",O338*C338)</f>
        <v/>
      </c>
      <c r="Q338" s="69">
        <f>Q337-E338</f>
        <v/>
      </c>
      <c r="R338" s="97">
        <f>IF(OR(J338="",Q338=""),"",J338-Q338)</f>
        <v/>
      </c>
      <c r="S338" s="69">
        <f>IF(D338="",S337,S337+D338)</f>
        <v/>
      </c>
      <c r="T338" s="97">
        <f>IF(OR(L338="",S338=""),"",L338-S338)</f>
        <v/>
      </c>
      <c r="U338" s="69">
        <f>IF(F338="",U337,U337+F338)</f>
        <v/>
      </c>
      <c r="V338" s="97">
        <f>IF(OR(N338="",U338=""),"",N338-U338)</f>
        <v/>
      </c>
      <c r="W338" s="71">
        <f>IF(OR(C338="",C338=0,'Daily Data'!J338=""),"",'Daily Data'!J338/C338)</f>
        <v/>
      </c>
      <c r="X338" s="71">
        <f>IF(OR(C338="",C338=0,'Daily Data'!K338=""),"",'Daily Data'!K338/C338)</f>
        <v/>
      </c>
      <c r="Y338" s="71">
        <f>IF(OR(F338="",W338="",X338=""),"",F338-W338-X338)</f>
        <v/>
      </c>
      <c r="Z338" s="72" t="n">
        <v>367.47</v>
      </c>
      <c r="AA338" s="72" t="n">
        <v>64.84999999999999</v>
      </c>
      <c r="AB338" s="73">
        <f>Z338+AA338</f>
        <v/>
      </c>
      <c r="AC338" s="74">
        <f>IF(OR(E338="",E338=0,AB338=""),"",E338*365/(AB338*1000000))</f>
        <v/>
      </c>
      <c r="AD338" s="98">
        <f>IF(OR(O338="",O338=0,AB338=""),"",(AB338*1000000)/O338)</f>
        <v/>
      </c>
      <c r="AE338" s="99">
        <f>IF(H338="","",(Team_Genesis-H338)/1000000)</f>
        <v/>
      </c>
      <c r="AF338" s="99">
        <f>IF(OR(O338="",AE338=""),"",(O338-AE338*1000000)/1000000)</f>
        <v/>
      </c>
    </row>
    <row r="339">
      <c r="A339" s="35" t="n">
        <v>45993</v>
      </c>
      <c r="B339" s="90">
        <f>IF('Daily Data'!E339="","",'Daily Data'!E339)</f>
        <v/>
      </c>
      <c r="C339" s="65" t="n">
        <v>31.19</v>
      </c>
      <c r="D339" s="94" t="n">
        <v>67716.16</v>
      </c>
      <c r="E339" s="94" t="n">
        <v>25997.6102</v>
      </c>
      <c r="F339" s="94" t="n">
        <v>1385.634</v>
      </c>
      <c r="G339" s="94" t="n"/>
      <c r="H339" s="95">
        <f>SUM($G$4:G339)</f>
        <v/>
      </c>
      <c r="I339" s="94" t="n">
        <v>1000000000</v>
      </c>
      <c r="J339" s="95">
        <f>J338-E339</f>
        <v/>
      </c>
      <c r="K339" s="94" t="n">
        <v>60000000</v>
      </c>
      <c r="L339" s="94" t="n">
        <v>36323946.13</v>
      </c>
      <c r="M339" s="94" t="n">
        <v>3000000</v>
      </c>
      <c r="N339" s="94" t="n">
        <v>510387.4872000217</v>
      </c>
      <c r="O339" s="96">
        <f>IF(OR(I339="",J339="",L339="",N339=""),"",I339-J339-K339-L339-M339-N339)</f>
        <v/>
      </c>
      <c r="P339" s="91">
        <f>IF(OR(O339="",C339=""),"",O339*C339)</f>
        <v/>
      </c>
      <c r="Q339" s="69">
        <f>Q338-E339</f>
        <v/>
      </c>
      <c r="R339" s="97">
        <f>IF(OR(J339="",Q339=""),"",J339-Q339)</f>
        <v/>
      </c>
      <c r="S339" s="69">
        <f>IF(D339="",S338,S338+D339)</f>
        <v/>
      </c>
      <c r="T339" s="97">
        <f>IF(OR(L339="",S339=""),"",L339-S339)</f>
        <v/>
      </c>
      <c r="U339" s="69">
        <f>IF(F339="",U338,U338+F339)</f>
        <v/>
      </c>
      <c r="V339" s="97">
        <f>IF(OR(N339="",U339=""),"",N339-U339)</f>
        <v/>
      </c>
      <c r="W339" s="71">
        <f>IF(OR(C339="",C339=0,'Daily Data'!J339=""),"",'Daily Data'!J339/C339)</f>
        <v/>
      </c>
      <c r="X339" s="71">
        <f>IF(OR(C339="",C339=0,'Daily Data'!K339=""),"",'Daily Data'!K339/C339)</f>
        <v/>
      </c>
      <c r="Y339" s="71">
        <f>IF(OR(F339="",W339="",X339=""),"",F339-W339-X339)</f>
        <v/>
      </c>
      <c r="Z339" s="72" t="n">
        <v>367.47</v>
      </c>
      <c r="AA339" s="72" t="n">
        <v>64.84999999999999</v>
      </c>
      <c r="AB339" s="73">
        <f>Z339+AA339</f>
        <v/>
      </c>
      <c r="AC339" s="74">
        <f>IF(OR(E339="",E339=0,AB339=""),"",E339*365/(AB339*1000000))</f>
        <v/>
      </c>
      <c r="AD339" s="98">
        <f>IF(OR(O339="",O339=0,AB339=""),"",(AB339*1000000)/O339)</f>
        <v/>
      </c>
      <c r="AE339" s="99">
        <f>IF(H339="","",(Team_Genesis-H339)/1000000)</f>
        <v/>
      </c>
      <c r="AF339" s="99">
        <f>IF(OR(O339="",AE339=""),"",(O339-AE339*1000000)/1000000)</f>
        <v/>
      </c>
    </row>
    <row r="340">
      <c r="A340" s="35" t="n">
        <v>45994</v>
      </c>
      <c r="B340" s="90">
        <f>IF('Daily Data'!E340="","",'Daily Data'!E340)</f>
        <v/>
      </c>
      <c r="C340" s="65" t="n">
        <v>33.65</v>
      </c>
      <c r="D340" s="94" t="n">
        <v>60797.55</v>
      </c>
      <c r="E340" s="94" t="n">
        <v>25968.5244</v>
      </c>
      <c r="F340" s="94" t="n">
        <v>1964.9548</v>
      </c>
      <c r="G340" s="94" t="n"/>
      <c r="H340" s="95">
        <f>SUM($G$4:G340)</f>
        <v/>
      </c>
      <c r="I340" s="94" t="n">
        <v>1000000000</v>
      </c>
      <c r="J340" s="95">
        <f>J339-E340</f>
        <v/>
      </c>
      <c r="K340" s="94" t="n">
        <v>60000000</v>
      </c>
      <c r="L340" s="94" t="n">
        <v>36384895.82</v>
      </c>
      <c r="M340" s="94" t="n">
        <v>3000000</v>
      </c>
      <c r="N340" s="94" t="n">
        <v>512352.4420000315</v>
      </c>
      <c r="O340" s="96">
        <f>IF(OR(I340="",J340="",L340="",N340=""),"",I340-J340-K340-L340-M340-N340)</f>
        <v/>
      </c>
      <c r="P340" s="91">
        <f>IF(OR(O340="",C340=""),"",O340*C340)</f>
        <v/>
      </c>
      <c r="Q340" s="69">
        <f>Q339-E340</f>
        <v/>
      </c>
      <c r="R340" s="97">
        <f>IF(OR(J340="",Q340=""),"",J340-Q340)</f>
        <v/>
      </c>
      <c r="S340" s="69">
        <f>IF(D340="",S339,S339+D340)</f>
        <v/>
      </c>
      <c r="T340" s="97">
        <f>IF(OR(L340="",S340=""),"",L340-S340)</f>
        <v/>
      </c>
      <c r="U340" s="69">
        <f>IF(F340="",U339,U339+F340)</f>
        <v/>
      </c>
      <c r="V340" s="97">
        <f>IF(OR(N340="",U340=""),"",N340-U340)</f>
        <v/>
      </c>
      <c r="W340" s="71">
        <f>IF(OR(C340="",C340=0,'Daily Data'!J340=""),"",'Daily Data'!J340/C340)</f>
        <v/>
      </c>
      <c r="X340" s="71">
        <f>IF(OR(C340="",C340=0,'Daily Data'!K340=""),"",'Daily Data'!K340/C340)</f>
        <v/>
      </c>
      <c r="Y340" s="71">
        <f>IF(OR(F340="",W340="",X340=""),"",F340-W340-X340)</f>
        <v/>
      </c>
      <c r="Z340" s="72" t="n">
        <v>367.47</v>
      </c>
      <c r="AA340" s="72" t="n">
        <v>64.84999999999999</v>
      </c>
      <c r="AB340" s="73">
        <f>Z340+AA340</f>
        <v/>
      </c>
      <c r="AC340" s="74">
        <f>IF(OR(E340="",E340=0,AB340=""),"",E340*365/(AB340*1000000))</f>
        <v/>
      </c>
      <c r="AD340" s="98">
        <f>IF(OR(O340="",O340=0,AB340=""),"",(AB340*1000000)/O340)</f>
        <v/>
      </c>
      <c r="AE340" s="99">
        <f>IF(H340="","",(Team_Genesis-H340)/1000000)</f>
        <v/>
      </c>
      <c r="AF340" s="99">
        <f>IF(OR(O340="",AE340=""),"",(O340-AE340*1000000)/1000000)</f>
        <v/>
      </c>
    </row>
    <row r="341">
      <c r="A341" s="35" t="n">
        <v>45995</v>
      </c>
      <c r="B341" s="90">
        <f>IF('Daily Data'!E341="","",'Daily Data'!E341)</f>
        <v/>
      </c>
      <c r="C341" s="65" t="n">
        <v>34.56</v>
      </c>
      <c r="D341" s="94" t="n">
        <v>48186.92</v>
      </c>
      <c r="E341" s="94" t="n">
        <v>25970.2027</v>
      </c>
      <c r="F341" s="94" t="n">
        <v>630.4376</v>
      </c>
      <c r="G341" s="94" t="n"/>
      <c r="H341" s="95">
        <f>SUM($G$4:G341)</f>
        <v/>
      </c>
      <c r="I341" s="94" t="n">
        <v>1000000000</v>
      </c>
      <c r="J341" s="95">
        <f>J340-E341</f>
        <v/>
      </c>
      <c r="K341" s="94" t="n">
        <v>60000000</v>
      </c>
      <c r="L341" s="94" t="n">
        <v>36432787.69</v>
      </c>
      <c r="M341" s="94" t="n">
        <v>3000000</v>
      </c>
      <c r="N341" s="94" t="n">
        <v>512982.8796000481</v>
      </c>
      <c r="O341" s="96">
        <f>IF(OR(I341="",J341="",L341="",N341=""),"",I341-J341-K341-L341-M341-N341)</f>
        <v/>
      </c>
      <c r="P341" s="91">
        <f>IF(OR(O341="",C341=""),"",O341*C341)</f>
        <v/>
      </c>
      <c r="Q341" s="69">
        <f>Q340-E341</f>
        <v/>
      </c>
      <c r="R341" s="97">
        <f>IF(OR(J341="",Q341=""),"",J341-Q341)</f>
        <v/>
      </c>
      <c r="S341" s="69">
        <f>IF(D341="",S340,S340+D341)</f>
        <v/>
      </c>
      <c r="T341" s="97">
        <f>IF(OR(L341="",S341=""),"",L341-S341)</f>
        <v/>
      </c>
      <c r="U341" s="69">
        <f>IF(F341="",U340,U340+F341)</f>
        <v/>
      </c>
      <c r="V341" s="97">
        <f>IF(OR(N341="",U341=""),"",N341-U341)</f>
        <v/>
      </c>
      <c r="W341" s="71">
        <f>IF(OR(C341="",C341=0,'Daily Data'!J341=""),"",'Daily Data'!J341/C341)</f>
        <v/>
      </c>
      <c r="X341" s="71">
        <f>IF(OR(C341="",C341=0,'Daily Data'!K341=""),"",'Daily Data'!K341/C341)</f>
        <v/>
      </c>
      <c r="Y341" s="71">
        <f>IF(OR(F341="",W341="",X341=""),"",F341-W341-X341)</f>
        <v/>
      </c>
      <c r="Z341" s="72" t="n">
        <v>367.47</v>
      </c>
      <c r="AA341" s="72" t="n">
        <v>64.84999999999999</v>
      </c>
      <c r="AB341" s="73">
        <f>Z341+AA341</f>
        <v/>
      </c>
      <c r="AC341" s="74">
        <f>IF(OR(E341="",E341=0,AB341=""),"",E341*365/(AB341*1000000))</f>
        <v/>
      </c>
      <c r="AD341" s="98">
        <f>IF(OR(O341="",O341=0,AB341=""),"",(AB341*1000000)/O341)</f>
        <v/>
      </c>
      <c r="AE341" s="99">
        <f>IF(H341="","",(Team_Genesis-H341)/1000000)</f>
        <v/>
      </c>
      <c r="AF341" s="99">
        <f>IF(OR(O341="",AE341=""),"",(O341-AE341*1000000)/1000000)</f>
        <v/>
      </c>
    </row>
    <row r="342">
      <c r="A342" s="35" t="n">
        <v>45996</v>
      </c>
      <c r="B342" s="90">
        <f>IF('Daily Data'!E342="","",'Daily Data'!E342)</f>
        <v/>
      </c>
      <c r="C342" s="65" t="n">
        <v>33.49</v>
      </c>
      <c r="D342" s="94" t="n">
        <v>63142.73</v>
      </c>
      <c r="E342" s="94" t="n">
        <v>26286.8388</v>
      </c>
      <c r="F342" s="94" t="n">
        <v>1171.0211</v>
      </c>
      <c r="G342" s="94" t="n"/>
      <c r="H342" s="95">
        <f>SUM($G$4:G342)</f>
        <v/>
      </c>
      <c r="I342" s="94" t="n">
        <v>1000000000</v>
      </c>
      <c r="J342" s="95">
        <f>J341-E342</f>
        <v/>
      </c>
      <c r="K342" s="94" t="n">
        <v>60000000</v>
      </c>
      <c r="L342" s="94" t="n">
        <v>36495511.64</v>
      </c>
      <c r="M342" s="94" t="n">
        <v>3000000</v>
      </c>
      <c r="N342" s="94" t="n">
        <v>514153.9006999731</v>
      </c>
      <c r="O342" s="96">
        <f>IF(OR(I342="",J342="",L342="",N342=""),"",I342-J342-K342-L342-M342-N342)</f>
        <v/>
      </c>
      <c r="P342" s="91">
        <f>IF(OR(O342="",C342=""),"",O342*C342)</f>
        <v/>
      </c>
      <c r="Q342" s="69">
        <f>Q341-E342</f>
        <v/>
      </c>
      <c r="R342" s="97">
        <f>IF(OR(J342="",Q342=""),"",J342-Q342)</f>
        <v/>
      </c>
      <c r="S342" s="69">
        <f>IF(D342="",S341,S341+D342)</f>
        <v/>
      </c>
      <c r="T342" s="97">
        <f>IF(OR(L342="",S342=""),"",L342-S342)</f>
        <v/>
      </c>
      <c r="U342" s="69">
        <f>IF(F342="",U341,U341+F342)</f>
        <v/>
      </c>
      <c r="V342" s="97">
        <f>IF(OR(N342="",U342=""),"",N342-U342)</f>
        <v/>
      </c>
      <c r="W342" s="71">
        <f>IF(OR(C342="",C342=0,'Daily Data'!J342=""),"",'Daily Data'!J342/C342)</f>
        <v/>
      </c>
      <c r="X342" s="71">
        <f>IF(OR(C342="",C342=0,'Daily Data'!K342=""),"",'Daily Data'!K342/C342)</f>
        <v/>
      </c>
      <c r="Y342" s="71">
        <f>IF(OR(F342="",W342="",X342=""),"",F342-W342-X342)</f>
        <v/>
      </c>
      <c r="Z342" s="72" t="n">
        <v>367.47</v>
      </c>
      <c r="AA342" s="72" t="n">
        <v>64.84999999999999</v>
      </c>
      <c r="AB342" s="73">
        <f>Z342+AA342</f>
        <v/>
      </c>
      <c r="AC342" s="74">
        <f>IF(OR(E342="",E342=0,AB342=""),"",E342*365/(AB342*1000000))</f>
        <v/>
      </c>
      <c r="AD342" s="98">
        <f>IF(OR(O342="",O342=0,AB342=""),"",(AB342*1000000)/O342)</f>
        <v/>
      </c>
      <c r="AE342" s="99">
        <f>IF(H342="","",(Team_Genesis-H342)/1000000)</f>
        <v/>
      </c>
      <c r="AF342" s="99">
        <f>IF(OR(O342="",AE342=""),"",(O342-AE342*1000000)/1000000)</f>
        <v/>
      </c>
    </row>
    <row r="343">
      <c r="A343" s="35" t="n">
        <v>45997</v>
      </c>
      <c r="B343" s="90">
        <f>IF('Daily Data'!E343="","",'Daily Data'!E343)</f>
        <v/>
      </c>
      <c r="C343" s="65" t="n">
        <v>30.66</v>
      </c>
      <c r="D343" s="94" t="n">
        <v>21702.43</v>
      </c>
      <c r="E343" s="94" t="n">
        <v>26453.3853</v>
      </c>
      <c r="F343" s="94" t="n">
        <v>1209.6382</v>
      </c>
      <c r="G343" s="94" t="n">
        <v>0</v>
      </c>
      <c r="H343" s="95">
        <f>SUM($G$4:G343)</f>
        <v/>
      </c>
      <c r="I343" s="94" t="n">
        <v>1000000000</v>
      </c>
      <c r="J343" s="95">
        <f>J342-E343</f>
        <v/>
      </c>
      <c r="K343" s="94" t="n">
        <v>60000000</v>
      </c>
      <c r="L343" s="94" t="n">
        <v>36516646.11</v>
      </c>
      <c r="M343" s="94" t="n">
        <v>3000000</v>
      </c>
      <c r="N343" s="94" t="n">
        <v>515363.5389000177</v>
      </c>
      <c r="O343" s="96">
        <f>IF(OR(I343="",J343="",L343="",N343=""),"",I343-J343-K343-L343-M343-N343)</f>
        <v/>
      </c>
      <c r="P343" s="91">
        <f>IF(OR(O343="",C343=""),"",O343*C343)</f>
        <v/>
      </c>
      <c r="Q343" s="69">
        <f>Q342-E343</f>
        <v/>
      </c>
      <c r="R343" s="97">
        <f>IF(OR(J343="",Q343=""),"",J343-Q343)</f>
        <v/>
      </c>
      <c r="S343" s="69">
        <f>IF(D343="",S342,S342+D343)</f>
        <v/>
      </c>
      <c r="T343" s="97">
        <f>IF(OR(L343="",S343=""),"",L343-S343)</f>
        <v/>
      </c>
      <c r="U343" s="69">
        <f>IF(F343="",U342,U342+F343)</f>
        <v/>
      </c>
      <c r="V343" s="97">
        <f>IF(OR(N343="",U343=""),"",N343-U343)</f>
        <v/>
      </c>
      <c r="W343" s="71">
        <f>IF(OR(C343="",C343=0,'Daily Data'!J343=""),"",'Daily Data'!J343/C343)</f>
        <v/>
      </c>
      <c r="X343" s="71">
        <f>IF(OR(C343="",C343=0,'Daily Data'!K343=""),"",'Daily Data'!K343/C343)</f>
        <v/>
      </c>
      <c r="Y343" s="71">
        <f>IF(OR(F343="",W343="",X343=""),"",F343-W343-X343)</f>
        <v/>
      </c>
      <c r="Z343" s="72" t="n">
        <v>367.47</v>
      </c>
      <c r="AA343" s="72" t="n">
        <v>64.84999999999999</v>
      </c>
      <c r="AB343" s="73">
        <f>Z343+AA343</f>
        <v/>
      </c>
      <c r="AC343" s="74">
        <f>IF(OR(E343="",E343=0,AB343=""),"",E343*365/(AB343*1000000))</f>
        <v/>
      </c>
      <c r="AD343" s="98">
        <f>IF(OR(O343="",O343=0,AB343=""),"",(AB343*1000000)/O343)</f>
        <v/>
      </c>
      <c r="AE343" s="99">
        <f>IF(H343="","",(Team_Genesis-H343)/1000000)</f>
        <v/>
      </c>
      <c r="AF343" s="99">
        <f>IF(OR(O343="",AE343=""),"",(O343-AE343*1000000)/1000000)</f>
        <v/>
      </c>
    </row>
    <row r="344">
      <c r="A344" s="35" t="n">
        <v>45998</v>
      </c>
      <c r="B344" s="90">
        <f>IF('Daily Data'!E344="","",'Daily Data'!E344)</f>
        <v/>
      </c>
      <c r="C344" s="65" t="n">
        <v>31.12</v>
      </c>
      <c r="D344" s="94" t="n">
        <v>58504.27</v>
      </c>
      <c r="E344" s="94" t="n">
        <v>26424.9266</v>
      </c>
      <c r="F344" s="94" t="n">
        <v>969.9399</v>
      </c>
      <c r="G344" s="94" t="n"/>
      <c r="H344" s="95">
        <f>SUM($G$4:G344)</f>
        <v/>
      </c>
      <c r="I344" s="94" t="n">
        <v>1000000000</v>
      </c>
      <c r="J344" s="95">
        <f>J343-E344</f>
        <v/>
      </c>
      <c r="K344" s="94" t="n">
        <v>60000000</v>
      </c>
      <c r="L344" s="94" t="n">
        <v>36575096.92</v>
      </c>
      <c r="M344" s="94" t="n">
        <v>3000000</v>
      </c>
      <c r="N344" s="94" t="n">
        <v>516333.4788999557</v>
      </c>
      <c r="O344" s="96">
        <f>IF(OR(I344="",J344="",L344="",N344=""),"",I344-J344-K344-L344-M344-N344)</f>
        <v/>
      </c>
      <c r="P344" s="91">
        <f>IF(OR(O344="",C344=""),"",O344*C344)</f>
        <v/>
      </c>
      <c r="Q344" s="69">
        <f>Q343-E344</f>
        <v/>
      </c>
      <c r="R344" s="97">
        <f>IF(OR(J344="",Q344=""),"",J344-Q344)</f>
        <v/>
      </c>
      <c r="S344" s="69">
        <f>IF(D344="",S343,S343+D344)</f>
        <v/>
      </c>
      <c r="T344" s="97">
        <f>IF(OR(L344="",S344=""),"",L344-S344)</f>
        <v/>
      </c>
      <c r="U344" s="69">
        <f>IF(F344="",U343,U343+F344)</f>
        <v/>
      </c>
      <c r="V344" s="97">
        <f>IF(OR(N344="",U344=""),"",N344-U344)</f>
        <v/>
      </c>
      <c r="W344" s="71">
        <f>IF(OR(C344="",C344=0,'Daily Data'!J344=""),"",'Daily Data'!J344/C344)</f>
        <v/>
      </c>
      <c r="X344" s="71">
        <f>IF(OR(C344="",C344=0,'Daily Data'!K344=""),"",'Daily Data'!K344/C344)</f>
        <v/>
      </c>
      <c r="Y344" s="71">
        <f>IF(OR(F344="",W344="",X344=""),"",F344-W344-X344)</f>
        <v/>
      </c>
      <c r="Z344" s="72" t="n">
        <v>367.47</v>
      </c>
      <c r="AA344" s="72" t="n">
        <v>64.84999999999999</v>
      </c>
      <c r="AB344" s="73">
        <f>Z344+AA344</f>
        <v/>
      </c>
      <c r="AC344" s="74">
        <f>IF(OR(E344="",E344=0,AB344=""),"",E344*365/(AB344*1000000))</f>
        <v/>
      </c>
      <c r="AD344" s="98">
        <f>IF(OR(O344="",O344=0,AB344=""),"",(AB344*1000000)/O344)</f>
        <v/>
      </c>
      <c r="AE344" s="99">
        <f>IF(H344="","",(Team_Genesis-H344)/1000000)</f>
        <v/>
      </c>
      <c r="AF344" s="99">
        <f>IF(OR(O344="",AE344=""),"",(O344-AE344*1000000)/1000000)</f>
        <v/>
      </c>
    </row>
    <row r="345">
      <c r="A345" s="35" t="n">
        <v>45999</v>
      </c>
      <c r="B345" s="90">
        <f>IF('Daily Data'!E345="","",'Daily Data'!E345)</f>
        <v/>
      </c>
      <c r="C345" s="65" t="n">
        <v>29.91</v>
      </c>
      <c r="D345" s="94" t="n">
        <v>58433.15</v>
      </c>
      <c r="E345" s="94" t="n">
        <v>0</v>
      </c>
      <c r="F345" s="94" t="n">
        <v>-4131.1617</v>
      </c>
      <c r="G345" s="94" t="n"/>
      <c r="H345" s="95">
        <f>SUM($G$4:G345)</f>
        <v/>
      </c>
      <c r="I345" s="94" t="n">
        <v>1000000000</v>
      </c>
      <c r="J345" s="95">
        <f>J344-E345</f>
        <v/>
      </c>
      <c r="K345" s="94" t="n">
        <v>60000000</v>
      </c>
      <c r="L345" s="94" t="n">
        <v>36821105.39</v>
      </c>
      <c r="M345" s="94" t="n">
        <v>3000000</v>
      </c>
      <c r="N345" s="94" t="n">
        <v>517806.6019999981</v>
      </c>
      <c r="O345" s="96">
        <f>IF(OR(I345="",J345="",L345="",N345=""),"",I345-J345-K345-L345-M345-N345)</f>
        <v/>
      </c>
      <c r="P345" s="91">
        <f>IF(OR(O345="",C345=""),"",O345*C345)</f>
        <v/>
      </c>
      <c r="Q345" s="69">
        <f>Q344-E345</f>
        <v/>
      </c>
      <c r="R345" s="97">
        <f>IF(OR(J345="",Q345=""),"",J345-Q345)</f>
        <v/>
      </c>
      <c r="S345" s="69">
        <f>IF(D345="",S344,S344+D345)</f>
        <v/>
      </c>
      <c r="T345" s="97">
        <f>IF(OR(L345="",S345=""),"",L345-S345)</f>
        <v/>
      </c>
      <c r="U345" s="69">
        <f>IF(F345="",U344,U344+F345)</f>
        <v/>
      </c>
      <c r="V345" s="97">
        <f>IF(OR(N345="",U345=""),"",N345-U345)</f>
        <v/>
      </c>
      <c r="W345" s="71">
        <f>IF(OR(C345="",C345=0,'Daily Data'!J345=""),"",'Daily Data'!J345/C345)</f>
        <v/>
      </c>
      <c r="X345" s="71">
        <f>IF(OR(C345="",C345=0,'Daily Data'!K345=""),"",'Daily Data'!K345/C345)</f>
        <v/>
      </c>
      <c r="Y345" s="71">
        <f>IF(OR(F345="",W345="",X345=""),"",F345-W345-X345)</f>
        <v/>
      </c>
      <c r="Z345" s="72" t="n">
        <v>367.47</v>
      </c>
      <c r="AA345" s="72" t="n">
        <v>64.84999999999999</v>
      </c>
      <c r="AB345" s="73">
        <f>Z345+AA345</f>
        <v/>
      </c>
      <c r="AC345" s="74">
        <f>IF(OR(E345="",E345=0,AB345=""),"",E345*365/(AB345*1000000))</f>
        <v/>
      </c>
      <c r="AD345" s="98">
        <f>IF(OR(O345="",O345=0,AB345=""),"",(AB345*1000000)/O345)</f>
        <v/>
      </c>
      <c r="AE345" s="99">
        <f>IF(H345="","",(Team_Genesis-H345)/1000000)</f>
        <v/>
      </c>
      <c r="AF345" s="99">
        <f>IF(OR(O345="",AE345=""),"",(O345-AE345*1000000)/1000000)</f>
        <v/>
      </c>
    </row>
    <row r="346">
      <c r="A346" s="35" t="n">
        <v>46000</v>
      </c>
      <c r="B346" s="90">
        <f>IF('Daily Data'!E346="","",'Daily Data'!E346)</f>
        <v/>
      </c>
      <c r="C346" s="65" t="n">
        <v>27.95</v>
      </c>
      <c r="D346" s="94" t="n">
        <v>84868.58</v>
      </c>
      <c r="E346" s="94" t="n">
        <v>88711.8459</v>
      </c>
      <c r="F346" s="94" t="n">
        <v>4131.1617</v>
      </c>
      <c r="G346" s="94" t="n"/>
      <c r="H346" s="95">
        <f>SUM($G$4:G346)</f>
        <v/>
      </c>
      <c r="I346" s="94" t="n">
        <v>1000000000</v>
      </c>
      <c r="J346" s="95">
        <f>J345-E346</f>
        <v/>
      </c>
      <c r="K346" s="94" t="n">
        <v>60000000</v>
      </c>
      <c r="L346" s="94" t="n">
        <v>36821105.39</v>
      </c>
      <c r="M346" s="94" t="n">
        <v>3000000</v>
      </c>
      <c r="N346" s="94" t="n">
        <v>521937.7637000084</v>
      </c>
      <c r="O346" s="96">
        <f>IF(OR(I346="",J346="",L346="",N346=""),"",I346-J346-K346-L346-M346-N346)</f>
        <v/>
      </c>
      <c r="P346" s="91">
        <f>IF(OR(O346="",C346=""),"",O346*C346)</f>
        <v/>
      </c>
      <c r="Q346" s="69">
        <f>Q345-E346</f>
        <v/>
      </c>
      <c r="R346" s="97">
        <f>IF(OR(J346="",Q346=""),"",J346-Q346)</f>
        <v/>
      </c>
      <c r="S346" s="69">
        <f>IF(D346="",S345,S345+D346)</f>
        <v/>
      </c>
      <c r="T346" s="97">
        <f>IF(OR(L346="",S346=""),"",L346-S346)</f>
        <v/>
      </c>
      <c r="U346" s="69">
        <f>IF(F346="",U345,U345+F346)</f>
        <v/>
      </c>
      <c r="V346" s="97">
        <f>IF(OR(N346="",U346=""),"",N346-U346)</f>
        <v/>
      </c>
      <c r="W346" s="71">
        <f>IF(OR(C346="",C346=0,'Daily Data'!J346=""),"",'Daily Data'!J346/C346)</f>
        <v/>
      </c>
      <c r="X346" s="71">
        <f>IF(OR(C346="",C346=0,'Daily Data'!K346=""),"",'Daily Data'!K346/C346)</f>
        <v/>
      </c>
      <c r="Y346" s="71">
        <f>IF(OR(F346="",W346="",X346=""),"",F346-W346-X346)</f>
        <v/>
      </c>
      <c r="Z346" s="72" t="n">
        <v>367.47</v>
      </c>
      <c r="AA346" s="72" t="n">
        <v>64.84999999999999</v>
      </c>
      <c r="AB346" s="73">
        <f>Z346+AA346</f>
        <v/>
      </c>
      <c r="AC346" s="74">
        <f>IF(OR(E346="",E346=0,AB346=""),"",E346*365/(AB346*1000000))</f>
        <v/>
      </c>
      <c r="AD346" s="98">
        <f>IF(OR(O346="",O346=0,AB346=""),"",(AB346*1000000)/O346)</f>
        <v/>
      </c>
      <c r="AE346" s="99">
        <f>IF(H346="","",(Team_Genesis-H346)/1000000)</f>
        <v/>
      </c>
      <c r="AF346" s="99">
        <f>IF(OR(O346="",AE346=""),"",(O346-AE346*1000000)/1000000)</f>
        <v/>
      </c>
    </row>
    <row r="347">
      <c r="A347" s="35" t="n">
        <v>46001</v>
      </c>
      <c r="B347" s="90">
        <f>IF('Daily Data'!E347="","",'Daily Data'!E347)</f>
        <v/>
      </c>
      <c r="C347" s="65" t="n">
        <v>27.9</v>
      </c>
      <c r="D347" s="94" t="n">
        <v>77372.82000000001</v>
      </c>
      <c r="E347" s="94" t="n">
        <v>275.58</v>
      </c>
      <c r="F347" s="94" t="n">
        <v>0.5085</v>
      </c>
      <c r="G347" s="94" t="n"/>
      <c r="H347" s="95">
        <f>SUM($G$4:G347)</f>
        <v/>
      </c>
      <c r="I347" s="94" t="n">
        <v>1000000000</v>
      </c>
      <c r="J347" s="95">
        <f>J346-E347</f>
        <v/>
      </c>
      <c r="K347" s="94" t="n">
        <v>60000000</v>
      </c>
      <c r="L347" s="94" t="n">
        <v>36819849.91</v>
      </c>
      <c r="M347" s="94" t="n">
        <v>3000000</v>
      </c>
      <c r="N347" s="94" t="n">
        <v>521938.2720999718</v>
      </c>
      <c r="O347" s="96">
        <f>IF(OR(I347="",J347="",L347="",N347=""),"",I347-J347-K347-L347-M347-N347)</f>
        <v/>
      </c>
      <c r="P347" s="91">
        <f>IF(OR(O347="",C347=""),"",O347*C347)</f>
        <v/>
      </c>
      <c r="Q347" s="69">
        <f>Q346-E347</f>
        <v/>
      </c>
      <c r="R347" s="97">
        <f>IF(OR(J347="",Q347=""),"",J347-Q347)</f>
        <v/>
      </c>
      <c r="S347" s="69">
        <f>IF(D347="",S346,S346+D347)</f>
        <v/>
      </c>
      <c r="T347" s="97">
        <f>IF(OR(L347="",S347=""),"",L347-S347)</f>
        <v/>
      </c>
      <c r="U347" s="69">
        <f>IF(F347="",U346,U346+F347)</f>
        <v/>
      </c>
      <c r="V347" s="97">
        <f>IF(OR(N347="",U347=""),"",N347-U347)</f>
        <v/>
      </c>
      <c r="W347" s="71">
        <f>IF(OR(C347="",C347=0,'Daily Data'!J347=""),"",'Daily Data'!J347/C347)</f>
        <v/>
      </c>
      <c r="X347" s="71">
        <f>IF(OR(C347="",C347=0,'Daily Data'!K347=""),"",'Daily Data'!K347/C347)</f>
        <v/>
      </c>
      <c r="Y347" s="71">
        <f>IF(OR(F347="",W347="",X347=""),"",F347-W347-X347)</f>
        <v/>
      </c>
      <c r="Z347" s="72" t="n">
        <v>367.47</v>
      </c>
      <c r="AA347" s="72" t="n">
        <v>64.84999999999999</v>
      </c>
      <c r="AB347" s="73">
        <f>Z347+AA347</f>
        <v/>
      </c>
      <c r="AC347" s="74">
        <f>IF(OR(E347="",E347=0,AB347=""),"",E347*365/(AB347*1000000))</f>
        <v/>
      </c>
      <c r="AD347" s="98">
        <f>IF(OR(O347="",O347=0,AB347=""),"",(AB347*1000000)/O347)</f>
        <v/>
      </c>
      <c r="AE347" s="99">
        <f>IF(H347="","",(Team_Genesis-H347)/1000000)</f>
        <v/>
      </c>
      <c r="AF347" s="99">
        <f>IF(OR(O347="",AE347=""),"",(O347-AE347*1000000)/1000000)</f>
        <v/>
      </c>
    </row>
    <row r="348">
      <c r="A348" s="35" t="n">
        <v>46002</v>
      </c>
      <c r="B348" s="90">
        <f>IF('Daily Data'!E348="","",'Daily Data'!E348)</f>
        <v/>
      </c>
      <c r="C348" s="65" t="n">
        <v>28.03</v>
      </c>
      <c r="D348" s="94" t="n">
        <v>76238.06</v>
      </c>
      <c r="E348" s="94" t="n">
        <v>0</v>
      </c>
      <c r="F348" s="94" t="n">
        <v>-4.9549</v>
      </c>
      <c r="G348" s="94" t="n"/>
      <c r="H348" s="95">
        <f>SUM($G$4:G348)</f>
        <v/>
      </c>
      <c r="I348" s="94" t="n">
        <v>1000000000</v>
      </c>
      <c r="J348" s="95">
        <f>J347-E348</f>
        <v/>
      </c>
      <c r="K348" s="94" t="n">
        <v>60000000</v>
      </c>
      <c r="L348" s="94" t="n">
        <v>36874341.05</v>
      </c>
      <c r="M348" s="94" t="n">
        <v>3000000</v>
      </c>
      <c r="N348" s="94" t="n">
        <v>521933.317299962</v>
      </c>
      <c r="O348" s="96">
        <f>IF(OR(I348="",J348="",L348="",N348=""),"",I348-J348-K348-L348-M348-N348)</f>
        <v/>
      </c>
      <c r="P348" s="91">
        <f>IF(OR(O348="",C348=""),"",O348*C348)</f>
        <v/>
      </c>
      <c r="Q348" s="69">
        <f>Q347-E348</f>
        <v/>
      </c>
      <c r="R348" s="97">
        <f>IF(OR(J348="",Q348=""),"",J348-Q348)</f>
        <v/>
      </c>
      <c r="S348" s="69">
        <f>IF(D348="",S347,S347+D348)</f>
        <v/>
      </c>
      <c r="T348" s="97">
        <f>IF(OR(L348="",S348=""),"",L348-S348)</f>
        <v/>
      </c>
      <c r="U348" s="69">
        <f>IF(F348="",U347,U347+F348)</f>
        <v/>
      </c>
      <c r="V348" s="97">
        <f>IF(OR(N348="",U348=""),"",N348-U348)</f>
        <v/>
      </c>
      <c r="W348" s="71">
        <f>IF(OR(C348="",C348=0,'Daily Data'!J348=""),"",'Daily Data'!J348/C348)</f>
        <v/>
      </c>
      <c r="X348" s="71">
        <f>IF(OR(C348="",C348=0,'Daily Data'!K348=""),"",'Daily Data'!K348/C348)</f>
        <v/>
      </c>
      <c r="Y348" s="71">
        <f>IF(OR(F348="",W348="",X348=""),"",F348-W348-X348)</f>
        <v/>
      </c>
      <c r="Z348" s="72" t="n">
        <v>367.47</v>
      </c>
      <c r="AA348" s="72" t="n">
        <v>64.84999999999999</v>
      </c>
      <c r="AB348" s="73">
        <f>Z348+AA348</f>
        <v/>
      </c>
      <c r="AC348" s="74">
        <f>IF(OR(E348="",E348=0,AB348=""),"",E348*365/(AB348*1000000))</f>
        <v/>
      </c>
      <c r="AD348" s="98">
        <f>IF(OR(O348="",O348=0,AB348=""),"",(AB348*1000000)/O348)</f>
        <v/>
      </c>
      <c r="AE348" s="99">
        <f>IF(H348="","",(Team_Genesis-H348)/1000000)</f>
        <v/>
      </c>
      <c r="AF348" s="99">
        <f>IF(OR(O348="",AE348=""),"",(O348-AE348*1000000)/1000000)</f>
        <v/>
      </c>
    </row>
    <row r="349">
      <c r="A349" s="35" t="n">
        <v>46003</v>
      </c>
      <c r="B349" s="90">
        <f>IF('Daily Data'!E349="","",'Daily Data'!E349)</f>
        <v/>
      </c>
      <c r="C349" s="65" t="n">
        <v>29.13</v>
      </c>
      <c r="D349" s="94" t="n">
        <v>58888.81</v>
      </c>
      <c r="E349" s="94" t="n">
        <v>18059.735</v>
      </c>
      <c r="F349" s="94" t="n">
        <v>1445.5575</v>
      </c>
      <c r="G349" s="94" t="n"/>
      <c r="H349" s="95">
        <f>SUM($G$4:G349)</f>
        <v/>
      </c>
      <c r="I349" s="94" t="n">
        <v>1000000000</v>
      </c>
      <c r="J349" s="95">
        <f>J348-E349</f>
        <v/>
      </c>
      <c r="K349" s="94" t="n">
        <v>60000000</v>
      </c>
      <c r="L349" s="94" t="n">
        <v>36931525.93</v>
      </c>
      <c r="M349" s="94" t="n">
        <v>3000000</v>
      </c>
      <c r="N349" s="94" t="n">
        <v>523378.8747999668</v>
      </c>
      <c r="O349" s="96">
        <f>IF(OR(I349="",J349="",L349="",N349=""),"",I349-J349-K349-L349-M349-N349)</f>
        <v/>
      </c>
      <c r="P349" s="91">
        <f>IF(OR(O349="",C349=""),"",O349*C349)</f>
        <v/>
      </c>
      <c r="Q349" s="69">
        <f>Q348-E349</f>
        <v/>
      </c>
      <c r="R349" s="97">
        <f>IF(OR(J349="",Q349=""),"",J349-Q349)</f>
        <v/>
      </c>
      <c r="S349" s="69">
        <f>IF(D349="",S348,S348+D349)</f>
        <v/>
      </c>
      <c r="T349" s="97">
        <f>IF(OR(L349="",S349=""),"",L349-S349)</f>
        <v/>
      </c>
      <c r="U349" s="69">
        <f>IF(F349="",U348,U348+F349)</f>
        <v/>
      </c>
      <c r="V349" s="97">
        <f>IF(OR(N349="",U349=""),"",N349-U349)</f>
        <v/>
      </c>
      <c r="W349" s="71">
        <f>IF(OR(C349="",C349=0,'Daily Data'!J349=""),"",'Daily Data'!J349/C349)</f>
        <v/>
      </c>
      <c r="X349" s="71">
        <f>IF(OR(C349="",C349=0,'Daily Data'!K349=""),"",'Daily Data'!K349/C349)</f>
        <v/>
      </c>
      <c r="Y349" s="71">
        <f>IF(OR(F349="",W349="",X349=""),"",F349-W349-X349)</f>
        <v/>
      </c>
      <c r="Z349" s="72" t="n">
        <v>367.47</v>
      </c>
      <c r="AA349" s="72" t="n">
        <v>64.84999999999999</v>
      </c>
      <c r="AB349" s="73">
        <f>Z349+AA349</f>
        <v/>
      </c>
      <c r="AC349" s="74">
        <f>IF(OR(E349="",E349=0,AB349=""),"",E349*365/(AB349*1000000))</f>
        <v/>
      </c>
      <c r="AD349" s="98">
        <f>IF(OR(O349="",O349=0,AB349=""),"",(AB349*1000000)/O349)</f>
        <v/>
      </c>
      <c r="AE349" s="99">
        <f>IF(H349="","",(Team_Genesis-H349)/1000000)</f>
        <v/>
      </c>
      <c r="AF349" s="99">
        <f>IF(OR(O349="",AE349=""),"",(O349-AE349*1000000)/1000000)</f>
        <v/>
      </c>
    </row>
    <row r="350">
      <c r="A350" s="35" t="n">
        <v>46004</v>
      </c>
      <c r="B350" s="90">
        <f>IF('Daily Data'!E350="","",'Daily Data'!E350)</f>
        <v/>
      </c>
      <c r="C350" s="65" t="n">
        <v>28.74</v>
      </c>
      <c r="D350" s="94" t="n">
        <v>15306.92</v>
      </c>
      <c r="E350" s="94" t="n">
        <v>26452.1468</v>
      </c>
      <c r="F350" s="94" t="n">
        <v>480.8023</v>
      </c>
      <c r="G350" s="94" t="n"/>
      <c r="H350" s="95">
        <f>SUM($G$4:G350)</f>
        <v/>
      </c>
      <c r="I350" s="94" t="n">
        <v>1000000000</v>
      </c>
      <c r="J350" s="95">
        <f>J349-E350</f>
        <v/>
      </c>
      <c r="K350" s="94" t="n">
        <v>60000000</v>
      </c>
      <c r="L350" s="94" t="n">
        <v>36946205.26</v>
      </c>
      <c r="M350" s="94" t="n">
        <v>3000000</v>
      </c>
      <c r="N350" s="94" t="n">
        <v>523859.6770999432</v>
      </c>
      <c r="O350" s="96">
        <f>IF(OR(I350="",J350="",L350="",N350=""),"",I350-J350-K350-L350-M350-N350)</f>
        <v/>
      </c>
      <c r="P350" s="91">
        <f>IF(OR(O350="",C350=""),"",O350*C350)</f>
        <v/>
      </c>
      <c r="Q350" s="69">
        <f>Q349-E350</f>
        <v/>
      </c>
      <c r="R350" s="97">
        <f>IF(OR(J350="",Q350=""),"",J350-Q350)</f>
        <v/>
      </c>
      <c r="S350" s="69">
        <f>IF(D350="",S349,S349+D350)</f>
        <v/>
      </c>
      <c r="T350" s="97">
        <f>IF(OR(L350="",S350=""),"",L350-S350)</f>
        <v/>
      </c>
      <c r="U350" s="69">
        <f>IF(F350="",U349,U349+F350)</f>
        <v/>
      </c>
      <c r="V350" s="97">
        <f>IF(OR(N350="",U350=""),"",N350-U350)</f>
        <v/>
      </c>
      <c r="W350" s="71">
        <f>IF(OR(C350="",C350=0,'Daily Data'!J350=""),"",'Daily Data'!J350/C350)</f>
        <v/>
      </c>
      <c r="X350" s="71">
        <f>IF(OR(C350="",C350=0,'Daily Data'!K350=""),"",'Daily Data'!K350/C350)</f>
        <v/>
      </c>
      <c r="Y350" s="71">
        <f>IF(OR(F350="",W350="",X350=""),"",F350-W350-X350)</f>
        <v/>
      </c>
      <c r="Z350" s="72" t="n">
        <v>367.47</v>
      </c>
      <c r="AA350" s="72" t="n">
        <v>64.84999999999999</v>
      </c>
      <c r="AB350" s="73">
        <f>Z350+AA350</f>
        <v/>
      </c>
      <c r="AC350" s="74">
        <f>IF(OR(E350="",E350=0,AB350=""),"",E350*365/(AB350*1000000))</f>
        <v/>
      </c>
      <c r="AD350" s="98">
        <f>IF(OR(O350="",O350=0,AB350=""),"",(AB350*1000000)/O350)</f>
        <v/>
      </c>
      <c r="AE350" s="99">
        <f>IF(H350="","",(Team_Genesis-H350)/1000000)</f>
        <v/>
      </c>
      <c r="AF350" s="99">
        <f>IF(OR(O350="",AE350=""),"",(O350-AE350*1000000)/1000000)</f>
        <v/>
      </c>
    </row>
    <row r="351">
      <c r="A351" s="35" t="n">
        <v>46005</v>
      </c>
      <c r="B351" s="90">
        <f>IF('Daily Data'!E351="","",'Daily Data'!E351)</f>
        <v/>
      </c>
      <c r="C351" s="65" t="n">
        <v>29.82</v>
      </c>
      <c r="D351" s="94" t="n">
        <v>32806.2</v>
      </c>
      <c r="E351" s="94" t="n">
        <v>26457.3222</v>
      </c>
      <c r="F351" s="94" t="n">
        <v>1187.8446</v>
      </c>
      <c r="G351" s="94" t="n"/>
      <c r="H351" s="95">
        <f>SUM($G$4:G351)</f>
        <v/>
      </c>
      <c r="I351" s="94" t="n">
        <v>1000000000</v>
      </c>
      <c r="J351" s="95">
        <f>J350-E351</f>
        <v/>
      </c>
      <c r="K351" s="94" t="n">
        <v>60000000</v>
      </c>
      <c r="L351" s="94" t="n">
        <v>36980133.74</v>
      </c>
      <c r="M351" s="94" t="n">
        <v>3000000</v>
      </c>
      <c r="N351" s="94" t="n">
        <v>525047.5217000246</v>
      </c>
      <c r="O351" s="96">
        <f>IF(OR(I351="",J351="",L351="",N351=""),"",I351-J351-K351-L351-M351-N351)</f>
        <v/>
      </c>
      <c r="P351" s="91">
        <f>IF(OR(O351="",C351=""),"",O351*C351)</f>
        <v/>
      </c>
      <c r="Q351" s="69">
        <f>Q350-E351</f>
        <v/>
      </c>
      <c r="R351" s="97">
        <f>IF(OR(J351="",Q351=""),"",J351-Q351)</f>
        <v/>
      </c>
      <c r="S351" s="69">
        <f>IF(D351="",S350,S350+D351)</f>
        <v/>
      </c>
      <c r="T351" s="97">
        <f>IF(OR(L351="",S351=""),"",L351-S351)</f>
        <v/>
      </c>
      <c r="U351" s="69">
        <f>IF(F351="",U350,U350+F351)</f>
        <v/>
      </c>
      <c r="V351" s="97">
        <f>IF(OR(N351="",U351=""),"",N351-U351)</f>
        <v/>
      </c>
      <c r="W351" s="71">
        <f>IF(OR(C351="",C351=0,'Daily Data'!J351=""),"",'Daily Data'!J351/C351)</f>
        <v/>
      </c>
      <c r="X351" s="71">
        <f>IF(OR(C351="",C351=0,'Daily Data'!K351=""),"",'Daily Data'!K351/C351)</f>
        <v/>
      </c>
      <c r="Y351" s="71">
        <f>IF(OR(F351="",W351="",X351=""),"",F351-W351-X351)</f>
        <v/>
      </c>
      <c r="Z351" s="72" t="n">
        <v>367.47</v>
      </c>
      <c r="AA351" s="72" t="n">
        <v>64.84999999999999</v>
      </c>
      <c r="AB351" s="73">
        <f>Z351+AA351</f>
        <v/>
      </c>
      <c r="AC351" s="74">
        <f>IF(OR(E351="",E351=0,AB351=""),"",E351*365/(AB351*1000000))</f>
        <v/>
      </c>
      <c r="AD351" s="98">
        <f>IF(OR(O351="",O351=0,AB351=""),"",(AB351*1000000)/O351)</f>
        <v/>
      </c>
      <c r="AE351" s="99">
        <f>IF(H351="","",(Team_Genesis-H351)/1000000)</f>
        <v/>
      </c>
      <c r="AF351" s="99">
        <f>IF(OR(O351="",AE351=""),"",(O351-AE351*1000000)/1000000)</f>
        <v/>
      </c>
    </row>
    <row r="352">
      <c r="A352" s="35" t="n">
        <v>46006</v>
      </c>
      <c r="B352" s="90">
        <f>IF('Daily Data'!E352="","",'Daily Data'!E352)</f>
        <v/>
      </c>
      <c r="C352" s="65" t="n">
        <v>29.04</v>
      </c>
      <c r="D352" s="94" t="n">
        <v>73873.39</v>
      </c>
      <c r="E352" s="94" t="n">
        <v>26379.9452</v>
      </c>
      <c r="F352" s="94" t="n">
        <v>1342.3667</v>
      </c>
      <c r="G352" s="94" t="n"/>
      <c r="H352" s="95">
        <f>SUM($G$4:G352)</f>
        <v/>
      </c>
      <c r="I352" s="94" t="n">
        <v>1000000000</v>
      </c>
      <c r="J352" s="95">
        <f>J351-E352</f>
        <v/>
      </c>
      <c r="K352" s="94" t="n">
        <v>60000000</v>
      </c>
      <c r="L352" s="94" t="n">
        <v>37054037.49</v>
      </c>
      <c r="M352" s="94" t="n">
        <v>3000000</v>
      </c>
      <c r="N352" s="94" t="n">
        <v>526389.8883999586</v>
      </c>
      <c r="O352" s="96">
        <f>IF(OR(I352="",J352="",L352="",N352=""),"",I352-J352-K352-L352-M352-N352)</f>
        <v/>
      </c>
      <c r="P352" s="91">
        <f>IF(OR(O352="",C352=""),"",O352*C352)</f>
        <v/>
      </c>
      <c r="Q352" s="69">
        <f>Q351-E352</f>
        <v/>
      </c>
      <c r="R352" s="97">
        <f>IF(OR(J352="",Q352=""),"",J352-Q352)</f>
        <v/>
      </c>
      <c r="S352" s="69">
        <f>IF(D352="",S351,S351+D352)</f>
        <v/>
      </c>
      <c r="T352" s="97">
        <f>IF(OR(L352="",S352=""),"",L352-S352)</f>
        <v/>
      </c>
      <c r="U352" s="69">
        <f>IF(F352="",U351,U351+F352)</f>
        <v/>
      </c>
      <c r="V352" s="97">
        <f>IF(OR(N352="",U352=""),"",N352-U352)</f>
        <v/>
      </c>
      <c r="W352" s="71">
        <f>IF(OR(C352="",C352=0,'Daily Data'!J352=""),"",'Daily Data'!J352/C352)</f>
        <v/>
      </c>
      <c r="X352" s="71">
        <f>IF(OR(C352="",C352=0,'Daily Data'!K352=""),"",'Daily Data'!K352/C352)</f>
        <v/>
      </c>
      <c r="Y352" s="71">
        <f>IF(OR(F352="",W352="",X352=""),"",F352-W352-X352)</f>
        <v/>
      </c>
      <c r="Z352" s="72" t="n">
        <v>367.47</v>
      </c>
      <c r="AA352" s="72" t="n">
        <v>64.84999999999999</v>
      </c>
      <c r="AB352" s="73">
        <f>Z352+AA352</f>
        <v/>
      </c>
      <c r="AC352" s="74">
        <f>IF(OR(E352="",E352=0,AB352=""),"",E352*365/(AB352*1000000))</f>
        <v/>
      </c>
      <c r="AD352" s="98">
        <f>IF(OR(O352="",O352=0,AB352=""),"",(AB352*1000000)/O352)</f>
        <v/>
      </c>
      <c r="AE352" s="99">
        <f>IF(H352="","",(Team_Genesis-H352)/1000000)</f>
        <v/>
      </c>
      <c r="AF352" s="99">
        <f>IF(OR(O352="",AE352=""),"",(O352-AE352*1000000)/1000000)</f>
        <v/>
      </c>
    </row>
    <row r="353">
      <c r="A353" s="35" t="n">
        <v>46007</v>
      </c>
      <c r="B353" s="90">
        <f>IF('Daily Data'!E353="","",'Daily Data'!E353)</f>
        <v/>
      </c>
      <c r="C353" s="65" t="n">
        <v>27.49</v>
      </c>
      <c r="D353" s="94" t="n">
        <v>56352.5</v>
      </c>
      <c r="E353" s="94" t="n">
        <v>26460.0854</v>
      </c>
      <c r="F353" s="94" t="n">
        <v>1653.3904</v>
      </c>
      <c r="G353" s="94" t="n"/>
      <c r="H353" s="95">
        <f>SUM($G$4:G353)</f>
        <v/>
      </c>
      <c r="I353" s="94" t="n">
        <v>1000000000</v>
      </c>
      <c r="J353" s="95">
        <f>J352-E353</f>
        <v/>
      </c>
      <c r="K353" s="94" t="n">
        <v>60000000</v>
      </c>
      <c r="L353" s="94" t="n">
        <v>37110589.78</v>
      </c>
      <c r="M353" s="94" t="n">
        <v>3000000</v>
      </c>
      <c r="N353" s="94" t="n">
        <v>528043.2788000107</v>
      </c>
      <c r="O353" s="96">
        <f>IF(OR(I353="",J353="",L353="",N353=""),"",I353-J353-K353-L353-M353-N353)</f>
        <v/>
      </c>
      <c r="P353" s="91">
        <f>IF(OR(O353="",C353=""),"",O353*C353)</f>
        <v/>
      </c>
      <c r="Q353" s="69">
        <f>Q352-E353</f>
        <v/>
      </c>
      <c r="R353" s="97">
        <f>IF(OR(J353="",Q353=""),"",J353-Q353)</f>
        <v/>
      </c>
      <c r="S353" s="69">
        <f>IF(D353="",S352,S352+D353)</f>
        <v/>
      </c>
      <c r="T353" s="97">
        <f>IF(OR(L353="",S353=""),"",L353-S353)</f>
        <v/>
      </c>
      <c r="U353" s="69">
        <f>IF(F353="",U352,U352+F353)</f>
        <v/>
      </c>
      <c r="V353" s="97">
        <f>IF(OR(N353="",U353=""),"",N353-U353)</f>
        <v/>
      </c>
      <c r="W353" s="71">
        <f>IF(OR(C353="",C353=0,'Daily Data'!J353=""),"",'Daily Data'!J353/C353)</f>
        <v/>
      </c>
      <c r="X353" s="71">
        <f>IF(OR(C353="",C353=0,'Daily Data'!K353=""),"",'Daily Data'!K353/C353)</f>
        <v/>
      </c>
      <c r="Y353" s="71">
        <f>IF(OR(F353="",W353="",X353=""),"",F353-W353-X353)</f>
        <v/>
      </c>
      <c r="Z353" s="72" t="n">
        <v>367.47</v>
      </c>
      <c r="AA353" s="72" t="n">
        <v>64.84999999999999</v>
      </c>
      <c r="AB353" s="73">
        <f>Z353+AA353</f>
        <v/>
      </c>
      <c r="AC353" s="74">
        <f>IF(OR(E353="",E353=0,AB353=""),"",E353*365/(AB353*1000000))</f>
        <v/>
      </c>
      <c r="AD353" s="98">
        <f>IF(OR(O353="",O353=0,AB353=""),"",(AB353*1000000)/O353)</f>
        <v/>
      </c>
      <c r="AE353" s="99">
        <f>IF(H353="","",(Team_Genesis-H353)/1000000)</f>
        <v/>
      </c>
      <c r="AF353" s="99">
        <f>IF(OR(O353="",AE353=""),"",(O353-AE353*1000000)/1000000)</f>
        <v/>
      </c>
    </row>
    <row r="354">
      <c r="A354" s="35" t="n">
        <v>46008</v>
      </c>
      <c r="B354" s="90">
        <f>IF('Daily Data'!E354="","",'Daily Data'!E354)</f>
        <v/>
      </c>
      <c r="C354" s="65" t="n">
        <v>26.45</v>
      </c>
      <c r="D354" s="94" t="n">
        <v>84365.17</v>
      </c>
      <c r="E354" s="94" t="n">
        <v>26428.4254</v>
      </c>
      <c r="F354" s="94" t="n">
        <v>1593.7829</v>
      </c>
      <c r="G354" s="94" t="n"/>
      <c r="H354" s="95">
        <f>SUM($G$4:G354)</f>
        <v/>
      </c>
      <c r="I354" s="94" t="n">
        <v>1000000000</v>
      </c>
      <c r="J354" s="95">
        <f>J353-E354</f>
        <v/>
      </c>
      <c r="K354" s="94" t="n">
        <v>60000000</v>
      </c>
      <c r="L354" s="94" t="n">
        <v>37194424.76</v>
      </c>
      <c r="M354" s="94" t="n">
        <v>3000000</v>
      </c>
      <c r="N354" s="94" t="n">
        <v>529637.0616999865</v>
      </c>
      <c r="O354" s="96">
        <f>IF(OR(I354="",J354="",L354="",N354=""),"",I354-J354-K354-L354-M354-N354)</f>
        <v/>
      </c>
      <c r="P354" s="91">
        <f>IF(OR(O354="",C354=""),"",O354*C354)</f>
        <v/>
      </c>
      <c r="Q354" s="69">
        <f>Q353-E354</f>
        <v/>
      </c>
      <c r="R354" s="97">
        <f>IF(OR(J354="",Q354=""),"",J354-Q354)</f>
        <v/>
      </c>
      <c r="S354" s="69">
        <f>IF(D354="",S353,S353+D354)</f>
        <v/>
      </c>
      <c r="T354" s="97">
        <f>IF(OR(L354="",S354=""),"",L354-S354)</f>
        <v/>
      </c>
      <c r="U354" s="69">
        <f>IF(F354="",U353,U353+F354)</f>
        <v/>
      </c>
      <c r="V354" s="97">
        <f>IF(OR(N354="",U354=""),"",N354-U354)</f>
        <v/>
      </c>
      <c r="W354" s="71">
        <f>IF(OR(C354="",C354=0,'Daily Data'!J354=""),"",'Daily Data'!J354/C354)</f>
        <v/>
      </c>
      <c r="X354" s="71">
        <f>IF(OR(C354="",C354=0,'Daily Data'!K354=""),"",'Daily Data'!K354/C354)</f>
        <v/>
      </c>
      <c r="Y354" s="71">
        <f>IF(OR(F354="",W354="",X354=""),"",F354-W354-X354)</f>
        <v/>
      </c>
      <c r="Z354" s="72" t="n">
        <v>367.47</v>
      </c>
      <c r="AA354" s="72" t="n">
        <v>64.84999999999999</v>
      </c>
      <c r="AB354" s="73">
        <f>Z354+AA354</f>
        <v/>
      </c>
      <c r="AC354" s="74">
        <f>IF(OR(E354="",E354=0,AB354=""),"",E354*365/(AB354*1000000))</f>
        <v/>
      </c>
      <c r="AD354" s="98">
        <f>IF(OR(O354="",O354=0,AB354=""),"",(AB354*1000000)/O354)</f>
        <v/>
      </c>
      <c r="AE354" s="99">
        <f>IF(H354="","",(Team_Genesis-H354)/1000000)</f>
        <v/>
      </c>
      <c r="AF354" s="99">
        <f>IF(OR(O354="",AE354=""),"",(O354-AE354*1000000)/1000000)</f>
        <v/>
      </c>
    </row>
    <row r="355">
      <c r="A355" s="35" t="n">
        <v>46009</v>
      </c>
      <c r="B355" s="90">
        <f>IF('Daily Data'!E355="","",'Daily Data'!E355)</f>
        <v/>
      </c>
      <c r="C355" s="65" t="n">
        <v>24.56</v>
      </c>
      <c r="D355" s="94" t="n">
        <v>100632.9</v>
      </c>
      <c r="E355" s="94" t="n">
        <v>26437.1583</v>
      </c>
      <c r="F355" s="94" t="n">
        <v>2179.0652</v>
      </c>
      <c r="G355" s="94" t="n"/>
      <c r="H355" s="95">
        <f>SUM($G$4:G355)</f>
        <v/>
      </c>
      <c r="I355" s="94" t="n">
        <v>1000000000</v>
      </c>
      <c r="J355" s="95">
        <f>J354-E355</f>
        <v/>
      </c>
      <c r="K355" s="94" t="n">
        <v>60000000</v>
      </c>
      <c r="L355" s="94" t="n">
        <v>37295349.99</v>
      </c>
      <c r="M355" s="94" t="n">
        <v>3000000</v>
      </c>
      <c r="N355" s="94" t="n">
        <v>531816.1268999577</v>
      </c>
      <c r="O355" s="96">
        <f>IF(OR(I355="",J355="",L355="",N355=""),"",I355-J355-K355-L355-M355-N355)</f>
        <v/>
      </c>
      <c r="P355" s="91">
        <f>IF(OR(O355="",C355=""),"",O355*C355)</f>
        <v/>
      </c>
      <c r="Q355" s="69">
        <f>Q354-E355</f>
        <v/>
      </c>
      <c r="R355" s="97">
        <f>IF(OR(J355="",Q355=""),"",J355-Q355)</f>
        <v/>
      </c>
      <c r="S355" s="69">
        <f>IF(D355="",S354,S354+D355)</f>
        <v/>
      </c>
      <c r="T355" s="97">
        <f>IF(OR(L355="",S355=""),"",L355-S355)</f>
        <v/>
      </c>
      <c r="U355" s="69">
        <f>IF(F355="",U354,U354+F355)</f>
        <v/>
      </c>
      <c r="V355" s="97">
        <f>IF(OR(N355="",U355=""),"",N355-U355)</f>
        <v/>
      </c>
      <c r="W355" s="71">
        <f>IF(OR(C355="",C355=0,'Daily Data'!J355=""),"",'Daily Data'!J355/C355)</f>
        <v/>
      </c>
      <c r="X355" s="71">
        <f>IF(OR(C355="",C355=0,'Daily Data'!K355=""),"",'Daily Data'!K355/C355)</f>
        <v/>
      </c>
      <c r="Y355" s="71">
        <f>IF(OR(F355="",W355="",X355=""),"",F355-W355-X355)</f>
        <v/>
      </c>
      <c r="Z355" s="72" t="n">
        <v>367.47</v>
      </c>
      <c r="AA355" s="72" t="n">
        <v>64.84999999999999</v>
      </c>
      <c r="AB355" s="73">
        <f>Z355+AA355</f>
        <v/>
      </c>
      <c r="AC355" s="74">
        <f>IF(OR(E355="",E355=0,AB355=""),"",E355*365/(AB355*1000000))</f>
        <v/>
      </c>
      <c r="AD355" s="98">
        <f>IF(OR(O355="",O355=0,AB355=""),"",(AB355*1000000)/O355)</f>
        <v/>
      </c>
      <c r="AE355" s="99">
        <f>IF(H355="","",(Team_Genesis-H355)/1000000)</f>
        <v/>
      </c>
      <c r="AF355" s="99">
        <f>IF(OR(O355="",AE355=""),"",(O355-AE355*1000000)/1000000)</f>
        <v/>
      </c>
    </row>
    <row r="356">
      <c r="A356" s="35" t="n">
        <v>46010</v>
      </c>
      <c r="B356" s="90">
        <f>IF('Daily Data'!E356="","",'Daily Data'!E356)</f>
        <v/>
      </c>
      <c r="C356" s="65" t="n">
        <v>22.42</v>
      </c>
      <c r="D356" s="94" t="n">
        <v>82489.64999999999</v>
      </c>
      <c r="E356" s="94" t="n">
        <v>26418.9396</v>
      </c>
      <c r="F356" s="94" t="n">
        <v>2138.5104</v>
      </c>
      <c r="G356" s="94" t="n"/>
      <c r="H356" s="95">
        <f>SUM($G$4:G356)</f>
        <v/>
      </c>
      <c r="I356" s="94" t="n">
        <v>1000000000</v>
      </c>
      <c r="J356" s="95">
        <f>J355-E356</f>
        <v/>
      </c>
      <c r="K356" s="94" t="n">
        <v>60000000</v>
      </c>
      <c r="L356" s="94" t="n">
        <v>37378176.69</v>
      </c>
      <c r="M356" s="94" t="n">
        <v>3000000</v>
      </c>
      <c r="N356" s="94" t="n">
        <v>533954.6373000145</v>
      </c>
      <c r="O356" s="96">
        <f>IF(OR(I356="",J356="",L356="",N356=""),"",I356-J356-K356-L356-M356-N356)</f>
        <v/>
      </c>
      <c r="P356" s="91">
        <f>IF(OR(O356="",C356=""),"",O356*C356)</f>
        <v/>
      </c>
      <c r="Q356" s="69">
        <f>Q355-E356</f>
        <v/>
      </c>
      <c r="R356" s="97">
        <f>IF(OR(J356="",Q356=""),"",J356-Q356)</f>
        <v/>
      </c>
      <c r="S356" s="69">
        <f>IF(D356="",S355,S355+D356)</f>
        <v/>
      </c>
      <c r="T356" s="97">
        <f>IF(OR(L356="",S356=""),"",L356-S356)</f>
        <v/>
      </c>
      <c r="U356" s="69">
        <f>IF(F356="",U355,U355+F356)</f>
        <v/>
      </c>
      <c r="V356" s="97">
        <f>IF(OR(N356="",U356=""),"",N356-U356)</f>
        <v/>
      </c>
      <c r="W356" s="71">
        <f>IF(OR(C356="",C356=0,'Daily Data'!J356=""),"",'Daily Data'!J356/C356)</f>
        <v/>
      </c>
      <c r="X356" s="71">
        <f>IF(OR(C356="",C356=0,'Daily Data'!K356=""),"",'Daily Data'!K356/C356)</f>
        <v/>
      </c>
      <c r="Y356" s="71">
        <f>IF(OR(F356="",W356="",X356=""),"",F356-W356-X356)</f>
        <v/>
      </c>
      <c r="Z356" s="72" t="n">
        <v>367.47</v>
      </c>
      <c r="AA356" s="72" t="n">
        <v>64.84999999999999</v>
      </c>
      <c r="AB356" s="73">
        <f>Z356+AA356</f>
        <v/>
      </c>
      <c r="AC356" s="74">
        <f>IF(OR(E356="",E356=0,AB356=""),"",E356*365/(AB356*1000000))</f>
        <v/>
      </c>
      <c r="AD356" s="98">
        <f>IF(OR(O356="",O356=0,AB356=""),"",(AB356*1000000)/O356)</f>
        <v/>
      </c>
      <c r="AE356" s="99">
        <f>IF(H356="","",(Team_Genesis-H356)/1000000)</f>
        <v/>
      </c>
      <c r="AF356" s="99">
        <f>IF(OR(O356="",AE356=""),"",(O356-AE356*1000000)/1000000)</f>
        <v/>
      </c>
    </row>
    <row r="357">
      <c r="A357" s="35" t="n">
        <v>46011</v>
      </c>
      <c r="B357" s="90">
        <f>IF('Daily Data'!E357="","",'Daily Data'!E357)</f>
        <v/>
      </c>
      <c r="C357" s="65" t="n">
        <v>24.8</v>
      </c>
      <c r="D357" s="94" t="n">
        <v>20165.54</v>
      </c>
      <c r="E357" s="94" t="n">
        <v>26487.66</v>
      </c>
      <c r="F357" s="94" t="n">
        <v>1719.494</v>
      </c>
      <c r="G357" s="94" t="n"/>
      <c r="H357" s="95">
        <f>SUM($G$4:G357)</f>
        <v/>
      </c>
      <c r="I357" s="94" t="n">
        <v>1000000000</v>
      </c>
      <c r="J357" s="95">
        <f>J356-E357</f>
        <v/>
      </c>
      <c r="K357" s="94" t="n">
        <v>60000000</v>
      </c>
      <c r="L357" s="94" t="n">
        <v>37397363.99255512</v>
      </c>
      <c r="M357" s="94" t="n">
        <v>3000000</v>
      </c>
      <c r="N357" s="94" t="n">
        <v>535674.1312999725</v>
      </c>
      <c r="O357" s="96">
        <f>IF(OR(I357="",J357="",L357="",N357=""),"",I357-J357-K357-L357-M357-N357)</f>
        <v/>
      </c>
      <c r="P357" s="91">
        <f>IF(OR(O357="",C357=""),"",O357*C357)</f>
        <v/>
      </c>
      <c r="Q357" s="69">
        <f>Q356-E357</f>
        <v/>
      </c>
      <c r="R357" s="97">
        <f>IF(OR(J357="",Q357=""),"",J357-Q357)</f>
        <v/>
      </c>
      <c r="S357" s="69">
        <f>IF(D357="",S356,S356+D357)</f>
        <v/>
      </c>
      <c r="T357" s="97">
        <f>IF(OR(L357="",S357=""),"",L357-S357)</f>
        <v/>
      </c>
      <c r="U357" s="69">
        <f>IF(F357="",U356,U356+F357)</f>
        <v/>
      </c>
      <c r="V357" s="97">
        <f>IF(OR(N357="",U357=""),"",N357-U357)</f>
        <v/>
      </c>
      <c r="W357" s="71">
        <f>IF(OR(C357="",C357=0,'Daily Data'!J357=""),"",'Daily Data'!J357/C357)</f>
        <v/>
      </c>
      <c r="X357" s="71">
        <f>IF(OR(C357="",C357=0,'Daily Data'!K357=""),"",'Daily Data'!K357/C357)</f>
        <v/>
      </c>
      <c r="Y357" s="71">
        <f>IF(OR(F357="",W357="",X357=""),"",F357-W357-X357)</f>
        <v/>
      </c>
      <c r="Z357" s="72" t="n">
        <v>367.47</v>
      </c>
      <c r="AA357" s="72" t="n">
        <v>64.84999999999999</v>
      </c>
      <c r="AB357" s="73">
        <f>Z357+AA357</f>
        <v/>
      </c>
      <c r="AC357" s="74">
        <f>IF(OR(E357="",E357=0,AB357=""),"",E357*365/(AB357*1000000))</f>
        <v/>
      </c>
      <c r="AD357" s="98">
        <f>IF(OR(O357="",O357=0,AB357=""),"",(AB357*1000000)/O357)</f>
        <v/>
      </c>
      <c r="AE357" s="99">
        <f>IF(H357="","",(Team_Genesis-H357)/1000000)</f>
        <v/>
      </c>
      <c r="AF357" s="99">
        <f>IF(OR(O357="",AE357=""),"",(O357-AE357*1000000)/1000000)</f>
        <v/>
      </c>
    </row>
    <row r="358">
      <c r="A358" s="35" t="n">
        <v>46012</v>
      </c>
      <c r="B358" s="90">
        <f>IF('Daily Data'!E358="","",'Daily Data'!E358)</f>
        <v/>
      </c>
      <c r="C358" s="65" t="n">
        <v>24.07</v>
      </c>
      <c r="D358" s="94" t="n">
        <v>25490.35</v>
      </c>
      <c r="E358" s="94" t="n">
        <v>26425.3695</v>
      </c>
      <c r="F358" s="94" t="n">
        <v>257.2716</v>
      </c>
      <c r="G358" s="94" t="n"/>
      <c r="H358" s="95">
        <f>SUM($G$4:G358)</f>
        <v/>
      </c>
      <c r="I358" s="94" t="n">
        <v>1000000000</v>
      </c>
      <c r="J358" s="95">
        <f>J357-E358</f>
        <v/>
      </c>
      <c r="K358" s="94" t="n">
        <v>60000000</v>
      </c>
      <c r="L358" s="94" t="n">
        <v>37430045.18255512</v>
      </c>
      <c r="M358" s="94" t="n">
        <v>3000000</v>
      </c>
      <c r="N358" s="94" t="n">
        <v>535931.4028999805</v>
      </c>
      <c r="O358" s="96">
        <f>IF(OR(I358="",J358="",L358="",N358=""),"",I358-J358-K358-L358-M358-N358)</f>
        <v/>
      </c>
      <c r="P358" s="91">
        <f>IF(OR(O358="",C358=""),"",O358*C358)</f>
        <v/>
      </c>
      <c r="Q358" s="69">
        <f>Q357-E358</f>
        <v/>
      </c>
      <c r="R358" s="97">
        <f>IF(OR(J358="",Q358=""),"",J358-Q358)</f>
        <v/>
      </c>
      <c r="S358" s="69">
        <f>IF(D358="",S357,S357+D358)</f>
        <v/>
      </c>
      <c r="T358" s="97">
        <f>IF(OR(L358="",S358=""),"",L358-S358)</f>
        <v/>
      </c>
      <c r="U358" s="69">
        <f>IF(F358="",U357,U357+F358)</f>
        <v/>
      </c>
      <c r="V358" s="97">
        <f>IF(OR(N358="",U358=""),"",N358-U358)</f>
        <v/>
      </c>
      <c r="W358" s="71">
        <f>IF(OR(C358="",C358=0,'Daily Data'!J358=""),"",'Daily Data'!J358/C358)</f>
        <v/>
      </c>
      <c r="X358" s="71">
        <f>IF(OR(C358="",C358=0,'Daily Data'!K358=""),"",'Daily Data'!K358/C358)</f>
        <v/>
      </c>
      <c r="Y358" s="71">
        <f>IF(OR(F358="",W358="",X358=""),"",F358-W358-X358)</f>
        <v/>
      </c>
      <c r="Z358" s="72" t="n">
        <v>367.47</v>
      </c>
      <c r="AA358" s="72" t="n">
        <v>64.84999999999999</v>
      </c>
      <c r="AB358" s="73">
        <f>Z358+AA358</f>
        <v/>
      </c>
      <c r="AC358" s="74">
        <f>IF(OR(E358="",E358=0,AB358=""),"",E358*365/(AB358*1000000))</f>
        <v/>
      </c>
      <c r="AD358" s="98">
        <f>IF(OR(O358="",O358=0,AB358=""),"",(AB358*1000000)/O358)</f>
        <v/>
      </c>
      <c r="AE358" s="99">
        <f>IF(H358="","",(Team_Genesis-H358)/1000000)</f>
        <v/>
      </c>
      <c r="AF358" s="99">
        <f>IF(OR(O358="",AE358=""),"",(O358-AE358*1000000)/1000000)</f>
        <v/>
      </c>
    </row>
    <row r="359">
      <c r="A359" s="35" t="n">
        <v>46013</v>
      </c>
      <c r="B359" s="90">
        <f>IF('Daily Data'!E359="","",'Daily Data'!E359)</f>
        <v/>
      </c>
      <c r="C359" s="65" t="n">
        <v>24.62</v>
      </c>
      <c r="D359" s="94" t="n">
        <v>70611.64</v>
      </c>
      <c r="E359" s="94" t="n">
        <v>26443.411</v>
      </c>
      <c r="F359" s="94" t="n">
        <v>1666.3489</v>
      </c>
      <c r="G359" s="94" t="n"/>
      <c r="H359" s="95">
        <f>SUM($G$4:G359)</f>
        <v/>
      </c>
      <c r="I359" s="94" t="n">
        <v>1000000000</v>
      </c>
      <c r="J359" s="95">
        <f>J358-E359</f>
        <v/>
      </c>
      <c r="K359" s="94" t="n">
        <v>60000000</v>
      </c>
      <c r="L359" s="94" t="n">
        <v>37494236.91255512</v>
      </c>
      <c r="M359" s="94" t="n">
        <v>3000000</v>
      </c>
      <c r="N359" s="94" t="n">
        <v>537597.7517999411</v>
      </c>
      <c r="O359" s="96">
        <f>IF(OR(I359="",J359="",L359="",N359=""),"",I359-J359-K359-L359-M359-N359)</f>
        <v/>
      </c>
      <c r="P359" s="91">
        <f>IF(OR(O359="",C359=""),"",O359*C359)</f>
        <v/>
      </c>
      <c r="Q359" s="69">
        <f>Q358-E359</f>
        <v/>
      </c>
      <c r="R359" s="97">
        <f>IF(OR(J359="",Q359=""),"",J359-Q359)</f>
        <v/>
      </c>
      <c r="S359" s="69">
        <f>IF(D359="",S358,S358+D359)</f>
        <v/>
      </c>
      <c r="T359" s="97">
        <f>IF(OR(L359="",S359=""),"",L359-S359)</f>
        <v/>
      </c>
      <c r="U359" s="69">
        <f>IF(F359="",U358,U358+F359)</f>
        <v/>
      </c>
      <c r="V359" s="97">
        <f>IF(OR(N359="",U359=""),"",N359-U359)</f>
        <v/>
      </c>
      <c r="W359" s="71">
        <f>IF(OR(C359="",C359=0,'Daily Data'!J359=""),"",'Daily Data'!J359/C359)</f>
        <v/>
      </c>
      <c r="X359" s="71">
        <f>IF(OR(C359="",C359=0,'Daily Data'!K359=""),"",'Daily Data'!K359/C359)</f>
        <v/>
      </c>
      <c r="Y359" s="71">
        <f>IF(OR(F359="",W359="",X359=""),"",F359-W359-X359)</f>
        <v/>
      </c>
      <c r="Z359" s="72" t="n">
        <v>367.47</v>
      </c>
      <c r="AA359" s="72" t="n">
        <v>64.84999999999999</v>
      </c>
      <c r="AB359" s="73">
        <f>Z359+AA359</f>
        <v/>
      </c>
      <c r="AC359" s="74">
        <f>IF(OR(E359="",E359=0,AB359=""),"",E359*365/(AB359*1000000))</f>
        <v/>
      </c>
      <c r="AD359" s="98">
        <f>IF(OR(O359="",O359=0,AB359=""),"",(AB359*1000000)/O359)</f>
        <v/>
      </c>
      <c r="AE359" s="99">
        <f>IF(H359="","",(Team_Genesis-H359)/1000000)</f>
        <v/>
      </c>
      <c r="AF359" s="99">
        <f>IF(OR(O359="",AE359=""),"",(O359-AE359*1000000)/1000000)</f>
        <v/>
      </c>
    </row>
    <row r="360">
      <c r="A360" s="35" t="n">
        <v>46014</v>
      </c>
      <c r="B360" s="90">
        <f>IF('Daily Data'!E360="","",'Daily Data'!E360)</f>
        <v/>
      </c>
      <c r="C360" s="65" t="n">
        <v>24.85</v>
      </c>
      <c r="D360" s="94" t="n">
        <v>58235.51</v>
      </c>
      <c r="E360" s="94" t="n">
        <v>26422.6463</v>
      </c>
      <c r="F360" s="94" t="n">
        <v>3692.6652</v>
      </c>
      <c r="G360" s="94" t="n"/>
      <c r="H360" s="95">
        <f>SUM($G$4:G360)</f>
        <v/>
      </c>
      <c r="I360" s="94" t="n">
        <v>1000000000</v>
      </c>
      <c r="J360" s="95">
        <f>J359-E360</f>
        <v/>
      </c>
      <c r="K360" s="94" t="n">
        <v>60000000</v>
      </c>
      <c r="L360" s="94" t="n">
        <v>37552103.11255512</v>
      </c>
      <c r="M360" s="94" t="n">
        <v>3000000</v>
      </c>
      <c r="N360" s="94" t="n">
        <v>541290.4170000553</v>
      </c>
      <c r="O360" s="96">
        <f>IF(OR(I360="",J360="",L360="",N360=""),"",I360-J360-K360-L360-M360-N360)</f>
        <v/>
      </c>
      <c r="P360" s="91">
        <f>IF(OR(O360="",C360=""),"",O360*C360)</f>
        <v/>
      </c>
      <c r="Q360" s="69">
        <f>Q359-E360</f>
        <v/>
      </c>
      <c r="R360" s="97">
        <f>IF(OR(J360="",Q360=""),"",J360-Q360)</f>
        <v/>
      </c>
      <c r="S360" s="69">
        <f>IF(D360="",S359,S359+D360)</f>
        <v/>
      </c>
      <c r="T360" s="97">
        <f>IF(OR(L360="",S360=""),"",L360-S360)</f>
        <v/>
      </c>
      <c r="U360" s="69">
        <f>IF(F360="",U359,U359+F360)</f>
        <v/>
      </c>
      <c r="V360" s="97">
        <f>IF(OR(N360="",U360=""),"",N360-U360)</f>
        <v/>
      </c>
      <c r="W360" s="71">
        <f>IF(OR(C360="",C360=0,'Daily Data'!J360=""),"",'Daily Data'!J360/C360)</f>
        <v/>
      </c>
      <c r="X360" s="71">
        <f>IF(OR(C360="",C360=0,'Daily Data'!K360=""),"",'Daily Data'!K360/C360)</f>
        <v/>
      </c>
      <c r="Y360" s="71">
        <f>IF(OR(F360="",W360="",X360=""),"",F360-W360-X360)</f>
        <v/>
      </c>
      <c r="Z360" s="72" t="n">
        <v>367.47</v>
      </c>
      <c r="AA360" s="72" t="n">
        <v>64.84999999999999</v>
      </c>
      <c r="AB360" s="73">
        <f>Z360+AA360</f>
        <v/>
      </c>
      <c r="AC360" s="74">
        <f>IF(OR(E360="",E360=0,AB360=""),"",E360*365/(AB360*1000000))</f>
        <v/>
      </c>
      <c r="AD360" s="98">
        <f>IF(OR(O360="",O360=0,AB360=""),"",(AB360*1000000)/O360)</f>
        <v/>
      </c>
      <c r="AE360" s="99">
        <f>IF(H360="","",(Team_Genesis-H360)/1000000)</f>
        <v/>
      </c>
      <c r="AF360" s="99">
        <f>IF(OR(O360="",AE360=""),"",(O360-AE360*1000000)/1000000)</f>
        <v/>
      </c>
    </row>
    <row r="361">
      <c r="A361" s="35" t="n">
        <v>46015</v>
      </c>
      <c r="B361" s="90">
        <f>IF('Daily Data'!E361="","",'Daily Data'!E361)</f>
        <v/>
      </c>
      <c r="C361" s="65" t="n">
        <v>24</v>
      </c>
      <c r="D361" s="94" t="n">
        <v>36158.16</v>
      </c>
      <c r="E361" s="94" t="n">
        <v>26479.0906</v>
      </c>
      <c r="F361" s="94" t="n">
        <v>315.6238</v>
      </c>
      <c r="G361" s="94" t="n"/>
      <c r="H361" s="95">
        <f>SUM($G$4:G361)</f>
        <v/>
      </c>
      <c r="I361" s="94" t="n">
        <v>1000000000</v>
      </c>
      <c r="J361" s="95">
        <f>J360-E361</f>
        <v/>
      </c>
      <c r="K361" s="94" t="n">
        <v>60000000</v>
      </c>
      <c r="L361" s="94" t="n">
        <v>37591271.92255512</v>
      </c>
      <c r="M361" s="94" t="n">
        <v>3000000</v>
      </c>
      <c r="N361" s="94" t="n">
        <v>541606.0407999754</v>
      </c>
      <c r="O361" s="96">
        <f>IF(OR(I361="",J361="",L361="",N361=""),"",I361-J361-K361-L361-M361-N361)</f>
        <v/>
      </c>
      <c r="P361" s="91">
        <f>IF(OR(O361="",C361=""),"",O361*C361)</f>
        <v/>
      </c>
      <c r="Q361" s="69">
        <f>Q360-E361</f>
        <v/>
      </c>
      <c r="R361" s="97">
        <f>IF(OR(J361="",Q361=""),"",J361-Q361)</f>
        <v/>
      </c>
      <c r="S361" s="69">
        <f>IF(D361="",S360,S360+D361)</f>
        <v/>
      </c>
      <c r="T361" s="97">
        <f>IF(OR(L361="",S361=""),"",L361-S361)</f>
        <v/>
      </c>
      <c r="U361" s="69">
        <f>IF(F361="",U360,U360+F361)</f>
        <v/>
      </c>
      <c r="V361" s="97">
        <f>IF(OR(N361="",U361=""),"",N361-U361)</f>
        <v/>
      </c>
      <c r="W361" s="71">
        <f>IF(OR(C361="",C361=0,'Daily Data'!J361=""),"",'Daily Data'!J361/C361)</f>
        <v/>
      </c>
      <c r="X361" s="71">
        <f>IF(OR(C361="",C361=0,'Daily Data'!K361=""),"",'Daily Data'!K361/C361)</f>
        <v/>
      </c>
      <c r="Y361" s="71">
        <f>IF(OR(F361="",W361="",X361=""),"",F361-W361-X361)</f>
        <v/>
      </c>
      <c r="Z361" s="72" t="n">
        <v>367.47</v>
      </c>
      <c r="AA361" s="72" t="n">
        <v>64.84999999999999</v>
      </c>
      <c r="AB361" s="73">
        <f>Z361+AA361</f>
        <v/>
      </c>
      <c r="AC361" s="74">
        <f>IF(OR(E361="",E361=0,AB361=""),"",E361*365/(AB361*1000000))</f>
        <v/>
      </c>
      <c r="AD361" s="98">
        <f>IF(OR(O361="",O361=0,AB361=""),"",(AB361*1000000)/O361)</f>
        <v/>
      </c>
      <c r="AE361" s="99">
        <f>IF(H361="","",(Team_Genesis-H361)/1000000)</f>
        <v/>
      </c>
      <c r="AF361" s="99">
        <f>IF(OR(O361="",AE361=""),"",(O361-AE361*1000000)/1000000)</f>
        <v/>
      </c>
    </row>
    <row r="362">
      <c r="A362" s="35" t="n">
        <v>46016</v>
      </c>
      <c r="B362" s="90">
        <f>IF('Daily Data'!E362="","",'Daily Data'!E362)</f>
        <v/>
      </c>
      <c r="C362" s="65" t="n">
        <v>24.81</v>
      </c>
      <c r="D362" s="94" t="n">
        <v>29555.9</v>
      </c>
      <c r="E362" s="94" t="n">
        <v>26460.759</v>
      </c>
      <c r="F362" s="94" t="n">
        <v>1101.0662</v>
      </c>
      <c r="G362" s="94" t="n"/>
      <c r="H362" s="95">
        <f>SUM($G$4:G362)</f>
        <v/>
      </c>
      <c r="I362" s="94" t="n">
        <v>1000000000</v>
      </c>
      <c r="J362" s="95">
        <f>J361-E362</f>
        <v/>
      </c>
      <c r="K362" s="94" t="n">
        <v>60000000</v>
      </c>
      <c r="L362" s="94" t="n">
        <v>37617994.68255512</v>
      </c>
      <c r="M362" s="94" t="n">
        <v>3000000</v>
      </c>
      <c r="N362" s="94" t="n">
        <v>542707.1069999933</v>
      </c>
      <c r="O362" s="96">
        <f>IF(OR(I362="",J362="",L362="",N362=""),"",I362-J362-K362-L362-M362-N362)</f>
        <v/>
      </c>
      <c r="P362" s="91">
        <f>IF(OR(O362="",C362=""),"",O362*C362)</f>
        <v/>
      </c>
      <c r="Q362" s="69">
        <f>Q361-E362</f>
        <v/>
      </c>
      <c r="R362" s="97">
        <f>IF(OR(J362="",Q362=""),"",J362-Q362)</f>
        <v/>
      </c>
      <c r="S362" s="69">
        <f>IF(D362="",S361,S361+D362)</f>
        <v/>
      </c>
      <c r="T362" s="97">
        <f>IF(OR(L362="",S362=""),"",L362-S362)</f>
        <v/>
      </c>
      <c r="U362" s="69">
        <f>IF(F362="",U361,U361+F362)</f>
        <v/>
      </c>
      <c r="V362" s="97">
        <f>IF(OR(N362="",U362=""),"",N362-U362)</f>
        <v/>
      </c>
      <c r="W362" s="71">
        <f>IF(OR(C362="",C362=0,'Daily Data'!J362=""),"",'Daily Data'!J362/C362)</f>
        <v/>
      </c>
      <c r="X362" s="71">
        <f>IF(OR(C362="",C362=0,'Daily Data'!K362=""),"",'Daily Data'!K362/C362)</f>
        <v/>
      </c>
      <c r="Y362" s="71">
        <f>IF(OR(F362="",W362="",X362=""),"",F362-W362-X362)</f>
        <v/>
      </c>
      <c r="Z362" s="72" t="n">
        <v>367.47</v>
      </c>
      <c r="AA362" s="72" t="n">
        <v>64.84999999999999</v>
      </c>
      <c r="AB362" s="73">
        <f>Z362+AA362</f>
        <v/>
      </c>
      <c r="AC362" s="74">
        <f>IF(OR(E362="",E362=0,AB362=""),"",E362*365/(AB362*1000000))</f>
        <v/>
      </c>
      <c r="AD362" s="98">
        <f>IF(OR(O362="",O362=0,AB362=""),"",(AB362*1000000)/O362)</f>
        <v/>
      </c>
      <c r="AE362" s="99">
        <f>IF(H362="","",(Team_Genesis-H362)/1000000)</f>
        <v/>
      </c>
      <c r="AF362" s="99">
        <f>IF(OR(O362="",AE362=""),"",(O362-AE362*1000000)/1000000)</f>
        <v/>
      </c>
    </row>
    <row r="363">
      <c r="A363" s="35" t="n">
        <v>46017</v>
      </c>
      <c r="B363" s="90">
        <f>IF('Daily Data'!E363="","",'Daily Data'!E363)</f>
        <v/>
      </c>
      <c r="C363" s="65" t="n">
        <v>24.6</v>
      </c>
      <c r="D363" s="94" t="n">
        <v>48626.65</v>
      </c>
      <c r="E363" s="94" t="n">
        <v>26461.3247</v>
      </c>
      <c r="F363" s="94" t="n">
        <v>1906.2574</v>
      </c>
      <c r="G363" s="94" t="n"/>
      <c r="H363" s="95">
        <f>SUM($G$4:G363)</f>
        <v/>
      </c>
      <c r="I363" s="94" t="n">
        <v>1000000000</v>
      </c>
      <c r="J363" s="95">
        <f>J362-E363</f>
        <v/>
      </c>
      <c r="K363" s="94" t="n">
        <v>60000000</v>
      </c>
      <c r="L363" s="94" t="n">
        <v>37668066.45255512</v>
      </c>
      <c r="M363" s="94" t="n">
        <v>3000000</v>
      </c>
      <c r="N363" s="94" t="n">
        <v>544613.3644000292</v>
      </c>
      <c r="O363" s="96">
        <f>IF(OR(I363="",J363="",L363="",N363=""),"",I363-J363-K363-L363-M363-N363)</f>
        <v/>
      </c>
      <c r="P363" s="91">
        <f>IF(OR(O363="",C363=""),"",O363*C363)</f>
        <v/>
      </c>
      <c r="Q363" s="69">
        <f>Q362-E363</f>
        <v/>
      </c>
      <c r="R363" s="97">
        <f>IF(OR(J363="",Q363=""),"",J363-Q363)</f>
        <v/>
      </c>
      <c r="S363" s="69">
        <f>IF(D363="",S362,S362+D363)</f>
        <v/>
      </c>
      <c r="T363" s="97">
        <f>IF(OR(L363="",S363=""),"",L363-S363)</f>
        <v/>
      </c>
      <c r="U363" s="69">
        <f>IF(F363="",U362,U362+F363)</f>
        <v/>
      </c>
      <c r="V363" s="97">
        <f>IF(OR(N363="",U363=""),"",N363-U363)</f>
        <v/>
      </c>
      <c r="W363" s="71">
        <f>IF(OR(C363="",C363=0,'Daily Data'!J363=""),"",'Daily Data'!J363/C363)</f>
        <v/>
      </c>
      <c r="X363" s="71">
        <f>IF(OR(C363="",C363=0,'Daily Data'!K363=""),"",'Daily Data'!K363/C363)</f>
        <v/>
      </c>
      <c r="Y363" s="71">
        <f>IF(OR(F363="",W363="",X363=""),"",F363-W363-X363)</f>
        <v/>
      </c>
      <c r="Z363" s="72" t="n">
        <v>367.47</v>
      </c>
      <c r="AA363" s="72" t="n">
        <v>64.84999999999999</v>
      </c>
      <c r="AB363" s="73">
        <f>Z363+AA363</f>
        <v/>
      </c>
      <c r="AC363" s="74">
        <f>IF(OR(E363="",E363=0,AB363=""),"",E363*365/(AB363*1000000))</f>
        <v/>
      </c>
      <c r="AD363" s="98">
        <f>IF(OR(O363="",O363=0,AB363=""),"",(AB363*1000000)/O363)</f>
        <v/>
      </c>
      <c r="AE363" s="99">
        <f>IF(H363="","",(Team_Genesis-H363)/1000000)</f>
        <v/>
      </c>
      <c r="AF363" s="99">
        <f>IF(OR(O363="",AE363=""),"",(O363-AE363*1000000)/1000000)</f>
        <v/>
      </c>
    </row>
    <row r="364">
      <c r="A364" s="35" t="n">
        <v>46018</v>
      </c>
      <c r="B364" s="90">
        <f>IF('Daily Data'!E364="","",'Daily Data'!E364)</f>
        <v/>
      </c>
      <c r="C364" s="65" t="n">
        <v>25.59</v>
      </c>
      <c r="D364" s="94" t="n">
        <v>17114.12</v>
      </c>
      <c r="E364" s="94" t="n">
        <v>26462.3171</v>
      </c>
      <c r="F364" s="94" t="n">
        <v>822.3167999999999</v>
      </c>
      <c r="G364" s="94" t="n"/>
      <c r="H364" s="95">
        <f>SUM($G$4:G364)</f>
        <v/>
      </c>
      <c r="I364" s="94" t="n">
        <v>1000000000</v>
      </c>
      <c r="J364" s="95">
        <f>J363-E364</f>
        <v/>
      </c>
      <c r="K364" s="94" t="n">
        <v>60000000</v>
      </c>
      <c r="L364" s="94" t="n">
        <v>37683708.12255512</v>
      </c>
      <c r="M364" s="94" t="n">
        <v>3000000</v>
      </c>
      <c r="N364" s="94" t="n">
        <v>545435.6811000109</v>
      </c>
      <c r="O364" s="96">
        <f>IF(OR(I364="",J364="",L364="",N364=""),"",I364-J364-K364-L364-M364-N364)</f>
        <v/>
      </c>
      <c r="P364" s="91">
        <f>IF(OR(O364="",C364=""),"",O364*C364)</f>
        <v/>
      </c>
      <c r="Q364" s="69">
        <f>Q363-E364</f>
        <v/>
      </c>
      <c r="R364" s="97">
        <f>IF(OR(J364="",Q364=""),"",J364-Q364)</f>
        <v/>
      </c>
      <c r="S364" s="69">
        <f>IF(D364="",S363,S363+D364)</f>
        <v/>
      </c>
      <c r="T364" s="97">
        <f>IF(OR(L364="",S364=""),"",L364-S364)</f>
        <v/>
      </c>
      <c r="U364" s="69">
        <f>IF(F364="",U363,U363+F364)</f>
        <v/>
      </c>
      <c r="V364" s="97">
        <f>IF(OR(N364="",U364=""),"",N364-U364)</f>
        <v/>
      </c>
      <c r="W364" s="71">
        <f>IF(OR(C364="",C364=0,'Daily Data'!J364=""),"",'Daily Data'!J364/C364)</f>
        <v/>
      </c>
      <c r="X364" s="71">
        <f>IF(OR(C364="",C364=0,'Daily Data'!K364=""),"",'Daily Data'!K364/C364)</f>
        <v/>
      </c>
      <c r="Y364" s="71">
        <f>IF(OR(F364="",W364="",X364=""),"",F364-W364-X364)</f>
        <v/>
      </c>
      <c r="Z364" s="72" t="n">
        <v>367.47</v>
      </c>
      <c r="AA364" s="72" t="n">
        <v>64.84999999999999</v>
      </c>
      <c r="AB364" s="73">
        <f>Z364+AA364</f>
        <v/>
      </c>
      <c r="AC364" s="74">
        <f>IF(OR(E364="",E364=0,AB364=""),"",E364*365/(AB364*1000000))</f>
        <v/>
      </c>
      <c r="AD364" s="98">
        <f>IF(OR(O364="",O364=0,AB364=""),"",(AB364*1000000)/O364)</f>
        <v/>
      </c>
      <c r="AE364" s="99">
        <f>IF(H364="","",(Team_Genesis-H364)/1000000)</f>
        <v/>
      </c>
      <c r="AF364" s="99">
        <f>IF(OR(O364="",AE364=""),"",(O364-AE364*1000000)/1000000)</f>
        <v/>
      </c>
    </row>
    <row r="365">
      <c r="A365" s="35" t="n">
        <v>46019</v>
      </c>
      <c r="B365" s="90">
        <f>IF('Daily Data'!E365="","",'Daily Data'!E365)</f>
        <v/>
      </c>
      <c r="C365" s="65" t="n">
        <v>25.9</v>
      </c>
      <c r="D365" s="94" t="n">
        <v>18579.37</v>
      </c>
      <c r="E365" s="94" t="n">
        <v>26467.9072</v>
      </c>
      <c r="F365" s="94" t="n">
        <v>1294.7145</v>
      </c>
      <c r="G365" s="94" t="n"/>
      <c r="H365" s="95">
        <f>SUM($G$4:G365)</f>
        <v/>
      </c>
      <c r="I365" s="94" t="n">
        <v>1000000000</v>
      </c>
      <c r="J365" s="95">
        <f>J364-E365</f>
        <v/>
      </c>
      <c r="K365" s="94" t="n">
        <v>60000000</v>
      </c>
      <c r="L365" s="94" t="n">
        <v>37705705.99255512</v>
      </c>
      <c r="M365" s="94" t="n">
        <v>3000000</v>
      </c>
      <c r="N365" s="94" t="n">
        <v>546730.3956999779</v>
      </c>
      <c r="O365" s="96">
        <f>IF(OR(I365="",J365="",L365="",N365=""),"",I365-J365-K365-L365-M365-N365)</f>
        <v/>
      </c>
      <c r="P365" s="91">
        <f>IF(OR(O365="",C365=""),"",O365*C365)</f>
        <v/>
      </c>
      <c r="Q365" s="69">
        <f>Q364-E365</f>
        <v/>
      </c>
      <c r="R365" s="97">
        <f>IF(OR(J365="",Q365=""),"",J365-Q365)</f>
        <v/>
      </c>
      <c r="S365" s="69">
        <f>IF(D365="",S364,S364+D365)</f>
        <v/>
      </c>
      <c r="T365" s="97">
        <f>IF(OR(L365="",S365=""),"",L365-S365)</f>
        <v/>
      </c>
      <c r="U365" s="69">
        <f>IF(F365="",U364,U364+F365)</f>
        <v/>
      </c>
      <c r="V365" s="97">
        <f>IF(OR(N365="",U365=""),"",N365-U365)</f>
        <v/>
      </c>
      <c r="W365" s="71">
        <f>IF(OR(C365="",C365=0,'Daily Data'!J365=""),"",'Daily Data'!J365/C365)</f>
        <v/>
      </c>
      <c r="X365" s="71">
        <f>IF(OR(C365="",C365=0,'Daily Data'!K365=""),"",'Daily Data'!K365/C365)</f>
        <v/>
      </c>
      <c r="Y365" s="71">
        <f>IF(OR(F365="",W365="",X365=""),"",F365-W365-X365)</f>
        <v/>
      </c>
      <c r="Z365" s="72" t="n">
        <v>367.47</v>
      </c>
      <c r="AA365" s="72" t="n">
        <v>64.84999999999999</v>
      </c>
      <c r="AB365" s="73">
        <f>Z365+AA365</f>
        <v/>
      </c>
      <c r="AC365" s="74">
        <f>IF(OR(E365="",E365=0,AB365=""),"",E365*365/(AB365*1000000))</f>
        <v/>
      </c>
      <c r="AD365" s="98">
        <f>IF(OR(O365="",O365=0,AB365=""),"",(AB365*1000000)/O365)</f>
        <v/>
      </c>
      <c r="AE365" s="99">
        <f>IF(H365="","",(Team_Genesis-H365)/1000000)</f>
        <v/>
      </c>
      <c r="AF365" s="99">
        <f>IF(OR(O365="",AE365=""),"",(O365-AE365*1000000)/1000000)</f>
        <v/>
      </c>
    </row>
    <row r="366">
      <c r="A366" s="35" t="n">
        <v>46020</v>
      </c>
      <c r="B366" s="90">
        <f>IF('Daily Data'!E366="","",'Daily Data'!E366)</f>
        <v/>
      </c>
      <c r="C366" s="65" t="n">
        <v>25.59</v>
      </c>
      <c r="D366" s="94" t="n">
        <v>75103.94</v>
      </c>
      <c r="E366" s="94" t="n">
        <v>26457.1114</v>
      </c>
      <c r="F366" s="94" t="n">
        <v>2123.1129</v>
      </c>
      <c r="G366" s="94" t="n"/>
      <c r="H366" s="95">
        <f>SUM($G$4:G366)</f>
        <v/>
      </c>
      <c r="I366" s="94" t="n">
        <v>1000000000</v>
      </c>
      <c r="J366" s="95">
        <f>J365-E366</f>
        <v/>
      </c>
      <c r="K366" s="94" t="n">
        <v>60000000</v>
      </c>
      <c r="L366" s="94" t="n">
        <v>37777472.31255512</v>
      </c>
      <c r="M366" s="94" t="n">
        <v>3000000</v>
      </c>
      <c r="N366" s="94" t="n">
        <v>548853.5085999966</v>
      </c>
      <c r="O366" s="96">
        <f>IF(OR(I366="",J366="",L366="",N366=""),"",I366-J366-K366-L366-M366-N366)</f>
        <v/>
      </c>
      <c r="P366" s="91">
        <f>IF(OR(O366="",C366=""),"",O366*C366)</f>
        <v/>
      </c>
      <c r="Q366" s="69">
        <f>Q365-E366</f>
        <v/>
      </c>
      <c r="R366" s="97">
        <f>IF(OR(J366="",Q366=""),"",J366-Q366)</f>
        <v/>
      </c>
      <c r="S366" s="69">
        <f>IF(D366="",S365,S365+D366)</f>
        <v/>
      </c>
      <c r="T366" s="97">
        <f>IF(OR(L366="",S366=""),"",L366-S366)</f>
        <v/>
      </c>
      <c r="U366" s="69">
        <f>IF(F366="",U365,U365+F366)</f>
        <v/>
      </c>
      <c r="V366" s="97">
        <f>IF(OR(N366="",U366=""),"",N366-U366)</f>
        <v/>
      </c>
      <c r="W366" s="71">
        <f>IF(OR(C366="",C366=0,'Daily Data'!J366=""),"",'Daily Data'!J366/C366)</f>
        <v/>
      </c>
      <c r="X366" s="71">
        <f>IF(OR(C366="",C366=0,'Daily Data'!K366=""),"",'Daily Data'!K366/C366)</f>
        <v/>
      </c>
      <c r="Y366" s="71">
        <f>IF(OR(F366="",W366="",X366=""),"",F366-W366-X366)</f>
        <v/>
      </c>
      <c r="Z366" s="72" t="n">
        <v>367.47</v>
      </c>
      <c r="AA366" s="72" t="n">
        <v>64.84999999999999</v>
      </c>
      <c r="AB366" s="73">
        <f>Z366+AA366</f>
        <v/>
      </c>
      <c r="AC366" s="74">
        <f>IF(OR(E366="",E366=0,AB366=""),"",E366*365/(AB366*1000000))</f>
        <v/>
      </c>
      <c r="AD366" s="98">
        <f>IF(OR(O366="",O366=0,AB366=""),"",(AB366*1000000)/O366)</f>
        <v/>
      </c>
      <c r="AE366" s="99">
        <f>IF(H366="","",(Team_Genesis-H366)/1000000)</f>
        <v/>
      </c>
      <c r="AF366" s="99">
        <f>IF(OR(O366="",AE366=""),"",(O366-AE366*1000000)/1000000)</f>
        <v/>
      </c>
    </row>
    <row r="367">
      <c r="A367" s="35" t="n">
        <v>46021</v>
      </c>
      <c r="B367" s="90">
        <f>IF('Daily Data'!E367="","",'Daily Data'!E367)</f>
        <v/>
      </c>
      <c r="C367" s="65" t="n">
        <v>25.73</v>
      </c>
      <c r="D367" s="94" t="n">
        <v>42418.7</v>
      </c>
      <c r="E367" s="94" t="n">
        <v>26422.7486</v>
      </c>
      <c r="F367" s="94" t="n">
        <v>2325.3605</v>
      </c>
      <c r="G367" s="94" t="n"/>
      <c r="H367" s="95">
        <f>SUM($G$4:G367)</f>
        <v/>
      </c>
      <c r="I367" s="94" t="n">
        <v>1000000000</v>
      </c>
      <c r="J367" s="95">
        <f>J366-E367</f>
        <v/>
      </c>
      <c r="K367" s="94" t="n">
        <v>60000000</v>
      </c>
      <c r="L367" s="94" t="n">
        <v>37820327.28255512</v>
      </c>
      <c r="M367" s="94" t="n">
        <v>3000000</v>
      </c>
      <c r="N367" s="94" t="n">
        <v>551178.8690999746</v>
      </c>
      <c r="O367" s="96">
        <f>IF(OR(I367="",J367="",L367="",N367=""),"",I367-J367-K367-L367-M367-N367)</f>
        <v/>
      </c>
      <c r="P367" s="91">
        <f>IF(OR(O367="",C367=""),"",O367*C367)</f>
        <v/>
      </c>
      <c r="Q367" s="69">
        <f>Q366-E367</f>
        <v/>
      </c>
      <c r="R367" s="97">
        <f>IF(OR(J367="",Q367=""),"",J367-Q367)</f>
        <v/>
      </c>
      <c r="S367" s="69">
        <f>IF(D367="",S366,S366+D367)</f>
        <v/>
      </c>
      <c r="T367" s="97">
        <f>IF(OR(L367="",S367=""),"",L367-S367)</f>
        <v/>
      </c>
      <c r="U367" s="69">
        <f>IF(F367="",U366,U366+F367)</f>
        <v/>
      </c>
      <c r="V367" s="97">
        <f>IF(OR(N367="",U367=""),"",N367-U367)</f>
        <v/>
      </c>
      <c r="W367" s="71">
        <f>IF(OR(C367="",C367=0,'Daily Data'!J367=""),"",'Daily Data'!J367/C367)</f>
        <v/>
      </c>
      <c r="X367" s="71">
        <f>IF(OR(C367="",C367=0,'Daily Data'!K367=""),"",'Daily Data'!K367/C367)</f>
        <v/>
      </c>
      <c r="Y367" s="71">
        <f>IF(OR(F367="",W367="",X367=""),"",F367-W367-X367)</f>
        <v/>
      </c>
      <c r="Z367" s="72" t="n">
        <v>367.47</v>
      </c>
      <c r="AA367" s="72" t="n">
        <v>64.84999999999999</v>
      </c>
      <c r="AB367" s="73">
        <f>Z367+AA367</f>
        <v/>
      </c>
      <c r="AC367" s="74">
        <f>IF(OR(E367="",E367=0,AB367=""),"",E367*365/(AB367*1000000))</f>
        <v/>
      </c>
      <c r="AD367" s="98">
        <f>IF(OR(O367="",O367=0,AB367=""),"",(AB367*1000000)/O367)</f>
        <v/>
      </c>
      <c r="AE367" s="99">
        <f>IF(H367="","",(Team_Genesis-H367)/1000000)</f>
        <v/>
      </c>
      <c r="AF367" s="99">
        <f>IF(OR(O367="",AE367=""),"",(O367-AE367*1000000)/1000000)</f>
        <v/>
      </c>
    </row>
    <row r="368">
      <c r="A368" s="35" t="n">
        <v>46022</v>
      </c>
      <c r="B368" s="90">
        <f>IF('Daily Data'!E368="","",'Daily Data'!E368)</f>
        <v/>
      </c>
      <c r="C368" s="65" t="n">
        <v>25.86</v>
      </c>
      <c r="D368" s="94" t="n">
        <v>35871.89</v>
      </c>
      <c r="E368" s="94" t="n">
        <v>26413.0512</v>
      </c>
      <c r="F368" s="94" t="n">
        <v>1757.3829</v>
      </c>
      <c r="G368" s="94" t="n"/>
      <c r="H368" s="95">
        <f>SUM($G$4:G368)</f>
        <v/>
      </c>
      <c r="I368" s="94" t="n">
        <v>1000000000</v>
      </c>
      <c r="J368" s="95">
        <f>J367-E368</f>
        <v/>
      </c>
      <c r="K368" s="94" t="n">
        <v>60000000</v>
      </c>
      <c r="L368" s="94" t="n">
        <v>37855111.82255512</v>
      </c>
      <c r="M368" s="94" t="n">
        <v>3000000</v>
      </c>
      <c r="N368" s="94" t="n">
        <v>552936.2518999577</v>
      </c>
      <c r="O368" s="96">
        <f>IF(OR(I368="",J368="",L368="",N368=""),"",I368-J368-K368-L368-M368-N368)</f>
        <v/>
      </c>
      <c r="P368" s="91">
        <f>IF(OR(O368="",C368=""),"",O368*C368)</f>
        <v/>
      </c>
      <c r="Q368" s="69">
        <f>Q367-E368</f>
        <v/>
      </c>
      <c r="R368" s="97">
        <f>IF(OR(J368="",Q368=""),"",J368-Q368)</f>
        <v/>
      </c>
      <c r="S368" s="69">
        <f>IF(D368="",S367,S367+D368)</f>
        <v/>
      </c>
      <c r="T368" s="97">
        <f>IF(OR(L368="",S368=""),"",L368-S368)</f>
        <v/>
      </c>
      <c r="U368" s="69">
        <f>IF(F368="",U367,U367+F368)</f>
        <v/>
      </c>
      <c r="V368" s="97">
        <f>IF(OR(N368="",U368=""),"",N368-U368)</f>
        <v/>
      </c>
      <c r="W368" s="71">
        <f>IF(OR(C368="",C368=0,'Daily Data'!J368=""),"",'Daily Data'!J368/C368)</f>
        <v/>
      </c>
      <c r="X368" s="71">
        <f>IF(OR(C368="",C368=0,'Daily Data'!K368=""),"",'Daily Data'!K368/C368)</f>
        <v/>
      </c>
      <c r="Y368" s="71">
        <f>IF(OR(F368="",W368="",X368=""),"",F368-W368-X368)</f>
        <v/>
      </c>
      <c r="Z368" s="72" t="n">
        <v>367.47</v>
      </c>
      <c r="AA368" s="72" t="n">
        <v>64.84999999999999</v>
      </c>
      <c r="AB368" s="73">
        <f>Z368+AA368</f>
        <v/>
      </c>
      <c r="AC368" s="74">
        <f>IF(OR(E368="",E368=0,AB368=""),"",E368*365/(AB368*1000000))</f>
        <v/>
      </c>
      <c r="AD368" s="98">
        <f>IF(OR(O368="",O368=0,AB368=""),"",(AB368*1000000)/O368)</f>
        <v/>
      </c>
      <c r="AE368" s="99">
        <f>IF(H368="","",(Team_Genesis-H368)/1000000)</f>
        <v/>
      </c>
      <c r="AF368" s="99">
        <f>IF(OR(O368="",AE368=""),"",(O368-AE368*1000000)/1000000)</f>
        <v/>
      </c>
    </row>
    <row r="369">
      <c r="A369" s="35" t="n">
        <v>46023</v>
      </c>
      <c r="B369" s="90">
        <f>IF('Daily Data'!E369="","",'Daily Data'!E369)</f>
        <v/>
      </c>
      <c r="C369" s="65" t="n">
        <v>25.53</v>
      </c>
      <c r="D369" s="94" t="n">
        <v>28382.23</v>
      </c>
      <c r="E369" s="94" t="n">
        <v>26402.7064</v>
      </c>
      <c r="F369" s="94" t="n">
        <v>1053.6984</v>
      </c>
      <c r="G369" s="94" t="n"/>
      <c r="H369" s="95">
        <f>SUM($G$4:G369)</f>
        <v/>
      </c>
      <c r="I369" s="94" t="n">
        <v>1000000000</v>
      </c>
      <c r="J369" s="95">
        <f>J368-E369</f>
        <v/>
      </c>
      <c r="K369" s="94" t="n">
        <v>60000000</v>
      </c>
      <c r="L369" s="94" t="n">
        <v>37884623.35255512</v>
      </c>
      <c r="M369" s="94" t="n">
        <v>3000000</v>
      </c>
      <c r="N369" s="94" t="n">
        <v>553989.9502999783</v>
      </c>
      <c r="O369" s="96">
        <f>IF(OR(I369="",J369="",L369="",N369=""),"",I369-J369-K369-L369-M369-N369)</f>
        <v/>
      </c>
      <c r="P369" s="91">
        <f>IF(OR(O369="",C369=""),"",O369*C369)</f>
        <v/>
      </c>
      <c r="Q369" s="69">
        <f>Q368-E369</f>
        <v/>
      </c>
      <c r="R369" s="97">
        <f>IF(OR(J369="",Q369=""),"",J369-Q369)</f>
        <v/>
      </c>
      <c r="S369" s="69">
        <f>IF(D369="",S368,S368+D369)</f>
        <v/>
      </c>
      <c r="T369" s="97">
        <f>IF(OR(L369="",S369=""),"",L369-S369)</f>
        <v/>
      </c>
      <c r="U369" s="69">
        <f>IF(F369="",U368,U368+F369)</f>
        <v/>
      </c>
      <c r="V369" s="97">
        <f>IF(OR(N369="",U369=""),"",N369-U369)</f>
        <v/>
      </c>
      <c r="W369" s="71">
        <f>IF(OR(C369="",C369=0,'Daily Data'!J369=""),"",'Daily Data'!J369/C369)</f>
        <v/>
      </c>
      <c r="X369" s="71">
        <f>IF(OR(C369="",C369=0,'Daily Data'!K369=""),"",'Daily Data'!K369/C369)</f>
        <v/>
      </c>
      <c r="Y369" s="71">
        <f>IF(OR(F369="",W369="",X369=""),"",F369-W369-X369)</f>
        <v/>
      </c>
      <c r="Z369" s="72" t="n">
        <v>372.43</v>
      </c>
      <c r="AA369" s="72" t="n">
        <v>65.72</v>
      </c>
      <c r="AB369" s="73">
        <f>Z369+AA369</f>
        <v/>
      </c>
      <c r="AC369" s="74">
        <f>IF(OR(E369="",E369=0,AB369=""),"",E369*365/(AB369*1000000))</f>
        <v/>
      </c>
      <c r="AD369" s="98">
        <f>IF(OR(O369="",O369=0,AB369=""),"",(AB369*1000000)/O369)</f>
        <v/>
      </c>
      <c r="AE369" s="99">
        <f>IF(H369="","",(Team_Genesis-H369)/1000000)</f>
        <v/>
      </c>
      <c r="AF369" s="99">
        <f>IF(OR(O369="",AE369=""),"",(O369-AE369*1000000)/1000000)</f>
        <v/>
      </c>
    </row>
    <row r="370">
      <c r="A370" s="35" t="n">
        <v>46024</v>
      </c>
      <c r="B370" s="90">
        <f>IF('Daily Data'!E370="","",'Daily Data'!E370)</f>
        <v/>
      </c>
      <c r="C370" s="65" t="n">
        <v>24.29</v>
      </c>
      <c r="D370" s="94" t="n">
        <v>77430.46000000001</v>
      </c>
      <c r="E370" s="94" t="n">
        <v>26401.8144</v>
      </c>
      <c r="F370" s="94" t="n">
        <v>2093.0828</v>
      </c>
      <c r="G370" s="94" t="n"/>
      <c r="H370" s="95">
        <f>SUM($G$4:G370)</f>
        <v/>
      </c>
      <c r="I370" s="94" t="n">
        <v>1000000000</v>
      </c>
      <c r="J370" s="95">
        <f>J369-E370</f>
        <v/>
      </c>
      <c r="K370" s="94" t="n">
        <v>60000000</v>
      </c>
      <c r="L370" s="94" t="n">
        <v>37961240.11255512</v>
      </c>
      <c r="M370" s="94" t="n">
        <v>3000000</v>
      </c>
      <c r="N370" s="94" t="n">
        <v>556083.033100009</v>
      </c>
      <c r="O370" s="96">
        <f>IF(OR(I370="",J370="",L370="",N370=""),"",I370-J370-K370-L370-M370-N370)</f>
        <v/>
      </c>
      <c r="P370" s="91">
        <f>IF(OR(O370="",C370=""),"",O370*C370)</f>
        <v/>
      </c>
      <c r="Q370" s="69">
        <f>Q369-E370</f>
        <v/>
      </c>
      <c r="R370" s="97">
        <f>IF(OR(J370="",Q370=""),"",J370-Q370)</f>
        <v/>
      </c>
      <c r="S370" s="69">
        <f>IF(D370="",S369,S369+D370)</f>
        <v/>
      </c>
      <c r="T370" s="97">
        <f>IF(OR(L370="",S370=""),"",L370-S370)</f>
        <v/>
      </c>
      <c r="U370" s="69">
        <f>IF(F370="",U369,U369+F370)</f>
        <v/>
      </c>
      <c r="V370" s="97">
        <f>IF(OR(N370="",U370=""),"",N370-U370)</f>
        <v/>
      </c>
      <c r="W370" s="71">
        <f>IF(OR(C370="",C370=0,'Daily Data'!J370=""),"",'Daily Data'!J370/C370)</f>
        <v/>
      </c>
      <c r="X370" s="71">
        <f>IF(OR(C370="",C370=0,'Daily Data'!K370=""),"",'Daily Data'!K370/C370)</f>
        <v/>
      </c>
      <c r="Y370" s="71">
        <f>IF(OR(F370="",W370="",X370=""),"",F370-W370-X370)</f>
        <v/>
      </c>
      <c r="Z370" s="72" t="n">
        <v>372.43</v>
      </c>
      <c r="AA370" s="72" t="n">
        <v>65.72</v>
      </c>
      <c r="AB370" s="73">
        <f>Z370+AA370</f>
        <v/>
      </c>
      <c r="AC370" s="74">
        <f>IF(OR(E370="",E370=0,AB370=""),"",E370*365/(AB370*1000000))</f>
        <v/>
      </c>
      <c r="AD370" s="98">
        <f>IF(OR(O370="",O370=0,AB370=""),"",(AB370*1000000)/O370)</f>
        <v/>
      </c>
      <c r="AE370" s="99">
        <f>IF(H370="","",(Team_Genesis-H370)/1000000)</f>
        <v/>
      </c>
      <c r="AF370" s="99">
        <f>IF(OR(O370="",AE370=""),"",(O370-AE370*1000000)/1000000)</f>
        <v/>
      </c>
    </row>
    <row r="371">
      <c r="A371" s="35" t="n">
        <v>46025</v>
      </c>
      <c r="B371" s="90">
        <f>IF('Daily Data'!E371="","",'Daily Data'!E371)</f>
        <v/>
      </c>
      <c r="C371" s="65" t="n">
        <v>24.58</v>
      </c>
      <c r="D371" s="94" t="n">
        <v>40475</v>
      </c>
      <c r="E371" s="94" t="n">
        <v>26396.0166</v>
      </c>
      <c r="F371" s="94" t="n">
        <v>1639.5284</v>
      </c>
      <c r="G371" s="94" t="n"/>
      <c r="H371" s="95">
        <f>SUM($G$4:G371)</f>
        <v/>
      </c>
      <c r="I371" s="94" t="n">
        <v>1000000000</v>
      </c>
      <c r="J371" s="95">
        <f>J370-E371</f>
        <v/>
      </c>
      <c r="K371" s="94" t="n">
        <v>60000000</v>
      </c>
      <c r="L371" s="94" t="n">
        <v>38005028.39255512</v>
      </c>
      <c r="M371" s="94" t="n">
        <v>3000000</v>
      </c>
      <c r="N371" s="94" t="n">
        <v>557722.5614999533</v>
      </c>
      <c r="O371" s="96">
        <f>IF(OR(I371="",J371="",L371="",N371=""),"",I371-J371-K371-L371-M371-N371)</f>
        <v/>
      </c>
      <c r="P371" s="91">
        <f>IF(OR(O371="",C371=""),"",O371*C371)</f>
        <v/>
      </c>
      <c r="Q371" s="69">
        <f>Q370-E371</f>
        <v/>
      </c>
      <c r="R371" s="97">
        <f>IF(OR(J371="",Q371=""),"",J371-Q371)</f>
        <v/>
      </c>
      <c r="S371" s="69">
        <f>IF(D371="",S370,S370+D371)</f>
        <v/>
      </c>
      <c r="T371" s="97">
        <f>IF(OR(L371="",S371=""),"",L371-S371)</f>
        <v/>
      </c>
      <c r="U371" s="69">
        <f>IF(F371="",U370,U370+F371)</f>
        <v/>
      </c>
      <c r="V371" s="97">
        <f>IF(OR(N371="",U371=""),"",N371-U371)</f>
        <v/>
      </c>
      <c r="W371" s="71">
        <f>IF(OR(C371="",C371=0,'Daily Data'!J371=""),"",'Daily Data'!J371/C371)</f>
        <v/>
      </c>
      <c r="X371" s="71">
        <f>IF(OR(C371="",C371=0,'Daily Data'!K371=""),"",'Daily Data'!K371/C371)</f>
        <v/>
      </c>
      <c r="Y371" s="71">
        <f>IF(OR(F371="",W371="",X371=""),"",F371-W371-X371)</f>
        <v/>
      </c>
      <c r="Z371" s="72" t="n">
        <v>372.43</v>
      </c>
      <c r="AA371" s="72" t="n">
        <v>65.72</v>
      </c>
      <c r="AB371" s="73">
        <f>Z371+AA371</f>
        <v/>
      </c>
      <c r="AC371" s="74">
        <f>IF(OR(E371="",E371=0,AB371=""),"",E371*365/(AB371*1000000))</f>
        <v/>
      </c>
      <c r="AD371" s="98">
        <f>IF(OR(O371="",O371=0,AB371=""),"",(AB371*1000000)/O371)</f>
        <v/>
      </c>
      <c r="AE371" s="99">
        <f>IF(H371="","",(Team_Genesis-H371)/1000000)</f>
        <v/>
      </c>
      <c r="AF371" s="99">
        <f>IF(OR(O371="",AE371=""),"",(O371-AE371*1000000)/1000000)</f>
        <v/>
      </c>
    </row>
    <row r="372">
      <c r="A372" s="35" t="n">
        <v>46026</v>
      </c>
      <c r="B372" s="90">
        <f>IF('Daily Data'!E372="","",'Daily Data'!E372)</f>
        <v/>
      </c>
      <c r="C372" s="65" t="n">
        <v>25.18</v>
      </c>
      <c r="D372" s="94" t="n">
        <v>39990.23</v>
      </c>
      <c r="E372" s="94" t="n">
        <v>26350.9539</v>
      </c>
      <c r="F372" s="94" t="n">
        <v>2062.1422</v>
      </c>
      <c r="G372" s="94" t="n"/>
      <c r="H372" s="95">
        <f>SUM($G$4:G372)</f>
        <v/>
      </c>
      <c r="I372" s="94" t="n">
        <v>1000000000</v>
      </c>
      <c r="J372" s="95">
        <f>J371-E372</f>
        <v/>
      </c>
      <c r="K372" s="94" t="n">
        <v>60000000</v>
      </c>
      <c r="L372" s="94" t="n">
        <v>38044332.31255512</v>
      </c>
      <c r="M372" s="94" t="n">
        <v>3000000</v>
      </c>
      <c r="N372" s="94" t="n">
        <v>559784.703799963</v>
      </c>
      <c r="O372" s="96">
        <f>IF(OR(I372="",J372="",L372="",N372=""),"",I372-J372-K372-L372-M372-N372)</f>
        <v/>
      </c>
      <c r="P372" s="91">
        <f>IF(OR(O372="",C372=""),"",O372*C372)</f>
        <v/>
      </c>
      <c r="Q372" s="69">
        <f>Q371-E372</f>
        <v/>
      </c>
      <c r="R372" s="97">
        <f>IF(OR(J372="",Q372=""),"",J372-Q372)</f>
        <v/>
      </c>
      <c r="S372" s="69">
        <f>IF(D372="",S371,S371+D372)</f>
        <v/>
      </c>
      <c r="T372" s="97">
        <f>IF(OR(L372="",S372=""),"",L372-S372)</f>
        <v/>
      </c>
      <c r="U372" s="69">
        <f>IF(F372="",U371,U371+F372)</f>
        <v/>
      </c>
      <c r="V372" s="97">
        <f>IF(OR(N372="",U372=""),"",N372-U372)</f>
        <v/>
      </c>
      <c r="W372" s="71">
        <f>IF(OR(C372="",C372=0,'Daily Data'!J372=""),"",'Daily Data'!J372/C372)</f>
        <v/>
      </c>
      <c r="X372" s="71">
        <f>IF(OR(C372="",C372=0,'Daily Data'!K372=""),"",'Daily Data'!K372/C372)</f>
        <v/>
      </c>
      <c r="Y372" s="71">
        <f>IF(OR(F372="",W372="",X372=""),"",F372-W372-X372)</f>
        <v/>
      </c>
      <c r="Z372" s="72" t="n">
        <v>372.43</v>
      </c>
      <c r="AA372" s="72" t="n">
        <v>65.72</v>
      </c>
      <c r="AB372" s="73">
        <f>Z372+AA372</f>
        <v/>
      </c>
      <c r="AC372" s="74">
        <f>IF(OR(E372="",E372=0,AB372=""),"",E372*365/(AB372*1000000))</f>
        <v/>
      </c>
      <c r="AD372" s="98">
        <f>IF(OR(O372="",O372=0,AB372=""),"",(AB372*1000000)/O372)</f>
        <v/>
      </c>
      <c r="AE372" s="99">
        <f>IF(H372="","",(Team_Genesis-H372)/1000000)</f>
        <v/>
      </c>
      <c r="AF372" s="99">
        <f>IF(OR(O372="",AE372=""),"",(O372-AE372*1000000)/1000000)</f>
        <v/>
      </c>
    </row>
    <row r="373">
      <c r="A373" s="35" t="n">
        <v>46027</v>
      </c>
      <c r="B373" s="90">
        <f>IF('Daily Data'!E373="","",'Daily Data'!E373)</f>
        <v/>
      </c>
      <c r="C373" s="65" t="n">
        <v>26.58</v>
      </c>
      <c r="D373" s="94" t="n">
        <v>78485.08</v>
      </c>
      <c r="E373" s="94" t="n">
        <v>26387.3723</v>
      </c>
      <c r="F373" s="94" t="n">
        <v>901.9737</v>
      </c>
      <c r="G373" s="94" t="n"/>
      <c r="H373" s="95">
        <f>SUM($G$4:G373)</f>
        <v/>
      </c>
      <c r="I373" s="94" t="n">
        <v>1000000000</v>
      </c>
      <c r="J373" s="95">
        <f>J372-E373</f>
        <v/>
      </c>
      <c r="K373" s="94" t="n">
        <v>60000000</v>
      </c>
      <c r="L373" s="94" t="n">
        <v>38120898.50255512</v>
      </c>
      <c r="M373" s="94" t="n">
        <v>3000000</v>
      </c>
      <c r="N373" s="94" t="n">
        <v>560686.6775000095</v>
      </c>
      <c r="O373" s="96">
        <f>IF(OR(I373="",J373="",L373="",N373=""),"",I373-J373-K373-L373-M373-N373)</f>
        <v/>
      </c>
      <c r="P373" s="91">
        <f>IF(OR(O373="",C373=""),"",O373*C373)</f>
        <v/>
      </c>
      <c r="Q373" s="69">
        <f>Q372-E373</f>
        <v/>
      </c>
      <c r="R373" s="97">
        <f>IF(OR(J373="",Q373=""),"",J373-Q373)</f>
        <v/>
      </c>
      <c r="S373" s="69">
        <f>IF(D373="",S372,S372+D373)</f>
        <v/>
      </c>
      <c r="T373" s="97">
        <f>IF(OR(L373="",S373=""),"",L373-S373)</f>
        <v/>
      </c>
      <c r="U373" s="69">
        <f>IF(F373="",U372,U372+F373)</f>
        <v/>
      </c>
      <c r="V373" s="97">
        <f>IF(OR(N373="",U373=""),"",N373-U373)</f>
        <v/>
      </c>
      <c r="W373" s="71">
        <f>IF(OR(C373="",C373=0,'Daily Data'!J373=""),"",'Daily Data'!J373/C373)</f>
        <v/>
      </c>
      <c r="X373" s="71">
        <f>IF(OR(C373="",C373=0,'Daily Data'!K373=""),"",'Daily Data'!K373/C373)</f>
        <v/>
      </c>
      <c r="Y373" s="71">
        <f>IF(OR(F373="",W373="",X373=""),"",F373-W373-X373)</f>
        <v/>
      </c>
      <c r="Z373" s="72" t="n">
        <v>372.43</v>
      </c>
      <c r="AA373" s="72" t="n">
        <v>65.72</v>
      </c>
      <c r="AB373" s="73">
        <f>Z373+AA373</f>
        <v/>
      </c>
      <c r="AC373" s="74">
        <f>IF(OR(E373="",E373=0,AB373=""),"",E373*365/(AB373*1000000))</f>
        <v/>
      </c>
      <c r="AD373" s="98">
        <f>IF(OR(O373="",O373=0,AB373=""),"",(AB373*1000000)/O373)</f>
        <v/>
      </c>
      <c r="AE373" s="99">
        <f>IF(H373="","",(Team_Genesis-H373)/1000000)</f>
        <v/>
      </c>
      <c r="AF373" s="99">
        <f>IF(OR(O373="",AE373=""),"",(O373-AE373*1000000)/1000000)</f>
        <v/>
      </c>
    </row>
    <row r="374">
      <c r="A374" s="35" t="n">
        <v>46028</v>
      </c>
      <c r="B374" s="90">
        <f>IF('Daily Data'!E374="","",'Daily Data'!E374)</f>
        <v/>
      </c>
      <c r="C374" s="65" t="n">
        <v>26.72</v>
      </c>
      <c r="D374" s="94" t="n">
        <v>88011.81</v>
      </c>
      <c r="E374" s="94" t="n">
        <v>26389.3646</v>
      </c>
      <c r="F374" s="94" t="n">
        <v>2534.2663</v>
      </c>
      <c r="G374" s="94" t="n">
        <v>1125766</v>
      </c>
      <c r="H374" s="95">
        <f>SUM($G$4:G374)</f>
        <v/>
      </c>
      <c r="I374" s="94" t="n">
        <v>1000000000</v>
      </c>
      <c r="J374" s="95">
        <f>J373-E374</f>
        <v/>
      </c>
      <c r="K374" s="94" t="n">
        <v>60000000</v>
      </c>
      <c r="L374" s="94" t="n">
        <v>38212022.86255512</v>
      </c>
      <c r="M374" s="94" t="n">
        <v>3000000</v>
      </c>
      <c r="N374" s="94" t="n">
        <v>563220.9436999559</v>
      </c>
      <c r="O374" s="96">
        <f>IF(OR(I374="",J374="",L374="",N374=""),"",I374-J374-K374-L374-M374-N374)</f>
        <v/>
      </c>
      <c r="P374" s="91">
        <f>IF(OR(O374="",C374=""),"",O374*C374)</f>
        <v/>
      </c>
      <c r="Q374" s="69">
        <f>Q373-E374</f>
        <v/>
      </c>
      <c r="R374" s="97">
        <f>IF(OR(J374="",Q374=""),"",J374-Q374)</f>
        <v/>
      </c>
      <c r="S374" s="69">
        <f>IF(D374="",S373,S373+D374)</f>
        <v/>
      </c>
      <c r="T374" s="97">
        <f>IF(OR(L374="",S374=""),"",L374-S374)</f>
        <v/>
      </c>
      <c r="U374" s="69">
        <f>IF(F374="",U373,U373+F374)</f>
        <v/>
      </c>
      <c r="V374" s="97">
        <f>IF(OR(N374="",U374=""),"",N374-U374)</f>
        <v/>
      </c>
      <c r="W374" s="71">
        <f>IF(OR(C374="",C374=0,'Daily Data'!J374=""),"",'Daily Data'!J374/C374)</f>
        <v/>
      </c>
      <c r="X374" s="71">
        <f>IF(OR(C374="",C374=0,'Daily Data'!K374=""),"",'Daily Data'!K374/C374)</f>
        <v/>
      </c>
      <c r="Y374" s="71">
        <f>IF(OR(F374="",W374="",X374=""),"",F374-W374-X374)</f>
        <v/>
      </c>
      <c r="Z374" s="72" t="n">
        <v>372.43</v>
      </c>
      <c r="AA374" s="72" t="n">
        <v>65.72</v>
      </c>
      <c r="AB374" s="73">
        <f>Z374+AA374</f>
        <v/>
      </c>
      <c r="AC374" s="74">
        <f>IF(OR(E374="",E374=0,AB374=""),"",E374*365/(AB374*1000000))</f>
        <v/>
      </c>
      <c r="AD374" s="98">
        <f>IF(OR(O374="",O374=0,AB374=""),"",(AB374*1000000)/O374)</f>
        <v/>
      </c>
      <c r="AE374" s="99">
        <f>IF(H374="","",(Team_Genesis-H374)/1000000)</f>
        <v/>
      </c>
      <c r="AF374" s="99">
        <f>IF(OR(O374="",AE374=""),"",(O374-AE374*1000000)/1000000)</f>
        <v/>
      </c>
    </row>
    <row r="375">
      <c r="A375" s="35" t="n">
        <v>46029</v>
      </c>
      <c r="B375" s="90">
        <f>IF('Daily Data'!E375="","",'Daily Data'!E375)</f>
        <v/>
      </c>
      <c r="C375" s="65" t="n">
        <v>28.01</v>
      </c>
      <c r="D375" s="94" t="n">
        <v>68872.57000000001</v>
      </c>
      <c r="E375" s="94" t="n">
        <v>26373.0482</v>
      </c>
      <c r="F375" s="94" t="n">
        <v>2947.2225</v>
      </c>
      <c r="G375" s="94" t="n"/>
      <c r="H375" s="95">
        <f>SUM($G$4:G375)</f>
        <v/>
      </c>
      <c r="I375" s="94" t="n">
        <v>1000000000</v>
      </c>
      <c r="J375" s="95">
        <f>J374-E375</f>
        <v/>
      </c>
      <c r="K375" s="94" t="n">
        <v>60000000</v>
      </c>
      <c r="L375" s="94" t="n">
        <v>38277974.16255512</v>
      </c>
      <c r="M375" s="94" t="n">
        <v>3000000</v>
      </c>
      <c r="N375" s="94" t="n">
        <v>566168.1662000418</v>
      </c>
      <c r="O375" s="96">
        <f>IF(OR(I375="",J375="",L375="",N375=""),"",I375-J375-K375-L375-M375-N375)</f>
        <v/>
      </c>
      <c r="P375" s="91">
        <f>IF(OR(O375="",C375=""),"",O375*C375)</f>
        <v/>
      </c>
      <c r="Q375" s="69">
        <f>Q374-E375</f>
        <v/>
      </c>
      <c r="R375" s="97">
        <f>IF(OR(J375="",Q375=""),"",J375-Q375)</f>
        <v/>
      </c>
      <c r="S375" s="69">
        <f>IF(D375="",S374,S374+D375)</f>
        <v/>
      </c>
      <c r="T375" s="97">
        <f>IF(OR(L375="",S375=""),"",L375-S375)</f>
        <v/>
      </c>
      <c r="U375" s="69">
        <f>IF(F375="",U374,U374+F375)</f>
        <v/>
      </c>
      <c r="V375" s="97">
        <f>IF(OR(N375="",U375=""),"",N375-U375)</f>
        <v/>
      </c>
      <c r="W375" s="71">
        <f>IF(OR(C375="",C375=0,'Daily Data'!J375=""),"",'Daily Data'!J375/C375)</f>
        <v/>
      </c>
      <c r="X375" s="71">
        <f>IF(OR(C375="",C375=0,'Daily Data'!K375=""),"",'Daily Data'!K375/C375)</f>
        <v/>
      </c>
      <c r="Y375" s="71">
        <f>IF(OR(F375="",W375="",X375=""),"",F375-W375-X375)</f>
        <v/>
      </c>
      <c r="Z375" s="72" t="n">
        <v>372.43</v>
      </c>
      <c r="AA375" s="72" t="n">
        <v>65.72</v>
      </c>
      <c r="AB375" s="73">
        <f>Z375+AA375</f>
        <v/>
      </c>
      <c r="AC375" s="74">
        <f>IF(OR(E375="",E375=0,AB375=""),"",E375*365/(AB375*1000000))</f>
        <v/>
      </c>
      <c r="AD375" s="98">
        <f>IF(OR(O375="",O375=0,AB375=""),"",(AB375*1000000)/O375)</f>
        <v/>
      </c>
      <c r="AE375" s="99">
        <f>IF(H375="","",(Team_Genesis-H375)/1000000)</f>
        <v/>
      </c>
      <c r="AF375" s="99">
        <f>IF(OR(O375="",AE375=""),"",(O375-AE375*1000000)/1000000)</f>
        <v/>
      </c>
    </row>
    <row r="376">
      <c r="A376" s="35" t="n">
        <v>46030</v>
      </c>
      <c r="B376" s="90">
        <f>IF('Daily Data'!E376="","",'Daily Data'!E376)</f>
        <v/>
      </c>
      <c r="C376" s="65" t="n">
        <v>26.79</v>
      </c>
      <c r="D376" s="94" t="n">
        <v>80019.35000000001</v>
      </c>
      <c r="E376" s="94" t="n">
        <v>26374.6414</v>
      </c>
      <c r="F376" s="94" t="n">
        <v>1968.7768</v>
      </c>
      <c r="G376" s="94" t="n"/>
      <c r="H376" s="95">
        <f>SUM($G$4:G376)</f>
        <v/>
      </c>
      <c r="I376" s="94" t="n">
        <v>1000000000</v>
      </c>
      <c r="J376" s="95">
        <f>J375-E376</f>
        <v/>
      </c>
      <c r="K376" s="94" t="n">
        <v>60000000</v>
      </c>
      <c r="L376" s="94" t="n">
        <v>38357236.18255512</v>
      </c>
      <c r="M376" s="94" t="n">
        <v>3000000</v>
      </c>
      <c r="N376" s="94" t="n">
        <v>568136.942999959</v>
      </c>
      <c r="O376" s="96">
        <f>IF(OR(I376="",J376="",L376="",N376=""),"",I376-J376-K376-L376-M376-N376)</f>
        <v/>
      </c>
      <c r="P376" s="91">
        <f>IF(OR(O376="",C376=""),"",O376*C376)</f>
        <v/>
      </c>
      <c r="Q376" s="69">
        <f>Q375-E376</f>
        <v/>
      </c>
      <c r="R376" s="97">
        <f>IF(OR(J376="",Q376=""),"",J376-Q376)</f>
        <v/>
      </c>
      <c r="S376" s="69">
        <f>IF(D376="",S375,S375+D376)</f>
        <v/>
      </c>
      <c r="T376" s="97">
        <f>IF(OR(L376="",S376=""),"",L376-S376)</f>
        <v/>
      </c>
      <c r="U376" s="69">
        <f>IF(F376="",U375,U375+F376)</f>
        <v/>
      </c>
      <c r="V376" s="97">
        <f>IF(OR(N376="",U376=""),"",N376-U376)</f>
        <v/>
      </c>
      <c r="W376" s="71">
        <f>IF(OR(C376="",C376=0,'Daily Data'!J376=""),"",'Daily Data'!J376/C376)</f>
        <v/>
      </c>
      <c r="X376" s="71">
        <f>IF(OR(C376="",C376=0,'Daily Data'!K376=""),"",'Daily Data'!K376/C376)</f>
        <v/>
      </c>
      <c r="Y376" s="71">
        <f>IF(OR(F376="",W376="",X376=""),"",F376-W376-X376)</f>
        <v/>
      </c>
      <c r="Z376" s="72" t="n">
        <v>372.43</v>
      </c>
      <c r="AA376" s="72" t="n">
        <v>65.72</v>
      </c>
      <c r="AB376" s="73">
        <f>Z376+AA376</f>
        <v/>
      </c>
      <c r="AC376" s="74">
        <f>IF(OR(E376="",E376=0,AB376=""),"",E376*365/(AB376*1000000))</f>
        <v/>
      </c>
      <c r="AD376" s="98">
        <f>IF(OR(O376="",O376=0,AB376=""),"",(AB376*1000000)/O376)</f>
        <v/>
      </c>
      <c r="AE376" s="99">
        <f>IF(H376="","",(Team_Genesis-H376)/1000000)</f>
        <v/>
      </c>
      <c r="AF376" s="99">
        <f>IF(OR(O376="",AE376=""),"",(O376-AE376*1000000)/1000000)</f>
        <v/>
      </c>
    </row>
    <row r="377">
      <c r="A377" s="35" t="n">
        <v>46031</v>
      </c>
      <c r="B377" s="90">
        <f>IF('Daily Data'!E377="","",'Daily Data'!E377)</f>
        <v/>
      </c>
      <c r="C377" s="65" t="n">
        <v>25.53</v>
      </c>
      <c r="D377" s="94" t="n">
        <v>69974.7</v>
      </c>
      <c r="E377" s="94" t="n">
        <v>26370.8818</v>
      </c>
      <c r="F377" s="94" t="n">
        <v>2704.8659</v>
      </c>
      <c r="G377" s="94" t="n"/>
      <c r="H377" s="95">
        <f>SUM($G$4:G377)</f>
        <v/>
      </c>
      <c r="I377" s="94" t="n">
        <v>1000000000</v>
      </c>
      <c r="J377" s="95">
        <f>J376-E377</f>
        <v/>
      </c>
      <c r="K377" s="94" t="n">
        <v>60000000</v>
      </c>
      <c r="L377" s="94" t="n">
        <v>38428013.39255512</v>
      </c>
      <c r="M377" s="94" t="n">
        <v>3000000</v>
      </c>
      <c r="N377" s="94" t="n">
        <v>570841.8088999987</v>
      </c>
      <c r="O377" s="96">
        <f>IF(OR(I377="",J377="",L377="",N377=""),"",I377-J377-K377-L377-M377-N377)</f>
        <v/>
      </c>
      <c r="P377" s="91">
        <f>IF(OR(O377="",C377=""),"",O377*C377)</f>
        <v/>
      </c>
      <c r="Q377" s="69">
        <f>Q376-E377</f>
        <v/>
      </c>
      <c r="R377" s="97">
        <f>IF(OR(J377="",Q377=""),"",J377-Q377)</f>
        <v/>
      </c>
      <c r="S377" s="69">
        <f>IF(D377="",S376,S376+D377)</f>
        <v/>
      </c>
      <c r="T377" s="97">
        <f>IF(OR(L377="",S377=""),"",L377-S377)</f>
        <v/>
      </c>
      <c r="U377" s="69">
        <f>IF(F377="",U376,U376+F377)</f>
        <v/>
      </c>
      <c r="V377" s="97">
        <f>IF(OR(N377="",U377=""),"",N377-U377)</f>
        <v/>
      </c>
      <c r="W377" s="71">
        <f>IF(OR(C377="",C377=0,'Daily Data'!J377=""),"",'Daily Data'!J377/C377)</f>
        <v/>
      </c>
      <c r="X377" s="71">
        <f>IF(OR(C377="",C377=0,'Daily Data'!K377=""),"",'Daily Data'!K377/C377)</f>
        <v/>
      </c>
      <c r="Y377" s="71">
        <f>IF(OR(F377="",W377="",X377=""),"",F377-W377-X377)</f>
        <v/>
      </c>
      <c r="Z377" s="72" t="n">
        <v>372.43</v>
      </c>
      <c r="AA377" s="72" t="n">
        <v>65.72</v>
      </c>
      <c r="AB377" s="73">
        <f>Z377+AA377</f>
        <v/>
      </c>
      <c r="AC377" s="74">
        <f>IF(OR(E377="",E377=0,AB377=""),"",E377*365/(AB377*1000000))</f>
        <v/>
      </c>
      <c r="AD377" s="98">
        <f>IF(OR(O377="",O377=0,AB377=""),"",(AB377*1000000)/O377)</f>
        <v/>
      </c>
      <c r="AE377" s="99">
        <f>IF(H377="","",(Team_Genesis-H377)/1000000)</f>
        <v/>
      </c>
      <c r="AF377" s="99">
        <f>IF(OR(O377="",AE377=""),"",(O377-AE377*1000000)/1000000)</f>
        <v/>
      </c>
    </row>
    <row r="378">
      <c r="A378" s="35" t="n">
        <v>46032</v>
      </c>
      <c r="B378" s="90">
        <f>IF('Daily Data'!E378="","",'Daily Data'!E378)</f>
        <v/>
      </c>
      <c r="C378" s="65" t="n">
        <v>24.91</v>
      </c>
      <c r="D378" s="94" t="n">
        <v>18968.35</v>
      </c>
      <c r="E378" s="94" t="n">
        <v>26361.0916</v>
      </c>
      <c r="F378" s="94" t="n">
        <v>955.1403</v>
      </c>
      <c r="G378" s="94" t="n"/>
      <c r="H378" s="95">
        <f>SUM($G$4:G378)</f>
        <v/>
      </c>
      <c r="I378" s="94" t="n">
        <v>1000000000</v>
      </c>
      <c r="J378" s="95">
        <f>J377-E378</f>
        <v/>
      </c>
      <c r="K378" s="94" t="n">
        <v>60000000</v>
      </c>
      <c r="L378" s="94" t="n">
        <v>38446138.52255512</v>
      </c>
      <c r="M378" s="94" t="n">
        <v>3000000</v>
      </c>
      <c r="N378" s="94" t="n">
        <v>571796.9491000175</v>
      </c>
      <c r="O378" s="96">
        <f>IF(OR(I378="",J378="",L378="",N378=""),"",I378-J378-K378-L378-M378-N378)</f>
        <v/>
      </c>
      <c r="P378" s="91">
        <f>IF(OR(O378="",C378=""),"",O378*C378)</f>
        <v/>
      </c>
      <c r="Q378" s="69">
        <f>Q377-E378</f>
        <v/>
      </c>
      <c r="R378" s="97">
        <f>IF(OR(J378="",Q378=""),"",J378-Q378)</f>
        <v/>
      </c>
      <c r="S378" s="69">
        <f>IF(D378="",S377,S377+D378)</f>
        <v/>
      </c>
      <c r="T378" s="97">
        <f>IF(OR(L378="",S378=""),"",L378-S378)</f>
        <v/>
      </c>
      <c r="U378" s="69">
        <f>IF(F378="",U377,U377+F378)</f>
        <v/>
      </c>
      <c r="V378" s="97">
        <f>IF(OR(N378="",U378=""),"",N378-U378)</f>
        <v/>
      </c>
      <c r="W378" s="71">
        <f>IF(OR(C378="",C378=0,'Daily Data'!J378=""),"",'Daily Data'!J378/C378)</f>
        <v/>
      </c>
      <c r="X378" s="71">
        <f>IF(OR(C378="",C378=0,'Daily Data'!K378=""),"",'Daily Data'!K378/C378)</f>
        <v/>
      </c>
      <c r="Y378" s="71">
        <f>IF(OR(F378="",W378="",X378=""),"",F378-W378-X378)</f>
        <v/>
      </c>
      <c r="Z378" s="72" t="n">
        <v>372.43</v>
      </c>
      <c r="AA378" s="72" t="n">
        <v>65.72</v>
      </c>
      <c r="AB378" s="73">
        <f>Z378+AA378</f>
        <v/>
      </c>
      <c r="AC378" s="74">
        <f>IF(OR(E378="",E378=0,AB378=""),"",E378*365/(AB378*1000000))</f>
        <v/>
      </c>
      <c r="AD378" s="98">
        <f>IF(OR(O378="",O378=0,AB378=""),"",(AB378*1000000)/O378)</f>
        <v/>
      </c>
      <c r="AE378" s="99">
        <f>IF(H378="","",(Team_Genesis-H378)/1000000)</f>
        <v/>
      </c>
      <c r="AF378" s="99">
        <f>IF(OR(O378="",AE378=""),"",(O378-AE378*1000000)/1000000)</f>
        <v/>
      </c>
    </row>
    <row r="379">
      <c r="A379" s="35" t="n">
        <v>46033</v>
      </c>
      <c r="B379" s="90">
        <f>IF('Daily Data'!E379="","",'Daily Data'!E379)</f>
        <v/>
      </c>
      <c r="C379" s="65" t="n">
        <v>24.08</v>
      </c>
      <c r="D379" s="94" t="n">
        <v>33286.67</v>
      </c>
      <c r="E379" s="94" t="n">
        <v>26258.6631</v>
      </c>
      <c r="F379" s="94" t="n">
        <v>2542.9764</v>
      </c>
      <c r="G379" s="94" t="n"/>
      <c r="H379" s="95">
        <f>SUM($G$4:G379)</f>
        <v/>
      </c>
      <c r="I379" s="94" t="n">
        <v>1000000000</v>
      </c>
      <c r="J379" s="95">
        <f>J378-E379</f>
        <v/>
      </c>
      <c r="K379" s="94" t="n">
        <v>60000000</v>
      </c>
      <c r="L379" s="94" t="n">
        <v>38480704.90255512</v>
      </c>
      <c r="M379" s="94" t="n">
        <v>3000000</v>
      </c>
      <c r="N379" s="94" t="n">
        <v>574339.9255000353</v>
      </c>
      <c r="O379" s="96">
        <f>IF(OR(I379="",J379="",L379="",N379=""),"",I379-J379-K379-L379-M379-N379)</f>
        <v/>
      </c>
      <c r="P379" s="91">
        <f>IF(OR(O379="",C379=""),"",O379*C379)</f>
        <v/>
      </c>
      <c r="Q379" s="69">
        <f>Q378-E379</f>
        <v/>
      </c>
      <c r="R379" s="97">
        <f>IF(OR(J379="",Q379=""),"",J379-Q379)</f>
        <v/>
      </c>
      <c r="S379" s="69">
        <f>IF(D379="",S378,S378+D379)</f>
        <v/>
      </c>
      <c r="T379" s="97">
        <f>IF(OR(L379="",S379=""),"",L379-S379)</f>
        <v/>
      </c>
      <c r="U379" s="69">
        <f>IF(F379="",U378,U378+F379)</f>
        <v/>
      </c>
      <c r="V379" s="97">
        <f>IF(OR(N379="",U379=""),"",N379-U379)</f>
        <v/>
      </c>
      <c r="W379" s="71">
        <f>IF(OR(C379="",C379=0,'Daily Data'!J379=""),"",'Daily Data'!J379/C379)</f>
        <v/>
      </c>
      <c r="X379" s="71">
        <f>IF(OR(C379="",C379=0,'Daily Data'!K379=""),"",'Daily Data'!K379/C379)</f>
        <v/>
      </c>
      <c r="Y379" s="71">
        <f>IF(OR(F379="",W379="",X379=""),"",F379-W379-X379)</f>
        <v/>
      </c>
      <c r="Z379" s="72" t="n">
        <v>372.43</v>
      </c>
      <c r="AA379" s="72" t="n">
        <v>65.72</v>
      </c>
      <c r="AB379" s="73">
        <f>Z379+AA379</f>
        <v/>
      </c>
      <c r="AC379" s="74">
        <f>IF(OR(E379="",E379=0,AB379=""),"",E379*365/(AB379*1000000))</f>
        <v/>
      </c>
      <c r="AD379" s="98">
        <f>IF(OR(O379="",O379=0,AB379=""),"",(AB379*1000000)/O379)</f>
        <v/>
      </c>
      <c r="AE379" s="99">
        <f>IF(H379="","",(Team_Genesis-H379)/1000000)</f>
        <v/>
      </c>
      <c r="AF379" s="99">
        <f>IF(OR(O379="",AE379=""),"",(O379-AE379*1000000)/1000000)</f>
        <v/>
      </c>
    </row>
    <row r="380">
      <c r="A380" s="35" t="n">
        <v>46034</v>
      </c>
      <c r="B380" s="90">
        <f>IF('Daily Data'!E380="","",'Daily Data'!E380)</f>
        <v/>
      </c>
      <c r="C380" s="65" t="n">
        <v>24.41</v>
      </c>
      <c r="D380" s="94" t="n">
        <v>79151.85000000001</v>
      </c>
      <c r="E380" s="94" t="n">
        <v>26359.8174</v>
      </c>
      <c r="F380" s="94" t="n">
        <v>1943.4075</v>
      </c>
      <c r="G380" s="94" t="n"/>
      <c r="H380" s="95">
        <f>SUM($G$4:G380)</f>
        <v/>
      </c>
      <c r="I380" s="94" t="n">
        <v>1000000000</v>
      </c>
      <c r="J380" s="95">
        <f>J379-E380</f>
        <v/>
      </c>
      <c r="K380" s="94" t="n">
        <v>60000000</v>
      </c>
      <c r="L380" s="94" t="n">
        <v>38558757.57255512</v>
      </c>
      <c r="M380" s="94" t="n">
        <v>3000000</v>
      </c>
      <c r="N380" s="94" t="n">
        <v>576283.3329000473</v>
      </c>
      <c r="O380" s="96">
        <f>IF(OR(I380="",J380="",L380="",N380=""),"",I380-J380-K380-L380-M380-N380)</f>
        <v/>
      </c>
      <c r="P380" s="91">
        <f>IF(OR(O380="",C380=""),"",O380*C380)</f>
        <v/>
      </c>
      <c r="Q380" s="69">
        <f>Q379-E380</f>
        <v/>
      </c>
      <c r="R380" s="97">
        <f>IF(OR(J380="",Q380=""),"",J380-Q380)</f>
        <v/>
      </c>
      <c r="S380" s="69">
        <f>IF(D380="",S379,S379+D380)</f>
        <v/>
      </c>
      <c r="T380" s="97">
        <f>IF(OR(L380="",S380=""),"",L380-S380)</f>
        <v/>
      </c>
      <c r="U380" s="69">
        <f>IF(F380="",U379,U379+F380)</f>
        <v/>
      </c>
      <c r="V380" s="97">
        <f>IF(OR(N380="",U380=""),"",N380-U380)</f>
        <v/>
      </c>
      <c r="W380" s="71">
        <f>IF(OR(C380="",C380=0,'Daily Data'!J380=""),"",'Daily Data'!J380/C380)</f>
        <v/>
      </c>
      <c r="X380" s="71">
        <f>IF(OR(C380="",C380=0,'Daily Data'!K380=""),"",'Daily Data'!K380/C380)</f>
        <v/>
      </c>
      <c r="Y380" s="71">
        <f>IF(OR(F380="",W380="",X380=""),"",F380-W380-X380)</f>
        <v/>
      </c>
      <c r="Z380" s="72" t="n">
        <v>372.43</v>
      </c>
      <c r="AA380" s="72" t="n">
        <v>65.72</v>
      </c>
      <c r="AB380" s="73">
        <f>Z380+AA380</f>
        <v/>
      </c>
      <c r="AC380" s="74">
        <f>IF(OR(E380="",E380=0,AB380=""),"",E380*365/(AB380*1000000))</f>
        <v/>
      </c>
      <c r="AD380" s="98">
        <f>IF(OR(O380="",O380=0,AB380=""),"",(AB380*1000000)/O380)</f>
        <v/>
      </c>
      <c r="AE380" s="99">
        <f>IF(H380="","",(Team_Genesis-H380)/1000000)</f>
        <v/>
      </c>
      <c r="AF380" s="99">
        <f>IF(OR(O380="",AE380=""),"",(O380-AE380*1000000)/1000000)</f>
        <v/>
      </c>
    </row>
    <row r="381">
      <c r="A381" s="35" t="n">
        <v>46035</v>
      </c>
      <c r="B381" s="90">
        <f>IF('Daily Data'!E381="","",'Daily Data'!E381)</f>
        <v/>
      </c>
      <c r="C381" s="65" t="n">
        <v>24.09</v>
      </c>
      <c r="D381" s="94" t="n">
        <v>92963.94</v>
      </c>
      <c r="E381" s="94" t="n">
        <v>26369.6542</v>
      </c>
      <c r="F381" s="94" t="n">
        <v>2800.1185</v>
      </c>
      <c r="G381" s="94" t="n"/>
      <c r="H381" s="95">
        <f>SUM($G$4:G381)</f>
        <v/>
      </c>
      <c r="I381" s="94" t="n">
        <v>1000000000</v>
      </c>
      <c r="J381" s="95">
        <f>J380-E381</f>
        <v/>
      </c>
      <c r="K381" s="94" t="n">
        <v>60000000</v>
      </c>
      <c r="L381" s="94" t="n">
        <v>38651124.06255512</v>
      </c>
      <c r="M381" s="94" t="n">
        <v>3000000</v>
      </c>
      <c r="N381" s="94" t="n">
        <v>579083.4514000416</v>
      </c>
      <c r="O381" s="96">
        <f>IF(OR(I381="",J381="",L381="",N381=""),"",I381-J381-K381-L381-M381-N381)</f>
        <v/>
      </c>
      <c r="P381" s="91">
        <f>IF(OR(O381="",C381=""),"",O381*C381)</f>
        <v/>
      </c>
      <c r="Q381" s="69">
        <f>Q380-E381</f>
        <v/>
      </c>
      <c r="R381" s="97">
        <f>IF(OR(J381="",Q381=""),"",J381-Q381)</f>
        <v/>
      </c>
      <c r="S381" s="69">
        <f>IF(D381="",S380,S380+D381)</f>
        <v/>
      </c>
      <c r="T381" s="97">
        <f>IF(OR(L381="",S381=""),"",L381-S381)</f>
        <v/>
      </c>
      <c r="U381" s="69">
        <f>IF(F381="",U380,U380+F381)</f>
        <v/>
      </c>
      <c r="V381" s="97">
        <f>IF(OR(N381="",U381=""),"",N381-U381)</f>
        <v/>
      </c>
      <c r="W381" s="71">
        <f>IF(OR(C381="",C381=0,'Daily Data'!J381=""),"",'Daily Data'!J381/C381)</f>
        <v/>
      </c>
      <c r="X381" s="71">
        <f>IF(OR(C381="",C381=0,'Daily Data'!K381=""),"",'Daily Data'!K381/C381)</f>
        <v/>
      </c>
      <c r="Y381" s="71">
        <f>IF(OR(F381="",W381="",X381=""),"",F381-W381-X381)</f>
        <v/>
      </c>
      <c r="Z381" s="72" t="n">
        <v>372.43</v>
      </c>
      <c r="AA381" s="72" t="n">
        <v>65.72</v>
      </c>
      <c r="AB381" s="73">
        <f>Z381+AA381</f>
        <v/>
      </c>
      <c r="AC381" s="74">
        <f>IF(OR(E381="",E381=0,AB381=""),"",E381*365/(AB381*1000000))</f>
        <v/>
      </c>
      <c r="AD381" s="98">
        <f>IF(OR(O381="",O381=0,AB381=""),"",(AB381*1000000)/O381)</f>
        <v/>
      </c>
      <c r="AE381" s="99">
        <f>IF(H381="","",(Team_Genesis-H381)/1000000)</f>
        <v/>
      </c>
      <c r="AF381" s="99">
        <f>IF(OR(O381="",AE381=""),"",(O381-AE381*1000000)/1000000)</f>
        <v/>
      </c>
    </row>
    <row r="382">
      <c r="A382" s="35" t="n">
        <v>46036</v>
      </c>
      <c r="B382" s="90">
        <f>IF('Daily Data'!E382="","",'Daily Data'!E382)</f>
        <v/>
      </c>
      <c r="C382" s="65" t="n">
        <v>25.73</v>
      </c>
      <c r="D382" s="94" t="n">
        <v>88651.64</v>
      </c>
      <c r="E382" s="94" t="n">
        <v>26298.3228</v>
      </c>
      <c r="F382" s="94" t="n">
        <v>1022.0645</v>
      </c>
      <c r="G382" s="94" t="n"/>
      <c r="H382" s="95">
        <f>SUM($G$4:G382)</f>
        <v/>
      </c>
      <c r="I382" s="94" t="n">
        <v>1000000000</v>
      </c>
      <c r="J382" s="95">
        <f>J381-E382</f>
        <v/>
      </c>
      <c r="K382" s="94" t="n">
        <v>60000000</v>
      </c>
      <c r="L382" s="94" t="n">
        <v>38741830.29255512</v>
      </c>
      <c r="M382" s="94" t="n">
        <v>3000000</v>
      </c>
      <c r="N382" s="94" t="n">
        <v>580105.5160000324</v>
      </c>
      <c r="O382" s="96">
        <f>IF(OR(I382="",J382="",L382="",N382=""),"",I382-J382-K382-L382-M382-N382)</f>
        <v/>
      </c>
      <c r="P382" s="91">
        <f>IF(OR(O382="",C382=""),"",O382*C382)</f>
        <v/>
      </c>
      <c r="Q382" s="69">
        <f>Q381-E382</f>
        <v/>
      </c>
      <c r="R382" s="97">
        <f>IF(OR(J382="",Q382=""),"",J382-Q382)</f>
        <v/>
      </c>
      <c r="S382" s="69">
        <f>IF(D382="",S381,S381+D382)</f>
        <v/>
      </c>
      <c r="T382" s="97">
        <f>IF(OR(L382="",S382=""),"",L382-S382)</f>
        <v/>
      </c>
      <c r="U382" s="69">
        <f>IF(F382="",U381,U381+F382)</f>
        <v/>
      </c>
      <c r="V382" s="97">
        <f>IF(OR(N382="",U382=""),"",N382-U382)</f>
        <v/>
      </c>
      <c r="W382" s="71">
        <f>IF(OR(C382="",C382=0,'Daily Data'!J382=""),"",'Daily Data'!J382/C382)</f>
        <v/>
      </c>
      <c r="X382" s="71">
        <f>IF(OR(C382="",C382=0,'Daily Data'!K382=""),"",'Daily Data'!K382/C382)</f>
        <v/>
      </c>
      <c r="Y382" s="71">
        <f>IF(OR(F382="",W382="",X382=""),"",F382-W382-X382)</f>
        <v/>
      </c>
      <c r="Z382" s="72" t="n">
        <v>372.43</v>
      </c>
      <c r="AA382" s="72" t="n">
        <v>65.72</v>
      </c>
      <c r="AB382" s="73">
        <f>Z382+AA382</f>
        <v/>
      </c>
      <c r="AC382" s="74">
        <f>IF(OR(E382="",E382=0,AB382=""),"",E382*365/(AB382*1000000))</f>
        <v/>
      </c>
      <c r="AD382" s="98">
        <f>IF(OR(O382="",O382=0,AB382=""),"",(AB382*1000000)/O382)</f>
        <v/>
      </c>
      <c r="AE382" s="99">
        <f>IF(H382="","",(Team_Genesis-H382)/1000000)</f>
        <v/>
      </c>
      <c r="AF382" s="99">
        <f>IF(OR(O382="",AE382=""),"",(O382-AE382*1000000)/1000000)</f>
        <v/>
      </c>
    </row>
    <row r="383">
      <c r="A383" s="35" t="n">
        <v>46037</v>
      </c>
      <c r="B383" s="90">
        <f>IF('Daily Data'!E383="","",'Daily Data'!E383)</f>
        <v/>
      </c>
      <c r="C383" s="65" t="n">
        <v>25.76</v>
      </c>
      <c r="D383" s="94" t="n">
        <v>74458.25</v>
      </c>
      <c r="E383" s="94" t="n">
        <v>26149.3286</v>
      </c>
      <c r="F383" s="94" t="n">
        <v>3113.108</v>
      </c>
      <c r="G383" s="94" t="n"/>
      <c r="H383" s="95">
        <f>SUM($G$4:G383)</f>
        <v/>
      </c>
      <c r="I383" s="94" t="n">
        <v>1000000000</v>
      </c>
      <c r="J383" s="95">
        <f>J382-E383</f>
        <v/>
      </c>
      <c r="K383" s="94" t="n">
        <v>60000000</v>
      </c>
      <c r="L383" s="94" t="n">
        <v>38814233.95255512</v>
      </c>
      <c r="M383" s="94" t="n">
        <v>3000000</v>
      </c>
      <c r="N383" s="94" t="n">
        <v>583218.6239999533</v>
      </c>
      <c r="O383" s="96">
        <f>IF(OR(I383="",J383="",L383="",N383=""),"",I383-J383-K383-L383-M383-N383)</f>
        <v/>
      </c>
      <c r="P383" s="91">
        <f>IF(OR(O383="",C383=""),"",O383*C383)</f>
        <v/>
      </c>
      <c r="Q383" s="69">
        <f>Q382-E383</f>
        <v/>
      </c>
      <c r="R383" s="97">
        <f>IF(OR(J383="",Q383=""),"",J383-Q383)</f>
        <v/>
      </c>
      <c r="S383" s="69">
        <f>IF(D383="",S382,S382+D383)</f>
        <v/>
      </c>
      <c r="T383" s="97">
        <f>IF(OR(L383="",S383=""),"",L383-S383)</f>
        <v/>
      </c>
      <c r="U383" s="69">
        <f>IF(F383="",U382,U382+F383)</f>
        <v/>
      </c>
      <c r="V383" s="97">
        <f>IF(OR(N383="",U383=""),"",N383-U383)</f>
        <v/>
      </c>
      <c r="W383" s="71">
        <f>IF(OR(C383="",C383=0,'Daily Data'!J383=""),"",'Daily Data'!J383/C383)</f>
        <v/>
      </c>
      <c r="X383" s="71">
        <f>IF(OR(C383="",C383=0,'Daily Data'!K383=""),"",'Daily Data'!K383/C383)</f>
        <v/>
      </c>
      <c r="Y383" s="71">
        <f>IF(OR(F383="",W383="",X383=""),"",F383-W383-X383)</f>
        <v/>
      </c>
      <c r="Z383" s="72" t="n">
        <v>372.43</v>
      </c>
      <c r="AA383" s="72" t="n">
        <v>65.72</v>
      </c>
      <c r="AB383" s="73">
        <f>Z383+AA383</f>
        <v/>
      </c>
      <c r="AC383" s="74">
        <f>IF(OR(E383="",E383=0,AB383=""),"",E383*365/(AB383*1000000))</f>
        <v/>
      </c>
      <c r="AD383" s="98">
        <f>IF(OR(O383="",O383=0,AB383=""),"",(AB383*1000000)/O383)</f>
        <v/>
      </c>
      <c r="AE383" s="99">
        <f>IF(H383="","",(Team_Genesis-H383)/1000000)</f>
        <v/>
      </c>
      <c r="AF383" s="99">
        <f>IF(OR(O383="",AE383=""),"",(O383-AE383*1000000)/1000000)</f>
        <v/>
      </c>
    </row>
    <row r="384">
      <c r="A384" s="35" t="n">
        <v>46038</v>
      </c>
      <c r="B384" s="90">
        <f>IF('Daily Data'!E384="","",'Daily Data'!E384)</f>
        <v/>
      </c>
      <c r="C384" s="65" t="n">
        <v>24.81</v>
      </c>
      <c r="D384" s="94" t="n">
        <v>44909.63</v>
      </c>
      <c r="E384" s="94" t="n">
        <v>26275.8944</v>
      </c>
      <c r="F384" s="94" t="n">
        <v>3062.658</v>
      </c>
      <c r="G384" s="94" t="n"/>
      <c r="H384" s="95">
        <f>SUM($G$4:G384)</f>
        <v/>
      </c>
      <c r="I384" s="94" t="n">
        <v>1000000000</v>
      </c>
      <c r="J384" s="95">
        <f>J383-E384</f>
        <v/>
      </c>
      <c r="K384" s="94" t="n">
        <v>60000000</v>
      </c>
      <c r="L384" s="94" t="n">
        <v>38859944.72255512</v>
      </c>
      <c r="M384" s="94" t="n">
        <v>3000000</v>
      </c>
      <c r="N384" s="94" t="n">
        <v>586281.2819999456</v>
      </c>
      <c r="O384" s="96">
        <f>IF(OR(I384="",J384="",L384="",N384=""),"",I384-J384-K384-L384-M384-N384)</f>
        <v/>
      </c>
      <c r="P384" s="91">
        <f>IF(OR(O384="",C384=""),"",O384*C384)</f>
        <v/>
      </c>
      <c r="Q384" s="69">
        <f>Q383-E384</f>
        <v/>
      </c>
      <c r="R384" s="97">
        <f>IF(OR(J384="",Q384=""),"",J384-Q384)</f>
        <v/>
      </c>
      <c r="S384" s="69">
        <f>IF(D384="",S383,S383+D384)</f>
        <v/>
      </c>
      <c r="T384" s="97">
        <f>IF(OR(L384="",S384=""),"",L384-S384)</f>
        <v/>
      </c>
      <c r="U384" s="69">
        <f>IF(F384="",U383,U383+F384)</f>
        <v/>
      </c>
      <c r="V384" s="97">
        <f>IF(OR(N384="",U384=""),"",N384-U384)</f>
        <v/>
      </c>
      <c r="W384" s="71">
        <f>IF(OR(C384="",C384=0,'Daily Data'!J384=""),"",'Daily Data'!J384/C384)</f>
        <v/>
      </c>
      <c r="X384" s="71">
        <f>IF(OR(C384="",C384=0,'Daily Data'!K384=""),"",'Daily Data'!K384/C384)</f>
        <v/>
      </c>
      <c r="Y384" s="71">
        <f>IF(OR(F384="",W384="",X384=""),"",F384-W384-X384)</f>
        <v/>
      </c>
      <c r="Z384" s="72" t="n">
        <v>372.43</v>
      </c>
      <c r="AA384" s="72" t="n">
        <v>65.72</v>
      </c>
      <c r="AB384" s="73">
        <f>Z384+AA384</f>
        <v/>
      </c>
      <c r="AC384" s="74">
        <f>IF(OR(E384="",E384=0,AB384=""),"",E384*365/(AB384*1000000))</f>
        <v/>
      </c>
      <c r="AD384" s="98">
        <f>IF(OR(O384="",O384=0,AB384=""),"",(AB384*1000000)/O384)</f>
        <v/>
      </c>
      <c r="AE384" s="99">
        <f>IF(H384="","",(Team_Genesis-H384)/1000000)</f>
        <v/>
      </c>
      <c r="AF384" s="99">
        <f>IF(OR(O384="",AE384=""),"",(O384-AE384*1000000)/1000000)</f>
        <v/>
      </c>
    </row>
    <row r="385">
      <c r="A385" s="35" t="n">
        <v>46039</v>
      </c>
      <c r="B385" s="90">
        <f>IF('Daily Data'!E385="","",'Daily Data'!E385)</f>
        <v/>
      </c>
      <c r="C385" s="65" t="n">
        <v>24.98</v>
      </c>
      <c r="D385" s="94" t="n">
        <v>20400.66</v>
      </c>
      <c r="E385" s="94" t="n">
        <v>26449.2554</v>
      </c>
      <c r="F385" s="94" t="n">
        <v>3640.35</v>
      </c>
      <c r="G385" s="94" t="n"/>
      <c r="H385" s="95">
        <f>SUM($G$4:G385)</f>
        <v/>
      </c>
      <c r="I385" s="94" t="n">
        <v>1000000000</v>
      </c>
      <c r="J385" s="95">
        <f>J384-E385</f>
        <v/>
      </c>
      <c r="K385" s="94" t="n">
        <v>60000000</v>
      </c>
      <c r="L385" s="94" t="n">
        <v>38879909.61255512</v>
      </c>
      <c r="M385" s="94" t="n">
        <v>3000000</v>
      </c>
      <c r="N385" s="94" t="n">
        <v>589921.6319999695</v>
      </c>
      <c r="O385" s="96">
        <f>IF(OR(I385="",J385="",L385="",N385=""),"",I385-J385-K385-L385-M385-N385)</f>
        <v/>
      </c>
      <c r="P385" s="91">
        <f>IF(OR(O385="",C385=""),"",O385*C385)</f>
        <v/>
      </c>
      <c r="Q385" s="69">
        <f>Q384-E385</f>
        <v/>
      </c>
      <c r="R385" s="97">
        <f>IF(OR(J385="",Q385=""),"",J385-Q385)</f>
        <v/>
      </c>
      <c r="S385" s="69">
        <f>IF(D385="",S384,S384+D385)</f>
        <v/>
      </c>
      <c r="T385" s="97">
        <f>IF(OR(L385="",S385=""),"",L385-S385)</f>
        <v/>
      </c>
      <c r="U385" s="69">
        <f>IF(F385="",U384,U384+F385)</f>
        <v/>
      </c>
      <c r="V385" s="97">
        <f>IF(OR(N385="",U385=""),"",N385-U385)</f>
        <v/>
      </c>
      <c r="W385" s="71">
        <f>IF(OR(C385="",C385=0,'Daily Data'!J385=""),"",'Daily Data'!J385/C385)</f>
        <v/>
      </c>
      <c r="X385" s="71">
        <f>IF(OR(C385="",C385=0,'Daily Data'!K385=""),"",'Daily Data'!K385/C385)</f>
        <v/>
      </c>
      <c r="Y385" s="71">
        <f>IF(OR(F385="",W385="",X385=""),"",F385-W385-X385)</f>
        <v/>
      </c>
      <c r="Z385" s="72" t="n">
        <v>372.43</v>
      </c>
      <c r="AA385" s="72" t="n">
        <v>65.72</v>
      </c>
      <c r="AB385" s="73">
        <f>Z385+AA385</f>
        <v/>
      </c>
      <c r="AC385" s="74">
        <f>IF(OR(E385="",E385=0,AB385=""),"",E385*365/(AB385*1000000))</f>
        <v/>
      </c>
      <c r="AD385" s="98">
        <f>IF(OR(O385="",O385=0,AB385=""),"",(AB385*1000000)/O385)</f>
        <v/>
      </c>
      <c r="AE385" s="99">
        <f>IF(H385="","",(Team_Genesis-H385)/1000000)</f>
        <v/>
      </c>
      <c r="AF385" s="99">
        <f>IF(OR(O385="",AE385=""),"",(O385-AE385*1000000)/1000000)</f>
        <v/>
      </c>
    </row>
    <row r="386">
      <c r="A386" s="35" t="n">
        <v>46040</v>
      </c>
      <c r="B386" s="90">
        <f>IF('Daily Data'!E386="","",'Daily Data'!E386)</f>
        <v/>
      </c>
      <c r="C386" s="65" t="n">
        <v>25.51</v>
      </c>
      <c r="D386" s="94" t="n">
        <v>32107.65</v>
      </c>
      <c r="E386" s="94" t="n">
        <v>26383.4165</v>
      </c>
      <c r="F386" s="94" t="n">
        <v>205.2242</v>
      </c>
      <c r="G386" s="94" t="n"/>
      <c r="H386" s="95">
        <f>SUM($G$4:G386)</f>
        <v/>
      </c>
      <c r="I386" s="94" t="n">
        <v>1000000000</v>
      </c>
      <c r="J386" s="95">
        <f>J385-E386</f>
        <v/>
      </c>
      <c r="K386" s="94" t="n">
        <v>60000000</v>
      </c>
      <c r="L386" s="94" t="n">
        <v>38931974.93255512</v>
      </c>
      <c r="M386" s="94" t="n">
        <v>3000000</v>
      </c>
      <c r="N386" s="94" t="n">
        <v>590126.8560999632</v>
      </c>
      <c r="O386" s="96">
        <f>IF(OR(I386="",J386="",L386="",N386=""),"",I386-J386-K386-L386-M386-N386)</f>
        <v/>
      </c>
      <c r="P386" s="91">
        <f>IF(OR(O386="",C386=""),"",O386*C386)</f>
        <v/>
      </c>
      <c r="Q386" s="69">
        <f>Q385-E386</f>
        <v/>
      </c>
      <c r="R386" s="97">
        <f>IF(OR(J386="",Q386=""),"",J386-Q386)</f>
        <v/>
      </c>
      <c r="S386" s="69">
        <f>IF(D386="",S385,S385+D386)</f>
        <v/>
      </c>
      <c r="T386" s="97">
        <f>IF(OR(L386="",S386=""),"",L386-S386)</f>
        <v/>
      </c>
      <c r="U386" s="69">
        <f>IF(F386="",U385,U385+F386)</f>
        <v/>
      </c>
      <c r="V386" s="97">
        <f>IF(OR(N386="",U386=""),"",N386-U386)</f>
        <v/>
      </c>
      <c r="W386" s="71">
        <f>IF(OR(C386="",C386=0,'Daily Data'!J386=""),"",'Daily Data'!J386/C386)</f>
        <v/>
      </c>
      <c r="X386" s="71">
        <f>IF(OR(C386="",C386=0,'Daily Data'!K386=""),"",'Daily Data'!K386/C386)</f>
        <v/>
      </c>
      <c r="Y386" s="71">
        <f>IF(OR(F386="",W386="",X386=""),"",F386-W386-X386)</f>
        <v/>
      </c>
      <c r="Z386" s="72" t="n">
        <v>372.43</v>
      </c>
      <c r="AA386" s="72" t="n">
        <v>65.72</v>
      </c>
      <c r="AB386" s="73">
        <f>Z386+AA386</f>
        <v/>
      </c>
      <c r="AC386" s="74">
        <f>IF(OR(E386="",E386=0,AB386=""),"",E386*365/(AB386*1000000))</f>
        <v/>
      </c>
      <c r="AD386" s="98">
        <f>IF(OR(O386="",O386=0,AB386=""),"",(AB386*1000000)/O386)</f>
        <v/>
      </c>
      <c r="AE386" s="99">
        <f>IF(H386="","",(Team_Genesis-H386)/1000000)</f>
        <v/>
      </c>
      <c r="AF386" s="99">
        <f>IF(OR(O386="",AE386=""),"",(O386-AE386*1000000)/1000000)</f>
        <v/>
      </c>
    </row>
    <row r="387">
      <c r="A387" s="35" t="n">
        <v>46041</v>
      </c>
      <c r="B387" s="90">
        <f>IF('Daily Data'!E387="","",'Daily Data'!E387)</f>
        <v/>
      </c>
      <c r="C387" s="65" t="n">
        <v>23.83</v>
      </c>
      <c r="D387" s="94" t="n">
        <v>71932.35000000001</v>
      </c>
      <c r="E387" s="94" t="n">
        <v>26462.1688</v>
      </c>
      <c r="F387" s="94" t="n">
        <v>3042.965</v>
      </c>
      <c r="G387" s="94" t="n"/>
      <c r="H387" s="95">
        <f>SUM($G$4:G387)</f>
        <v/>
      </c>
      <c r="I387" s="94" t="n">
        <v>1000000000</v>
      </c>
      <c r="J387" s="95">
        <f>J386-E387</f>
        <v/>
      </c>
      <c r="K387" s="94" t="n">
        <v>60000000</v>
      </c>
      <c r="L387" s="94" t="n">
        <v>38984999.26255512</v>
      </c>
      <c r="M387" s="94" t="n">
        <v>3000000</v>
      </c>
      <c r="N387" s="94" t="n">
        <v>593169.8212000132</v>
      </c>
      <c r="O387" s="96">
        <f>IF(OR(I387="",J387="",L387="",N387=""),"",I387-J387-K387-L387-M387-N387)</f>
        <v/>
      </c>
      <c r="P387" s="91">
        <f>IF(OR(O387="",C387=""),"",O387*C387)</f>
        <v/>
      </c>
      <c r="Q387" s="69">
        <f>Q386-E387</f>
        <v/>
      </c>
      <c r="R387" s="97">
        <f>IF(OR(J387="",Q387=""),"",J387-Q387)</f>
        <v/>
      </c>
      <c r="S387" s="69">
        <f>IF(D387="",S386,S386+D387)</f>
        <v/>
      </c>
      <c r="T387" s="97">
        <f>IF(OR(L387="",S387=""),"",L387-S387)</f>
        <v/>
      </c>
      <c r="U387" s="69">
        <f>IF(F387="",U386,U386+F387)</f>
        <v/>
      </c>
      <c r="V387" s="97">
        <f>IF(OR(N387="",U387=""),"",N387-U387)</f>
        <v/>
      </c>
      <c r="W387" s="71">
        <f>IF(OR(C387="",C387=0,'Daily Data'!J387=""),"",'Daily Data'!J387/C387)</f>
        <v/>
      </c>
      <c r="X387" s="71">
        <f>IF(OR(C387="",C387=0,'Daily Data'!K387=""),"",'Daily Data'!K387/C387)</f>
        <v/>
      </c>
      <c r="Y387" s="71">
        <f>IF(OR(F387="",W387="",X387=""),"",F387-W387-X387)</f>
        <v/>
      </c>
      <c r="Z387" s="72" t="n">
        <v>372.43</v>
      </c>
      <c r="AA387" s="72" t="n">
        <v>65.72</v>
      </c>
      <c r="AB387" s="73">
        <f>Z387+AA387</f>
        <v/>
      </c>
      <c r="AC387" s="74">
        <f>IF(OR(E387="",E387=0,AB387=""),"",E387*365/(AB387*1000000))</f>
        <v/>
      </c>
      <c r="AD387" s="98">
        <f>IF(OR(O387="",O387=0,AB387=""),"",(AB387*1000000)/O387)</f>
        <v/>
      </c>
      <c r="AE387" s="99">
        <f>IF(H387="","",(Team_Genesis-H387)/1000000)</f>
        <v/>
      </c>
      <c r="AF387" s="99">
        <f>IF(OR(O387="",AE387=""),"",(O387-AE387*1000000)/1000000)</f>
        <v/>
      </c>
    </row>
    <row r="388">
      <c r="A388" s="35" t="n">
        <v>46042</v>
      </c>
      <c r="B388" s="90">
        <f>IF('Daily Data'!E388="","",'Daily Data'!E388)</f>
        <v/>
      </c>
      <c r="C388" s="65" t="n">
        <v>23.51</v>
      </c>
      <c r="D388" s="94" t="n">
        <v>113308.89</v>
      </c>
      <c r="E388" s="94" t="n">
        <v>26446.4191</v>
      </c>
      <c r="F388" s="94" t="n">
        <v>4560.8335</v>
      </c>
      <c r="G388" s="94" t="n"/>
      <c r="H388" s="95">
        <f>SUM($G$4:G388)</f>
        <v/>
      </c>
      <c r="I388" s="94" t="n">
        <v>1000000000</v>
      </c>
      <c r="J388" s="95">
        <f>J387-E388</f>
        <v/>
      </c>
      <c r="K388" s="94" t="n">
        <v>60000000</v>
      </c>
      <c r="L388" s="94" t="n">
        <v>39098741.18255512</v>
      </c>
      <c r="M388" s="94" t="n">
        <v>3000000</v>
      </c>
      <c r="N388" s="94" t="n">
        <v>597730.6547000408</v>
      </c>
      <c r="O388" s="96">
        <f>IF(OR(I388="",J388="",L388="",N388=""),"",I388-J388-K388-L388-M388-N388)</f>
        <v/>
      </c>
      <c r="P388" s="91">
        <f>IF(OR(O388="",C388=""),"",O388*C388)</f>
        <v/>
      </c>
      <c r="Q388" s="69">
        <f>Q387-E388</f>
        <v/>
      </c>
      <c r="R388" s="97">
        <f>IF(OR(J388="",Q388=""),"",J388-Q388)</f>
        <v/>
      </c>
      <c r="S388" s="69">
        <f>IF(D388="",S387,S387+D388)</f>
        <v/>
      </c>
      <c r="T388" s="97">
        <f>IF(OR(L388="",S388=""),"",L388-S388)</f>
        <v/>
      </c>
      <c r="U388" s="69">
        <f>IF(F388="",U387,U387+F388)</f>
        <v/>
      </c>
      <c r="V388" s="97">
        <f>IF(OR(N388="",U388=""),"",N388-U388)</f>
        <v/>
      </c>
      <c r="W388" s="71">
        <f>IF(OR(C388="",C388=0,'Daily Data'!J388=""),"",'Daily Data'!J388/C388)</f>
        <v/>
      </c>
      <c r="X388" s="71">
        <f>IF(OR(C388="",C388=0,'Daily Data'!K388=""),"",'Daily Data'!K388/C388)</f>
        <v/>
      </c>
      <c r="Y388" s="71">
        <f>IF(OR(F388="",W388="",X388=""),"",F388-W388-X388)</f>
        <v/>
      </c>
      <c r="Z388" s="72" t="n">
        <v>372.43</v>
      </c>
      <c r="AA388" s="72" t="n">
        <v>65.72</v>
      </c>
      <c r="AB388" s="73">
        <f>Z388+AA388</f>
        <v/>
      </c>
      <c r="AC388" s="74">
        <f>IF(OR(E388="",E388=0,AB388=""),"",E388*365/(AB388*1000000))</f>
        <v/>
      </c>
      <c r="AD388" s="98">
        <f>IF(OR(O388="",O388=0,AB388=""),"",(AB388*1000000)/O388)</f>
        <v/>
      </c>
      <c r="AE388" s="99">
        <f>IF(H388="","",(Team_Genesis-H388)/1000000)</f>
        <v/>
      </c>
      <c r="AF388" s="99">
        <f>IF(OR(O388="",AE388=""),"",(O388-AE388*1000000)/1000000)</f>
        <v/>
      </c>
    </row>
    <row r="389">
      <c r="A389" s="35" t="n">
        <v>46043</v>
      </c>
      <c r="B389" s="90">
        <f>IF('Daily Data'!E389="","",'Daily Data'!E389)</f>
        <v/>
      </c>
      <c r="C389" s="65" t="n">
        <v>21</v>
      </c>
      <c r="D389" s="94" t="n">
        <v>115805.51</v>
      </c>
      <c r="E389" s="94" t="n">
        <v>26461.826</v>
      </c>
      <c r="F389" s="94" t="n">
        <v>22480.5803</v>
      </c>
      <c r="G389" s="94" t="n"/>
      <c r="H389" s="95">
        <f>SUM($G$4:G389)</f>
        <v/>
      </c>
      <c r="I389" s="94" t="n">
        <v>1000000000</v>
      </c>
      <c r="J389" s="95">
        <f>J388-E389</f>
        <v/>
      </c>
      <c r="K389" s="94" t="n">
        <v>60000000</v>
      </c>
      <c r="L389" s="94" t="n">
        <v>39213632.08255512</v>
      </c>
      <c r="M389" s="94" t="n">
        <v>3000000</v>
      </c>
      <c r="N389" s="94" t="n">
        <v>620211.2350000143</v>
      </c>
      <c r="O389" s="96">
        <f>IF(OR(I389="",J389="",L389="",N389=""),"",I389-J389-K389-L389-M389-N389)</f>
        <v/>
      </c>
      <c r="P389" s="91">
        <f>IF(OR(O389="",C389=""),"",O389*C389)</f>
        <v/>
      </c>
      <c r="Q389" s="69">
        <f>Q388-E389</f>
        <v/>
      </c>
      <c r="R389" s="97">
        <f>IF(OR(J389="",Q389=""),"",J389-Q389)</f>
        <v/>
      </c>
      <c r="S389" s="69">
        <f>IF(D389="",S388,S388+D389)</f>
        <v/>
      </c>
      <c r="T389" s="97">
        <f>IF(OR(L389="",S389=""),"",L389-S389)</f>
        <v/>
      </c>
      <c r="U389" s="69">
        <f>IF(F389="",U388,U388+F389)</f>
        <v/>
      </c>
      <c r="V389" s="97">
        <f>IF(OR(N389="",U389=""),"",N389-U389)</f>
        <v/>
      </c>
      <c r="W389" s="71">
        <f>IF(OR(C389="",C389=0,'Daily Data'!J389=""),"",'Daily Data'!J389/C389)</f>
        <v/>
      </c>
      <c r="X389" s="71">
        <f>IF(OR(C389="",C389=0,'Daily Data'!K389=""),"",'Daily Data'!K389/C389)</f>
        <v/>
      </c>
      <c r="Y389" s="71">
        <f>IF(OR(F389="",W389="",X389=""),"",F389-W389-X389)</f>
        <v/>
      </c>
      <c r="Z389" s="72" t="n">
        <v>372.43</v>
      </c>
      <c r="AA389" s="72" t="n">
        <v>65.72</v>
      </c>
      <c r="AB389" s="73">
        <f>Z389+AA389</f>
        <v/>
      </c>
      <c r="AC389" s="74">
        <f>IF(OR(E389="",E389=0,AB389=""),"",E389*365/(AB389*1000000))</f>
        <v/>
      </c>
      <c r="AD389" s="98">
        <f>IF(OR(O389="",O389=0,AB389=""),"",(AB389*1000000)/O389)</f>
        <v/>
      </c>
      <c r="AE389" s="99">
        <f>IF(H389="","",(Team_Genesis-H389)/1000000)</f>
        <v/>
      </c>
      <c r="AF389" s="99">
        <f>IF(OR(O389="",AE389=""),"",(O389-AE389*1000000)/1000000)</f>
        <v/>
      </c>
    </row>
    <row r="390">
      <c r="A390" s="35" t="n">
        <v>46044</v>
      </c>
      <c r="B390" s="90">
        <f>IF('Daily Data'!E390="","",'Daily Data'!E390)</f>
        <v/>
      </c>
      <c r="C390" s="65" t="n">
        <v>21.7</v>
      </c>
      <c r="D390" s="94" t="n">
        <v>65939.42</v>
      </c>
      <c r="E390" s="94" t="n">
        <v>26448.6614</v>
      </c>
      <c r="F390" s="94" t="n">
        <v>3372.392</v>
      </c>
      <c r="G390" s="94" t="n"/>
      <c r="H390" s="95">
        <f>SUM($G$4:G390)</f>
        <v/>
      </c>
      <c r="I390" s="94" t="n">
        <v>1000000000</v>
      </c>
      <c r="J390" s="95">
        <f>J389-E390</f>
        <v/>
      </c>
      <c r="K390" s="94" t="n">
        <v>60000000</v>
      </c>
      <c r="L390" s="94" t="n">
        <v>39279106.22255512</v>
      </c>
      <c r="M390" s="94" t="n">
        <v>3000000</v>
      </c>
      <c r="N390" s="94" t="n">
        <v>623583.6269999743</v>
      </c>
      <c r="O390" s="96">
        <f>IF(OR(I390="",J390="",L390="",N390=""),"",I390-J390-K390-L390-M390-N390)</f>
        <v/>
      </c>
      <c r="P390" s="91">
        <f>IF(OR(O390="",C390=""),"",O390*C390)</f>
        <v/>
      </c>
      <c r="Q390" s="69">
        <f>Q389-E390</f>
        <v/>
      </c>
      <c r="R390" s="97">
        <f>IF(OR(J390="",Q390=""),"",J390-Q390)</f>
        <v/>
      </c>
      <c r="S390" s="69">
        <f>IF(D390="",S389,S389+D390)</f>
        <v/>
      </c>
      <c r="T390" s="97">
        <f>IF(OR(L390="",S390=""),"",L390-S390)</f>
        <v/>
      </c>
      <c r="U390" s="69">
        <f>IF(F390="",U389,U389+F390)</f>
        <v/>
      </c>
      <c r="V390" s="97">
        <f>IF(OR(N390="",U390=""),"",N390-U390)</f>
        <v/>
      </c>
      <c r="W390" s="71">
        <f>IF(OR(C390="",C390=0,'Daily Data'!J390=""),"",'Daily Data'!J390/C390)</f>
        <v/>
      </c>
      <c r="X390" s="71">
        <f>IF(OR(C390="",C390=0,'Daily Data'!K390=""),"",'Daily Data'!K390/C390)</f>
        <v/>
      </c>
      <c r="Y390" s="71">
        <f>IF(OR(F390="",W390="",X390=""),"",F390-W390-X390)</f>
        <v/>
      </c>
      <c r="Z390" s="72" t="n">
        <v>372.43</v>
      </c>
      <c r="AA390" s="72" t="n">
        <v>65.72</v>
      </c>
      <c r="AB390" s="73">
        <f>Z390+AA390</f>
        <v/>
      </c>
      <c r="AC390" s="74">
        <f>IF(OR(E390="",E390=0,AB390=""),"",E390*365/(AB390*1000000))</f>
        <v/>
      </c>
      <c r="AD390" s="98">
        <f>IF(OR(O390="",O390=0,AB390=""),"",(AB390*1000000)/O390)</f>
        <v/>
      </c>
      <c r="AE390" s="99">
        <f>IF(H390="","",(Team_Genesis-H390)/1000000)</f>
        <v/>
      </c>
      <c r="AF390" s="99">
        <f>IF(OR(O390="",AE390=""),"",(O390-AE390*1000000)/1000000)</f>
        <v/>
      </c>
    </row>
    <row r="391">
      <c r="A391" s="35" t="n">
        <v>46045</v>
      </c>
      <c r="B391" s="90">
        <f>IF('Daily Data'!E391="","",'Daily Data'!E391)</f>
        <v/>
      </c>
      <c r="C391" s="65" t="n">
        <v>21.5</v>
      </c>
      <c r="D391" s="94" t="n">
        <v>71996.77</v>
      </c>
      <c r="E391" s="94" t="n">
        <v>26483.302</v>
      </c>
      <c r="F391" s="94" t="n">
        <v>868.2057</v>
      </c>
      <c r="G391" s="94" t="n"/>
      <c r="H391" s="95">
        <f>SUM($G$4:G391)</f>
        <v/>
      </c>
      <c r="I391" s="94" t="n">
        <v>1000000000</v>
      </c>
      <c r="J391" s="95">
        <f>J390-E391</f>
        <v/>
      </c>
      <c r="K391" s="94" t="n">
        <v>60000000</v>
      </c>
      <c r="L391" s="94" t="n">
        <v>39351404.04255512</v>
      </c>
      <c r="M391" s="94" t="n">
        <v>3000000</v>
      </c>
      <c r="N391" s="94" t="n">
        <v>624451.8327000141</v>
      </c>
      <c r="O391" s="96">
        <f>IF(OR(I391="",J391="",L391="",N391=""),"",I391-J391-K391-L391-M391-N391)</f>
        <v/>
      </c>
      <c r="P391" s="91">
        <f>IF(OR(O391="",C391=""),"",O391*C391)</f>
        <v/>
      </c>
      <c r="Q391" s="69">
        <f>Q390-E391</f>
        <v/>
      </c>
      <c r="R391" s="97">
        <f>IF(OR(J391="",Q391=""),"",J391-Q391)</f>
        <v/>
      </c>
      <c r="S391" s="69">
        <f>IF(D391="",S390,S390+D391)</f>
        <v/>
      </c>
      <c r="T391" s="97">
        <f>IF(OR(L391="",S391=""),"",L391-S391)</f>
        <v/>
      </c>
      <c r="U391" s="69">
        <f>IF(F391="",U390,U390+F391)</f>
        <v/>
      </c>
      <c r="V391" s="97">
        <f>IF(OR(N391="",U391=""),"",N391-U391)</f>
        <v/>
      </c>
      <c r="W391" s="71">
        <f>IF(OR(C391="",C391=0,'Daily Data'!J391=""),"",'Daily Data'!J391/C391)</f>
        <v/>
      </c>
      <c r="X391" s="71">
        <f>IF(OR(C391="",C391=0,'Daily Data'!K391=""),"",'Daily Data'!K391/C391)</f>
        <v/>
      </c>
      <c r="Y391" s="71">
        <f>IF(OR(F391="",W391="",X391=""),"",F391-W391-X391)</f>
        <v/>
      </c>
      <c r="Z391" s="72" t="n">
        <v>372.43</v>
      </c>
      <c r="AA391" s="72" t="n">
        <v>65.72</v>
      </c>
      <c r="AB391" s="73">
        <f>Z391+AA391</f>
        <v/>
      </c>
      <c r="AC391" s="74">
        <f>IF(OR(E391="",E391=0,AB391=""),"",E391*365/(AB391*1000000))</f>
        <v/>
      </c>
      <c r="AD391" s="98">
        <f>IF(OR(O391="",O391=0,AB391=""),"",(AB391*1000000)/O391)</f>
        <v/>
      </c>
      <c r="AE391" s="99">
        <f>IF(H391="","",(Team_Genesis-H391)/1000000)</f>
        <v/>
      </c>
      <c r="AF391" s="99">
        <f>IF(OR(O391="",AE391=""),"",(O391-AE391*1000000)/1000000)</f>
        <v/>
      </c>
    </row>
    <row r="392">
      <c r="A392" s="35" t="n">
        <v>46046</v>
      </c>
      <c r="B392" s="90">
        <f>IF('Daily Data'!E392="","",'Daily Data'!E392)</f>
        <v/>
      </c>
      <c r="C392" s="65" t="n">
        <v>22.61</v>
      </c>
      <c r="D392" s="94" t="n">
        <v>18263.09</v>
      </c>
      <c r="E392" s="94" t="n">
        <v>26498.5129</v>
      </c>
      <c r="F392" s="94" t="n">
        <v>3397.8179</v>
      </c>
      <c r="G392" s="94" t="n"/>
      <c r="H392" s="95">
        <f>SUM($G$4:G392)</f>
        <v/>
      </c>
      <c r="I392" s="94" t="n">
        <v>1000000000</v>
      </c>
      <c r="J392" s="95">
        <f>J391-E392</f>
        <v/>
      </c>
      <c r="K392" s="94" t="n">
        <v>60000000</v>
      </c>
      <c r="L392" s="94" t="n">
        <v>39369328.12255512</v>
      </c>
      <c r="M392" s="94" t="n">
        <v>3000000</v>
      </c>
      <c r="N392" s="94" t="n">
        <v>627849.6506999731</v>
      </c>
      <c r="O392" s="96">
        <f>IF(OR(I392="",J392="",L392="",N392=""),"",I392-J392-K392-L392-M392-N392)</f>
        <v/>
      </c>
      <c r="P392" s="91">
        <f>IF(OR(O392="",C392=""),"",O392*C392)</f>
        <v/>
      </c>
      <c r="Q392" s="69">
        <f>Q391-E392</f>
        <v/>
      </c>
      <c r="R392" s="97">
        <f>IF(OR(J392="",Q392=""),"",J392-Q392)</f>
        <v/>
      </c>
      <c r="S392" s="69">
        <f>IF(D392="",S391,S391+D392)</f>
        <v/>
      </c>
      <c r="T392" s="97">
        <f>IF(OR(L392="",S392=""),"",L392-S392)</f>
        <v/>
      </c>
      <c r="U392" s="69">
        <f>IF(F392="",U391,U391+F392)</f>
        <v/>
      </c>
      <c r="V392" s="97">
        <f>IF(OR(N392="",U392=""),"",N392-U392)</f>
        <v/>
      </c>
      <c r="W392" s="71">
        <f>IF(OR(C392="",C392=0,'Daily Data'!J392=""),"",'Daily Data'!J392/C392)</f>
        <v/>
      </c>
      <c r="X392" s="71">
        <f>IF(OR(C392="",C392=0,'Daily Data'!K392=""),"",'Daily Data'!K392/C392)</f>
        <v/>
      </c>
      <c r="Y392" s="71">
        <f>IF(OR(F392="",W392="",X392=""),"",F392-W392-X392)</f>
        <v/>
      </c>
      <c r="Z392" s="72" t="n">
        <v>372.43</v>
      </c>
      <c r="AA392" s="72" t="n">
        <v>65.72</v>
      </c>
      <c r="AB392" s="73">
        <f>Z392+AA392</f>
        <v/>
      </c>
      <c r="AC392" s="74">
        <f>IF(OR(E392="",E392=0,AB392=""),"",E392*365/(AB392*1000000))</f>
        <v/>
      </c>
      <c r="AD392" s="98">
        <f>IF(OR(O392="",O392=0,AB392=""),"",(AB392*1000000)/O392)</f>
        <v/>
      </c>
      <c r="AE392" s="99">
        <f>IF(H392="","",(Team_Genesis-H392)/1000000)</f>
        <v/>
      </c>
      <c r="AF392" s="99">
        <f>IF(OR(O392="",AE392=""),"",(O392-AE392*1000000)/1000000)</f>
        <v/>
      </c>
    </row>
    <row r="393">
      <c r="A393" s="35" t="n">
        <v>46047</v>
      </c>
      <c r="B393" s="90">
        <f>IF('Daily Data'!E393="","",'Daily Data'!E393)</f>
        <v/>
      </c>
      <c r="C393" s="65" t="n">
        <v>23.27</v>
      </c>
      <c r="D393" s="94" t="n">
        <v>60926.13</v>
      </c>
      <c r="E393" s="94" t="n">
        <v>26486.8658</v>
      </c>
      <c r="F393" s="94" t="n">
        <v>1634.8405</v>
      </c>
      <c r="G393" s="94" t="n"/>
      <c r="H393" s="95">
        <f>SUM($G$4:G393)</f>
        <v/>
      </c>
      <c r="I393" s="94" t="n">
        <v>1000000000</v>
      </c>
      <c r="J393" s="95">
        <f>J392-E393</f>
        <v/>
      </c>
      <c r="K393" s="94" t="n">
        <v>60000000</v>
      </c>
      <c r="L393" s="94" t="n">
        <v>39436651.66255512</v>
      </c>
      <c r="M393" s="94" t="n">
        <v>3000000</v>
      </c>
      <c r="N393" s="94" t="n">
        <v>629484.4910999537</v>
      </c>
      <c r="O393" s="96">
        <f>IF(OR(I393="",J393="",L393="",N393=""),"",I393-J393-K393-L393-M393-N393)</f>
        <v/>
      </c>
      <c r="P393" s="91">
        <f>IF(OR(O393="",C393=""),"",O393*C393)</f>
        <v/>
      </c>
      <c r="Q393" s="69">
        <f>Q392-E393</f>
        <v/>
      </c>
      <c r="R393" s="97">
        <f>IF(OR(J393="",Q393=""),"",J393-Q393)</f>
        <v/>
      </c>
      <c r="S393" s="69">
        <f>IF(D393="",S392,S392+D393)</f>
        <v/>
      </c>
      <c r="T393" s="97">
        <f>IF(OR(L393="",S393=""),"",L393-S393)</f>
        <v/>
      </c>
      <c r="U393" s="69">
        <f>IF(F393="",U392,U392+F393)</f>
        <v/>
      </c>
      <c r="V393" s="97">
        <f>IF(OR(N393="",U393=""),"",N393-U393)</f>
        <v/>
      </c>
      <c r="W393" s="71">
        <f>IF(OR(C393="",C393=0,'Daily Data'!J393=""),"",'Daily Data'!J393/C393)</f>
        <v/>
      </c>
      <c r="X393" s="71">
        <f>IF(OR(C393="",C393=0,'Daily Data'!K393=""),"",'Daily Data'!K393/C393)</f>
        <v/>
      </c>
      <c r="Y393" s="71">
        <f>IF(OR(F393="",W393="",X393=""),"",F393-W393-X393)</f>
        <v/>
      </c>
      <c r="Z393" s="72" t="n">
        <v>372.43</v>
      </c>
      <c r="AA393" s="72" t="n">
        <v>65.72</v>
      </c>
      <c r="AB393" s="73">
        <f>Z393+AA393</f>
        <v/>
      </c>
      <c r="AC393" s="74">
        <f>IF(OR(E393="",E393=0,AB393=""),"",E393*365/(AB393*1000000))</f>
        <v/>
      </c>
      <c r="AD393" s="98">
        <f>IF(OR(O393="",O393=0,AB393=""),"",(AB393*1000000)/O393)</f>
        <v/>
      </c>
      <c r="AE393" s="99">
        <f>IF(H393="","",(Team_Genesis-H393)/1000000)</f>
        <v/>
      </c>
      <c r="AF393" s="99">
        <f>IF(OR(O393="",AE393=""),"",(O393-AE393*1000000)/1000000)</f>
        <v/>
      </c>
    </row>
    <row r="394">
      <c r="A394" s="35" t="n">
        <v>46048</v>
      </c>
      <c r="B394" s="90">
        <f>IF('Daily Data'!E394="","",'Daily Data'!E394)</f>
        <v/>
      </c>
      <c r="C394" s="65" t="n">
        <v>21.96</v>
      </c>
      <c r="D394" s="94" t="n">
        <v>73480.55</v>
      </c>
      <c r="E394" s="94" t="n">
        <v>26515.2185</v>
      </c>
      <c r="F394" s="94" t="n">
        <v>14016.8459</v>
      </c>
      <c r="G394" s="94" t="n"/>
      <c r="H394" s="95">
        <f>SUM($G$4:G394)</f>
        <v/>
      </c>
      <c r="I394" s="94" t="n">
        <v>1000000000</v>
      </c>
      <c r="J394" s="95">
        <f>J393-E394</f>
        <v/>
      </c>
      <c r="K394" s="94" t="n">
        <v>60000000</v>
      </c>
      <c r="L394" s="94" t="n">
        <v>39504435.71255512</v>
      </c>
      <c r="M394" s="94" t="n">
        <v>3000000</v>
      </c>
      <c r="N394" s="94" t="n">
        <v>643501.3370000124</v>
      </c>
      <c r="O394" s="96">
        <f>IF(OR(I394="",J394="",L394="",N394=""),"",I394-J394-K394-L394-M394-N394)</f>
        <v/>
      </c>
      <c r="P394" s="91">
        <f>IF(OR(O394="",C394=""),"",O394*C394)</f>
        <v/>
      </c>
      <c r="Q394" s="69">
        <f>Q393-E394</f>
        <v/>
      </c>
      <c r="R394" s="97">
        <f>IF(OR(J394="",Q394=""),"",J394-Q394)</f>
        <v/>
      </c>
      <c r="S394" s="69">
        <f>IF(D394="",S393,S393+D394)</f>
        <v/>
      </c>
      <c r="T394" s="97">
        <f>IF(OR(L394="",S394=""),"",L394-S394)</f>
        <v/>
      </c>
      <c r="U394" s="69">
        <f>IF(F394="",U393,U393+F394)</f>
        <v/>
      </c>
      <c r="V394" s="97">
        <f>IF(OR(N394="",U394=""),"",N394-U394)</f>
        <v/>
      </c>
      <c r="W394" s="71">
        <f>IF(OR(C394="",C394=0,'Daily Data'!J394=""),"",'Daily Data'!J394/C394)</f>
        <v/>
      </c>
      <c r="X394" s="71">
        <f>IF(OR(C394="",C394=0,'Daily Data'!K394=""),"",'Daily Data'!K394/C394)</f>
        <v/>
      </c>
      <c r="Y394" s="71">
        <f>IF(OR(F394="",W394="",X394=""),"",F394-W394-X394)</f>
        <v/>
      </c>
      <c r="Z394" s="72" t="n">
        <v>372.43</v>
      </c>
      <c r="AA394" s="72" t="n">
        <v>65.72</v>
      </c>
      <c r="AB394" s="73">
        <f>Z394+AA394</f>
        <v/>
      </c>
      <c r="AC394" s="74">
        <f>IF(OR(E394="",E394=0,AB394=""),"",E394*365/(AB394*1000000))</f>
        <v/>
      </c>
      <c r="AD394" s="98">
        <f>IF(OR(O394="",O394=0,AB394=""),"",(AB394*1000000)/O394)</f>
        <v/>
      </c>
      <c r="AE394" s="99">
        <f>IF(H394="","",(Team_Genesis-H394)/1000000)</f>
        <v/>
      </c>
      <c r="AF394" s="99">
        <f>IF(OR(O394="",AE394=""),"",(O394-AE394*1000000)/1000000)</f>
        <v/>
      </c>
    </row>
    <row r="395">
      <c r="A395" s="35" t="n">
        <v>46049</v>
      </c>
      <c r="B395" s="90">
        <f>IF('Daily Data'!E395="","",'Daily Data'!E395)</f>
        <v/>
      </c>
      <c r="C395" s="65" t="n">
        <v>25.08</v>
      </c>
      <c r="D395" s="94" t="n">
        <v>49506.09</v>
      </c>
      <c r="E395" s="94" t="n">
        <v>26518.0239</v>
      </c>
      <c r="F395" s="94" t="n">
        <v>6036.8612</v>
      </c>
      <c r="G395" s="94" t="n"/>
      <c r="H395" s="95">
        <f>SUM($G$4:G395)</f>
        <v/>
      </c>
      <c r="I395" s="94" t="n">
        <v>1000000000</v>
      </c>
      <c r="J395" s="95">
        <f>J394-E395</f>
        <v/>
      </c>
      <c r="K395" s="94" t="n">
        <v>60000000</v>
      </c>
      <c r="L395" s="94" t="n">
        <v>39552810.69255512</v>
      </c>
      <c r="M395" s="94" t="n">
        <v>3000000</v>
      </c>
      <c r="N395" s="94" t="n">
        <v>649538.1981999874</v>
      </c>
      <c r="O395" s="96">
        <f>IF(OR(I395="",J395="",L395="",N395=""),"",I395-J395-K395-L395-M395-N395)</f>
        <v/>
      </c>
      <c r="P395" s="91">
        <f>IF(OR(O395="",C395=""),"",O395*C395)</f>
        <v/>
      </c>
      <c r="Q395" s="69">
        <f>Q394-E395</f>
        <v/>
      </c>
      <c r="R395" s="97">
        <f>IF(OR(J395="",Q395=""),"",J395-Q395)</f>
        <v/>
      </c>
      <c r="S395" s="69">
        <f>IF(D395="",S394,S394+D395)</f>
        <v/>
      </c>
      <c r="T395" s="97">
        <f>IF(OR(L395="",S395=""),"",L395-S395)</f>
        <v/>
      </c>
      <c r="U395" s="69">
        <f>IF(F395="",U394,U394+F395)</f>
        <v/>
      </c>
      <c r="V395" s="97">
        <f>IF(OR(N395="",U395=""),"",N395-U395)</f>
        <v/>
      </c>
      <c r="W395" s="71">
        <f>IF(OR(C395="",C395=0,'Daily Data'!J395=""),"",'Daily Data'!J395/C395)</f>
        <v/>
      </c>
      <c r="X395" s="71">
        <f>IF(OR(C395="",C395=0,'Daily Data'!K395=""),"",'Daily Data'!K395/C395)</f>
        <v/>
      </c>
      <c r="Y395" s="71">
        <f>IF(OR(F395="",W395="",X395=""),"",F395-W395-X395)</f>
        <v/>
      </c>
      <c r="Z395" s="72" t="n">
        <v>372.43</v>
      </c>
      <c r="AA395" s="72" t="n">
        <v>65.72</v>
      </c>
      <c r="AB395" s="73">
        <f>Z395+AA395</f>
        <v/>
      </c>
      <c r="AC395" s="74">
        <f>IF(OR(E395="",E395=0,AB395=""),"",E395*365/(AB395*1000000))</f>
        <v/>
      </c>
      <c r="AD395" s="98">
        <f>IF(OR(O395="",O395=0,AB395=""),"",(AB395*1000000)/O395)</f>
        <v/>
      </c>
      <c r="AE395" s="99">
        <f>IF(H395="","",(Team_Genesis-H395)/1000000)</f>
        <v/>
      </c>
      <c r="AF395" s="99">
        <f>IF(OR(O395="",AE395=""),"",(O395-AE395*1000000)/1000000)</f>
        <v/>
      </c>
    </row>
    <row r="396">
      <c r="A396" s="35" t="n">
        <v>46050</v>
      </c>
      <c r="B396" s="90">
        <f>IF('Daily Data'!E396="","",'Daily Data'!E396)</f>
        <v/>
      </c>
      <c r="C396" s="65" t="n">
        <v>31.01</v>
      </c>
      <c r="D396" s="94" t="n">
        <v>65062</v>
      </c>
      <c r="E396" s="94" t="n">
        <v>26544.181</v>
      </c>
      <c r="F396" s="94" t="n">
        <v>2704.7994</v>
      </c>
      <c r="G396" s="94" t="n"/>
      <c r="H396" s="95">
        <f>SUM($G$4:G396)</f>
        <v/>
      </c>
      <c r="I396" s="94" t="n">
        <v>1000000000</v>
      </c>
      <c r="J396" s="95">
        <f>J395-E396</f>
        <v/>
      </c>
      <c r="K396" s="94" t="n">
        <v>60000000</v>
      </c>
      <c r="L396" s="94" t="n">
        <v>39621747.41255512</v>
      </c>
      <c r="M396" s="94" t="n">
        <v>3000000</v>
      </c>
      <c r="N396" s="94" t="n">
        <v>652242.9975999594</v>
      </c>
      <c r="O396" s="96">
        <f>IF(OR(I396="",J396="",L396="",N396=""),"",I396-J396-K396-L396-M396-N396)</f>
        <v/>
      </c>
      <c r="P396" s="91">
        <f>IF(OR(O396="",C396=""),"",O396*C396)</f>
        <v/>
      </c>
      <c r="Q396" s="69">
        <f>Q395-E396</f>
        <v/>
      </c>
      <c r="R396" s="97">
        <f>IF(OR(J396="",Q396=""),"",J396-Q396)</f>
        <v/>
      </c>
      <c r="S396" s="69">
        <f>IF(D396="",S395,S395+D396)</f>
        <v/>
      </c>
      <c r="T396" s="97">
        <f>IF(OR(L396="",S396=""),"",L396-S396)</f>
        <v/>
      </c>
      <c r="U396" s="69">
        <f>IF(F396="",U395,U395+F396)</f>
        <v/>
      </c>
      <c r="V396" s="97">
        <f>IF(OR(N396="",U396=""),"",N396-U396)</f>
        <v/>
      </c>
      <c r="W396" s="71">
        <f>IF(OR(C396="",C396=0,'Daily Data'!J396=""),"",'Daily Data'!J396/C396)</f>
        <v/>
      </c>
      <c r="X396" s="71">
        <f>IF(OR(C396="",C396=0,'Daily Data'!K396=""),"",'Daily Data'!K396/C396)</f>
        <v/>
      </c>
      <c r="Y396" s="71">
        <f>IF(OR(F396="",W396="",X396=""),"",F396-W396-X396)</f>
        <v/>
      </c>
      <c r="Z396" s="72" t="n">
        <v>372.43</v>
      </c>
      <c r="AA396" s="72" t="n">
        <v>65.72</v>
      </c>
      <c r="AB396" s="73">
        <f>Z396+AA396</f>
        <v/>
      </c>
      <c r="AC396" s="74">
        <f>IF(OR(E396="",E396=0,AB396=""),"",E396*365/(AB396*1000000))</f>
        <v/>
      </c>
      <c r="AD396" s="98">
        <f>IF(OR(O396="",O396=0,AB396=""),"",(AB396*1000000)/O396)</f>
        <v/>
      </c>
      <c r="AE396" s="99">
        <f>IF(H396="","",(Team_Genesis-H396)/1000000)</f>
        <v/>
      </c>
      <c r="AF396" s="99">
        <f>IF(OR(O396="",AE396=""),"",(O396-AE396*1000000)/1000000)</f>
        <v/>
      </c>
    </row>
    <row r="397">
      <c r="A397" s="35" t="n">
        <v>46051</v>
      </c>
      <c r="B397" s="90">
        <f>IF('Daily Data'!E397="","",'Daily Data'!E397)</f>
        <v/>
      </c>
      <c r="C397" s="65" t="n">
        <v>33.78</v>
      </c>
      <c r="D397" s="94" t="n">
        <v>101752.49</v>
      </c>
      <c r="E397" s="94" t="n">
        <v>26419.8235</v>
      </c>
      <c r="F397" s="94" t="n">
        <v>4190.0082</v>
      </c>
      <c r="G397" s="94" t="n"/>
      <c r="H397" s="95">
        <f>SUM($G$4:G397)</f>
        <v/>
      </c>
      <c r="I397" s="94" t="n">
        <v>1000000000</v>
      </c>
      <c r="J397" s="95">
        <f>J396-E397</f>
        <v/>
      </c>
      <c r="K397" s="94" t="n">
        <v>60000000</v>
      </c>
      <c r="L397" s="94" t="n">
        <v>39720956.13255512</v>
      </c>
      <c r="M397" s="94" t="n">
        <v>3000000</v>
      </c>
      <c r="N397" s="94" t="n">
        <v>656433.0058000088</v>
      </c>
      <c r="O397" s="96">
        <f>IF(OR(I397="",J397="",L397="",N397=""),"",I397-J397-K397-L397-M397-N397)</f>
        <v/>
      </c>
      <c r="P397" s="91">
        <f>IF(OR(O397="",C397=""),"",O397*C397)</f>
        <v/>
      </c>
      <c r="Q397" s="69">
        <f>Q396-E397</f>
        <v/>
      </c>
      <c r="R397" s="97">
        <f>IF(OR(J397="",Q397=""),"",J397-Q397)</f>
        <v/>
      </c>
      <c r="S397" s="69">
        <f>IF(D397="",S396,S396+D397)</f>
        <v/>
      </c>
      <c r="T397" s="97">
        <f>IF(OR(L397="",S397=""),"",L397-S397)</f>
        <v/>
      </c>
      <c r="U397" s="69">
        <f>IF(F397="",U396,U396+F397)</f>
        <v/>
      </c>
      <c r="V397" s="97">
        <f>IF(OR(N397="",U397=""),"",N397-U397)</f>
        <v/>
      </c>
      <c r="W397" s="71">
        <f>IF(OR(C397="",C397=0,'Daily Data'!J397=""),"",'Daily Data'!J397/C397)</f>
        <v/>
      </c>
      <c r="X397" s="71">
        <f>IF(OR(C397="",C397=0,'Daily Data'!K397=""),"",'Daily Data'!K397/C397)</f>
        <v/>
      </c>
      <c r="Y397" s="71">
        <f>IF(OR(F397="",W397="",X397=""),"",F397-W397-X397)</f>
        <v/>
      </c>
      <c r="Z397" s="72" t="n">
        <v>372.43</v>
      </c>
      <c r="AA397" s="72" t="n">
        <v>65.72</v>
      </c>
      <c r="AB397" s="73">
        <f>Z397+AA397</f>
        <v/>
      </c>
      <c r="AC397" s="74">
        <f>IF(OR(E397="",E397=0,AB397=""),"",E397*365/(AB397*1000000))</f>
        <v/>
      </c>
      <c r="AD397" s="98">
        <f>IF(OR(O397="",O397=0,AB397=""),"",(AB397*1000000)/O397)</f>
        <v/>
      </c>
      <c r="AE397" s="99">
        <f>IF(H397="","",(Team_Genesis-H397)/1000000)</f>
        <v/>
      </c>
      <c r="AF397" s="99">
        <f>IF(OR(O397="",AE397=""),"",(O397-AE397*1000000)/1000000)</f>
        <v/>
      </c>
    </row>
    <row r="398">
      <c r="A398" s="35" t="n">
        <v>46052</v>
      </c>
      <c r="B398" s="90">
        <f>IF('Daily Data'!E398="","",'Daily Data'!E398)</f>
        <v/>
      </c>
      <c r="C398" s="65" t="n">
        <v>30.05</v>
      </c>
      <c r="D398" s="94" t="n">
        <v>107902.6</v>
      </c>
      <c r="E398" s="94" t="n">
        <v>26587.3493</v>
      </c>
      <c r="F398" s="94" t="n">
        <v>3337.8629</v>
      </c>
      <c r="G398" s="94" t="n"/>
      <c r="H398" s="95">
        <f>SUM($G$4:G398)</f>
        <v/>
      </c>
      <c r="I398" s="94" t="n">
        <v>1000000000</v>
      </c>
      <c r="J398" s="95">
        <f>J397-E398</f>
        <v/>
      </c>
      <c r="K398" s="94" t="n">
        <v>60000000</v>
      </c>
      <c r="L398" s="94" t="n">
        <v>39827527.78255512</v>
      </c>
      <c r="M398" s="94" t="n">
        <v>3000000</v>
      </c>
      <c r="N398" s="94" t="n">
        <v>659770.8687000275</v>
      </c>
      <c r="O398" s="96">
        <f>IF(OR(I398="",J398="",L398="",N398=""),"",I398-J398-K398-L398-M398-N398)</f>
        <v/>
      </c>
      <c r="P398" s="91">
        <f>IF(OR(O398="",C398=""),"",O398*C398)</f>
        <v/>
      </c>
      <c r="Q398" s="69">
        <f>Q397-E398</f>
        <v/>
      </c>
      <c r="R398" s="97">
        <f>IF(OR(J398="",Q398=""),"",J398-Q398)</f>
        <v/>
      </c>
      <c r="S398" s="69">
        <f>IF(D398="",S397,S397+D398)</f>
        <v/>
      </c>
      <c r="T398" s="97">
        <f>IF(OR(L398="",S398=""),"",L398-S398)</f>
        <v/>
      </c>
      <c r="U398" s="69">
        <f>IF(F398="",U397,U397+F398)</f>
        <v/>
      </c>
      <c r="V398" s="97">
        <f>IF(OR(N398="",U398=""),"",N398-U398)</f>
        <v/>
      </c>
      <c r="W398" s="71">
        <f>IF(OR(C398="",C398=0,'Daily Data'!J398=""),"",'Daily Data'!J398/C398)</f>
        <v/>
      </c>
      <c r="X398" s="71">
        <f>IF(OR(C398="",C398=0,'Daily Data'!K398=""),"",'Daily Data'!K398/C398)</f>
        <v/>
      </c>
      <c r="Y398" s="71">
        <f>IF(OR(F398="",W398="",X398=""),"",F398-W398-X398)</f>
        <v/>
      </c>
      <c r="Z398" s="72" t="n">
        <v>372.43</v>
      </c>
      <c r="AA398" s="72" t="n">
        <v>65.72</v>
      </c>
      <c r="AB398" s="73">
        <f>Z398+AA398</f>
        <v/>
      </c>
      <c r="AC398" s="74">
        <f>IF(OR(E398="",E398=0,AB398=""),"",E398*365/(AB398*1000000))</f>
        <v/>
      </c>
      <c r="AD398" s="98">
        <f>IF(OR(O398="",O398=0,AB398=""),"",(AB398*1000000)/O398)</f>
        <v/>
      </c>
      <c r="AE398" s="99">
        <f>IF(H398="","",(Team_Genesis-H398)/1000000)</f>
        <v/>
      </c>
      <c r="AF398" s="99">
        <f>IF(OR(O398="",AE398=""),"",(O398-AE398*1000000)/1000000)</f>
        <v/>
      </c>
    </row>
    <row r="399">
      <c r="A399" s="35" t="n">
        <v>46053</v>
      </c>
      <c r="B399" s="90">
        <f>IF('Daily Data'!E399="","",'Daily Data'!E399)</f>
        <v/>
      </c>
      <c r="C399" s="65" t="n">
        <v>31.04</v>
      </c>
      <c r="D399" s="94" t="n">
        <v>108741.69</v>
      </c>
      <c r="E399" s="94" t="n">
        <v>26594.4561</v>
      </c>
      <c r="F399" s="94" t="n">
        <v>2098.4135</v>
      </c>
      <c r="G399" s="94" t="n"/>
      <c r="H399" s="95">
        <f>SUM($G$4:G399)</f>
        <v/>
      </c>
      <c r="I399" s="94" t="n">
        <v>1000000000</v>
      </c>
      <c r="J399" s="95">
        <f>J398-E399</f>
        <v/>
      </c>
      <c r="K399" s="94" t="n">
        <v>60000000</v>
      </c>
      <c r="L399" s="94" t="n">
        <v>39936269.47255512</v>
      </c>
      <c r="M399" s="94" t="n">
        <v>3000000</v>
      </c>
      <c r="N399" s="94" t="n">
        <v>661869.2821999788</v>
      </c>
      <c r="O399" s="96">
        <f>IF(OR(I399="",J399="",L399="",N399=""),"",I399-J399-K399-L399-M399-N399)</f>
        <v/>
      </c>
      <c r="P399" s="91">
        <f>IF(OR(O399="",C399=""),"",O399*C399)</f>
        <v/>
      </c>
      <c r="Q399" s="69">
        <f>Q398-E399</f>
        <v/>
      </c>
      <c r="R399" s="97">
        <f>IF(OR(J399="",Q399=""),"",J399-Q399)</f>
        <v/>
      </c>
      <c r="S399" s="69">
        <f>IF(D399="",S398,S398+D399)</f>
        <v/>
      </c>
      <c r="T399" s="97">
        <f>IF(OR(L399="",S399=""),"",L399-S399)</f>
        <v/>
      </c>
      <c r="U399" s="69">
        <f>IF(F399="",U398,U398+F399)</f>
        <v/>
      </c>
      <c r="V399" s="97">
        <f>IF(OR(N399="",U399=""),"",N399-U399)</f>
        <v/>
      </c>
      <c r="W399" s="71">
        <f>IF(OR(C399="",C399=0,'Daily Data'!J399=""),"",'Daily Data'!J399/C399)</f>
        <v/>
      </c>
      <c r="X399" s="71">
        <f>IF(OR(C399="",C399=0,'Daily Data'!K399=""),"",'Daily Data'!K399/C399)</f>
        <v/>
      </c>
      <c r="Y399" s="71">
        <f>IF(OR(F399="",W399="",X399=""),"",F399-W399-X399)</f>
        <v/>
      </c>
      <c r="Z399" s="72" t="n">
        <v>372.43</v>
      </c>
      <c r="AA399" s="72" t="n">
        <v>65.72</v>
      </c>
      <c r="AB399" s="73">
        <f>Z399+AA399</f>
        <v/>
      </c>
      <c r="AC399" s="74">
        <f>IF(OR(E399="",E399=0,AB399=""),"",E399*365/(AB399*1000000))</f>
        <v/>
      </c>
      <c r="AD399" s="98">
        <f>IF(OR(O399="",O399=0,AB399=""),"",(AB399*1000000)/O399)</f>
        <v/>
      </c>
      <c r="AE399" s="99">
        <f>IF(H399="","",(Team_Genesis-H399)/1000000)</f>
        <v/>
      </c>
      <c r="AF399" s="99">
        <f>IF(OR(O399="",AE399=""),"",(O399-AE399*1000000)/1000000)</f>
        <v/>
      </c>
    </row>
    <row r="400">
      <c r="A400" s="35" t="n">
        <v>46054</v>
      </c>
      <c r="B400" s="90">
        <f>IF('Daily Data'!E400="","",'Daily Data'!E400)</f>
        <v/>
      </c>
      <c r="C400" s="65" t="n">
        <v>32.19</v>
      </c>
      <c r="D400" s="94" t="n">
        <v>78538.12</v>
      </c>
      <c r="E400" s="94" t="n">
        <v>26605.0098</v>
      </c>
      <c r="F400" s="94" t="n">
        <v>3582.5667</v>
      </c>
      <c r="G400" s="94" t="n"/>
      <c r="H400" s="95">
        <f>SUM($G$4:G400)</f>
        <v/>
      </c>
      <c r="I400" s="94" t="n">
        <v>1000000000</v>
      </c>
      <c r="J400" s="95">
        <f>J399-E400</f>
        <v/>
      </c>
      <c r="K400" s="94" t="n">
        <v>60000000</v>
      </c>
      <c r="L400" s="94" t="n">
        <v>40017749.00255512</v>
      </c>
      <c r="M400" s="94" t="n">
        <v>3000000</v>
      </c>
      <c r="N400" s="94" t="n">
        <v>665451.8488999605</v>
      </c>
      <c r="O400" s="96">
        <f>IF(OR(I400="",J400="",L400="",N400=""),"",I400-J400-K400-L400-M400-N400)</f>
        <v/>
      </c>
      <c r="P400" s="91">
        <f>IF(OR(O400="",C400=""),"",O400*C400)</f>
        <v/>
      </c>
      <c r="Q400" s="69">
        <f>Q399-E400</f>
        <v/>
      </c>
      <c r="R400" s="97">
        <f>IF(OR(J400="",Q400=""),"",J400-Q400)</f>
        <v/>
      </c>
      <c r="S400" s="69">
        <f>IF(D400="",S399,S399+D400)</f>
        <v/>
      </c>
      <c r="T400" s="97">
        <f>IF(OR(L400="",S400=""),"",L400-S400)</f>
        <v/>
      </c>
      <c r="U400" s="69">
        <f>IF(F400="",U399,U399+F400)</f>
        <v/>
      </c>
      <c r="V400" s="97">
        <f>IF(OR(N400="",U400=""),"",N400-U400)</f>
        <v/>
      </c>
      <c r="W400" s="71">
        <f>IF(OR(C400="",C400=0,'Daily Data'!J400=""),"",'Daily Data'!J400/C400)</f>
        <v/>
      </c>
      <c r="X400" s="71">
        <f>IF(OR(C400="",C400=0,'Daily Data'!K400=""),"",'Daily Data'!K400/C400)</f>
        <v/>
      </c>
      <c r="Y400" s="71">
        <f>IF(OR(F400="",W400="",X400=""),"",F400-W400-X400)</f>
        <v/>
      </c>
      <c r="Z400" s="72" t="n">
        <v>369.61</v>
      </c>
      <c r="AA400" s="72" t="n">
        <v>65.23</v>
      </c>
      <c r="AB400" s="73">
        <f>Z400+AA400</f>
        <v/>
      </c>
      <c r="AC400" s="74">
        <f>IF(OR(E400="",E400=0,AB400=""),"",E400*365/(AB400*1000000))</f>
        <v/>
      </c>
      <c r="AD400" s="98">
        <f>IF(OR(O400="",O400=0,AB400=""),"",(AB400*1000000)/O400)</f>
        <v/>
      </c>
      <c r="AE400" s="99">
        <f>IF(H400="","",(Team_Genesis-H400)/1000000)</f>
        <v/>
      </c>
      <c r="AF400" s="99">
        <f>IF(OR(O400="",AE400=""),"",(O400-AE400*1000000)/1000000)</f>
        <v/>
      </c>
    </row>
    <row r="401">
      <c r="A401" s="35" t="n">
        <v>46055</v>
      </c>
      <c r="B401" s="90">
        <f>IF('Daily Data'!E401="","",'Daily Data'!E401)</f>
        <v/>
      </c>
      <c r="C401" s="65" t="n">
        <v>31.32</v>
      </c>
      <c r="D401" s="94" t="n">
        <v>84867.33</v>
      </c>
      <c r="E401" s="94" t="n">
        <v>26595.9414</v>
      </c>
      <c r="F401" s="94" t="n">
        <v>1593.839</v>
      </c>
      <c r="G401" s="94" t="n"/>
      <c r="H401" s="95">
        <f>SUM($G$4:G401)</f>
        <v/>
      </c>
      <c r="I401" s="94" t="n">
        <v>1000000000</v>
      </c>
      <c r="J401" s="95">
        <f>J400-E401</f>
        <v/>
      </c>
      <c r="K401" s="94" t="n">
        <v>60000000</v>
      </c>
      <c r="L401" s="94" t="n">
        <v>40100277.24255512</v>
      </c>
      <c r="M401" s="94" t="n">
        <v>3000000</v>
      </c>
      <c r="N401" s="94" t="n">
        <v>667045.6878999472</v>
      </c>
      <c r="O401" s="96">
        <f>IF(OR(I401="",J401="",L401="",N401=""),"",I401-J401-K401-L401-M401-N401)</f>
        <v/>
      </c>
      <c r="P401" s="91">
        <f>IF(OR(O401="",C401=""),"",O401*C401)</f>
        <v/>
      </c>
      <c r="Q401" s="69">
        <f>Q400-E401</f>
        <v/>
      </c>
      <c r="R401" s="97">
        <f>IF(OR(J401="",Q401=""),"",J401-Q401)</f>
        <v/>
      </c>
      <c r="S401" s="69">
        <f>IF(D401="",S400,S400+D401)</f>
        <v/>
      </c>
      <c r="T401" s="97">
        <f>IF(OR(L401="",S401=""),"",L401-S401)</f>
        <v/>
      </c>
      <c r="U401" s="69">
        <f>IF(F401="",U400,U400+F401)</f>
        <v/>
      </c>
      <c r="V401" s="97">
        <f>IF(OR(N401="",U401=""),"",N401-U401)</f>
        <v/>
      </c>
      <c r="W401" s="71">
        <f>IF(OR(C401="",C401=0,'Daily Data'!J401=""),"",'Daily Data'!J401/C401)</f>
        <v/>
      </c>
      <c r="X401" s="71">
        <f>IF(OR(C401="",C401=0,'Daily Data'!K401=""),"",'Daily Data'!K401/C401)</f>
        <v/>
      </c>
      <c r="Y401" s="71">
        <f>IF(OR(F401="",W401="",X401=""),"",F401-W401-X401)</f>
        <v/>
      </c>
      <c r="Z401" s="72" t="n">
        <v>369.61</v>
      </c>
      <c r="AA401" s="72" t="n">
        <v>65.23</v>
      </c>
      <c r="AB401" s="73">
        <f>Z401+AA401</f>
        <v/>
      </c>
      <c r="AC401" s="74">
        <f>IF(OR(E401="",E401=0,AB401=""),"",E401*365/(AB401*1000000))</f>
        <v/>
      </c>
      <c r="AD401" s="98">
        <f>IF(OR(O401="",O401=0,AB401=""),"",(AB401*1000000)/O401)</f>
        <v/>
      </c>
      <c r="AE401" s="99">
        <f>IF(H401="","",(Team_Genesis-H401)/1000000)</f>
        <v/>
      </c>
      <c r="AF401" s="99">
        <f>IF(OR(O401="",AE401=""),"",(O401-AE401*1000000)/1000000)</f>
        <v/>
      </c>
    </row>
    <row r="402">
      <c r="A402" s="35" t="n">
        <v>46056</v>
      </c>
      <c r="B402" s="90">
        <f>IF('Daily Data'!E402="","",'Daily Data'!E402)</f>
        <v/>
      </c>
      <c r="C402" s="65" t="n">
        <v>33.75</v>
      </c>
      <c r="D402" s="94" t="n">
        <v>87809.98</v>
      </c>
      <c r="E402" s="94" t="n">
        <v>26582.1282</v>
      </c>
      <c r="F402" s="94" t="n">
        <v>5980.5172</v>
      </c>
      <c r="G402" s="94" t="n"/>
      <c r="H402" s="95">
        <f>SUM($G$4:G402)</f>
        <v/>
      </c>
      <c r="I402" s="94" t="n">
        <v>1000000000</v>
      </c>
      <c r="J402" s="95">
        <f>J401-E402</f>
        <v/>
      </c>
      <c r="K402" s="94" t="n">
        <v>60000000</v>
      </c>
      <c r="L402" s="94" t="n">
        <v>40188408.39255512</v>
      </c>
      <c r="M402" s="94" t="n">
        <v>3000000</v>
      </c>
      <c r="N402" s="94" t="n">
        <v>673026.2051000595</v>
      </c>
      <c r="O402" s="96">
        <f>IF(OR(I402="",J402="",L402="",N402=""),"",I402-J402-K402-L402-M402-N402)</f>
        <v/>
      </c>
      <c r="P402" s="91">
        <f>IF(OR(O402="",C402=""),"",O402*C402)</f>
        <v/>
      </c>
      <c r="Q402" s="69">
        <f>Q401-E402</f>
        <v/>
      </c>
      <c r="R402" s="97">
        <f>IF(OR(J402="",Q402=""),"",J402-Q402)</f>
        <v/>
      </c>
      <c r="S402" s="69">
        <f>IF(D402="",S401,S401+D402)</f>
        <v/>
      </c>
      <c r="T402" s="97">
        <f>IF(OR(L402="",S402=""),"",L402-S402)</f>
        <v/>
      </c>
      <c r="U402" s="69">
        <f>IF(F402="",U401,U401+F402)</f>
        <v/>
      </c>
      <c r="V402" s="97">
        <f>IF(OR(N402="",U402=""),"",N402-U402)</f>
        <v/>
      </c>
      <c r="W402" s="71">
        <f>IF(OR(C402="",C402=0,'Daily Data'!J402=""),"",'Daily Data'!J402/C402)</f>
        <v/>
      </c>
      <c r="X402" s="71">
        <f>IF(OR(C402="",C402=0,'Daily Data'!K402=""),"",'Daily Data'!K402/C402)</f>
        <v/>
      </c>
      <c r="Y402" s="71">
        <f>IF(OR(F402="",W402="",X402=""),"",F402-W402-X402)</f>
        <v/>
      </c>
      <c r="Z402" s="72" t="n">
        <v>369.61</v>
      </c>
      <c r="AA402" s="72" t="n">
        <v>65.23</v>
      </c>
      <c r="AB402" s="73">
        <f>Z402+AA402</f>
        <v/>
      </c>
      <c r="AC402" s="74">
        <f>IF(OR(E402="",E402=0,AB402=""),"",E402*365/(AB402*1000000))</f>
        <v/>
      </c>
      <c r="AD402" s="98">
        <f>IF(OR(O402="",O402=0,AB402=""),"",(AB402*1000000)/O402)</f>
        <v/>
      </c>
      <c r="AE402" s="99">
        <f>IF(H402="","",(Team_Genesis-H402)/1000000)</f>
        <v/>
      </c>
      <c r="AF402" s="99">
        <f>IF(OR(O402="",AE402=""),"",(O402-AE402*1000000)/1000000)</f>
        <v/>
      </c>
    </row>
    <row r="403">
      <c r="A403" s="35" t="n">
        <v>46057</v>
      </c>
      <c r="B403" s="90">
        <f>IF('Daily Data'!E403="","",'Daily Data'!E403)</f>
        <v/>
      </c>
      <c r="C403" s="65" t="n">
        <v>32.97</v>
      </c>
      <c r="D403" s="94" t="n">
        <v>87492.3</v>
      </c>
      <c r="E403" s="94" t="n">
        <v>26560.1302</v>
      </c>
      <c r="F403" s="94" t="n">
        <v>3229.2473</v>
      </c>
      <c r="G403" s="94" t="n"/>
      <c r="H403" s="95">
        <f>SUM($G$4:G403)</f>
        <v/>
      </c>
      <c r="I403" s="94" t="n">
        <v>1000000000</v>
      </c>
      <c r="J403" s="95">
        <f>J402-E403</f>
        <v/>
      </c>
      <c r="K403" s="94" t="n">
        <v>60000000</v>
      </c>
      <c r="L403" s="94" t="n">
        <v>40276755.65255512</v>
      </c>
      <c r="M403" s="94" t="n">
        <v>3000000</v>
      </c>
      <c r="N403" s="94" t="n">
        <v>676255.4523999691</v>
      </c>
      <c r="O403" s="96">
        <f>IF(OR(I403="",J403="",L403="",N403=""),"",I403-J403-K403-L403-M403-N403)</f>
        <v/>
      </c>
      <c r="P403" s="91">
        <f>IF(OR(O403="",C403=""),"",O403*C403)</f>
        <v/>
      </c>
      <c r="Q403" s="69">
        <f>Q402-E403</f>
        <v/>
      </c>
      <c r="R403" s="97">
        <f>IF(OR(J403="",Q403=""),"",J403-Q403)</f>
        <v/>
      </c>
      <c r="S403" s="69">
        <f>IF(D403="",S402,S402+D403)</f>
        <v/>
      </c>
      <c r="T403" s="97">
        <f>IF(OR(L403="",S403=""),"",L403-S403)</f>
        <v/>
      </c>
      <c r="U403" s="69">
        <f>IF(F403="",U402,U402+F403)</f>
        <v/>
      </c>
      <c r="V403" s="97">
        <f>IF(OR(N403="",U403=""),"",N403-U403)</f>
        <v/>
      </c>
      <c r="W403" s="71">
        <f>IF(OR(C403="",C403=0,'Daily Data'!J403=""),"",'Daily Data'!J403/C403)</f>
        <v/>
      </c>
      <c r="X403" s="71">
        <f>IF(OR(C403="",C403=0,'Daily Data'!K403=""),"",'Daily Data'!K403/C403)</f>
        <v/>
      </c>
      <c r="Y403" s="71">
        <f>IF(OR(F403="",W403="",X403=""),"",F403-W403-X403)</f>
        <v/>
      </c>
      <c r="Z403" s="72" t="n">
        <v>369.61</v>
      </c>
      <c r="AA403" s="72" t="n">
        <v>65.23</v>
      </c>
      <c r="AB403" s="73">
        <f>Z403+AA403</f>
        <v/>
      </c>
      <c r="AC403" s="74">
        <f>IF(OR(E403="",E403=0,AB403=""),"",E403*365/(AB403*1000000))</f>
        <v/>
      </c>
      <c r="AD403" s="98">
        <f>IF(OR(O403="",O403=0,AB403=""),"",(AB403*1000000)/O403)</f>
        <v/>
      </c>
      <c r="AE403" s="99">
        <f>IF(H403="","",(Team_Genesis-H403)/1000000)</f>
        <v/>
      </c>
      <c r="AF403" s="99">
        <f>IF(OR(O403="",AE403=""),"",(O403-AE403*1000000)/1000000)</f>
        <v/>
      </c>
    </row>
    <row r="404">
      <c r="A404" s="35" t="n">
        <v>46058</v>
      </c>
      <c r="B404" s="90">
        <f>IF('Daily Data'!E404="","",'Daily Data'!E404)</f>
        <v/>
      </c>
      <c r="C404" s="65" t="n">
        <v>35.26</v>
      </c>
      <c r="D404" s="94" t="n">
        <v>160754.65</v>
      </c>
      <c r="E404" s="94" t="n">
        <v>26510.6708</v>
      </c>
      <c r="F404" s="94" t="n">
        <v>1549.8525</v>
      </c>
      <c r="G404" s="94" t="n"/>
      <c r="H404" s="95">
        <f>SUM($G$4:G404)</f>
        <v/>
      </c>
      <c r="I404" s="94" t="n">
        <v>1000000000</v>
      </c>
      <c r="J404" s="95">
        <f>J403-E404</f>
        <v/>
      </c>
      <c r="K404" s="94" t="n">
        <v>60000000</v>
      </c>
      <c r="L404" s="94" t="n">
        <v>40448356.07255512</v>
      </c>
      <c r="M404" s="94" t="n">
        <v>3000000</v>
      </c>
      <c r="N404" s="94" t="n">
        <v>677805.3049000502</v>
      </c>
      <c r="O404" s="96">
        <f>IF(OR(I404="",J404="",L404="",N404=""),"",I404-J404-K404-L404-M404-N404)</f>
        <v/>
      </c>
      <c r="P404" s="91">
        <f>IF(OR(O404="",C404=""),"",O404*C404)</f>
        <v/>
      </c>
      <c r="Q404" s="69">
        <f>Q403-E404</f>
        <v/>
      </c>
      <c r="R404" s="97">
        <f>IF(OR(J404="",Q404=""),"",J404-Q404)</f>
        <v/>
      </c>
      <c r="S404" s="69">
        <f>IF(D404="",S403,S403+D404)</f>
        <v/>
      </c>
      <c r="T404" s="97">
        <f>IF(OR(L404="",S404=""),"",L404-S404)</f>
        <v/>
      </c>
      <c r="U404" s="69">
        <f>IF(F404="",U403,U403+F404)</f>
        <v/>
      </c>
      <c r="V404" s="97">
        <f>IF(OR(N404="",U404=""),"",N404-U404)</f>
        <v/>
      </c>
      <c r="W404" s="71">
        <f>IF(OR(C404="",C404=0,'Daily Data'!J404=""),"",'Daily Data'!J404/C404)</f>
        <v/>
      </c>
      <c r="X404" s="71">
        <f>IF(OR(C404="",C404=0,'Daily Data'!K404=""),"",'Daily Data'!K404/C404)</f>
        <v/>
      </c>
      <c r="Y404" s="71">
        <f>IF(OR(F404="",W404="",X404=""),"",F404-W404-X404)</f>
        <v/>
      </c>
      <c r="Z404" s="72" t="n">
        <v>369.61</v>
      </c>
      <c r="AA404" s="72" t="n">
        <v>65.23</v>
      </c>
      <c r="AB404" s="73">
        <f>Z404+AA404</f>
        <v/>
      </c>
      <c r="AC404" s="74">
        <f>IF(OR(E404="",E404=0,AB404=""),"",E404*365/(AB404*1000000))</f>
        <v/>
      </c>
      <c r="AD404" s="98">
        <f>IF(OR(O404="",O404=0,AB404=""),"",(AB404*1000000)/O404)</f>
        <v/>
      </c>
      <c r="AE404" s="99">
        <f>IF(H404="","",(Team_Genesis-H404)/1000000)</f>
        <v/>
      </c>
      <c r="AF404" s="99">
        <f>IF(OR(O404="",AE404=""),"",(O404-AE404*1000000)/1000000)</f>
        <v/>
      </c>
    </row>
    <row r="405">
      <c r="A405" s="35" t="n">
        <v>46059</v>
      </c>
      <c r="B405" s="90">
        <f>IF('Daily Data'!E405="","",'Daily Data'!E405)</f>
        <v/>
      </c>
      <c r="C405" s="65" t="n">
        <v>32.69</v>
      </c>
      <c r="D405" s="94" t="n">
        <v>112041.27</v>
      </c>
      <c r="E405" s="94" t="n">
        <v>26548.2108</v>
      </c>
      <c r="F405" s="94" t="n">
        <v>3523.7199</v>
      </c>
      <c r="G405" s="94" t="n">
        <v>140333</v>
      </c>
      <c r="H405" s="95">
        <f>SUM($G$4:G405)</f>
        <v/>
      </c>
      <c r="I405" s="94" t="n">
        <v>1000000000</v>
      </c>
      <c r="J405" s="95">
        <f>J404-E405</f>
        <v/>
      </c>
      <c r="K405" s="94" t="n">
        <v>60000000</v>
      </c>
      <c r="L405" s="94" t="n">
        <v>40549550.85255512</v>
      </c>
      <c r="M405" s="94" t="n">
        <v>3000000</v>
      </c>
      <c r="N405" s="94" t="n">
        <v>681329.024799943</v>
      </c>
      <c r="O405" s="96">
        <f>IF(OR(I405="",J405="",L405="",N405=""),"",I405-J405-K405-L405-M405-N405)</f>
        <v/>
      </c>
      <c r="P405" s="91">
        <f>IF(OR(O405="",C405=""),"",O405*C405)</f>
        <v/>
      </c>
      <c r="Q405" s="69">
        <f>Q404-E405</f>
        <v/>
      </c>
      <c r="R405" s="97">
        <f>IF(OR(J405="",Q405=""),"",J405-Q405)</f>
        <v/>
      </c>
      <c r="S405" s="69">
        <f>IF(D405="",S404,S404+D405)</f>
        <v/>
      </c>
      <c r="T405" s="97">
        <f>IF(OR(L405="",S405=""),"",L405-S405)</f>
        <v/>
      </c>
      <c r="U405" s="69">
        <f>IF(F405="",U404,U404+F405)</f>
        <v/>
      </c>
      <c r="V405" s="97">
        <f>IF(OR(N405="",U405=""),"",N405-U405)</f>
        <v/>
      </c>
      <c r="W405" s="71">
        <f>IF(OR(C405="",C405=0,'Daily Data'!J405=""),"",'Daily Data'!J405/C405)</f>
        <v/>
      </c>
      <c r="X405" s="71">
        <f>IF(OR(C405="",C405=0,'Daily Data'!K405=""),"",'Daily Data'!K405/C405)</f>
        <v/>
      </c>
      <c r="Y405" s="71">
        <f>IF(OR(F405="",W405="",X405=""),"",F405-W405-X405)</f>
        <v/>
      </c>
      <c r="Z405" s="72" t="n">
        <v>369.61</v>
      </c>
      <c r="AA405" s="72" t="n">
        <v>65.23</v>
      </c>
      <c r="AB405" s="73">
        <f>Z405+AA405</f>
        <v/>
      </c>
      <c r="AC405" s="74">
        <f>IF(OR(E405="",E405=0,AB405=""),"",E405*365/(AB405*1000000))</f>
        <v/>
      </c>
      <c r="AD405" s="98">
        <f>IF(OR(O405="",O405=0,AB405=""),"",(AB405*1000000)/O405)</f>
        <v/>
      </c>
      <c r="AE405" s="99">
        <f>IF(H405="","",(Team_Genesis-H405)/1000000)</f>
        <v/>
      </c>
      <c r="AF405" s="99">
        <f>IF(OR(O405="",AE405=""),"",(O405-AE405*1000000)/1000000)</f>
        <v/>
      </c>
    </row>
    <row r="406">
      <c r="A406" s="35" t="n">
        <v>46060</v>
      </c>
      <c r="B406" s="90">
        <f>IF('Daily Data'!E406="","",'Daily Data'!E406)</f>
        <v/>
      </c>
      <c r="C406" s="65" t="n">
        <v>32.16</v>
      </c>
      <c r="D406" s="94" t="n">
        <v>50422.63</v>
      </c>
      <c r="E406" s="94" t="n">
        <v>26532.9696</v>
      </c>
      <c r="F406" s="94" t="n">
        <v>3341.9098</v>
      </c>
      <c r="G406" s="94" t="n"/>
      <c r="H406" s="95">
        <f>SUM($G$4:G406)</f>
        <v/>
      </c>
      <c r="I406" s="94" t="n">
        <v>1000000000</v>
      </c>
      <c r="J406" s="95">
        <f>J405-E406</f>
        <v/>
      </c>
      <c r="K406" s="94" t="n">
        <v>60000000</v>
      </c>
      <c r="L406" s="94" t="n">
        <v>40599246.33255512</v>
      </c>
      <c r="M406" s="94" t="n">
        <v>3000000</v>
      </c>
      <c r="N406" s="94" t="n">
        <v>684670.9345999956</v>
      </c>
      <c r="O406" s="96">
        <f>IF(OR(I406="",J406="",L406="",N406=""),"",I406-J406-K406-L406-M406-N406)</f>
        <v/>
      </c>
      <c r="P406" s="91">
        <f>IF(OR(O406="",C406=""),"",O406*C406)</f>
        <v/>
      </c>
      <c r="Q406" s="69">
        <f>Q405-E406</f>
        <v/>
      </c>
      <c r="R406" s="97">
        <f>IF(OR(J406="",Q406=""),"",J406-Q406)</f>
        <v/>
      </c>
      <c r="S406" s="69">
        <f>IF(D406="",S405,S405+D406)</f>
        <v/>
      </c>
      <c r="T406" s="97">
        <f>IF(OR(L406="",S406=""),"",L406-S406)</f>
        <v/>
      </c>
      <c r="U406" s="69">
        <f>IF(F406="",U405,U405+F406)</f>
        <v/>
      </c>
      <c r="V406" s="97">
        <f>IF(OR(N406="",U406=""),"",N406-U406)</f>
        <v/>
      </c>
      <c r="W406" s="71">
        <f>IF(OR(C406="",C406=0,'Daily Data'!J406=""),"",'Daily Data'!J406/C406)</f>
        <v/>
      </c>
      <c r="X406" s="71">
        <f>IF(OR(C406="",C406=0,'Daily Data'!K406=""),"",'Daily Data'!K406/C406)</f>
        <v/>
      </c>
      <c r="Y406" s="71">
        <f>IF(OR(F406="",W406="",X406=""),"",F406-W406-X406)</f>
        <v/>
      </c>
      <c r="Z406" s="72" t="n">
        <v>369.61</v>
      </c>
      <c r="AA406" s="72" t="n">
        <v>65.23</v>
      </c>
      <c r="AB406" s="73">
        <f>Z406+AA406</f>
        <v/>
      </c>
      <c r="AC406" s="74">
        <f>IF(OR(E406="",E406=0,AB406=""),"",E406*365/(AB406*1000000))</f>
        <v/>
      </c>
      <c r="AD406" s="98">
        <f>IF(OR(O406="",O406=0,AB406=""),"",(AB406*1000000)/O406)</f>
        <v/>
      </c>
      <c r="AE406" s="99">
        <f>IF(H406="","",(Team_Genesis-H406)/1000000)</f>
        <v/>
      </c>
      <c r="AF406" s="99">
        <f>IF(OR(O406="",AE406=""),"",(O406-AE406*1000000)/1000000)</f>
        <v/>
      </c>
    </row>
    <row r="407">
      <c r="A407" s="35" t="n">
        <v>46061</v>
      </c>
      <c r="B407" s="90">
        <f>IF('Daily Data'!E407="","",'Daily Data'!E407)</f>
        <v/>
      </c>
      <c r="C407" s="65" t="n">
        <v>31.24</v>
      </c>
      <c r="D407" s="94" t="n">
        <v>34080.59</v>
      </c>
      <c r="E407" s="94" t="n">
        <v>26560.8768</v>
      </c>
      <c r="F407" s="94" t="n">
        <v>360.2197</v>
      </c>
      <c r="G407" s="94" t="n"/>
      <c r="H407" s="95">
        <f>SUM($G$4:G407)</f>
        <v/>
      </c>
      <c r="I407" s="94" t="n">
        <v>1000000000</v>
      </c>
      <c r="J407" s="95">
        <f>J406-E407</f>
        <v/>
      </c>
      <c r="K407" s="94" t="n">
        <v>60000000</v>
      </c>
      <c r="L407" s="94" t="n">
        <v>40632889.54255512</v>
      </c>
      <c r="M407" s="94" t="n">
        <v>3000000</v>
      </c>
      <c r="N407" s="94" t="n">
        <v>685031.1542999744</v>
      </c>
      <c r="O407" s="96">
        <f>IF(OR(I407="",J407="",L407="",N407=""),"",I407-J407-K407-L407-M407-N407)</f>
        <v/>
      </c>
      <c r="P407" s="91">
        <f>IF(OR(O407="",C407=""),"",O407*C407)</f>
        <v/>
      </c>
      <c r="Q407" s="69">
        <f>Q406-E407</f>
        <v/>
      </c>
      <c r="R407" s="97">
        <f>IF(OR(J407="",Q407=""),"",J407-Q407)</f>
        <v/>
      </c>
      <c r="S407" s="69">
        <f>IF(D407="",S406,S406+D407)</f>
        <v/>
      </c>
      <c r="T407" s="97">
        <f>IF(OR(L407="",S407=""),"",L407-S407)</f>
        <v/>
      </c>
      <c r="U407" s="69">
        <f>IF(F407="",U406,U406+F407)</f>
        <v/>
      </c>
      <c r="V407" s="97">
        <f>IF(OR(N407="",U407=""),"",N407-U407)</f>
        <v/>
      </c>
      <c r="W407" s="71">
        <f>IF(OR(C407="",C407=0,'Daily Data'!J407=""),"",'Daily Data'!J407/C407)</f>
        <v/>
      </c>
      <c r="X407" s="71">
        <f>IF(OR(C407="",C407=0,'Daily Data'!K407=""),"",'Daily Data'!K407/C407)</f>
        <v/>
      </c>
      <c r="Y407" s="71">
        <f>IF(OR(F407="",W407="",X407=""),"",F407-W407-X407)</f>
        <v/>
      </c>
      <c r="Z407" s="72" t="n">
        <v>369.61</v>
      </c>
      <c r="AA407" s="72" t="n">
        <v>65.23</v>
      </c>
      <c r="AB407" s="73">
        <f>Z407+AA407</f>
        <v/>
      </c>
      <c r="AC407" s="74">
        <f>IF(OR(E407="",E407=0,AB407=""),"",E407*365/(AB407*1000000))</f>
        <v/>
      </c>
      <c r="AD407" s="98">
        <f>IF(OR(O407="",O407=0,AB407=""),"",(AB407*1000000)/O407)</f>
        <v/>
      </c>
      <c r="AE407" s="99">
        <f>IF(H407="","",(Team_Genesis-H407)/1000000)</f>
        <v/>
      </c>
      <c r="AF407" s="99">
        <f>IF(OR(O407="",AE407=""),"",(O407-AE407*1000000)/1000000)</f>
        <v/>
      </c>
    </row>
    <row r="408">
      <c r="A408" s="35" t="n">
        <v>46062</v>
      </c>
      <c r="B408" s="90">
        <f>IF('Daily Data'!E408="","",'Daily Data'!E408)</f>
        <v/>
      </c>
      <c r="C408" s="65" t="n">
        <v>32.46</v>
      </c>
      <c r="D408" s="94" t="n">
        <v>48777.95</v>
      </c>
      <c r="E408" s="94" t="n">
        <v>26556.7694</v>
      </c>
      <c r="F408" s="94" t="n">
        <v>2523.6788</v>
      </c>
      <c r="G408" s="94" t="n"/>
      <c r="H408" s="95">
        <f>SUM($G$4:G408)</f>
        <v/>
      </c>
      <c r="I408" s="94" t="n">
        <v>1000000000</v>
      </c>
      <c r="J408" s="95">
        <f>J407-E408</f>
        <v/>
      </c>
      <c r="K408" s="94" t="n">
        <v>60000000</v>
      </c>
      <c r="L408" s="94" t="n">
        <v>40681692.85255512</v>
      </c>
      <c r="M408" s="94" t="n">
        <v>3000000</v>
      </c>
      <c r="N408" s="94" t="n">
        <v>687554.8330999613</v>
      </c>
      <c r="O408" s="96">
        <f>IF(OR(I408="",J408="",L408="",N408=""),"",I408-J408-K408-L408-M408-N408)</f>
        <v/>
      </c>
      <c r="P408" s="91">
        <f>IF(OR(O408="",C408=""),"",O408*C408)</f>
        <v/>
      </c>
      <c r="Q408" s="69">
        <f>Q407-E408</f>
        <v/>
      </c>
      <c r="R408" s="97">
        <f>IF(OR(J408="",Q408=""),"",J408-Q408)</f>
        <v/>
      </c>
      <c r="S408" s="69">
        <f>IF(D408="",S407,S407+D408)</f>
        <v/>
      </c>
      <c r="T408" s="97">
        <f>IF(OR(L408="",S408=""),"",L408-S408)</f>
        <v/>
      </c>
      <c r="U408" s="69">
        <f>IF(F408="",U407,U407+F408)</f>
        <v/>
      </c>
      <c r="V408" s="97">
        <f>IF(OR(N408="",U408=""),"",N408-U408)</f>
        <v/>
      </c>
      <c r="W408" s="71">
        <f>IF(OR(C408="",C408=0,'Daily Data'!J408=""),"",'Daily Data'!J408/C408)</f>
        <v/>
      </c>
      <c r="X408" s="71">
        <f>IF(OR(C408="",C408=0,'Daily Data'!K408=""),"",'Daily Data'!K408/C408)</f>
        <v/>
      </c>
      <c r="Y408" s="71">
        <f>IF(OR(F408="",W408="",X408=""),"",F408-W408-X408)</f>
        <v/>
      </c>
      <c r="Z408" s="72" t="n">
        <v>369.61</v>
      </c>
      <c r="AA408" s="72" t="n">
        <v>65.23</v>
      </c>
      <c r="AB408" s="73">
        <f>Z408+AA408</f>
        <v/>
      </c>
      <c r="AC408" s="74">
        <f>IF(OR(E408="",E408=0,AB408=""),"",E408*365/(AB408*1000000))</f>
        <v/>
      </c>
      <c r="AD408" s="98">
        <f>IF(OR(O408="",O408=0,AB408=""),"",(AB408*1000000)/O408)</f>
        <v/>
      </c>
      <c r="AE408" s="99">
        <f>IF(H408="","",(Team_Genesis-H408)/1000000)</f>
        <v/>
      </c>
      <c r="AF408" s="99">
        <f>IF(OR(O408="",AE408=""),"",(O408-AE408*1000000)/1000000)</f>
        <v/>
      </c>
    </row>
    <row r="409">
      <c r="A409" s="35" t="n">
        <v>46063</v>
      </c>
      <c r="B409" s="90">
        <f>IF('Daily Data'!E409="","",'Daily Data'!E409)</f>
        <v/>
      </c>
      <c r="C409" s="65" t="n">
        <v>31.04</v>
      </c>
      <c r="D409" s="94" t="n">
        <v>45261.62</v>
      </c>
      <c r="E409" s="94" t="n">
        <v>26556.0418</v>
      </c>
      <c r="F409" s="94" t="n">
        <v>3101.5672</v>
      </c>
      <c r="G409" s="94" t="n"/>
      <c r="H409" s="95">
        <f>SUM($G$4:G409)</f>
        <v/>
      </c>
      <c r="I409" s="94" t="n">
        <v>1000000000</v>
      </c>
      <c r="J409" s="95">
        <f>J408-E409</f>
        <v/>
      </c>
      <c r="K409" s="94" t="n">
        <v>60000000</v>
      </c>
      <c r="L409" s="94" t="n">
        <v>40726662.00255512</v>
      </c>
      <c r="M409" s="94" t="n">
        <v>3000000</v>
      </c>
      <c r="N409" s="94" t="n">
        <v>690656.4003000259</v>
      </c>
      <c r="O409" s="96">
        <f>IF(OR(I409="",J409="",L409="",N409=""),"",I409-J409-K409-L409-M409-N409)</f>
        <v/>
      </c>
      <c r="P409" s="91">
        <f>IF(OR(O409="",C409=""),"",O409*C409)</f>
        <v/>
      </c>
      <c r="Q409" s="69">
        <f>Q408-E409</f>
        <v/>
      </c>
      <c r="R409" s="97">
        <f>IF(OR(J409="",Q409=""),"",J409-Q409)</f>
        <v/>
      </c>
      <c r="S409" s="69">
        <f>IF(D409="",S408,S408+D409)</f>
        <v/>
      </c>
      <c r="T409" s="97">
        <f>IF(OR(L409="",S409=""),"",L409-S409)</f>
        <v/>
      </c>
      <c r="U409" s="69">
        <f>IF(F409="",U408,U408+F409)</f>
        <v/>
      </c>
      <c r="V409" s="97">
        <f>IF(OR(N409="",U409=""),"",N409-U409)</f>
        <v/>
      </c>
      <c r="W409" s="71">
        <f>IF(OR(C409="",C409=0,'Daily Data'!J409=""),"",'Daily Data'!J409/C409)</f>
        <v/>
      </c>
      <c r="X409" s="71">
        <f>IF(OR(C409="",C409=0,'Daily Data'!K409=""),"",'Daily Data'!K409/C409)</f>
        <v/>
      </c>
      <c r="Y409" s="71">
        <f>IF(OR(F409="",W409="",X409=""),"",F409-W409-X409)</f>
        <v/>
      </c>
      <c r="Z409" s="72" t="n">
        <v>369.61</v>
      </c>
      <c r="AA409" s="72" t="n">
        <v>65.23</v>
      </c>
      <c r="AB409" s="73">
        <f>Z409+AA409</f>
        <v/>
      </c>
      <c r="AC409" s="74">
        <f>IF(OR(E409="",E409=0,AB409=""),"",E409*365/(AB409*1000000))</f>
        <v/>
      </c>
      <c r="AD409" s="98">
        <f>IF(OR(O409="",O409=0,AB409=""),"",(AB409*1000000)/O409)</f>
        <v/>
      </c>
      <c r="AE409" s="99">
        <f>IF(H409="","",(Team_Genesis-H409)/1000000)</f>
        <v/>
      </c>
      <c r="AF409" s="99">
        <f>IF(OR(O409="",AE409=""),"",(O409-AE409*1000000)/1000000)</f>
        <v/>
      </c>
    </row>
    <row r="410">
      <c r="A410" s="35" t="n">
        <v>46064</v>
      </c>
      <c r="B410" s="90">
        <f>IF('Daily Data'!E410="","",'Daily Data'!E410)</f>
        <v/>
      </c>
      <c r="C410" s="65" t="n">
        <v>29.07</v>
      </c>
      <c r="D410" s="94" t="n">
        <v>59026.79</v>
      </c>
      <c r="E410" s="94" t="n">
        <v>26553.4689</v>
      </c>
      <c r="F410" s="94" t="n">
        <v>1030.2548</v>
      </c>
      <c r="G410" s="94" t="n"/>
      <c r="H410" s="95">
        <f>SUM($G$4:G410)</f>
        <v/>
      </c>
      <c r="I410" s="94" t="n">
        <v>1000000000</v>
      </c>
      <c r="J410" s="95">
        <f>J409-E410</f>
        <v/>
      </c>
      <c r="K410" s="94" t="n">
        <v>60000000</v>
      </c>
      <c r="L410" s="94" t="n">
        <v>40785342.70255512</v>
      </c>
      <c r="M410" s="94" t="n">
        <v>3000000</v>
      </c>
      <c r="N410" s="94" t="n">
        <v>691686.655099988</v>
      </c>
      <c r="O410" s="96">
        <f>IF(OR(I410="",J410="",L410="",N410=""),"",I410-J410-K410-L410-M410-N410)</f>
        <v/>
      </c>
      <c r="P410" s="91">
        <f>IF(OR(O410="",C410=""),"",O410*C410)</f>
        <v/>
      </c>
      <c r="Q410" s="69">
        <f>Q409-E410</f>
        <v/>
      </c>
      <c r="R410" s="97">
        <f>IF(OR(J410="",Q410=""),"",J410-Q410)</f>
        <v/>
      </c>
      <c r="S410" s="69">
        <f>IF(D410="",S409,S409+D410)</f>
        <v/>
      </c>
      <c r="T410" s="97">
        <f>IF(OR(L410="",S410=""),"",L410-S410)</f>
        <v/>
      </c>
      <c r="U410" s="69">
        <f>IF(F410="",U409,U409+F410)</f>
        <v/>
      </c>
      <c r="V410" s="97">
        <f>IF(OR(N410="",U410=""),"",N410-U410)</f>
        <v/>
      </c>
      <c r="W410" s="71">
        <f>IF(OR(C410="",C410=0,'Daily Data'!J410=""),"",'Daily Data'!J410/C410)</f>
        <v/>
      </c>
      <c r="X410" s="71">
        <f>IF(OR(C410="",C410=0,'Daily Data'!K410=""),"",'Daily Data'!K410/C410)</f>
        <v/>
      </c>
      <c r="Y410" s="71">
        <f>IF(OR(F410="",W410="",X410=""),"",F410-W410-X410)</f>
        <v/>
      </c>
      <c r="Z410" s="72" t="n">
        <v>369.61</v>
      </c>
      <c r="AA410" s="72" t="n">
        <v>65.23</v>
      </c>
      <c r="AB410" s="73">
        <f>Z410+AA410</f>
        <v/>
      </c>
      <c r="AC410" s="74">
        <f>IF(OR(E410="",E410=0,AB410=""),"",E410*365/(AB410*1000000))</f>
        <v/>
      </c>
      <c r="AD410" s="98">
        <f>IF(OR(O410="",O410=0,AB410=""),"",(AB410*1000000)/O410)</f>
        <v/>
      </c>
      <c r="AE410" s="99">
        <f>IF(H410="","",(Team_Genesis-H410)/1000000)</f>
        <v/>
      </c>
      <c r="AF410" s="99">
        <f>IF(OR(O410="",AE410=""),"",(O410-AE410*1000000)/1000000)</f>
        <v/>
      </c>
    </row>
    <row r="411">
      <c r="A411" s="35" t="n">
        <v>46065</v>
      </c>
      <c r="B411" s="90">
        <f>IF('Daily Data'!E411="","",'Daily Data'!E411)</f>
        <v/>
      </c>
      <c r="C411" s="65" t="n">
        <v>29.72</v>
      </c>
      <c r="D411" s="94" t="n">
        <v>44632.74</v>
      </c>
      <c r="E411" s="94" t="n">
        <v>26549.6824</v>
      </c>
      <c r="F411" s="94" t="n">
        <v>1199.9727</v>
      </c>
      <c r="G411" s="94" t="n"/>
      <c r="H411" s="95">
        <f>SUM($G$4:G411)</f>
        <v/>
      </c>
      <c r="I411" s="94" t="n">
        <v>1000000000</v>
      </c>
      <c r="J411" s="95">
        <f>J410-E411</f>
        <v/>
      </c>
      <c r="K411" s="94" t="n">
        <v>60000000</v>
      </c>
      <c r="L411" s="94" t="n">
        <v>40833357.37255512</v>
      </c>
      <c r="M411" s="94" t="n">
        <v>3000000</v>
      </c>
      <c r="N411" s="94" t="n">
        <v>692886.6279000044</v>
      </c>
      <c r="O411" s="96">
        <f>IF(OR(I411="",J411="",L411="",N411=""),"",I411-J411-K411-L411-M411-N411)</f>
        <v/>
      </c>
      <c r="P411" s="91">
        <f>IF(OR(O411="",C411=""),"",O411*C411)</f>
        <v/>
      </c>
      <c r="Q411" s="69">
        <f>Q410-E411</f>
        <v/>
      </c>
      <c r="R411" s="97">
        <f>IF(OR(J411="",Q411=""),"",J411-Q411)</f>
        <v/>
      </c>
      <c r="S411" s="69">
        <f>IF(D411="",S410,S410+D411)</f>
        <v/>
      </c>
      <c r="T411" s="97">
        <f>IF(OR(L411="",S411=""),"",L411-S411)</f>
        <v/>
      </c>
      <c r="U411" s="69">
        <f>IF(F411="",U410,U410+F411)</f>
        <v/>
      </c>
      <c r="V411" s="97">
        <f>IF(OR(N411="",U411=""),"",N411-U411)</f>
        <v/>
      </c>
      <c r="W411" s="71">
        <f>IF(OR(C411="",C411=0,'Daily Data'!J411=""),"",'Daily Data'!J411/C411)</f>
        <v/>
      </c>
      <c r="X411" s="71">
        <f>IF(OR(C411="",C411=0,'Daily Data'!K411=""),"",'Daily Data'!K411/C411)</f>
        <v/>
      </c>
      <c r="Y411" s="71">
        <f>IF(OR(F411="",W411="",X411=""),"",F411-W411-X411)</f>
        <v/>
      </c>
      <c r="Z411" s="72" t="n">
        <v>369.61</v>
      </c>
      <c r="AA411" s="72" t="n">
        <v>65.23</v>
      </c>
      <c r="AB411" s="73">
        <f>Z411+AA411</f>
        <v/>
      </c>
      <c r="AC411" s="74">
        <f>IF(OR(E411="",E411=0,AB411=""),"",E411*365/(AB411*1000000))</f>
        <v/>
      </c>
      <c r="AD411" s="98">
        <f>IF(OR(O411="",O411=0,AB411=""),"",(AB411*1000000)/O411)</f>
        <v/>
      </c>
      <c r="AE411" s="99">
        <f>IF(H411="","",(Team_Genesis-H411)/1000000)</f>
        <v/>
      </c>
      <c r="AF411" s="99">
        <f>IF(OR(O411="",AE411=""),"",(O411-AE411*1000000)/1000000)</f>
        <v/>
      </c>
    </row>
    <row r="412">
      <c r="A412" s="35" t="n">
        <v>46066</v>
      </c>
      <c r="B412" s="90">
        <f>IF('Daily Data'!E412="","",'Daily Data'!E412)</f>
        <v/>
      </c>
      <c r="C412" s="65" t="n">
        <v>30.79</v>
      </c>
      <c r="D412" s="94" t="n">
        <v>41194.1</v>
      </c>
      <c r="E412" s="94" t="n">
        <v>26553.7658</v>
      </c>
      <c r="F412" s="94" t="n">
        <v>1215.4388</v>
      </c>
      <c r="G412" s="94" t="n"/>
      <c r="H412" s="95">
        <f>SUM($G$4:G412)</f>
        <v/>
      </c>
      <c r="I412" s="94" t="n">
        <v>1000000000</v>
      </c>
      <c r="J412" s="95">
        <f>J411-E412</f>
        <v/>
      </c>
      <c r="K412" s="94" t="n">
        <v>60000000</v>
      </c>
      <c r="L412" s="94" t="n">
        <v>40871803.47255512</v>
      </c>
      <c r="M412" s="94" t="n">
        <v>3000000</v>
      </c>
      <c r="N412" s="94" t="n">
        <v>694102.0665999651</v>
      </c>
      <c r="O412" s="96">
        <f>IF(OR(I412="",J412="",L412="",N412=""),"",I412-J412-K412-L412-M412-N412)</f>
        <v/>
      </c>
      <c r="P412" s="91">
        <f>IF(OR(O412="",C412=""),"",O412*C412)</f>
        <v/>
      </c>
      <c r="Q412" s="69">
        <f>Q411-E412</f>
        <v/>
      </c>
      <c r="R412" s="97">
        <f>IF(OR(J412="",Q412=""),"",J412-Q412)</f>
        <v/>
      </c>
      <c r="S412" s="69">
        <f>IF(D412="",S411,S411+D412)</f>
        <v/>
      </c>
      <c r="T412" s="97">
        <f>IF(OR(L412="",S412=""),"",L412-S412)</f>
        <v/>
      </c>
      <c r="U412" s="69">
        <f>IF(F412="",U411,U411+F412)</f>
        <v/>
      </c>
      <c r="V412" s="97">
        <f>IF(OR(N412="",U412=""),"",N412-U412)</f>
        <v/>
      </c>
      <c r="W412" s="71">
        <f>IF(OR(C412="",C412=0,'Daily Data'!J412=""),"",'Daily Data'!J412/C412)</f>
        <v/>
      </c>
      <c r="X412" s="71">
        <f>IF(OR(C412="",C412=0,'Daily Data'!K412=""),"",'Daily Data'!K412/C412)</f>
        <v/>
      </c>
      <c r="Y412" s="71">
        <f>IF(OR(F412="",W412="",X412=""),"",F412-W412-X412)</f>
        <v/>
      </c>
      <c r="Z412" s="72" t="n">
        <v>369.61</v>
      </c>
      <c r="AA412" s="72" t="n">
        <v>65.23</v>
      </c>
      <c r="AB412" s="73">
        <f>Z412+AA412</f>
        <v/>
      </c>
      <c r="AC412" s="74">
        <f>IF(OR(E412="",E412=0,AB412=""),"",E412*365/(AB412*1000000))</f>
        <v/>
      </c>
      <c r="AD412" s="98">
        <f>IF(OR(O412="",O412=0,AB412=""),"",(AB412*1000000)/O412)</f>
        <v/>
      </c>
      <c r="AE412" s="99">
        <f>IF(H412="","",(Team_Genesis-H412)/1000000)</f>
        <v/>
      </c>
      <c r="AF412" s="99">
        <f>IF(OR(O412="",AE412=""),"",(O412-AE412*1000000)/1000000)</f>
        <v/>
      </c>
    </row>
    <row r="413">
      <c r="A413" s="35" t="n">
        <v>46067</v>
      </c>
      <c r="B413" s="90">
        <f>IF('Daily Data'!E413="","",'Daily Data'!E413)</f>
        <v/>
      </c>
      <c r="C413" s="65" t="n">
        <v>31.53</v>
      </c>
      <c r="D413" s="94" t="n">
        <v>23679.76</v>
      </c>
      <c r="E413" s="94" t="n">
        <v>26554.7756</v>
      </c>
      <c r="F413" s="94" t="n">
        <v>888.9465</v>
      </c>
      <c r="G413" s="94" t="n"/>
      <c r="H413" s="95">
        <f>SUM($G$4:G413)</f>
        <v/>
      </c>
      <c r="I413" s="94" t="n">
        <v>1000000000</v>
      </c>
      <c r="J413" s="95">
        <f>J412-E413</f>
        <v/>
      </c>
      <c r="K413" s="94" t="n">
        <v>60000000</v>
      </c>
      <c r="L413" s="94" t="n">
        <v>40895558.22255512</v>
      </c>
      <c r="M413" s="94" t="n">
        <v>3000000</v>
      </c>
      <c r="N413" s="94" t="n">
        <v>694991.0132000446</v>
      </c>
      <c r="O413" s="96">
        <f>IF(OR(I413="",J413="",L413="",N413=""),"",I413-J413-K413-L413-M413-N413)</f>
        <v/>
      </c>
      <c r="P413" s="91">
        <f>IF(OR(O413="",C413=""),"",O413*C413)</f>
        <v/>
      </c>
      <c r="Q413" s="69">
        <f>Q412-E413</f>
        <v/>
      </c>
      <c r="R413" s="97">
        <f>IF(OR(J413="",Q413=""),"",J413-Q413)</f>
        <v/>
      </c>
      <c r="S413" s="69">
        <f>IF(D413="",S412,S412+D413)</f>
        <v/>
      </c>
      <c r="T413" s="97">
        <f>IF(OR(L413="",S413=""),"",L413-S413)</f>
        <v/>
      </c>
      <c r="U413" s="69">
        <f>IF(F413="",U412,U412+F413)</f>
        <v/>
      </c>
      <c r="V413" s="97">
        <f>IF(OR(N413="",U413=""),"",N413-U413)</f>
        <v/>
      </c>
      <c r="W413" s="71">
        <f>IF(OR(C413="",C413=0,'Daily Data'!J413=""),"",'Daily Data'!J413/C413)</f>
        <v/>
      </c>
      <c r="X413" s="71">
        <f>IF(OR(C413="",C413=0,'Daily Data'!K413=""),"",'Daily Data'!K413/C413)</f>
        <v/>
      </c>
      <c r="Y413" s="71">
        <f>IF(OR(F413="",W413="",X413=""),"",F413-W413-X413)</f>
        <v/>
      </c>
      <c r="Z413" s="72" t="n">
        <v>369.61</v>
      </c>
      <c r="AA413" s="72" t="n">
        <v>65.23</v>
      </c>
      <c r="AB413" s="73">
        <f>Z413+AA413</f>
        <v/>
      </c>
      <c r="AC413" s="74">
        <f>IF(OR(E413="",E413=0,AB413=""),"",E413*365/(AB413*1000000))</f>
        <v/>
      </c>
      <c r="AD413" s="98">
        <f>IF(OR(O413="",O413=0,AB413=""),"",(AB413*1000000)/O413)</f>
        <v/>
      </c>
      <c r="AE413" s="99">
        <f>IF(H413="","",(Team_Genesis-H413)/1000000)</f>
        <v/>
      </c>
      <c r="AF413" s="99">
        <f>IF(OR(O413="",AE413=""),"",(O413-AE413*1000000)/1000000)</f>
        <v/>
      </c>
    </row>
    <row r="414">
      <c r="A414" s="35" t="n">
        <v>46068</v>
      </c>
      <c r="B414" s="90">
        <f>IF('Daily Data'!E414="","",'Daily Data'!E414)</f>
        <v/>
      </c>
      <c r="C414" s="65" t="n">
        <v>31.73</v>
      </c>
      <c r="D414" s="94" t="n">
        <v>31482</v>
      </c>
      <c r="E414" s="94" t="n">
        <v>26531.3212</v>
      </c>
      <c r="F414" s="94" t="n">
        <v>194.0083</v>
      </c>
      <c r="G414" s="94" t="n"/>
      <c r="H414" s="95">
        <f>SUM($G$4:G414)</f>
        <v/>
      </c>
      <c r="I414" s="94" t="n">
        <v>1000000000</v>
      </c>
      <c r="J414" s="95">
        <f>J413-E414</f>
        <v/>
      </c>
      <c r="K414" s="94" t="n">
        <v>60000000</v>
      </c>
      <c r="L414" s="94" t="n">
        <v>40926983.47255512</v>
      </c>
      <c r="M414" s="94" t="n">
        <v>3000000</v>
      </c>
      <c r="N414" s="94" t="n">
        <v>695185.0213999748</v>
      </c>
      <c r="O414" s="96">
        <f>IF(OR(I414="",J414="",L414="",N414=""),"",I414-J414-K414-L414-M414-N414)</f>
        <v/>
      </c>
      <c r="P414" s="91">
        <f>IF(OR(O414="",C414=""),"",O414*C414)</f>
        <v/>
      </c>
      <c r="Q414" s="69">
        <f>Q413-E414</f>
        <v/>
      </c>
      <c r="R414" s="97">
        <f>IF(OR(J414="",Q414=""),"",J414-Q414)</f>
        <v/>
      </c>
      <c r="S414" s="69">
        <f>IF(D414="",S413,S413+D414)</f>
        <v/>
      </c>
      <c r="T414" s="97">
        <f>IF(OR(L414="",S414=""),"",L414-S414)</f>
        <v/>
      </c>
      <c r="U414" s="69">
        <f>IF(F414="",U413,U413+F414)</f>
        <v/>
      </c>
      <c r="V414" s="97">
        <f>IF(OR(N414="",U414=""),"",N414-U414)</f>
        <v/>
      </c>
      <c r="W414" s="71">
        <f>IF(OR(C414="",C414=0,'Daily Data'!J414=""),"",'Daily Data'!J414/C414)</f>
        <v/>
      </c>
      <c r="X414" s="71">
        <f>IF(OR(C414="",C414=0,'Daily Data'!K414=""),"",'Daily Data'!K414/C414)</f>
        <v/>
      </c>
      <c r="Y414" s="71">
        <f>IF(OR(F414="",W414="",X414=""),"",F414-W414-X414)</f>
        <v/>
      </c>
      <c r="Z414" s="72" t="n">
        <v>369.61</v>
      </c>
      <c r="AA414" s="72" t="n">
        <v>65.23</v>
      </c>
      <c r="AB414" s="73">
        <f>Z414+AA414</f>
        <v/>
      </c>
      <c r="AC414" s="74">
        <f>IF(OR(E414="",E414=0,AB414=""),"",E414*365/(AB414*1000000))</f>
        <v/>
      </c>
      <c r="AD414" s="98">
        <f>IF(OR(O414="",O414=0,AB414=""),"",(AB414*1000000)/O414)</f>
        <v/>
      </c>
      <c r="AE414" s="99">
        <f>IF(H414="","",(Team_Genesis-H414)/1000000)</f>
        <v/>
      </c>
      <c r="AF414" s="99">
        <f>IF(OR(O414="",AE414=""),"",(O414-AE414*1000000)/1000000)</f>
        <v/>
      </c>
    </row>
    <row r="415">
      <c r="A415" s="35" t="n">
        <v>46069</v>
      </c>
      <c r="B415" s="90">
        <f>IF('Daily Data'!E415="","",'Daily Data'!E415)</f>
        <v/>
      </c>
      <c r="C415" s="65" t="n">
        <v>30.67</v>
      </c>
      <c r="D415" s="94" t="n">
        <v>28342.14</v>
      </c>
      <c r="E415" s="94" t="n">
        <v>26531.7321</v>
      </c>
      <c r="F415" s="94" t="n">
        <v>1310.5528</v>
      </c>
      <c r="G415" s="94" t="n"/>
      <c r="H415" s="95">
        <f>SUM($G$4:G415)</f>
        <v/>
      </c>
      <c r="I415" s="94" t="n">
        <v>1000000000</v>
      </c>
      <c r="J415" s="95">
        <f>J414-E415</f>
        <v/>
      </c>
      <c r="K415" s="94" t="n">
        <v>60000000</v>
      </c>
      <c r="L415" s="94" t="n">
        <v>40954673.44255512</v>
      </c>
      <c r="M415" s="94" t="n">
        <v>3000000</v>
      </c>
      <c r="N415" s="94" t="n">
        <v>696495.5742000341</v>
      </c>
      <c r="O415" s="96">
        <f>IF(OR(I415="",J415="",L415="",N415=""),"",I415-J415-K415-L415-M415-N415)</f>
        <v/>
      </c>
      <c r="P415" s="91">
        <f>IF(OR(O415="",C415=""),"",O415*C415)</f>
        <v/>
      </c>
      <c r="Q415" s="69">
        <f>Q414-E415</f>
        <v/>
      </c>
      <c r="R415" s="97">
        <f>IF(OR(J415="",Q415=""),"",J415-Q415)</f>
        <v/>
      </c>
      <c r="S415" s="69">
        <f>IF(D415="",S414,S414+D415)</f>
        <v/>
      </c>
      <c r="T415" s="97">
        <f>IF(OR(L415="",S415=""),"",L415-S415)</f>
        <v/>
      </c>
      <c r="U415" s="69">
        <f>IF(F415="",U414,U414+F415)</f>
        <v/>
      </c>
      <c r="V415" s="97">
        <f>IF(OR(N415="",U415=""),"",N415-U415)</f>
        <v/>
      </c>
      <c r="W415" s="71">
        <f>IF(OR(C415="",C415=0,'Daily Data'!J415=""),"",'Daily Data'!J415/C415)</f>
        <v/>
      </c>
      <c r="X415" s="71">
        <f>IF(OR(C415="",C415=0,'Daily Data'!K415=""),"",'Daily Data'!K415/C415)</f>
        <v/>
      </c>
      <c r="Y415" s="71">
        <f>IF(OR(F415="",W415="",X415=""),"",F415-W415-X415)</f>
        <v/>
      </c>
      <c r="Z415" s="72" t="n">
        <v>369.61</v>
      </c>
      <c r="AA415" s="72" t="n">
        <v>65.23</v>
      </c>
      <c r="AB415" s="73">
        <f>Z415+AA415</f>
        <v/>
      </c>
      <c r="AC415" s="74">
        <f>IF(OR(E415="",E415=0,AB415=""),"",E415*365/(AB415*1000000))</f>
        <v/>
      </c>
      <c r="AD415" s="98">
        <f>IF(OR(O415="",O415=0,AB415=""),"",(AB415*1000000)/O415)</f>
        <v/>
      </c>
      <c r="AE415" s="99">
        <f>IF(H415="","",(Team_Genesis-H415)/1000000)</f>
        <v/>
      </c>
      <c r="AF415" s="99">
        <f>IF(OR(O415="",AE415=""),"",(O415-AE415*1000000)/1000000)</f>
        <v/>
      </c>
    </row>
    <row r="416">
      <c r="A416" s="35" t="n">
        <v>46070</v>
      </c>
      <c r="B416" s="90">
        <f>IF('Daily Data'!E416="","",'Daily Data'!E416)</f>
        <v/>
      </c>
      <c r="C416" s="65" t="n">
        <v>31.23</v>
      </c>
      <c r="D416" s="94" t="n">
        <v>44826.66</v>
      </c>
      <c r="E416" s="94" t="n">
        <v>26528.882</v>
      </c>
      <c r="F416" s="94" t="n">
        <v>248.4681</v>
      </c>
      <c r="G416" s="94" t="n"/>
      <c r="H416" s="95">
        <f>SUM($G$4:G416)</f>
        <v/>
      </c>
      <c r="I416" s="94" t="n">
        <v>1000000000</v>
      </c>
      <c r="J416" s="95">
        <f>J415-E416</f>
        <v/>
      </c>
      <c r="K416" s="94" t="n">
        <v>60000000</v>
      </c>
      <c r="L416" s="94" t="n">
        <v>41000108.94255512</v>
      </c>
      <c r="M416" s="94" t="n">
        <v>3000000</v>
      </c>
      <c r="N416" s="94" t="n">
        <v>696744.0422999859</v>
      </c>
      <c r="O416" s="96">
        <f>IF(OR(I416="",J416="",L416="",N416=""),"",I416-J416-K416-L416-M416-N416)</f>
        <v/>
      </c>
      <c r="P416" s="91">
        <f>IF(OR(O416="",C416=""),"",O416*C416)</f>
        <v/>
      </c>
      <c r="Q416" s="69">
        <f>Q415-E416</f>
        <v/>
      </c>
      <c r="R416" s="97">
        <f>IF(OR(J416="",Q416=""),"",J416-Q416)</f>
        <v/>
      </c>
      <c r="S416" s="69">
        <f>IF(D416="",S415,S415+D416)</f>
        <v/>
      </c>
      <c r="T416" s="97">
        <f>IF(OR(L416="",S416=""),"",L416-S416)</f>
        <v/>
      </c>
      <c r="U416" s="69">
        <f>IF(F416="",U415,U415+F416)</f>
        <v/>
      </c>
      <c r="V416" s="97">
        <f>IF(OR(N416="",U416=""),"",N416-U416)</f>
        <v/>
      </c>
      <c r="W416" s="71">
        <f>IF(OR(C416="",C416=0,'Daily Data'!J416=""),"",'Daily Data'!J416/C416)</f>
        <v/>
      </c>
      <c r="X416" s="71">
        <f>IF(OR(C416="",C416=0,'Daily Data'!K416=""),"",'Daily Data'!K416/C416)</f>
        <v/>
      </c>
      <c r="Y416" s="71">
        <f>IF(OR(F416="",W416="",X416=""),"",F416-W416-X416)</f>
        <v/>
      </c>
      <c r="Z416" s="72" t="n">
        <v>369.61</v>
      </c>
      <c r="AA416" s="72" t="n">
        <v>65.23</v>
      </c>
      <c r="AB416" s="73">
        <f>Z416+AA416</f>
        <v/>
      </c>
      <c r="AC416" s="74">
        <f>IF(OR(E416="",E416=0,AB416=""),"",E416*365/(AB416*1000000))</f>
        <v/>
      </c>
      <c r="AD416" s="98">
        <f>IF(OR(O416="",O416=0,AB416=""),"",(AB416*1000000)/O416)</f>
        <v/>
      </c>
      <c r="AE416" s="99">
        <f>IF(H416="","",(Team_Genesis-H416)/1000000)</f>
        <v/>
      </c>
      <c r="AF416" s="99">
        <f>IF(OR(O416="",AE416=""),"",(O416-AE416*1000000)/1000000)</f>
        <v/>
      </c>
    </row>
    <row r="417">
      <c r="A417" s="35" t="n">
        <v>46071</v>
      </c>
      <c r="B417" s="90">
        <f>IF('Daily Data'!E417="","",'Daily Data'!E417)</f>
        <v/>
      </c>
      <c r="C417" s="65" t="n">
        <v>29.33</v>
      </c>
      <c r="D417" s="94" t="n">
        <v>40585.19</v>
      </c>
      <c r="E417" s="94" t="n">
        <v>26542.9805</v>
      </c>
      <c r="F417" s="94" t="n">
        <v>812.8348999999999</v>
      </c>
      <c r="G417" s="94" t="n"/>
      <c r="H417" s="95">
        <f>SUM($G$4:G417)</f>
        <v/>
      </c>
      <c r="I417" s="94" t="n">
        <v>1000000000</v>
      </c>
      <c r="J417" s="95">
        <f>J416-E417</f>
        <v/>
      </c>
      <c r="K417" s="94" t="n">
        <v>60000000</v>
      </c>
      <c r="L417" s="94" t="n">
        <v>41040714.81255512</v>
      </c>
      <c r="M417" s="94" t="n">
        <v>3000000</v>
      </c>
      <c r="N417" s="94" t="n">
        <v>697556.877300024</v>
      </c>
      <c r="O417" s="96">
        <f>IF(OR(I417="",J417="",L417="",N417=""),"",I417-J417-K417-L417-M417-N417)</f>
        <v/>
      </c>
      <c r="P417" s="91">
        <f>IF(OR(O417="",C417=""),"",O417*C417)</f>
        <v/>
      </c>
      <c r="Q417" s="69">
        <f>Q416-E417</f>
        <v/>
      </c>
      <c r="R417" s="97">
        <f>IF(OR(J417="",Q417=""),"",J417-Q417)</f>
        <v/>
      </c>
      <c r="S417" s="69">
        <f>IF(D417="",S416,S416+D417)</f>
        <v/>
      </c>
      <c r="T417" s="97">
        <f>IF(OR(L417="",S417=""),"",L417-S417)</f>
        <v/>
      </c>
      <c r="U417" s="69">
        <f>IF(F417="",U416,U416+F417)</f>
        <v/>
      </c>
      <c r="V417" s="97">
        <f>IF(OR(N417="",U417=""),"",N417-U417)</f>
        <v/>
      </c>
      <c r="W417" s="71">
        <f>IF(OR(C417="",C417=0,'Daily Data'!J417=""),"",'Daily Data'!J417/C417)</f>
        <v/>
      </c>
      <c r="X417" s="71">
        <f>IF(OR(C417="",C417=0,'Daily Data'!K417=""),"",'Daily Data'!K417/C417)</f>
        <v/>
      </c>
      <c r="Y417" s="71">
        <f>IF(OR(F417="",W417="",X417=""),"",F417-W417-X417)</f>
        <v/>
      </c>
      <c r="Z417" s="72" t="n">
        <v>369.61</v>
      </c>
      <c r="AA417" s="72" t="n">
        <v>65.23</v>
      </c>
      <c r="AB417" s="73">
        <f>Z417+AA417</f>
        <v/>
      </c>
      <c r="AC417" s="74">
        <f>IF(OR(E417="",E417=0,AB417=""),"",E417*365/(AB417*1000000))</f>
        <v/>
      </c>
      <c r="AD417" s="98">
        <f>IF(OR(O417="",O417=0,AB417=""),"",(AB417*1000000)/O417)</f>
        <v/>
      </c>
      <c r="AE417" s="99">
        <f>IF(H417="","",(Team_Genesis-H417)/1000000)</f>
        <v/>
      </c>
      <c r="AF417" s="99">
        <f>IF(OR(O417="",AE417=""),"",(O417-AE417*1000000)/1000000)</f>
        <v/>
      </c>
    </row>
    <row r="418">
      <c r="A418" s="35" t="n">
        <v>46072</v>
      </c>
      <c r="B418" s="90">
        <f>IF('Daily Data'!E418="","",'Daily Data'!E418)</f>
        <v/>
      </c>
      <c r="C418" s="65" t="n">
        <v>28.34</v>
      </c>
      <c r="D418" s="94" t="n">
        <v>36230.94</v>
      </c>
      <c r="E418" s="94" t="n">
        <v>26479.5633</v>
      </c>
      <c r="F418" s="94" t="n">
        <v>1034.9876</v>
      </c>
      <c r="G418" s="94" t="n"/>
      <c r="H418" s="95">
        <f>SUM($G$4:G418)</f>
        <v/>
      </c>
      <c r="I418" s="94" t="n">
        <v>1000000000</v>
      </c>
      <c r="J418" s="95">
        <f>J417-E418</f>
        <v/>
      </c>
      <c r="K418" s="94" t="n">
        <v>60000000</v>
      </c>
      <c r="L418" s="94" t="n">
        <v>41076661.15255512</v>
      </c>
      <c r="M418" s="94" t="n">
        <v>3000000</v>
      </c>
      <c r="N418" s="94" t="n">
        <v>698591.8647999763</v>
      </c>
      <c r="O418" s="96">
        <f>IF(OR(I418="",J418="",L418="",N418=""),"",I418-J418-K418-L418-M418-N418)</f>
        <v/>
      </c>
      <c r="P418" s="91">
        <f>IF(OR(O418="",C418=""),"",O418*C418)</f>
        <v/>
      </c>
      <c r="Q418" s="69">
        <f>Q417-E418</f>
        <v/>
      </c>
      <c r="R418" s="97">
        <f>IF(OR(J418="",Q418=""),"",J418-Q418)</f>
        <v/>
      </c>
      <c r="S418" s="69">
        <f>IF(D418="",S417,S417+D418)</f>
        <v/>
      </c>
      <c r="T418" s="97">
        <f>IF(OR(L418="",S418=""),"",L418-S418)</f>
        <v/>
      </c>
      <c r="U418" s="69">
        <f>IF(F418="",U417,U417+F418)</f>
        <v/>
      </c>
      <c r="V418" s="97">
        <f>IF(OR(N418="",U418=""),"",N418-U418)</f>
        <v/>
      </c>
      <c r="W418" s="71">
        <f>IF(OR(C418="",C418=0,'Daily Data'!J418=""),"",'Daily Data'!J418/C418)</f>
        <v/>
      </c>
      <c r="X418" s="71">
        <f>IF(OR(C418="",C418=0,'Daily Data'!K418=""),"",'Daily Data'!K418/C418)</f>
        <v/>
      </c>
      <c r="Y418" s="71">
        <f>IF(OR(F418="",W418="",X418=""),"",F418-W418-X418)</f>
        <v/>
      </c>
      <c r="Z418" s="72" t="n">
        <v>369.61</v>
      </c>
      <c r="AA418" s="72" t="n">
        <v>65.23</v>
      </c>
      <c r="AB418" s="73">
        <f>Z418+AA418</f>
        <v/>
      </c>
      <c r="AC418" s="74">
        <f>IF(OR(E418="",E418=0,AB418=""),"",E418*365/(AB418*1000000))</f>
        <v/>
      </c>
      <c r="AD418" s="98">
        <f>IF(OR(O418="",O418=0,AB418=""),"",(AB418*1000000)/O418)</f>
        <v/>
      </c>
      <c r="AE418" s="99">
        <f>IF(H418="","",(Team_Genesis-H418)/1000000)</f>
        <v/>
      </c>
      <c r="AF418" s="99">
        <f>IF(OR(O418="",AE418=""),"",(O418-AE418*1000000)/1000000)</f>
        <v/>
      </c>
    </row>
    <row r="419">
      <c r="A419" s="35" t="n">
        <v>46073</v>
      </c>
      <c r="B419" s="90">
        <f>IF('Daily Data'!E419="","",'Daily Data'!E419)</f>
        <v/>
      </c>
      <c r="C419" s="65" t="n">
        <v>29.24</v>
      </c>
      <c r="D419" s="94" t="n">
        <v>45326.62</v>
      </c>
      <c r="E419" s="94" t="n">
        <v>26501.8341</v>
      </c>
      <c r="F419" s="94" t="n">
        <v>752.1996</v>
      </c>
      <c r="G419" s="94" t="n"/>
      <c r="H419" s="95">
        <f>SUM($G$4:G419)</f>
        <v/>
      </c>
      <c r="I419" s="94" t="n">
        <v>1000000000</v>
      </c>
      <c r="J419" s="95">
        <f>J418-E419</f>
        <v/>
      </c>
      <c r="K419" s="94" t="n">
        <v>60000000</v>
      </c>
      <c r="L419" s="94" t="n">
        <v>41121642.85255512</v>
      </c>
      <c r="M419" s="94" t="n">
        <v>3000000</v>
      </c>
      <c r="N419" s="94" t="n">
        <v>699344.0643999577</v>
      </c>
      <c r="O419" s="96">
        <f>IF(OR(I419="",J419="",L419="",N419=""),"",I419-J419-K419-L419-M419-N419)</f>
        <v/>
      </c>
      <c r="P419" s="91">
        <f>IF(OR(O419="",C419=""),"",O419*C419)</f>
        <v/>
      </c>
      <c r="Q419" s="69">
        <f>Q418-E419</f>
        <v/>
      </c>
      <c r="R419" s="97">
        <f>IF(OR(J419="",Q419=""),"",J419-Q419)</f>
        <v/>
      </c>
      <c r="S419" s="69">
        <f>IF(D419="",S418,S418+D419)</f>
        <v/>
      </c>
      <c r="T419" s="97">
        <f>IF(OR(L419="",S419=""),"",L419-S419)</f>
        <v/>
      </c>
      <c r="U419" s="69">
        <f>IF(F419="",U418,U418+F419)</f>
        <v/>
      </c>
      <c r="V419" s="97">
        <f>IF(OR(N419="",U419=""),"",N419-U419)</f>
        <v/>
      </c>
      <c r="W419" s="71">
        <f>IF(OR(C419="",C419=0,'Daily Data'!J419=""),"",'Daily Data'!J419/C419)</f>
        <v/>
      </c>
      <c r="X419" s="71">
        <f>IF(OR(C419="",C419=0,'Daily Data'!K419=""),"",'Daily Data'!K419/C419)</f>
        <v/>
      </c>
      <c r="Y419" s="71">
        <f>IF(OR(F419="",W419="",X419=""),"",F419-W419-X419)</f>
        <v/>
      </c>
      <c r="Z419" s="72" t="n">
        <v>369.61</v>
      </c>
      <c r="AA419" s="72" t="n">
        <v>65.23</v>
      </c>
      <c r="AB419" s="73">
        <f>Z419+AA419</f>
        <v/>
      </c>
      <c r="AC419" s="74">
        <f>IF(OR(E419="",E419=0,AB419=""),"",E419*365/(AB419*1000000))</f>
        <v/>
      </c>
      <c r="AD419" s="98">
        <f>IF(OR(O419="",O419=0,AB419=""),"",(AB419*1000000)/O419)</f>
        <v/>
      </c>
      <c r="AE419" s="99">
        <f>IF(H419="","",(Team_Genesis-H419)/1000000)</f>
        <v/>
      </c>
      <c r="AF419" s="99">
        <f>IF(OR(O419="",AE419=""),"",(O419-AE419*1000000)/1000000)</f>
        <v/>
      </c>
    </row>
    <row r="420">
      <c r="A420" s="35" t="n">
        <v>46074</v>
      </c>
      <c r="B420" s="90">
        <f>IF('Daily Data'!E420="","",'Daily Data'!E420)</f>
        <v/>
      </c>
      <c r="C420" s="65" t="n">
        <v>30.36</v>
      </c>
      <c r="D420" s="94" t="n">
        <v>16358.16</v>
      </c>
      <c r="E420" s="94" t="n">
        <v>26487.1078</v>
      </c>
      <c r="F420" s="94" t="n">
        <v>384.7817</v>
      </c>
      <c r="G420" s="94" t="n"/>
      <c r="H420" s="95">
        <f>SUM($G$4:G420)</f>
        <v/>
      </c>
      <c r="I420" s="94" t="n">
        <v>1000000000</v>
      </c>
      <c r="J420" s="95">
        <f>J419-E420</f>
        <v/>
      </c>
      <c r="K420" s="94" t="n">
        <v>60000000</v>
      </c>
      <c r="L420" s="94" t="n">
        <v>41139013.93255512</v>
      </c>
      <c r="M420" s="94" t="n">
        <v>3000000</v>
      </c>
      <c r="N420" s="94" t="n">
        <v>699728.8460999727</v>
      </c>
      <c r="O420" s="96">
        <f>IF(OR(I420="",J420="",L420="",N420=""),"",I420-J420-K420-L420-M420-N420)</f>
        <v/>
      </c>
      <c r="P420" s="91">
        <f>IF(OR(O420="",C420=""),"",O420*C420)</f>
        <v/>
      </c>
      <c r="Q420" s="69">
        <f>Q419-E420</f>
        <v/>
      </c>
      <c r="R420" s="97">
        <f>IF(OR(J420="",Q420=""),"",J420-Q420)</f>
        <v/>
      </c>
      <c r="S420" s="69">
        <f>IF(D420="",S419,S419+D420)</f>
        <v/>
      </c>
      <c r="T420" s="97">
        <f>IF(OR(L420="",S420=""),"",L420-S420)</f>
        <v/>
      </c>
      <c r="U420" s="69">
        <f>IF(F420="",U419,U419+F420)</f>
        <v/>
      </c>
      <c r="V420" s="97">
        <f>IF(OR(N420="",U420=""),"",N420-U420)</f>
        <v/>
      </c>
      <c r="W420" s="71">
        <f>IF(OR(C420="",C420=0,'Daily Data'!J420=""),"",'Daily Data'!J420/C420)</f>
        <v/>
      </c>
      <c r="X420" s="71">
        <f>IF(OR(C420="",C420=0,'Daily Data'!K420=""),"",'Daily Data'!K420/C420)</f>
        <v/>
      </c>
      <c r="Y420" s="71">
        <f>IF(OR(F420="",W420="",X420=""),"",F420-W420-X420)</f>
        <v/>
      </c>
      <c r="Z420" s="72" t="n">
        <v>369.61</v>
      </c>
      <c r="AA420" s="72" t="n">
        <v>65.23</v>
      </c>
      <c r="AB420" s="73">
        <f>Z420+AA420</f>
        <v/>
      </c>
      <c r="AC420" s="74">
        <f>IF(OR(E420="",E420=0,AB420=""),"",E420*365/(AB420*1000000))</f>
        <v/>
      </c>
      <c r="AD420" s="98">
        <f>IF(OR(O420="",O420=0,AB420=""),"",(AB420*1000000)/O420)</f>
        <v/>
      </c>
      <c r="AE420" s="99">
        <f>IF(H420="","",(Team_Genesis-H420)/1000000)</f>
        <v/>
      </c>
      <c r="AF420" s="99">
        <f>IF(OR(O420="",AE420=""),"",(O420-AE420*1000000)/1000000)</f>
        <v/>
      </c>
    </row>
    <row r="421">
      <c r="A421" s="35" t="n">
        <v>46075</v>
      </c>
      <c r="B421" s="90">
        <f>IF('Daily Data'!E421="","",'Daily Data'!E421)</f>
        <v/>
      </c>
      <c r="C421" s="65" t="n">
        <v>29.67</v>
      </c>
      <c r="D421" s="94" t="n">
        <v>17276.29</v>
      </c>
      <c r="E421" s="94" t="n">
        <v>26482.0784</v>
      </c>
      <c r="F421" s="94" t="n">
        <v>130.4432</v>
      </c>
      <c r="G421" s="94" t="n"/>
      <c r="H421" s="95">
        <f>SUM($G$4:G421)</f>
        <v/>
      </c>
      <c r="I421" s="94" t="n">
        <v>1000000000</v>
      </c>
      <c r="J421" s="95">
        <f>J420-E421</f>
        <v/>
      </c>
      <c r="K421" s="94" t="n">
        <v>60000000</v>
      </c>
      <c r="L421" s="94" t="n">
        <v>41155757.23255512</v>
      </c>
      <c r="M421" s="94" t="n">
        <v>3000000</v>
      </c>
      <c r="N421" s="94" t="n">
        <v>699859.2892999649</v>
      </c>
      <c r="O421" s="96">
        <f>IF(OR(I421="",J421="",L421="",N421=""),"",I421-J421-K421-L421-M421-N421)</f>
        <v/>
      </c>
      <c r="P421" s="91">
        <f>IF(OR(O421="",C421=""),"",O421*C421)</f>
        <v/>
      </c>
      <c r="Q421" s="69">
        <f>Q420-E421</f>
        <v/>
      </c>
      <c r="R421" s="97">
        <f>IF(OR(J421="",Q421=""),"",J421-Q421)</f>
        <v/>
      </c>
      <c r="S421" s="69">
        <f>IF(D421="",S420,S420+D421)</f>
        <v/>
      </c>
      <c r="T421" s="97">
        <f>IF(OR(L421="",S421=""),"",L421-S421)</f>
        <v/>
      </c>
      <c r="U421" s="69">
        <f>IF(F421="",U420,U420+F421)</f>
        <v/>
      </c>
      <c r="V421" s="97">
        <f>IF(OR(N421="",U421=""),"",N421-U421)</f>
        <v/>
      </c>
      <c r="W421" s="71">
        <f>IF(OR(C421="",C421=0,'Daily Data'!J421=""),"",'Daily Data'!J421/C421)</f>
        <v/>
      </c>
      <c r="X421" s="71">
        <f>IF(OR(C421="",C421=0,'Daily Data'!K421=""),"",'Daily Data'!K421/C421)</f>
        <v/>
      </c>
      <c r="Y421" s="71">
        <f>IF(OR(F421="",W421="",X421=""),"",F421-W421-X421)</f>
        <v/>
      </c>
      <c r="Z421" s="72" t="n">
        <v>369.61</v>
      </c>
      <c r="AA421" s="72" t="n">
        <v>65.23</v>
      </c>
      <c r="AB421" s="73">
        <f>Z421+AA421</f>
        <v/>
      </c>
      <c r="AC421" s="74">
        <f>IF(OR(E421="",E421=0,AB421=""),"",E421*365/(AB421*1000000))</f>
        <v/>
      </c>
      <c r="AD421" s="98">
        <f>IF(OR(O421="",O421=0,AB421=""),"",(AB421*1000000)/O421)</f>
        <v/>
      </c>
      <c r="AE421" s="99">
        <f>IF(H421="","",(Team_Genesis-H421)/1000000)</f>
        <v/>
      </c>
      <c r="AF421" s="99">
        <f>IF(OR(O421="",AE421=""),"",(O421-AE421*1000000)/1000000)</f>
        <v/>
      </c>
    </row>
    <row r="422">
      <c r="A422" s="35" t="n">
        <v>46076</v>
      </c>
      <c r="B422" s="90">
        <f>IF('Daily Data'!E422="","",'Daily Data'!E422)</f>
        <v/>
      </c>
      <c r="C422" s="65" t="n">
        <v>28.81</v>
      </c>
      <c r="D422" s="94" t="n">
        <v>63679.71</v>
      </c>
      <c r="E422" s="94" t="n">
        <v>26485.1915</v>
      </c>
      <c r="F422" s="94" t="n">
        <v>607.4312</v>
      </c>
      <c r="G422" s="94" t="n"/>
      <c r="H422" s="95">
        <f>SUM($G$4:G422)</f>
        <v/>
      </c>
      <c r="I422" s="94" t="n">
        <v>1000000000</v>
      </c>
      <c r="J422" s="95">
        <f>J421-E422</f>
        <v/>
      </c>
      <c r="K422" s="94" t="n">
        <v>60000000</v>
      </c>
      <c r="L422" s="94" t="n">
        <v>41218957.01255512</v>
      </c>
      <c r="M422" s="94" t="n">
        <v>3000000</v>
      </c>
      <c r="N422" s="94" t="n">
        <v>700466.7204999924</v>
      </c>
      <c r="O422" s="96">
        <f>IF(OR(I422="",J422="",L422="",N422=""),"",I422-J422-K422-L422-M422-N422)</f>
        <v/>
      </c>
      <c r="P422" s="91">
        <f>IF(OR(O422="",C422=""),"",O422*C422)</f>
        <v/>
      </c>
      <c r="Q422" s="69">
        <f>Q421-E422</f>
        <v/>
      </c>
      <c r="R422" s="97">
        <f>IF(OR(J422="",Q422=""),"",J422-Q422)</f>
        <v/>
      </c>
      <c r="S422" s="69">
        <f>IF(D422="",S421,S421+D422)</f>
        <v/>
      </c>
      <c r="T422" s="97">
        <f>IF(OR(L422="",S422=""),"",L422-S422)</f>
        <v/>
      </c>
      <c r="U422" s="69">
        <f>IF(F422="",U421,U421+F422)</f>
        <v/>
      </c>
      <c r="V422" s="97">
        <f>IF(OR(N422="",U422=""),"",N422-U422)</f>
        <v/>
      </c>
      <c r="W422" s="71">
        <f>IF(OR(C422="",C422=0,'Daily Data'!J422=""),"",'Daily Data'!J422/C422)</f>
        <v/>
      </c>
      <c r="X422" s="71">
        <f>IF(OR(C422="",C422=0,'Daily Data'!K422=""),"",'Daily Data'!K422/C422)</f>
        <v/>
      </c>
      <c r="Y422" s="71">
        <f>IF(OR(F422="",W422="",X422=""),"",F422-W422-X422)</f>
        <v/>
      </c>
      <c r="Z422" s="72" t="n">
        <v>369.61</v>
      </c>
      <c r="AA422" s="72" t="n">
        <v>65.23</v>
      </c>
      <c r="AB422" s="73">
        <f>Z422+AA422</f>
        <v/>
      </c>
      <c r="AC422" s="74">
        <f>IF(OR(E422="",E422=0,AB422=""),"",E422*365/(AB422*1000000))</f>
        <v/>
      </c>
      <c r="AD422" s="98">
        <f>IF(OR(O422="",O422=0,AB422=""),"",(AB422*1000000)/O422)</f>
        <v/>
      </c>
      <c r="AE422" s="99">
        <f>IF(H422="","",(Team_Genesis-H422)/1000000)</f>
        <v/>
      </c>
      <c r="AF422" s="99">
        <f>IF(OR(O422="",AE422=""),"",(O422-AE422*1000000)/1000000)</f>
        <v/>
      </c>
    </row>
    <row r="423">
      <c r="A423" s="35" t="n">
        <v>46077</v>
      </c>
      <c r="B423" s="90">
        <f>IF('Daily Data'!E423="","",'Daily Data'!E423)</f>
        <v/>
      </c>
      <c r="C423" s="65" t="n">
        <v>26.46</v>
      </c>
      <c r="D423" s="94" t="n">
        <v>57394.04</v>
      </c>
      <c r="E423" s="94" t="n">
        <v>26481.1904</v>
      </c>
      <c r="F423" s="94" t="n">
        <v>1147.6151</v>
      </c>
      <c r="G423" s="94" t="n"/>
      <c r="H423" s="95">
        <f>SUM($G$4:G423)</f>
        <v/>
      </c>
      <c r="I423" s="94" t="n">
        <v>1000000000</v>
      </c>
      <c r="J423" s="95">
        <f>J422-E423</f>
        <v/>
      </c>
      <c r="K423" s="94" t="n">
        <v>60000000</v>
      </c>
      <c r="L423" s="94" t="n">
        <v>41276918.64255512</v>
      </c>
      <c r="M423" s="94" t="n">
        <v>3000000</v>
      </c>
      <c r="N423" s="94" t="n">
        <v>701614.3356000185</v>
      </c>
      <c r="O423" s="96">
        <f>IF(OR(I423="",J423="",L423="",N423=""),"",I423-J423-K423-L423-M423-N423)</f>
        <v/>
      </c>
      <c r="P423" s="91">
        <f>IF(OR(O423="",C423=""),"",O423*C423)</f>
        <v/>
      </c>
      <c r="Q423" s="69">
        <f>Q422-E423</f>
        <v/>
      </c>
      <c r="R423" s="97">
        <f>IF(OR(J423="",Q423=""),"",J423-Q423)</f>
        <v/>
      </c>
      <c r="S423" s="69">
        <f>IF(D423="",S422,S422+D423)</f>
        <v/>
      </c>
      <c r="T423" s="97">
        <f>IF(OR(L423="",S423=""),"",L423-S423)</f>
        <v/>
      </c>
      <c r="U423" s="69">
        <f>IF(F423="",U422,U422+F423)</f>
        <v/>
      </c>
      <c r="V423" s="97">
        <f>IF(OR(N423="",U423=""),"",N423-U423)</f>
        <v/>
      </c>
      <c r="W423" s="71">
        <f>IF(OR(C423="",C423=0,'Daily Data'!J423=""),"",'Daily Data'!J423/C423)</f>
        <v/>
      </c>
      <c r="X423" s="71">
        <f>IF(OR(C423="",C423=0,'Daily Data'!K423=""),"",'Daily Data'!K423/C423)</f>
        <v/>
      </c>
      <c r="Y423" s="71">
        <f>IF(OR(F423="",W423="",X423=""),"",F423-W423-X423)</f>
        <v/>
      </c>
      <c r="Z423" s="72" t="n">
        <v>369.61</v>
      </c>
      <c r="AA423" s="72" t="n">
        <v>65.23</v>
      </c>
      <c r="AB423" s="73">
        <f>Z423+AA423</f>
        <v/>
      </c>
      <c r="AC423" s="74">
        <f>IF(OR(E423="",E423=0,AB423=""),"",E423*365/(AB423*1000000))</f>
        <v/>
      </c>
      <c r="AD423" s="98">
        <f>IF(OR(O423="",O423=0,AB423=""),"",(AB423*1000000)/O423)</f>
        <v/>
      </c>
      <c r="AE423" s="99">
        <f>IF(H423="","",(Team_Genesis-H423)/1000000)</f>
        <v/>
      </c>
      <c r="AF423" s="99">
        <f>IF(OR(O423="",AE423=""),"",(O423-AE423*1000000)/1000000)</f>
        <v/>
      </c>
    </row>
    <row r="424">
      <c r="A424" s="35" t="n">
        <v>46078</v>
      </c>
      <c r="B424" s="90">
        <f>IF('Daily Data'!E424="","",'Daily Data'!E424)</f>
        <v/>
      </c>
      <c r="C424" s="65" t="n">
        <v>27.26</v>
      </c>
      <c r="D424" s="94" t="n">
        <v>73876</v>
      </c>
      <c r="E424" s="94" t="n">
        <v>26474.0927</v>
      </c>
      <c r="F424" s="94" t="n">
        <v>295.225</v>
      </c>
      <c r="G424" s="94" t="n"/>
      <c r="H424" s="95">
        <f>SUM($G$4:G424)</f>
        <v/>
      </c>
      <c r="I424" s="94" t="n">
        <v>1000000000</v>
      </c>
      <c r="J424" s="95">
        <f>J423-E424</f>
        <v/>
      </c>
      <c r="K424" s="94" t="n">
        <v>60000000</v>
      </c>
      <c r="L424" s="94" t="n">
        <v>41351763.56255512</v>
      </c>
      <c r="M424" s="94" t="n">
        <v>3000000</v>
      </c>
      <c r="N424" s="94" t="n">
        <v>701909.5606000423</v>
      </c>
      <c r="O424" s="96">
        <f>IF(OR(I424="",J424="",L424="",N424=""),"",I424-J424-K424-L424-M424-N424)</f>
        <v/>
      </c>
      <c r="P424" s="91">
        <f>IF(OR(O424="",C424=""),"",O424*C424)</f>
        <v/>
      </c>
      <c r="Q424" s="69">
        <f>Q423-E424</f>
        <v/>
      </c>
      <c r="R424" s="97">
        <f>IF(OR(J424="",Q424=""),"",J424-Q424)</f>
        <v/>
      </c>
      <c r="S424" s="69">
        <f>IF(D424="",S423,S423+D424)</f>
        <v/>
      </c>
      <c r="T424" s="97">
        <f>IF(OR(L424="",S424=""),"",L424-S424)</f>
        <v/>
      </c>
      <c r="U424" s="69">
        <f>IF(F424="",U423,U423+F424)</f>
        <v/>
      </c>
      <c r="V424" s="97">
        <f>IF(OR(N424="",U424=""),"",N424-U424)</f>
        <v/>
      </c>
      <c r="W424" s="71">
        <f>IF(OR(C424="",C424=0,'Daily Data'!J424=""),"",'Daily Data'!J424/C424)</f>
        <v/>
      </c>
      <c r="X424" s="71">
        <f>IF(OR(C424="",C424=0,'Daily Data'!K424=""),"",'Daily Data'!K424/C424)</f>
        <v/>
      </c>
      <c r="Y424" s="71">
        <f>IF(OR(F424="",W424="",X424=""),"",F424-W424-X424)</f>
        <v/>
      </c>
      <c r="Z424" s="72" t="n">
        <v>369.61</v>
      </c>
      <c r="AA424" s="72" t="n">
        <v>65.23</v>
      </c>
      <c r="AB424" s="73">
        <f>Z424+AA424</f>
        <v/>
      </c>
      <c r="AC424" s="74">
        <f>IF(OR(E424="",E424=0,AB424=""),"",E424*365/(AB424*1000000))</f>
        <v/>
      </c>
      <c r="AD424" s="98">
        <f>IF(OR(O424="",O424=0,AB424=""),"",(AB424*1000000)/O424)</f>
        <v/>
      </c>
      <c r="AE424" s="99">
        <f>IF(H424="","",(Team_Genesis-H424)/1000000)</f>
        <v/>
      </c>
      <c r="AF424" s="99">
        <f>IF(OR(O424="",AE424=""),"",(O424-AE424*1000000)/1000000)</f>
        <v/>
      </c>
    </row>
    <row r="425">
      <c r="A425" s="35" t="n">
        <v>46079</v>
      </c>
      <c r="B425" s="90">
        <f>IF('Daily Data'!E425="","",'Daily Data'!E425)</f>
        <v/>
      </c>
      <c r="C425" s="65" t="n">
        <v>28.16</v>
      </c>
      <c r="D425" s="94" t="n">
        <v>48734.85</v>
      </c>
      <c r="E425" s="94" t="n">
        <v>26479.4029</v>
      </c>
      <c r="F425" s="94" t="n">
        <v>1540.2927</v>
      </c>
      <c r="G425" s="94" t="n"/>
      <c r="H425" s="95">
        <f>SUM($G$4:G425)</f>
        <v/>
      </c>
      <c r="I425" s="94" t="n">
        <v>1000000000</v>
      </c>
      <c r="J425" s="95">
        <f>J424-E425</f>
        <v/>
      </c>
      <c r="K425" s="94" t="n">
        <v>60000000</v>
      </c>
      <c r="L425" s="94" t="n">
        <v>41399624.50255512</v>
      </c>
      <c r="M425" s="94" t="n">
        <v>3000000</v>
      </c>
      <c r="N425" s="94" t="n">
        <v>703449.8532999754</v>
      </c>
      <c r="O425" s="96">
        <f>IF(OR(I425="",J425="",L425="",N425=""),"",I425-J425-K425-L425-M425-N425)</f>
        <v/>
      </c>
      <c r="P425" s="91">
        <f>IF(OR(O425="",C425=""),"",O425*C425)</f>
        <v/>
      </c>
      <c r="Q425" s="69">
        <f>Q424-E425</f>
        <v/>
      </c>
      <c r="R425" s="97">
        <f>IF(OR(J425="",Q425=""),"",J425-Q425)</f>
        <v/>
      </c>
      <c r="S425" s="69">
        <f>IF(D425="",S424,S424+D425)</f>
        <v/>
      </c>
      <c r="T425" s="97">
        <f>IF(OR(L425="",S425=""),"",L425-S425)</f>
        <v/>
      </c>
      <c r="U425" s="69">
        <f>IF(F425="",U424,U424+F425)</f>
        <v/>
      </c>
      <c r="V425" s="97">
        <f>IF(OR(N425="",U425=""),"",N425-U425)</f>
        <v/>
      </c>
      <c r="W425" s="71">
        <f>IF(OR(C425="",C425=0,'Daily Data'!J425=""),"",'Daily Data'!J425/C425)</f>
        <v/>
      </c>
      <c r="X425" s="71">
        <f>IF(OR(C425="",C425=0,'Daily Data'!K425=""),"",'Daily Data'!K425/C425)</f>
        <v/>
      </c>
      <c r="Y425" s="71">
        <f>IF(OR(F425="",W425="",X425=""),"",F425-W425-X425)</f>
        <v/>
      </c>
      <c r="Z425" s="72" t="n">
        <v>369.61</v>
      </c>
      <c r="AA425" s="72" t="n">
        <v>65.23</v>
      </c>
      <c r="AB425" s="73">
        <f>Z425+AA425</f>
        <v/>
      </c>
      <c r="AC425" s="74">
        <f>IF(OR(E425="",E425=0,AB425=""),"",E425*365/(AB425*1000000))</f>
        <v/>
      </c>
      <c r="AD425" s="98">
        <f>IF(OR(O425="",O425=0,AB425=""),"",(AB425*1000000)/O425)</f>
        <v/>
      </c>
      <c r="AE425" s="99">
        <f>IF(H425="","",(Team_Genesis-H425)/1000000)</f>
        <v/>
      </c>
      <c r="AF425" s="99">
        <f>IF(OR(O425="",AE425=""),"",(O425-AE425*1000000)/1000000)</f>
        <v/>
      </c>
    </row>
    <row r="426">
      <c r="A426" s="35" t="n">
        <v>46080</v>
      </c>
      <c r="B426" s="90">
        <f>IF('Daily Data'!E426="","",'Daily Data'!E426)</f>
        <v/>
      </c>
      <c r="C426" s="65" t="n">
        <v>28.13</v>
      </c>
      <c r="D426" s="94" t="n">
        <v>43891.24</v>
      </c>
      <c r="E426" s="94" t="n">
        <v>26477.5351</v>
      </c>
      <c r="F426" s="94" t="n">
        <v>942.6275000000001</v>
      </c>
      <c r="G426" s="94" t="n"/>
      <c r="H426" s="95">
        <f>SUM($G$4:G426)</f>
        <v/>
      </c>
      <c r="I426" s="94" t="n">
        <v>1000000000</v>
      </c>
      <c r="J426" s="95">
        <f>J425-E426</f>
        <v/>
      </c>
      <c r="K426" s="94" t="n">
        <v>60000000</v>
      </c>
      <c r="L426" s="94" t="n">
        <v>41442853.14255512</v>
      </c>
      <c r="M426" s="94" t="n">
        <v>3000000</v>
      </c>
      <c r="N426" s="94" t="n">
        <v>704392.4808000326</v>
      </c>
      <c r="O426" s="96">
        <f>IF(OR(I426="",J426="",L426="",N426=""),"",I426-J426-K426-L426-M426-N426)</f>
        <v/>
      </c>
      <c r="P426" s="91">
        <f>IF(OR(O426="",C426=""),"",O426*C426)</f>
        <v/>
      </c>
      <c r="Q426" s="69">
        <f>Q425-E426</f>
        <v/>
      </c>
      <c r="R426" s="97">
        <f>IF(OR(J426="",Q426=""),"",J426-Q426)</f>
        <v/>
      </c>
      <c r="S426" s="69">
        <f>IF(D426="",S425,S425+D426)</f>
        <v/>
      </c>
      <c r="T426" s="97">
        <f>IF(OR(L426="",S426=""),"",L426-S426)</f>
        <v/>
      </c>
      <c r="U426" s="69">
        <f>IF(F426="",U425,U425+F426)</f>
        <v/>
      </c>
      <c r="V426" s="97">
        <f>IF(OR(N426="",U426=""),"",N426-U426)</f>
        <v/>
      </c>
      <c r="W426" s="71">
        <f>IF(OR(C426="",C426=0,'Daily Data'!J426=""),"",'Daily Data'!J426/C426)</f>
        <v/>
      </c>
      <c r="X426" s="71">
        <f>IF(OR(C426="",C426=0,'Daily Data'!K426=""),"",'Daily Data'!K426/C426)</f>
        <v/>
      </c>
      <c r="Y426" s="71">
        <f>IF(OR(F426="",W426="",X426=""),"",F426-W426-X426)</f>
        <v/>
      </c>
      <c r="Z426" s="72" t="n">
        <v>369.61</v>
      </c>
      <c r="AA426" s="72" t="n">
        <v>65.23</v>
      </c>
      <c r="AB426" s="73">
        <f>Z426+AA426</f>
        <v/>
      </c>
      <c r="AC426" s="74">
        <f>IF(OR(E426="",E426=0,AB426=""),"",E426*365/(AB426*1000000))</f>
        <v/>
      </c>
      <c r="AD426" s="98">
        <f>IF(OR(O426="",O426=0,AB426=""),"",(AB426*1000000)/O426)</f>
        <v/>
      </c>
      <c r="AE426" s="99">
        <f>IF(H426="","",(Team_Genesis-H426)/1000000)</f>
        <v/>
      </c>
      <c r="AF426" s="99">
        <f>IF(OR(O426="",AE426=""),"",(O426-AE426*1000000)/1000000)</f>
        <v/>
      </c>
    </row>
    <row r="427">
      <c r="A427" s="35" t="n">
        <v>46081</v>
      </c>
      <c r="B427" s="90">
        <f>IF('Daily Data'!E427="","",'Daily Data'!E427)</f>
        <v/>
      </c>
      <c r="C427" s="65" t="n">
        <v>27.36</v>
      </c>
      <c r="D427" s="94" t="n">
        <v>64310.67</v>
      </c>
      <c r="E427" s="94" t="n">
        <v>26484.8512</v>
      </c>
      <c r="F427" s="94" t="n">
        <v>944.5691</v>
      </c>
      <c r="G427" s="94" t="n"/>
      <c r="H427" s="95">
        <f>SUM($G$4:G427)</f>
        <v/>
      </c>
      <c r="I427" s="94" t="n">
        <v>1000000000</v>
      </c>
      <c r="J427" s="95">
        <f>J426-E427</f>
        <v/>
      </c>
      <c r="K427" s="94" t="n">
        <v>60000000</v>
      </c>
      <c r="L427" s="94" t="n">
        <v>41510423.48255512</v>
      </c>
      <c r="M427" s="94" t="n">
        <v>3000000</v>
      </c>
      <c r="N427" s="94" t="n">
        <v>705337.0499000549</v>
      </c>
      <c r="O427" s="96">
        <f>IF(OR(I427="",J427="",L427="",N427=""),"",I427-J427-K427-L427-M427-N427)</f>
        <v/>
      </c>
      <c r="P427" s="91">
        <f>IF(OR(O427="",C427=""),"",O427*C427)</f>
        <v/>
      </c>
      <c r="Q427" s="69">
        <f>Q426-E427</f>
        <v/>
      </c>
      <c r="R427" s="97">
        <f>IF(OR(J427="",Q427=""),"",J427-Q427)</f>
        <v/>
      </c>
      <c r="S427" s="69">
        <f>IF(D427="",S426,S426+D427)</f>
        <v/>
      </c>
      <c r="T427" s="97">
        <f>IF(OR(L427="",S427=""),"",L427-S427)</f>
        <v/>
      </c>
      <c r="U427" s="69">
        <f>IF(F427="",U426,U426+F427)</f>
        <v/>
      </c>
      <c r="V427" s="97">
        <f>IF(OR(N427="",U427=""),"",N427-U427)</f>
        <v/>
      </c>
      <c r="W427" s="71">
        <f>IF(OR(C427="",C427=0,'Daily Data'!J427=""),"",'Daily Data'!J427/C427)</f>
        <v/>
      </c>
      <c r="X427" s="71">
        <f>IF(OR(C427="",C427=0,'Daily Data'!K427=""),"",'Daily Data'!K427/C427)</f>
        <v/>
      </c>
      <c r="Y427" s="71">
        <f>IF(OR(F427="",W427="",X427=""),"",F427-W427-X427)</f>
        <v/>
      </c>
      <c r="Z427" s="72" t="n">
        <v>369.61</v>
      </c>
      <c r="AA427" s="72" t="n">
        <v>65.23</v>
      </c>
      <c r="AB427" s="73">
        <f>Z427+AA427</f>
        <v/>
      </c>
      <c r="AC427" s="74">
        <f>IF(OR(E427="",E427=0,AB427=""),"",E427*365/(AB427*1000000))</f>
        <v/>
      </c>
      <c r="AD427" s="98">
        <f>IF(OR(O427="",O427=0,AB427=""),"",(AB427*1000000)/O427)</f>
        <v/>
      </c>
      <c r="AE427" s="99">
        <f>IF(H427="","",(Team_Genesis-H427)/1000000)</f>
        <v/>
      </c>
      <c r="AF427" s="99">
        <f>IF(OR(O427="",AE427=""),"",(O427-AE427*1000000)/1000000)</f>
        <v/>
      </c>
    </row>
    <row r="428">
      <c r="A428" s="35" t="n">
        <v>46082</v>
      </c>
      <c r="B428" s="90">
        <f>IF('Daily Data'!E428="","",'Daily Data'!E428)</f>
        <v/>
      </c>
      <c r="C428" s="65" t="n">
        <v>30.89</v>
      </c>
      <c r="D428" s="94" t="n">
        <v>48978.8</v>
      </c>
      <c r="E428" s="94" t="n">
        <v>26501.2141</v>
      </c>
      <c r="F428" s="94" t="n">
        <v>1317.0529</v>
      </c>
      <c r="G428" s="94" t="n"/>
      <c r="H428" s="95">
        <f>SUM($G$4:G428)</f>
        <v/>
      </c>
      <c r="I428" s="94" t="n">
        <v>1000000000</v>
      </c>
      <c r="J428" s="95">
        <f>J427-E428</f>
        <v/>
      </c>
      <c r="K428" s="94" t="n">
        <v>60000000</v>
      </c>
      <c r="L428" s="94" t="n">
        <v>41556617.11255512</v>
      </c>
      <c r="M428" s="94" t="n">
        <v>3000000</v>
      </c>
      <c r="N428" s="94" t="n">
        <v>706654.1028000116</v>
      </c>
      <c r="O428" s="96">
        <f>IF(OR(I428="",J428="",L428="",N428=""),"",I428-J428-K428-L428-M428-N428)</f>
        <v/>
      </c>
      <c r="P428" s="91">
        <f>IF(OR(O428="",C428=""),"",O428*C428)</f>
        <v/>
      </c>
      <c r="Q428" s="69">
        <f>Q427-E428</f>
        <v/>
      </c>
      <c r="R428" s="97">
        <f>IF(OR(J428="",Q428=""),"",J428-Q428)</f>
        <v/>
      </c>
      <c r="S428" s="69">
        <f>IF(D428="",S427,S427+D428)</f>
        <v/>
      </c>
      <c r="T428" s="97">
        <f>IF(OR(L428="",S428=""),"",L428-S428)</f>
        <v/>
      </c>
      <c r="U428" s="69">
        <f>IF(F428="",U427,U427+F428)</f>
        <v/>
      </c>
      <c r="V428" s="97">
        <f>IF(OR(N428="",U428=""),"",N428-U428)</f>
        <v/>
      </c>
      <c r="W428" s="71">
        <f>IF(OR(C428="",C428=0,'Daily Data'!J428=""),"",'Daily Data'!J428/C428)</f>
        <v/>
      </c>
      <c r="X428" s="71">
        <f>IF(OR(C428="",C428=0,'Daily Data'!K428=""),"",'Daily Data'!K428/C428)</f>
        <v/>
      </c>
      <c r="Y428" s="71">
        <f>IF(OR(F428="",W428="",X428=""),"",F428-W428-X428)</f>
        <v/>
      </c>
      <c r="Z428" s="72" t="n">
        <v>369.48</v>
      </c>
      <c r="AA428" s="72" t="n">
        <v>65.2</v>
      </c>
      <c r="AB428" s="73">
        <f>Z428+AA428</f>
        <v/>
      </c>
      <c r="AC428" s="74">
        <f>IF(OR(E428="",E428=0,AB428=""),"",E428*365/(AB428*1000000))</f>
        <v/>
      </c>
      <c r="AD428" s="98">
        <f>IF(OR(O428="",O428=0,AB428=""),"",(AB428*1000000)/O428)</f>
        <v/>
      </c>
      <c r="AE428" s="99">
        <f>IF(H428="","",(Team_Genesis-H428)/1000000)</f>
        <v/>
      </c>
      <c r="AF428" s="99">
        <f>IF(OR(O428="",AE428=""),"",(O428-AE428*1000000)/1000000)</f>
        <v/>
      </c>
    </row>
    <row r="429">
      <c r="A429" s="35" t="n">
        <v>46083</v>
      </c>
      <c r="B429" s="90">
        <f>IF('Daily Data'!E429="","",'Daily Data'!E429)</f>
        <v/>
      </c>
      <c r="C429" s="65" t="n">
        <v>32.58</v>
      </c>
      <c r="D429" s="94" t="n">
        <v>60737.14</v>
      </c>
      <c r="E429" s="94" t="n">
        <v>26486.9061</v>
      </c>
      <c r="F429" s="94" t="n">
        <v>452.1227</v>
      </c>
      <c r="G429" s="94" t="n"/>
      <c r="H429" s="95">
        <f>SUM($G$4:G429)</f>
        <v/>
      </c>
      <c r="I429" s="94" t="n">
        <v>1000000000</v>
      </c>
      <c r="J429" s="95">
        <f>J428-E429</f>
        <v/>
      </c>
      <c r="K429" s="94" t="n">
        <v>60000000</v>
      </c>
      <c r="L429" s="94" t="n">
        <v>41617798.21255512</v>
      </c>
      <c r="M429" s="94" t="n">
        <v>3000000</v>
      </c>
      <c r="N429" s="94" t="n">
        <v>707106.2254999876</v>
      </c>
      <c r="O429" s="96">
        <f>IF(OR(I429="",J429="",L429="",N429=""),"",I429-J429-K429-L429-M429-N429)</f>
        <v/>
      </c>
      <c r="P429" s="91">
        <f>IF(OR(O429="",C429=""),"",O429*C429)</f>
        <v/>
      </c>
      <c r="Q429" s="69">
        <f>Q428-E429</f>
        <v/>
      </c>
      <c r="R429" s="97">
        <f>IF(OR(J429="",Q429=""),"",J429-Q429)</f>
        <v/>
      </c>
      <c r="S429" s="69">
        <f>IF(D429="",S428,S428+D429)</f>
        <v/>
      </c>
      <c r="T429" s="97">
        <f>IF(OR(L429="",S429=""),"",L429-S429)</f>
        <v/>
      </c>
      <c r="U429" s="69">
        <f>IF(F429="",U428,U428+F429)</f>
        <v/>
      </c>
      <c r="V429" s="97">
        <f>IF(OR(N429="",U429=""),"",N429-U429)</f>
        <v/>
      </c>
      <c r="W429" s="71">
        <f>IF(OR(C429="",C429=0,'Daily Data'!J429=""),"",'Daily Data'!J429/C429)</f>
        <v/>
      </c>
      <c r="X429" s="71">
        <f>IF(OR(C429="",C429=0,'Daily Data'!K429=""),"",'Daily Data'!K429/C429)</f>
        <v/>
      </c>
      <c r="Y429" s="71">
        <f>IF(OR(F429="",W429="",X429=""),"",F429-W429-X429)</f>
        <v/>
      </c>
      <c r="Z429" s="72" t="n">
        <v>369.48</v>
      </c>
      <c r="AA429" s="72" t="n">
        <v>65.2</v>
      </c>
      <c r="AB429" s="73">
        <f>Z429+AA429</f>
        <v/>
      </c>
      <c r="AC429" s="74">
        <f>IF(OR(E429="",E429=0,AB429=""),"",E429*365/(AB429*1000000))</f>
        <v/>
      </c>
      <c r="AD429" s="98">
        <f>IF(OR(O429="",O429=0,AB429=""),"",(AB429*1000000)/O429)</f>
        <v/>
      </c>
      <c r="AE429" s="99">
        <f>IF(H429="","",(Team_Genesis-H429)/1000000)</f>
        <v/>
      </c>
      <c r="AF429" s="99">
        <f>IF(OR(O429="",AE429=""),"",(O429-AE429*1000000)/1000000)</f>
        <v/>
      </c>
    </row>
    <row r="430">
      <c r="A430" s="35" t="n">
        <v>46084</v>
      </c>
      <c r="B430" s="90">
        <f>IF('Daily Data'!E430="","",'Daily Data'!E430)</f>
        <v/>
      </c>
      <c r="C430" s="65" t="n">
        <v>32.36</v>
      </c>
      <c r="D430" s="94" t="n">
        <v>61086.15</v>
      </c>
      <c r="E430" s="94" t="n">
        <v>26494.6815</v>
      </c>
      <c r="F430" s="94" t="n">
        <v>1275.1256</v>
      </c>
      <c r="G430" s="94" t="n"/>
      <c r="H430" s="95">
        <f>SUM($G$4:G430)</f>
        <v/>
      </c>
      <c r="I430" s="94" t="n">
        <v>1000000000</v>
      </c>
      <c r="J430" s="95">
        <f>J429-E430</f>
        <v/>
      </c>
      <c r="K430" s="94" t="n">
        <v>60000000</v>
      </c>
      <c r="L430" s="94" t="n">
        <v>41678676.45255512</v>
      </c>
      <c r="M430" s="94" t="n">
        <v>3000000</v>
      </c>
      <c r="N430" s="94" t="n">
        <v>708381.351099968</v>
      </c>
      <c r="O430" s="96">
        <f>IF(OR(I430="",J430="",L430="",N430=""),"",I430-J430-K430-L430-M430-N430)</f>
        <v/>
      </c>
      <c r="P430" s="91">
        <f>IF(OR(O430="",C430=""),"",O430*C430)</f>
        <v/>
      </c>
      <c r="Q430" s="69">
        <f>Q429-E430</f>
        <v/>
      </c>
      <c r="R430" s="97">
        <f>IF(OR(J430="",Q430=""),"",J430-Q430)</f>
        <v/>
      </c>
      <c r="S430" s="69">
        <f>IF(D430="",S429,S429+D430)</f>
        <v/>
      </c>
      <c r="T430" s="97">
        <f>IF(OR(L430="",S430=""),"",L430-S430)</f>
        <v/>
      </c>
      <c r="U430" s="69">
        <f>IF(F430="",U429,U429+F430)</f>
        <v/>
      </c>
      <c r="V430" s="97">
        <f>IF(OR(N430="",U430=""),"",N430-U430)</f>
        <v/>
      </c>
      <c r="W430" s="71">
        <f>IF(OR(C430="",C430=0,'Daily Data'!J430=""),"",'Daily Data'!J430/C430)</f>
        <v/>
      </c>
      <c r="X430" s="71">
        <f>IF(OR(C430="",C430=0,'Daily Data'!K430=""),"",'Daily Data'!K430/C430)</f>
        <v/>
      </c>
      <c r="Y430" s="71">
        <f>IF(OR(F430="",W430="",X430=""),"",F430-W430-X430)</f>
        <v/>
      </c>
      <c r="Z430" s="72" t="n">
        <v>369.48</v>
      </c>
      <c r="AA430" s="72" t="n">
        <v>65.2</v>
      </c>
      <c r="AB430" s="73">
        <f>Z430+AA430</f>
        <v/>
      </c>
      <c r="AC430" s="74">
        <f>IF(OR(E430="",E430=0,AB430=""),"",E430*365/(AB430*1000000))</f>
        <v/>
      </c>
      <c r="AD430" s="98">
        <f>IF(OR(O430="",O430=0,AB430=""),"",(AB430*1000000)/O430)</f>
        <v/>
      </c>
      <c r="AE430" s="99">
        <f>IF(H430="","",(Team_Genesis-H430)/1000000)</f>
        <v/>
      </c>
      <c r="AF430" s="99">
        <f>IF(OR(O430="",AE430=""),"",(O430-AE430*1000000)/1000000)</f>
        <v/>
      </c>
    </row>
    <row r="431">
      <c r="A431" s="35" t="n">
        <v>46085</v>
      </c>
      <c r="B431" s="90">
        <f>IF('Daily Data'!E431="","",'Daily Data'!E431)</f>
        <v/>
      </c>
      <c r="C431" s="65" t="n">
        <v>31.43</v>
      </c>
      <c r="D431" s="94" t="n">
        <v>72184.46000000001</v>
      </c>
      <c r="E431" s="94" t="n">
        <v>26499.3397</v>
      </c>
      <c r="F431" s="94" t="n">
        <v>1026.5822</v>
      </c>
      <c r="G431" s="94" t="n"/>
      <c r="H431" s="95">
        <f>SUM($G$4:G431)</f>
        <v/>
      </c>
      <c r="I431" s="94" t="n">
        <v>1000000000</v>
      </c>
      <c r="J431" s="95">
        <f>J430-E431</f>
        <v/>
      </c>
      <c r="K431" s="94" t="n">
        <v>60000000</v>
      </c>
      <c r="L431" s="94" t="n">
        <v>41752866.62255512</v>
      </c>
      <c r="M431" s="94" t="n">
        <v>3000000</v>
      </c>
      <c r="N431" s="94" t="n">
        <v>709407.9332000017</v>
      </c>
      <c r="O431" s="96">
        <f>IF(OR(I431="",J431="",L431="",N431=""),"",I431-J431-K431-L431-M431-N431)</f>
        <v/>
      </c>
      <c r="P431" s="91">
        <f>IF(OR(O431="",C431=""),"",O431*C431)</f>
        <v/>
      </c>
      <c r="Q431" s="69">
        <f>Q430-E431</f>
        <v/>
      </c>
      <c r="R431" s="97">
        <f>IF(OR(J431="",Q431=""),"",J431-Q431)</f>
        <v/>
      </c>
      <c r="S431" s="69">
        <f>IF(D431="",S430,S430+D431)</f>
        <v/>
      </c>
      <c r="T431" s="97">
        <f>IF(OR(L431="",S431=""),"",L431-S431)</f>
        <v/>
      </c>
      <c r="U431" s="69">
        <f>IF(F431="",U430,U430+F431)</f>
        <v/>
      </c>
      <c r="V431" s="97">
        <f>IF(OR(N431="",U431=""),"",N431-U431)</f>
        <v/>
      </c>
      <c r="W431" s="71">
        <f>IF(OR(C431="",C431=0,'Daily Data'!J431=""),"",'Daily Data'!J431/C431)</f>
        <v/>
      </c>
      <c r="X431" s="71">
        <f>IF(OR(C431="",C431=0,'Daily Data'!K431=""),"",'Daily Data'!K431/C431)</f>
        <v/>
      </c>
      <c r="Y431" s="71">
        <f>IF(OR(F431="",W431="",X431=""),"",F431-W431-X431)</f>
        <v/>
      </c>
      <c r="Z431" s="72" t="n">
        <v>369.48</v>
      </c>
      <c r="AA431" s="72" t="n">
        <v>65.2</v>
      </c>
      <c r="AB431" s="73">
        <f>Z431+AA431</f>
        <v/>
      </c>
      <c r="AC431" s="74">
        <f>IF(OR(E431="",E431=0,AB431=""),"",E431*365/(AB431*1000000))</f>
        <v/>
      </c>
      <c r="AD431" s="98">
        <f>IF(OR(O431="",O431=0,AB431=""),"",(AB431*1000000)/O431)</f>
        <v/>
      </c>
      <c r="AE431" s="99">
        <f>IF(H431="","",(Team_Genesis-H431)/1000000)</f>
        <v/>
      </c>
      <c r="AF431" s="99">
        <f>IF(OR(O431="",AE431=""),"",(O431-AE431*1000000)/1000000)</f>
        <v/>
      </c>
    </row>
    <row r="432">
      <c r="A432" s="35" t="n">
        <v>46086</v>
      </c>
      <c r="B432" s="90">
        <f>IF('Daily Data'!E432="","",'Daily Data'!E432)</f>
        <v/>
      </c>
      <c r="C432" s="65" t="n">
        <v>32.08</v>
      </c>
      <c r="D432" s="94" t="n">
        <v>53765.04</v>
      </c>
      <c r="E432" s="94" t="n">
        <v>26504.5709</v>
      </c>
      <c r="F432" s="94" t="n">
        <v>1153.7756</v>
      </c>
      <c r="G432" s="94" t="n"/>
      <c r="H432" s="95">
        <f>SUM($G$4:G432)</f>
        <v/>
      </c>
      <c r="I432" s="94" t="n">
        <v>1000000000</v>
      </c>
      <c r="J432" s="95">
        <f>J431-E432</f>
        <v/>
      </c>
      <c r="K432" s="94" t="n">
        <v>60000000</v>
      </c>
      <c r="L432" s="94" t="n">
        <v>41804260.86255512</v>
      </c>
      <c r="M432" s="94" t="n">
        <v>3000000</v>
      </c>
      <c r="N432" s="94" t="n">
        <v>710561.7087999582</v>
      </c>
      <c r="O432" s="96">
        <f>IF(OR(I432="",J432="",L432="",N432=""),"",I432-J432-K432-L432-M432-N432)</f>
        <v/>
      </c>
      <c r="P432" s="91">
        <f>IF(OR(O432="",C432=""),"",O432*C432)</f>
        <v/>
      </c>
      <c r="Q432" s="69">
        <f>Q431-E432</f>
        <v/>
      </c>
      <c r="R432" s="97">
        <f>IF(OR(J432="",Q432=""),"",J432-Q432)</f>
        <v/>
      </c>
      <c r="S432" s="69">
        <f>IF(D432="",S431,S431+D432)</f>
        <v/>
      </c>
      <c r="T432" s="97">
        <f>IF(OR(L432="",S432=""),"",L432-S432)</f>
        <v/>
      </c>
      <c r="U432" s="69">
        <f>IF(F432="",U431,U431+F432)</f>
        <v/>
      </c>
      <c r="V432" s="97">
        <f>IF(OR(N432="",U432=""),"",N432-U432)</f>
        <v/>
      </c>
      <c r="W432" s="71">
        <f>IF(OR(C432="",C432=0,'Daily Data'!J432=""),"",'Daily Data'!J432/C432)</f>
        <v/>
      </c>
      <c r="X432" s="71">
        <f>IF(OR(C432="",C432=0,'Daily Data'!K432=""),"",'Daily Data'!K432/C432)</f>
        <v/>
      </c>
      <c r="Y432" s="71">
        <f>IF(OR(F432="",W432="",X432=""),"",F432-W432-X432)</f>
        <v/>
      </c>
      <c r="Z432" s="72" t="n">
        <v>369.48</v>
      </c>
      <c r="AA432" s="72" t="n">
        <v>65.2</v>
      </c>
      <c r="AB432" s="73">
        <f>Z432+AA432</f>
        <v/>
      </c>
      <c r="AC432" s="74">
        <f>IF(OR(E432="",E432=0,AB432=""),"",E432*365/(AB432*1000000))</f>
        <v/>
      </c>
      <c r="AD432" s="98">
        <f>IF(OR(O432="",O432=0,AB432=""),"",(AB432*1000000)/O432)</f>
        <v/>
      </c>
      <c r="AE432" s="99">
        <f>IF(H432="","",(Team_Genesis-H432)/1000000)</f>
        <v/>
      </c>
      <c r="AF432" s="99">
        <f>IF(OR(O432="",AE432=""),"",(O432-AE432*1000000)/1000000)</f>
        <v/>
      </c>
    </row>
    <row r="433">
      <c r="A433" s="35" t="n">
        <v>46087</v>
      </c>
      <c r="B433" s="90">
        <f>IF('Daily Data'!E433="","",'Daily Data'!E433)</f>
        <v/>
      </c>
      <c r="C433" s="65" t="n">
        <v>30.54</v>
      </c>
      <c r="D433" s="94" t="n">
        <v>60658.81</v>
      </c>
      <c r="E433" s="94" t="n">
        <v>26356.9344</v>
      </c>
      <c r="F433" s="94" t="n">
        <v>1343.8283</v>
      </c>
      <c r="G433" s="94" t="n">
        <v>173217</v>
      </c>
      <c r="H433" s="95">
        <f>SUM($G$4:G433)</f>
        <v/>
      </c>
      <c r="I433" s="94" t="n">
        <v>1000000000</v>
      </c>
      <c r="J433" s="95">
        <f>J432-E433</f>
        <v/>
      </c>
      <c r="K433" s="94" t="n">
        <v>60000000</v>
      </c>
      <c r="L433" s="94" t="n">
        <v>41865293.19255512</v>
      </c>
      <c r="M433" s="94" t="n">
        <v>3000000</v>
      </c>
      <c r="N433" s="94" t="n">
        <v>711905.5370999575</v>
      </c>
      <c r="O433" s="96">
        <f>IF(OR(I433="",J433="",L433="",N433=""),"",I433-J433-K433-L433-M433-N433)</f>
        <v/>
      </c>
      <c r="P433" s="91">
        <f>IF(OR(O433="",C433=""),"",O433*C433)</f>
        <v/>
      </c>
      <c r="Q433" s="69">
        <f>Q432-E433</f>
        <v/>
      </c>
      <c r="R433" s="97">
        <f>IF(OR(J433="",Q433=""),"",J433-Q433)</f>
        <v/>
      </c>
      <c r="S433" s="69">
        <f>IF(D433="",S432,S432+D433)</f>
        <v/>
      </c>
      <c r="T433" s="97">
        <f>IF(OR(L433="",S433=""),"",L433-S433)</f>
        <v/>
      </c>
      <c r="U433" s="69">
        <f>IF(F433="",U432,U432+F433)</f>
        <v/>
      </c>
      <c r="V433" s="97">
        <f>IF(OR(N433="",U433=""),"",N433-U433)</f>
        <v/>
      </c>
      <c r="W433" s="71">
        <f>IF(OR(C433="",C433=0,'Daily Data'!J433=""),"",'Daily Data'!J433/C433)</f>
        <v/>
      </c>
      <c r="X433" s="71">
        <f>IF(OR(C433="",C433=0,'Daily Data'!K433=""),"",'Daily Data'!K433/C433)</f>
        <v/>
      </c>
      <c r="Y433" s="71">
        <f>IF(OR(F433="",W433="",X433=""),"",F433-W433-X433)</f>
        <v/>
      </c>
      <c r="Z433" s="72" t="n">
        <v>369.48</v>
      </c>
      <c r="AA433" s="72" t="n">
        <v>65.2</v>
      </c>
      <c r="AB433" s="73">
        <f>Z433+AA433</f>
        <v/>
      </c>
      <c r="AC433" s="74">
        <f>IF(OR(E433="",E433=0,AB433=""),"",E433*365/(AB433*1000000))</f>
        <v/>
      </c>
      <c r="AD433" s="98">
        <f>IF(OR(O433="",O433=0,AB433=""),"",(AB433*1000000)/O433)</f>
        <v/>
      </c>
      <c r="AE433" s="99">
        <f>IF(H433="","",(Team_Genesis-H433)/1000000)</f>
        <v/>
      </c>
      <c r="AF433" s="99">
        <f>IF(OR(O433="",AE433=""),"",(O433-AE433*1000000)/1000000)</f>
        <v/>
      </c>
    </row>
    <row r="434">
      <c r="A434" s="35" t="n">
        <v>46088</v>
      </c>
      <c r="B434" s="90">
        <f>IF('Daily Data'!E434="","",'Daily Data'!E434)</f>
        <v/>
      </c>
      <c r="C434" s="65" t="n">
        <v>30.93</v>
      </c>
      <c r="D434" s="94" t="n">
        <v>23407.54</v>
      </c>
      <c r="E434" s="94" t="n">
        <v>26487.1971</v>
      </c>
      <c r="F434" s="94" t="n">
        <v>340.9178</v>
      </c>
      <c r="G434" s="94" t="n"/>
      <c r="H434" s="95">
        <f>SUM($G$4:G434)</f>
        <v/>
      </c>
      <c r="I434" s="94" t="n">
        <v>1000000000</v>
      </c>
      <c r="J434" s="95">
        <f>J433-E434</f>
        <v/>
      </c>
      <c r="K434" s="94" t="n">
        <v>60000000</v>
      </c>
      <c r="L434" s="94" t="n">
        <v>41889416.39255512</v>
      </c>
      <c r="M434" s="94" t="n">
        <v>3000000</v>
      </c>
      <c r="N434" s="94" t="n">
        <v>712246.4548000097</v>
      </c>
      <c r="O434" s="96">
        <f>IF(OR(I434="",J434="",L434="",N434=""),"",I434-J434-K434-L434-M434-N434)</f>
        <v/>
      </c>
      <c r="P434" s="91">
        <f>IF(OR(O434="",C434=""),"",O434*C434)</f>
        <v/>
      </c>
      <c r="Q434" s="69">
        <f>Q433-E434</f>
        <v/>
      </c>
      <c r="R434" s="97">
        <f>IF(OR(J434="",Q434=""),"",J434-Q434)</f>
        <v/>
      </c>
      <c r="S434" s="69">
        <f>IF(D434="",S433,S433+D434)</f>
        <v/>
      </c>
      <c r="T434" s="97">
        <f>IF(OR(L434="",S434=""),"",L434-S434)</f>
        <v/>
      </c>
      <c r="U434" s="69">
        <f>IF(F434="",U433,U433+F434)</f>
        <v/>
      </c>
      <c r="V434" s="97">
        <f>IF(OR(N434="",U434=""),"",N434-U434)</f>
        <v/>
      </c>
      <c r="W434" s="71">
        <f>IF(OR(C434="",C434=0,'Daily Data'!J434=""),"",'Daily Data'!J434/C434)</f>
        <v/>
      </c>
      <c r="X434" s="71">
        <f>IF(OR(C434="",C434=0,'Daily Data'!K434=""),"",'Daily Data'!K434/C434)</f>
        <v/>
      </c>
      <c r="Y434" s="71">
        <f>IF(OR(F434="",W434="",X434=""),"",F434-W434-X434)</f>
        <v/>
      </c>
      <c r="Z434" s="72" t="n">
        <v>369.48</v>
      </c>
      <c r="AA434" s="72" t="n">
        <v>65.2</v>
      </c>
      <c r="AB434" s="73">
        <f>Z434+AA434</f>
        <v/>
      </c>
      <c r="AC434" s="74">
        <f>IF(OR(E434="",E434=0,AB434=""),"",E434*365/(AB434*1000000))</f>
        <v/>
      </c>
      <c r="AD434" s="98">
        <f>IF(OR(O434="",O434=0,AB434=""),"",(AB434*1000000)/O434)</f>
        <v/>
      </c>
      <c r="AE434" s="99">
        <f>IF(H434="","",(Team_Genesis-H434)/1000000)</f>
        <v/>
      </c>
      <c r="AF434" s="99">
        <f>IF(OR(O434="",AE434=""),"",(O434-AE434*1000000)/1000000)</f>
        <v/>
      </c>
    </row>
    <row r="435">
      <c r="A435" s="35" t="n">
        <v>46089</v>
      </c>
      <c r="B435" s="90">
        <f>IF('Daily Data'!E435="","",'Daily Data'!E435)</f>
        <v/>
      </c>
      <c r="C435" s="65" t="n">
        <v>30.14</v>
      </c>
      <c r="D435" s="94" t="n">
        <v>38591.87</v>
      </c>
      <c r="E435" s="94" t="n">
        <v>26503.372</v>
      </c>
      <c r="F435" s="94" t="n">
        <v>231.1789</v>
      </c>
      <c r="G435" s="94" t="n"/>
      <c r="H435" s="95">
        <f>SUM($G$4:G435)</f>
        <v/>
      </c>
      <c r="I435" s="94" t="n">
        <v>1000000000</v>
      </c>
      <c r="J435" s="95">
        <f>J434-E435</f>
        <v/>
      </c>
      <c r="K435" s="94" t="n">
        <v>60000000</v>
      </c>
      <c r="L435" s="94" t="n">
        <v>41927546.43255512</v>
      </c>
      <c r="M435" s="94" t="n">
        <v>3000000</v>
      </c>
      <c r="N435" s="94" t="n">
        <v>712477.6337000132</v>
      </c>
      <c r="O435" s="96">
        <f>IF(OR(I435="",J435="",L435="",N435=""),"",I435-J435-K435-L435-M435-N435)</f>
        <v/>
      </c>
      <c r="P435" s="91">
        <f>IF(OR(O435="",C435=""),"",O435*C435)</f>
        <v/>
      </c>
      <c r="Q435" s="69">
        <f>Q434-E435</f>
        <v/>
      </c>
      <c r="R435" s="97">
        <f>IF(OR(J435="",Q435=""),"",J435-Q435)</f>
        <v/>
      </c>
      <c r="S435" s="69">
        <f>IF(D435="",S434,S434+D435)</f>
        <v/>
      </c>
      <c r="T435" s="97">
        <f>IF(OR(L435="",S435=""),"",L435-S435)</f>
        <v/>
      </c>
      <c r="U435" s="69">
        <f>IF(F435="",U434,U434+F435)</f>
        <v/>
      </c>
      <c r="V435" s="97">
        <f>IF(OR(N435="",U435=""),"",N435-U435)</f>
        <v/>
      </c>
      <c r="W435" s="71">
        <f>IF(OR(C435="",C435=0,'Daily Data'!J435=""),"",'Daily Data'!J435/C435)</f>
        <v/>
      </c>
      <c r="X435" s="71">
        <f>IF(OR(C435="",C435=0,'Daily Data'!K435=""),"",'Daily Data'!K435/C435)</f>
        <v/>
      </c>
      <c r="Y435" s="71">
        <f>IF(OR(F435="",W435="",X435=""),"",F435-W435-X435)</f>
        <v/>
      </c>
      <c r="Z435" s="72" t="n">
        <v>369.48</v>
      </c>
      <c r="AA435" s="72" t="n">
        <v>65.2</v>
      </c>
      <c r="AB435" s="73">
        <f>Z435+AA435</f>
        <v/>
      </c>
      <c r="AC435" s="74">
        <f>IF(OR(E435="",E435=0,AB435=""),"",E435*365/(AB435*1000000))</f>
        <v/>
      </c>
      <c r="AD435" s="98">
        <f>IF(OR(O435="",O435=0,AB435=""),"",(AB435*1000000)/O435)</f>
        <v/>
      </c>
      <c r="AE435" s="99">
        <f>IF(H435="","",(Team_Genesis-H435)/1000000)</f>
        <v/>
      </c>
      <c r="AF435" s="99">
        <f>IF(OR(O435="",AE435=""),"",(O435-AE435*1000000)/1000000)</f>
        <v/>
      </c>
    </row>
    <row r="436">
      <c r="A436" s="35" t="n">
        <v>46090</v>
      </c>
      <c r="B436" s="90">
        <f>IF('Daily Data'!E436="","",'Daily Data'!E436)</f>
        <v/>
      </c>
      <c r="C436" s="65" t="n">
        <v>30.97</v>
      </c>
      <c r="D436" s="94" t="n">
        <v>59871.67</v>
      </c>
      <c r="E436" s="94" t="n">
        <v>26508.149</v>
      </c>
      <c r="F436" s="94" t="n">
        <v>697.6186</v>
      </c>
      <c r="G436" s="94" t="n"/>
      <c r="H436" s="95">
        <f>SUM($G$4:G436)</f>
        <v/>
      </c>
      <c r="I436" s="94" t="n">
        <v>1000000000</v>
      </c>
      <c r="J436" s="95">
        <f>J435-E436</f>
        <v/>
      </c>
      <c r="K436" s="94" t="n">
        <v>60000000</v>
      </c>
      <c r="L436" s="94" t="n">
        <v>41987626.60255512</v>
      </c>
      <c r="M436" s="94" t="n">
        <v>3000000</v>
      </c>
      <c r="N436" s="94" t="n">
        <v>713175.252300024</v>
      </c>
      <c r="O436" s="96">
        <f>IF(OR(I436="",J436="",L436="",N436=""),"",I436-J436-K436-L436-M436-N436)</f>
        <v/>
      </c>
      <c r="P436" s="91">
        <f>IF(OR(O436="",C436=""),"",O436*C436)</f>
        <v/>
      </c>
      <c r="Q436" s="69">
        <f>Q435-E436</f>
        <v/>
      </c>
      <c r="R436" s="97">
        <f>IF(OR(J436="",Q436=""),"",J436-Q436)</f>
        <v/>
      </c>
      <c r="S436" s="69">
        <f>IF(D436="",S435,S435+D436)</f>
        <v/>
      </c>
      <c r="T436" s="97">
        <f>IF(OR(L436="",S436=""),"",L436-S436)</f>
        <v/>
      </c>
      <c r="U436" s="69">
        <f>IF(F436="",U435,U435+F436)</f>
        <v/>
      </c>
      <c r="V436" s="97">
        <f>IF(OR(N436="",U436=""),"",N436-U436)</f>
        <v/>
      </c>
      <c r="W436" s="71">
        <f>IF(OR(C436="",C436=0,'Daily Data'!J436=""),"",'Daily Data'!J436/C436)</f>
        <v/>
      </c>
      <c r="X436" s="71">
        <f>IF(OR(C436="",C436=0,'Daily Data'!K436=""),"",'Daily Data'!K436/C436)</f>
        <v/>
      </c>
      <c r="Y436" s="71">
        <f>IF(OR(F436="",W436="",X436=""),"",F436-W436-X436)</f>
        <v/>
      </c>
      <c r="Z436" s="72" t="n">
        <v>369.48</v>
      </c>
      <c r="AA436" s="72" t="n">
        <v>65.2</v>
      </c>
      <c r="AB436" s="73">
        <f>Z436+AA436</f>
        <v/>
      </c>
      <c r="AC436" s="74">
        <f>IF(OR(E436="",E436=0,AB436=""),"",E436*365/(AB436*1000000))</f>
        <v/>
      </c>
      <c r="AD436" s="98">
        <f>IF(OR(O436="",O436=0,AB436=""),"",(AB436*1000000)/O436)</f>
        <v/>
      </c>
      <c r="AE436" s="99">
        <f>IF(H436="","",(Team_Genesis-H436)/1000000)</f>
        <v/>
      </c>
      <c r="AF436" s="99">
        <f>IF(OR(O436="",AE436=""),"",(O436-AE436*1000000)/1000000)</f>
        <v/>
      </c>
    </row>
    <row r="437">
      <c r="A437" s="35" t="n">
        <v>46091</v>
      </c>
      <c r="B437" s="90">
        <f>IF('Daily Data'!E437="","",'Daily Data'!E437)</f>
        <v/>
      </c>
      <c r="C437" s="65" t="n">
        <v>34.2</v>
      </c>
      <c r="D437" s="94" t="n">
        <v>47849.84</v>
      </c>
      <c r="E437" s="94" t="n">
        <v>26499.9421</v>
      </c>
      <c r="F437" s="94" t="n">
        <v>1303.5364</v>
      </c>
      <c r="G437" s="94" t="n"/>
      <c r="H437" s="95">
        <f>SUM($G$4:G437)</f>
        <v/>
      </c>
      <c r="I437" s="94" t="n">
        <v>1000000000</v>
      </c>
      <c r="J437" s="95">
        <f>J436-E437</f>
        <v/>
      </c>
      <c r="K437" s="94" t="n">
        <v>60000000</v>
      </c>
      <c r="L437" s="94" t="n">
        <v>42035734.44255512</v>
      </c>
      <c r="M437" s="94" t="n">
        <v>3000000</v>
      </c>
      <c r="N437" s="94" t="n">
        <v>714478.7886999846</v>
      </c>
      <c r="O437" s="96">
        <f>IF(OR(I437="",J437="",L437="",N437=""),"",I437-J437-K437-L437-M437-N437)</f>
        <v/>
      </c>
      <c r="P437" s="91">
        <f>IF(OR(O437="",C437=""),"",O437*C437)</f>
        <v/>
      </c>
      <c r="Q437" s="69">
        <f>Q436-E437</f>
        <v/>
      </c>
      <c r="R437" s="97">
        <f>IF(OR(J437="",Q437=""),"",J437-Q437)</f>
        <v/>
      </c>
      <c r="S437" s="69">
        <f>IF(D437="",S436,S436+D437)</f>
        <v/>
      </c>
      <c r="T437" s="97">
        <f>IF(OR(L437="",S437=""),"",L437-S437)</f>
        <v/>
      </c>
      <c r="U437" s="69">
        <f>IF(F437="",U436,U436+F437)</f>
        <v/>
      </c>
      <c r="V437" s="97">
        <f>IF(OR(N437="",U437=""),"",N437-U437)</f>
        <v/>
      </c>
      <c r="W437" s="71">
        <f>IF(OR(C437="",C437=0,'Daily Data'!J437=""),"",'Daily Data'!J437/C437)</f>
        <v/>
      </c>
      <c r="X437" s="71">
        <f>IF(OR(C437="",C437=0,'Daily Data'!K437=""),"",'Daily Data'!K437/C437)</f>
        <v/>
      </c>
      <c r="Y437" s="71">
        <f>IF(OR(F437="",W437="",X437=""),"",F437-W437-X437)</f>
        <v/>
      </c>
      <c r="Z437" s="72" t="n">
        <v>369.48</v>
      </c>
      <c r="AA437" s="72" t="n">
        <v>65.2</v>
      </c>
      <c r="AB437" s="73">
        <f>Z437+AA437</f>
        <v/>
      </c>
      <c r="AC437" s="74">
        <f>IF(OR(E437="",E437=0,AB437=""),"",E437*365/(AB437*1000000))</f>
        <v/>
      </c>
      <c r="AD437" s="98">
        <f>IF(OR(O437="",O437=0,AB437=""),"",(AB437*1000000)/O437)</f>
        <v/>
      </c>
      <c r="AE437" s="99">
        <f>IF(H437="","",(Team_Genesis-H437)/1000000)</f>
        <v/>
      </c>
      <c r="AF437" s="99">
        <f>IF(OR(O437="",AE437=""),"",(O437-AE437*1000000)/1000000)</f>
        <v/>
      </c>
    </row>
    <row r="438">
      <c r="A438" s="35" t="n">
        <v>46092</v>
      </c>
      <c r="B438" s="90">
        <f>IF('Daily Data'!E438="","",'Daily Data'!E438)</f>
        <v/>
      </c>
      <c r="C438" s="65" t="n">
        <v>34.3</v>
      </c>
      <c r="D438" s="94" t="n">
        <v>38974.26</v>
      </c>
      <c r="E438" s="94" t="n">
        <v>26523.2199</v>
      </c>
      <c r="F438" s="94" t="n">
        <v>1078.4004</v>
      </c>
      <c r="G438" s="94" t="n"/>
      <c r="H438" s="95">
        <f>SUM($G$4:G438)</f>
        <v/>
      </c>
      <c r="I438" s="94" t="n">
        <v>1000000000</v>
      </c>
      <c r="J438" s="95">
        <f>J437-E438</f>
        <v/>
      </c>
      <c r="K438" s="94" t="n">
        <v>60000000</v>
      </c>
      <c r="L438" s="94" t="n">
        <v>42073712.93255512</v>
      </c>
      <c r="M438" s="94" t="n">
        <v>3000000</v>
      </c>
      <c r="N438" s="94" t="n">
        <v>715557.1891000271</v>
      </c>
      <c r="O438" s="96">
        <f>IF(OR(I438="",J438="",L438="",N438=""),"",I438-J438-K438-L438-M438-N438)</f>
        <v/>
      </c>
      <c r="P438" s="91">
        <f>IF(OR(O438="",C438=""),"",O438*C438)</f>
        <v/>
      </c>
      <c r="Q438" s="69">
        <f>Q437-E438</f>
        <v/>
      </c>
      <c r="R438" s="97">
        <f>IF(OR(J438="",Q438=""),"",J438-Q438)</f>
        <v/>
      </c>
      <c r="S438" s="69">
        <f>IF(D438="",S437,S437+D438)</f>
        <v/>
      </c>
      <c r="T438" s="97">
        <f>IF(OR(L438="",S438=""),"",L438-S438)</f>
        <v/>
      </c>
      <c r="U438" s="69">
        <f>IF(F438="",U437,U437+F438)</f>
        <v/>
      </c>
      <c r="V438" s="97">
        <f>IF(OR(N438="",U438=""),"",N438-U438)</f>
        <v/>
      </c>
      <c r="W438" s="71">
        <f>IF(OR(C438="",C438=0,'Daily Data'!J438=""),"",'Daily Data'!J438/C438)</f>
        <v/>
      </c>
      <c r="X438" s="71">
        <f>IF(OR(C438="",C438=0,'Daily Data'!K438=""),"",'Daily Data'!K438/C438)</f>
        <v/>
      </c>
      <c r="Y438" s="71">
        <f>IF(OR(F438="",W438="",X438=""),"",F438-W438-X438)</f>
        <v/>
      </c>
      <c r="Z438" s="72" t="n">
        <v>369.48</v>
      </c>
      <c r="AA438" s="72" t="n">
        <v>65.2</v>
      </c>
      <c r="AB438" s="73">
        <f>Z438+AA438</f>
        <v/>
      </c>
      <c r="AC438" s="74">
        <f>IF(OR(E438="",E438=0,AB438=""),"",E438*365/(AB438*1000000))</f>
        <v/>
      </c>
      <c r="AD438" s="98">
        <f>IF(OR(O438="",O438=0,AB438=""),"",(AB438*1000000)/O438)</f>
        <v/>
      </c>
      <c r="AE438" s="99">
        <f>IF(H438="","",(Team_Genesis-H438)/1000000)</f>
        <v/>
      </c>
      <c r="AF438" s="99">
        <f>IF(OR(O438="",AE438=""),"",(O438-AE438*1000000)/1000000)</f>
        <v/>
      </c>
    </row>
    <row r="439">
      <c r="A439" s="35" t="n">
        <v>46093</v>
      </c>
      <c r="B439" s="90">
        <f>IF('Daily Data'!E439="","",'Daily Data'!E439)</f>
        <v/>
      </c>
      <c r="C439" s="65" t="n">
        <v>36.38</v>
      </c>
      <c r="D439" s="94" t="n">
        <v>36803.51</v>
      </c>
      <c r="E439" s="94" t="n">
        <v>26526.8227</v>
      </c>
      <c r="F439" s="94" t="n">
        <v>608.4577</v>
      </c>
      <c r="G439" s="94" t="n"/>
      <c r="H439" s="95">
        <f>SUM($G$4:G439)</f>
        <v/>
      </c>
      <c r="I439" s="94" t="n">
        <v>1000000000</v>
      </c>
      <c r="J439" s="95">
        <f>J438-E439</f>
        <v/>
      </c>
      <c r="K439" s="94" t="n">
        <v>60000000</v>
      </c>
      <c r="L439" s="94" t="n">
        <v>42110129.65255512</v>
      </c>
      <c r="M439" s="94" t="n">
        <v>3000000</v>
      </c>
      <c r="N439" s="94" t="n">
        <v>716165.6468000412</v>
      </c>
      <c r="O439" s="96">
        <f>IF(OR(I439="",J439="",L439="",N439=""),"",I439-J439-K439-L439-M439-N439)</f>
        <v/>
      </c>
      <c r="P439" s="91">
        <f>IF(OR(O439="",C439=""),"",O439*C439)</f>
        <v/>
      </c>
      <c r="Q439" s="69">
        <f>Q438-E439</f>
        <v/>
      </c>
      <c r="R439" s="97">
        <f>IF(OR(J439="",Q439=""),"",J439-Q439)</f>
        <v/>
      </c>
      <c r="S439" s="69">
        <f>IF(D439="",S438,S438+D439)</f>
        <v/>
      </c>
      <c r="T439" s="97">
        <f>IF(OR(L439="",S439=""),"",L439-S439)</f>
        <v/>
      </c>
      <c r="U439" s="69">
        <f>IF(F439="",U438,U438+F439)</f>
        <v/>
      </c>
      <c r="V439" s="97">
        <f>IF(OR(N439="",U439=""),"",N439-U439)</f>
        <v/>
      </c>
      <c r="W439" s="71">
        <f>IF(OR(C439="",C439=0,'Daily Data'!J439=""),"",'Daily Data'!J439/C439)</f>
        <v/>
      </c>
      <c r="X439" s="71">
        <f>IF(OR(C439="",C439=0,'Daily Data'!K439=""),"",'Daily Data'!K439/C439)</f>
        <v/>
      </c>
      <c r="Y439" s="71">
        <f>IF(OR(F439="",W439="",X439=""),"",F439-W439-X439)</f>
        <v/>
      </c>
      <c r="Z439" s="72" t="n">
        <v>369.48</v>
      </c>
      <c r="AA439" s="72" t="n">
        <v>65.2</v>
      </c>
      <c r="AB439" s="73">
        <f>Z439+AA439</f>
        <v/>
      </c>
      <c r="AC439" s="74">
        <f>IF(OR(E439="",E439=0,AB439=""),"",E439*365/(AB439*1000000))</f>
        <v/>
      </c>
      <c r="AD439" s="98">
        <f>IF(OR(O439="",O439=0,AB439=""),"",(AB439*1000000)/O439)</f>
        <v/>
      </c>
      <c r="AE439" s="99">
        <f>IF(H439="","",(Team_Genesis-H439)/1000000)</f>
        <v/>
      </c>
      <c r="AF439" s="99">
        <f>IF(OR(O439="",AE439=""),"",(O439-AE439*1000000)/1000000)</f>
        <v/>
      </c>
    </row>
    <row r="440">
      <c r="A440" s="35" t="n">
        <v>46094</v>
      </c>
      <c r="B440" s="90">
        <f>IF('Daily Data'!E440="","",'Daily Data'!E440)</f>
        <v/>
      </c>
      <c r="C440" s="65" t="n">
        <v>37.81</v>
      </c>
      <c r="D440" s="94" t="n">
        <v>49323.48</v>
      </c>
      <c r="E440" s="94" t="n">
        <v>26531.6758</v>
      </c>
      <c r="F440" s="94" t="n">
        <v>1118.0109</v>
      </c>
      <c r="G440" s="94" t="n"/>
      <c r="H440" s="95">
        <f>SUM($G$4:G440)</f>
        <v/>
      </c>
      <c r="I440" s="94" t="n">
        <v>1000000000</v>
      </c>
      <c r="J440" s="95">
        <f>J439-E440</f>
        <v/>
      </c>
      <c r="K440" s="94" t="n">
        <v>60000000</v>
      </c>
      <c r="L440" s="94" t="n">
        <v>42160887.05255512</v>
      </c>
      <c r="M440" s="94" t="n">
        <v>3000000</v>
      </c>
      <c r="N440" s="94" t="n">
        <v>717283.6577999592</v>
      </c>
      <c r="O440" s="96">
        <f>IF(OR(I440="",J440="",L440="",N440=""),"",I440-J440-K440-L440-M440-N440)</f>
        <v/>
      </c>
      <c r="P440" s="91">
        <f>IF(OR(O440="",C440=""),"",O440*C440)</f>
        <v/>
      </c>
      <c r="Q440" s="69">
        <f>Q439-E440</f>
        <v/>
      </c>
      <c r="R440" s="97">
        <f>IF(OR(J440="",Q440=""),"",J440-Q440)</f>
        <v/>
      </c>
      <c r="S440" s="69">
        <f>IF(D440="",S439,S439+D440)</f>
        <v/>
      </c>
      <c r="T440" s="97">
        <f>IF(OR(L440="",S440=""),"",L440-S440)</f>
        <v/>
      </c>
      <c r="U440" s="69">
        <f>IF(F440="",U439,U439+F440)</f>
        <v/>
      </c>
      <c r="V440" s="97">
        <f>IF(OR(N440="",U440=""),"",N440-U440)</f>
        <v/>
      </c>
      <c r="W440" s="71">
        <f>IF(OR(C440="",C440=0,'Daily Data'!J440=""),"",'Daily Data'!J440/C440)</f>
        <v/>
      </c>
      <c r="X440" s="71">
        <f>IF(OR(C440="",C440=0,'Daily Data'!K440=""),"",'Daily Data'!K440/C440)</f>
        <v/>
      </c>
      <c r="Y440" s="71">
        <f>IF(OR(F440="",W440="",X440=""),"",F440-W440-X440)</f>
        <v/>
      </c>
      <c r="Z440" s="72" t="n">
        <v>369.48</v>
      </c>
      <c r="AA440" s="72" t="n">
        <v>65.2</v>
      </c>
      <c r="AB440" s="73">
        <f>Z440+AA440</f>
        <v/>
      </c>
      <c r="AC440" s="74">
        <f>IF(OR(E440="",E440=0,AB440=""),"",E440*365/(AB440*1000000))</f>
        <v/>
      </c>
      <c r="AD440" s="98">
        <f>IF(OR(O440="",O440=0,AB440=""),"",(AB440*1000000)/O440)</f>
        <v/>
      </c>
      <c r="AE440" s="99">
        <f>IF(H440="","",(Team_Genesis-H440)/1000000)</f>
        <v/>
      </c>
      <c r="AF440" s="99">
        <f>IF(OR(O440="",AE440=""),"",(O440-AE440*1000000)/1000000)</f>
        <v/>
      </c>
    </row>
    <row r="441">
      <c r="A441" s="35" t="n">
        <v>46095</v>
      </c>
      <c r="B441" s="90">
        <f>IF('Daily Data'!E441="","",'Daily Data'!E441)</f>
        <v/>
      </c>
      <c r="C441" s="65" t="n">
        <v>36.59</v>
      </c>
      <c r="D441" s="94" t="n">
        <v>16809.89</v>
      </c>
      <c r="E441" s="94" t="n">
        <v>26522.5569</v>
      </c>
      <c r="F441" s="94" t="n">
        <v>1169.2845</v>
      </c>
      <c r="G441" s="94" t="n"/>
      <c r="H441" s="95">
        <f>SUM($G$4:G441)</f>
        <v/>
      </c>
      <c r="I441" s="94" t="n">
        <v>1000000000</v>
      </c>
      <c r="J441" s="95">
        <f>J440-E441</f>
        <v/>
      </c>
      <c r="K441" s="94" t="n">
        <v>60000000</v>
      </c>
      <c r="L441" s="94" t="n">
        <v>42176729.40255512</v>
      </c>
      <c r="M441" s="94" t="n">
        <v>3000000</v>
      </c>
      <c r="N441" s="94" t="n">
        <v>718452.942299962</v>
      </c>
      <c r="O441" s="96">
        <f>IF(OR(I441="",J441="",L441="",N441=""),"",I441-J441-K441-L441-M441-N441)</f>
        <v/>
      </c>
      <c r="P441" s="91">
        <f>IF(OR(O441="",C441=""),"",O441*C441)</f>
        <v/>
      </c>
      <c r="Q441" s="69">
        <f>Q440-E441</f>
        <v/>
      </c>
      <c r="R441" s="97">
        <f>IF(OR(J441="",Q441=""),"",J441-Q441)</f>
        <v/>
      </c>
      <c r="S441" s="69">
        <f>IF(D441="",S440,S440+D441)</f>
        <v/>
      </c>
      <c r="T441" s="97">
        <f>IF(OR(L441="",S441=""),"",L441-S441)</f>
        <v/>
      </c>
      <c r="U441" s="69">
        <f>IF(F441="",U440,U440+F441)</f>
        <v/>
      </c>
      <c r="V441" s="97">
        <f>IF(OR(N441="",U441=""),"",N441-U441)</f>
        <v/>
      </c>
      <c r="W441" s="71">
        <f>IF(OR(C441="",C441=0,'Daily Data'!J441=""),"",'Daily Data'!J441/C441)</f>
        <v/>
      </c>
      <c r="X441" s="71">
        <f>IF(OR(C441="",C441=0,'Daily Data'!K441=""),"",'Daily Data'!K441/C441)</f>
        <v/>
      </c>
      <c r="Y441" s="71">
        <f>IF(OR(F441="",W441="",X441=""),"",F441-W441-X441)</f>
        <v/>
      </c>
      <c r="Z441" s="72" t="n">
        <v>369.48</v>
      </c>
      <c r="AA441" s="72" t="n">
        <v>65.2</v>
      </c>
      <c r="AB441" s="73">
        <f>Z441+AA441</f>
        <v/>
      </c>
      <c r="AC441" s="74">
        <f>IF(OR(E441="",E441=0,AB441=""),"",E441*365/(AB441*1000000))</f>
        <v/>
      </c>
      <c r="AD441" s="98">
        <f>IF(OR(O441="",O441=0,AB441=""),"",(AB441*1000000)/O441)</f>
        <v/>
      </c>
      <c r="AE441" s="99">
        <f>IF(H441="","",(Team_Genesis-H441)/1000000)</f>
        <v/>
      </c>
      <c r="AF441" s="99">
        <f>IF(OR(O441="",AE441=""),"",(O441-AE441*1000000)/1000000)</f>
        <v/>
      </c>
    </row>
    <row r="442">
      <c r="A442" s="35" t="n">
        <v>46096</v>
      </c>
      <c r="B442" s="90">
        <f>IF('Daily Data'!E442="","",'Daily Data'!E442)</f>
        <v/>
      </c>
      <c r="C442" s="65" t="n">
        <v>37.67</v>
      </c>
      <c r="D442" s="94" t="n">
        <v>24882.62</v>
      </c>
      <c r="E442" s="94" t="n">
        <v>26513.68</v>
      </c>
      <c r="F442" s="94" t="n">
        <v>280.2648</v>
      </c>
      <c r="G442" s="94" t="n"/>
      <c r="H442" s="95">
        <f>SUM($G$4:G442)</f>
        <v/>
      </c>
      <c r="I442" s="94" t="n">
        <v>1000000000</v>
      </c>
      <c r="J442" s="95">
        <f>J441-E442</f>
        <v/>
      </c>
      <c r="K442" s="94" t="n">
        <v>60000000</v>
      </c>
      <c r="L442" s="94" t="n">
        <v>42202159.96255512</v>
      </c>
      <c r="M442" s="94" t="n">
        <v>3000000</v>
      </c>
      <c r="N442" s="94" t="n">
        <v>718733.2070000172</v>
      </c>
      <c r="O442" s="96">
        <f>IF(OR(I442="",J442="",L442="",N442=""),"",I442-J442-K442-L442-M442-N442)</f>
        <v/>
      </c>
      <c r="P442" s="91">
        <f>IF(OR(O442="",C442=""),"",O442*C442)</f>
        <v/>
      </c>
      <c r="Q442" s="69">
        <f>Q441-E442</f>
        <v/>
      </c>
      <c r="R442" s="97">
        <f>IF(OR(J442="",Q442=""),"",J442-Q442)</f>
        <v/>
      </c>
      <c r="S442" s="69">
        <f>IF(D442="",S441,S441+D442)</f>
        <v/>
      </c>
      <c r="T442" s="97">
        <f>IF(OR(L442="",S442=""),"",L442-S442)</f>
        <v/>
      </c>
      <c r="U442" s="69">
        <f>IF(F442="",U441,U441+F442)</f>
        <v/>
      </c>
      <c r="V442" s="97">
        <f>IF(OR(N442="",U442=""),"",N442-U442)</f>
        <v/>
      </c>
      <c r="W442" s="71">
        <f>IF(OR(C442="",C442=0,'Daily Data'!J442=""),"",'Daily Data'!J442/C442)</f>
        <v/>
      </c>
      <c r="X442" s="71">
        <f>IF(OR(C442="",C442=0,'Daily Data'!K442=""),"",'Daily Data'!K442/C442)</f>
        <v/>
      </c>
      <c r="Y442" s="71">
        <f>IF(OR(F442="",W442="",X442=""),"",F442-W442-X442)</f>
        <v/>
      </c>
      <c r="Z442" s="72" t="n">
        <v>369.48</v>
      </c>
      <c r="AA442" s="72" t="n">
        <v>65.2</v>
      </c>
      <c r="AB442" s="73">
        <f>Z442+AA442</f>
        <v/>
      </c>
      <c r="AC442" s="74">
        <f>IF(OR(E442="",E442=0,AB442=""),"",E442*365/(AB442*1000000))</f>
        <v/>
      </c>
      <c r="AD442" s="98">
        <f>IF(OR(O442="",O442=0,AB442=""),"",(AB442*1000000)/O442)</f>
        <v/>
      </c>
      <c r="AE442" s="99">
        <f>IF(H442="","",(Team_Genesis-H442)/1000000)</f>
        <v/>
      </c>
      <c r="AF442" s="99">
        <f>IF(OR(O442="",AE442=""),"",(O442-AE442*1000000)/1000000)</f>
        <v/>
      </c>
    </row>
    <row r="443">
      <c r="A443" s="35" t="n">
        <v>46097</v>
      </c>
      <c r="B443" s="90">
        <f>IF('Daily Data'!E443="","",'Daily Data'!E443)</f>
        <v/>
      </c>
      <c r="C443" s="65" t="n">
        <v>37.38</v>
      </c>
      <c r="D443" s="94" t="n">
        <v>52403.88</v>
      </c>
      <c r="E443" s="94" t="n">
        <v>26158.1654</v>
      </c>
      <c r="F443" s="94" t="n">
        <v>690.6835</v>
      </c>
      <c r="G443" s="94" t="n"/>
      <c r="H443" s="95">
        <f>SUM($G$4:G443)</f>
        <v/>
      </c>
      <c r="I443" s="94" t="n">
        <v>1000000000</v>
      </c>
      <c r="J443" s="95">
        <f>J442-E443</f>
        <v/>
      </c>
      <c r="K443" s="94" t="n">
        <v>60000000</v>
      </c>
      <c r="L443" s="94" t="n">
        <v>42256895.91255512</v>
      </c>
      <c r="M443" s="94" t="n">
        <v>3000000</v>
      </c>
      <c r="N443" s="94" t="n">
        <v>719423.8904999495</v>
      </c>
      <c r="O443" s="96">
        <f>IF(OR(I443="",J443="",L443="",N443=""),"",I443-J443-K443-L443-M443-N443)</f>
        <v/>
      </c>
      <c r="P443" s="91">
        <f>IF(OR(O443="",C443=""),"",O443*C443)</f>
        <v/>
      </c>
      <c r="Q443" s="69">
        <f>Q442-E443</f>
        <v/>
      </c>
      <c r="R443" s="97">
        <f>IF(OR(J443="",Q443=""),"",J443-Q443)</f>
        <v/>
      </c>
      <c r="S443" s="69">
        <f>IF(D443="",S442,S442+D443)</f>
        <v/>
      </c>
      <c r="T443" s="97">
        <f>IF(OR(L443="",S443=""),"",L443-S443)</f>
        <v/>
      </c>
      <c r="U443" s="69">
        <f>IF(F443="",U442,U442+F443)</f>
        <v/>
      </c>
      <c r="V443" s="97">
        <f>IF(OR(N443="",U443=""),"",N443-U443)</f>
        <v/>
      </c>
      <c r="W443" s="71">
        <f>IF(OR(C443="",C443=0,'Daily Data'!J443=""),"",'Daily Data'!J443/C443)</f>
        <v/>
      </c>
      <c r="X443" s="71">
        <f>IF(OR(C443="",C443=0,'Daily Data'!K443=""),"",'Daily Data'!K443/C443)</f>
        <v/>
      </c>
      <c r="Y443" s="71">
        <f>IF(OR(F443="",W443="",X443=""),"",F443-W443-X443)</f>
        <v/>
      </c>
      <c r="Z443" s="72" t="n">
        <v>369.48</v>
      </c>
      <c r="AA443" s="72" t="n">
        <v>65.2</v>
      </c>
      <c r="AB443" s="73">
        <f>Z443+AA443</f>
        <v/>
      </c>
      <c r="AC443" s="74">
        <f>IF(OR(E443="",E443=0,AB443=""),"",E443*365/(AB443*1000000))</f>
        <v/>
      </c>
      <c r="AD443" s="98">
        <f>IF(OR(O443="",O443=0,AB443=""),"",(AB443*1000000)/O443)</f>
        <v/>
      </c>
      <c r="AE443" s="99">
        <f>IF(H443="","",(Team_Genesis-H443)/1000000)</f>
        <v/>
      </c>
      <c r="AF443" s="99">
        <f>IF(OR(O443="",AE443=""),"",(O443-AE443*1000000)/1000000)</f>
        <v/>
      </c>
    </row>
    <row r="444">
      <c r="A444" s="35" t="n">
        <v>46098</v>
      </c>
      <c r="B444" s="90">
        <f>IF('Daily Data'!E444="","",'Daily Data'!E444)</f>
        <v/>
      </c>
      <c r="C444" s="65" t="n">
        <v>40.63</v>
      </c>
      <c r="D444" s="94" t="n">
        <v>42168.48</v>
      </c>
      <c r="E444" s="94" t="n">
        <v>25920.2501</v>
      </c>
      <c r="F444" s="94" t="n">
        <v>688.104</v>
      </c>
      <c r="G444" s="94" t="n"/>
      <c r="H444" s="95">
        <f>SUM($G$4:G444)</f>
        <v/>
      </c>
      <c r="I444" s="94" t="n">
        <v>1000000000</v>
      </c>
      <c r="J444" s="95">
        <f>J443-E444</f>
        <v/>
      </c>
      <c r="K444" s="94" t="n">
        <v>60000000</v>
      </c>
      <c r="L444" s="94" t="n">
        <v>42296551.71255512</v>
      </c>
      <c r="M444" s="94" t="n">
        <v>3000000</v>
      </c>
      <c r="N444" s="94" t="n">
        <v>720111.994500041</v>
      </c>
      <c r="O444" s="96">
        <f>IF(OR(I444="",J444="",L444="",N444=""),"",I444-J444-K444-L444-M444-N444)</f>
        <v/>
      </c>
      <c r="P444" s="91">
        <f>IF(OR(O444="",C444=""),"",O444*C444)</f>
        <v/>
      </c>
      <c r="Q444" s="69">
        <f>Q443-E444</f>
        <v/>
      </c>
      <c r="R444" s="97">
        <f>IF(OR(J444="",Q444=""),"",J444-Q444)</f>
        <v/>
      </c>
      <c r="S444" s="69">
        <f>IF(D444="",S443,S443+D444)</f>
        <v/>
      </c>
      <c r="T444" s="97">
        <f>IF(OR(L444="",S444=""),"",L444-S444)</f>
        <v/>
      </c>
      <c r="U444" s="69">
        <f>IF(F444="",U443,U443+F444)</f>
        <v/>
      </c>
      <c r="V444" s="97">
        <f>IF(OR(N444="",U444=""),"",N444-U444)</f>
        <v/>
      </c>
      <c r="W444" s="71">
        <f>IF(OR(C444="",C444=0,'Daily Data'!J444=""),"",'Daily Data'!J444/C444)</f>
        <v/>
      </c>
      <c r="X444" s="71">
        <f>IF(OR(C444="",C444=0,'Daily Data'!K444=""),"",'Daily Data'!K444/C444)</f>
        <v/>
      </c>
      <c r="Y444" s="71">
        <f>IF(OR(F444="",W444="",X444=""),"",F444-W444-X444)</f>
        <v/>
      </c>
      <c r="Z444" s="72" t="n">
        <v>369.48</v>
      </c>
      <c r="AA444" s="72" t="n">
        <v>65.2</v>
      </c>
      <c r="AB444" s="73">
        <f>Z444+AA444</f>
        <v/>
      </c>
      <c r="AC444" s="74">
        <f>IF(OR(E444="",E444=0,AB444=""),"",E444*365/(AB444*1000000))</f>
        <v/>
      </c>
      <c r="AD444" s="98">
        <f>IF(OR(O444="",O444=0,AB444=""),"",(AB444*1000000)/O444)</f>
        <v/>
      </c>
      <c r="AE444" s="99">
        <f>IF(H444="","",(Team_Genesis-H444)/1000000)</f>
        <v/>
      </c>
      <c r="AF444" s="99">
        <f>IF(OR(O444="",AE444=""),"",(O444-AE444*1000000)/1000000)</f>
        <v/>
      </c>
    </row>
    <row r="445">
      <c r="A445" s="35" t="n">
        <v>46099</v>
      </c>
      <c r="B445" s="90">
        <f>IF('Daily Data'!E445="","",'Daily Data'!E445)</f>
        <v/>
      </c>
      <c r="C445" s="65" t="n">
        <v>40.73</v>
      </c>
      <c r="D445" s="94" t="n">
        <v>46408.79</v>
      </c>
      <c r="E445" s="94" t="n">
        <v>26481.1709</v>
      </c>
      <c r="F445" s="94" t="n">
        <v>1001.0048</v>
      </c>
      <c r="G445" s="94" t="n"/>
      <c r="H445" s="95">
        <f>SUM($G$4:G445)</f>
        <v/>
      </c>
      <c r="I445" s="94" t="n">
        <v>1000000000</v>
      </c>
      <c r="J445" s="95">
        <f>J444-E445</f>
        <v/>
      </c>
      <c r="K445" s="94" t="n">
        <v>60000000</v>
      </c>
      <c r="L445" s="94" t="n">
        <v>42343472.10255512</v>
      </c>
      <c r="M445" s="94" t="n">
        <v>3000000</v>
      </c>
      <c r="N445" s="94" t="n">
        <v>721112.9993000031</v>
      </c>
      <c r="O445" s="96">
        <f>IF(OR(I445="",J445="",L445="",N445=""),"",I445-J445-K445-L445-M445-N445)</f>
        <v/>
      </c>
      <c r="P445" s="91">
        <f>IF(OR(O445="",C445=""),"",O445*C445)</f>
        <v/>
      </c>
      <c r="Q445" s="69">
        <f>Q444-E445</f>
        <v/>
      </c>
      <c r="R445" s="97">
        <f>IF(OR(J445="",Q445=""),"",J445-Q445)</f>
        <v/>
      </c>
      <c r="S445" s="69">
        <f>IF(D445="",S444,S444+D445)</f>
        <v/>
      </c>
      <c r="T445" s="97">
        <f>IF(OR(L445="",S445=""),"",L445-S445)</f>
        <v/>
      </c>
      <c r="U445" s="69">
        <f>IF(F445="",U444,U444+F445)</f>
        <v/>
      </c>
      <c r="V445" s="97">
        <f>IF(OR(N445="",U445=""),"",N445-U445)</f>
        <v/>
      </c>
      <c r="W445" s="71">
        <f>IF(OR(C445="",C445=0,'Daily Data'!J445=""),"",'Daily Data'!J445/C445)</f>
        <v/>
      </c>
      <c r="X445" s="71">
        <f>IF(OR(C445="",C445=0,'Daily Data'!K445=""),"",'Daily Data'!K445/C445)</f>
        <v/>
      </c>
      <c r="Y445" s="71">
        <f>IF(OR(F445="",W445="",X445=""),"",F445-W445-X445)</f>
        <v/>
      </c>
      <c r="Z445" s="72" t="n">
        <v>369.48</v>
      </c>
      <c r="AA445" s="72" t="n">
        <v>65.2</v>
      </c>
      <c r="AB445" s="73">
        <f>Z445+AA445</f>
        <v/>
      </c>
      <c r="AC445" s="74">
        <f>IF(OR(E445="",E445=0,AB445=""),"",E445*365/(AB445*1000000))</f>
        <v/>
      </c>
      <c r="AD445" s="98">
        <f>IF(OR(O445="",O445=0,AB445=""),"",(AB445*1000000)/O445)</f>
        <v/>
      </c>
      <c r="AE445" s="99">
        <f>IF(H445="","",(Team_Genesis-H445)/1000000)</f>
        <v/>
      </c>
      <c r="AF445" s="99">
        <f>IF(OR(O445="",AE445=""),"",(O445-AE445*1000000)/1000000)</f>
        <v/>
      </c>
    </row>
    <row r="446">
      <c r="A446" s="35" t="n">
        <v>46100</v>
      </c>
      <c r="B446" s="90">
        <f>IF('Daily Data'!E446="","",'Daily Data'!E446)</f>
        <v/>
      </c>
      <c r="C446" s="65" t="n">
        <v>42.07</v>
      </c>
      <c r="D446" s="94" t="n">
        <v>48083.94</v>
      </c>
      <c r="E446" s="94" t="n">
        <v>26434.5099</v>
      </c>
      <c r="F446" s="94" t="n">
        <v>1559.2383</v>
      </c>
      <c r="G446" s="94" t="n"/>
      <c r="H446" s="95">
        <f>SUM($G$4:G446)</f>
        <v/>
      </c>
      <c r="I446" s="94" t="n">
        <v>1000000000</v>
      </c>
      <c r="J446" s="95">
        <f>J445-E446</f>
        <v/>
      </c>
      <c r="K446" s="94" t="n">
        <v>60000000</v>
      </c>
      <c r="L446" s="94" t="n">
        <v>42390511.50255512</v>
      </c>
      <c r="M446" s="94" t="n">
        <v>3000000</v>
      </c>
      <c r="N446" s="94" t="n">
        <v>722672.2374999523</v>
      </c>
      <c r="O446" s="96">
        <f>IF(OR(I446="",J446="",L446="",N446=""),"",I446-J446-K446-L446-M446-N446)</f>
        <v/>
      </c>
      <c r="P446" s="91">
        <f>IF(OR(O446="",C446=""),"",O446*C446)</f>
        <v/>
      </c>
      <c r="Q446" s="69">
        <f>Q445-E446</f>
        <v/>
      </c>
      <c r="R446" s="97">
        <f>IF(OR(J446="",Q446=""),"",J446-Q446)</f>
        <v/>
      </c>
      <c r="S446" s="69">
        <f>IF(D446="",S445,S445+D446)</f>
        <v/>
      </c>
      <c r="T446" s="97">
        <f>IF(OR(L446="",S446=""),"",L446-S446)</f>
        <v/>
      </c>
      <c r="U446" s="69">
        <f>IF(F446="",U445,U445+F446)</f>
        <v/>
      </c>
      <c r="V446" s="97">
        <f>IF(OR(N446="",U446=""),"",N446-U446)</f>
        <v/>
      </c>
      <c r="W446" s="71">
        <f>IF(OR(C446="",C446=0,'Daily Data'!J446=""),"",'Daily Data'!J446/C446)</f>
        <v/>
      </c>
      <c r="X446" s="71">
        <f>IF(OR(C446="",C446=0,'Daily Data'!K446=""),"",'Daily Data'!K446/C446)</f>
        <v/>
      </c>
      <c r="Y446" s="71">
        <f>IF(OR(F446="",W446="",X446=""),"",F446-W446-X446)</f>
        <v/>
      </c>
      <c r="Z446" s="72" t="n">
        <v>369.48</v>
      </c>
      <c r="AA446" s="72" t="n">
        <v>65.2</v>
      </c>
      <c r="AB446" s="73">
        <f>Z446+AA446</f>
        <v/>
      </c>
      <c r="AC446" s="74">
        <f>IF(OR(E446="",E446=0,AB446=""),"",E446*365/(AB446*1000000))</f>
        <v/>
      </c>
      <c r="AD446" s="98">
        <f>IF(OR(O446="",O446=0,AB446=""),"",(AB446*1000000)/O446)</f>
        <v/>
      </c>
      <c r="AE446" s="99">
        <f>IF(H446="","",(Team_Genesis-H446)/1000000)</f>
        <v/>
      </c>
      <c r="AF446" s="99">
        <f>IF(OR(O446="",AE446=""),"",(O446-AE446*1000000)/1000000)</f>
        <v/>
      </c>
    </row>
    <row r="447">
      <c r="A447" s="35" t="n">
        <v>46101</v>
      </c>
      <c r="B447" s="90">
        <f>IF('Daily Data'!E447="","",'Daily Data'!E447)</f>
        <v/>
      </c>
      <c r="C447" s="65" t="n">
        <v>39.81</v>
      </c>
      <c r="D447" s="94" t="n">
        <v>35474.14</v>
      </c>
      <c r="E447" s="94" t="n">
        <v>26463.4663</v>
      </c>
      <c r="F447" s="94" t="n">
        <v>563.0605</v>
      </c>
      <c r="G447" s="94" t="n"/>
      <c r="H447" s="95">
        <f>SUM($G$4:G447)</f>
        <v/>
      </c>
      <c r="I447" s="94" t="n">
        <v>1000000000</v>
      </c>
      <c r="J447" s="95">
        <f>J446-E447</f>
        <v/>
      </c>
      <c r="K447" s="94" t="n">
        <v>60000000</v>
      </c>
      <c r="L447" s="94" t="n">
        <v>42426049.16255512</v>
      </c>
      <c r="M447" s="94" t="n">
        <v>3000000</v>
      </c>
      <c r="N447" s="94" t="n">
        <v>723235.2979999781</v>
      </c>
      <c r="O447" s="96">
        <f>IF(OR(I447="",J447="",L447="",N447=""),"",I447-J447-K447-L447-M447-N447)</f>
        <v/>
      </c>
      <c r="P447" s="91">
        <f>IF(OR(O447="",C447=""),"",O447*C447)</f>
        <v/>
      </c>
      <c r="Q447" s="69">
        <f>Q446-E447</f>
        <v/>
      </c>
      <c r="R447" s="97">
        <f>IF(OR(J447="",Q447=""),"",J447-Q447)</f>
        <v/>
      </c>
      <c r="S447" s="69">
        <f>IF(D447="",S446,S446+D447)</f>
        <v/>
      </c>
      <c r="T447" s="97">
        <f>IF(OR(L447="",S447=""),"",L447-S447)</f>
        <v/>
      </c>
      <c r="U447" s="69">
        <f>IF(F447="",U446,U446+F447)</f>
        <v/>
      </c>
      <c r="V447" s="97">
        <f>IF(OR(N447="",U447=""),"",N447-U447)</f>
        <v/>
      </c>
      <c r="W447" s="71">
        <f>IF(OR(C447="",C447=0,'Daily Data'!J447=""),"",'Daily Data'!J447/C447)</f>
        <v/>
      </c>
      <c r="X447" s="71">
        <f>IF(OR(C447="",C447=0,'Daily Data'!K447=""),"",'Daily Data'!K447/C447)</f>
        <v/>
      </c>
      <c r="Y447" s="71">
        <f>IF(OR(F447="",W447="",X447=""),"",F447-W447-X447)</f>
        <v/>
      </c>
      <c r="Z447" s="72" t="n">
        <v>369.48</v>
      </c>
      <c r="AA447" s="72" t="n">
        <v>65.2</v>
      </c>
      <c r="AB447" s="73">
        <f>Z447+AA447</f>
        <v/>
      </c>
      <c r="AC447" s="74">
        <f>IF(OR(E447="",E447=0,AB447=""),"",E447*365/(AB447*1000000))</f>
        <v/>
      </c>
      <c r="AD447" s="98">
        <f>IF(OR(O447="",O447=0,AB447=""),"",(AB447*1000000)/O447)</f>
        <v/>
      </c>
      <c r="AE447" s="99">
        <f>IF(H447="","",(Team_Genesis-H447)/1000000)</f>
        <v/>
      </c>
      <c r="AF447" s="99">
        <f>IF(OR(O447="",AE447=""),"",(O447-AE447*1000000)/1000000)</f>
        <v/>
      </c>
    </row>
    <row r="448">
      <c r="A448" s="35" t="n">
        <v>46102</v>
      </c>
      <c r="B448" s="90">
        <f>IF('Daily Data'!E448="","",'Daily Data'!E448)</f>
        <v/>
      </c>
      <c r="C448" s="65" t="n">
        <v>39.67</v>
      </c>
      <c r="D448" s="94" t="n">
        <v>14254.91</v>
      </c>
      <c r="E448" s="94" t="n">
        <v>26474.8084</v>
      </c>
      <c r="F448" s="94" t="n">
        <v>863.7541</v>
      </c>
      <c r="G448" s="94" t="n"/>
      <c r="H448" s="95">
        <f>SUM($G$4:G448)</f>
        <v/>
      </c>
      <c r="I448" s="94" t="n">
        <v>1000000000</v>
      </c>
      <c r="J448" s="95">
        <f>J447-E448</f>
        <v/>
      </c>
      <c r="K448" s="94" t="n">
        <v>60000000</v>
      </c>
      <c r="L448" s="94" t="n">
        <v>42443640.52255512</v>
      </c>
      <c r="M448" s="94" t="n">
        <v>3000000</v>
      </c>
      <c r="N448" s="94" t="n">
        <v>724099.0520999432</v>
      </c>
      <c r="O448" s="96">
        <f>IF(OR(I448="",J448="",L448="",N448=""),"",I448-J448-K448-L448-M448-N448)</f>
        <v/>
      </c>
      <c r="P448" s="91">
        <f>IF(OR(O448="",C448=""),"",O448*C448)</f>
        <v/>
      </c>
      <c r="Q448" s="69">
        <f>Q447-E448</f>
        <v/>
      </c>
      <c r="R448" s="97">
        <f>IF(OR(J448="",Q448=""),"",J448-Q448)</f>
        <v/>
      </c>
      <c r="S448" s="69">
        <f>IF(D448="",S447,S447+D448)</f>
        <v/>
      </c>
      <c r="T448" s="97">
        <f>IF(OR(L448="",S448=""),"",L448-S448)</f>
        <v/>
      </c>
      <c r="U448" s="69">
        <f>IF(F448="",U447,U447+F448)</f>
        <v/>
      </c>
      <c r="V448" s="97">
        <f>IF(OR(N448="",U448=""),"",N448-U448)</f>
        <v/>
      </c>
      <c r="W448" s="71">
        <f>IF(OR(C448="",C448=0,'Daily Data'!J448=""),"",'Daily Data'!J448/C448)</f>
        <v/>
      </c>
      <c r="X448" s="71">
        <f>IF(OR(C448="",C448=0,'Daily Data'!K448=""),"",'Daily Data'!K448/C448)</f>
        <v/>
      </c>
      <c r="Y448" s="71">
        <f>IF(OR(F448="",W448="",X448=""),"",F448-W448-X448)</f>
        <v/>
      </c>
      <c r="Z448" s="72" t="n">
        <v>369.48</v>
      </c>
      <c r="AA448" s="72" t="n">
        <v>65.2</v>
      </c>
      <c r="AB448" s="73">
        <f>Z448+AA448</f>
        <v/>
      </c>
      <c r="AC448" s="74">
        <f>IF(OR(E448="",E448=0,AB448=""),"",E448*365/(AB448*1000000))</f>
        <v/>
      </c>
      <c r="AD448" s="98">
        <f>IF(OR(O448="",O448=0,AB448=""),"",(AB448*1000000)/O448)</f>
        <v/>
      </c>
      <c r="AE448" s="99">
        <f>IF(H448="","",(Team_Genesis-H448)/1000000)</f>
        <v/>
      </c>
      <c r="AF448" s="99">
        <f>IF(OR(O448="",AE448=""),"",(O448-AE448*1000000)/1000000)</f>
        <v/>
      </c>
    </row>
    <row r="449">
      <c r="A449" s="35" t="n">
        <v>46103</v>
      </c>
      <c r="B449" s="90">
        <f>IF('Daily Data'!E449="","",'Daily Data'!E449)</f>
        <v/>
      </c>
      <c r="C449" s="65" t="n">
        <v>39.37</v>
      </c>
      <c r="D449" s="94" t="n">
        <v>31939.5</v>
      </c>
      <c r="E449" s="94" t="n">
        <v>26473.247</v>
      </c>
      <c r="F449" s="94" t="n">
        <v>166.6936</v>
      </c>
      <c r="G449" s="94" t="n"/>
      <c r="H449" s="95">
        <f>SUM($G$4:G449)</f>
        <v/>
      </c>
      <c r="I449" s="94" t="n">
        <v>1000000000</v>
      </c>
      <c r="J449" s="95">
        <f>J448-E449</f>
        <v/>
      </c>
      <c r="K449" s="94" t="n">
        <v>60000000</v>
      </c>
      <c r="L449" s="94" t="n">
        <v>42472662.50255512</v>
      </c>
      <c r="M449" s="94" t="n">
        <v>3000000</v>
      </c>
      <c r="N449" s="94" t="n">
        <v>724265.7457000017</v>
      </c>
      <c r="O449" s="96">
        <f>IF(OR(I449="",J449="",L449="",N449=""),"",I449-J449-K449-L449-M449-N449)</f>
        <v/>
      </c>
      <c r="P449" s="91">
        <f>IF(OR(O449="",C449=""),"",O449*C449)</f>
        <v/>
      </c>
      <c r="Q449" s="69">
        <f>Q448-E449</f>
        <v/>
      </c>
      <c r="R449" s="97">
        <f>IF(OR(J449="",Q449=""),"",J449-Q449)</f>
        <v/>
      </c>
      <c r="S449" s="69">
        <f>IF(D449="",S448,S448+D449)</f>
        <v/>
      </c>
      <c r="T449" s="97">
        <f>IF(OR(L449="",S449=""),"",L449-S449)</f>
        <v/>
      </c>
      <c r="U449" s="69">
        <f>IF(F449="",U448,U448+F449)</f>
        <v/>
      </c>
      <c r="V449" s="97">
        <f>IF(OR(N449="",U449=""),"",N449-U449)</f>
        <v/>
      </c>
      <c r="W449" s="71">
        <f>IF(OR(C449="",C449=0,'Daily Data'!J449=""),"",'Daily Data'!J449/C449)</f>
        <v/>
      </c>
      <c r="X449" s="71">
        <f>IF(OR(C449="",C449=0,'Daily Data'!K449=""),"",'Daily Data'!K449/C449)</f>
        <v/>
      </c>
      <c r="Y449" s="71">
        <f>IF(OR(F449="",W449="",X449=""),"",F449-W449-X449)</f>
        <v/>
      </c>
      <c r="Z449" s="72" t="n">
        <v>369.48</v>
      </c>
      <c r="AA449" s="72" t="n">
        <v>65.2</v>
      </c>
      <c r="AB449" s="73">
        <f>Z449+AA449</f>
        <v/>
      </c>
      <c r="AC449" s="74">
        <f>IF(OR(E449="",E449=0,AB449=""),"",E449*365/(AB449*1000000))</f>
        <v/>
      </c>
      <c r="AD449" s="98">
        <f>IF(OR(O449="",O449=0,AB449=""),"",(AB449*1000000)/O449)</f>
        <v/>
      </c>
      <c r="AE449" s="99">
        <f>IF(H449="","",(Team_Genesis-H449)/1000000)</f>
        <v/>
      </c>
      <c r="AF449" s="99">
        <f>IF(OR(O449="",AE449=""),"",(O449-AE449*1000000)/1000000)</f>
        <v/>
      </c>
    </row>
    <row r="450">
      <c r="A450" s="35" t="n">
        <v>46104</v>
      </c>
      <c r="B450" s="90">
        <f>IF('Daily Data'!E450="","",'Daily Data'!E450)</f>
        <v/>
      </c>
      <c r="C450" s="65" t="n">
        <v>37.87</v>
      </c>
      <c r="D450" s="94" t="n">
        <v>61301.8</v>
      </c>
      <c r="E450" s="94" t="n">
        <v>26478.5054</v>
      </c>
      <c r="F450" s="94" t="n">
        <v>229.8099</v>
      </c>
      <c r="G450" s="94" t="n"/>
      <c r="H450" s="95">
        <f>SUM($G$4:G450)</f>
        <v/>
      </c>
      <c r="I450" s="94" t="n">
        <v>1000000000</v>
      </c>
      <c r="J450" s="95">
        <f>J449-E450</f>
        <v/>
      </c>
      <c r="K450" s="94" t="n">
        <v>60000000</v>
      </c>
      <c r="L450" s="94" t="n">
        <v>42533972.38255512</v>
      </c>
      <c r="M450" s="94" t="n">
        <v>3000000</v>
      </c>
      <c r="N450" s="94" t="n">
        <v>724495.5556999445</v>
      </c>
      <c r="O450" s="96">
        <f>IF(OR(I450="",J450="",L450="",N450=""),"",I450-J450-K450-L450-M450-N450)</f>
        <v/>
      </c>
      <c r="P450" s="91">
        <f>IF(OR(O450="",C450=""),"",O450*C450)</f>
        <v/>
      </c>
      <c r="Q450" s="69">
        <f>Q449-E450</f>
        <v/>
      </c>
      <c r="R450" s="97">
        <f>IF(OR(J450="",Q450=""),"",J450-Q450)</f>
        <v/>
      </c>
      <c r="S450" s="69">
        <f>IF(D450="",S449,S449+D450)</f>
        <v/>
      </c>
      <c r="T450" s="97">
        <f>IF(OR(L450="",S450=""),"",L450-S450)</f>
        <v/>
      </c>
      <c r="U450" s="69">
        <f>IF(F450="",U449,U449+F450)</f>
        <v/>
      </c>
      <c r="V450" s="97">
        <f>IF(OR(N450="",U450=""),"",N450-U450)</f>
        <v/>
      </c>
      <c r="W450" s="71">
        <f>IF(OR(C450="",C450=0,'Daily Data'!J450=""),"",'Daily Data'!J450/C450)</f>
        <v/>
      </c>
      <c r="X450" s="71">
        <f>IF(OR(C450="",C450=0,'Daily Data'!K450=""),"",'Daily Data'!K450/C450)</f>
        <v/>
      </c>
      <c r="Y450" s="71">
        <f>IF(OR(F450="",W450="",X450=""),"",F450-W450-X450)</f>
        <v/>
      </c>
      <c r="Z450" s="72" t="n">
        <v>369.48</v>
      </c>
      <c r="AA450" s="72" t="n">
        <v>65.2</v>
      </c>
      <c r="AB450" s="73">
        <f>Z450+AA450</f>
        <v/>
      </c>
      <c r="AC450" s="74">
        <f>IF(OR(E450="",E450=0,AB450=""),"",E450*365/(AB450*1000000))</f>
        <v/>
      </c>
      <c r="AD450" s="98">
        <f>IF(OR(O450="",O450=0,AB450=""),"",(AB450*1000000)/O450)</f>
        <v/>
      </c>
      <c r="AE450" s="99">
        <f>IF(H450="","",(Team_Genesis-H450)/1000000)</f>
        <v/>
      </c>
      <c r="AF450" s="99">
        <f>IF(OR(O450="",AE450=""),"",(O450-AE450*1000000)/1000000)</f>
        <v/>
      </c>
    </row>
    <row r="451">
      <c r="A451" s="35" t="n">
        <v>46105</v>
      </c>
      <c r="B451" s="90">
        <f>IF('Daily Data'!E451="","",'Daily Data'!E451)</f>
        <v/>
      </c>
      <c r="C451" s="65" t="n">
        <v>37.57</v>
      </c>
      <c r="D451" s="94" t="n">
        <v>38003.95</v>
      </c>
      <c r="E451" s="94" t="n">
        <v>26477.2033</v>
      </c>
      <c r="F451" s="94" t="n">
        <v>1259.6123</v>
      </c>
      <c r="G451" s="94" t="n"/>
      <c r="H451" s="95">
        <f>SUM($G$4:G451)</f>
        <v/>
      </c>
      <c r="I451" s="94" t="n">
        <v>1000000000</v>
      </c>
      <c r="J451" s="95">
        <f>J450-E451</f>
        <v/>
      </c>
      <c r="K451" s="94" t="n">
        <v>60000000</v>
      </c>
      <c r="L451" s="94" t="n">
        <v>42571128.28255512</v>
      </c>
      <c r="M451" s="94" t="n">
        <v>3000000</v>
      </c>
      <c r="N451" s="94" t="n">
        <v>725755.1679999828</v>
      </c>
      <c r="O451" s="96">
        <f>IF(OR(I451="",J451="",L451="",N451=""),"",I451-J451-K451-L451-M451-N451)</f>
        <v/>
      </c>
      <c r="P451" s="91">
        <f>IF(OR(O451="",C451=""),"",O451*C451)</f>
        <v/>
      </c>
      <c r="Q451" s="69">
        <f>Q450-E451</f>
        <v/>
      </c>
      <c r="R451" s="97">
        <f>IF(OR(J451="",Q451=""),"",J451-Q451)</f>
        <v/>
      </c>
      <c r="S451" s="69">
        <f>IF(D451="",S450,S450+D451)</f>
        <v/>
      </c>
      <c r="T451" s="97">
        <f>IF(OR(L451="",S451=""),"",L451-S451)</f>
        <v/>
      </c>
      <c r="U451" s="69">
        <f>IF(F451="",U450,U450+F451)</f>
        <v/>
      </c>
      <c r="V451" s="97">
        <f>IF(OR(N451="",U451=""),"",N451-U451)</f>
        <v/>
      </c>
      <c r="W451" s="71">
        <f>IF(OR(C451="",C451=0,'Daily Data'!J451=""),"",'Daily Data'!J451/C451)</f>
        <v/>
      </c>
      <c r="X451" s="71">
        <f>IF(OR(C451="",C451=0,'Daily Data'!K451=""),"",'Daily Data'!K451/C451)</f>
        <v/>
      </c>
      <c r="Y451" s="71">
        <f>IF(OR(F451="",W451="",X451=""),"",F451-W451-X451)</f>
        <v/>
      </c>
      <c r="Z451" s="72" t="n">
        <v>369.48</v>
      </c>
      <c r="AA451" s="72" t="n">
        <v>65.2</v>
      </c>
      <c r="AB451" s="73">
        <f>Z451+AA451</f>
        <v/>
      </c>
      <c r="AC451" s="74">
        <f>IF(OR(E451="",E451=0,AB451=""),"",E451*365/(AB451*1000000))</f>
        <v/>
      </c>
      <c r="AD451" s="98">
        <f>IF(OR(O451="",O451=0,AB451=""),"",(AB451*1000000)/O451)</f>
        <v/>
      </c>
      <c r="AE451" s="99">
        <f>IF(H451="","",(Team_Genesis-H451)/1000000)</f>
        <v/>
      </c>
      <c r="AF451" s="99">
        <f>IF(OR(O451="",AE451=""),"",(O451-AE451*1000000)/1000000)</f>
        <v/>
      </c>
    </row>
    <row r="452">
      <c r="A452" s="35" t="n">
        <v>46106</v>
      </c>
      <c r="B452" s="90">
        <f>IF('Daily Data'!E452="","",'Daily Data'!E452)</f>
        <v/>
      </c>
      <c r="C452" s="65" t="n">
        <v>40.66</v>
      </c>
      <c r="D452" s="94" t="n">
        <v>36745.44</v>
      </c>
      <c r="E452" s="94" t="n">
        <v>26474.6328</v>
      </c>
      <c r="F452" s="94" t="n">
        <v>1004.2188</v>
      </c>
      <c r="G452" s="94" t="n"/>
      <c r="H452" s="95">
        <f>SUM($G$4:G452)</f>
        <v/>
      </c>
      <c r="I452" s="94" t="n">
        <v>1000000000</v>
      </c>
      <c r="J452" s="95">
        <f>J451-E452</f>
        <v/>
      </c>
      <c r="K452" s="94" t="n">
        <v>60000000</v>
      </c>
      <c r="L452" s="94" t="n">
        <v>42608216.20255512</v>
      </c>
      <c r="M452" s="94" t="n">
        <v>3000000</v>
      </c>
      <c r="N452" s="94" t="n">
        <v>726759.3868000507</v>
      </c>
      <c r="O452" s="96">
        <f>IF(OR(I452="",J452="",L452="",N452=""),"",I452-J452-K452-L452-M452-N452)</f>
        <v/>
      </c>
      <c r="P452" s="91">
        <f>IF(OR(O452="",C452=""),"",O452*C452)</f>
        <v/>
      </c>
      <c r="Q452" s="69">
        <f>Q451-E452</f>
        <v/>
      </c>
      <c r="R452" s="97">
        <f>IF(OR(J452="",Q452=""),"",J452-Q452)</f>
        <v/>
      </c>
      <c r="S452" s="69">
        <f>IF(D452="",S451,S451+D452)</f>
        <v/>
      </c>
      <c r="T452" s="97">
        <f>IF(OR(L452="",S452=""),"",L452-S452)</f>
        <v/>
      </c>
      <c r="U452" s="69">
        <f>IF(F452="",U451,U451+F452)</f>
        <v/>
      </c>
      <c r="V452" s="97">
        <f>IF(OR(N452="",U452=""),"",N452-U452)</f>
        <v/>
      </c>
      <c r="W452" s="71">
        <f>IF(OR(C452="",C452=0,'Daily Data'!J452=""),"",'Daily Data'!J452/C452)</f>
        <v/>
      </c>
      <c r="X452" s="71">
        <f>IF(OR(C452="",C452=0,'Daily Data'!K452=""),"",'Daily Data'!K452/C452)</f>
        <v/>
      </c>
      <c r="Y452" s="71">
        <f>IF(OR(F452="",W452="",X452=""),"",F452-W452-X452)</f>
        <v/>
      </c>
      <c r="Z452" s="72" t="n">
        <v>369.48</v>
      </c>
      <c r="AA452" s="72" t="n">
        <v>65.2</v>
      </c>
      <c r="AB452" s="73">
        <f>Z452+AA452</f>
        <v/>
      </c>
      <c r="AC452" s="74">
        <f>IF(OR(E452="",E452=0,AB452=""),"",E452*365/(AB452*1000000))</f>
        <v/>
      </c>
      <c r="AD452" s="98">
        <f>IF(OR(O452="",O452=0,AB452=""),"",(AB452*1000000)/O452)</f>
        <v/>
      </c>
      <c r="AE452" s="99">
        <f>IF(H452="","",(Team_Genesis-H452)/1000000)</f>
        <v/>
      </c>
      <c r="AF452" s="99">
        <f>IF(OR(O452="",AE452=""),"",(O452-AE452*1000000)/1000000)</f>
        <v/>
      </c>
    </row>
    <row r="453">
      <c r="A453" s="35" t="n">
        <v>46107</v>
      </c>
      <c r="B453" s="90">
        <f>IF('Daily Data'!E453="","",'Daily Data'!E453)</f>
        <v/>
      </c>
      <c r="C453" s="65" t="n">
        <v>40.2</v>
      </c>
      <c r="D453" s="94" t="n">
        <v>35190.32</v>
      </c>
      <c r="E453" s="94" t="n">
        <v>26439.4326</v>
      </c>
      <c r="F453" s="94" t="n">
        <v>798.0862</v>
      </c>
      <c r="G453" s="94" t="n"/>
      <c r="H453" s="95">
        <f>SUM($G$4:G453)</f>
        <v/>
      </c>
      <c r="I453" s="94" t="n">
        <v>1000000000</v>
      </c>
      <c r="J453" s="95">
        <f>J452-E453</f>
        <v/>
      </c>
      <c r="K453" s="94" t="n">
        <v>60000000</v>
      </c>
      <c r="L453" s="94" t="n">
        <v>42643822.48255512</v>
      </c>
      <c r="M453" s="94" t="n">
        <v>3000000</v>
      </c>
      <c r="N453" s="94" t="n">
        <v>727557.472900033</v>
      </c>
      <c r="O453" s="96">
        <f>IF(OR(I453="",J453="",L453="",N453=""),"",I453-J453-K453-L453-M453-N453)</f>
        <v/>
      </c>
      <c r="P453" s="91">
        <f>IF(OR(O453="",C453=""),"",O453*C453)</f>
        <v/>
      </c>
      <c r="Q453" s="69">
        <f>Q452-E453</f>
        <v/>
      </c>
      <c r="R453" s="97">
        <f>IF(OR(J453="",Q453=""),"",J453-Q453)</f>
        <v/>
      </c>
      <c r="S453" s="69">
        <f>IF(D453="",S452,S452+D453)</f>
        <v/>
      </c>
      <c r="T453" s="97">
        <f>IF(OR(L453="",S453=""),"",L453-S453)</f>
        <v/>
      </c>
      <c r="U453" s="69">
        <f>IF(F453="",U452,U452+F453)</f>
        <v/>
      </c>
      <c r="V453" s="97">
        <f>IF(OR(N453="",U453=""),"",N453-U453)</f>
        <v/>
      </c>
      <c r="W453" s="71">
        <f>IF(OR(C453="",C453=0,'Daily Data'!J453=""),"",'Daily Data'!J453/C453)</f>
        <v/>
      </c>
      <c r="X453" s="71">
        <f>IF(OR(C453="",C453=0,'Daily Data'!K453=""),"",'Daily Data'!K453/C453)</f>
        <v/>
      </c>
      <c r="Y453" s="71">
        <f>IF(OR(F453="",W453="",X453=""),"",F453-W453-X453)</f>
        <v/>
      </c>
      <c r="Z453" s="72" t="n">
        <v>369.48</v>
      </c>
      <c r="AA453" s="72" t="n">
        <v>65.2</v>
      </c>
      <c r="AB453" s="73">
        <f>Z453+AA453</f>
        <v/>
      </c>
      <c r="AC453" s="74">
        <f>IF(OR(E453="",E453=0,AB453=""),"",E453*365/(AB453*1000000))</f>
        <v/>
      </c>
      <c r="AD453" s="98">
        <f>IF(OR(O453="",O453=0,AB453=""),"",(AB453*1000000)/O453)</f>
        <v/>
      </c>
      <c r="AE453" s="99">
        <f>IF(H453="","",(Team_Genesis-H453)/1000000)</f>
        <v/>
      </c>
      <c r="AF453" s="99">
        <f>IF(OR(O453="",AE453=""),"",(O453-AE453*1000000)/1000000)</f>
        <v/>
      </c>
    </row>
    <row r="454">
      <c r="A454" s="35" t="n">
        <v>46108</v>
      </c>
      <c r="B454" s="90">
        <f>IF('Daily Data'!E454="","",'Daily Data'!E454)</f>
        <v/>
      </c>
      <c r="C454" s="65" t="n">
        <v>39.13</v>
      </c>
      <c r="D454" s="94" t="n">
        <v>34495.71</v>
      </c>
      <c r="E454" s="94" t="n">
        <v>26488.8466</v>
      </c>
      <c r="F454" s="94" t="n">
        <v>1296.0589</v>
      </c>
      <c r="G454" s="94" t="n"/>
      <c r="H454" s="95">
        <f>SUM($G$4:G454)</f>
        <v/>
      </c>
      <c r="I454" s="94" t="n">
        <v>1000000000</v>
      </c>
      <c r="J454" s="95">
        <f>J453-E454</f>
        <v/>
      </c>
      <c r="K454" s="94" t="n">
        <v>60000000</v>
      </c>
      <c r="L454" s="94" t="n">
        <v>42678566.08255512</v>
      </c>
      <c r="M454" s="94" t="n">
        <v>3000000</v>
      </c>
      <c r="N454" s="94" t="n">
        <v>728853.5318000317</v>
      </c>
      <c r="O454" s="96">
        <f>IF(OR(I454="",J454="",L454="",N454=""),"",I454-J454-K454-L454-M454-N454)</f>
        <v/>
      </c>
      <c r="P454" s="91">
        <f>IF(OR(O454="",C454=""),"",O454*C454)</f>
        <v/>
      </c>
      <c r="Q454" s="69">
        <f>Q453-E454</f>
        <v/>
      </c>
      <c r="R454" s="97">
        <f>IF(OR(J454="",Q454=""),"",J454-Q454)</f>
        <v/>
      </c>
      <c r="S454" s="69">
        <f>IF(D454="",S453,S453+D454)</f>
        <v/>
      </c>
      <c r="T454" s="97">
        <f>IF(OR(L454="",S454=""),"",L454-S454)</f>
        <v/>
      </c>
      <c r="U454" s="69">
        <f>IF(F454="",U453,U453+F454)</f>
        <v/>
      </c>
      <c r="V454" s="97">
        <f>IF(OR(N454="",U454=""),"",N454-U454)</f>
        <v/>
      </c>
      <c r="W454" s="71">
        <f>IF(OR(C454="",C454=0,'Daily Data'!J454=""),"",'Daily Data'!J454/C454)</f>
        <v/>
      </c>
      <c r="X454" s="71">
        <f>IF(OR(C454="",C454=0,'Daily Data'!K454=""),"",'Daily Data'!K454/C454)</f>
        <v/>
      </c>
      <c r="Y454" s="71">
        <f>IF(OR(F454="",W454="",X454=""),"",F454-W454-X454)</f>
        <v/>
      </c>
      <c r="Z454" s="72" t="n">
        <v>369.48</v>
      </c>
      <c r="AA454" s="72" t="n">
        <v>65.2</v>
      </c>
      <c r="AB454" s="73">
        <f>Z454+AA454</f>
        <v/>
      </c>
      <c r="AC454" s="74">
        <f>IF(OR(E454="",E454=0,AB454=""),"",E454*365/(AB454*1000000))</f>
        <v/>
      </c>
      <c r="AD454" s="98">
        <f>IF(OR(O454="",O454=0,AB454=""),"",(AB454*1000000)/O454)</f>
        <v/>
      </c>
      <c r="AE454" s="99">
        <f>IF(H454="","",(Team_Genesis-H454)/1000000)</f>
        <v/>
      </c>
      <c r="AF454" s="99">
        <f>IF(OR(O454="",AE454=""),"",(O454-AE454*1000000)/1000000)</f>
        <v/>
      </c>
    </row>
    <row r="455">
      <c r="A455" s="35" t="n">
        <v>46109</v>
      </c>
      <c r="B455" s="90">
        <f>IF('Daily Data'!E455="","",'Daily Data'!E455)</f>
        <v/>
      </c>
      <c r="C455" s="65" t="n">
        <v>38.08</v>
      </c>
      <c r="D455" s="94" t="n">
        <v>16409.18</v>
      </c>
      <c r="E455" s="94" t="n">
        <v>26478.2252</v>
      </c>
      <c r="F455" s="94" t="n">
        <v>884.5664</v>
      </c>
      <c r="G455" s="94" t="n"/>
      <c r="H455" s="95">
        <f>SUM($G$4:G455)</f>
        <v/>
      </c>
      <c r="I455" s="94" t="n">
        <v>1000000000</v>
      </c>
      <c r="J455" s="95">
        <f>J454-E455</f>
        <v/>
      </c>
      <c r="K455" s="94" t="n">
        <v>60000000</v>
      </c>
      <c r="L455" s="94" t="n">
        <v>42694298.92255512</v>
      </c>
      <c r="M455" s="94" t="n">
        <v>3000000</v>
      </c>
      <c r="N455" s="94" t="n">
        <v>729738.098099947</v>
      </c>
      <c r="O455" s="96">
        <f>IF(OR(I455="",J455="",L455="",N455=""),"",I455-J455-K455-L455-M455-N455)</f>
        <v/>
      </c>
      <c r="P455" s="91">
        <f>IF(OR(O455="",C455=""),"",O455*C455)</f>
        <v/>
      </c>
      <c r="Q455" s="69">
        <f>Q454-E455</f>
        <v/>
      </c>
      <c r="R455" s="97">
        <f>IF(OR(J455="",Q455=""),"",J455-Q455)</f>
        <v/>
      </c>
      <c r="S455" s="69">
        <f>IF(D455="",S454,S454+D455)</f>
        <v/>
      </c>
      <c r="T455" s="97">
        <f>IF(OR(L455="",S455=""),"",L455-S455)</f>
        <v/>
      </c>
      <c r="U455" s="69">
        <f>IF(F455="",U454,U454+F455)</f>
        <v/>
      </c>
      <c r="V455" s="97">
        <f>IF(OR(N455="",U455=""),"",N455-U455)</f>
        <v/>
      </c>
      <c r="W455" s="71">
        <f>IF(OR(C455="",C455=0,'Daily Data'!J455=""),"",'Daily Data'!J455/C455)</f>
        <v/>
      </c>
      <c r="X455" s="71">
        <f>IF(OR(C455="",C455=0,'Daily Data'!K455=""),"",'Daily Data'!K455/C455)</f>
        <v/>
      </c>
      <c r="Y455" s="71">
        <f>IF(OR(F455="",W455="",X455=""),"",F455-W455-X455)</f>
        <v/>
      </c>
      <c r="Z455" s="72" t="n">
        <v>369.48</v>
      </c>
      <c r="AA455" s="72" t="n">
        <v>65.2</v>
      </c>
      <c r="AB455" s="73">
        <f>Z455+AA455</f>
        <v/>
      </c>
      <c r="AC455" s="74">
        <f>IF(OR(E455="",E455=0,AB455=""),"",E455*365/(AB455*1000000))</f>
        <v/>
      </c>
      <c r="AD455" s="98">
        <f>IF(OR(O455="",O455=0,AB455=""),"",(AB455*1000000)/O455)</f>
        <v/>
      </c>
      <c r="AE455" s="99">
        <f>IF(H455="","",(Team_Genesis-H455)/1000000)</f>
        <v/>
      </c>
      <c r="AF455" s="99">
        <f>IF(OR(O455="",AE455=""),"",(O455-AE455*1000000)/1000000)</f>
        <v/>
      </c>
    </row>
    <row r="456">
      <c r="A456" s="35" t="n">
        <v>46110</v>
      </c>
      <c r="B456" s="90">
        <f>IF('Daily Data'!E456="","",'Daily Data'!E456)</f>
        <v/>
      </c>
      <c r="C456" s="65" t="n">
        <v>39.45</v>
      </c>
      <c r="D456" s="94" t="n">
        <v>18038.83</v>
      </c>
      <c r="E456" s="94" t="n">
        <v>26489.1993</v>
      </c>
      <c r="F456" s="94" t="n">
        <v>252.1519</v>
      </c>
      <c r="G456" s="94" t="n"/>
      <c r="H456" s="95">
        <f>SUM($G$4:G456)</f>
        <v/>
      </c>
      <c r="I456" s="94" t="n">
        <v>1000000000</v>
      </c>
      <c r="J456" s="95">
        <f>J455-E456</f>
        <v/>
      </c>
      <c r="K456" s="94" t="n">
        <v>60000000</v>
      </c>
      <c r="L456" s="94" t="n">
        <v>42712619.23255512</v>
      </c>
      <c r="M456" s="94" t="n">
        <v>3000000</v>
      </c>
      <c r="N456" s="94" t="n">
        <v>729990.2501000166</v>
      </c>
      <c r="O456" s="96">
        <f>IF(OR(I456="",J456="",L456="",N456=""),"",I456-J456-K456-L456-M456-N456)</f>
        <v/>
      </c>
      <c r="P456" s="91">
        <f>IF(OR(O456="",C456=""),"",O456*C456)</f>
        <v/>
      </c>
      <c r="Q456" s="69">
        <f>Q455-E456</f>
        <v/>
      </c>
      <c r="R456" s="97">
        <f>IF(OR(J456="",Q456=""),"",J456-Q456)</f>
        <v/>
      </c>
      <c r="S456" s="69">
        <f>IF(D456="",S455,S455+D456)</f>
        <v/>
      </c>
      <c r="T456" s="97">
        <f>IF(OR(L456="",S456=""),"",L456-S456)</f>
        <v/>
      </c>
      <c r="U456" s="69">
        <f>IF(F456="",U455,U455+F456)</f>
        <v/>
      </c>
      <c r="V456" s="97">
        <f>IF(OR(N456="",U456=""),"",N456-U456)</f>
        <v/>
      </c>
      <c r="W456" s="71">
        <f>IF(OR(C456="",C456=0,'Daily Data'!J456=""),"",'Daily Data'!J456/C456)</f>
        <v/>
      </c>
      <c r="X456" s="71">
        <f>IF(OR(C456="",C456=0,'Daily Data'!K456=""),"",'Daily Data'!K456/C456)</f>
        <v/>
      </c>
      <c r="Y456" s="71">
        <f>IF(OR(F456="",W456="",X456=""),"",F456-W456-X456)</f>
        <v/>
      </c>
      <c r="Z456" s="72" t="n">
        <v>369.48</v>
      </c>
      <c r="AA456" s="72" t="n">
        <v>65.2</v>
      </c>
      <c r="AB456" s="73">
        <f>Z456+AA456</f>
        <v/>
      </c>
      <c r="AC456" s="74">
        <f>IF(OR(E456="",E456=0,AB456=""),"",E456*365/(AB456*1000000))</f>
        <v/>
      </c>
      <c r="AD456" s="98">
        <f>IF(OR(O456="",O456=0,AB456=""),"",(AB456*1000000)/O456)</f>
        <v/>
      </c>
      <c r="AE456" s="99">
        <f>IF(H456="","",(Team_Genesis-H456)/1000000)</f>
        <v/>
      </c>
      <c r="AF456" s="99">
        <f>IF(OR(O456="",AE456=""),"",(O456-AE456*1000000)/1000000)</f>
        <v/>
      </c>
    </row>
    <row r="457">
      <c r="A457" s="35" t="n">
        <v>46111</v>
      </c>
      <c r="B457" s="90">
        <f>IF('Daily Data'!E457="","",'Daily Data'!E457)</f>
        <v/>
      </c>
      <c r="C457" s="65" t="n">
        <v>38.38</v>
      </c>
      <c r="D457" s="94" t="n">
        <v>32787.89</v>
      </c>
      <c r="E457" s="94" t="n">
        <v>26454.5544</v>
      </c>
      <c r="F457" s="94" t="n">
        <v>1138.5131</v>
      </c>
      <c r="G457" s="94" t="n"/>
      <c r="H457" s="95">
        <f>SUM($G$4:G457)</f>
        <v/>
      </c>
      <c r="I457" s="94" t="n">
        <v>1000000000</v>
      </c>
      <c r="J457" s="95">
        <f>J456-E457</f>
        <v/>
      </c>
      <c r="K457" s="94" t="n">
        <v>60000000</v>
      </c>
      <c r="L457" s="94" t="n">
        <v>42745268.37255512</v>
      </c>
      <c r="M457" s="94" t="n">
        <v>3000000</v>
      </c>
      <c r="N457" s="94" t="n">
        <v>731128.7632000446</v>
      </c>
      <c r="O457" s="96">
        <f>IF(OR(I457="",J457="",L457="",N457=""),"",I457-J457-K457-L457-M457-N457)</f>
        <v/>
      </c>
      <c r="P457" s="91">
        <f>IF(OR(O457="",C457=""),"",O457*C457)</f>
        <v/>
      </c>
      <c r="Q457" s="69">
        <f>Q456-E457</f>
        <v/>
      </c>
      <c r="R457" s="97">
        <f>IF(OR(J457="",Q457=""),"",J457-Q457)</f>
        <v/>
      </c>
      <c r="S457" s="69">
        <f>IF(D457="",S456,S456+D457)</f>
        <v/>
      </c>
      <c r="T457" s="97">
        <f>IF(OR(L457="",S457=""),"",L457-S457)</f>
        <v/>
      </c>
      <c r="U457" s="69">
        <f>IF(F457="",U456,U456+F457)</f>
        <v/>
      </c>
      <c r="V457" s="97">
        <f>IF(OR(N457="",U457=""),"",N457-U457)</f>
        <v/>
      </c>
      <c r="W457" s="71">
        <f>IF(OR(C457="",C457=0,'Daily Data'!J457=""),"",'Daily Data'!J457/C457)</f>
        <v/>
      </c>
      <c r="X457" s="71">
        <f>IF(OR(C457="",C457=0,'Daily Data'!K457=""),"",'Daily Data'!K457/C457)</f>
        <v/>
      </c>
      <c r="Y457" s="71">
        <f>IF(OR(F457="",W457="",X457=""),"",F457-W457-X457)</f>
        <v/>
      </c>
      <c r="Z457" s="72" t="n">
        <v>369.48</v>
      </c>
      <c r="AA457" s="72" t="n">
        <v>65.2</v>
      </c>
      <c r="AB457" s="73">
        <f>Z457+AA457</f>
        <v/>
      </c>
      <c r="AC457" s="74">
        <f>IF(OR(E457="",E457=0,AB457=""),"",E457*365/(AB457*1000000))</f>
        <v/>
      </c>
      <c r="AD457" s="98">
        <f>IF(OR(O457="",O457=0,AB457=""),"",(AB457*1000000)/O457)</f>
        <v/>
      </c>
      <c r="AE457" s="99">
        <f>IF(H457="","",(Team_Genesis-H457)/1000000)</f>
        <v/>
      </c>
      <c r="AF457" s="99">
        <f>IF(OR(O457="",AE457=""),"",(O457-AE457*1000000)/1000000)</f>
        <v/>
      </c>
    </row>
    <row r="458">
      <c r="A458" s="35" t="n">
        <v>46112</v>
      </c>
      <c r="B458" s="90">
        <f>IF('Daily Data'!E458="","",'Daily Data'!E458)</f>
        <v/>
      </c>
      <c r="C458" s="65" t="n">
        <v>36.85</v>
      </c>
      <c r="D458" s="94" t="n">
        <v>50158.6</v>
      </c>
      <c r="E458" s="94" t="n">
        <v>26387.6955</v>
      </c>
      <c r="F458" s="94" t="n">
        <v>794.1036</v>
      </c>
      <c r="G458" s="94" t="n"/>
      <c r="H458" s="95">
        <f>SUM($G$4:G458)</f>
        <v/>
      </c>
      <c r="I458" s="94" t="n">
        <v>1000000000</v>
      </c>
      <c r="J458" s="95">
        <f>J457-E458</f>
        <v/>
      </c>
      <c r="K458" s="94" t="n">
        <v>60000000</v>
      </c>
      <c r="L458" s="94" t="n">
        <v>42797054.99255512</v>
      </c>
      <c r="M458" s="94" t="n">
        <v>3000000</v>
      </c>
      <c r="N458" s="94" t="n">
        <v>731922.8667999506</v>
      </c>
      <c r="O458" s="96">
        <f>IF(OR(I458="",J458="",L458="",N458=""),"",I458-J458-K458-L458-M458-N458)</f>
        <v/>
      </c>
      <c r="P458" s="91">
        <f>IF(OR(O458="",C458=""),"",O458*C458)</f>
        <v/>
      </c>
      <c r="Q458" s="69">
        <f>Q457-E458</f>
        <v/>
      </c>
      <c r="R458" s="97">
        <f>IF(OR(J458="",Q458=""),"",J458-Q458)</f>
        <v/>
      </c>
      <c r="S458" s="69">
        <f>IF(D458="",S457,S457+D458)</f>
        <v/>
      </c>
      <c r="T458" s="97">
        <f>IF(OR(L458="",S458=""),"",L458-S458)</f>
        <v/>
      </c>
      <c r="U458" s="69">
        <f>IF(F458="",U457,U457+F458)</f>
        <v/>
      </c>
      <c r="V458" s="97">
        <f>IF(OR(N458="",U458=""),"",N458-U458)</f>
        <v/>
      </c>
      <c r="W458" s="71">
        <f>IF(OR(C458="",C458=0,'Daily Data'!J458=""),"",'Daily Data'!J458/C458)</f>
        <v/>
      </c>
      <c r="X458" s="71">
        <f>IF(OR(C458="",C458=0,'Daily Data'!K458=""),"",'Daily Data'!K458/C458)</f>
        <v/>
      </c>
      <c r="Y458" s="71">
        <f>IF(OR(F458="",W458="",X458=""),"",F458-W458-X458)</f>
        <v/>
      </c>
      <c r="Z458" s="72" t="n">
        <v>369.48</v>
      </c>
      <c r="AA458" s="72" t="n">
        <v>65.2</v>
      </c>
      <c r="AB458" s="73">
        <f>Z458+AA458</f>
        <v/>
      </c>
      <c r="AC458" s="74">
        <f>IF(OR(E458="",E458=0,AB458=""),"",E458*365/(AB458*1000000))</f>
        <v/>
      </c>
      <c r="AD458" s="98">
        <f>IF(OR(O458="",O458=0,AB458=""),"",(AB458*1000000)/O458)</f>
        <v/>
      </c>
      <c r="AE458" s="99">
        <f>IF(H458="","",(Team_Genesis-H458)/1000000)</f>
        <v/>
      </c>
      <c r="AF458" s="99">
        <f>IF(OR(O458="",AE458=""),"",(O458-AE458*1000000)/1000000)</f>
        <v/>
      </c>
    </row>
    <row r="459">
      <c r="A459" s="35" t="n">
        <v>46113</v>
      </c>
      <c r="B459" s="90">
        <f>IF('Daily Data'!E459="","",'Daily Data'!E459)</f>
        <v/>
      </c>
      <c r="C459" s="65" t="n">
        <v>36.5</v>
      </c>
      <c r="D459" s="94" t="n">
        <v>43749.54</v>
      </c>
      <c r="E459" s="94" t="n">
        <v>26478.4995</v>
      </c>
      <c r="F459" s="94" t="n">
        <v>971.313</v>
      </c>
      <c r="G459" s="94" t="n"/>
      <c r="H459" s="95">
        <f>SUM($G$4:G459)</f>
        <v/>
      </c>
      <c r="I459" s="94" t="n">
        <v>1000000000</v>
      </c>
      <c r="J459" s="95">
        <f>J458-E459</f>
        <v/>
      </c>
      <c r="K459" s="94" t="n">
        <v>60000000</v>
      </c>
      <c r="L459" s="94" t="n">
        <v>42839299.65255512</v>
      </c>
      <c r="M459" s="94" t="n">
        <v>3000000</v>
      </c>
      <c r="N459" s="94" t="n">
        <v>732894.1798000336</v>
      </c>
      <c r="O459" s="96">
        <f>IF(OR(I459="",J459="",L459="",N459=""),"",I459-J459-K459-L459-M459-N459)</f>
        <v/>
      </c>
      <c r="P459" s="91">
        <f>IF(OR(O459="",C459=""),"",O459*C459)</f>
        <v/>
      </c>
      <c r="Q459" s="69">
        <f>Q458-E459</f>
        <v/>
      </c>
      <c r="R459" s="97">
        <f>IF(OR(J459="",Q459=""),"",J459-Q459)</f>
        <v/>
      </c>
      <c r="S459" s="69">
        <f>IF(D459="",S458,S458+D459)</f>
        <v/>
      </c>
      <c r="T459" s="97">
        <f>IF(OR(L459="",S459=""),"",L459-S459)</f>
        <v/>
      </c>
      <c r="U459" s="69">
        <f>IF(F459="",U458,U458+F459)</f>
        <v/>
      </c>
      <c r="V459" s="97">
        <f>IF(OR(N459="",U459=""),"",N459-U459)</f>
        <v/>
      </c>
      <c r="W459" s="71">
        <f>IF(OR(C459="",C459=0,'Daily Data'!J459=""),"",'Daily Data'!J459/C459)</f>
        <v/>
      </c>
      <c r="X459" s="71">
        <f>IF(OR(C459="",C459=0,'Daily Data'!K459=""),"",'Daily Data'!K459/C459)</f>
        <v/>
      </c>
      <c r="Y459" s="71">
        <f>IF(OR(F459="",W459="",X459=""),"",F459-W459-X459)</f>
        <v/>
      </c>
      <c r="Z459" s="72" t="n">
        <v>367.87</v>
      </c>
      <c r="AA459" s="72" t="n">
        <v>64.92</v>
      </c>
      <c r="AB459" s="73">
        <f>Z459+AA459</f>
        <v/>
      </c>
      <c r="AC459" s="74">
        <f>IF(OR(E459="",E459=0,AB459=""),"",E459*365/(AB459*1000000))</f>
        <v/>
      </c>
      <c r="AD459" s="98">
        <f>IF(OR(O459="",O459=0,AB459=""),"",(AB459*1000000)/O459)</f>
        <v/>
      </c>
      <c r="AE459" s="99">
        <f>IF(H459="","",(Team_Genesis-H459)/1000000)</f>
        <v/>
      </c>
      <c r="AF459" s="99">
        <f>IF(OR(O459="",AE459=""),"",(O459-AE459*1000000)/1000000)</f>
        <v/>
      </c>
    </row>
    <row r="460">
      <c r="A460" s="35" t="n">
        <v>46114</v>
      </c>
      <c r="B460" s="90">
        <f>IF('Daily Data'!E460="","",'Daily Data'!E460)</f>
        <v/>
      </c>
      <c r="C460" s="65" t="n">
        <v>36</v>
      </c>
      <c r="D460" s="94" t="n">
        <v>49360.33</v>
      </c>
      <c r="E460" s="94" t="n">
        <v>26459.0968</v>
      </c>
      <c r="F460" s="94" t="n">
        <v>283.5728</v>
      </c>
      <c r="G460" s="94" t="n"/>
      <c r="H460" s="95">
        <f>SUM($G$4:G460)</f>
        <v/>
      </c>
      <c r="I460" s="94" t="n">
        <v>1000000000</v>
      </c>
      <c r="J460" s="95">
        <f>J459-E460</f>
        <v/>
      </c>
      <c r="K460" s="94" t="n">
        <v>60000000</v>
      </c>
      <c r="L460" s="94" t="n">
        <v>42888622.73255512</v>
      </c>
      <c r="M460" s="94" t="n">
        <v>3000000</v>
      </c>
      <c r="N460" s="94" t="n">
        <v>733177.7525999546</v>
      </c>
      <c r="O460" s="96">
        <f>IF(OR(I460="",J460="",L460="",N460=""),"",I460-J460-K460-L460-M460-N460)</f>
        <v/>
      </c>
      <c r="P460" s="91">
        <f>IF(OR(O460="",C460=""),"",O460*C460)</f>
        <v/>
      </c>
      <c r="Q460" s="69">
        <f>Q459-E460</f>
        <v/>
      </c>
      <c r="R460" s="97">
        <f>IF(OR(J460="",Q460=""),"",J460-Q460)</f>
        <v/>
      </c>
      <c r="S460" s="69">
        <f>IF(D460="",S459,S459+D460)</f>
        <v/>
      </c>
      <c r="T460" s="97">
        <f>IF(OR(L460="",S460=""),"",L460-S460)</f>
        <v/>
      </c>
      <c r="U460" s="69">
        <f>IF(F460="",U459,U459+F460)</f>
        <v/>
      </c>
      <c r="V460" s="97">
        <f>IF(OR(N460="",U460=""),"",N460-U460)</f>
        <v/>
      </c>
      <c r="W460" s="71">
        <f>IF(OR(C460="",C460=0,'Daily Data'!J460=""),"",'Daily Data'!J460/C460)</f>
        <v/>
      </c>
      <c r="X460" s="71">
        <f>IF(OR(C460="",C460=0,'Daily Data'!K460=""),"",'Daily Data'!K460/C460)</f>
        <v/>
      </c>
      <c r="Y460" s="71">
        <f>IF(OR(F460="",W460="",X460=""),"",F460-W460-X460)</f>
        <v/>
      </c>
      <c r="Z460" s="72" t="n">
        <v>367.87</v>
      </c>
      <c r="AA460" s="72" t="n">
        <v>64.92</v>
      </c>
      <c r="AB460" s="73">
        <f>Z460+AA460</f>
        <v/>
      </c>
      <c r="AC460" s="74">
        <f>IF(OR(E460="",E460=0,AB460=""),"",E460*365/(AB460*1000000))</f>
        <v/>
      </c>
      <c r="AD460" s="98">
        <f>IF(OR(O460="",O460=0,AB460=""),"",(AB460*1000000)/O460)</f>
        <v/>
      </c>
      <c r="AE460" s="99">
        <f>IF(H460="","",(Team_Genesis-H460)/1000000)</f>
        <v/>
      </c>
      <c r="AF460" s="99">
        <f>IF(OR(O460="",AE460=""),"",(O460-AE460*1000000)/1000000)</f>
        <v/>
      </c>
    </row>
    <row r="461">
      <c r="A461" s="35" t="n">
        <v>46115</v>
      </c>
      <c r="B461" s="90">
        <f>IF('Daily Data'!E461="","",'Daily Data'!E461)</f>
        <v/>
      </c>
      <c r="C461" s="65" t="n">
        <v>35.23</v>
      </c>
      <c r="D461" s="94" t="n">
        <v>21013.16</v>
      </c>
      <c r="E461" s="94" t="n">
        <v>26361.2491</v>
      </c>
      <c r="F461" s="94" t="n">
        <v>985.9113</v>
      </c>
      <c r="G461" s="94" t="n"/>
      <c r="H461" s="95">
        <f>SUM($G$4:G461)</f>
        <v/>
      </c>
      <c r="I461" s="94" t="n">
        <v>1000000000</v>
      </c>
      <c r="J461" s="95">
        <f>J460-E461</f>
        <v/>
      </c>
      <c r="K461" s="94" t="n">
        <v>60000000</v>
      </c>
      <c r="L461" s="94" t="n">
        <v>42909162.12255512</v>
      </c>
      <c r="M461" s="94" t="n">
        <v>3000000</v>
      </c>
      <c r="N461" s="94" t="n">
        <v>734163.6639000177</v>
      </c>
      <c r="O461" s="96">
        <f>IF(OR(I461="",J461="",L461="",N461=""),"",I461-J461-K461-L461-M461-N461)</f>
        <v/>
      </c>
      <c r="P461" s="91">
        <f>IF(OR(O461="",C461=""),"",O461*C461)</f>
        <v/>
      </c>
      <c r="Q461" s="69">
        <f>Q460-E461</f>
        <v/>
      </c>
      <c r="R461" s="97">
        <f>IF(OR(J461="",Q461=""),"",J461-Q461)</f>
        <v/>
      </c>
      <c r="S461" s="69">
        <f>IF(D461="",S460,S460+D461)</f>
        <v/>
      </c>
      <c r="T461" s="97">
        <f>IF(OR(L461="",S461=""),"",L461-S461)</f>
        <v/>
      </c>
      <c r="U461" s="69">
        <f>IF(F461="",U460,U460+F461)</f>
        <v/>
      </c>
      <c r="V461" s="97">
        <f>IF(OR(N461="",U461=""),"",N461-U461)</f>
        <v/>
      </c>
      <c r="W461" s="71">
        <f>IF(OR(C461="",C461=0,'Daily Data'!J461=""),"",'Daily Data'!J461/C461)</f>
        <v/>
      </c>
      <c r="X461" s="71">
        <f>IF(OR(C461="",C461=0,'Daily Data'!K461=""),"",'Daily Data'!K461/C461)</f>
        <v/>
      </c>
      <c r="Y461" s="71">
        <f>IF(OR(F461="",W461="",X461=""),"",F461-W461-X461)</f>
        <v/>
      </c>
      <c r="Z461" s="72" t="n">
        <v>367.87</v>
      </c>
      <c r="AA461" s="72" t="n">
        <v>64.92</v>
      </c>
      <c r="AB461" s="73">
        <f>Z461+AA461</f>
        <v/>
      </c>
      <c r="AC461" s="74">
        <f>IF(OR(E461="",E461=0,AB461=""),"",E461*365/(AB461*1000000))</f>
        <v/>
      </c>
      <c r="AD461" s="98">
        <f>IF(OR(O461="",O461=0,AB461=""),"",(AB461*1000000)/O461)</f>
        <v/>
      </c>
      <c r="AE461" s="99">
        <f>IF(H461="","",(Team_Genesis-H461)/1000000)</f>
        <v/>
      </c>
      <c r="AF461" s="99">
        <f>IF(OR(O461="",AE461=""),"",(O461-AE461*1000000)/1000000)</f>
        <v/>
      </c>
    </row>
    <row r="462">
      <c r="A462" s="35" t="n">
        <v>46116</v>
      </c>
      <c r="B462" s="90">
        <f>IF('Daily Data'!E462="","",'Daily Data'!E462)</f>
        <v/>
      </c>
      <c r="C462" s="65" t="n">
        <v>35.63</v>
      </c>
      <c r="D462" s="94" t="n">
        <v>10794.08</v>
      </c>
      <c r="E462" s="94" t="n">
        <v>26401.5238</v>
      </c>
      <c r="F462" s="94" t="n">
        <v>800.5732</v>
      </c>
      <c r="G462" s="94" t="n"/>
      <c r="H462" s="95">
        <f>SUM($G$4:G462)</f>
        <v/>
      </c>
      <c r="I462" s="94" t="n">
        <v>1000000000</v>
      </c>
      <c r="J462" s="95">
        <f>J461-E462</f>
        <v/>
      </c>
      <c r="K462" s="94" t="n">
        <v>60000000</v>
      </c>
      <c r="L462" s="94" t="n">
        <v>42920232.58255512</v>
      </c>
      <c r="M462" s="94" t="n">
        <v>3000000</v>
      </c>
      <c r="N462" s="94" t="n">
        <v>734964.2371000051</v>
      </c>
      <c r="O462" s="96">
        <f>IF(OR(I462="",J462="",L462="",N462=""),"",I462-J462-K462-L462-M462-N462)</f>
        <v/>
      </c>
      <c r="P462" s="91">
        <f>IF(OR(O462="",C462=""),"",O462*C462)</f>
        <v/>
      </c>
      <c r="Q462" s="69">
        <f>Q461-E462</f>
        <v/>
      </c>
      <c r="R462" s="97">
        <f>IF(OR(J462="",Q462=""),"",J462-Q462)</f>
        <v/>
      </c>
      <c r="S462" s="69">
        <f>IF(D462="",S461,S461+D462)</f>
        <v/>
      </c>
      <c r="T462" s="97">
        <f>IF(OR(L462="",S462=""),"",L462-S462)</f>
        <v/>
      </c>
      <c r="U462" s="69">
        <f>IF(F462="",U461,U461+F462)</f>
        <v/>
      </c>
      <c r="V462" s="97">
        <f>IF(OR(N462="",U462=""),"",N462-U462)</f>
        <v/>
      </c>
      <c r="W462" s="71">
        <f>IF(OR(C462="",C462=0,'Daily Data'!J462=""),"",'Daily Data'!J462/C462)</f>
        <v/>
      </c>
      <c r="X462" s="71">
        <f>IF(OR(C462="",C462=0,'Daily Data'!K462=""),"",'Daily Data'!K462/C462)</f>
        <v/>
      </c>
      <c r="Y462" s="71">
        <f>IF(OR(F462="",W462="",X462=""),"",F462-W462-X462)</f>
        <v/>
      </c>
      <c r="Z462" s="72" t="n">
        <v>367.87</v>
      </c>
      <c r="AA462" s="72" t="n">
        <v>64.92</v>
      </c>
      <c r="AB462" s="73">
        <f>Z462+AA462</f>
        <v/>
      </c>
      <c r="AC462" s="74">
        <f>IF(OR(E462="",E462=0,AB462=""),"",E462*365/(AB462*1000000))</f>
        <v/>
      </c>
      <c r="AD462" s="98">
        <f>IF(OR(O462="",O462=0,AB462=""),"",(AB462*1000000)/O462)</f>
        <v/>
      </c>
      <c r="AE462" s="99">
        <f>IF(H462="","",(Team_Genesis-H462)/1000000)</f>
        <v/>
      </c>
      <c r="AF462" s="99">
        <f>IF(OR(O462="",AE462=""),"",(O462-AE462*1000000)/1000000)</f>
        <v/>
      </c>
    </row>
    <row r="463">
      <c r="A463" s="35" t="n">
        <v>46117</v>
      </c>
      <c r="B463" s="90">
        <f>IF('Daily Data'!E463="","",'Daily Data'!E463)</f>
        <v/>
      </c>
      <c r="C463" s="65" t="n">
        <v>36.23</v>
      </c>
      <c r="D463" s="94" t="n">
        <v>16362.22</v>
      </c>
      <c r="E463" s="94" t="n">
        <v>26393.4448</v>
      </c>
      <c r="F463" s="94" t="n">
        <v>125.9566</v>
      </c>
      <c r="G463" s="94" t="n"/>
      <c r="H463" s="95">
        <f>SUM($G$4:G463)</f>
        <v/>
      </c>
      <c r="I463" s="94" t="n">
        <v>1000000000</v>
      </c>
      <c r="J463" s="95">
        <f>J462-E463</f>
        <v/>
      </c>
      <c r="K463" s="94" t="n">
        <v>60000000</v>
      </c>
      <c r="L463" s="94" t="n">
        <v>42945222.82255512</v>
      </c>
      <c r="M463" s="94" t="n">
        <v>3000000</v>
      </c>
      <c r="N463" s="94" t="n">
        <v>735090.1936000586</v>
      </c>
      <c r="O463" s="96">
        <f>IF(OR(I463="",J463="",L463="",N463=""),"",I463-J463-K463-L463-M463-N463)</f>
        <v/>
      </c>
      <c r="P463" s="91">
        <f>IF(OR(O463="",C463=""),"",O463*C463)</f>
        <v/>
      </c>
      <c r="Q463" s="69">
        <f>Q462-E463</f>
        <v/>
      </c>
      <c r="R463" s="97">
        <f>IF(OR(J463="",Q463=""),"",J463-Q463)</f>
        <v/>
      </c>
      <c r="S463" s="69">
        <f>IF(D463="",S462,S462+D463)</f>
        <v/>
      </c>
      <c r="T463" s="97">
        <f>IF(OR(L463="",S463=""),"",L463-S463)</f>
        <v/>
      </c>
      <c r="U463" s="69">
        <f>IF(F463="",U462,U462+F463)</f>
        <v/>
      </c>
      <c r="V463" s="97">
        <f>IF(OR(N463="",U463=""),"",N463-U463)</f>
        <v/>
      </c>
      <c r="W463" s="71">
        <f>IF(OR(C463="",C463=0,'Daily Data'!J463=""),"",'Daily Data'!J463/C463)</f>
        <v/>
      </c>
      <c r="X463" s="71">
        <f>IF(OR(C463="",C463=0,'Daily Data'!K463=""),"",'Daily Data'!K463/C463)</f>
        <v/>
      </c>
      <c r="Y463" s="71">
        <f>IF(OR(F463="",W463="",X463=""),"",F463-W463-X463)</f>
        <v/>
      </c>
      <c r="Z463" s="72" t="n">
        <v>367.87</v>
      </c>
      <c r="AA463" s="72" t="n">
        <v>64.92</v>
      </c>
      <c r="AB463" s="73">
        <f>Z463+AA463</f>
        <v/>
      </c>
      <c r="AC463" s="74">
        <f>IF(OR(E463="",E463=0,AB463=""),"",E463*365/(AB463*1000000))</f>
        <v/>
      </c>
      <c r="AD463" s="98">
        <f>IF(OR(O463="",O463=0,AB463=""),"",(AB463*1000000)/O463)</f>
        <v/>
      </c>
      <c r="AE463" s="99">
        <f>IF(H463="","",(Team_Genesis-H463)/1000000)</f>
        <v/>
      </c>
      <c r="AF463" s="99">
        <f>IF(OR(O463="",AE463=""),"",(O463-AE463*1000000)/1000000)</f>
        <v/>
      </c>
    </row>
    <row r="464">
      <c r="A464" s="35" t="n">
        <v>46118</v>
      </c>
      <c r="B464" s="90">
        <f>IF('Daily Data'!E464="","",'Daily Data'!E464)</f>
        <v/>
      </c>
      <c r="C464" s="65" t="n">
        <v>36.67</v>
      </c>
      <c r="D464" s="94" t="n">
        <v>46080.62</v>
      </c>
      <c r="E464" s="94" t="n">
        <v>26398.4528</v>
      </c>
      <c r="F464" s="94" t="n">
        <v>170.212</v>
      </c>
      <c r="G464" s="94" t="n">
        <v>330000</v>
      </c>
      <c r="H464" s="95">
        <f>SUM($G$4:G464)</f>
        <v/>
      </c>
      <c r="I464" s="94" t="n">
        <v>1000000000</v>
      </c>
      <c r="J464" s="95">
        <f>J463-E464</f>
        <v/>
      </c>
      <c r="K464" s="94" t="n">
        <v>60000000</v>
      </c>
      <c r="L464" s="94" t="n">
        <v>42982589.28255512</v>
      </c>
      <c r="M464" s="94" t="n">
        <v>3000000</v>
      </c>
      <c r="N464" s="94" t="n">
        <v>735260.4056999683</v>
      </c>
      <c r="O464" s="96">
        <f>IF(OR(I464="",J464="",L464="",N464=""),"",I464-J464-K464-L464-M464-N464)</f>
        <v/>
      </c>
      <c r="P464" s="91">
        <f>IF(OR(O464="",C464=""),"",O464*C464)</f>
        <v/>
      </c>
      <c r="Q464" s="69">
        <f>Q463-E464</f>
        <v/>
      </c>
      <c r="R464" s="97">
        <f>IF(OR(J464="",Q464=""),"",J464-Q464)</f>
        <v/>
      </c>
      <c r="S464" s="69">
        <f>IF(D464="",S463,S463+D464)</f>
        <v/>
      </c>
      <c r="T464" s="97">
        <f>IF(OR(L464="",S464=""),"",L464-S464)</f>
        <v/>
      </c>
      <c r="U464" s="69">
        <f>IF(F464="",U463,U463+F464)</f>
        <v/>
      </c>
      <c r="V464" s="97">
        <f>IF(OR(N464="",U464=""),"",N464-U464)</f>
        <v/>
      </c>
      <c r="W464" s="71">
        <f>IF(OR(C464="",C464=0,'Daily Data'!J464=""),"",'Daily Data'!J464/C464)</f>
        <v/>
      </c>
      <c r="X464" s="71">
        <f>IF(OR(C464="",C464=0,'Daily Data'!K464=""),"",'Daily Data'!K464/C464)</f>
        <v/>
      </c>
      <c r="Y464" s="71">
        <f>IF(OR(F464="",W464="",X464=""),"",F464-W464-X464)</f>
        <v/>
      </c>
      <c r="Z464" s="72" t="n">
        <v>367.87</v>
      </c>
      <c r="AA464" s="72" t="n">
        <v>64.92</v>
      </c>
      <c r="AB464" s="73">
        <f>Z464+AA464</f>
        <v/>
      </c>
      <c r="AC464" s="74">
        <f>IF(OR(E464="",E464=0,AB464=""),"",E464*365/(AB464*1000000))</f>
        <v/>
      </c>
      <c r="AD464" s="98">
        <f>IF(OR(O464="",O464=0,AB464=""),"",(AB464*1000000)/O464)</f>
        <v/>
      </c>
      <c r="AE464" s="99">
        <f>IF(H464="","",(Team_Genesis-H464)/1000000)</f>
        <v/>
      </c>
      <c r="AF464" s="99">
        <f>IF(OR(O464="",AE464=""),"",(O464-AE464*1000000)/1000000)</f>
        <v/>
      </c>
    </row>
    <row r="465">
      <c r="A465" s="35" t="n">
        <v>46119</v>
      </c>
      <c r="B465" s="90">
        <f>IF('Daily Data'!E465="","",'Daily Data'!E465)</f>
        <v/>
      </c>
      <c r="C465" s="65" t="n">
        <v>36.47</v>
      </c>
      <c r="D465" s="94" t="n">
        <v>35674.93</v>
      </c>
      <c r="E465" s="94" t="n">
        <v>26394.3754</v>
      </c>
      <c r="F465" s="94" t="n">
        <v>1310.5848</v>
      </c>
      <c r="G465" s="94" t="n"/>
      <c r="H465" s="95">
        <f>SUM($G$4:G465)</f>
        <v/>
      </c>
      <c r="I465" s="94" t="n">
        <v>1000000000</v>
      </c>
      <c r="J465" s="95">
        <f>J464-E465</f>
        <v/>
      </c>
      <c r="K465" s="94" t="n">
        <v>60000000</v>
      </c>
      <c r="L465" s="94" t="n">
        <v>43028187.78255512</v>
      </c>
      <c r="M465" s="94" t="n">
        <v>3000000</v>
      </c>
      <c r="N465" s="94" t="n">
        <v>736570.9904999733</v>
      </c>
      <c r="O465" s="96">
        <f>IF(OR(I465="",J465="",L465="",N465=""),"",I465-J465-K465-L465-M465-N465)</f>
        <v/>
      </c>
      <c r="P465" s="91">
        <f>IF(OR(O465="",C465=""),"",O465*C465)</f>
        <v/>
      </c>
      <c r="Q465" s="69">
        <f>Q464-E465</f>
        <v/>
      </c>
      <c r="R465" s="97">
        <f>IF(OR(J465="",Q465=""),"",J465-Q465)</f>
        <v/>
      </c>
      <c r="S465" s="69">
        <f>IF(D465="",S464,S464+D465)</f>
        <v/>
      </c>
      <c r="T465" s="97">
        <f>IF(OR(L465="",S465=""),"",L465-S465)</f>
        <v/>
      </c>
      <c r="U465" s="69">
        <f>IF(F465="",U464,U464+F465)</f>
        <v/>
      </c>
      <c r="V465" s="97">
        <f>IF(OR(N465="",U465=""),"",N465-U465)</f>
        <v/>
      </c>
      <c r="W465" s="71">
        <f>IF(OR(C465="",C465=0,'Daily Data'!J465=""),"",'Daily Data'!J465/C465)</f>
        <v/>
      </c>
      <c r="X465" s="71">
        <f>IF(OR(C465="",C465=0,'Daily Data'!K465=""),"",'Daily Data'!K465/C465)</f>
        <v/>
      </c>
      <c r="Y465" s="71">
        <f>IF(OR(F465="",W465="",X465=""),"",F465-W465-X465)</f>
        <v/>
      </c>
      <c r="Z465" s="72" t="n">
        <v>367.87</v>
      </c>
      <c r="AA465" s="72" t="n">
        <v>64.92</v>
      </c>
      <c r="AB465" s="73">
        <f>Z465+AA465</f>
        <v/>
      </c>
      <c r="AC465" s="74">
        <f>IF(OR(E465="",E465=0,AB465=""),"",E465*365/(AB465*1000000))</f>
        <v/>
      </c>
      <c r="AD465" s="98">
        <f>IF(OR(O465="",O465=0,AB465=""),"",(AB465*1000000)/O465)</f>
        <v/>
      </c>
      <c r="AE465" s="99">
        <f>IF(H465="","",(Team_Genesis-H465)/1000000)</f>
        <v/>
      </c>
      <c r="AF465" s="99">
        <f>IF(OR(O465="",AE465=""),"",(O465-AE465*1000000)/1000000)</f>
        <v/>
      </c>
    </row>
    <row r="466">
      <c r="A466" s="35" t="n">
        <v>46120</v>
      </c>
      <c r="B466" s="90">
        <f>IF('Daily Data'!E466="","",'Daily Data'!E466)</f>
        <v/>
      </c>
      <c r="C466" s="65" t="n">
        <v>38.59</v>
      </c>
      <c r="D466" s="94" t="n">
        <v>65114.98</v>
      </c>
      <c r="E466" s="94" t="n">
        <v>26391.4274</v>
      </c>
      <c r="F466" s="94" t="n">
        <v>961.1906</v>
      </c>
      <c r="G466" s="94" t="n"/>
      <c r="H466" s="95">
        <f>SUM($G$4:G466)</f>
        <v/>
      </c>
      <c r="I466" s="94" t="n">
        <v>1000000000</v>
      </c>
      <c r="J466" s="95">
        <f>J465-E466</f>
        <v/>
      </c>
      <c r="K466" s="94" t="n">
        <v>60000000</v>
      </c>
      <c r="L466" s="94" t="n">
        <v>43083756.47255512</v>
      </c>
      <c r="M466" s="94" t="n">
        <v>3000000</v>
      </c>
      <c r="N466" s="94" t="n">
        <v>737532.1811000109</v>
      </c>
      <c r="O466" s="96">
        <f>IF(OR(I466="",J466="",L466="",N466=""),"",I466-J466-K466-L466-M466-N466)</f>
        <v/>
      </c>
      <c r="P466" s="91">
        <f>IF(OR(O466="",C466=""),"",O466*C466)</f>
        <v/>
      </c>
      <c r="Q466" s="69">
        <f>Q465-E466</f>
        <v/>
      </c>
      <c r="R466" s="97">
        <f>IF(OR(J466="",Q466=""),"",J466-Q466)</f>
        <v/>
      </c>
      <c r="S466" s="69">
        <f>IF(D466="",S465,S465+D466)</f>
        <v/>
      </c>
      <c r="T466" s="97">
        <f>IF(OR(L466="",S466=""),"",L466-S466)</f>
        <v/>
      </c>
      <c r="U466" s="69">
        <f>IF(F466="",U465,U465+F466)</f>
        <v/>
      </c>
      <c r="V466" s="97">
        <f>IF(OR(N466="",U466=""),"",N466-U466)</f>
        <v/>
      </c>
      <c r="W466" s="71">
        <f>IF(OR(C466="",C466=0,'Daily Data'!J466=""),"",'Daily Data'!J466/C466)</f>
        <v/>
      </c>
      <c r="X466" s="71">
        <f>IF(OR(C466="",C466=0,'Daily Data'!K466=""),"",'Daily Data'!K466/C466)</f>
        <v/>
      </c>
      <c r="Y466" s="71">
        <f>IF(OR(F466="",W466="",X466=""),"",F466-W466-X466)</f>
        <v/>
      </c>
      <c r="Z466" s="72" t="n">
        <v>367.87</v>
      </c>
      <c r="AA466" s="72" t="n">
        <v>64.92</v>
      </c>
      <c r="AB466" s="73">
        <f>Z466+AA466</f>
        <v/>
      </c>
      <c r="AC466" s="74">
        <f>IF(OR(E466="",E466=0,AB466=""),"",E466*365/(AB466*1000000))</f>
        <v/>
      </c>
      <c r="AD466" s="98">
        <f>IF(OR(O466="",O466=0,AB466=""),"",(AB466*1000000)/O466)</f>
        <v/>
      </c>
      <c r="AE466" s="99">
        <f>IF(H466="","",(Team_Genesis-H466)/1000000)</f>
        <v/>
      </c>
      <c r="AF466" s="99">
        <f>IF(OR(O466="",AE466=""),"",(O466-AE466*1000000)/1000000)</f>
        <v/>
      </c>
    </row>
    <row r="467">
      <c r="A467" s="35" t="n">
        <v>46121</v>
      </c>
      <c r="B467" s="90">
        <f>IF('Daily Data'!E467="","",'Daily Data'!E467)</f>
        <v/>
      </c>
      <c r="C467" s="65" t="n">
        <v>38.35</v>
      </c>
      <c r="D467" s="94" t="n">
        <v>42446.07</v>
      </c>
      <c r="E467" s="94" t="n">
        <v>26388.9572</v>
      </c>
      <c r="F467" s="94" t="n">
        <v>1181.5189</v>
      </c>
      <c r="G467" s="94" t="n"/>
      <c r="H467" s="95">
        <f>SUM($G$4:G467)</f>
        <v/>
      </c>
      <c r="I467" s="94" t="n">
        <v>1000000000</v>
      </c>
      <c r="J467" s="95">
        <f>J466-E467</f>
        <v/>
      </c>
      <c r="K467" s="94" t="n">
        <v>60000000</v>
      </c>
      <c r="L467" s="94" t="n">
        <v>43125924.83255512</v>
      </c>
      <c r="M467" s="94" t="n">
        <v>3000000</v>
      </c>
      <c r="N467" s="94" t="n">
        <v>738713.7000000477</v>
      </c>
      <c r="O467" s="96">
        <f>IF(OR(I467="",J467="",L467="",N467=""),"",I467-J467-K467-L467-M467-N467)</f>
        <v/>
      </c>
      <c r="P467" s="91">
        <f>IF(OR(O467="",C467=""),"",O467*C467)</f>
        <v/>
      </c>
      <c r="Q467" s="69">
        <f>Q466-E467</f>
        <v/>
      </c>
      <c r="R467" s="97">
        <f>IF(OR(J467="",Q467=""),"",J467-Q467)</f>
        <v/>
      </c>
      <c r="S467" s="69">
        <f>IF(D467="",S466,S466+D467)</f>
        <v/>
      </c>
      <c r="T467" s="97">
        <f>IF(OR(L467="",S467=""),"",L467-S467)</f>
        <v/>
      </c>
      <c r="U467" s="69">
        <f>IF(F467="",U466,U466+F467)</f>
        <v/>
      </c>
      <c r="V467" s="97">
        <f>IF(OR(N467="",U467=""),"",N467-U467)</f>
        <v/>
      </c>
      <c r="W467" s="71">
        <f>IF(OR(C467="",C467=0,'Daily Data'!J467=""),"",'Daily Data'!J467/C467)</f>
        <v/>
      </c>
      <c r="X467" s="71">
        <f>IF(OR(C467="",C467=0,'Daily Data'!K467=""),"",'Daily Data'!K467/C467)</f>
        <v/>
      </c>
      <c r="Y467" s="71">
        <f>IF(OR(F467="",W467="",X467=""),"",F467-W467-X467)</f>
        <v/>
      </c>
      <c r="Z467" s="72" t="n">
        <v>367.87</v>
      </c>
      <c r="AA467" s="72" t="n">
        <v>64.92</v>
      </c>
      <c r="AB467" s="73">
        <f>Z467+AA467</f>
        <v/>
      </c>
      <c r="AC467" s="74">
        <f>IF(OR(E467="",E467=0,AB467=""),"",E467*365/(AB467*1000000))</f>
        <v/>
      </c>
      <c r="AD467" s="98">
        <f>IF(OR(O467="",O467=0,AB467=""),"",(AB467*1000000)/O467)</f>
        <v/>
      </c>
      <c r="AE467" s="99">
        <f>IF(H467="","",(Team_Genesis-H467)/1000000)</f>
        <v/>
      </c>
      <c r="AF467" s="99">
        <f>IF(OR(O467="",AE467=""),"",(O467-AE467*1000000)/1000000)</f>
        <v/>
      </c>
    </row>
    <row r="468">
      <c r="A468" s="35" t="n">
        <v>46122</v>
      </c>
      <c r="B468" s="90">
        <f>IF('Daily Data'!E468="","",'Daily Data'!E468)</f>
        <v/>
      </c>
      <c r="C468" s="65" t="n">
        <v>39.95</v>
      </c>
      <c r="D468" s="94" t="n">
        <v>31405.46</v>
      </c>
      <c r="E468" s="94" t="n">
        <v>26243.2147</v>
      </c>
      <c r="F468" s="94" t="n">
        <v>841.2268</v>
      </c>
      <c r="G468" s="94" t="n"/>
      <c r="H468" s="95">
        <f>SUM($G$4:G468)</f>
        <v/>
      </c>
      <c r="I468" s="94" t="n">
        <v>1000000000</v>
      </c>
      <c r="J468" s="95">
        <f>J467-E468</f>
        <v/>
      </c>
      <c r="K468" s="94" t="n">
        <v>60000000</v>
      </c>
      <c r="L468" s="94" t="n">
        <v>43157463.56255512</v>
      </c>
      <c r="M468" s="94" t="n">
        <v>3000000</v>
      </c>
      <c r="N468" s="94" t="n">
        <v>739554.9268000126</v>
      </c>
      <c r="O468" s="96">
        <f>IF(OR(I468="",J468="",L468="",N468=""),"",I468-J468-K468-L468-M468-N468)</f>
        <v/>
      </c>
      <c r="P468" s="91">
        <f>IF(OR(O468="",C468=""),"",O468*C468)</f>
        <v/>
      </c>
      <c r="Q468" s="69">
        <f>Q467-E468</f>
        <v/>
      </c>
      <c r="R468" s="97">
        <f>IF(OR(J468="",Q468=""),"",J468-Q468)</f>
        <v/>
      </c>
      <c r="S468" s="69">
        <f>IF(D468="",S467,S467+D468)</f>
        <v/>
      </c>
      <c r="T468" s="97">
        <f>IF(OR(L468="",S468=""),"",L468-S468)</f>
        <v/>
      </c>
      <c r="U468" s="69">
        <f>IF(F468="",U467,U467+F468)</f>
        <v/>
      </c>
      <c r="V468" s="97">
        <f>IF(OR(N468="",U468=""),"",N468-U468)</f>
        <v/>
      </c>
      <c r="W468" s="71">
        <f>IF(OR(C468="",C468=0,'Daily Data'!J468=""),"",'Daily Data'!J468/C468)</f>
        <v/>
      </c>
      <c r="X468" s="71">
        <f>IF(OR(C468="",C468=0,'Daily Data'!K468=""),"",'Daily Data'!K468/C468)</f>
        <v/>
      </c>
      <c r="Y468" s="71">
        <f>IF(OR(F468="",W468="",X468=""),"",F468-W468-X468)</f>
        <v/>
      </c>
      <c r="Z468" s="72" t="n">
        <v>367.87</v>
      </c>
      <c r="AA468" s="72" t="n">
        <v>64.92</v>
      </c>
      <c r="AB468" s="73">
        <f>Z468+AA468</f>
        <v/>
      </c>
      <c r="AC468" s="74">
        <f>IF(OR(E468="",E468=0,AB468=""),"",E468*365/(AB468*1000000))</f>
        <v/>
      </c>
      <c r="AD468" s="98">
        <f>IF(OR(O468="",O468=0,AB468=""),"",(AB468*1000000)/O468)</f>
        <v/>
      </c>
      <c r="AE468" s="99">
        <f>IF(H468="","",(Team_Genesis-H468)/1000000)</f>
        <v/>
      </c>
      <c r="AF468" s="99">
        <f>IF(OR(O468="",AE468=""),"",(O468-AE468*1000000)/1000000)</f>
        <v/>
      </c>
    </row>
    <row r="469">
      <c r="A469" s="35" t="n">
        <v>46123</v>
      </c>
      <c r="B469" s="90">
        <f>IF('Daily Data'!E469="","",'Daily Data'!E469)</f>
        <v/>
      </c>
      <c r="C469" s="65" t="n">
        <v>41.59</v>
      </c>
      <c r="D469" s="94" t="n">
        <v>17727.89</v>
      </c>
      <c r="E469" s="94" t="n">
        <v>26333.5006</v>
      </c>
      <c r="F469" s="94" t="n">
        <v>435.9036</v>
      </c>
      <c r="G469" s="94" t="n"/>
      <c r="H469" s="95">
        <f>SUM($G$4:G469)</f>
        <v/>
      </c>
      <c r="I469" s="94" t="n">
        <v>1000000000</v>
      </c>
      <c r="J469" s="95">
        <f>J468-E469</f>
        <v/>
      </c>
      <c r="K469" s="94" t="n">
        <v>60000000</v>
      </c>
      <c r="L469" s="94" t="n">
        <v>43175392.31255512</v>
      </c>
      <c r="M469" s="94" t="n">
        <v>3000000</v>
      </c>
      <c r="N469" s="94" t="n">
        <v>739990.8303999901</v>
      </c>
      <c r="O469" s="96">
        <f>IF(OR(I469="",J469="",L469="",N469=""),"",I469-J469-K469-L469-M469-N469)</f>
        <v/>
      </c>
      <c r="P469" s="91">
        <f>IF(OR(O469="",C469=""),"",O469*C469)</f>
        <v/>
      </c>
      <c r="Q469" s="69">
        <f>Q468-E469</f>
        <v/>
      </c>
      <c r="R469" s="97">
        <f>IF(OR(J469="",Q469=""),"",J469-Q469)</f>
        <v/>
      </c>
      <c r="S469" s="69">
        <f>IF(D469="",S468,S468+D469)</f>
        <v/>
      </c>
      <c r="T469" s="97">
        <f>IF(OR(L469="",S469=""),"",L469-S469)</f>
        <v/>
      </c>
      <c r="U469" s="69">
        <f>IF(F469="",U468,U468+F469)</f>
        <v/>
      </c>
      <c r="V469" s="97">
        <f>IF(OR(N469="",U469=""),"",N469-U469)</f>
        <v/>
      </c>
      <c r="W469" s="71">
        <f>IF(OR(C469="",C469=0,'Daily Data'!J469=""),"",'Daily Data'!J469/C469)</f>
        <v/>
      </c>
      <c r="X469" s="71">
        <f>IF(OR(C469="",C469=0,'Daily Data'!K469=""),"",'Daily Data'!K469/C469)</f>
        <v/>
      </c>
      <c r="Y469" s="71">
        <f>IF(OR(F469="",W469="",X469=""),"",F469-W469-X469)</f>
        <v/>
      </c>
      <c r="Z469" s="72" t="n">
        <v>367.87</v>
      </c>
      <c r="AA469" s="72" t="n">
        <v>64.92</v>
      </c>
      <c r="AB469" s="73">
        <f>Z469+AA469</f>
        <v/>
      </c>
      <c r="AC469" s="74">
        <f>IF(OR(E469="",E469=0,AB469=""),"",E469*365/(AB469*1000000))</f>
        <v/>
      </c>
      <c r="AD469" s="98">
        <f>IF(OR(O469="",O469=0,AB469=""),"",(AB469*1000000)/O469)</f>
        <v/>
      </c>
      <c r="AE469" s="99">
        <f>IF(H469="","",(Team_Genesis-H469)/1000000)</f>
        <v/>
      </c>
      <c r="AF469" s="99">
        <f>IF(OR(O469="",AE469=""),"",(O469-AE469*1000000)/1000000)</f>
        <v/>
      </c>
    </row>
    <row r="470">
      <c r="A470" s="35" t="n">
        <v>46124</v>
      </c>
      <c r="B470" s="90">
        <f>IF('Daily Data'!E470="","",'Daily Data'!E470)</f>
        <v/>
      </c>
      <c r="C470" s="65" t="n">
        <v>42.54</v>
      </c>
      <c r="D470" s="94" t="n">
        <v>27717.87</v>
      </c>
      <c r="E470" s="94" t="n">
        <v>26419.8127</v>
      </c>
      <c r="F470" s="94" t="n">
        <v>718.5359</v>
      </c>
      <c r="G470" s="94" t="n"/>
      <c r="H470" s="95">
        <f>SUM($G$4:G470)</f>
        <v/>
      </c>
      <c r="I470" s="94" t="n">
        <v>1000000000</v>
      </c>
      <c r="J470" s="95">
        <f>J469-E470</f>
        <v/>
      </c>
      <c r="K470" s="94" t="n">
        <v>60000000</v>
      </c>
      <c r="L470" s="94" t="n">
        <v>43202403.85255512</v>
      </c>
      <c r="M470" s="94" t="n">
        <v>3000000</v>
      </c>
      <c r="N470" s="94" t="n">
        <v>740709.3662999868</v>
      </c>
      <c r="O470" s="96">
        <f>IF(OR(I470="",J470="",L470="",N470=""),"",I470-J470-K470-L470-M470-N470)</f>
        <v/>
      </c>
      <c r="P470" s="91">
        <f>IF(OR(O470="",C470=""),"",O470*C470)</f>
        <v/>
      </c>
      <c r="Q470" s="69">
        <f>Q469-E470</f>
        <v/>
      </c>
      <c r="R470" s="97">
        <f>IF(OR(J470="",Q470=""),"",J470-Q470)</f>
        <v/>
      </c>
      <c r="S470" s="69">
        <f>IF(D470="",S469,S469+D470)</f>
        <v/>
      </c>
      <c r="T470" s="97">
        <f>IF(OR(L470="",S470=""),"",L470-S470)</f>
        <v/>
      </c>
      <c r="U470" s="69">
        <f>IF(F470="",U469,U469+F470)</f>
        <v/>
      </c>
      <c r="V470" s="97">
        <f>IF(OR(N470="",U470=""),"",N470-U470)</f>
        <v/>
      </c>
      <c r="W470" s="71">
        <f>IF(OR(C470="",C470=0,'Daily Data'!J470=""),"",'Daily Data'!J470/C470)</f>
        <v/>
      </c>
      <c r="X470" s="71">
        <f>IF(OR(C470="",C470=0,'Daily Data'!K470=""),"",'Daily Data'!K470/C470)</f>
        <v/>
      </c>
      <c r="Y470" s="71">
        <f>IF(OR(F470="",W470="",X470=""),"",F470-W470-X470)</f>
        <v/>
      </c>
      <c r="Z470" s="72" t="n">
        <v>367.87</v>
      </c>
      <c r="AA470" s="72" t="n">
        <v>64.92</v>
      </c>
      <c r="AB470" s="73">
        <f>Z470+AA470</f>
        <v/>
      </c>
      <c r="AC470" s="74">
        <f>IF(OR(E470="",E470=0,AB470=""),"",E470*365/(AB470*1000000))</f>
        <v/>
      </c>
      <c r="AD470" s="98">
        <f>IF(OR(O470="",O470=0,AB470=""),"",(AB470*1000000)/O470)</f>
        <v/>
      </c>
      <c r="AE470" s="99">
        <f>IF(H470="","",(Team_Genesis-H470)/1000000)</f>
        <v/>
      </c>
      <c r="AF470" s="99">
        <f>IF(OR(O470="",AE470=""),"",(O470-AE470*1000000)/1000000)</f>
        <v/>
      </c>
    </row>
    <row r="471">
      <c r="A471" s="35" t="n">
        <v>46125</v>
      </c>
      <c r="B471" s="90">
        <f>IF('Daily Data'!E471="","",'Daily Data'!E471)</f>
        <v/>
      </c>
      <c r="C471" s="65" t="n">
        <v>41.05</v>
      </c>
      <c r="D471" s="94" t="n">
        <v>39230.22</v>
      </c>
      <c r="E471" s="94" t="n">
        <v>26416.9001</v>
      </c>
      <c r="F471" s="94" t="n">
        <v>228.6712</v>
      </c>
      <c r="G471" s="94" t="n"/>
      <c r="H471" s="95">
        <f>SUM($G$4:G471)</f>
        <v/>
      </c>
      <c r="I471" s="94" t="n">
        <v>1000000000</v>
      </c>
      <c r="J471" s="95">
        <f>J470-E471</f>
        <v/>
      </c>
      <c r="K471" s="94" t="n">
        <v>60000000</v>
      </c>
      <c r="L471" s="94" t="n">
        <v>43242557.68255512</v>
      </c>
      <c r="M471" s="94" t="n">
        <v>3000000</v>
      </c>
      <c r="N471" s="94" t="n">
        <v>740938.0375000238</v>
      </c>
      <c r="O471" s="96">
        <f>IF(OR(I471="",J471="",L471="",N471=""),"",I471-J471-K471-L471-M471-N471)</f>
        <v/>
      </c>
      <c r="P471" s="91">
        <f>IF(OR(O471="",C471=""),"",O471*C471)</f>
        <v/>
      </c>
      <c r="Q471" s="69">
        <f>Q470-E471</f>
        <v/>
      </c>
      <c r="R471" s="97">
        <f>IF(OR(J471="",Q471=""),"",J471-Q471)</f>
        <v/>
      </c>
      <c r="S471" s="69">
        <f>IF(D471="",S470,S470+D471)</f>
        <v/>
      </c>
      <c r="T471" s="97">
        <f>IF(OR(L471="",S471=""),"",L471-S471)</f>
        <v/>
      </c>
      <c r="U471" s="69">
        <f>IF(F471="",U470,U470+F471)</f>
        <v/>
      </c>
      <c r="V471" s="97">
        <f>IF(OR(N471="",U471=""),"",N471-U471)</f>
        <v/>
      </c>
      <c r="W471" s="71">
        <f>IF(OR(C471="",C471=0,'Daily Data'!J471=""),"",'Daily Data'!J471/C471)</f>
        <v/>
      </c>
      <c r="X471" s="71">
        <f>IF(OR(C471="",C471=0,'Daily Data'!K471=""),"",'Daily Data'!K471/C471)</f>
        <v/>
      </c>
      <c r="Y471" s="71">
        <f>IF(OR(F471="",W471="",X471=""),"",F471-W471-X471)</f>
        <v/>
      </c>
      <c r="Z471" s="72" t="n">
        <v>367.87</v>
      </c>
      <c r="AA471" s="72" t="n">
        <v>64.92</v>
      </c>
      <c r="AB471" s="73">
        <f>Z471+AA471</f>
        <v/>
      </c>
      <c r="AC471" s="74">
        <f>IF(OR(E471="",E471=0,AB471=""),"",E471*365/(AB471*1000000))</f>
        <v/>
      </c>
      <c r="AD471" s="98">
        <f>IF(OR(O471="",O471=0,AB471=""),"",(AB471*1000000)/O471)</f>
        <v/>
      </c>
      <c r="AE471" s="99">
        <f>IF(H471="","",(Team_Genesis-H471)/1000000)</f>
        <v/>
      </c>
      <c r="AF471" s="99">
        <f>IF(OR(O471="",AE471=""),"",(O471-AE471*1000000)/1000000)</f>
        <v/>
      </c>
    </row>
    <row r="472">
      <c r="A472" s="35" t="n">
        <v>46126</v>
      </c>
      <c r="B472" s="90">
        <f>IF('Daily Data'!E472="","",'Daily Data'!E472)</f>
        <v/>
      </c>
      <c r="C472" s="65" t="n">
        <v>44.77</v>
      </c>
      <c r="D472" s="94" t="n">
        <v>42938.42</v>
      </c>
      <c r="E472" s="94" t="n">
        <v>26453.2855</v>
      </c>
      <c r="F472" s="94" t="n">
        <v>997.557</v>
      </c>
      <c r="G472" s="94" t="n"/>
      <c r="H472" s="95">
        <f>SUM($G$4:G472)</f>
        <v/>
      </c>
      <c r="I472" s="94" t="n">
        <v>1000000000</v>
      </c>
      <c r="J472" s="95">
        <f>J471-E472</f>
        <v/>
      </c>
      <c r="K472" s="94" t="n">
        <v>60000000</v>
      </c>
      <c r="L472" s="94" t="n">
        <v>43285637.74255512</v>
      </c>
      <c r="M472" s="94" t="n">
        <v>3000000</v>
      </c>
      <c r="N472" s="94" t="n">
        <v>741935.5944999456</v>
      </c>
      <c r="O472" s="96">
        <f>IF(OR(I472="",J472="",L472="",N472=""),"",I472-J472-K472-L472-M472-N472)</f>
        <v/>
      </c>
      <c r="P472" s="91">
        <f>IF(OR(O472="",C472=""),"",O472*C472)</f>
        <v/>
      </c>
      <c r="Q472" s="69">
        <f>Q471-E472</f>
        <v/>
      </c>
      <c r="R472" s="97">
        <f>IF(OR(J472="",Q472=""),"",J472-Q472)</f>
        <v/>
      </c>
      <c r="S472" s="69">
        <f>IF(D472="",S471,S471+D472)</f>
        <v/>
      </c>
      <c r="T472" s="97">
        <f>IF(OR(L472="",S472=""),"",L472-S472)</f>
        <v/>
      </c>
      <c r="U472" s="69">
        <f>IF(F472="",U471,U471+F472)</f>
        <v/>
      </c>
      <c r="V472" s="97">
        <f>IF(OR(N472="",U472=""),"",N472-U472)</f>
        <v/>
      </c>
      <c r="W472" s="71">
        <f>IF(OR(C472="",C472=0,'Daily Data'!J472=""),"",'Daily Data'!J472/C472)</f>
        <v/>
      </c>
      <c r="X472" s="71">
        <f>IF(OR(C472="",C472=0,'Daily Data'!K472=""),"",'Daily Data'!K472/C472)</f>
        <v/>
      </c>
      <c r="Y472" s="71">
        <f>IF(OR(F472="",W472="",X472=""),"",F472-W472-X472)</f>
        <v/>
      </c>
      <c r="Z472" s="72" t="n">
        <v>367.87</v>
      </c>
      <c r="AA472" s="72" t="n">
        <v>64.92</v>
      </c>
      <c r="AB472" s="73">
        <f>Z472+AA472</f>
        <v/>
      </c>
      <c r="AC472" s="74">
        <f>IF(OR(E472="",E472=0,AB472=""),"",E472*365/(AB472*1000000))</f>
        <v/>
      </c>
      <c r="AD472" s="98">
        <f>IF(OR(O472="",O472=0,AB472=""),"",(AB472*1000000)/O472)</f>
        <v/>
      </c>
      <c r="AE472" s="99">
        <f>IF(H472="","",(Team_Genesis-H472)/1000000)</f>
        <v/>
      </c>
      <c r="AF472" s="99">
        <f>IF(OR(O472="",AE472=""),"",(O472-AE472*1000000)/1000000)</f>
        <v/>
      </c>
    </row>
    <row r="473">
      <c r="A473" s="35" t="n">
        <v>46127</v>
      </c>
      <c r="B473" s="90">
        <f>IF('Daily Data'!E473="","",'Daily Data'!E473)</f>
        <v/>
      </c>
      <c r="C473" s="65" t="n">
        <v>43.8</v>
      </c>
      <c r="D473" s="94" t="n">
        <v>29919.89</v>
      </c>
      <c r="E473" s="94" t="n">
        <v>26464.6572</v>
      </c>
      <c r="F473" s="94" t="n">
        <v>421.2748</v>
      </c>
      <c r="G473" s="94" t="n"/>
      <c r="H473" s="95">
        <f>SUM($G$4:G473)</f>
        <v/>
      </c>
      <c r="I473" s="94" t="n">
        <v>1000000000</v>
      </c>
      <c r="J473" s="95">
        <f>J472-E473</f>
        <v/>
      </c>
      <c r="K473" s="94" t="n">
        <v>60000000</v>
      </c>
      <c r="L473" s="94" t="n">
        <v>43315329.98255512</v>
      </c>
      <c r="M473" s="94" t="n">
        <v>3000000</v>
      </c>
      <c r="N473" s="94" t="n">
        <v>742356.8691999912</v>
      </c>
      <c r="O473" s="96">
        <f>IF(OR(I473="",J473="",L473="",N473=""),"",I473-J473-K473-L473-M473-N473)</f>
        <v/>
      </c>
      <c r="P473" s="91">
        <f>IF(OR(O473="",C473=""),"",O473*C473)</f>
        <v/>
      </c>
      <c r="Q473" s="69">
        <f>Q472-E473</f>
        <v/>
      </c>
      <c r="R473" s="97">
        <f>IF(OR(J473="",Q473=""),"",J473-Q473)</f>
        <v/>
      </c>
      <c r="S473" s="69">
        <f>IF(D473="",S472,S472+D473)</f>
        <v/>
      </c>
      <c r="T473" s="97">
        <f>IF(OR(L473="",S473=""),"",L473-S473)</f>
        <v/>
      </c>
      <c r="U473" s="69">
        <f>IF(F473="",U472,U472+F473)</f>
        <v/>
      </c>
      <c r="V473" s="97">
        <f>IF(OR(N473="",U473=""),"",N473-U473)</f>
        <v/>
      </c>
      <c r="W473" s="71">
        <f>IF(OR(C473="",C473=0,'Daily Data'!J473=""),"",'Daily Data'!J473/C473)</f>
        <v/>
      </c>
      <c r="X473" s="71">
        <f>IF(OR(C473="",C473=0,'Daily Data'!K473=""),"",'Daily Data'!K473/C473)</f>
        <v/>
      </c>
      <c r="Y473" s="71">
        <f>IF(OR(F473="",W473="",X473=""),"",F473-W473-X473)</f>
        <v/>
      </c>
      <c r="Z473" s="72" t="n">
        <v>367.87</v>
      </c>
      <c r="AA473" s="72" t="n">
        <v>64.92</v>
      </c>
      <c r="AB473" s="73">
        <f>Z473+AA473</f>
        <v/>
      </c>
      <c r="AC473" s="74">
        <f>IF(OR(E473="",E473=0,AB473=""),"",E473*365/(AB473*1000000))</f>
        <v/>
      </c>
      <c r="AD473" s="98">
        <f>IF(OR(O473="",O473=0,AB473=""),"",(AB473*1000000)/O473)</f>
        <v/>
      </c>
      <c r="AE473" s="99">
        <f>IF(H473="","",(Team_Genesis-H473)/1000000)</f>
        <v/>
      </c>
      <c r="AF473" s="99">
        <f>IF(OR(O473="",AE473=""),"",(O473-AE473*1000000)/1000000)</f>
        <v/>
      </c>
    </row>
    <row r="474">
      <c r="A474" s="35" t="n">
        <v>46128</v>
      </c>
      <c r="B474" s="90">
        <f>IF('Daily Data'!E474="","",'Daily Data'!E474)</f>
        <v/>
      </c>
      <c r="C474" s="65" t="n">
        <v>44.53</v>
      </c>
      <c r="D474" s="94" t="n">
        <v>37404.67</v>
      </c>
      <c r="E474" s="94" t="n">
        <v>26464.5846</v>
      </c>
      <c r="F474" s="94" t="n">
        <v>1297.7344</v>
      </c>
      <c r="G474" s="94" t="n"/>
      <c r="H474" s="95">
        <f>SUM($G$4:G474)</f>
        <v/>
      </c>
      <c r="I474" s="94" t="n">
        <v>1000000000</v>
      </c>
      <c r="J474" s="95">
        <f>J473-E474</f>
        <v/>
      </c>
      <c r="K474" s="94" t="n">
        <v>60000000</v>
      </c>
      <c r="L474" s="94" t="n">
        <v>43352296.74255512</v>
      </c>
      <c r="M474" s="94" t="n">
        <v>3000000</v>
      </c>
      <c r="N474" s="94" t="n">
        <v>743654.6037000418</v>
      </c>
      <c r="O474" s="96">
        <f>IF(OR(I474="",J474="",L474="",N474=""),"",I474-J474-K474-L474-M474-N474)</f>
        <v/>
      </c>
      <c r="P474" s="91">
        <f>IF(OR(O474="",C474=""),"",O474*C474)</f>
        <v/>
      </c>
      <c r="Q474" s="69">
        <f>Q473-E474</f>
        <v/>
      </c>
      <c r="R474" s="97">
        <f>IF(OR(J474="",Q474=""),"",J474-Q474)</f>
        <v/>
      </c>
      <c r="S474" s="69">
        <f>IF(D474="",S473,S473+D474)</f>
        <v/>
      </c>
      <c r="T474" s="97">
        <f>IF(OR(L474="",S474=""),"",L474-S474)</f>
        <v/>
      </c>
      <c r="U474" s="69">
        <f>IF(F474="",U473,U473+F474)</f>
        <v/>
      </c>
      <c r="V474" s="97">
        <f>IF(OR(N474="",U474=""),"",N474-U474)</f>
        <v/>
      </c>
      <c r="W474" s="71">
        <f>IF(OR(C474="",C474=0,'Daily Data'!J474=""),"",'Daily Data'!J474/C474)</f>
        <v/>
      </c>
      <c r="X474" s="71">
        <f>IF(OR(C474="",C474=0,'Daily Data'!K474=""),"",'Daily Data'!K474/C474)</f>
        <v/>
      </c>
      <c r="Y474" s="71">
        <f>IF(OR(F474="",W474="",X474=""),"",F474-W474-X474)</f>
        <v/>
      </c>
      <c r="Z474" s="72" t="n">
        <v>367.87</v>
      </c>
      <c r="AA474" s="72" t="n">
        <v>64.92</v>
      </c>
      <c r="AB474" s="73">
        <f>Z474+AA474</f>
        <v/>
      </c>
      <c r="AC474" s="74">
        <f>IF(OR(E474="",E474=0,AB474=""),"",E474*365/(AB474*1000000))</f>
        <v/>
      </c>
      <c r="AD474" s="98">
        <f>IF(OR(O474="",O474=0,AB474=""),"",(AB474*1000000)/O474)</f>
        <v/>
      </c>
      <c r="AE474" s="99">
        <f>IF(H474="","",(Team_Genesis-H474)/1000000)</f>
        <v/>
      </c>
      <c r="AF474" s="99">
        <f>IF(OR(O474="",AE474=""),"",(O474-AE474*1000000)/1000000)</f>
        <v/>
      </c>
    </row>
    <row r="475">
      <c r="A475" s="35" t="n">
        <v>46129</v>
      </c>
      <c r="B475" s="90">
        <f>IF('Daily Data'!E475="","",'Daily Data'!E475)</f>
        <v/>
      </c>
      <c r="C475" s="65" t="n">
        <v>44.09</v>
      </c>
      <c r="D475" s="94" t="n">
        <v>43321.04</v>
      </c>
      <c r="E475" s="94" t="n">
        <v>26437.0983</v>
      </c>
      <c r="F475" s="94" t="n">
        <v>555.5300999999999</v>
      </c>
      <c r="G475" s="94" t="n"/>
      <c r="H475" s="95">
        <f>SUM($G$4:G475)</f>
        <v/>
      </c>
      <c r="I475" s="94" t="n">
        <v>1000000000</v>
      </c>
      <c r="J475" s="95">
        <f>J474-E475</f>
        <v/>
      </c>
      <c r="K475" s="94" t="n">
        <v>60000000</v>
      </c>
      <c r="L475" s="94" t="n">
        <v>43395448.83255512</v>
      </c>
      <c r="M475" s="94" t="n">
        <v>3000000</v>
      </c>
      <c r="N475" s="94" t="n">
        <v>744210.1337000132</v>
      </c>
      <c r="O475" s="96">
        <f>IF(OR(I475="",J475="",L475="",N475=""),"",I475-J475-K475-L475-M475-N475)</f>
        <v/>
      </c>
      <c r="P475" s="91">
        <f>IF(OR(O475="",C475=""),"",O475*C475)</f>
        <v/>
      </c>
      <c r="Q475" s="69">
        <f>Q474-E475</f>
        <v/>
      </c>
      <c r="R475" s="97">
        <f>IF(OR(J475="",Q475=""),"",J475-Q475)</f>
        <v/>
      </c>
      <c r="S475" s="69">
        <f>IF(D475="",S474,S474+D475)</f>
        <v/>
      </c>
      <c r="T475" s="97">
        <f>IF(OR(L475="",S475=""),"",L475-S475)</f>
        <v/>
      </c>
      <c r="U475" s="69">
        <f>IF(F475="",U474,U474+F475)</f>
        <v/>
      </c>
      <c r="V475" s="97">
        <f>IF(OR(N475="",U475=""),"",N475-U475)</f>
        <v/>
      </c>
      <c r="W475" s="71">
        <f>IF(OR(C475="",C475=0,'Daily Data'!J475=""),"",'Daily Data'!J475/C475)</f>
        <v/>
      </c>
      <c r="X475" s="71">
        <f>IF(OR(C475="",C475=0,'Daily Data'!K475=""),"",'Daily Data'!K475/C475)</f>
        <v/>
      </c>
      <c r="Y475" s="71">
        <f>IF(OR(F475="",W475="",X475=""),"",F475-W475-X475)</f>
        <v/>
      </c>
      <c r="Z475" s="72" t="n">
        <v>367.87</v>
      </c>
      <c r="AA475" s="72" t="n">
        <v>64.92</v>
      </c>
      <c r="AB475" s="73">
        <f>Z475+AA475</f>
        <v/>
      </c>
      <c r="AC475" s="74">
        <f>IF(OR(E475="",E475=0,AB475=""),"",E475*365/(AB475*1000000))</f>
        <v/>
      </c>
      <c r="AD475" s="98">
        <f>IF(OR(O475="",O475=0,AB475=""),"",(AB475*1000000)/O475)</f>
        <v/>
      </c>
      <c r="AE475" s="99">
        <f>IF(H475="","",(Team_Genesis-H475)/1000000)</f>
        <v/>
      </c>
      <c r="AF475" s="99">
        <f>IF(OR(O475="",AE475=""),"",(O475-AE475*1000000)/1000000)</f>
        <v/>
      </c>
    </row>
    <row r="476">
      <c r="A476" s="35" t="n">
        <v>46130</v>
      </c>
      <c r="B476" s="90">
        <f>IF('Daily Data'!E476="","",'Daily Data'!E476)</f>
        <v/>
      </c>
      <c r="C476" s="65" t="n">
        <v>44.77</v>
      </c>
      <c r="D476" s="94" t="n">
        <v>19741.81</v>
      </c>
      <c r="E476" s="94" t="n">
        <v>26451.3725</v>
      </c>
      <c r="F476" s="94" t="n">
        <v>1425.6598</v>
      </c>
      <c r="G476" s="94" t="n"/>
      <c r="H476" s="95">
        <f>SUM($G$4:G476)</f>
        <v/>
      </c>
      <c r="I476" s="94" t="n">
        <v>1000000000</v>
      </c>
      <c r="J476" s="95">
        <f>J475-E476</f>
        <v/>
      </c>
      <c r="K476" s="94" t="n">
        <v>60000000</v>
      </c>
      <c r="L476" s="94" t="n">
        <v>43415762.77255512</v>
      </c>
      <c r="M476" s="94" t="n">
        <v>3000000</v>
      </c>
      <c r="N476" s="94" t="n">
        <v>745635.7935999632</v>
      </c>
      <c r="O476" s="96">
        <f>IF(OR(I476="",J476="",L476="",N476=""),"",I476-J476-K476-L476-M476-N476)</f>
        <v/>
      </c>
      <c r="P476" s="91">
        <f>IF(OR(O476="",C476=""),"",O476*C476)</f>
        <v/>
      </c>
      <c r="Q476" s="69">
        <f>Q475-E476</f>
        <v/>
      </c>
      <c r="R476" s="97">
        <f>IF(OR(J476="",Q476=""),"",J476-Q476)</f>
        <v/>
      </c>
      <c r="S476" s="69">
        <f>IF(D476="",S475,S475+D476)</f>
        <v/>
      </c>
      <c r="T476" s="97">
        <f>IF(OR(L476="",S476=""),"",L476-S476)</f>
        <v/>
      </c>
      <c r="U476" s="69">
        <f>IF(F476="",U475,U475+F476)</f>
        <v/>
      </c>
      <c r="V476" s="97">
        <f>IF(OR(N476="",U476=""),"",N476-U476)</f>
        <v/>
      </c>
      <c r="W476" s="71">
        <f>IF(OR(C476="",C476=0,'Daily Data'!J476=""),"",'Daily Data'!J476/C476)</f>
        <v/>
      </c>
      <c r="X476" s="71">
        <f>IF(OR(C476="",C476=0,'Daily Data'!K476=""),"",'Daily Data'!K476/C476)</f>
        <v/>
      </c>
      <c r="Y476" s="71">
        <f>IF(OR(F476="",W476="",X476=""),"",F476-W476-X476)</f>
        <v/>
      </c>
      <c r="Z476" s="72" t="n">
        <v>367.87</v>
      </c>
      <c r="AA476" s="72" t="n">
        <v>64.92</v>
      </c>
      <c r="AB476" s="73">
        <f>Z476+AA476</f>
        <v/>
      </c>
      <c r="AC476" s="74">
        <f>IF(OR(E476="",E476=0,AB476=""),"",E476*365/(AB476*1000000))</f>
        <v/>
      </c>
      <c r="AD476" s="98">
        <f>IF(OR(O476="",O476=0,AB476=""),"",(AB476*1000000)/O476)</f>
        <v/>
      </c>
      <c r="AE476" s="99">
        <f>IF(H476="","",(Team_Genesis-H476)/1000000)</f>
        <v/>
      </c>
      <c r="AF476" s="99">
        <f>IF(OR(O476="",AE476=""),"",(O476-AE476*1000000)/1000000)</f>
        <v/>
      </c>
    </row>
    <row r="477">
      <c r="A477" s="35" t="n">
        <v>46131</v>
      </c>
      <c r="B477" s="90">
        <f>IF('Daily Data'!E477="","",'Daily Data'!E477)</f>
        <v/>
      </c>
      <c r="C477" s="65" t="n">
        <v>43.71</v>
      </c>
      <c r="D477" s="94" t="n">
        <v>32142.71</v>
      </c>
      <c r="E477" s="94" t="n">
        <v>26456.7739</v>
      </c>
      <c r="F477" s="94" t="n">
        <v>153.5438</v>
      </c>
      <c r="G477" s="94" t="n"/>
      <c r="H477" s="95">
        <f>SUM($G$4:G477)</f>
        <v/>
      </c>
      <c r="I477" s="94" t="n">
        <v>1000000000</v>
      </c>
      <c r="J477" s="95">
        <f>J476-E477</f>
        <v/>
      </c>
      <c r="K477" s="94" t="n">
        <v>60000000</v>
      </c>
      <c r="L477" s="94" t="n">
        <v>43447726.66255512</v>
      </c>
      <c r="M477" s="94" t="n">
        <v>3000000</v>
      </c>
      <c r="N477" s="94" t="n">
        <v>745789.337299943</v>
      </c>
      <c r="O477" s="96">
        <f>IF(OR(I477="",J477="",L477="",N477=""),"",I477-J477-K477-L477-M477-N477)</f>
        <v/>
      </c>
      <c r="P477" s="91">
        <f>IF(OR(O477="",C477=""),"",O477*C477)</f>
        <v/>
      </c>
      <c r="Q477" s="69">
        <f>Q476-E477</f>
        <v/>
      </c>
      <c r="R477" s="97">
        <f>IF(OR(J477="",Q477=""),"",J477-Q477)</f>
        <v/>
      </c>
      <c r="S477" s="69">
        <f>IF(D477="",S476,S476+D477)</f>
        <v/>
      </c>
      <c r="T477" s="97">
        <f>IF(OR(L477="",S477=""),"",L477-S477)</f>
        <v/>
      </c>
      <c r="U477" s="69">
        <f>IF(F477="",U476,U476+F477)</f>
        <v/>
      </c>
      <c r="V477" s="97">
        <f>IF(OR(N477="",U477=""),"",N477-U477)</f>
        <v/>
      </c>
      <c r="W477" s="71">
        <f>IF(OR(C477="",C477=0,'Daily Data'!J477=""),"",'Daily Data'!J477/C477)</f>
        <v/>
      </c>
      <c r="X477" s="71">
        <f>IF(OR(C477="",C477=0,'Daily Data'!K477=""),"",'Daily Data'!K477/C477)</f>
        <v/>
      </c>
      <c r="Y477" s="71">
        <f>IF(OR(F477="",W477="",X477=""),"",F477-W477-X477)</f>
        <v/>
      </c>
      <c r="Z477" s="72" t="n">
        <v>367.87</v>
      </c>
      <c r="AA477" s="72" t="n">
        <v>64.92</v>
      </c>
      <c r="AB477" s="73">
        <f>Z477+AA477</f>
        <v/>
      </c>
      <c r="AC477" s="74">
        <f>IF(OR(E477="",E477=0,AB477=""),"",E477*365/(AB477*1000000))</f>
        <v/>
      </c>
      <c r="AD477" s="98">
        <f>IF(OR(O477="",O477=0,AB477=""),"",(AB477*1000000)/O477)</f>
        <v/>
      </c>
      <c r="AE477" s="99">
        <f>IF(H477="","",(Team_Genesis-H477)/1000000)</f>
        <v/>
      </c>
      <c r="AF477" s="99">
        <f>IF(OR(O477="",AE477=""),"",(O477-AE477*1000000)/1000000)</f>
        <v/>
      </c>
    </row>
    <row r="478">
      <c r="A478" s="35" t="n">
        <v>46132</v>
      </c>
      <c r="B478" s="90">
        <f>IF('Daily Data'!E478="","",'Daily Data'!E478)</f>
        <v/>
      </c>
      <c r="C478" s="65" t="n">
        <v>41.09</v>
      </c>
      <c r="D478" s="94" t="n">
        <v>31533.61</v>
      </c>
      <c r="E478" s="94" t="n">
        <v>26450.7888</v>
      </c>
      <c r="F478" s="94" t="n">
        <v>773.1407</v>
      </c>
      <c r="G478" s="94" t="n"/>
      <c r="H478" s="95">
        <f>SUM($G$4:G478)</f>
        <v/>
      </c>
      <c r="I478" s="94" t="n">
        <v>1000000000</v>
      </c>
      <c r="J478" s="95">
        <f>J477-E478</f>
        <v/>
      </c>
      <c r="K478" s="94" t="n">
        <v>60000000</v>
      </c>
      <c r="L478" s="94" t="n">
        <v>43479794.67255512</v>
      </c>
      <c r="M478" s="94" t="n">
        <v>3000000</v>
      </c>
      <c r="N478" s="94" t="n">
        <v>746562.4780999422</v>
      </c>
      <c r="O478" s="96">
        <f>IF(OR(I478="",J478="",L478="",N478=""),"",I478-J478-K478-L478-M478-N478)</f>
        <v/>
      </c>
      <c r="P478" s="91">
        <f>IF(OR(O478="",C478=""),"",O478*C478)</f>
        <v/>
      </c>
      <c r="Q478" s="69">
        <f>Q477-E478</f>
        <v/>
      </c>
      <c r="R478" s="97">
        <f>IF(OR(J478="",Q478=""),"",J478-Q478)</f>
        <v/>
      </c>
      <c r="S478" s="69">
        <f>IF(D478="",S477,S477+D478)</f>
        <v/>
      </c>
      <c r="T478" s="97">
        <f>IF(OR(L478="",S478=""),"",L478-S478)</f>
        <v/>
      </c>
      <c r="U478" s="69">
        <f>IF(F478="",U477,U477+F478)</f>
        <v/>
      </c>
      <c r="V478" s="97">
        <f>IF(OR(N478="",U478=""),"",N478-U478)</f>
        <v/>
      </c>
      <c r="W478" s="71">
        <f>IF(OR(C478="",C478=0,'Daily Data'!J478=""),"",'Daily Data'!J478/C478)</f>
        <v/>
      </c>
      <c r="X478" s="71">
        <f>IF(OR(C478="",C478=0,'Daily Data'!K478=""),"",'Daily Data'!K478/C478)</f>
        <v/>
      </c>
      <c r="Y478" s="71">
        <f>IF(OR(F478="",W478="",X478=""),"",F478-W478-X478)</f>
        <v/>
      </c>
      <c r="Z478" s="72" t="n">
        <v>367.87</v>
      </c>
      <c r="AA478" s="72" t="n">
        <v>64.92</v>
      </c>
      <c r="AB478" s="73">
        <f>Z478+AA478</f>
        <v/>
      </c>
      <c r="AC478" s="74">
        <f>IF(OR(E478="",E478=0,AB478=""),"",E478*365/(AB478*1000000))</f>
        <v/>
      </c>
      <c r="AD478" s="98">
        <f>IF(OR(O478="",O478=0,AB478=""),"",(AB478*1000000)/O478)</f>
        <v/>
      </c>
      <c r="AE478" s="99">
        <f>IF(H478="","",(Team_Genesis-H478)/1000000)</f>
        <v/>
      </c>
      <c r="AF478" s="99">
        <f>IF(OR(O478="",AE478=""),"",(O478-AE478*1000000)/1000000)</f>
        <v/>
      </c>
    </row>
    <row r="479">
      <c r="A479" s="35" t="n">
        <v>46133</v>
      </c>
      <c r="B479" s="90">
        <f>IF('Daily Data'!E479="","",'Daily Data'!E479)</f>
        <v/>
      </c>
      <c r="C479" s="65" t="n">
        <v>40.55</v>
      </c>
      <c r="D479" s="94" t="n">
        <v>40177.93</v>
      </c>
      <c r="E479" s="94" t="n">
        <v>26412.1852</v>
      </c>
      <c r="F479" s="94" t="n">
        <v>847.5674</v>
      </c>
      <c r="G479" s="94" t="n"/>
      <c r="H479" s="95">
        <f>SUM($G$4:G479)</f>
        <v/>
      </c>
      <c r="I479" s="94" t="n">
        <v>1000000000</v>
      </c>
      <c r="J479" s="95">
        <f>J478-E479</f>
        <v/>
      </c>
      <c r="K479" s="94" t="n">
        <v>60000000</v>
      </c>
      <c r="L479" s="94" t="n">
        <v>43520699.47255512</v>
      </c>
      <c r="M479" s="94" t="n">
        <v>3000000</v>
      </c>
      <c r="N479" s="94" t="n">
        <v>747410.0455000401</v>
      </c>
      <c r="O479" s="96">
        <f>IF(OR(I479="",J479="",L479="",N479=""),"",I479-J479-K479-L479-M479-N479)</f>
        <v/>
      </c>
      <c r="P479" s="91">
        <f>IF(OR(O479="",C479=""),"",O479*C479)</f>
        <v/>
      </c>
      <c r="Q479" s="69">
        <f>Q478-E479</f>
        <v/>
      </c>
      <c r="R479" s="97">
        <f>IF(OR(J479="",Q479=""),"",J479-Q479)</f>
        <v/>
      </c>
      <c r="S479" s="69">
        <f>IF(D479="",S478,S478+D479)</f>
        <v/>
      </c>
      <c r="T479" s="97">
        <f>IF(OR(L479="",S479=""),"",L479-S479)</f>
        <v/>
      </c>
      <c r="U479" s="69">
        <f>IF(F479="",U478,U478+F479)</f>
        <v/>
      </c>
      <c r="V479" s="97">
        <f>IF(OR(N479="",U479=""),"",N479-U479)</f>
        <v/>
      </c>
      <c r="W479" s="71">
        <f>IF(OR(C479="",C479=0,'Daily Data'!J479=""),"",'Daily Data'!J479/C479)</f>
        <v/>
      </c>
      <c r="X479" s="71">
        <f>IF(OR(C479="",C479=0,'Daily Data'!K479=""),"",'Daily Data'!K479/C479)</f>
        <v/>
      </c>
      <c r="Y479" s="71">
        <f>IF(OR(F479="",W479="",X479=""),"",F479-W479-X479)</f>
        <v/>
      </c>
      <c r="Z479" s="72" t="n">
        <v>367.87</v>
      </c>
      <c r="AA479" s="72" t="n">
        <v>64.92</v>
      </c>
      <c r="AB479" s="73">
        <f>Z479+AA479</f>
        <v/>
      </c>
      <c r="AC479" s="74">
        <f>IF(OR(E479="",E479=0,AB479=""),"",E479*365/(AB479*1000000))</f>
        <v/>
      </c>
      <c r="AD479" s="98">
        <f>IF(OR(O479="",O479=0,AB479=""),"",(AB479*1000000)/O479)</f>
        <v/>
      </c>
      <c r="AE479" s="99">
        <f>IF(H479="","",(Team_Genesis-H479)/1000000)</f>
        <v/>
      </c>
      <c r="AF479" s="99">
        <f>IF(OR(O479="",AE479=""),"",(O479-AE479*1000000)/1000000)</f>
        <v/>
      </c>
    </row>
    <row r="480">
      <c r="A480" s="35" t="n">
        <v>46134</v>
      </c>
      <c r="B480" s="90">
        <f>IF('Daily Data'!E480="","",'Daily Data'!E480)</f>
        <v/>
      </c>
      <c r="C480" s="65" t="n">
        <v>39.81</v>
      </c>
      <c r="D480" s="94" t="n">
        <v>39255.84</v>
      </c>
      <c r="E480" s="94" t="n">
        <v>26430.8213</v>
      </c>
      <c r="F480" s="94" t="n">
        <v>985.4899</v>
      </c>
      <c r="G480" s="94" t="n"/>
      <c r="H480" s="95">
        <f>SUM($G$4:G480)</f>
        <v/>
      </c>
      <c r="I480" s="94" t="n">
        <v>1000000000</v>
      </c>
      <c r="J480" s="95">
        <f>J479-E480</f>
        <v/>
      </c>
      <c r="K480" s="94" t="n">
        <v>60000000</v>
      </c>
      <c r="L480" s="94" t="n">
        <v>43560852.33255512</v>
      </c>
      <c r="M480" s="94" t="n">
        <v>3000000</v>
      </c>
      <c r="N480" s="94" t="n">
        <v>748395.535400033</v>
      </c>
      <c r="O480" s="96">
        <f>IF(OR(I480="",J480="",L480="",N480=""),"",I480-J480-K480-L480-M480-N480)</f>
        <v/>
      </c>
      <c r="P480" s="91">
        <f>IF(OR(O480="",C480=""),"",O480*C480)</f>
        <v/>
      </c>
      <c r="Q480" s="69">
        <f>Q479-E480</f>
        <v/>
      </c>
      <c r="R480" s="97">
        <f>IF(OR(J480="",Q480=""),"",J480-Q480)</f>
        <v/>
      </c>
      <c r="S480" s="69">
        <f>IF(D480="",S479,S479+D480)</f>
        <v/>
      </c>
      <c r="T480" s="97">
        <f>IF(OR(L480="",S480=""),"",L480-S480)</f>
        <v/>
      </c>
      <c r="U480" s="69">
        <f>IF(F480="",U479,U479+F480)</f>
        <v/>
      </c>
      <c r="V480" s="97">
        <f>IF(OR(N480="",U480=""),"",N480-U480)</f>
        <v/>
      </c>
      <c r="W480" s="71">
        <f>IF(OR(C480="",C480=0,'Daily Data'!J480=""),"",'Daily Data'!J480/C480)</f>
        <v/>
      </c>
      <c r="X480" s="71">
        <f>IF(OR(C480="",C480=0,'Daily Data'!K480=""),"",'Daily Data'!K480/C480)</f>
        <v/>
      </c>
      <c r="Y480" s="71">
        <f>IF(OR(F480="",W480="",X480=""),"",F480-W480-X480)</f>
        <v/>
      </c>
      <c r="Z480" s="72" t="n">
        <v>367.87</v>
      </c>
      <c r="AA480" s="72" t="n">
        <v>64.92</v>
      </c>
      <c r="AB480" s="73">
        <f>Z480+AA480</f>
        <v/>
      </c>
      <c r="AC480" s="74">
        <f>IF(OR(E480="",E480=0,AB480=""),"",E480*365/(AB480*1000000))</f>
        <v/>
      </c>
      <c r="AD480" s="98">
        <f>IF(OR(O480="",O480=0,AB480=""),"",(AB480*1000000)/O480)</f>
        <v/>
      </c>
      <c r="AE480" s="99">
        <f>IF(H480="","",(Team_Genesis-H480)/1000000)</f>
        <v/>
      </c>
      <c r="AF480" s="99">
        <f>IF(OR(O480="",AE480=""),"",(O480-AE480*1000000)/1000000)</f>
        <v/>
      </c>
    </row>
    <row r="481">
      <c r="A481" s="35" t="n">
        <v>46135</v>
      </c>
      <c r="B481" s="90">
        <f>IF('Daily Data'!E481="","",'Daily Data'!E481)</f>
        <v/>
      </c>
      <c r="C481" s="65" t="n">
        <v>41.26</v>
      </c>
      <c r="D481" s="94" t="n">
        <v>37675.3</v>
      </c>
      <c r="E481" s="94" t="n">
        <v>26430.9951</v>
      </c>
      <c r="F481" s="94" t="n">
        <v>990.9312</v>
      </c>
      <c r="G481" s="94" t="n"/>
      <c r="H481" s="95">
        <f>SUM($G$4:G481)</f>
        <v/>
      </c>
      <c r="I481" s="94" t="n">
        <v>1000000000</v>
      </c>
      <c r="J481" s="95">
        <f>J480-E481</f>
        <v/>
      </c>
      <c r="K481" s="94" t="n">
        <v>60000000</v>
      </c>
      <c r="L481" s="94" t="n">
        <v>43596546.74255512</v>
      </c>
      <c r="M481" s="94" t="n">
        <v>3000000</v>
      </c>
      <c r="N481" s="94" t="n">
        <v>749386.4665999413</v>
      </c>
      <c r="O481" s="96">
        <f>IF(OR(I481="",J481="",L481="",N481=""),"",I481-J481-K481-L481-M481-N481)</f>
        <v/>
      </c>
      <c r="P481" s="91">
        <f>IF(OR(O481="",C481=""),"",O481*C481)</f>
        <v/>
      </c>
      <c r="Q481" s="69">
        <f>Q480-E481</f>
        <v/>
      </c>
      <c r="R481" s="97">
        <f>IF(OR(J481="",Q481=""),"",J481-Q481)</f>
        <v/>
      </c>
      <c r="S481" s="69">
        <f>IF(D481="",S480,S480+D481)</f>
        <v/>
      </c>
      <c r="T481" s="97">
        <f>IF(OR(L481="",S481=""),"",L481-S481)</f>
        <v/>
      </c>
      <c r="U481" s="69">
        <f>IF(F481="",U480,U480+F481)</f>
        <v/>
      </c>
      <c r="V481" s="97">
        <f>IF(OR(N481="",U481=""),"",N481-U481)</f>
        <v/>
      </c>
      <c r="W481" s="71">
        <f>IF(OR(C481="",C481=0,'Daily Data'!J481=""),"",'Daily Data'!J481/C481)</f>
        <v/>
      </c>
      <c r="X481" s="71">
        <f>IF(OR(C481="",C481=0,'Daily Data'!K481=""),"",'Daily Data'!K481/C481)</f>
        <v/>
      </c>
      <c r="Y481" s="71">
        <f>IF(OR(F481="",W481="",X481=""),"",F481-W481-X481)</f>
        <v/>
      </c>
      <c r="Z481" s="72" t="n">
        <v>367.87</v>
      </c>
      <c r="AA481" s="72" t="n">
        <v>64.92</v>
      </c>
      <c r="AB481" s="73">
        <f>Z481+AA481</f>
        <v/>
      </c>
      <c r="AC481" s="74">
        <f>IF(OR(E481="",E481=0,AB481=""),"",E481*365/(AB481*1000000))</f>
        <v/>
      </c>
      <c r="AD481" s="98">
        <f>IF(OR(O481="",O481=0,AB481=""),"",(AB481*1000000)/O481)</f>
        <v/>
      </c>
      <c r="AE481" s="99">
        <f>IF(H481="","",(Team_Genesis-H481)/1000000)</f>
        <v/>
      </c>
      <c r="AF481" s="99">
        <f>IF(OR(O481="",AE481=""),"",(O481-AE481*1000000)/1000000)</f>
        <v/>
      </c>
    </row>
    <row r="482">
      <c r="A482" s="35" t="n">
        <v>46136</v>
      </c>
      <c r="B482" s="90">
        <f>IF('Daily Data'!E482="","",'Daily Data'!E482)</f>
        <v/>
      </c>
      <c r="C482" s="65" t="n">
        <v>41.3</v>
      </c>
      <c r="D482" s="94" t="n">
        <v>25292.92</v>
      </c>
      <c r="E482" s="94" t="n">
        <v>26417.9951</v>
      </c>
      <c r="F482" s="94" t="n">
        <v>356.0936</v>
      </c>
      <c r="G482" s="94" t="n"/>
      <c r="H482" s="95">
        <f>SUM($G$4:G482)</f>
        <v/>
      </c>
      <c r="I482" s="94" t="n">
        <v>1000000000</v>
      </c>
      <c r="J482" s="95">
        <f>J481-E482</f>
        <v/>
      </c>
      <c r="K482" s="94" t="n">
        <v>60000000</v>
      </c>
      <c r="L482" s="94" t="n">
        <v>43621280.75255512</v>
      </c>
      <c r="M482" s="94" t="n">
        <v>3000000</v>
      </c>
      <c r="N482" s="94" t="n">
        <v>749742.5600999594</v>
      </c>
      <c r="O482" s="96">
        <f>IF(OR(I482="",J482="",L482="",N482=""),"",I482-J482-K482-L482-M482-N482)</f>
        <v/>
      </c>
      <c r="P482" s="91">
        <f>IF(OR(O482="",C482=""),"",O482*C482)</f>
        <v/>
      </c>
      <c r="Q482" s="69">
        <f>Q481-E482</f>
        <v/>
      </c>
      <c r="R482" s="97">
        <f>IF(OR(J482="",Q482=""),"",J482-Q482)</f>
        <v/>
      </c>
      <c r="S482" s="69">
        <f>IF(D482="",S481,S481+D482)</f>
        <v/>
      </c>
      <c r="T482" s="97">
        <f>IF(OR(L482="",S482=""),"",L482-S482)</f>
        <v/>
      </c>
      <c r="U482" s="69">
        <f>IF(F482="",U481,U481+F482)</f>
        <v/>
      </c>
      <c r="V482" s="97">
        <f>IF(OR(N482="",U482=""),"",N482-U482)</f>
        <v/>
      </c>
      <c r="W482" s="71">
        <f>IF(OR(C482="",C482=0,'Daily Data'!J482=""),"",'Daily Data'!J482/C482)</f>
        <v/>
      </c>
      <c r="X482" s="71">
        <f>IF(OR(C482="",C482=0,'Daily Data'!K482=""),"",'Daily Data'!K482/C482)</f>
        <v/>
      </c>
      <c r="Y482" s="71">
        <f>IF(OR(F482="",W482="",X482=""),"",F482-W482-X482)</f>
        <v/>
      </c>
      <c r="Z482" s="72" t="n">
        <v>367.87</v>
      </c>
      <c r="AA482" s="72" t="n">
        <v>64.92</v>
      </c>
      <c r="AB482" s="73">
        <f>Z482+AA482</f>
        <v/>
      </c>
      <c r="AC482" s="74">
        <f>IF(OR(E482="",E482=0,AB482=""),"",E482*365/(AB482*1000000))</f>
        <v/>
      </c>
      <c r="AD482" s="98">
        <f>IF(OR(O482="",O482=0,AB482=""),"",(AB482*1000000)/O482)</f>
        <v/>
      </c>
      <c r="AE482" s="99">
        <f>IF(H482="","",(Team_Genesis-H482)/1000000)</f>
        <v/>
      </c>
      <c r="AF482" s="99">
        <f>IF(OR(O482="",AE482=""),"",(O482-AE482*1000000)/1000000)</f>
        <v/>
      </c>
    </row>
    <row r="483">
      <c r="A483" s="35" t="n">
        <v>46137</v>
      </c>
      <c r="B483" s="90">
        <f>IF('Daily Data'!E483="","",'Daily Data'!E483)</f>
        <v/>
      </c>
      <c r="C483" s="65" t="n">
        <v>41.03</v>
      </c>
      <c r="D483" s="94" t="n">
        <v>10174.42</v>
      </c>
      <c r="E483" s="94" t="n">
        <v>26409.5577</v>
      </c>
      <c r="F483" s="94" t="n">
        <v>924.3055000000001</v>
      </c>
      <c r="G483" s="94" t="n"/>
      <c r="H483" s="95">
        <f>SUM($G$4:G483)</f>
        <v/>
      </c>
      <c r="I483" s="94" t="n">
        <v>1000000000</v>
      </c>
      <c r="J483" s="95">
        <f>J482-E483</f>
        <v/>
      </c>
      <c r="K483" s="94" t="n">
        <v>60000000</v>
      </c>
      <c r="L483" s="94" t="n">
        <v>43631915.15255512</v>
      </c>
      <c r="M483" s="94" t="n">
        <v>3000000</v>
      </c>
      <c r="N483" s="94" t="n">
        <v>750666.8655999899</v>
      </c>
      <c r="O483" s="96">
        <f>IF(OR(I483="",J483="",L483="",N483=""),"",I483-J483-K483-L483-M483-N483)</f>
        <v/>
      </c>
      <c r="P483" s="91">
        <f>IF(OR(O483="",C483=""),"",O483*C483)</f>
        <v/>
      </c>
      <c r="Q483" s="69">
        <f>Q482-E483</f>
        <v/>
      </c>
      <c r="R483" s="97">
        <f>IF(OR(J483="",Q483=""),"",J483-Q483)</f>
        <v/>
      </c>
      <c r="S483" s="69">
        <f>IF(D483="",S482,S482+D483)</f>
        <v/>
      </c>
      <c r="T483" s="97">
        <f>IF(OR(L483="",S483=""),"",L483-S483)</f>
        <v/>
      </c>
      <c r="U483" s="69">
        <f>IF(F483="",U482,U482+F483)</f>
        <v/>
      </c>
      <c r="V483" s="97">
        <f>IF(OR(N483="",U483=""),"",N483-U483)</f>
        <v/>
      </c>
      <c r="W483" s="71">
        <f>IF(OR(C483="",C483=0,'Daily Data'!J483=""),"",'Daily Data'!J483/C483)</f>
        <v/>
      </c>
      <c r="X483" s="71">
        <f>IF(OR(C483="",C483=0,'Daily Data'!K483=""),"",'Daily Data'!K483/C483)</f>
        <v/>
      </c>
      <c r="Y483" s="71">
        <f>IF(OR(F483="",W483="",X483=""),"",F483-W483-X483)</f>
        <v/>
      </c>
      <c r="Z483" s="72" t="n">
        <v>367.87</v>
      </c>
      <c r="AA483" s="72" t="n">
        <v>64.92</v>
      </c>
      <c r="AB483" s="73">
        <f>Z483+AA483</f>
        <v/>
      </c>
      <c r="AC483" s="74">
        <f>IF(OR(E483="",E483=0,AB483=""),"",E483*365/(AB483*1000000))</f>
        <v/>
      </c>
      <c r="AD483" s="98">
        <f>IF(OR(O483="",O483=0,AB483=""),"",(AB483*1000000)/O483)</f>
        <v/>
      </c>
      <c r="AE483" s="99">
        <f>IF(H483="","",(Team_Genesis-H483)/1000000)</f>
        <v/>
      </c>
      <c r="AF483" s="99">
        <f>IF(OR(O483="",AE483=""),"",(O483-AE483*1000000)/1000000)</f>
        <v/>
      </c>
    </row>
    <row r="484">
      <c r="A484" s="35" t="n">
        <v>46138</v>
      </c>
      <c r="B484" s="90">
        <f>IF('Daily Data'!E484="","",'Daily Data'!E484)</f>
        <v/>
      </c>
      <c r="C484" s="65" t="n">
        <v>41.36</v>
      </c>
      <c r="D484" s="94" t="n">
        <v>16236.7</v>
      </c>
      <c r="E484" s="94" t="n">
        <v>26388.9231</v>
      </c>
      <c r="F484" s="94" t="n">
        <v>207.8372</v>
      </c>
      <c r="G484" s="94" t="n"/>
      <c r="H484" s="95">
        <f>SUM($G$4:G484)</f>
        <v/>
      </c>
      <c r="I484" s="94" t="n">
        <v>1000000000</v>
      </c>
      <c r="J484" s="95">
        <f>J483-E484</f>
        <v/>
      </c>
      <c r="K484" s="94" t="n">
        <v>60000000</v>
      </c>
      <c r="L484" s="94" t="n">
        <v>43648827.96255512</v>
      </c>
      <c r="M484" s="94" t="n">
        <v>3000000</v>
      </c>
      <c r="N484" s="94" t="n">
        <v>750874.7028000355</v>
      </c>
      <c r="O484" s="96">
        <f>IF(OR(I484="",J484="",L484="",N484=""),"",I484-J484-K484-L484-M484-N484)</f>
        <v/>
      </c>
      <c r="P484" s="91">
        <f>IF(OR(O484="",C484=""),"",O484*C484)</f>
        <v/>
      </c>
      <c r="Q484" s="69">
        <f>Q483-E484</f>
        <v/>
      </c>
      <c r="R484" s="97">
        <f>IF(OR(J484="",Q484=""),"",J484-Q484)</f>
        <v/>
      </c>
      <c r="S484" s="69">
        <f>IF(D484="",S483,S483+D484)</f>
        <v/>
      </c>
      <c r="T484" s="97">
        <f>IF(OR(L484="",S484=""),"",L484-S484)</f>
        <v/>
      </c>
      <c r="U484" s="69">
        <f>IF(F484="",U483,U483+F484)</f>
        <v/>
      </c>
      <c r="V484" s="97">
        <f>IF(OR(N484="",U484=""),"",N484-U484)</f>
        <v/>
      </c>
      <c r="W484" s="71">
        <f>IF(OR(C484="",C484=0,'Daily Data'!J484=""),"",'Daily Data'!J484/C484)</f>
        <v/>
      </c>
      <c r="X484" s="71">
        <f>IF(OR(C484="",C484=0,'Daily Data'!K484=""),"",'Daily Data'!K484/C484)</f>
        <v/>
      </c>
      <c r="Y484" s="71">
        <f>IF(OR(F484="",W484="",X484=""),"",F484-W484-X484)</f>
        <v/>
      </c>
      <c r="Z484" s="72" t="n">
        <v>367.87</v>
      </c>
      <c r="AA484" s="72" t="n">
        <v>64.92</v>
      </c>
      <c r="AB484" s="73">
        <f>Z484+AA484</f>
        <v/>
      </c>
      <c r="AC484" s="74">
        <f>IF(OR(E484="",E484=0,AB484=""),"",E484*365/(AB484*1000000))</f>
        <v/>
      </c>
      <c r="AD484" s="98">
        <f>IF(OR(O484="",O484=0,AB484=""),"",(AB484*1000000)/O484)</f>
        <v/>
      </c>
      <c r="AE484" s="99">
        <f>IF(H484="","",(Team_Genesis-H484)/1000000)</f>
        <v/>
      </c>
      <c r="AF484" s="99">
        <f>IF(OR(O484="",AE484=""),"",(O484-AE484*1000000)/1000000)</f>
        <v/>
      </c>
    </row>
    <row r="485">
      <c r="A485" s="35" t="n">
        <v>46139</v>
      </c>
      <c r="B485" s="90">
        <f>IF('Daily Data'!E485="","",'Daily Data'!E485)</f>
        <v/>
      </c>
      <c r="C485" s="65" t="n">
        <v>42.49</v>
      </c>
      <c r="D485" s="94" t="n">
        <v>31064.46</v>
      </c>
      <c r="E485" s="94" t="n">
        <v>26407.345</v>
      </c>
      <c r="F485" s="94" t="n">
        <v>283.5182</v>
      </c>
      <c r="G485" s="94" t="n"/>
      <c r="H485" s="95">
        <f>SUM($G$4:G485)</f>
        <v/>
      </c>
      <c r="I485" s="94" t="n">
        <v>1000000000</v>
      </c>
      <c r="J485" s="95">
        <f>J484-E485</f>
        <v/>
      </c>
      <c r="K485" s="94" t="n">
        <v>60000000</v>
      </c>
      <c r="L485" s="94" t="n">
        <v>43678511.34255512</v>
      </c>
      <c r="M485" s="94" t="n">
        <v>3000000</v>
      </c>
      <c r="N485" s="94" t="n">
        <v>751158.2209999561</v>
      </c>
      <c r="O485" s="96">
        <f>IF(OR(I485="",J485="",L485="",N485=""),"",I485-J485-K485-L485-M485-N485)</f>
        <v/>
      </c>
      <c r="P485" s="91">
        <f>IF(OR(O485="",C485=""),"",O485*C485)</f>
        <v/>
      </c>
      <c r="Q485" s="69">
        <f>Q484-E485</f>
        <v/>
      </c>
      <c r="R485" s="97">
        <f>IF(OR(J485="",Q485=""),"",J485-Q485)</f>
        <v/>
      </c>
      <c r="S485" s="69">
        <f>IF(D485="",S484,S484+D485)</f>
        <v/>
      </c>
      <c r="T485" s="97">
        <f>IF(OR(L485="",S485=""),"",L485-S485)</f>
        <v/>
      </c>
      <c r="U485" s="69">
        <f>IF(F485="",U484,U484+F485)</f>
        <v/>
      </c>
      <c r="V485" s="97">
        <f>IF(OR(N485="",U485=""),"",N485-U485)</f>
        <v/>
      </c>
      <c r="W485" s="71">
        <f>IF(OR(C485="",C485=0,'Daily Data'!J485=""),"",'Daily Data'!J485/C485)</f>
        <v/>
      </c>
      <c r="X485" s="71">
        <f>IF(OR(C485="",C485=0,'Daily Data'!K485=""),"",'Daily Data'!K485/C485)</f>
        <v/>
      </c>
      <c r="Y485" s="71">
        <f>IF(OR(F485="",W485="",X485=""),"",F485-W485-X485)</f>
        <v/>
      </c>
      <c r="Z485" s="72" t="n">
        <v>367.87</v>
      </c>
      <c r="AA485" s="72" t="n">
        <v>64.92</v>
      </c>
      <c r="AB485" s="73">
        <f>Z485+AA485</f>
        <v/>
      </c>
      <c r="AC485" s="74">
        <f>IF(OR(E485="",E485=0,AB485=""),"",E485*365/(AB485*1000000))</f>
        <v/>
      </c>
      <c r="AD485" s="98">
        <f>IF(OR(O485="",O485=0,AB485=""),"",(AB485*1000000)/O485)</f>
        <v/>
      </c>
      <c r="AE485" s="99">
        <f>IF(H485="","",(Team_Genesis-H485)/1000000)</f>
        <v/>
      </c>
      <c r="AF485" s="99">
        <f>IF(OR(O485="",AE485=""),"",(O485-AE485*1000000)/1000000)</f>
        <v/>
      </c>
    </row>
    <row r="486">
      <c r="A486" s="35" t="n">
        <v>46140</v>
      </c>
      <c r="B486" s="90">
        <f>IF('Daily Data'!E486="","",'Daily Data'!E486)</f>
        <v/>
      </c>
      <c r="C486" s="65" t="n">
        <v>41.68</v>
      </c>
      <c r="D486" s="94" t="n">
        <v>28585.59</v>
      </c>
      <c r="E486" s="94" t="n">
        <v>26404.9879</v>
      </c>
      <c r="F486" s="94" t="n">
        <v>938.8835</v>
      </c>
      <c r="G486" s="94" t="n"/>
      <c r="H486" s="95">
        <f>SUM($G$4:G486)</f>
        <v/>
      </c>
      <c r="I486" s="94" t="n">
        <v>1000000000</v>
      </c>
      <c r="J486" s="95">
        <f>J485-E486</f>
        <v/>
      </c>
      <c r="K486" s="94" t="n">
        <v>60000000</v>
      </c>
      <c r="L486" s="94" t="n">
        <v>43707525.31255512</v>
      </c>
      <c r="M486" s="94" t="n">
        <v>3000000</v>
      </c>
      <c r="N486" s="94" t="n">
        <v>752097.1045000553</v>
      </c>
      <c r="O486" s="96">
        <f>IF(OR(I486="",J486="",L486="",N486=""),"",I486-J486-K486-L486-M486-N486)</f>
        <v/>
      </c>
      <c r="P486" s="91">
        <f>IF(OR(O486="",C486=""),"",O486*C486)</f>
        <v/>
      </c>
      <c r="Q486" s="69">
        <f>Q485-E486</f>
        <v/>
      </c>
      <c r="R486" s="97">
        <f>IF(OR(J486="",Q486=""),"",J486-Q486)</f>
        <v/>
      </c>
      <c r="S486" s="69">
        <f>IF(D486="",S485,S485+D486)</f>
        <v/>
      </c>
      <c r="T486" s="97">
        <f>IF(OR(L486="",S486=""),"",L486-S486)</f>
        <v/>
      </c>
      <c r="U486" s="69">
        <f>IF(F486="",U485,U485+F486)</f>
        <v/>
      </c>
      <c r="V486" s="97">
        <f>IF(OR(N486="",U486=""),"",N486-U486)</f>
        <v/>
      </c>
      <c r="W486" s="71">
        <f>IF(OR(C486="",C486=0,'Daily Data'!J486=""),"",'Daily Data'!J486/C486)</f>
        <v/>
      </c>
      <c r="X486" s="71">
        <f>IF(OR(C486="",C486=0,'Daily Data'!K486=""),"",'Daily Data'!K486/C486)</f>
        <v/>
      </c>
      <c r="Y486" s="71">
        <f>IF(OR(F486="",W486="",X486=""),"",F486-W486-X486)</f>
        <v/>
      </c>
      <c r="Z486" s="72" t="n">
        <v>367.87</v>
      </c>
      <c r="AA486" s="72" t="n">
        <v>64.92</v>
      </c>
      <c r="AB486" s="73">
        <f>Z486+AA486</f>
        <v/>
      </c>
      <c r="AC486" s="74">
        <f>IF(OR(E486="",E486=0,AB486=""),"",E486*365/(AB486*1000000))</f>
        <v/>
      </c>
      <c r="AD486" s="98">
        <f>IF(OR(O486="",O486=0,AB486=""),"",(AB486*1000000)/O486)</f>
        <v/>
      </c>
      <c r="AE486" s="99">
        <f>IF(H486="","",(Team_Genesis-H486)/1000000)</f>
        <v/>
      </c>
      <c r="AF486" s="99">
        <f>IF(OR(O486="",AE486=""),"",(O486-AE486*1000000)/1000000)</f>
        <v/>
      </c>
    </row>
    <row r="487">
      <c r="A487" s="35" t="n">
        <v>46141</v>
      </c>
      <c r="B487" s="90">
        <f>IF('Daily Data'!E487="","",'Daily Data'!E487)</f>
        <v/>
      </c>
      <c r="C487" s="65" t="n">
        <v>39.98</v>
      </c>
      <c r="D487" s="94" t="n">
        <v>39692.08</v>
      </c>
      <c r="E487" s="94" t="n">
        <v>26395.1682</v>
      </c>
      <c r="F487" s="94" t="n">
        <v>538.9661</v>
      </c>
      <c r="G487" s="94" t="n"/>
      <c r="H487" s="95">
        <f>SUM($G$4:G487)</f>
        <v/>
      </c>
      <c r="I487" s="94" t="n">
        <v>1000000000</v>
      </c>
      <c r="J487" s="95">
        <f>J486-E487</f>
        <v/>
      </c>
      <c r="K487" s="94" t="n">
        <v>60000000</v>
      </c>
      <c r="L487" s="94" t="n">
        <v>43747331.68255512</v>
      </c>
      <c r="M487" s="94" t="n">
        <v>3000000</v>
      </c>
      <c r="N487" s="94" t="n">
        <v>752636.0706000328</v>
      </c>
      <c r="O487" s="96">
        <f>IF(OR(I487="",J487="",L487="",N487=""),"",I487-J487-K487-L487-M487-N487)</f>
        <v/>
      </c>
      <c r="P487" s="91">
        <f>IF(OR(O487="",C487=""),"",O487*C487)</f>
        <v/>
      </c>
      <c r="Q487" s="69">
        <f>Q486-E487</f>
        <v/>
      </c>
      <c r="R487" s="97">
        <f>IF(OR(J487="",Q487=""),"",J487-Q487)</f>
        <v/>
      </c>
      <c r="S487" s="69">
        <f>IF(D487="",S486,S486+D487)</f>
        <v/>
      </c>
      <c r="T487" s="97">
        <f>IF(OR(L487="",S487=""),"",L487-S487)</f>
        <v/>
      </c>
      <c r="U487" s="69">
        <f>IF(F487="",U486,U486+F487)</f>
        <v/>
      </c>
      <c r="V487" s="97">
        <f>IF(OR(N487="",U487=""),"",N487-U487)</f>
        <v/>
      </c>
      <c r="W487" s="71">
        <f>IF(OR(C487="",C487=0,'Daily Data'!J487=""),"",'Daily Data'!J487/C487)</f>
        <v/>
      </c>
      <c r="X487" s="71">
        <f>IF(OR(C487="",C487=0,'Daily Data'!K487=""),"",'Daily Data'!K487/C487)</f>
        <v/>
      </c>
      <c r="Y487" s="71">
        <f>IF(OR(F487="",W487="",X487=""),"",F487-W487-X487)</f>
        <v/>
      </c>
      <c r="Z487" s="72" t="n">
        <v>367.87</v>
      </c>
      <c r="AA487" s="72" t="n">
        <v>64.92</v>
      </c>
      <c r="AB487" s="73">
        <f>Z487+AA487</f>
        <v/>
      </c>
      <c r="AC487" s="74">
        <f>IF(OR(E487="",E487=0,AB487=""),"",E487*365/(AB487*1000000))</f>
        <v/>
      </c>
      <c r="AD487" s="98">
        <f>IF(OR(O487="",O487=0,AB487=""),"",(AB487*1000000)/O487)</f>
        <v/>
      </c>
      <c r="AE487" s="99">
        <f>IF(H487="","",(Team_Genesis-H487)/1000000)</f>
        <v/>
      </c>
      <c r="AF487" s="99">
        <f>IF(OR(O487="",AE487=""),"",(O487-AE487*1000000)/1000000)</f>
        <v/>
      </c>
    </row>
    <row r="488">
      <c r="A488" s="35" t="n">
        <v>46142</v>
      </c>
      <c r="B488" s="90">
        <f>IF('Daily Data'!E488="","",'Daily Data'!E488)</f>
        <v/>
      </c>
      <c r="C488" s="65" t="n">
        <v>39.87</v>
      </c>
      <c r="D488" s="94" t="n">
        <v>27607.63</v>
      </c>
      <c r="E488" s="94" t="n">
        <v>26383.3908</v>
      </c>
      <c r="F488" s="94" t="n">
        <v>1196.8639</v>
      </c>
      <c r="G488" s="94" t="n"/>
      <c r="H488" s="95">
        <f>SUM($G$4:G488)</f>
        <v/>
      </c>
      <c r="I488" s="94" t="n">
        <v>1000000000</v>
      </c>
      <c r="J488" s="95">
        <f>J487-E488</f>
        <v/>
      </c>
      <c r="K488" s="94" t="n">
        <v>60000000</v>
      </c>
      <c r="L488" s="94" t="n">
        <v>43774396.64255512</v>
      </c>
      <c r="M488" s="94" t="n">
        <v>3000000</v>
      </c>
      <c r="N488" s="94" t="n">
        <v>753832.934499979</v>
      </c>
      <c r="O488" s="96">
        <f>IF(OR(I488="",J488="",L488="",N488=""),"",I488-J488-K488-L488-M488-N488)</f>
        <v/>
      </c>
      <c r="P488" s="91">
        <f>IF(OR(O488="",C488=""),"",O488*C488)</f>
        <v/>
      </c>
      <c r="Q488" s="69">
        <f>Q487-E488</f>
        <v/>
      </c>
      <c r="R488" s="97">
        <f>IF(OR(J488="",Q488=""),"",J488-Q488)</f>
        <v/>
      </c>
      <c r="S488" s="69">
        <f>IF(D488="",S487,S487+D488)</f>
        <v/>
      </c>
      <c r="T488" s="97">
        <f>IF(OR(L488="",S488=""),"",L488-S488)</f>
        <v/>
      </c>
      <c r="U488" s="69">
        <f>IF(F488="",U487,U487+F488)</f>
        <v/>
      </c>
      <c r="V488" s="97">
        <f>IF(OR(N488="",U488=""),"",N488-U488)</f>
        <v/>
      </c>
      <c r="W488" s="71">
        <f>IF(OR(C488="",C488=0,'Daily Data'!J488=""),"",'Daily Data'!J488/C488)</f>
        <v/>
      </c>
      <c r="X488" s="71">
        <f>IF(OR(C488="",C488=0,'Daily Data'!K488=""),"",'Daily Data'!K488/C488)</f>
        <v/>
      </c>
      <c r="Y488" s="71">
        <f>IF(OR(F488="",W488="",X488=""),"",F488-W488-X488)</f>
        <v/>
      </c>
      <c r="Z488" s="72" t="n">
        <v>367.87</v>
      </c>
      <c r="AA488" s="72" t="n">
        <v>64.92</v>
      </c>
      <c r="AB488" s="73">
        <f>Z488+AA488</f>
        <v/>
      </c>
      <c r="AC488" s="74">
        <f>IF(OR(E488="",E488=0,AB488=""),"",E488*365/(AB488*1000000))</f>
        <v/>
      </c>
      <c r="AD488" s="98">
        <f>IF(OR(O488="",O488=0,AB488=""),"",(AB488*1000000)/O488)</f>
        <v/>
      </c>
      <c r="AE488" s="99">
        <f>IF(H488="","",(Team_Genesis-H488)/1000000)</f>
        <v/>
      </c>
      <c r="AF488" s="99">
        <f>IF(OR(O488="",AE488=""),"",(O488-AE488*1000000)/1000000)</f>
        <v/>
      </c>
    </row>
    <row r="489">
      <c r="A489" s="35" t="n">
        <v>46143</v>
      </c>
      <c r="B489" s="90">
        <f>IF('Daily Data'!E489="","",'Daily Data'!E489)</f>
        <v/>
      </c>
      <c r="C489" s="65" t="n">
        <v>39.88</v>
      </c>
      <c r="D489" s="94" t="n">
        <v>33095.68</v>
      </c>
      <c r="E489" s="94" t="n">
        <v>26378.221</v>
      </c>
      <c r="F489" s="94" t="n">
        <v>1011.633</v>
      </c>
      <c r="G489" s="94" t="n"/>
      <c r="H489" s="95">
        <f>SUM($G$4:G489)</f>
        <v/>
      </c>
      <c r="I489" s="94" t="n">
        <v>1000000000</v>
      </c>
      <c r="J489" s="95">
        <f>J488-E489</f>
        <v/>
      </c>
      <c r="K489" s="94" t="n">
        <v>60000000</v>
      </c>
      <c r="L489" s="94" t="n">
        <v>43808451.45255512</v>
      </c>
      <c r="M489" s="94" t="n">
        <v>3000000</v>
      </c>
      <c r="N489" s="94" t="n">
        <v>754844.5674999952</v>
      </c>
      <c r="O489" s="96">
        <f>IF(OR(I489="",J489="",L489="",N489=""),"",I489-J489-K489-L489-M489-N489)</f>
        <v/>
      </c>
      <c r="P489" s="91">
        <f>IF(OR(O489="",C489=""),"",O489*C489)</f>
        <v/>
      </c>
      <c r="Q489" s="69">
        <f>Q488-E489</f>
        <v/>
      </c>
      <c r="R489" s="97">
        <f>IF(OR(J489="",Q489=""),"",J489-Q489)</f>
        <v/>
      </c>
      <c r="S489" s="69">
        <f>IF(D489="",S488,S488+D489)</f>
        <v/>
      </c>
      <c r="T489" s="97">
        <f>IF(OR(L489="",S489=""),"",L489-S489)</f>
        <v/>
      </c>
      <c r="U489" s="69">
        <f>IF(F489="",U488,U488+F489)</f>
        <v/>
      </c>
      <c r="V489" s="97">
        <f>IF(OR(N489="",U489=""),"",N489-U489)</f>
        <v/>
      </c>
      <c r="W489" s="71">
        <f>IF(OR(C489="",C489=0,'Daily Data'!J489=""),"",'Daily Data'!J489/C489)</f>
        <v/>
      </c>
      <c r="X489" s="71">
        <f>IF(OR(C489="",C489=0,'Daily Data'!K489=""),"",'Daily Data'!K489/C489)</f>
        <v/>
      </c>
      <c r="Y489" s="71">
        <f>IF(OR(F489="",W489="",X489=""),"",F489-W489-X489)</f>
        <v/>
      </c>
      <c r="Z489" s="72" t="n">
        <v>366.7</v>
      </c>
      <c r="AA489" s="72" t="n">
        <v>64.70999999999999</v>
      </c>
      <c r="AB489" s="73">
        <f>Z489+AA489</f>
        <v/>
      </c>
      <c r="AC489" s="74">
        <f>IF(OR(E489="",E489=0,AB489=""),"",E489*365/(AB489*1000000))</f>
        <v/>
      </c>
      <c r="AD489" s="98">
        <f>IF(OR(O489="",O489=0,AB489=""),"",(AB489*1000000)/O489)</f>
        <v/>
      </c>
      <c r="AE489" s="99">
        <f>IF(H489="","",(Team_Genesis-H489)/1000000)</f>
        <v/>
      </c>
      <c r="AF489" s="99">
        <f>IF(OR(O489="",AE489=""),"",(O489-AE489*1000000)/1000000)</f>
        <v/>
      </c>
    </row>
    <row r="490">
      <c r="A490" s="35" t="n">
        <v>46144</v>
      </c>
      <c r="B490" s="90">
        <f>IF('Daily Data'!E490="","",'Daily Data'!E490)</f>
        <v/>
      </c>
      <c r="C490" s="65" t="n">
        <v>41.09</v>
      </c>
      <c r="D490" s="94" t="n">
        <v>13368.7</v>
      </c>
      <c r="E490" s="94" t="n">
        <v>26480.6541</v>
      </c>
      <c r="F490" s="94" t="n">
        <v>493.8365</v>
      </c>
      <c r="G490" s="94" t="n"/>
      <c r="H490" s="95">
        <f>SUM($G$4:G490)</f>
        <v/>
      </c>
      <c r="I490" s="94" t="n">
        <v>1000000000</v>
      </c>
      <c r="J490" s="95">
        <f>J489-E490</f>
        <v/>
      </c>
      <c r="K490" s="94" t="n">
        <v>60000000</v>
      </c>
      <c r="L490" s="94" t="n">
        <v>43821103.22255512</v>
      </c>
      <c r="M490" s="94" t="n">
        <v>3000000</v>
      </c>
      <c r="N490" s="94" t="n">
        <v>755338.4040000439</v>
      </c>
      <c r="O490" s="96">
        <f>IF(OR(I490="",J490="",L490="",N490=""),"",I490-J490-K490-L490-M490-N490)</f>
        <v/>
      </c>
      <c r="P490" s="91">
        <f>IF(OR(O490="",C490=""),"",O490*C490)</f>
        <v/>
      </c>
      <c r="Q490" s="69">
        <f>Q489-E490</f>
        <v/>
      </c>
      <c r="R490" s="97">
        <f>IF(OR(J490="",Q490=""),"",J490-Q490)</f>
        <v/>
      </c>
      <c r="S490" s="69">
        <f>IF(D490="",S489,S489+D490)</f>
        <v/>
      </c>
      <c r="T490" s="97">
        <f>IF(OR(L490="",S490=""),"",L490-S490)</f>
        <v/>
      </c>
      <c r="U490" s="69">
        <f>IF(F490="",U489,U489+F490)</f>
        <v/>
      </c>
      <c r="V490" s="97">
        <f>IF(OR(N490="",U490=""),"",N490-U490)</f>
        <v/>
      </c>
      <c r="W490" s="71">
        <f>IF(OR(C490="",C490=0,'Daily Data'!J490=""),"",'Daily Data'!J490/C490)</f>
        <v/>
      </c>
      <c r="X490" s="71">
        <f>IF(OR(C490="",C490=0,'Daily Data'!K490=""),"",'Daily Data'!K490/C490)</f>
        <v/>
      </c>
      <c r="Y490" s="71">
        <f>IF(OR(F490="",W490="",X490=""),"",F490-W490-X490)</f>
        <v/>
      </c>
      <c r="Z490" s="72" t="n">
        <v>366.7</v>
      </c>
      <c r="AA490" s="72" t="n">
        <v>64.70999999999999</v>
      </c>
      <c r="AB490" s="73">
        <f>Z490+AA490</f>
        <v/>
      </c>
      <c r="AC490" s="74">
        <f>IF(OR(E490="",E490=0,AB490=""),"",E490*365/(AB490*1000000))</f>
        <v/>
      </c>
      <c r="AD490" s="98">
        <f>IF(OR(O490="",O490=0,AB490=""),"",(AB490*1000000)/O490)</f>
        <v/>
      </c>
      <c r="AE490" s="99">
        <f>IF(H490="","",(Team_Genesis-H490)/1000000)</f>
        <v/>
      </c>
      <c r="AF490" s="99">
        <f>IF(OR(O490="",AE490=""),"",(O490-AE490*1000000)/1000000)</f>
        <v/>
      </c>
    </row>
    <row r="491">
      <c r="A491" s="35" t="n">
        <v>46145</v>
      </c>
      <c r="B491" s="90">
        <f>IF('Daily Data'!E491="","",'Daily Data'!E491)</f>
        <v/>
      </c>
      <c r="C491" s="65" t="n">
        <v>41.32</v>
      </c>
      <c r="D491" s="94" t="n">
        <v>17662.43</v>
      </c>
      <c r="E491" s="94" t="n">
        <v>26491.9497</v>
      </c>
      <c r="F491" s="94" t="n">
        <v>336.579</v>
      </c>
      <c r="G491" s="94" t="n"/>
      <c r="H491" s="95">
        <f>SUM($G$4:G491)</f>
        <v/>
      </c>
      <c r="I491" s="94" t="n">
        <v>1000000000</v>
      </c>
      <c r="J491" s="95">
        <f>J490-E491</f>
        <v/>
      </c>
      <c r="K491" s="94" t="n">
        <v>60000000</v>
      </c>
      <c r="L491" s="94" t="n">
        <v>43839831.02255512</v>
      </c>
      <c r="M491" s="94" t="n">
        <v>3000000</v>
      </c>
      <c r="N491" s="94" t="n">
        <v>755674.9831000566</v>
      </c>
      <c r="O491" s="96">
        <f>IF(OR(I491="",J491="",L491="",N491=""),"",I491-J491-K491-L491-M491-N491)</f>
        <v/>
      </c>
      <c r="P491" s="91">
        <f>IF(OR(O491="",C491=""),"",O491*C491)</f>
        <v/>
      </c>
      <c r="Q491" s="69">
        <f>Q490-E491</f>
        <v/>
      </c>
      <c r="R491" s="97">
        <f>IF(OR(J491="",Q491=""),"",J491-Q491)</f>
        <v/>
      </c>
      <c r="S491" s="69">
        <f>IF(D491="",S490,S490+D491)</f>
        <v/>
      </c>
      <c r="T491" s="97">
        <f>IF(OR(L491="",S491=""),"",L491-S491)</f>
        <v/>
      </c>
      <c r="U491" s="69">
        <f>IF(F491="",U490,U490+F491)</f>
        <v/>
      </c>
      <c r="V491" s="97">
        <f>IF(OR(N491="",U491=""),"",N491-U491)</f>
        <v/>
      </c>
      <c r="W491" s="71">
        <f>IF(OR(C491="",C491=0,'Daily Data'!J491=""),"",'Daily Data'!J491/C491)</f>
        <v/>
      </c>
      <c r="X491" s="71">
        <f>IF(OR(C491="",C491=0,'Daily Data'!K491=""),"",'Daily Data'!K491/C491)</f>
        <v/>
      </c>
      <c r="Y491" s="71">
        <f>IF(OR(F491="",W491="",X491=""),"",F491-W491-X491)</f>
        <v/>
      </c>
      <c r="Z491" s="72" t="n">
        <v>366.7</v>
      </c>
      <c r="AA491" s="72" t="n">
        <v>64.70999999999999</v>
      </c>
      <c r="AB491" s="73">
        <f>Z491+AA491</f>
        <v/>
      </c>
      <c r="AC491" s="74">
        <f>IF(OR(E491="",E491=0,AB491=""),"",E491*365/(AB491*1000000))</f>
        <v/>
      </c>
      <c r="AD491" s="98">
        <f>IF(OR(O491="",O491=0,AB491=""),"",(AB491*1000000)/O491)</f>
        <v/>
      </c>
      <c r="AE491" s="99">
        <f>IF(H491="","",(Team_Genesis-H491)/1000000)</f>
        <v/>
      </c>
      <c r="AF491" s="99">
        <f>IF(OR(O491="",AE491=""),"",(O491-AE491*1000000)/1000000)</f>
        <v/>
      </c>
    </row>
    <row r="492">
      <c r="A492" s="35" t="n">
        <v>46146</v>
      </c>
      <c r="B492" s="90">
        <f>IF('Daily Data'!E492="","",'Daily Data'!E492)</f>
        <v/>
      </c>
      <c r="C492" s="65" t="n">
        <v>41.25</v>
      </c>
      <c r="D492" s="94" t="n">
        <v>45885.24</v>
      </c>
      <c r="E492" s="94" t="n">
        <v>26492.991</v>
      </c>
      <c r="F492" s="94" t="n">
        <v>830.7372</v>
      </c>
      <c r="G492" s="94" t="n"/>
      <c r="H492" s="95">
        <f>SUM($G$4:G492)</f>
        <v/>
      </c>
      <c r="I492" s="94" t="n">
        <v>1000000000</v>
      </c>
      <c r="J492" s="95">
        <f>J491-E492</f>
        <v/>
      </c>
      <c r="K492" s="94" t="n">
        <v>60000000</v>
      </c>
      <c r="L492" s="94" t="n">
        <v>43885214.42255512</v>
      </c>
      <c r="M492" s="94" t="n">
        <v>3000000</v>
      </c>
      <c r="N492" s="94" t="n">
        <v>756505.7201999426</v>
      </c>
      <c r="O492" s="96">
        <f>IF(OR(I492="",J492="",L492="",N492=""),"",I492-J492-K492-L492-M492-N492)</f>
        <v/>
      </c>
      <c r="P492" s="91">
        <f>IF(OR(O492="",C492=""),"",O492*C492)</f>
        <v/>
      </c>
      <c r="Q492" s="69">
        <f>Q491-E492</f>
        <v/>
      </c>
      <c r="R492" s="97">
        <f>IF(OR(J492="",Q492=""),"",J492-Q492)</f>
        <v/>
      </c>
      <c r="S492" s="69">
        <f>IF(D492="",S491,S491+D492)</f>
        <v/>
      </c>
      <c r="T492" s="97">
        <f>IF(OR(L492="",S492=""),"",L492-S492)</f>
        <v/>
      </c>
      <c r="U492" s="69">
        <f>IF(F492="",U491,U491+F492)</f>
        <v/>
      </c>
      <c r="V492" s="97">
        <f>IF(OR(N492="",U492=""),"",N492-U492)</f>
        <v/>
      </c>
      <c r="W492" s="71">
        <f>IF(OR(C492="",C492=0,'Daily Data'!J492=""),"",'Daily Data'!J492/C492)</f>
        <v/>
      </c>
      <c r="X492" s="71">
        <f>IF(OR(C492="",C492=0,'Daily Data'!K492=""),"",'Daily Data'!K492/C492)</f>
        <v/>
      </c>
      <c r="Y492" s="71">
        <f>IF(OR(F492="",W492="",X492=""),"",F492-W492-X492)</f>
        <v/>
      </c>
      <c r="Z492" s="72" t="n">
        <v>366.7</v>
      </c>
      <c r="AA492" s="72" t="n">
        <v>64.70999999999999</v>
      </c>
      <c r="AB492" s="73">
        <f>Z492+AA492</f>
        <v/>
      </c>
      <c r="AC492" s="74">
        <f>IF(OR(E492="",E492=0,AB492=""),"",E492*365/(AB492*1000000))</f>
        <v/>
      </c>
      <c r="AD492" s="98">
        <f>IF(OR(O492="",O492=0,AB492=""),"",(AB492*1000000)/O492)</f>
        <v/>
      </c>
      <c r="AE492" s="99">
        <f>IF(H492="","",(Team_Genesis-H492)/1000000)</f>
        <v/>
      </c>
      <c r="AF492" s="99">
        <f>IF(OR(O492="",AE492=""),"",(O492-AE492*1000000)/1000000)</f>
        <v/>
      </c>
    </row>
    <row r="493">
      <c r="A493" s="35" t="n">
        <v>46147</v>
      </c>
      <c r="B493" s="90">
        <f>IF('Daily Data'!E493="","",'Daily Data'!E493)</f>
        <v/>
      </c>
      <c r="C493" s="65" t="n">
        <v>41.79</v>
      </c>
      <c r="D493" s="94" t="n">
        <v>37568.98</v>
      </c>
      <c r="E493" s="94" t="n">
        <v>26499.8887</v>
      </c>
      <c r="F493" s="94" t="n">
        <v>839.074</v>
      </c>
      <c r="G493" s="94" t="n"/>
      <c r="H493" s="95">
        <f>SUM($G$4:G493)</f>
        <v/>
      </c>
      <c r="I493" s="94" t="n">
        <v>1000000000</v>
      </c>
      <c r="J493" s="95">
        <f>J492-E493</f>
        <v/>
      </c>
      <c r="K493" s="94" t="n">
        <v>60000000</v>
      </c>
      <c r="L493" s="94" t="n">
        <v>43923183.10255512</v>
      </c>
      <c r="M493" s="94" t="n">
        <v>3000000</v>
      </c>
      <c r="N493" s="94" t="n">
        <v>757344.7942999601</v>
      </c>
      <c r="O493" s="96">
        <f>IF(OR(I493="",J493="",L493="",N493=""),"",I493-J493-K493-L493-M493-N493)</f>
        <v/>
      </c>
      <c r="P493" s="91">
        <f>IF(OR(O493="",C493=""),"",O493*C493)</f>
        <v/>
      </c>
      <c r="Q493" s="69">
        <f>Q492-E493</f>
        <v/>
      </c>
      <c r="R493" s="97">
        <f>IF(OR(J493="",Q493=""),"",J493-Q493)</f>
        <v/>
      </c>
      <c r="S493" s="69">
        <f>IF(D493="",S492,S492+D493)</f>
        <v/>
      </c>
      <c r="T493" s="97">
        <f>IF(OR(L493="",S493=""),"",L493-S493)</f>
        <v/>
      </c>
      <c r="U493" s="69">
        <f>IF(F493="",U492,U492+F493)</f>
        <v/>
      </c>
      <c r="V493" s="97">
        <f>IF(OR(N493="",U493=""),"",N493-U493)</f>
        <v/>
      </c>
      <c r="W493" s="71">
        <f>IF(OR(C493="",C493=0,'Daily Data'!J493=""),"",'Daily Data'!J493/C493)</f>
        <v/>
      </c>
      <c r="X493" s="71">
        <f>IF(OR(C493="",C493=0,'Daily Data'!K493=""),"",'Daily Data'!K493/C493)</f>
        <v/>
      </c>
      <c r="Y493" s="71">
        <f>IF(OR(F493="",W493="",X493=""),"",F493-W493-X493)</f>
        <v/>
      </c>
      <c r="Z493" s="72" t="n">
        <v>366.7</v>
      </c>
      <c r="AA493" s="72" t="n">
        <v>64.70999999999999</v>
      </c>
      <c r="AB493" s="73">
        <f>Z493+AA493</f>
        <v/>
      </c>
      <c r="AC493" s="74">
        <f>IF(OR(E493="",E493=0,AB493=""),"",E493*365/(AB493*1000000))</f>
        <v/>
      </c>
      <c r="AD493" s="98">
        <f>IF(OR(O493="",O493=0,AB493=""),"",(AB493*1000000)/O493)</f>
        <v/>
      </c>
      <c r="AE493" s="99">
        <f>IF(H493="","",(Team_Genesis-H493)/1000000)</f>
        <v/>
      </c>
      <c r="AF493" s="99">
        <f>IF(OR(O493="",AE493=""),"",(O493-AE493*1000000)/1000000)</f>
        <v/>
      </c>
    </row>
    <row r="494">
      <c r="A494" s="35" t="n">
        <v>46148</v>
      </c>
      <c r="B494" s="90">
        <f>IF('Daily Data'!E494="","",'Daily Data'!E494)</f>
        <v/>
      </c>
      <c r="C494" s="65" t="n">
        <v>43.84</v>
      </c>
      <c r="D494" s="94" t="n">
        <v>44694.09</v>
      </c>
      <c r="E494" s="94" t="n">
        <v>26556.0013</v>
      </c>
      <c r="F494" s="94" t="n">
        <v>1357.3483</v>
      </c>
      <c r="G494" s="94" t="n"/>
      <c r="H494" s="95">
        <f>SUM($G$4:G494)</f>
        <v/>
      </c>
      <c r="I494" s="94" t="n">
        <v>1000000000</v>
      </c>
      <c r="J494" s="95">
        <f>J493-E494</f>
        <v/>
      </c>
      <c r="K494" s="94" t="n">
        <v>60000000</v>
      </c>
      <c r="L494" s="94" t="n">
        <v>43967293.59255512</v>
      </c>
      <c r="M494" s="94" t="n">
        <v>3000000</v>
      </c>
      <c r="N494" s="94" t="n">
        <v>758702.1426000595</v>
      </c>
      <c r="O494" s="96">
        <f>IF(OR(I494="",J494="",L494="",N494=""),"",I494-J494-K494-L494-M494-N494)</f>
        <v/>
      </c>
      <c r="P494" s="91">
        <f>IF(OR(O494="",C494=""),"",O494*C494)</f>
        <v/>
      </c>
      <c r="Q494" s="69">
        <f>Q493-E494</f>
        <v/>
      </c>
      <c r="R494" s="97">
        <f>IF(OR(J494="",Q494=""),"",J494-Q494)</f>
        <v/>
      </c>
      <c r="S494" s="69">
        <f>IF(D494="",S493,S493+D494)</f>
        <v/>
      </c>
      <c r="T494" s="97">
        <f>IF(OR(L494="",S494=""),"",L494-S494)</f>
        <v/>
      </c>
      <c r="U494" s="69">
        <f>IF(F494="",U493,U493+F494)</f>
        <v/>
      </c>
      <c r="V494" s="97">
        <f>IF(OR(N494="",U494=""),"",N494-U494)</f>
        <v/>
      </c>
      <c r="W494" s="71">
        <f>IF(OR(C494="",C494=0,'Daily Data'!J494=""),"",'Daily Data'!J494/C494)</f>
        <v/>
      </c>
      <c r="X494" s="71">
        <f>IF(OR(C494="",C494=0,'Daily Data'!K494=""),"",'Daily Data'!K494/C494)</f>
        <v/>
      </c>
      <c r="Y494" s="71">
        <f>IF(OR(F494="",W494="",X494=""),"",F494-W494-X494)</f>
        <v/>
      </c>
      <c r="Z494" s="72" t="n">
        <v>366.7</v>
      </c>
      <c r="AA494" s="72" t="n">
        <v>64.70999999999999</v>
      </c>
      <c r="AB494" s="73">
        <f>Z494+AA494</f>
        <v/>
      </c>
      <c r="AC494" s="74">
        <f>IF(OR(E494="",E494=0,AB494=""),"",E494*365/(AB494*1000000))</f>
        <v/>
      </c>
      <c r="AD494" s="98">
        <f>IF(OR(O494="",O494=0,AB494=""),"",(AB494*1000000)/O494)</f>
        <v/>
      </c>
      <c r="AE494" s="99">
        <f>IF(H494="","",(Team_Genesis-H494)/1000000)</f>
        <v/>
      </c>
      <c r="AF494" s="99">
        <f>IF(OR(O494="",AE494=""),"",(O494-AE494*1000000)/1000000)</f>
        <v/>
      </c>
    </row>
    <row r="495">
      <c r="A495" s="35" t="n">
        <v>46149</v>
      </c>
      <c r="B495" s="90">
        <f>IF('Daily Data'!E495="","",'Daily Data'!E495)</f>
        <v/>
      </c>
      <c r="C495" s="65" t="n">
        <v>42.92</v>
      </c>
      <c r="D495" s="94" t="n">
        <v>37930.16</v>
      </c>
      <c r="E495" s="94" t="n">
        <v>26566.7638</v>
      </c>
      <c r="F495" s="94" t="n">
        <v>1003.4753</v>
      </c>
      <c r="G495" s="94" t="n"/>
      <c r="H495" s="95">
        <f>SUM($G$4:G495)</f>
        <v/>
      </c>
      <c r="I495" s="94" t="n">
        <v>1000000000</v>
      </c>
      <c r="J495" s="95">
        <f>J494-E495</f>
        <v/>
      </c>
      <c r="K495" s="94" t="n">
        <v>60000000</v>
      </c>
      <c r="L495" s="94" t="n">
        <v>44004836.83255512</v>
      </c>
      <c r="M495" s="94" t="n">
        <v>3000000</v>
      </c>
      <c r="N495" s="94" t="n">
        <v>759705.6179000139</v>
      </c>
      <c r="O495" s="96">
        <f>IF(OR(I495="",J495="",L495="",N495=""),"",I495-J495-K495-L495-M495-N495)</f>
        <v/>
      </c>
      <c r="P495" s="91">
        <f>IF(OR(O495="",C495=""),"",O495*C495)</f>
        <v/>
      </c>
      <c r="Q495" s="69">
        <f>Q494-E495</f>
        <v/>
      </c>
      <c r="R495" s="97">
        <f>IF(OR(J495="",Q495=""),"",J495-Q495)</f>
        <v/>
      </c>
      <c r="S495" s="69">
        <f>IF(D495="",S494,S494+D495)</f>
        <v/>
      </c>
      <c r="T495" s="97">
        <f>IF(OR(L495="",S495=""),"",L495-S495)</f>
        <v/>
      </c>
      <c r="U495" s="69">
        <f>IF(F495="",U494,U494+F495)</f>
        <v/>
      </c>
      <c r="V495" s="97">
        <f>IF(OR(N495="",U495=""),"",N495-U495)</f>
        <v/>
      </c>
      <c r="W495" s="71">
        <f>IF(OR(C495="",C495=0,'Daily Data'!J495=""),"",'Daily Data'!J495/C495)</f>
        <v/>
      </c>
      <c r="X495" s="71">
        <f>IF(OR(C495="",C495=0,'Daily Data'!K495=""),"",'Daily Data'!K495/C495)</f>
        <v/>
      </c>
      <c r="Y495" s="71">
        <f>IF(OR(F495="",W495="",X495=""),"",F495-W495-X495)</f>
        <v/>
      </c>
      <c r="Z495" s="72" t="n">
        <v>366.7</v>
      </c>
      <c r="AA495" s="72" t="n">
        <v>64.70999999999999</v>
      </c>
      <c r="AB495" s="73">
        <f>Z495+AA495</f>
        <v/>
      </c>
      <c r="AC495" s="74">
        <f>IF(OR(E495="",E495=0,AB495=""),"",E495*365/(AB495*1000000))</f>
        <v/>
      </c>
      <c r="AD495" s="98">
        <f>IF(OR(O495="",O495=0,AB495=""),"",(AB495*1000000)/O495)</f>
        <v/>
      </c>
      <c r="AE495" s="99">
        <f>IF(H495="","",(Team_Genesis-H495)/1000000)</f>
        <v/>
      </c>
      <c r="AF495" s="99">
        <f>IF(OR(O495="",AE495=""),"",(O495-AE495*1000000)/1000000)</f>
        <v/>
      </c>
    </row>
    <row r="496">
      <c r="A496" s="35" t="n">
        <v>46150</v>
      </c>
      <c r="B496" s="90">
        <f>IF('Daily Data'!E496="","",'Daily Data'!E496)</f>
        <v/>
      </c>
      <c r="C496" s="65" t="n">
        <v>42.68</v>
      </c>
      <c r="D496" s="94" t="n">
        <v>31682.1</v>
      </c>
      <c r="E496" s="94" t="n">
        <v>26584.0171</v>
      </c>
      <c r="F496" s="94" t="n">
        <v>2068.2801</v>
      </c>
      <c r="G496" s="94" t="n"/>
      <c r="H496" s="95">
        <f>SUM($G$4:G496)</f>
        <v/>
      </c>
      <c r="I496" s="94" t="n">
        <v>1000000000</v>
      </c>
      <c r="J496" s="95">
        <f>J495-E496</f>
        <v/>
      </c>
      <c r="K496" s="94" t="n">
        <v>60000000</v>
      </c>
      <c r="L496" s="94" t="n">
        <v>44036284.02255512</v>
      </c>
      <c r="M496" s="94" t="n">
        <v>3000000</v>
      </c>
      <c r="N496" s="94" t="n">
        <v>761773.8980000019</v>
      </c>
      <c r="O496" s="96">
        <f>IF(OR(I496="",J496="",L496="",N496=""),"",I496-J496-K496-L496-M496-N496)</f>
        <v/>
      </c>
      <c r="P496" s="91">
        <f>IF(OR(O496="",C496=""),"",O496*C496)</f>
        <v/>
      </c>
      <c r="Q496" s="69">
        <f>Q495-E496</f>
        <v/>
      </c>
      <c r="R496" s="97">
        <f>IF(OR(J496="",Q496=""),"",J496-Q496)</f>
        <v/>
      </c>
      <c r="S496" s="69">
        <f>IF(D496="",S495,S495+D496)</f>
        <v/>
      </c>
      <c r="T496" s="97">
        <f>IF(OR(L496="",S496=""),"",L496-S496)</f>
        <v/>
      </c>
      <c r="U496" s="69">
        <f>IF(F496="",U495,U495+F496)</f>
        <v/>
      </c>
      <c r="V496" s="97">
        <f>IF(OR(N496="",U496=""),"",N496-U496)</f>
        <v/>
      </c>
      <c r="W496" s="71">
        <f>IF(OR(C496="",C496=0,'Daily Data'!J496=""),"",'Daily Data'!J496/C496)</f>
        <v/>
      </c>
      <c r="X496" s="71">
        <f>IF(OR(C496="",C496=0,'Daily Data'!K496=""),"",'Daily Data'!K496/C496)</f>
        <v/>
      </c>
      <c r="Y496" s="71">
        <f>IF(OR(F496="",W496="",X496=""),"",F496-W496-X496)</f>
        <v/>
      </c>
      <c r="Z496" s="72" t="n">
        <v>366.7</v>
      </c>
      <c r="AA496" s="72" t="n">
        <v>64.70999999999999</v>
      </c>
      <c r="AB496" s="73">
        <f>Z496+AA496</f>
        <v/>
      </c>
      <c r="AC496" s="74">
        <f>IF(OR(E496="",E496=0,AB496=""),"",E496*365/(AB496*1000000))</f>
        <v/>
      </c>
      <c r="AD496" s="98">
        <f>IF(OR(O496="",O496=0,AB496=""),"",(AB496*1000000)/O496)</f>
        <v/>
      </c>
      <c r="AE496" s="99">
        <f>IF(H496="","",(Team_Genesis-H496)/1000000)</f>
        <v/>
      </c>
      <c r="AF496" s="99">
        <f>IF(OR(O496="",AE496=""),"",(O496-AE496*1000000)/1000000)</f>
        <v/>
      </c>
    </row>
    <row r="497">
      <c r="A497" s="35" t="n">
        <v>46151</v>
      </c>
      <c r="B497" s="90">
        <f>IF('Daily Data'!E497="","",'Daily Data'!E497)</f>
        <v/>
      </c>
      <c r="C497" s="65" t="n">
        <v>43.37</v>
      </c>
      <c r="D497" s="94" t="n">
        <v>19300.73</v>
      </c>
      <c r="E497" s="94" t="n">
        <v>26600.8439</v>
      </c>
      <c r="F497" s="94" t="n">
        <v>814.8742999999999</v>
      </c>
      <c r="G497" s="94" t="n"/>
      <c r="H497" s="95">
        <f>SUM($G$4:G497)</f>
        <v/>
      </c>
      <c r="I497" s="94" t="n">
        <v>1000000000</v>
      </c>
      <c r="J497" s="95">
        <f>J496-E497</f>
        <v/>
      </c>
      <c r="K497" s="94" t="n">
        <v>60000000</v>
      </c>
      <c r="L497" s="94" t="n">
        <v>44056402.03255512</v>
      </c>
      <c r="M497" s="94" t="n">
        <v>3000000</v>
      </c>
      <c r="N497" s="94" t="n">
        <v>762588.772300005</v>
      </c>
      <c r="O497" s="96">
        <f>IF(OR(I497="",J497="",L497="",N497=""),"",I497-J497-K497-L497-M497-N497)</f>
        <v/>
      </c>
      <c r="P497" s="91">
        <f>IF(OR(O497="",C497=""),"",O497*C497)</f>
        <v/>
      </c>
      <c r="Q497" s="69">
        <f>Q496-E497</f>
        <v/>
      </c>
      <c r="R497" s="97">
        <f>IF(OR(J497="",Q497=""),"",J497-Q497)</f>
        <v/>
      </c>
      <c r="S497" s="69">
        <f>IF(D497="",S496,S496+D497)</f>
        <v/>
      </c>
      <c r="T497" s="97">
        <f>IF(OR(L497="",S497=""),"",L497-S497)</f>
        <v/>
      </c>
      <c r="U497" s="69">
        <f>IF(F497="",U496,U496+F497)</f>
        <v/>
      </c>
      <c r="V497" s="97">
        <f>IF(OR(N497="",U497=""),"",N497-U497)</f>
        <v/>
      </c>
      <c r="W497" s="71">
        <f>IF(OR(C497="",C497=0,'Daily Data'!J497=""),"",'Daily Data'!J497/C497)</f>
        <v/>
      </c>
      <c r="X497" s="71">
        <f>IF(OR(C497="",C497=0,'Daily Data'!K497=""),"",'Daily Data'!K497/C497)</f>
        <v/>
      </c>
      <c r="Y497" s="71">
        <f>IF(OR(F497="",W497="",X497=""),"",F497-W497-X497)</f>
        <v/>
      </c>
      <c r="Z497" s="72" t="n">
        <v>366.7</v>
      </c>
      <c r="AA497" s="72" t="n">
        <v>64.70999999999999</v>
      </c>
      <c r="AB497" s="73">
        <f>Z497+AA497</f>
        <v/>
      </c>
      <c r="AC497" s="74">
        <f>IF(OR(E497="",E497=0,AB497=""),"",E497*365/(AB497*1000000))</f>
        <v/>
      </c>
      <c r="AD497" s="98">
        <f>IF(OR(O497="",O497=0,AB497=""),"",(AB497*1000000)/O497)</f>
        <v/>
      </c>
      <c r="AE497" s="99">
        <f>IF(H497="","",(Team_Genesis-H497)/1000000)</f>
        <v/>
      </c>
      <c r="AF497" s="99">
        <f>IF(OR(O497="",AE497=""),"",(O497-AE497*1000000)/1000000)</f>
        <v/>
      </c>
    </row>
    <row r="498">
      <c r="A498" s="35" t="n">
        <v>46152</v>
      </c>
      <c r="B498" s="90">
        <f>IF('Daily Data'!E498="","",'Daily Data'!E498)</f>
        <v/>
      </c>
      <c r="C498" s="65" t="n">
        <v>42.78</v>
      </c>
      <c r="D498" s="94" t="n">
        <v>25784.42</v>
      </c>
      <c r="E498" s="94" t="n">
        <v>26614.6055</v>
      </c>
      <c r="F498" s="94" t="n">
        <v>1133.6262</v>
      </c>
      <c r="G498" s="94" t="n"/>
      <c r="H498" s="95">
        <f>SUM($G$4:G498)</f>
        <v/>
      </c>
      <c r="I498" s="94" t="n">
        <v>1000000000</v>
      </c>
      <c r="J498" s="95">
        <f>J497-E498</f>
        <v/>
      </c>
      <c r="K498" s="94" t="n">
        <v>60000000</v>
      </c>
      <c r="L498" s="94" t="n">
        <v>44084955.45255512</v>
      </c>
      <c r="M498" s="94" t="n">
        <v>3000000</v>
      </c>
      <c r="N498" s="94" t="n">
        <v>763722.3985999823</v>
      </c>
      <c r="O498" s="96">
        <f>IF(OR(I498="",J498="",L498="",N498=""),"",I498-J498-K498-L498-M498-N498)</f>
        <v/>
      </c>
      <c r="P498" s="91">
        <f>IF(OR(O498="",C498=""),"",O498*C498)</f>
        <v/>
      </c>
      <c r="Q498" s="69">
        <f>Q497-E498</f>
        <v/>
      </c>
      <c r="R498" s="97">
        <f>IF(OR(J498="",Q498=""),"",J498-Q498)</f>
        <v/>
      </c>
      <c r="S498" s="69">
        <f>IF(D498="",S497,S497+D498)</f>
        <v/>
      </c>
      <c r="T498" s="97">
        <f>IF(OR(L498="",S498=""),"",L498-S498)</f>
        <v/>
      </c>
      <c r="U498" s="69">
        <f>IF(F498="",U497,U497+F498)</f>
        <v/>
      </c>
      <c r="V498" s="97">
        <f>IF(OR(N498="",U498=""),"",N498-U498)</f>
        <v/>
      </c>
      <c r="W498" s="71">
        <f>IF(OR(C498="",C498=0,'Daily Data'!J498=""),"",'Daily Data'!J498/C498)</f>
        <v/>
      </c>
      <c r="X498" s="71">
        <f>IF(OR(C498="",C498=0,'Daily Data'!K498=""),"",'Daily Data'!K498/C498)</f>
        <v/>
      </c>
      <c r="Y498" s="71">
        <f>IF(OR(F498="",W498="",X498=""),"",F498-W498-X498)</f>
        <v/>
      </c>
      <c r="Z498" s="72" t="n">
        <v>366.7</v>
      </c>
      <c r="AA498" s="72" t="n">
        <v>64.70999999999999</v>
      </c>
      <c r="AB498" s="73">
        <f>Z498+AA498</f>
        <v/>
      </c>
      <c r="AC498" s="74">
        <f>IF(OR(E498="",E498=0,AB498=""),"",E498*365/(AB498*1000000))</f>
        <v/>
      </c>
      <c r="AD498" s="98">
        <f>IF(OR(O498="",O498=0,AB498=""),"",(AB498*1000000)/O498)</f>
        <v/>
      </c>
      <c r="AE498" s="99">
        <f>IF(H498="","",(Team_Genesis-H498)/1000000)</f>
        <v/>
      </c>
      <c r="AF498" s="99">
        <f>IF(OR(O498="",AE498=""),"",(O498-AE498*1000000)/1000000)</f>
        <v/>
      </c>
    </row>
    <row r="499">
      <c r="A499" s="35" t="n">
        <v>46153</v>
      </c>
      <c r="B499" s="90">
        <f>IF('Daily Data'!E499="","",'Daily Data'!E499)</f>
        <v/>
      </c>
      <c r="C499" s="65" t="n">
        <v>42.99</v>
      </c>
      <c r="D499" s="94" t="n">
        <v>35854.16</v>
      </c>
      <c r="E499" s="94" t="n">
        <v>26610.2038</v>
      </c>
      <c r="F499" s="94" t="n">
        <v>579.2063000000001</v>
      </c>
      <c r="G499" s="94" t="n"/>
      <c r="H499" s="95">
        <f>SUM($G$4:G499)</f>
        <v/>
      </c>
      <c r="I499" s="94" t="n">
        <v>1000000000</v>
      </c>
      <c r="J499" s="95">
        <f>J498-E499</f>
        <v/>
      </c>
      <c r="K499" s="94" t="n">
        <v>60000000</v>
      </c>
      <c r="L499" s="94" t="n">
        <v>44118026.48255512</v>
      </c>
      <c r="M499" s="94" t="n">
        <v>3000000</v>
      </c>
      <c r="N499" s="94" t="n">
        <v>764301.6049000025</v>
      </c>
      <c r="O499" s="96">
        <f>IF(OR(I499="",J499="",L499="",N499=""),"",I499-J499-K499-L499-M499-N499)</f>
        <v/>
      </c>
      <c r="P499" s="91">
        <f>IF(OR(O499="",C499=""),"",O499*C499)</f>
        <v/>
      </c>
      <c r="Q499" s="69">
        <f>Q498-E499</f>
        <v/>
      </c>
      <c r="R499" s="97">
        <f>IF(OR(J499="",Q499=""),"",J499-Q499)</f>
        <v/>
      </c>
      <c r="S499" s="69">
        <f>IF(D499="",S498,S498+D499)</f>
        <v/>
      </c>
      <c r="T499" s="97">
        <f>IF(OR(L499="",S499=""),"",L499-S499)</f>
        <v/>
      </c>
      <c r="U499" s="69">
        <f>IF(F499="",U498,U498+F499)</f>
        <v/>
      </c>
      <c r="V499" s="97">
        <f>IF(OR(N499="",U499=""),"",N499-U499)</f>
        <v/>
      </c>
      <c r="W499" s="71">
        <f>IF(OR(C499="",C499=0,'Daily Data'!J499=""),"",'Daily Data'!J499/C499)</f>
        <v/>
      </c>
      <c r="X499" s="71">
        <f>IF(OR(C499="",C499=0,'Daily Data'!K499=""),"",'Daily Data'!K499/C499)</f>
        <v/>
      </c>
      <c r="Y499" s="71">
        <f>IF(OR(F499="",W499="",X499=""),"",F499-W499-X499)</f>
        <v/>
      </c>
      <c r="Z499" s="72" t="n">
        <v>366.7</v>
      </c>
      <c r="AA499" s="72" t="n">
        <v>64.70999999999999</v>
      </c>
      <c r="AB499" s="73">
        <f>Z499+AA499</f>
        <v/>
      </c>
      <c r="AC499" s="74">
        <f>IF(OR(E499="",E499=0,AB499=""),"",E499*365/(AB499*1000000))</f>
        <v/>
      </c>
      <c r="AD499" s="98">
        <f>IF(OR(O499="",O499=0,AB499=""),"",(AB499*1000000)/O499)</f>
        <v/>
      </c>
      <c r="AE499" s="99">
        <f>IF(H499="","",(Team_Genesis-H499)/1000000)</f>
        <v/>
      </c>
      <c r="AF499" s="99">
        <f>IF(OR(O499="",AE499=""),"",(O499-AE499*1000000)/1000000)</f>
        <v/>
      </c>
    </row>
    <row r="500">
      <c r="A500" s="35" t="n">
        <v>46154</v>
      </c>
      <c r="B500" s="90">
        <f>IF('Daily Data'!E500="","",'Daily Data'!E500)</f>
        <v/>
      </c>
      <c r="C500" s="65" t="n">
        <v>41.81</v>
      </c>
      <c r="D500" s="94" t="n">
        <v>31952.45</v>
      </c>
      <c r="E500" s="94" t="n">
        <v>26614.0178</v>
      </c>
      <c r="F500" s="94" t="n">
        <v>1471.4833</v>
      </c>
      <c r="G500" s="94" t="n"/>
      <c r="H500" s="95">
        <f>SUM($G$4:G500)</f>
        <v/>
      </c>
      <c r="I500" s="94" t="n">
        <v>1000000000</v>
      </c>
      <c r="J500" s="95">
        <f>J499-E500</f>
        <v/>
      </c>
      <c r="K500" s="94" t="n">
        <v>60000000</v>
      </c>
      <c r="L500" s="94" t="n">
        <v>44149672.24255512</v>
      </c>
      <c r="M500" s="94" t="n">
        <v>3000000</v>
      </c>
      <c r="N500" s="94" t="n">
        <v>765773.0881999731</v>
      </c>
      <c r="O500" s="96">
        <f>IF(OR(I500="",J500="",L500="",N500=""),"",I500-J500-K500-L500-M500-N500)</f>
        <v/>
      </c>
      <c r="P500" s="91">
        <f>IF(OR(O500="",C500=""),"",O500*C500)</f>
        <v/>
      </c>
      <c r="Q500" s="69">
        <f>Q499-E500</f>
        <v/>
      </c>
      <c r="R500" s="97">
        <f>IF(OR(J500="",Q500=""),"",J500-Q500)</f>
        <v/>
      </c>
      <c r="S500" s="69">
        <f>IF(D500="",S499,S499+D500)</f>
        <v/>
      </c>
      <c r="T500" s="97">
        <f>IF(OR(L500="",S500=""),"",L500-S500)</f>
        <v/>
      </c>
      <c r="U500" s="69">
        <f>IF(F500="",U499,U499+F500)</f>
        <v/>
      </c>
      <c r="V500" s="97">
        <f>IF(OR(N500="",U500=""),"",N500-U500)</f>
        <v/>
      </c>
      <c r="W500" s="71">
        <f>IF(OR(C500="",C500=0,'Daily Data'!J500=""),"",'Daily Data'!J500/C500)</f>
        <v/>
      </c>
      <c r="X500" s="71">
        <f>IF(OR(C500="",C500=0,'Daily Data'!K500=""),"",'Daily Data'!K500/C500)</f>
        <v/>
      </c>
      <c r="Y500" s="71">
        <f>IF(OR(F500="",W500="",X500=""),"",F500-W500-X500)</f>
        <v/>
      </c>
      <c r="Z500" s="72" t="n">
        <v>366.7</v>
      </c>
      <c r="AA500" s="72" t="n">
        <v>64.70999999999999</v>
      </c>
      <c r="AB500" s="73">
        <f>Z500+AA500</f>
        <v/>
      </c>
      <c r="AC500" s="74">
        <f>IF(OR(E500="",E500=0,AB500=""),"",E500*365/(AB500*1000000))</f>
        <v/>
      </c>
      <c r="AD500" s="98">
        <f>IF(OR(O500="",O500=0,AB500=""),"",(AB500*1000000)/O500)</f>
        <v/>
      </c>
      <c r="AE500" s="99">
        <f>IF(H500="","",(Team_Genesis-H500)/1000000)</f>
        <v/>
      </c>
      <c r="AF500" s="99">
        <f>IF(OR(O500="",AE500=""),"",(O500-AE500*1000000)/1000000)</f>
        <v/>
      </c>
    </row>
    <row r="501">
      <c r="A501" s="35" t="n">
        <v>46155</v>
      </c>
      <c r="B501" s="90">
        <f>IF('Daily Data'!E501="","",'Daily Data'!E501)</f>
        <v/>
      </c>
      <c r="C501" s="65" t="n">
        <v>40.09</v>
      </c>
      <c r="D501" s="94" t="n">
        <v>35195.46</v>
      </c>
      <c r="E501" s="94" t="n">
        <v>26616.4908</v>
      </c>
      <c r="F501" s="94" t="n">
        <v>902.4404</v>
      </c>
      <c r="G501" s="94" t="n"/>
      <c r="H501" s="95">
        <f>SUM($G$4:G501)</f>
        <v/>
      </c>
      <c r="I501" s="94" t="n">
        <v>1000000000</v>
      </c>
      <c r="J501" s="95">
        <f>J500-E501</f>
        <v/>
      </c>
      <c r="K501" s="94" t="n">
        <v>60000000</v>
      </c>
      <c r="L501" s="94" t="n">
        <v>44185039.26255512</v>
      </c>
      <c r="M501" s="94" t="n">
        <v>3000000</v>
      </c>
      <c r="N501" s="94" t="n">
        <v>766675.5284999609</v>
      </c>
      <c r="O501" s="96">
        <f>IF(OR(I501="",J501="",L501="",N501=""),"",I501-J501-K501-L501-M501-N501)</f>
        <v/>
      </c>
      <c r="P501" s="91">
        <f>IF(OR(O501="",C501=""),"",O501*C501)</f>
        <v/>
      </c>
      <c r="Q501" s="69">
        <f>Q500-E501</f>
        <v/>
      </c>
      <c r="R501" s="97">
        <f>IF(OR(J501="",Q501=""),"",J501-Q501)</f>
        <v/>
      </c>
      <c r="S501" s="69">
        <f>IF(D501="",S500,S500+D501)</f>
        <v/>
      </c>
      <c r="T501" s="97">
        <f>IF(OR(L501="",S501=""),"",L501-S501)</f>
        <v/>
      </c>
      <c r="U501" s="69">
        <f>IF(F501="",U500,U500+F501)</f>
        <v/>
      </c>
      <c r="V501" s="97">
        <f>IF(OR(N501="",U501=""),"",N501-U501)</f>
        <v/>
      </c>
      <c r="W501" s="71">
        <f>IF(OR(C501="",C501=0,'Daily Data'!J501=""),"",'Daily Data'!J501/C501)</f>
        <v/>
      </c>
      <c r="X501" s="71">
        <f>IF(OR(C501="",C501=0,'Daily Data'!K501=""),"",'Daily Data'!K501/C501)</f>
        <v/>
      </c>
      <c r="Y501" s="71">
        <f>IF(OR(F501="",W501="",X501=""),"",F501-W501-X501)</f>
        <v/>
      </c>
      <c r="Z501" s="72" t="n">
        <v>366.7</v>
      </c>
      <c r="AA501" s="72" t="n">
        <v>64.70999999999999</v>
      </c>
      <c r="AB501" s="73">
        <f>Z501+AA501</f>
        <v/>
      </c>
      <c r="AC501" s="74">
        <f>IF(OR(E501="",E501=0,AB501=""),"",E501*365/(AB501*1000000))</f>
        <v/>
      </c>
      <c r="AD501" s="98">
        <f>IF(OR(O501="",O501=0,AB501=""),"",(AB501*1000000)/O501)</f>
        <v/>
      </c>
      <c r="AE501" s="99">
        <f>IF(H501="","",(Team_Genesis-H501)/1000000)</f>
        <v/>
      </c>
      <c r="AF501" s="99">
        <f>IF(OR(O501="",AE501=""),"",(O501-AE501*1000000)/1000000)</f>
        <v/>
      </c>
    </row>
    <row r="502">
      <c r="A502" s="35" t="n">
        <v>46156</v>
      </c>
      <c r="B502" s="90">
        <f>IF('Daily Data'!E502="","",'Daily Data'!E502)</f>
        <v/>
      </c>
      <c r="C502" s="65" t="n">
        <v>38.79</v>
      </c>
      <c r="D502" s="94" t="n">
        <v>41200.4</v>
      </c>
      <c r="E502" s="94" t="n">
        <v>26607.3908</v>
      </c>
      <c r="F502" s="94" t="n">
        <v>1385.9429</v>
      </c>
      <c r="G502" s="94" t="n"/>
      <c r="H502" s="95">
        <f>SUM($G$4:G502)</f>
        <v/>
      </c>
      <c r="I502" s="94" t="n">
        <v>1000000000</v>
      </c>
      <c r="J502" s="95">
        <f>J501-E502</f>
        <v/>
      </c>
      <c r="K502" s="94" t="n">
        <v>60000000</v>
      </c>
      <c r="L502" s="94" t="n">
        <v>44226023.88255512</v>
      </c>
      <c r="M502" s="94" t="n">
        <v>3000000</v>
      </c>
      <c r="N502" s="94" t="n">
        <v>768061.4714000225</v>
      </c>
      <c r="O502" s="96">
        <f>IF(OR(I502="",J502="",L502="",N502=""),"",I502-J502-K502-L502-M502-N502)</f>
        <v/>
      </c>
      <c r="P502" s="91">
        <f>IF(OR(O502="",C502=""),"",O502*C502)</f>
        <v/>
      </c>
      <c r="Q502" s="69">
        <f>Q501-E502</f>
        <v/>
      </c>
      <c r="R502" s="97">
        <f>IF(OR(J502="",Q502=""),"",J502-Q502)</f>
        <v/>
      </c>
      <c r="S502" s="69">
        <f>IF(D502="",S501,S501+D502)</f>
        <v/>
      </c>
      <c r="T502" s="97">
        <f>IF(OR(L502="",S502=""),"",L502-S502)</f>
        <v/>
      </c>
      <c r="U502" s="69">
        <f>IF(F502="",U501,U501+F502)</f>
        <v/>
      </c>
      <c r="V502" s="97">
        <f>IF(OR(N502="",U502=""),"",N502-U502)</f>
        <v/>
      </c>
      <c r="W502" s="71">
        <f>IF(OR(C502="",C502=0,'Daily Data'!J502=""),"",'Daily Data'!J502/C502)</f>
        <v/>
      </c>
      <c r="X502" s="71">
        <f>IF(OR(C502="",C502=0,'Daily Data'!K502=""),"",'Daily Data'!K502/C502)</f>
        <v/>
      </c>
      <c r="Y502" s="71">
        <f>IF(OR(F502="",W502="",X502=""),"",F502-W502-X502)</f>
        <v/>
      </c>
      <c r="Z502" s="72" t="n">
        <v>366.7</v>
      </c>
      <c r="AA502" s="72" t="n">
        <v>64.70999999999999</v>
      </c>
      <c r="AB502" s="73">
        <f>Z502+AA502</f>
        <v/>
      </c>
      <c r="AC502" s="74">
        <f>IF(OR(E502="",E502=0,AB502=""),"",E502*365/(AB502*1000000))</f>
        <v/>
      </c>
      <c r="AD502" s="98">
        <f>IF(OR(O502="",O502=0,AB502=""),"",(AB502*1000000)/O502)</f>
        <v/>
      </c>
      <c r="AE502" s="99">
        <f>IF(H502="","",(Team_Genesis-H502)/1000000)</f>
        <v/>
      </c>
      <c r="AF502" s="99">
        <f>IF(OR(O502="",AE502=""),"",(O502-AE502*1000000)/1000000)</f>
        <v/>
      </c>
    </row>
    <row r="503">
      <c r="A503" s="35" t="n">
        <v>46157</v>
      </c>
      <c r="B503" s="90">
        <f>IF('Daily Data'!E503="","",'Daily Data'!E503)</f>
        <v/>
      </c>
      <c r="C503" s="65" t="n">
        <v>44.84</v>
      </c>
      <c r="D503" s="94" t="n">
        <v>38942.45</v>
      </c>
      <c r="E503" s="94" t="n">
        <v>25631.4399</v>
      </c>
      <c r="F503" s="94" t="n">
        <v>1654.86</v>
      </c>
      <c r="G503" s="94" t="n"/>
      <c r="H503" s="95">
        <f>SUM($G$4:G503)</f>
        <v/>
      </c>
      <c r="I503" s="94" t="n">
        <v>1000000000</v>
      </c>
      <c r="J503" s="95">
        <f>J502-E503</f>
        <v/>
      </c>
      <c r="K503" s="94" t="n">
        <v>60000000</v>
      </c>
      <c r="L503" s="94" t="n">
        <v>44264838.12255512</v>
      </c>
      <c r="M503" s="94" t="n">
        <v>3000000</v>
      </c>
      <c r="N503" s="94" t="n">
        <v>769716.3314000368</v>
      </c>
      <c r="O503" s="96">
        <f>IF(OR(I503="",J503="",L503="",N503=""),"",I503-J503-K503-L503-M503-N503)</f>
        <v/>
      </c>
      <c r="P503" s="91">
        <f>IF(OR(O503="",C503=""),"",O503*C503)</f>
        <v/>
      </c>
      <c r="Q503" s="69">
        <f>Q502-E503</f>
        <v/>
      </c>
      <c r="R503" s="97">
        <f>IF(OR(J503="",Q503=""),"",J503-Q503)</f>
        <v/>
      </c>
      <c r="S503" s="69">
        <f>IF(D503="",S502,S502+D503)</f>
        <v/>
      </c>
      <c r="T503" s="97">
        <f>IF(OR(L503="",S503=""),"",L503-S503)</f>
        <v/>
      </c>
      <c r="U503" s="69">
        <f>IF(F503="",U502,U502+F503)</f>
        <v/>
      </c>
      <c r="V503" s="97">
        <f>IF(OR(N503="",U503=""),"",N503-U503)</f>
        <v/>
      </c>
      <c r="W503" s="71">
        <f>IF(OR(C503="",C503=0,'Daily Data'!J503=""),"",'Daily Data'!J503/C503)</f>
        <v/>
      </c>
      <c r="X503" s="71">
        <f>IF(OR(C503="",C503=0,'Daily Data'!K503=""),"",'Daily Data'!K503/C503)</f>
        <v/>
      </c>
      <c r="Y503" s="71">
        <f>IF(OR(F503="",W503="",X503=""),"",F503-W503-X503)</f>
        <v/>
      </c>
      <c r="Z503" s="72" t="n">
        <v>366.7</v>
      </c>
      <c r="AA503" s="72" t="n">
        <v>64.70999999999999</v>
      </c>
      <c r="AB503" s="73">
        <f>Z503+AA503</f>
        <v/>
      </c>
      <c r="AC503" s="74">
        <f>IF(OR(E503="",E503=0,AB503=""),"",E503*365/(AB503*1000000))</f>
        <v/>
      </c>
      <c r="AD503" s="98">
        <f>IF(OR(O503="",O503=0,AB503=""),"",(AB503*1000000)/O503)</f>
        <v/>
      </c>
      <c r="AE503" s="99">
        <f>IF(H503="","",(Team_Genesis-H503)/1000000)</f>
        <v/>
      </c>
      <c r="AF503" s="99">
        <f>IF(OR(O503="",AE503=""),"",(O503-AE503*1000000)/1000000)</f>
        <v/>
      </c>
    </row>
    <row r="504">
      <c r="A504" s="35" t="n">
        <v>46158</v>
      </c>
      <c r="B504" s="90">
        <f>IF('Daily Data'!E504="","",'Daily Data'!E504)</f>
        <v/>
      </c>
      <c r="C504" s="65" t="n">
        <v>44.23</v>
      </c>
      <c r="D504" s="94" t="n">
        <v>23679.72</v>
      </c>
      <c r="E504" s="94" t="n">
        <v>25664.8527</v>
      </c>
      <c r="F504" s="94" t="n">
        <v>1916.8977</v>
      </c>
      <c r="G504" s="94" t="n"/>
      <c r="H504" s="95">
        <f>SUM($G$4:G504)</f>
        <v/>
      </c>
      <c r="I504" s="94" t="n">
        <v>1000000000</v>
      </c>
      <c r="J504" s="95">
        <f>J503-E504</f>
        <v/>
      </c>
      <c r="K504" s="94" t="n">
        <v>60000000</v>
      </c>
      <c r="L504" s="94" t="n">
        <v>44288634.98255512</v>
      </c>
      <c r="M504" s="94" t="n">
        <v>3000000</v>
      </c>
      <c r="N504" s="94" t="n">
        <v>771633.2292000055</v>
      </c>
      <c r="O504" s="96">
        <f>IF(OR(I504="",J504="",L504="",N504=""),"",I504-J504-K504-L504-M504-N504)</f>
        <v/>
      </c>
      <c r="P504" s="91">
        <f>IF(OR(O504="",C504=""),"",O504*C504)</f>
        <v/>
      </c>
      <c r="Q504" s="69">
        <f>Q503-E504</f>
        <v/>
      </c>
      <c r="R504" s="97">
        <f>IF(OR(J504="",Q504=""),"",J504-Q504)</f>
        <v/>
      </c>
      <c r="S504" s="69">
        <f>IF(D504="",S503,S503+D504)</f>
        <v/>
      </c>
      <c r="T504" s="97">
        <f>IF(OR(L504="",S504=""),"",L504-S504)</f>
        <v/>
      </c>
      <c r="U504" s="69">
        <f>IF(F504="",U503,U503+F504)</f>
        <v/>
      </c>
      <c r="V504" s="97">
        <f>IF(OR(N504="",U504=""),"",N504-U504)</f>
        <v/>
      </c>
      <c r="W504" s="71">
        <f>IF(OR(C504="",C504=0,'Daily Data'!J504=""),"",'Daily Data'!J504/C504)</f>
        <v/>
      </c>
      <c r="X504" s="71">
        <f>IF(OR(C504="",C504=0,'Daily Data'!K504=""),"",'Daily Data'!K504/C504)</f>
        <v/>
      </c>
      <c r="Y504" s="71">
        <f>IF(OR(F504="",W504="",X504=""),"",F504-W504-X504)</f>
        <v/>
      </c>
      <c r="Z504" s="72" t="n">
        <v>366.7</v>
      </c>
      <c r="AA504" s="72" t="n">
        <v>64.70999999999999</v>
      </c>
      <c r="AB504" s="73">
        <f>Z504+AA504</f>
        <v/>
      </c>
      <c r="AC504" s="74">
        <f>IF(OR(E504="",E504=0,AB504=""),"",E504*365/(AB504*1000000))</f>
        <v/>
      </c>
      <c r="AD504" s="98">
        <f>IF(OR(O504="",O504=0,AB504=""),"",(AB504*1000000)/O504)</f>
        <v/>
      </c>
      <c r="AE504" s="99">
        <f>IF(H504="","",(Team_Genesis-H504)/1000000)</f>
        <v/>
      </c>
      <c r="AF504" s="99">
        <f>IF(OR(O504="",AE504=""),"",(O504-AE504*1000000)/1000000)</f>
        <v/>
      </c>
    </row>
    <row r="505">
      <c r="A505" s="35" t="n">
        <v>46159</v>
      </c>
      <c r="B505" s="90">
        <f>IF('Daily Data'!E505="","",'Daily Data'!E505)</f>
        <v/>
      </c>
      <c r="C505" s="65" t="n">
        <v>41.96</v>
      </c>
      <c r="D505" s="94" t="n">
        <v>24689.87</v>
      </c>
      <c r="E505" s="94" t="n">
        <v>26298.559</v>
      </c>
      <c r="F505" s="94" t="n">
        <v>1340.9038</v>
      </c>
      <c r="G505" s="94" t="n"/>
      <c r="H505" s="95">
        <f>SUM($G$4:G505)</f>
        <v/>
      </c>
      <c r="I505" s="94" t="n">
        <v>1000000000</v>
      </c>
      <c r="J505" s="95">
        <f>J504-E505</f>
        <v/>
      </c>
      <c r="K505" s="94" t="n">
        <v>60000000</v>
      </c>
      <c r="L505" s="94" t="n">
        <v>44313760.83255512</v>
      </c>
      <c r="M505" s="94" t="n">
        <v>3000000</v>
      </c>
      <c r="N505" s="94" t="n">
        <v>772974.1330000162</v>
      </c>
      <c r="O505" s="96">
        <f>IF(OR(I505="",J505="",L505="",N505=""),"",I505-J505-K505-L505-M505-N505)</f>
        <v/>
      </c>
      <c r="P505" s="91">
        <f>IF(OR(O505="",C505=""),"",O505*C505)</f>
        <v/>
      </c>
      <c r="Q505" s="69">
        <f>Q504-E505</f>
        <v/>
      </c>
      <c r="R505" s="97">
        <f>IF(OR(J505="",Q505=""),"",J505-Q505)</f>
        <v/>
      </c>
      <c r="S505" s="69">
        <f>IF(D505="",S504,S504+D505)</f>
        <v/>
      </c>
      <c r="T505" s="97">
        <f>IF(OR(L505="",S505=""),"",L505-S505)</f>
        <v/>
      </c>
      <c r="U505" s="69">
        <f>IF(F505="",U504,U504+F505)</f>
        <v/>
      </c>
      <c r="V505" s="97">
        <f>IF(OR(N505="",U505=""),"",N505-U505)</f>
        <v/>
      </c>
      <c r="W505" s="71">
        <f>IF(OR(C505="",C505=0,'Daily Data'!J505=""),"",'Daily Data'!J505/C505)</f>
        <v/>
      </c>
      <c r="X505" s="71">
        <f>IF(OR(C505="",C505=0,'Daily Data'!K505=""),"",'Daily Data'!K505/C505)</f>
        <v/>
      </c>
      <c r="Y505" s="71">
        <f>IF(OR(F505="",W505="",X505=""),"",F505-W505-X505)</f>
        <v/>
      </c>
      <c r="Z505" s="72" t="n">
        <v>366.7</v>
      </c>
      <c r="AA505" s="72" t="n">
        <v>64.70999999999999</v>
      </c>
      <c r="AB505" s="73">
        <f>Z505+AA505</f>
        <v/>
      </c>
      <c r="AC505" s="74">
        <f>IF(OR(E505="",E505=0,AB505=""),"",E505*365/(AB505*1000000))</f>
        <v/>
      </c>
      <c r="AD505" s="98">
        <f>IF(OR(O505="",O505=0,AB505=""),"",(AB505*1000000)/O505)</f>
        <v/>
      </c>
      <c r="AE505" s="99">
        <f>IF(H505="","",(Team_Genesis-H505)/1000000)</f>
        <v/>
      </c>
      <c r="AF505" s="99">
        <f>IF(OR(O505="",AE505=""),"",(O505-AE505*1000000)/1000000)</f>
        <v/>
      </c>
    </row>
    <row r="506">
      <c r="A506" s="35" t="n">
        <v>46160</v>
      </c>
      <c r="B506" s="90">
        <f>IF('Daily Data'!E506="","",'Daily Data'!E506)</f>
        <v/>
      </c>
      <c r="C506" s="65" t="n">
        <v>46.06</v>
      </c>
      <c r="D506" s="94" t="n">
        <v>37853.12</v>
      </c>
      <c r="E506" s="94" t="n">
        <v>26279.7806</v>
      </c>
      <c r="F506" s="94" t="n">
        <v>1626.2893</v>
      </c>
      <c r="G506" s="94" t="n"/>
      <c r="H506" s="95">
        <f>SUM($G$4:G506)</f>
        <v/>
      </c>
      <c r="I506" s="94" t="n">
        <v>1000000000</v>
      </c>
      <c r="J506" s="95">
        <f>J505-E506</f>
        <v/>
      </c>
      <c r="K506" s="94" t="n">
        <v>60000000</v>
      </c>
      <c r="L506" s="94" t="n">
        <v>44350736.80255512</v>
      </c>
      <c r="M506" s="94" t="n">
        <v>3000000</v>
      </c>
      <c r="N506" s="94" t="n">
        <v>774600.4222999811</v>
      </c>
      <c r="O506" s="96">
        <f>IF(OR(I506="",J506="",L506="",N506=""),"",I506-J506-K506-L506-M506-N506)</f>
        <v/>
      </c>
      <c r="P506" s="91">
        <f>IF(OR(O506="",C506=""),"",O506*C506)</f>
        <v/>
      </c>
      <c r="Q506" s="69">
        <f>Q505-E506</f>
        <v/>
      </c>
      <c r="R506" s="97">
        <f>IF(OR(J506="",Q506=""),"",J506-Q506)</f>
        <v/>
      </c>
      <c r="S506" s="69">
        <f>IF(D506="",S505,S505+D506)</f>
        <v/>
      </c>
      <c r="T506" s="97">
        <f>IF(OR(L506="",S506=""),"",L506-S506)</f>
        <v/>
      </c>
      <c r="U506" s="69">
        <f>IF(F506="",U505,U505+F506)</f>
        <v/>
      </c>
      <c r="V506" s="97">
        <f>IF(OR(N506="",U506=""),"",N506-U506)</f>
        <v/>
      </c>
      <c r="W506" s="71">
        <f>IF(OR(C506="",C506=0,'Daily Data'!J506=""),"",'Daily Data'!J506/C506)</f>
        <v/>
      </c>
      <c r="X506" s="71">
        <f>IF(OR(C506="",C506=0,'Daily Data'!K506=""),"",'Daily Data'!K506/C506)</f>
        <v/>
      </c>
      <c r="Y506" s="71">
        <f>IF(OR(F506="",W506="",X506=""),"",F506-W506-X506)</f>
        <v/>
      </c>
      <c r="Z506" s="72" t="n">
        <v>366.7</v>
      </c>
      <c r="AA506" s="72" t="n">
        <v>64.70999999999999</v>
      </c>
      <c r="AB506" s="73">
        <f>Z506+AA506</f>
        <v/>
      </c>
      <c r="AC506" s="74">
        <f>IF(OR(E506="",E506=0,AB506=""),"",E506*365/(AB506*1000000))</f>
        <v/>
      </c>
      <c r="AD506" s="98">
        <f>IF(OR(O506="",O506=0,AB506=""),"",(AB506*1000000)/O506)</f>
        <v/>
      </c>
      <c r="AE506" s="99">
        <f>IF(H506="","",(Team_Genesis-H506)/1000000)</f>
        <v/>
      </c>
      <c r="AF506" s="99">
        <f>IF(OR(O506="",AE506=""),"",(O506-AE506*1000000)/1000000)</f>
        <v/>
      </c>
    </row>
    <row r="507">
      <c r="A507" s="35" t="n">
        <v>46161</v>
      </c>
      <c r="B507" s="90">
        <f>IF('Daily Data'!E507="","",'Daily Data'!E507)</f>
        <v/>
      </c>
      <c r="C507" s="65" t="n">
        <v>48.31</v>
      </c>
      <c r="D507" s="94" t="n">
        <v>24597.4</v>
      </c>
      <c r="E507" s="94" t="n">
        <v>26262.5039</v>
      </c>
      <c r="F507" s="94" t="n">
        <v>2206.8993</v>
      </c>
      <c r="G507" s="94" t="n"/>
      <c r="H507" s="95">
        <f>SUM($G$4:G507)</f>
        <v/>
      </c>
      <c r="I507" s="94" t="n">
        <v>1000000000</v>
      </c>
      <c r="J507" s="95">
        <f>J506-E507</f>
        <v/>
      </c>
      <c r="K507" s="94" t="n">
        <v>60000000</v>
      </c>
      <c r="L507" s="94" t="n">
        <v>44376098.84255512</v>
      </c>
      <c r="M507" s="94" t="n">
        <v>3000000</v>
      </c>
      <c r="N507" s="94" t="n">
        <v>776807.3216999769</v>
      </c>
      <c r="O507" s="96">
        <f>IF(OR(I507="",J507="",L507="",N507=""),"",I507-J507-K507-L507-M507-N507)</f>
        <v/>
      </c>
      <c r="P507" s="91">
        <f>IF(OR(O507="",C507=""),"",O507*C507)</f>
        <v/>
      </c>
      <c r="Q507" s="69">
        <f>Q506-E507</f>
        <v/>
      </c>
      <c r="R507" s="97">
        <f>IF(OR(J507="",Q507=""),"",J507-Q507)</f>
        <v/>
      </c>
      <c r="S507" s="69">
        <f>IF(D507="",S506,S506+D507)</f>
        <v/>
      </c>
      <c r="T507" s="97">
        <f>IF(OR(L507="",S507=""),"",L507-S507)</f>
        <v/>
      </c>
      <c r="U507" s="69">
        <f>IF(F507="",U506,U506+F507)</f>
        <v/>
      </c>
      <c r="V507" s="97">
        <f>IF(OR(N507="",U507=""),"",N507-U507)</f>
        <v/>
      </c>
      <c r="W507" s="71">
        <f>IF(OR(C507="",C507=0,'Daily Data'!J507=""),"",'Daily Data'!J507/C507)</f>
        <v/>
      </c>
      <c r="X507" s="71">
        <f>IF(OR(C507="",C507=0,'Daily Data'!K507=""),"",'Daily Data'!K507/C507)</f>
        <v/>
      </c>
      <c r="Y507" s="71">
        <f>IF(OR(F507="",W507="",X507=""),"",F507-W507-X507)</f>
        <v/>
      </c>
      <c r="Z507" s="72" t="n">
        <v>366.7</v>
      </c>
      <c r="AA507" s="72" t="n">
        <v>64.70999999999999</v>
      </c>
      <c r="AB507" s="73">
        <f>Z507+AA507</f>
        <v/>
      </c>
      <c r="AC507" s="74">
        <f>IF(OR(E507="",E507=0,AB507=""),"",E507*365/(AB507*1000000))</f>
        <v/>
      </c>
      <c r="AD507" s="98">
        <f>IF(OR(O507="",O507=0,AB507=""),"",(AB507*1000000)/O507)</f>
        <v/>
      </c>
      <c r="AE507" s="99">
        <f>IF(H507="","",(Team_Genesis-H507)/1000000)</f>
        <v/>
      </c>
      <c r="AF507" s="99">
        <f>IF(OR(O507="",AE507=""),"",(O507-AE507*1000000)/1000000)</f>
        <v/>
      </c>
    </row>
    <row r="508">
      <c r="A508" s="35" t="n">
        <v>46162</v>
      </c>
      <c r="B508" s="90">
        <f>IF('Daily Data'!E508="","",'Daily Data'!E508)</f>
        <v/>
      </c>
      <c r="C508" s="65" t="n">
        <v>47.56</v>
      </c>
      <c r="D508" s="94" t="n">
        <v>28292.52</v>
      </c>
      <c r="E508" s="94" t="n">
        <v>26231.8736</v>
      </c>
      <c r="F508" s="94" t="n">
        <v>2166.9293</v>
      </c>
      <c r="G508" s="94" t="n"/>
      <c r="H508" s="95">
        <f>SUM($G$4:G508)</f>
        <v/>
      </c>
      <c r="I508" s="94" t="n">
        <v>1000000000</v>
      </c>
      <c r="J508" s="95">
        <f>J507-E508</f>
        <v/>
      </c>
      <c r="K508" s="94" t="n">
        <v>60000000</v>
      </c>
      <c r="L508" s="94" t="n">
        <v>44403626.72255512</v>
      </c>
      <c r="M508" s="94" t="n">
        <v>3000000</v>
      </c>
      <c r="N508" s="94" t="n">
        <v>778974.2510000467</v>
      </c>
      <c r="O508" s="96">
        <f>IF(OR(I508="",J508="",L508="",N508=""),"",I508-J508-K508-L508-M508-N508)</f>
        <v/>
      </c>
      <c r="P508" s="91">
        <f>IF(OR(O508="",C508=""),"",O508*C508)</f>
        <v/>
      </c>
      <c r="Q508" s="69">
        <f>Q507-E508</f>
        <v/>
      </c>
      <c r="R508" s="97">
        <f>IF(OR(J508="",Q508=""),"",J508-Q508)</f>
        <v/>
      </c>
      <c r="S508" s="69">
        <f>IF(D508="",S507,S507+D508)</f>
        <v/>
      </c>
      <c r="T508" s="97">
        <f>IF(OR(L508="",S508=""),"",L508-S508)</f>
        <v/>
      </c>
      <c r="U508" s="69">
        <f>IF(F508="",U507,U507+F508)</f>
        <v/>
      </c>
      <c r="V508" s="97">
        <f>IF(OR(N508="",U508=""),"",N508-U508)</f>
        <v/>
      </c>
      <c r="W508" s="71">
        <f>IF(OR(C508="",C508=0,'Daily Data'!J508=""),"",'Daily Data'!J508/C508)</f>
        <v/>
      </c>
      <c r="X508" s="71">
        <f>IF(OR(C508="",C508=0,'Daily Data'!K508=""),"",'Daily Data'!K508/C508)</f>
        <v/>
      </c>
      <c r="Y508" s="71">
        <f>IF(OR(F508="",W508="",X508=""),"",F508-W508-X508)</f>
        <v/>
      </c>
      <c r="Z508" s="72" t="n">
        <v>366.7</v>
      </c>
      <c r="AA508" s="72" t="n">
        <v>64.70999999999999</v>
      </c>
      <c r="AB508" s="73">
        <f>Z508+AA508</f>
        <v/>
      </c>
      <c r="AC508" s="74">
        <f>IF(OR(E508="",E508=0,AB508=""),"",E508*365/(AB508*1000000))</f>
        <v/>
      </c>
      <c r="AD508" s="98">
        <f>IF(OR(O508="",O508=0,AB508=""),"",(AB508*1000000)/O508)</f>
        <v/>
      </c>
      <c r="AE508" s="99">
        <f>IF(H508="","",(Team_Genesis-H508)/1000000)</f>
        <v/>
      </c>
      <c r="AF508" s="99">
        <f>IF(OR(O508="",AE508=""),"",(O508-AE508*1000000)/1000000)</f>
        <v/>
      </c>
    </row>
  </sheetData>
  <autoFilter ref="A3:AF508"/>
  <mergeCells count="7">
    <mergeCell ref="Q2:V2"/>
    <mergeCell ref="A1:AF1"/>
    <mergeCell ref="Z2:AD2"/>
    <mergeCell ref="AE2:AF2"/>
    <mergeCell ref="B2:H2"/>
    <mergeCell ref="I2:P2"/>
    <mergeCell ref="W2:Y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0" customHeight="1">
      <c r="A1" s="53" t="inlineStr">
        <is>
          <t>DAILY DATA — raw inputs by source.  hyperscreener.asxn.xyz · Loris (loris.tools) · DefiLlama</t>
        </is>
      </c>
    </row>
    <row r="2">
      <c r="A2" s="77" t="inlineStr"/>
      <c r="B2" s="77" t="inlineStr">
        <is>
          <t>hyperscreener</t>
        </is>
      </c>
      <c r="C2" s="77" t="inlineStr">
        <is>
          <t>hyperscreener</t>
        </is>
      </c>
      <c r="D2" s="77" t="inlineStr">
        <is>
          <t>Loris</t>
        </is>
      </c>
      <c r="E2" s="77" t="inlineStr">
        <is>
          <t>hyperscreener / DefiLlama</t>
        </is>
      </c>
      <c r="F2" s="77" t="inlineStr">
        <is>
          <t>Loris</t>
        </is>
      </c>
      <c r="G2" s="77" t="inlineStr">
        <is>
          <t>Loris</t>
        </is>
      </c>
      <c r="H2" s="77" t="inlineStr">
        <is>
          <t>DefiLlama</t>
        </is>
      </c>
      <c r="I2" s="77" t="inlineStr">
        <is>
          <t>DefiLlama</t>
        </is>
      </c>
      <c r="J2" s="77" t="inlineStr">
        <is>
          <t>hyperscreener</t>
        </is>
      </c>
      <c r="K2" s="77" t="inlineStr">
        <is>
          <t>hyperscreener</t>
        </is>
      </c>
      <c r="L2" s="77" t="inlineStr">
        <is>
          <t>hyperscreener</t>
        </is>
      </c>
      <c r="M2" s="77" t="inlineStr">
        <is>
          <t>hyperscreener</t>
        </is>
      </c>
      <c r="N2" s="77" t="inlineStr">
        <is>
          <t>hyperscreener</t>
        </is>
      </c>
      <c r="O2" s="77" t="inlineStr">
        <is>
          <t>hyperscreener</t>
        </is>
      </c>
      <c r="P2" s="77" t="inlineStr">
        <is>
          <t>hyperscreener</t>
        </is>
      </c>
      <c r="Q2" s="77" t="inlineStr">
        <is>
          <t>hyperscreener</t>
        </is>
      </c>
      <c r="R2" s="77" t="inlineStr">
        <is>
          <t>hyperscreener</t>
        </is>
      </c>
      <c r="S2" s="77" t="inlineStr">
        <is>
          <t>hyperscreener</t>
        </is>
      </c>
      <c r="T2" s="77" t="inlineStr">
        <is>
          <t>Calc</t>
        </is>
      </c>
      <c r="U2" s="77" t="inlineStr">
        <is>
          <t>Calc</t>
        </is>
      </c>
      <c r="V2" s="77" t="inlineStr">
        <is>
          <t>Calc</t>
        </is>
      </c>
      <c r="W2" s="77" t="inlineStr">
        <is>
          <t>Calc</t>
        </is>
      </c>
    </row>
    <row r="3" ht="46" customHeight="1">
      <c r="A3" s="33" t="inlineStr">
        <is>
          <t>Date</t>
        </is>
      </c>
      <c r="B3" s="33" t="inlineStr">
        <is>
          <t>Core Perp Volume ($)</t>
        </is>
      </c>
      <c r="C3" s="33" t="inlineStr">
        <is>
          <t>Spot Volume ($)</t>
        </is>
      </c>
      <c r="D3" s="33" t="inlineStr">
        <is>
          <t>HIP-3 Volume ($)</t>
        </is>
      </c>
      <c r="E3" s="33" t="inlineStr">
        <is>
          <t>HyperCore Revenue ($)</t>
        </is>
      </c>
      <c r="F3" s="33" t="inlineStr">
        <is>
          <t>HIP-3 Gross Fees ($)</t>
        </is>
      </c>
      <c r="G3" s="33" t="inlineStr">
        <is>
          <t>HIP-3 Deployer Fees ($)</t>
        </is>
      </c>
      <c r="H3" s="33" t="inlineStr">
        <is>
          <t>Spot Revenue ($)</t>
        </is>
      </c>
      <c r="I3" s="33" t="inlineStr">
        <is>
          <t>Spot Fees ($)</t>
        </is>
      </c>
      <c r="J3" s="33" t="inlineStr">
        <is>
          <t>HyperEVM Burn ($)</t>
        </is>
      </c>
      <c r="K3" s="33" t="inlineStr">
        <is>
          <t>Auction Burn ($)</t>
        </is>
      </c>
      <c r="L3" s="33" t="inlineStr">
        <is>
          <t>Buyback HYPE</t>
        </is>
      </c>
      <c r="M3" s="33" t="inlineStr">
        <is>
          <t>Buyback USD ($)</t>
        </is>
      </c>
      <c r="N3" s="33" t="inlineStr">
        <is>
          <t>AF Holdings (HYPE)</t>
        </is>
      </c>
      <c r="O3" s="33" t="inlineStr">
        <is>
          <t>Daily Emission (HYPE)</t>
        </is>
      </c>
      <c r="P3" s="33" t="inlineStr">
        <is>
          <t>Daily Burn (HYPE)</t>
        </is>
      </c>
      <c r="Q3" s="33" t="inlineStr">
        <is>
          <t>Daily Burn ($)</t>
        </is>
      </c>
      <c r="R3" s="33" t="inlineStr">
        <is>
          <t>Circulating Supply (HYPE)</t>
        </is>
      </c>
      <c r="S3" s="33" t="inlineStr">
        <is>
          <t>Total Supply (HYPE)</t>
        </is>
      </c>
      <c r="T3" s="33" t="inlineStr">
        <is>
          <t>Δ Circ Supply (HYPE)</t>
        </is>
      </c>
      <c r="U3" s="33" t="inlineStr">
        <is>
          <t>Δ Total Supply (HYPE)</t>
        </is>
      </c>
      <c r="V3" s="33" t="inlineStr">
        <is>
          <t>Total Supply Check ≈0</t>
        </is>
      </c>
      <c r="W3" s="33" t="inlineStr">
        <is>
          <t>Circ Residual / Other (HYPE)</t>
        </is>
      </c>
    </row>
    <row r="4">
      <c r="A4" s="35" t="n">
        <v>45658</v>
      </c>
      <c r="B4" s="92" t="n">
        <v>2157256818.437762</v>
      </c>
      <c r="C4" s="92" t="n"/>
      <c r="D4" s="92" t="n">
        <v>0</v>
      </c>
      <c r="E4" s="100" t="n">
        <v>498037</v>
      </c>
      <c r="F4" s="92" t="n">
        <v>0</v>
      </c>
      <c r="G4" s="92" t="n">
        <v>0</v>
      </c>
      <c r="H4" s="92" t="n">
        <v>29237</v>
      </c>
      <c r="I4" s="92" t="n">
        <v>30141</v>
      </c>
      <c r="J4" s="92" t="n"/>
      <c r="K4" s="92" t="n"/>
      <c r="L4" s="94" t="n"/>
      <c r="M4" s="92" t="n"/>
      <c r="N4" s="94" t="n">
        <v>11719550.93</v>
      </c>
      <c r="O4" s="94" t="n">
        <v>24499.3537</v>
      </c>
      <c r="P4" s="94" t="n">
        <v>941.1022</v>
      </c>
      <c r="Q4" s="92" t="n">
        <v>22586.45</v>
      </c>
      <c r="R4" s="94" t="n">
        <v>333849125.8989</v>
      </c>
      <c r="S4" s="94" t="n">
        <v>999888964.2307</v>
      </c>
      <c r="T4" s="95" t="inlineStr"/>
      <c r="U4" s="95" t="inlineStr"/>
      <c r="V4" s="95" t="inlineStr"/>
      <c r="W4" s="95" t="inlineStr"/>
    </row>
    <row r="5">
      <c r="A5" s="35" t="n">
        <v>45659</v>
      </c>
      <c r="B5" s="92" t="n">
        <v>3645816158.632274</v>
      </c>
      <c r="C5" s="92" t="n"/>
      <c r="D5" s="92" t="n">
        <v>0</v>
      </c>
      <c r="E5" s="100" t="n">
        <v>1270220</v>
      </c>
      <c r="F5" s="92" t="n">
        <v>0</v>
      </c>
      <c r="G5" s="92" t="n">
        <v>0</v>
      </c>
      <c r="H5" s="92" t="n">
        <v>40416</v>
      </c>
      <c r="I5" s="92" t="n">
        <v>41666</v>
      </c>
      <c r="J5" s="92" t="n"/>
      <c r="K5" s="92" t="n"/>
      <c r="L5" s="94" t="n"/>
      <c r="M5" s="92" t="n"/>
      <c r="N5" s="94" t="n">
        <v>11756780.96</v>
      </c>
      <c r="O5" s="94" t="n">
        <v>24851.902</v>
      </c>
      <c r="P5" s="94" t="n">
        <v>920.9016</v>
      </c>
      <c r="Q5" s="92" t="n">
        <v>24230.76</v>
      </c>
      <c r="R5" s="94" t="n">
        <v>333857876.6145</v>
      </c>
      <c r="S5" s="94" t="n">
        <v>999888043.3291</v>
      </c>
      <c r="T5" s="95">
        <f>IF(OR(R5="",R4=""),"",R5-R4)</f>
        <v/>
      </c>
      <c r="U5" s="95">
        <f>IF(OR(S5="",S4=""),"",S5-S4)</f>
        <v/>
      </c>
      <c r="V5" s="95">
        <f>IF(OR(U5="",P5=""),"",U5+P5)</f>
        <v/>
      </c>
      <c r="W5" s="95">
        <f>IF(OR(T5="",O5="",P5=""),"",T5-O5+P5)</f>
        <v/>
      </c>
    </row>
    <row r="6">
      <c r="A6" s="35" t="n">
        <v>45660</v>
      </c>
      <c r="B6" s="92" t="n">
        <v>3573160271.399251</v>
      </c>
      <c r="C6" s="92" t="n"/>
      <c r="D6" s="92" t="n">
        <v>0</v>
      </c>
      <c r="E6" s="100" t="n">
        <v>1369500</v>
      </c>
      <c r="F6" s="92" t="n">
        <v>0</v>
      </c>
      <c r="G6" s="92" t="n">
        <v>0</v>
      </c>
      <c r="H6" s="92" t="n">
        <v>35895</v>
      </c>
      <c r="I6" s="92" t="n">
        <v>37005</v>
      </c>
      <c r="J6" s="92" t="n"/>
      <c r="K6" s="92" t="n"/>
      <c r="L6" s="94" t="n"/>
      <c r="M6" s="92" t="n"/>
      <c r="N6" s="94" t="n">
        <v>11812512.97</v>
      </c>
      <c r="O6" s="94" t="n">
        <v>25219.868</v>
      </c>
      <c r="P6" s="94" t="n">
        <v>905.5316</v>
      </c>
      <c r="Q6" s="92" t="n">
        <v>20963.06</v>
      </c>
      <c r="R6" s="94" t="n">
        <v>333867190.5134</v>
      </c>
      <c r="S6" s="94" t="n">
        <v>999887137.7975</v>
      </c>
      <c r="T6" s="95">
        <f>IF(OR(R6="",R5=""),"",R6-R5)</f>
        <v/>
      </c>
      <c r="U6" s="95">
        <f>IF(OR(S6="",S5=""),"",S6-S5)</f>
        <v/>
      </c>
      <c r="V6" s="95">
        <f>IF(OR(U6="",P6=""),"",U6+P6)</f>
        <v/>
      </c>
      <c r="W6" s="95">
        <f>IF(OR(T6="",O6="",P6=""),"",T6-O6+P6)</f>
        <v/>
      </c>
    </row>
    <row r="7">
      <c r="A7" s="35" t="n">
        <v>45661</v>
      </c>
      <c r="B7" s="92" t="n">
        <v>2506267603.423615</v>
      </c>
      <c r="C7" s="92" t="n"/>
      <c r="D7" s="92" t="n">
        <v>0</v>
      </c>
      <c r="E7" s="100" t="n">
        <v>1042972</v>
      </c>
      <c r="F7" s="92" t="n">
        <v>0</v>
      </c>
      <c r="G7" s="92" t="n">
        <v>0</v>
      </c>
      <c r="H7" s="92" t="n">
        <v>24616</v>
      </c>
      <c r="I7" s="92" t="n">
        <v>25377</v>
      </c>
      <c r="J7" s="92" t="n"/>
      <c r="K7" s="92" t="n"/>
      <c r="L7" s="94" t="n"/>
      <c r="M7" s="92" t="n"/>
      <c r="N7" s="94" t="n">
        <v>11846794.38</v>
      </c>
      <c r="O7" s="94" t="n">
        <v>25452.7777</v>
      </c>
      <c r="P7" s="94" t="n">
        <v>1232.8801</v>
      </c>
      <c r="Q7" s="92" t="n">
        <v>30121.73</v>
      </c>
      <c r="R7" s="94" t="n">
        <v>333876478.2175</v>
      </c>
      <c r="S7" s="94" t="n">
        <v>999885904.9174</v>
      </c>
      <c r="T7" s="95">
        <f>IF(OR(R7="",R6=""),"",R7-R6)</f>
        <v/>
      </c>
      <c r="U7" s="95">
        <f>IF(OR(S7="",S6=""),"",S7-S6)</f>
        <v/>
      </c>
      <c r="V7" s="95">
        <f>IF(OR(U7="",P7=""),"",U7+P7)</f>
        <v/>
      </c>
      <c r="W7" s="95">
        <f>IF(OR(T7="",O7="",P7=""),"",T7-O7+P7)</f>
        <v/>
      </c>
    </row>
    <row r="8">
      <c r="A8" s="35" t="n">
        <v>45662</v>
      </c>
      <c r="B8" s="92" t="n">
        <v>2149149006.151282</v>
      </c>
      <c r="C8" s="92" t="n"/>
      <c r="D8" s="92" t="n">
        <v>0</v>
      </c>
      <c r="E8" s="100" t="n">
        <v>985187</v>
      </c>
      <c r="F8" s="92" t="n">
        <v>0</v>
      </c>
      <c r="G8" s="92" t="n">
        <v>0</v>
      </c>
      <c r="H8" s="92" t="n">
        <v>18684</v>
      </c>
      <c r="I8" s="92" t="n">
        <v>19262</v>
      </c>
      <c r="J8" s="92" t="n"/>
      <c r="K8" s="92" t="n"/>
      <c r="L8" s="94" t="n"/>
      <c r="M8" s="92" t="n"/>
      <c r="N8" s="94" t="n">
        <v>11889347.85</v>
      </c>
      <c r="O8" s="94" t="n">
        <v>25665.1115</v>
      </c>
      <c r="P8" s="94" t="n">
        <v>617.3145</v>
      </c>
      <c r="Q8" s="92" t="n">
        <v>15443.36</v>
      </c>
      <c r="R8" s="94" t="n">
        <v>333886736.6613</v>
      </c>
      <c r="S8" s="94" t="n">
        <v>999885287.603</v>
      </c>
      <c r="T8" s="95">
        <f>IF(OR(R8="",R7=""),"",R8-R7)</f>
        <v/>
      </c>
      <c r="U8" s="95">
        <f>IF(OR(S8="",S7=""),"",S8-S7)</f>
        <v/>
      </c>
      <c r="V8" s="95">
        <f>IF(OR(U8="",P8=""),"",U8+P8)</f>
        <v/>
      </c>
      <c r="W8" s="95">
        <f>IF(OR(T8="",O8="",P8=""),"",T8-O8+P8)</f>
        <v/>
      </c>
    </row>
    <row r="9">
      <c r="A9" s="35" t="n">
        <v>45663</v>
      </c>
      <c r="B9" s="92" t="n">
        <v>4404918704.09836</v>
      </c>
      <c r="C9" s="92" t="n"/>
      <c r="D9" s="92" t="n">
        <v>0</v>
      </c>
      <c r="E9" s="100" t="n">
        <v>1036760</v>
      </c>
      <c r="F9" s="92" t="n">
        <v>0</v>
      </c>
      <c r="G9" s="92" t="n">
        <v>0</v>
      </c>
      <c r="H9" s="92" t="n">
        <v>22750</v>
      </c>
      <c r="I9" s="92" t="n">
        <v>23453</v>
      </c>
      <c r="J9" s="92" t="n"/>
      <c r="K9" s="92" t="n"/>
      <c r="L9" s="94" t="n"/>
      <c r="M9" s="92" t="n"/>
      <c r="N9" s="94" t="n">
        <v>11933135.19</v>
      </c>
      <c r="O9" s="94" t="n">
        <v>25789.8854</v>
      </c>
      <c r="P9" s="94" t="n">
        <v>447.5855</v>
      </c>
      <c r="Q9" s="92" t="n">
        <v>10920.86</v>
      </c>
      <c r="R9" s="94" t="n">
        <v>333897339.3035</v>
      </c>
      <c r="S9" s="94" t="n">
        <v>999884840.0175</v>
      </c>
      <c r="T9" s="95">
        <f>IF(OR(R9="",R8=""),"",R9-R8)</f>
        <v/>
      </c>
      <c r="U9" s="95">
        <f>IF(OR(S9="",S8=""),"",S9-S8)</f>
        <v/>
      </c>
      <c r="V9" s="95">
        <f>IF(OR(U9="",P9=""),"",U9+P9)</f>
        <v/>
      </c>
      <c r="W9" s="95">
        <f>IF(OR(T9="",O9="",P9=""),"",T9-O9+P9)</f>
        <v/>
      </c>
    </row>
    <row r="10">
      <c r="A10" s="35" t="n">
        <v>45664</v>
      </c>
      <c r="B10" s="92" t="n">
        <v>7004545546.809596</v>
      </c>
      <c r="C10" s="92" t="n"/>
      <c r="D10" s="92" t="n">
        <v>0</v>
      </c>
      <c r="E10" s="100" t="n">
        <v>2114140</v>
      </c>
      <c r="F10" s="92" t="n">
        <v>0</v>
      </c>
      <c r="G10" s="92" t="n">
        <v>0</v>
      </c>
      <c r="H10" s="92" t="n">
        <v>29308</v>
      </c>
      <c r="I10" s="92" t="n">
        <v>30214</v>
      </c>
      <c r="J10" s="92" t="n"/>
      <c r="K10" s="92" t="n"/>
      <c r="L10" s="94" t="n"/>
      <c r="M10" s="92" t="n"/>
      <c r="N10" s="94" t="n">
        <v>11991786.89</v>
      </c>
      <c r="O10" s="94" t="n">
        <v>25854.6111</v>
      </c>
      <c r="P10" s="94" t="n">
        <v>718.7295</v>
      </c>
      <c r="Q10" s="92" t="n">
        <v>18132.11</v>
      </c>
      <c r="R10" s="94" t="n">
        <v>333907775.6758</v>
      </c>
      <c r="S10" s="94" t="n">
        <v>999884121.288</v>
      </c>
      <c r="T10" s="95">
        <f>IF(OR(R10="",R9=""),"",R10-R9)</f>
        <v/>
      </c>
      <c r="U10" s="95">
        <f>IF(OR(S10="",S9=""),"",S10-S9)</f>
        <v/>
      </c>
      <c r="V10" s="95">
        <f>IF(OR(U10="",P10=""),"",U10+P10)</f>
        <v/>
      </c>
      <c r="W10" s="95">
        <f>IF(OR(T10="",O10="",P10=""),"",T10-O10+P10)</f>
        <v/>
      </c>
    </row>
    <row r="11">
      <c r="A11" s="35" t="n">
        <v>45665</v>
      </c>
      <c r="B11" s="92" t="n">
        <v>6019784666.991272</v>
      </c>
      <c r="C11" s="92" t="n"/>
      <c r="D11" s="92" t="n">
        <v>0</v>
      </c>
      <c r="E11" s="100" t="n">
        <v>1758819</v>
      </c>
      <c r="F11" s="92" t="n">
        <v>0</v>
      </c>
      <c r="G11" s="92" t="n">
        <v>0</v>
      </c>
      <c r="H11" s="92" t="n">
        <v>43915</v>
      </c>
      <c r="I11" s="92" t="n">
        <v>45273</v>
      </c>
      <c r="J11" s="92" t="n"/>
      <c r="K11" s="92" t="n"/>
      <c r="L11" s="94" t="n"/>
      <c r="M11" s="92" t="n"/>
      <c r="N11" s="94" t="n">
        <v>12076330.36</v>
      </c>
      <c r="O11" s="94" t="n">
        <v>25924.4198</v>
      </c>
      <c r="P11" s="94" t="n">
        <v>744.9065000000001</v>
      </c>
      <c r="Q11" s="92" t="n">
        <v>17501.58</v>
      </c>
      <c r="R11" s="94" t="n">
        <v>333918284.3031</v>
      </c>
      <c r="S11" s="94" t="n">
        <v>999883376.3815</v>
      </c>
      <c r="T11" s="95">
        <f>IF(OR(R11="",R10=""),"",R11-R10)</f>
        <v/>
      </c>
      <c r="U11" s="95">
        <f>IF(OR(S11="",S10=""),"",S11-S10)</f>
        <v/>
      </c>
      <c r="V11" s="95">
        <f>IF(OR(U11="",P11=""),"",U11+P11)</f>
        <v/>
      </c>
      <c r="W11" s="95">
        <f>IF(OR(T11="",O11="",P11=""),"",T11-O11+P11)</f>
        <v/>
      </c>
    </row>
    <row r="12">
      <c r="A12" s="35" t="n">
        <v>45666</v>
      </c>
      <c r="B12" s="92" t="n">
        <v>7123327274.12612</v>
      </c>
      <c r="C12" s="92" t="n"/>
      <c r="D12" s="92" t="n">
        <v>0</v>
      </c>
      <c r="E12" s="100" t="n">
        <v>1921239</v>
      </c>
      <c r="F12" s="92" t="n">
        <v>0</v>
      </c>
      <c r="G12" s="92" t="n">
        <v>0</v>
      </c>
      <c r="H12" s="92" t="n">
        <v>45969</v>
      </c>
      <c r="I12" s="92" t="n">
        <v>47391</v>
      </c>
      <c r="J12" s="92" t="n"/>
      <c r="K12" s="92" t="n"/>
      <c r="L12" s="94" t="n"/>
      <c r="M12" s="92" t="n"/>
      <c r="N12" s="94" t="n">
        <v>12156974.88</v>
      </c>
      <c r="O12" s="94" t="n">
        <v>25984.3451</v>
      </c>
      <c r="P12" s="94" t="n">
        <v>1579.5356</v>
      </c>
      <c r="Q12" s="92" t="n">
        <v>35552.19</v>
      </c>
      <c r="R12" s="94" t="n">
        <v>333928049.9218</v>
      </c>
      <c r="S12" s="94" t="n">
        <v>999881796.8459001</v>
      </c>
      <c r="T12" s="95">
        <f>IF(OR(R12="",R11=""),"",R12-R11)</f>
        <v/>
      </c>
      <c r="U12" s="95">
        <f>IF(OR(S12="",S11=""),"",S12-S11)</f>
        <v/>
      </c>
      <c r="V12" s="95">
        <f>IF(OR(U12="",P12=""),"",U12+P12)</f>
        <v/>
      </c>
      <c r="W12" s="95">
        <f>IF(OR(T12="",O12="",P12=""),"",T12-O12+P12)</f>
        <v/>
      </c>
    </row>
    <row r="13">
      <c r="A13" s="35" t="n">
        <v>45667</v>
      </c>
      <c r="B13" s="92" t="n">
        <v>5110006119.872235</v>
      </c>
      <c r="C13" s="92" t="n"/>
      <c r="D13" s="92" t="n">
        <v>0</v>
      </c>
      <c r="E13" s="100" t="n">
        <v>1475032</v>
      </c>
      <c r="F13" s="92" t="n">
        <v>0</v>
      </c>
      <c r="G13" s="92" t="n">
        <v>0</v>
      </c>
      <c r="H13" s="92" t="n">
        <v>26938</v>
      </c>
      <c r="I13" s="92" t="n">
        <v>27771</v>
      </c>
      <c r="J13" s="92" t="n"/>
      <c r="K13" s="92" t="n"/>
      <c r="L13" s="94" t="n"/>
      <c r="M13" s="92" t="n"/>
      <c r="N13" s="94" t="n">
        <v>12241033.24</v>
      </c>
      <c r="O13" s="94" t="n">
        <v>26008.9029</v>
      </c>
      <c r="P13" s="94" t="n">
        <v>1664.9046</v>
      </c>
      <c r="Q13" s="92" t="n">
        <v>33764.27</v>
      </c>
      <c r="R13" s="94" t="n">
        <v>333937753.3291</v>
      </c>
      <c r="S13" s="94" t="n">
        <v>999880131.9413</v>
      </c>
      <c r="T13" s="95">
        <f>IF(OR(R13="",R12=""),"",R13-R12)</f>
        <v/>
      </c>
      <c r="U13" s="95">
        <f>IF(OR(S13="",S12=""),"",S13-S12)</f>
        <v/>
      </c>
      <c r="V13" s="95">
        <f>IF(OR(U13="",P13=""),"",U13+P13)</f>
        <v/>
      </c>
      <c r="W13" s="95">
        <f>IF(OR(T13="",O13="",P13=""),"",T13-O13+P13)</f>
        <v/>
      </c>
    </row>
    <row r="14">
      <c r="A14" s="35" t="n">
        <v>45668</v>
      </c>
      <c r="B14" s="92" t="n">
        <v>1975220110.645682</v>
      </c>
      <c r="C14" s="92" t="n"/>
      <c r="D14" s="92" t="n">
        <v>0</v>
      </c>
      <c r="E14" s="100" t="n">
        <v>458402</v>
      </c>
      <c r="F14" s="92" t="n">
        <v>0</v>
      </c>
      <c r="G14" s="92" t="n">
        <v>0</v>
      </c>
      <c r="H14" s="92" t="n">
        <v>14512</v>
      </c>
      <c r="I14" s="92" t="n">
        <v>14961</v>
      </c>
      <c r="J14" s="92" t="n"/>
      <c r="K14" s="92" t="n"/>
      <c r="L14" s="94" t="n"/>
      <c r="M14" s="92" t="n"/>
      <c r="N14" s="94" t="n">
        <v>12305408.94</v>
      </c>
      <c r="O14" s="94" t="n">
        <v>26032.7188</v>
      </c>
      <c r="P14" s="94" t="n">
        <v>984.8383</v>
      </c>
      <c r="Q14" s="92" t="n">
        <v>20333.96</v>
      </c>
      <c r="R14" s="94" t="n">
        <v>333948180.3825</v>
      </c>
      <c r="S14" s="94" t="n">
        <v>999879147.103</v>
      </c>
      <c r="T14" s="95">
        <f>IF(OR(R14="",R13=""),"",R14-R13)</f>
        <v/>
      </c>
      <c r="U14" s="95">
        <f>IF(OR(S14="",S13=""),"",S14-S13)</f>
        <v/>
      </c>
      <c r="V14" s="95">
        <f>IF(OR(U14="",P14=""),"",U14+P14)</f>
        <v/>
      </c>
      <c r="W14" s="95">
        <f>IF(OR(T14="",O14="",P14=""),"",T14-O14+P14)</f>
        <v/>
      </c>
    </row>
    <row r="15">
      <c r="A15" s="35" t="n">
        <v>45669</v>
      </c>
      <c r="B15" s="92" t="n">
        <v>1868823313.52282</v>
      </c>
      <c r="C15" s="92" t="n"/>
      <c r="D15" s="92" t="n">
        <v>0</v>
      </c>
      <c r="E15" s="92" t="n"/>
      <c r="F15" s="92" t="n">
        <v>0</v>
      </c>
      <c r="G15" s="92" t="n">
        <v>0</v>
      </c>
      <c r="H15" s="92" t="n"/>
      <c r="I15" s="92" t="n"/>
      <c r="J15" s="92" t="n"/>
      <c r="K15" s="92" t="n"/>
      <c r="L15" s="94" t="n"/>
      <c r="M15" s="92" t="n"/>
      <c r="N15" s="94" t="n">
        <v>12323093.09</v>
      </c>
      <c r="O15" s="94" t="n">
        <v>26062.989</v>
      </c>
      <c r="P15" s="94" t="n">
        <v>555.3528</v>
      </c>
      <c r="Q15" s="92" t="n">
        <v>11594.93</v>
      </c>
      <c r="R15" s="94" t="n">
        <v>333959083.2302</v>
      </c>
      <c r="S15" s="94" t="n">
        <v>999878591.7502</v>
      </c>
      <c r="T15" s="95">
        <f>IF(OR(R15="",R14=""),"",R15-R14)</f>
        <v/>
      </c>
      <c r="U15" s="95">
        <f>IF(OR(S15="",S14=""),"",S15-S14)</f>
        <v/>
      </c>
      <c r="V15" s="95">
        <f>IF(OR(U15="",P15=""),"",U15+P15)</f>
        <v/>
      </c>
      <c r="W15" s="95">
        <f>IF(OR(T15="",O15="",P15=""),"",T15-O15+P15)</f>
        <v/>
      </c>
    </row>
    <row r="16">
      <c r="A16" s="35" t="n">
        <v>45670</v>
      </c>
      <c r="B16" s="92" t="n">
        <v>7614889367.89616</v>
      </c>
      <c r="C16" s="92" t="n"/>
      <c r="D16" s="92" t="n">
        <v>0</v>
      </c>
      <c r="E16" s="92" t="n"/>
      <c r="F16" s="92" t="n">
        <v>0</v>
      </c>
      <c r="G16" s="92" t="n">
        <v>0</v>
      </c>
      <c r="H16" s="92" t="n"/>
      <c r="I16" s="92" t="n"/>
      <c r="J16" s="92" t="n"/>
      <c r="K16" s="92" t="n"/>
      <c r="L16" s="94" t="n"/>
      <c r="M16" s="92" t="n"/>
      <c r="N16" s="94" t="n">
        <v>12366458.05</v>
      </c>
      <c r="O16" s="94" t="n">
        <v>26085.5853</v>
      </c>
      <c r="P16" s="94" t="n">
        <v>490.8274</v>
      </c>
      <c r="Q16" s="92" t="n">
        <v>10364.31</v>
      </c>
      <c r="R16" s="94" t="n">
        <v>333970100.8173</v>
      </c>
      <c r="S16" s="94" t="n">
        <v>999878100.9227999</v>
      </c>
      <c r="T16" s="95">
        <f>IF(OR(R16="",R15=""),"",R16-R15)</f>
        <v/>
      </c>
      <c r="U16" s="95">
        <f>IF(OR(S16="",S15=""),"",S16-S15)</f>
        <v/>
      </c>
      <c r="V16" s="95">
        <f>IF(OR(U16="",P16=""),"",U16+P16)</f>
        <v/>
      </c>
      <c r="W16" s="95">
        <f>IF(OR(T16="",O16="",P16=""),"",T16-O16+P16)</f>
        <v/>
      </c>
    </row>
    <row r="17">
      <c r="A17" s="35" t="n">
        <v>45671</v>
      </c>
      <c r="B17" s="92" t="n">
        <v>4164534612.205659</v>
      </c>
      <c r="C17" s="92" t="n"/>
      <c r="D17" s="92" t="n">
        <v>0</v>
      </c>
      <c r="E17" s="100" t="n">
        <v>1230157</v>
      </c>
      <c r="F17" s="92" t="n">
        <v>0</v>
      </c>
      <c r="G17" s="92" t="n">
        <v>0</v>
      </c>
      <c r="H17" s="92" t="n">
        <v>23594</v>
      </c>
      <c r="I17" s="92" t="n">
        <v>24324</v>
      </c>
      <c r="J17" s="92" t="n"/>
      <c r="K17" s="92" t="n"/>
      <c r="L17" s="94" t="n"/>
      <c r="M17" s="92" t="n"/>
      <c r="N17" s="94" t="n">
        <v>12467820.96</v>
      </c>
      <c r="O17" s="94" t="n">
        <v>26275.62</v>
      </c>
      <c r="P17" s="94" t="n">
        <v>1292.8946</v>
      </c>
      <c r="Q17" s="92" t="n">
        <v>27962.08</v>
      </c>
      <c r="R17" s="94" t="n">
        <v>333980615.0392</v>
      </c>
      <c r="S17" s="94" t="n">
        <v>999876808.0282</v>
      </c>
      <c r="T17" s="95">
        <f>IF(OR(R17="",R16=""),"",R17-R16)</f>
        <v/>
      </c>
      <c r="U17" s="95">
        <f>IF(OR(S17="",S16=""),"",S17-S16)</f>
        <v/>
      </c>
      <c r="V17" s="95">
        <f>IF(OR(U17="",P17=""),"",U17+P17)</f>
        <v/>
      </c>
      <c r="W17" s="95">
        <f>IF(OR(T17="",O17="",P17=""),"",T17-O17+P17)</f>
        <v/>
      </c>
    </row>
    <row r="18">
      <c r="A18" s="35" t="n">
        <v>45672</v>
      </c>
      <c r="B18" s="92" t="n">
        <v>5315407561.347315</v>
      </c>
      <c r="C18" s="92" t="n"/>
      <c r="D18" s="92" t="n">
        <v>0</v>
      </c>
      <c r="E18" s="100" t="n">
        <v>1231497</v>
      </c>
      <c r="F18" s="92" t="n">
        <v>0</v>
      </c>
      <c r="G18" s="92" t="n">
        <v>0</v>
      </c>
      <c r="H18" s="92" t="n">
        <v>23198</v>
      </c>
      <c r="I18" s="92" t="n">
        <v>23915</v>
      </c>
      <c r="J18" s="92" t="n"/>
      <c r="K18" s="92" t="n"/>
      <c r="L18" s="94" t="n"/>
      <c r="M18" s="92" t="n"/>
      <c r="N18" s="94" t="n">
        <v>12522774.12</v>
      </c>
      <c r="O18" s="94" t="n">
        <v>26404.1858</v>
      </c>
      <c r="P18" s="94" t="n">
        <v>1035.8599</v>
      </c>
      <c r="Q18" s="92" t="n">
        <v>23826.33</v>
      </c>
      <c r="R18" s="94" t="n">
        <v>333991585.3763</v>
      </c>
      <c r="S18" s="94" t="n">
        <v>999875772.1684</v>
      </c>
      <c r="T18" s="95">
        <f>IF(OR(R18="",R17=""),"",R18-R17)</f>
        <v/>
      </c>
      <c r="U18" s="95">
        <f>IF(OR(S18="",S17=""),"",S18-S17)</f>
        <v/>
      </c>
      <c r="V18" s="95">
        <f>IF(OR(U18="",P18=""),"",U18+P18)</f>
        <v/>
      </c>
      <c r="W18" s="95">
        <f>IF(OR(T18="",O18="",P18=""),"",T18-O18+P18)</f>
        <v/>
      </c>
    </row>
    <row r="19">
      <c r="A19" s="35" t="n">
        <v>45673</v>
      </c>
      <c r="B19" s="92" t="n">
        <v>5713611240.033678</v>
      </c>
      <c r="C19" s="92" t="n"/>
      <c r="D19" s="92" t="n">
        <v>0</v>
      </c>
      <c r="E19" s="100" t="n">
        <v>1644992</v>
      </c>
      <c r="F19" s="92" t="n">
        <v>0</v>
      </c>
      <c r="G19" s="92" t="n">
        <v>0</v>
      </c>
      <c r="H19" s="92" t="n">
        <v>18044</v>
      </c>
      <c r="I19" s="92" t="n">
        <v>18602</v>
      </c>
      <c r="J19" s="92" t="n"/>
      <c r="K19" s="92" t="n"/>
      <c r="L19" s="94" t="n"/>
      <c r="M19" s="92" t="n"/>
      <c r="N19" s="94" t="n">
        <v>12591916.98</v>
      </c>
      <c r="O19" s="94" t="n">
        <v>26508.232</v>
      </c>
      <c r="P19" s="94" t="n">
        <v>883.4029</v>
      </c>
      <c r="Q19" s="92" t="n">
        <v>21532.95</v>
      </c>
      <c r="R19" s="94" t="n">
        <v>334002836.9296</v>
      </c>
      <c r="S19" s="94" t="n">
        <v>999874888.7654999</v>
      </c>
      <c r="T19" s="95">
        <f>IF(OR(R19="",R18=""),"",R19-R18)</f>
        <v/>
      </c>
      <c r="U19" s="95">
        <f>IF(OR(S19="",S18=""),"",S19-S18)</f>
        <v/>
      </c>
      <c r="V19" s="95">
        <f>IF(OR(U19="",P19=""),"",U19+P19)</f>
        <v/>
      </c>
      <c r="W19" s="95">
        <f>IF(OR(T19="",O19="",P19=""),"",T19-O19+P19)</f>
        <v/>
      </c>
    </row>
    <row r="20">
      <c r="A20" s="35" t="n">
        <v>45674</v>
      </c>
      <c r="B20" s="92" t="n">
        <v>5461277249.166445</v>
      </c>
      <c r="C20" s="92" t="n"/>
      <c r="D20" s="92" t="n">
        <v>0</v>
      </c>
      <c r="E20" s="100" t="n">
        <v>1647338</v>
      </c>
      <c r="F20" s="92" t="n">
        <v>0</v>
      </c>
      <c r="G20" s="92" t="n">
        <v>0</v>
      </c>
      <c r="H20" s="92" t="n">
        <v>19870</v>
      </c>
      <c r="I20" s="92" t="n">
        <v>20485</v>
      </c>
      <c r="J20" s="92" t="n"/>
      <c r="K20" s="92" t="n"/>
      <c r="L20" s="94" t="n"/>
      <c r="M20" s="92" t="n"/>
      <c r="N20" s="94" t="n">
        <v>12657481.55</v>
      </c>
      <c r="O20" s="94" t="n">
        <v>26562.754</v>
      </c>
      <c r="P20" s="94" t="n">
        <v>560.1256</v>
      </c>
      <c r="Q20" s="92" t="n">
        <v>13148.11</v>
      </c>
      <c r="R20" s="94" t="n">
        <v>334014509.1143</v>
      </c>
      <c r="S20" s="94" t="n">
        <v>999874328.6399</v>
      </c>
      <c r="T20" s="95">
        <f>IF(OR(R20="",R19=""),"",R20-R19)</f>
        <v/>
      </c>
      <c r="U20" s="95">
        <f>IF(OR(S20="",S19=""),"",S20-S19)</f>
        <v/>
      </c>
      <c r="V20" s="95">
        <f>IF(OR(U20="",P20=""),"",U20+P20)</f>
        <v/>
      </c>
      <c r="W20" s="95">
        <f>IF(OR(T20="",O20="",P20=""),"",T20-O20+P20)</f>
        <v/>
      </c>
    </row>
    <row r="21">
      <c r="A21" s="35" t="n">
        <v>45675</v>
      </c>
      <c r="B21" s="92" t="n">
        <v>9678960134.805155</v>
      </c>
      <c r="C21" s="92" t="n"/>
      <c r="D21" s="92" t="n">
        <v>0</v>
      </c>
      <c r="E21" s="100" t="n">
        <v>2754660</v>
      </c>
      <c r="F21" s="92" t="n">
        <v>0</v>
      </c>
      <c r="G21" s="92" t="n">
        <v>0</v>
      </c>
      <c r="H21" s="92" t="n">
        <v>50841</v>
      </c>
      <c r="I21" s="92" t="n">
        <v>52413</v>
      </c>
      <c r="J21" s="92" t="n"/>
      <c r="K21" s="92" t="n"/>
      <c r="L21" s="94" t="n"/>
      <c r="M21" s="92" t="n"/>
      <c r="N21" s="94" t="n">
        <v>12746262.37</v>
      </c>
      <c r="O21" s="94" t="n">
        <v>26584.0125</v>
      </c>
      <c r="P21" s="94" t="n">
        <v>614.0791</v>
      </c>
      <c r="Q21" s="92" t="n">
        <v>14179.39</v>
      </c>
      <c r="R21" s="94" t="n">
        <v>334026157.3313</v>
      </c>
      <c r="S21" s="94" t="n">
        <v>999873714.5608</v>
      </c>
      <c r="T21" s="95">
        <f>IF(OR(R21="",R20=""),"",R21-R20)</f>
        <v/>
      </c>
      <c r="U21" s="95">
        <f>IF(OR(S21="",S20=""),"",S21-S20)</f>
        <v/>
      </c>
      <c r="V21" s="95">
        <f>IF(OR(U21="",P21=""),"",U21+P21)</f>
        <v/>
      </c>
      <c r="W21" s="95">
        <f>IF(OR(T21="",O21="",P21=""),"",T21-O21+P21)</f>
        <v/>
      </c>
    </row>
    <row r="22">
      <c r="A22" s="35" t="n">
        <v>45676</v>
      </c>
      <c r="B22" s="92" t="n">
        <v>17750219553.23</v>
      </c>
      <c r="C22" s="92" t="n"/>
      <c r="D22" s="92" t="n">
        <v>0</v>
      </c>
      <c r="E22" s="100" t="n">
        <v>4182537</v>
      </c>
      <c r="F22" s="92" t="n">
        <v>0</v>
      </c>
      <c r="G22" s="92" t="n">
        <v>0</v>
      </c>
      <c r="H22" s="92" t="n">
        <v>59675</v>
      </c>
      <c r="I22" s="92" t="n">
        <v>61521</v>
      </c>
      <c r="J22" s="92" t="n"/>
      <c r="K22" s="92" t="n"/>
      <c r="L22" s="94" t="n"/>
      <c r="M22" s="92" t="n"/>
      <c r="N22" s="94" t="n">
        <v>12889602.64</v>
      </c>
      <c r="O22" s="94" t="n">
        <v>26576.453</v>
      </c>
      <c r="P22" s="94" t="n">
        <v>1549.2138</v>
      </c>
      <c r="Q22" s="92" t="n">
        <v>33984.33</v>
      </c>
      <c r="R22" s="94" t="n">
        <v>334036841.5769</v>
      </c>
      <c r="S22" s="94" t="n">
        <v>999872165.347</v>
      </c>
      <c r="T22" s="95">
        <f>IF(OR(R22="",R21=""),"",R22-R21)</f>
        <v/>
      </c>
      <c r="U22" s="95">
        <f>IF(OR(S22="",S21=""),"",S22-S21)</f>
        <v/>
      </c>
      <c r="V22" s="95">
        <f>IF(OR(U22="",P22=""),"",U22+P22)</f>
        <v/>
      </c>
      <c r="W22" s="95">
        <f>IF(OR(T22="",O22="",P22=""),"",T22-O22+P22)</f>
        <v/>
      </c>
    </row>
    <row r="23">
      <c r="A23" s="35" t="n">
        <v>45677</v>
      </c>
      <c r="B23" s="92" t="n">
        <v>16339004971.72497</v>
      </c>
      <c r="C23" s="92" t="n"/>
      <c r="D23" s="92" t="n">
        <v>0</v>
      </c>
      <c r="E23" s="100" t="n">
        <v>3956440</v>
      </c>
      <c r="F23" s="92" t="n">
        <v>0</v>
      </c>
      <c r="G23" s="92" t="n">
        <v>0</v>
      </c>
      <c r="H23" s="92" t="n">
        <v>33251</v>
      </c>
      <c r="I23" s="92" t="n">
        <v>34279</v>
      </c>
      <c r="J23" s="92" t="n"/>
      <c r="K23" s="92" t="n"/>
      <c r="L23" s="94" t="n"/>
      <c r="M23" s="92" t="n"/>
      <c r="N23" s="94" t="n">
        <v>13118129.89</v>
      </c>
      <c r="O23" s="94" t="n">
        <v>26541.2726</v>
      </c>
      <c r="P23" s="94" t="n">
        <v>2127.3129</v>
      </c>
      <c r="Q23" s="92" t="n">
        <v>42947.26</v>
      </c>
      <c r="R23" s="94" t="n">
        <v>334046893.0016</v>
      </c>
      <c r="S23" s="94" t="n">
        <v>999870038.0341001</v>
      </c>
      <c r="T23" s="95">
        <f>IF(OR(R23="",R22=""),"",R23-R22)</f>
        <v/>
      </c>
      <c r="U23" s="95">
        <f>IF(OR(S23="",S22=""),"",S23-S22)</f>
        <v/>
      </c>
      <c r="V23" s="95">
        <f>IF(OR(U23="",P23=""),"",U23+P23)</f>
        <v/>
      </c>
      <c r="W23" s="95">
        <f>IF(OR(T23="",O23="",P23=""),"",T23-O23+P23)</f>
        <v/>
      </c>
    </row>
    <row r="24">
      <c r="A24" s="35" t="n">
        <v>45678</v>
      </c>
      <c r="B24" s="92" t="n">
        <v>8341944948.310147</v>
      </c>
      <c r="C24" s="92" t="n"/>
      <c r="D24" s="92" t="n">
        <v>0</v>
      </c>
      <c r="E24" s="100" t="n">
        <v>2003967</v>
      </c>
      <c r="F24" s="92" t="n">
        <v>0</v>
      </c>
      <c r="G24" s="92" t="n">
        <v>0</v>
      </c>
      <c r="H24" s="92" t="n">
        <v>33047</v>
      </c>
      <c r="I24" s="92" t="n">
        <v>34069</v>
      </c>
      <c r="J24" s="92" t="n"/>
      <c r="K24" s="92" t="n"/>
      <c r="L24" s="94" t="n"/>
      <c r="M24" s="92" t="n"/>
      <c r="N24" s="94" t="n">
        <v>13251258.78</v>
      </c>
      <c r="O24" s="94" t="n">
        <v>26530.7477</v>
      </c>
      <c r="P24" s="94" t="n">
        <v>1392.5278</v>
      </c>
      <c r="Q24" s="92" t="n">
        <v>28622.71</v>
      </c>
      <c r="R24" s="94" t="n">
        <v>334057677.6746</v>
      </c>
      <c r="S24" s="94" t="n">
        <v>999868645.5063</v>
      </c>
      <c r="T24" s="95">
        <f>IF(OR(R24="",R23=""),"",R24-R23)</f>
        <v/>
      </c>
      <c r="U24" s="95">
        <f>IF(OR(S24="",S23=""),"",S24-S23)</f>
        <v/>
      </c>
      <c r="V24" s="95">
        <f>IF(OR(U24="",P24=""),"",U24+P24)</f>
        <v/>
      </c>
      <c r="W24" s="95">
        <f>IF(OR(T24="",O24="",P24=""),"",T24-O24+P24)</f>
        <v/>
      </c>
    </row>
    <row r="25">
      <c r="A25" s="35" t="n">
        <v>45679</v>
      </c>
      <c r="B25" s="92" t="n">
        <v>5281551150.558711</v>
      </c>
      <c r="C25" s="92" t="n"/>
      <c r="D25" s="92" t="n">
        <v>0</v>
      </c>
      <c r="E25" s="100" t="n">
        <v>1392360</v>
      </c>
      <c r="F25" s="92" t="n">
        <v>0</v>
      </c>
      <c r="G25" s="92" t="n">
        <v>0</v>
      </c>
      <c r="H25" s="92" t="n">
        <v>29505</v>
      </c>
      <c r="I25" s="92" t="n">
        <v>30418</v>
      </c>
      <c r="J25" s="92" t="n"/>
      <c r="K25" s="92" t="n"/>
      <c r="L25" s="94" t="n"/>
      <c r="M25" s="92" t="n"/>
      <c r="N25" s="94" t="n">
        <v>13322388.74</v>
      </c>
      <c r="O25" s="94" t="n">
        <v>26567.3464</v>
      </c>
      <c r="P25" s="94" t="n">
        <v>1404.8497</v>
      </c>
      <c r="Q25" s="92" t="n">
        <v>32564.41</v>
      </c>
      <c r="R25" s="94" t="n">
        <v>334068492.1831</v>
      </c>
      <c r="S25" s="94" t="n">
        <v>999867240.6567</v>
      </c>
      <c r="T25" s="95">
        <f>IF(OR(R25="",R24=""),"",R25-R24)</f>
        <v/>
      </c>
      <c r="U25" s="95">
        <f>IF(OR(S25="",S24=""),"",S25-S24)</f>
        <v/>
      </c>
      <c r="V25" s="95">
        <f>IF(OR(U25="",P25=""),"",U25+P25)</f>
        <v/>
      </c>
      <c r="W25" s="95">
        <f>IF(OR(T25="",O25="",P25=""),"",T25-O25+P25)</f>
        <v/>
      </c>
    </row>
    <row r="26">
      <c r="A26" s="35" t="n">
        <v>45680</v>
      </c>
      <c r="B26" s="92" t="n">
        <v>11321580803.33587</v>
      </c>
      <c r="C26" s="92" t="n"/>
      <c r="D26" s="92" t="n">
        <v>0</v>
      </c>
      <c r="E26" s="100" t="n">
        <v>2736794</v>
      </c>
      <c r="F26" s="92" t="n">
        <v>0</v>
      </c>
      <c r="G26" s="92" t="n">
        <v>0</v>
      </c>
      <c r="H26" s="92" t="n">
        <v>37014</v>
      </c>
      <c r="I26" s="92" t="n">
        <v>38159</v>
      </c>
      <c r="J26" s="92" t="n"/>
      <c r="K26" s="92" t="n"/>
      <c r="L26" s="94" t="n"/>
      <c r="M26" s="92" t="n"/>
      <c r="N26" s="94" t="n">
        <v>13384449.16</v>
      </c>
      <c r="O26" s="94" t="n">
        <v>26581.533</v>
      </c>
      <c r="P26" s="94" t="n">
        <v>923.5959</v>
      </c>
      <c r="Q26" s="92" t="n">
        <v>22448.92</v>
      </c>
      <c r="R26" s="94" t="n">
        <v>334079811.6369</v>
      </c>
      <c r="S26" s="94" t="n">
        <v>999866317.0608</v>
      </c>
      <c r="T26" s="95">
        <f>IF(OR(R26="",R25=""),"",R26-R25)</f>
        <v/>
      </c>
      <c r="U26" s="95">
        <f>IF(OR(S26="",S25=""),"",S26-S25)</f>
        <v/>
      </c>
      <c r="V26" s="95">
        <f>IF(OR(U26="",P26=""),"",U26+P26)</f>
        <v/>
      </c>
      <c r="W26" s="95">
        <f>IF(OR(T26="",O26="",P26=""),"",T26-O26+P26)</f>
        <v/>
      </c>
    </row>
    <row r="27">
      <c r="A27" s="35" t="n">
        <v>45681</v>
      </c>
      <c r="B27" s="92" t="n">
        <v>5784731819.255758</v>
      </c>
      <c r="C27" s="92" t="n"/>
      <c r="D27" s="92" t="n">
        <v>0</v>
      </c>
      <c r="E27" s="100" t="n">
        <v>1268918</v>
      </c>
      <c r="F27" s="92" t="n">
        <v>0</v>
      </c>
      <c r="G27" s="92" t="n">
        <v>0</v>
      </c>
      <c r="H27" s="92" t="n">
        <v>23279</v>
      </c>
      <c r="I27" s="92" t="n">
        <v>23999</v>
      </c>
      <c r="J27" s="92" t="n"/>
      <c r="K27" s="92" t="n"/>
      <c r="L27" s="94" t="n"/>
      <c r="M27" s="92" t="n"/>
      <c r="N27" s="94" t="n">
        <v>13500446.23</v>
      </c>
      <c r="O27" s="94" t="n">
        <v>26552.4017</v>
      </c>
      <c r="P27" s="94" t="n">
        <v>1425.0715</v>
      </c>
      <c r="Q27" s="92" t="n">
        <v>31310.24</v>
      </c>
      <c r="R27" s="94" t="n">
        <v>334090585.9983</v>
      </c>
      <c r="S27" s="94" t="n">
        <v>999864891.9893</v>
      </c>
      <c r="T27" s="95">
        <f>IF(OR(R27="",R26=""),"",R27-R26)</f>
        <v/>
      </c>
      <c r="U27" s="95">
        <f>IF(OR(S27="",S26=""),"",S27-S26)</f>
        <v/>
      </c>
      <c r="V27" s="95">
        <f>IF(OR(U27="",P27=""),"",U27+P27)</f>
        <v/>
      </c>
      <c r="W27" s="95">
        <f>IF(OR(T27="",O27="",P27=""),"",T27-O27+P27)</f>
        <v/>
      </c>
    </row>
    <row r="28">
      <c r="A28" s="35" t="n">
        <v>45682</v>
      </c>
      <c r="B28" s="92" t="n">
        <v>3516728432.28455</v>
      </c>
      <c r="C28" s="92" t="n"/>
      <c r="D28" s="92" t="n">
        <v>0</v>
      </c>
      <c r="E28" s="100" t="n">
        <v>1043099</v>
      </c>
      <c r="F28" s="92" t="n">
        <v>0</v>
      </c>
      <c r="G28" s="92" t="n">
        <v>0</v>
      </c>
      <c r="H28" s="92" t="n">
        <v>13888</v>
      </c>
      <c r="I28" s="92" t="n">
        <v>14317</v>
      </c>
      <c r="J28" s="92" t="n"/>
      <c r="K28" s="92" t="n"/>
      <c r="L28" s="94" t="n"/>
      <c r="M28" s="92" t="n"/>
      <c r="N28" s="94" t="n">
        <v>13559680.66</v>
      </c>
      <c r="O28" s="94" t="n">
        <v>26530.8113</v>
      </c>
      <c r="P28" s="94" t="n">
        <v>909.6107</v>
      </c>
      <c r="Q28" s="92" t="n">
        <v>20977.9</v>
      </c>
      <c r="R28" s="94" t="n">
        <v>334101839.5566</v>
      </c>
      <c r="S28" s="94" t="n">
        <v>999863982.3786</v>
      </c>
      <c r="T28" s="95">
        <f>IF(OR(R28="",R27=""),"",R28-R27)</f>
        <v/>
      </c>
      <c r="U28" s="95">
        <f>IF(OR(S28="",S27=""),"",S28-S27)</f>
        <v/>
      </c>
      <c r="V28" s="95">
        <f>IF(OR(U28="",P28=""),"",U28+P28)</f>
        <v/>
      </c>
      <c r="W28" s="95">
        <f>IF(OR(T28="",O28="",P28=""),"",T28-O28+P28)</f>
        <v/>
      </c>
    </row>
    <row r="29">
      <c r="A29" s="35" t="n">
        <v>45683</v>
      </c>
      <c r="B29" s="92" t="n">
        <v>3597386932.857095</v>
      </c>
      <c r="C29" s="92" t="n"/>
      <c r="D29" s="92" t="n">
        <v>0</v>
      </c>
      <c r="E29" s="100" t="n">
        <v>1050474</v>
      </c>
      <c r="F29" s="92" t="n">
        <v>0</v>
      </c>
      <c r="G29" s="92" t="n">
        <v>0</v>
      </c>
      <c r="H29" s="92" t="n">
        <v>16359</v>
      </c>
      <c r="I29" s="92" t="n">
        <v>16865</v>
      </c>
      <c r="J29" s="92" t="n"/>
      <c r="K29" s="92" t="n"/>
      <c r="L29" s="94" t="n"/>
      <c r="M29" s="92" t="n"/>
      <c r="N29" s="94" t="n">
        <v>13589447.97</v>
      </c>
      <c r="O29" s="94" t="n">
        <v>26541.0291</v>
      </c>
      <c r="P29" s="94" t="n">
        <v>462.2589</v>
      </c>
      <c r="Q29" s="92" t="n">
        <v>10701.06</v>
      </c>
      <c r="R29" s="94" t="n">
        <v>334113562.864</v>
      </c>
      <c r="S29" s="94" t="n">
        <v>999863520.1197</v>
      </c>
      <c r="T29" s="95">
        <f>IF(OR(R29="",R28=""),"",R29-R28)</f>
        <v/>
      </c>
      <c r="U29" s="95">
        <f>IF(OR(S29="",S28=""),"",S29-S28)</f>
        <v/>
      </c>
      <c r="V29" s="95">
        <f>IF(OR(U29="",P29=""),"",U29+P29)</f>
        <v/>
      </c>
      <c r="W29" s="95">
        <f>IF(OR(T29="",O29="",P29=""),"",T29-O29+P29)</f>
        <v/>
      </c>
    </row>
    <row r="30">
      <c r="A30" s="35" t="n">
        <v>45684</v>
      </c>
      <c r="B30" s="92" t="n">
        <v>10972896197.405</v>
      </c>
      <c r="C30" s="92" t="n"/>
      <c r="D30" s="92" t="n">
        <v>0</v>
      </c>
      <c r="E30" s="100" t="n">
        <v>2618211</v>
      </c>
      <c r="F30" s="92" t="n">
        <v>0</v>
      </c>
      <c r="G30" s="92" t="n">
        <v>0</v>
      </c>
      <c r="H30" s="92" t="n">
        <v>36446</v>
      </c>
      <c r="I30" s="92" t="n">
        <v>37573</v>
      </c>
      <c r="J30" s="92" t="n"/>
      <c r="K30" s="92" t="n"/>
      <c r="L30" s="94" t="n"/>
      <c r="M30" s="92" t="n"/>
      <c r="N30" s="94" t="n">
        <v>13665773.68</v>
      </c>
      <c r="O30" s="94" t="n">
        <v>26557.3341</v>
      </c>
      <c r="P30" s="94" t="n">
        <v>515.1838</v>
      </c>
      <c r="Q30" s="92" t="n">
        <v>11375.52</v>
      </c>
      <c r="R30" s="94" t="n">
        <v>334125248.6349</v>
      </c>
      <c r="S30" s="94" t="n">
        <v>999863004.9359</v>
      </c>
      <c r="T30" s="95">
        <f>IF(OR(R30="",R29=""),"",R30-R29)</f>
        <v/>
      </c>
      <c r="U30" s="95">
        <f>IF(OR(S30="",S29=""),"",S30-S29)</f>
        <v/>
      </c>
      <c r="V30" s="95">
        <f>IF(OR(U30="",P30=""),"",U30+P30)</f>
        <v/>
      </c>
      <c r="W30" s="95">
        <f>IF(OR(T30="",O30="",P30=""),"",T30-O30+P30)</f>
        <v/>
      </c>
    </row>
    <row r="31">
      <c r="A31" s="35" t="n">
        <v>45685</v>
      </c>
      <c r="B31" s="92" t="n">
        <v>6689142362.727283</v>
      </c>
      <c r="C31" s="92" t="n"/>
      <c r="D31" s="92" t="n">
        <v>0</v>
      </c>
      <c r="E31" s="100" t="n">
        <v>1482994</v>
      </c>
      <c r="F31" s="92" t="n">
        <v>0</v>
      </c>
      <c r="G31" s="92" t="n">
        <v>0</v>
      </c>
      <c r="H31" s="92" t="n">
        <v>25976</v>
      </c>
      <c r="I31" s="92" t="n">
        <v>26779</v>
      </c>
      <c r="J31" s="92" t="n"/>
      <c r="K31" s="92" t="n"/>
      <c r="L31" s="94" t="n"/>
      <c r="M31" s="92" t="n"/>
      <c r="N31" s="94" t="n">
        <v>13764321.73</v>
      </c>
      <c r="O31" s="94" t="n">
        <v>26537.8436</v>
      </c>
      <c r="P31" s="94" t="n">
        <v>1494.8576</v>
      </c>
      <c r="Q31" s="92" t="n">
        <v>34955.75</v>
      </c>
      <c r="R31" s="94" t="n">
        <v>334135922.8301</v>
      </c>
      <c r="S31" s="94" t="n">
        <v>999861510.0783</v>
      </c>
      <c r="T31" s="95">
        <f>IF(OR(R31="",R30=""),"",R31-R30)</f>
        <v/>
      </c>
      <c r="U31" s="95">
        <f>IF(OR(S31="",S30=""),"",S31-S30)</f>
        <v/>
      </c>
      <c r="V31" s="95">
        <f>IF(OR(U31="",P31=""),"",U31+P31)</f>
        <v/>
      </c>
      <c r="W31" s="95">
        <f>IF(OR(T31="",O31="",P31=""),"",T31-O31+P31)</f>
        <v/>
      </c>
    </row>
    <row r="32">
      <c r="A32" s="35" t="n">
        <v>45686</v>
      </c>
      <c r="B32" s="92" t="n">
        <v>7487288904.763079</v>
      </c>
      <c r="C32" s="92" t="n"/>
      <c r="D32" s="92" t="n">
        <v>0</v>
      </c>
      <c r="E32" s="100" t="n">
        <v>1822611</v>
      </c>
      <c r="F32" s="92" t="n">
        <v>0</v>
      </c>
      <c r="G32" s="92" t="n">
        <v>0</v>
      </c>
      <c r="H32" s="92" t="n">
        <v>19416</v>
      </c>
      <c r="I32" s="92" t="n">
        <v>20016</v>
      </c>
      <c r="J32" s="92" t="n"/>
      <c r="K32" s="92" t="n"/>
      <c r="L32" s="94" t="n"/>
      <c r="M32" s="92" t="n"/>
      <c r="N32" s="94" t="n">
        <v>13830230.61</v>
      </c>
      <c r="O32" s="94" t="n">
        <v>26534.2908</v>
      </c>
      <c r="P32" s="94" t="n">
        <v>925.2888</v>
      </c>
      <c r="Q32" s="92" t="n">
        <v>20618.21</v>
      </c>
      <c r="R32" s="94" t="n">
        <v>334147161.1381</v>
      </c>
      <c r="S32" s="94" t="n">
        <v>999860584.7895</v>
      </c>
      <c r="T32" s="95">
        <f>IF(OR(R32="",R31=""),"",R32-R31)</f>
        <v/>
      </c>
      <c r="U32" s="95">
        <f>IF(OR(S32="",S31=""),"",S32-S31)</f>
        <v/>
      </c>
      <c r="V32" s="95">
        <f>IF(OR(U32="",P32=""),"",U32+P32)</f>
        <v/>
      </c>
      <c r="W32" s="95">
        <f>IF(OR(T32="",O32="",P32=""),"",T32-O32+P32)</f>
        <v/>
      </c>
    </row>
    <row r="33">
      <c r="A33" s="35" t="n">
        <v>45687</v>
      </c>
      <c r="B33" s="92" t="n">
        <v>5319626690.767007</v>
      </c>
      <c r="C33" s="92" t="n"/>
      <c r="D33" s="92" t="n">
        <v>0</v>
      </c>
      <c r="E33" s="100" t="n">
        <v>1405939</v>
      </c>
      <c r="F33" s="92" t="n">
        <v>0</v>
      </c>
      <c r="G33" s="92" t="n">
        <v>0</v>
      </c>
      <c r="H33" s="92" t="n">
        <v>37353</v>
      </c>
      <c r="I33" s="92" t="n">
        <v>38508</v>
      </c>
      <c r="J33" s="92" t="n"/>
      <c r="K33" s="92" t="n"/>
      <c r="L33" s="94" t="n"/>
      <c r="M33" s="92" t="n"/>
      <c r="N33" s="94" t="n">
        <v>13916940.96</v>
      </c>
      <c r="O33" s="94" t="n">
        <v>26544.8787</v>
      </c>
      <c r="P33" s="94" t="n">
        <v>730.3546</v>
      </c>
      <c r="Q33" s="92" t="n">
        <v>17343.73</v>
      </c>
      <c r="R33" s="94" t="n">
        <v>334158614.3197</v>
      </c>
      <c r="S33" s="94" t="n">
        <v>999859854.4349</v>
      </c>
      <c r="T33" s="95">
        <f>IF(OR(R33="",R32=""),"",R33-R32)</f>
        <v/>
      </c>
      <c r="U33" s="95">
        <f>IF(OR(S33="",S32=""),"",S33-S32)</f>
        <v/>
      </c>
      <c r="V33" s="95">
        <f>IF(OR(U33="",P33=""),"",U33+P33)</f>
        <v/>
      </c>
      <c r="W33" s="95">
        <f>IF(OR(T33="",O33="",P33=""),"",T33-O33+P33)</f>
        <v/>
      </c>
    </row>
    <row r="34">
      <c r="A34" s="35" t="n">
        <v>45688</v>
      </c>
      <c r="B34" s="92" t="n">
        <v>7089116487.05554</v>
      </c>
      <c r="C34" s="92" t="n"/>
      <c r="D34" s="92" t="n">
        <v>0</v>
      </c>
      <c r="E34" s="100" t="n">
        <v>1723246</v>
      </c>
      <c r="F34" s="92" t="n">
        <v>0</v>
      </c>
      <c r="G34" s="92" t="n">
        <v>0</v>
      </c>
      <c r="H34" s="92" t="n">
        <v>29855</v>
      </c>
      <c r="I34" s="92" t="n">
        <v>30778</v>
      </c>
      <c r="J34" s="92" t="n"/>
      <c r="K34" s="92" t="n"/>
      <c r="L34" s="94" t="n"/>
      <c r="M34" s="92" t="n"/>
      <c r="N34" s="94" t="n">
        <v>13956054.86</v>
      </c>
      <c r="O34" s="94" t="n">
        <v>32252.7151</v>
      </c>
      <c r="P34" s="94" t="n">
        <v>1669.5925</v>
      </c>
      <c r="Q34" s="92" t="n">
        <v>43731.64</v>
      </c>
      <c r="R34" s="94" t="n">
        <v>334174829.2585</v>
      </c>
      <c r="S34" s="94" t="n">
        <v>999858184.8425</v>
      </c>
      <c r="T34" s="95">
        <f>IF(OR(R34="",R33=""),"",R34-R33)</f>
        <v/>
      </c>
      <c r="U34" s="95">
        <f>IF(OR(S34="",S33=""),"",S34-S33)</f>
        <v/>
      </c>
      <c r="V34" s="95">
        <f>IF(OR(U34="",P34=""),"",U34+P34)</f>
        <v/>
      </c>
      <c r="W34" s="95">
        <f>IF(OR(T34="",O34="",P34=""),"",T34-O34+P34)</f>
        <v/>
      </c>
    </row>
    <row r="35">
      <c r="A35" s="35" t="n">
        <v>45689</v>
      </c>
      <c r="B35" s="92" t="n">
        <v>5335486362.652503</v>
      </c>
      <c r="C35" s="92" t="n"/>
      <c r="D35" s="92" t="n">
        <v>0</v>
      </c>
      <c r="E35" s="100" t="n">
        <v>1390845</v>
      </c>
      <c r="F35" s="92" t="n">
        <v>0</v>
      </c>
      <c r="G35" s="92" t="n">
        <v>0</v>
      </c>
      <c r="H35" s="92" t="n">
        <v>39209</v>
      </c>
      <c r="I35" s="92" t="n">
        <v>40422</v>
      </c>
      <c r="J35" s="92" t="n"/>
      <c r="K35" s="92" t="n"/>
      <c r="L35" s="94" t="n"/>
      <c r="M35" s="92" t="n"/>
      <c r="N35" s="94" t="n">
        <v>14024319.17</v>
      </c>
      <c r="O35" s="94" t="n">
        <v>20850.6254</v>
      </c>
      <c r="P35" s="94" t="n">
        <v>797.4358</v>
      </c>
      <c r="Q35" s="92" t="n">
        <v>21470.16</v>
      </c>
      <c r="R35" s="94" t="n">
        <v>334180512.9838</v>
      </c>
      <c r="S35" s="94" t="n">
        <v>999857387.4067</v>
      </c>
      <c r="T35" s="95">
        <f>IF(OR(R35="",R34=""),"",R35-R34)</f>
        <v/>
      </c>
      <c r="U35" s="95">
        <f>IF(OR(S35="",S34=""),"",S35-S34)</f>
        <v/>
      </c>
      <c r="V35" s="95">
        <f>IF(OR(U35="",P35=""),"",U35+P35)</f>
        <v/>
      </c>
      <c r="W35" s="95">
        <f>IF(OR(T35="",O35="",P35=""),"",T35-O35+P35)</f>
        <v/>
      </c>
    </row>
    <row r="36">
      <c r="A36" s="35" t="n">
        <v>45690</v>
      </c>
      <c r="B36" s="92" t="n">
        <v>9044821753.934437</v>
      </c>
      <c r="C36" s="92" t="n"/>
      <c r="D36" s="92" t="n">
        <v>0</v>
      </c>
      <c r="E36" s="100" t="n">
        <v>2002237</v>
      </c>
      <c r="F36" s="92" t="n">
        <v>0</v>
      </c>
      <c r="G36" s="92" t="n">
        <v>0</v>
      </c>
      <c r="H36" s="92" t="n">
        <v>43161</v>
      </c>
      <c r="I36" s="92" t="n">
        <v>44496</v>
      </c>
      <c r="J36" s="92" t="n"/>
      <c r="K36" s="92" t="n"/>
      <c r="L36" s="94" t="n"/>
      <c r="M36" s="92" t="n"/>
      <c r="N36" s="94" t="n">
        <v>14089847.72</v>
      </c>
      <c r="O36" s="94" t="n">
        <v>26556.9092</v>
      </c>
      <c r="P36" s="94" t="n">
        <v>1144.1562</v>
      </c>
      <c r="Q36" s="92" t="n">
        <v>26510.1</v>
      </c>
      <c r="R36" s="94" t="n">
        <v>334191563.8655</v>
      </c>
      <c r="S36" s="94" t="n">
        <v>999856243.2505</v>
      </c>
      <c r="T36" s="95">
        <f>IF(OR(R36="",R35=""),"",R36-R35)</f>
        <v/>
      </c>
      <c r="U36" s="95">
        <f>IF(OR(S36="",S35=""),"",S36-S35)</f>
        <v/>
      </c>
      <c r="V36" s="95">
        <f>IF(OR(U36="",P36=""),"",U36+P36)</f>
        <v/>
      </c>
      <c r="W36" s="95">
        <f>IF(OR(T36="",O36="",P36=""),"",T36-O36+P36)</f>
        <v/>
      </c>
    </row>
    <row r="37">
      <c r="A37" s="35" t="n">
        <v>45691</v>
      </c>
      <c r="B37" s="92" t="n">
        <v>18072547242.34139</v>
      </c>
      <c r="C37" s="92" t="n"/>
      <c r="D37" s="92" t="n">
        <v>0</v>
      </c>
      <c r="E37" s="100" t="n">
        <v>4133623</v>
      </c>
      <c r="F37" s="92" t="n">
        <v>0</v>
      </c>
      <c r="G37" s="92" t="n">
        <v>0</v>
      </c>
      <c r="H37" s="92" t="n">
        <v>61575</v>
      </c>
      <c r="I37" s="92" t="n">
        <v>63480</v>
      </c>
      <c r="J37" s="92" t="n"/>
      <c r="K37" s="92" t="n"/>
      <c r="L37" s="94" t="n"/>
      <c r="M37" s="92" t="n"/>
      <c r="N37" s="94" t="n">
        <v>14260320.18</v>
      </c>
      <c r="O37" s="94" t="n">
        <v>26546.4187</v>
      </c>
      <c r="P37" s="94" t="n">
        <v>1529.404</v>
      </c>
      <c r="Q37" s="92" t="n">
        <v>34131.71</v>
      </c>
      <c r="R37" s="94" t="n">
        <v>334202208.674</v>
      </c>
      <c r="S37" s="94" t="n">
        <v>999854713.8465</v>
      </c>
      <c r="T37" s="95">
        <f>IF(OR(R37="",R36=""),"",R37-R36)</f>
        <v/>
      </c>
      <c r="U37" s="95">
        <f>IF(OR(S37="",S36=""),"",S37-S36)</f>
        <v/>
      </c>
      <c r="V37" s="95">
        <f>IF(OR(U37="",P37=""),"",U37+P37)</f>
        <v/>
      </c>
      <c r="W37" s="95">
        <f>IF(OR(T37="",O37="",P37=""),"",T37-O37+P37)</f>
        <v/>
      </c>
    </row>
    <row r="38">
      <c r="A38" s="35" t="n">
        <v>45692</v>
      </c>
      <c r="B38" s="92" t="n">
        <v>10231406265.73442</v>
      </c>
      <c r="C38" s="92" t="n"/>
      <c r="D38" s="92" t="n">
        <v>0</v>
      </c>
      <c r="E38" s="100" t="n">
        <v>2436561</v>
      </c>
      <c r="F38" s="92" t="n">
        <v>0</v>
      </c>
      <c r="G38" s="92" t="n">
        <v>0</v>
      </c>
      <c r="H38" s="92" t="n">
        <v>36483</v>
      </c>
      <c r="I38" s="92" t="n">
        <v>37612</v>
      </c>
      <c r="J38" s="92" t="n"/>
      <c r="K38" s="92" t="n"/>
      <c r="L38" s="94" t="n"/>
      <c r="M38" s="92" t="n"/>
      <c r="N38" s="94" t="n">
        <v>14367346.74</v>
      </c>
      <c r="O38" s="94" t="n">
        <v>26535.1684</v>
      </c>
      <c r="P38" s="94" t="n">
        <v>2737.9562</v>
      </c>
      <c r="Q38" s="92" t="n">
        <v>68977.33</v>
      </c>
      <c r="R38" s="94" t="n">
        <v>334211625.1348</v>
      </c>
      <c r="S38" s="94" t="n">
        <v>999851975.8903</v>
      </c>
      <c r="T38" s="95">
        <f>IF(OR(R38="",R37=""),"",R38-R37)</f>
        <v/>
      </c>
      <c r="U38" s="95">
        <f>IF(OR(S38="",S37=""),"",S38-S37)</f>
        <v/>
      </c>
      <c r="V38" s="95">
        <f>IF(OR(U38="",P38=""),"",U38+P38)</f>
        <v/>
      </c>
      <c r="W38" s="95">
        <f>IF(OR(T38="",O38="",P38=""),"",T38-O38+P38)</f>
        <v/>
      </c>
    </row>
    <row r="39">
      <c r="A39" s="35" t="n">
        <v>45693</v>
      </c>
      <c r="B39" s="92" t="n">
        <v>5694608355.764648</v>
      </c>
      <c r="C39" s="92" t="n"/>
      <c r="D39" s="92" t="n">
        <v>0</v>
      </c>
      <c r="E39" s="100" t="n">
        <v>1400074</v>
      </c>
      <c r="F39" s="92" t="n">
        <v>0</v>
      </c>
      <c r="G39" s="92" t="n">
        <v>0</v>
      </c>
      <c r="H39" s="92" t="n">
        <v>27369</v>
      </c>
      <c r="I39" s="92" t="n">
        <v>28216</v>
      </c>
      <c r="J39" s="92" t="n"/>
      <c r="K39" s="92" t="n"/>
      <c r="L39" s="94" t="n"/>
      <c r="M39" s="92" t="n"/>
      <c r="N39" s="94" t="n">
        <v>14446984.89</v>
      </c>
      <c r="O39" s="94" t="n">
        <v>26543.4731</v>
      </c>
      <c r="P39" s="94" t="n">
        <v>1264.3163</v>
      </c>
      <c r="Q39" s="92" t="n">
        <v>31780.49</v>
      </c>
      <c r="R39" s="94" t="n">
        <v>334222533.537</v>
      </c>
      <c r="S39" s="94" t="n">
        <v>999850711.5739</v>
      </c>
      <c r="T39" s="95">
        <f>IF(OR(R39="",R38=""),"",R39-R38)</f>
        <v/>
      </c>
      <c r="U39" s="95">
        <f>IF(OR(S39="",S38=""),"",S39-S38)</f>
        <v/>
      </c>
      <c r="V39" s="95">
        <f>IF(OR(U39="",P39=""),"",U39+P39)</f>
        <v/>
      </c>
      <c r="W39" s="95">
        <f>IF(OR(T39="",O39="",P39=""),"",T39-O39+P39)</f>
        <v/>
      </c>
    </row>
    <row r="40">
      <c r="A40" s="35" t="n">
        <v>45694</v>
      </c>
      <c r="B40" s="92" t="n">
        <v>5904659695.476216</v>
      </c>
      <c r="C40" s="92" t="n"/>
      <c r="D40" s="92" t="n">
        <v>0</v>
      </c>
      <c r="E40" s="100" t="n">
        <v>1300731</v>
      </c>
      <c r="F40" s="92" t="n">
        <v>0</v>
      </c>
      <c r="G40" s="92" t="n">
        <v>0</v>
      </c>
      <c r="H40" s="92" t="n">
        <v>23855</v>
      </c>
      <c r="I40" s="92" t="n">
        <v>24592</v>
      </c>
      <c r="J40" s="92" t="n"/>
      <c r="K40" s="92" t="n"/>
      <c r="L40" s="94" t="n"/>
      <c r="M40" s="92" t="n"/>
      <c r="N40" s="94" t="n">
        <v>14496740.88</v>
      </c>
      <c r="O40" s="94" t="n">
        <v>26548.785</v>
      </c>
      <c r="P40" s="94" t="n">
        <v>989.8233</v>
      </c>
      <c r="Q40" s="92" t="n">
        <v>24497.14</v>
      </c>
      <c r="R40" s="94" t="n">
        <v>334233723.3514</v>
      </c>
      <c r="S40" s="94" t="n">
        <v>999849721.7506</v>
      </c>
      <c r="T40" s="95">
        <f>IF(OR(R40="",R39=""),"",R40-R39)</f>
        <v/>
      </c>
      <c r="U40" s="95">
        <f>IF(OR(S40="",S39=""),"",S40-S39)</f>
        <v/>
      </c>
      <c r="V40" s="95">
        <f>IF(OR(U40="",P40=""),"",U40+P40)</f>
        <v/>
      </c>
      <c r="W40" s="95">
        <f>IF(OR(T40="",O40="",P40=""),"",T40-O40+P40)</f>
        <v/>
      </c>
    </row>
    <row r="41">
      <c r="A41" s="35" t="n">
        <v>45695</v>
      </c>
      <c r="B41" s="92" t="n">
        <v>6189394336.936541</v>
      </c>
      <c r="C41" s="92" t="n"/>
      <c r="D41" s="92" t="n">
        <v>0</v>
      </c>
      <c r="E41" s="100" t="n">
        <v>1510714</v>
      </c>
      <c r="F41" s="92" t="n">
        <v>0</v>
      </c>
      <c r="G41" s="92" t="n">
        <v>0</v>
      </c>
      <c r="H41" s="92" t="n">
        <v>25562</v>
      </c>
      <c r="I41" s="92" t="n">
        <v>26352</v>
      </c>
      <c r="J41" s="92" t="n"/>
      <c r="K41" s="92" t="n"/>
      <c r="L41" s="94" t="n"/>
      <c r="M41" s="92" t="n"/>
      <c r="N41" s="94" t="n">
        <v>14557024.39</v>
      </c>
      <c r="O41" s="94" t="n">
        <v>26612.2715</v>
      </c>
      <c r="P41" s="94" t="n">
        <v>827.2076</v>
      </c>
      <c r="Q41" s="92" t="n">
        <v>19712.36</v>
      </c>
      <c r="R41" s="94" t="n">
        <v>334245181.6428</v>
      </c>
      <c r="S41" s="94" t="n">
        <v>999848894.5431</v>
      </c>
      <c r="T41" s="95">
        <f>IF(OR(R41="",R40=""),"",R41-R40)</f>
        <v/>
      </c>
      <c r="U41" s="95">
        <f>IF(OR(S41="",S40=""),"",S41-S40)</f>
        <v/>
      </c>
      <c r="V41" s="95">
        <f>IF(OR(U41="",P41=""),"",U41+P41)</f>
        <v/>
      </c>
      <c r="W41" s="95">
        <f>IF(OR(T41="",O41="",P41=""),"",T41-O41+P41)</f>
        <v/>
      </c>
    </row>
    <row r="42">
      <c r="A42" s="35" t="n">
        <v>45696</v>
      </c>
      <c r="B42" s="92" t="n">
        <v>3006719558.718504</v>
      </c>
      <c r="C42" s="92" t="n"/>
      <c r="D42" s="92" t="n">
        <v>0</v>
      </c>
      <c r="E42" s="100" t="n">
        <v>770646</v>
      </c>
      <c r="F42" s="92" t="n">
        <v>0</v>
      </c>
      <c r="G42" s="92" t="n">
        <v>0</v>
      </c>
      <c r="H42" s="92" t="n">
        <v>11702</v>
      </c>
      <c r="I42" s="92" t="n">
        <v>12064</v>
      </c>
      <c r="J42" s="92" t="n"/>
      <c r="K42" s="92" t="n"/>
      <c r="L42" s="94" t="n"/>
      <c r="M42" s="92" t="n"/>
      <c r="N42" s="94" t="n">
        <v>14613413.38</v>
      </c>
      <c r="O42" s="94" t="n">
        <v>26577.9217</v>
      </c>
      <c r="P42" s="94" t="n">
        <v>996.1893</v>
      </c>
      <c r="Q42" s="92" t="n">
        <v>22746.49</v>
      </c>
      <c r="R42" s="94" t="n">
        <v>334256412.8419</v>
      </c>
      <c r="S42" s="94" t="n">
        <v>999847898.3538001</v>
      </c>
      <c r="T42" s="95">
        <f>IF(OR(R42="",R41=""),"",R42-R41)</f>
        <v/>
      </c>
      <c r="U42" s="95">
        <f>IF(OR(S42="",S41=""),"",S42-S41)</f>
        <v/>
      </c>
      <c r="V42" s="95">
        <f>IF(OR(U42="",P42=""),"",U42+P42)</f>
        <v/>
      </c>
      <c r="W42" s="95">
        <f>IF(OR(T42="",O42="",P42=""),"",T42-O42+P42)</f>
        <v/>
      </c>
    </row>
    <row r="43">
      <c r="A43" s="35" t="n">
        <v>45697</v>
      </c>
      <c r="B43" s="92" t="n">
        <v>3754601891.222579</v>
      </c>
      <c r="C43" s="92" t="n"/>
      <c r="D43" s="92" t="n">
        <v>0</v>
      </c>
      <c r="E43" s="100" t="n">
        <v>964647</v>
      </c>
      <c r="F43" s="92" t="n">
        <v>0</v>
      </c>
      <c r="G43" s="92" t="n">
        <v>0</v>
      </c>
      <c r="H43" s="92" t="n">
        <v>10362</v>
      </c>
      <c r="I43" s="92" t="n">
        <v>10683</v>
      </c>
      <c r="J43" s="92" t="n"/>
      <c r="K43" s="92" t="n"/>
      <c r="L43" s="94" t="n"/>
      <c r="M43" s="92" t="n"/>
      <c r="N43" s="94" t="n">
        <v>14643949.31</v>
      </c>
      <c r="O43" s="94" t="n">
        <v>26528.1534</v>
      </c>
      <c r="P43" s="94" t="n">
        <v>470.7789</v>
      </c>
      <c r="Q43" s="92" t="n">
        <v>11017.17</v>
      </c>
      <c r="R43" s="94" t="n">
        <v>334268066.8406</v>
      </c>
      <c r="S43" s="94" t="n">
        <v>999847427.5749</v>
      </c>
      <c r="T43" s="95">
        <f>IF(OR(R43="",R42=""),"",R43-R42)</f>
        <v/>
      </c>
      <c r="U43" s="95">
        <f>IF(OR(S43="",S42=""),"",S43-S42)</f>
        <v/>
      </c>
      <c r="V43" s="95">
        <f>IF(OR(U43="",P43=""),"",U43+P43)</f>
        <v/>
      </c>
      <c r="W43" s="95">
        <f>IF(OR(T43="",O43="",P43=""),"",T43-O43+P43)</f>
        <v/>
      </c>
    </row>
    <row r="44">
      <c r="A44" s="35" t="n">
        <v>45698</v>
      </c>
      <c r="B44" s="92" t="n">
        <v>5178632081.239137</v>
      </c>
      <c r="C44" s="92" t="n"/>
      <c r="D44" s="92" t="n">
        <v>0</v>
      </c>
      <c r="E44" s="100" t="n">
        <v>1101082</v>
      </c>
      <c r="F44" s="92" t="n">
        <v>0</v>
      </c>
      <c r="G44" s="92" t="n">
        <v>0</v>
      </c>
      <c r="H44" s="92" t="n">
        <v>11639</v>
      </c>
      <c r="I44" s="92" t="n">
        <v>11999</v>
      </c>
      <c r="J44" s="92" t="n"/>
      <c r="K44" s="92" t="n"/>
      <c r="L44" s="94" t="n"/>
      <c r="M44" s="92" t="n"/>
      <c r="N44" s="94" t="n">
        <v>14699099.34</v>
      </c>
      <c r="O44" s="94" t="n">
        <v>26525.1988</v>
      </c>
      <c r="P44" s="94" t="n">
        <v>358.1593</v>
      </c>
      <c r="Q44" s="92" t="n">
        <v>8228.709999999999</v>
      </c>
      <c r="R44" s="94" t="n">
        <v>334279852.0979</v>
      </c>
      <c r="S44" s="94" t="n">
        <v>999847069.4155999</v>
      </c>
      <c r="T44" s="95">
        <f>IF(OR(R44="",R43=""),"",R44-R43)</f>
        <v/>
      </c>
      <c r="U44" s="95">
        <f>IF(OR(S44="",S43=""),"",S44-S43)</f>
        <v/>
      </c>
      <c r="V44" s="95">
        <f>IF(OR(U44="",P44=""),"",U44+P44)</f>
        <v/>
      </c>
      <c r="W44" s="95">
        <f>IF(OR(T44="",O44="",P44=""),"",T44-O44+P44)</f>
        <v/>
      </c>
    </row>
    <row r="45">
      <c r="A45" s="35" t="n">
        <v>45699</v>
      </c>
      <c r="B45" s="92" t="n">
        <v>6593863802.849255</v>
      </c>
      <c r="C45" s="92" t="n"/>
      <c r="D45" s="92" t="n">
        <v>0</v>
      </c>
      <c r="E45" s="100" t="n">
        <v>1507923</v>
      </c>
      <c r="F45" s="92" t="n">
        <v>0</v>
      </c>
      <c r="G45" s="92" t="n">
        <v>0</v>
      </c>
      <c r="H45" s="92" t="n">
        <v>15186</v>
      </c>
      <c r="I45" s="92" t="n">
        <v>15656</v>
      </c>
      <c r="J45" s="92" t="n"/>
      <c r="K45" s="92" t="n"/>
      <c r="L45" s="94" t="n"/>
      <c r="M45" s="92" t="n"/>
      <c r="N45" s="94" t="n">
        <v>14742921.64</v>
      </c>
      <c r="O45" s="94" t="n">
        <v>26523.3197</v>
      </c>
      <c r="P45" s="94" t="n">
        <v>521.8924</v>
      </c>
      <c r="Q45" s="92" t="n">
        <v>12171.31</v>
      </c>
      <c r="R45" s="94" t="n">
        <v>334291467.2831</v>
      </c>
      <c r="S45" s="94" t="n">
        <v>999846547.5232</v>
      </c>
      <c r="T45" s="95">
        <f>IF(OR(R45="",R44=""),"",R45-R44)</f>
        <v/>
      </c>
      <c r="U45" s="95">
        <f>IF(OR(S45="",S44=""),"",S45-S44)</f>
        <v/>
      </c>
      <c r="V45" s="95">
        <f>IF(OR(U45="",P45=""),"",U45+P45)</f>
        <v/>
      </c>
      <c r="W45" s="95">
        <f>IF(OR(T45="",O45="",P45=""),"",T45-O45+P45)</f>
        <v/>
      </c>
    </row>
    <row r="46">
      <c r="A46" s="35" t="n">
        <v>45700</v>
      </c>
      <c r="B46" s="92" t="n">
        <v>7575580365.846412</v>
      </c>
      <c r="C46" s="92" t="n"/>
      <c r="D46" s="92" t="n">
        <v>0</v>
      </c>
      <c r="E46" s="100" t="n">
        <v>1755146</v>
      </c>
      <c r="F46" s="92" t="n">
        <v>0</v>
      </c>
      <c r="G46" s="92" t="n">
        <v>0</v>
      </c>
      <c r="H46" s="92" t="n">
        <v>17662</v>
      </c>
      <c r="I46" s="92" t="n">
        <v>18209</v>
      </c>
      <c r="J46" s="92" t="n"/>
      <c r="K46" s="92" t="n"/>
      <c r="L46" s="94" t="n"/>
      <c r="M46" s="92" t="n"/>
      <c r="N46" s="94" t="n">
        <v>14806911.55</v>
      </c>
      <c r="O46" s="94" t="n">
        <v>26541.3395</v>
      </c>
      <c r="P46" s="94" t="n">
        <v>579.0042</v>
      </c>
      <c r="Q46" s="92" t="n">
        <v>13600.81</v>
      </c>
      <c r="R46" s="94" t="n">
        <v>334303057.2851</v>
      </c>
      <c r="S46" s="94" t="n">
        <v>999845968.5190001</v>
      </c>
      <c r="T46" s="95">
        <f>IF(OR(R46="",R45=""),"",R46-R45)</f>
        <v/>
      </c>
      <c r="U46" s="95">
        <f>IF(OR(S46="",S45=""),"",S46-S45)</f>
        <v/>
      </c>
      <c r="V46" s="95">
        <f>IF(OR(U46="",P46=""),"",U46+P46)</f>
        <v/>
      </c>
      <c r="W46" s="95">
        <f>IF(OR(T46="",O46="",P46=""),"",T46-O46+P46)</f>
        <v/>
      </c>
    </row>
    <row r="47">
      <c r="A47" s="35" t="n">
        <v>45701</v>
      </c>
      <c r="B47" s="92" t="n">
        <v>5121162003.887239</v>
      </c>
      <c r="C47" s="92" t="n"/>
      <c r="D47" s="92" t="n">
        <v>0</v>
      </c>
      <c r="E47" s="100" t="n">
        <v>1364454</v>
      </c>
      <c r="F47" s="92" t="n">
        <v>0</v>
      </c>
      <c r="G47" s="92" t="n">
        <v>0</v>
      </c>
      <c r="H47" s="92" t="n">
        <v>18028</v>
      </c>
      <c r="I47" s="92" t="n">
        <v>18585</v>
      </c>
      <c r="J47" s="92" t="n"/>
      <c r="K47" s="92" t="n"/>
      <c r="L47" s="94" t="n"/>
      <c r="M47" s="92" t="n"/>
      <c r="N47" s="94" t="n">
        <v>14867924.2</v>
      </c>
      <c r="O47" s="94" t="n">
        <v>26562.25</v>
      </c>
      <c r="P47" s="94" t="n">
        <v>792.7335</v>
      </c>
      <c r="Q47" s="92" t="n">
        <v>20485.42</v>
      </c>
      <c r="R47" s="94" t="n">
        <v>334314464.3835</v>
      </c>
      <c r="S47" s="94" t="n">
        <v>999845175.7854</v>
      </c>
      <c r="T47" s="95">
        <f>IF(OR(R47="",R46=""),"",R47-R46)</f>
        <v/>
      </c>
      <c r="U47" s="95">
        <f>IF(OR(S47="",S46=""),"",S47-S46)</f>
        <v/>
      </c>
      <c r="V47" s="95">
        <f>IF(OR(U47="",P47=""),"",U47+P47)</f>
        <v/>
      </c>
      <c r="W47" s="95">
        <f>IF(OR(T47="",O47="",P47=""),"",T47-O47+P47)</f>
        <v/>
      </c>
    </row>
    <row r="48">
      <c r="A48" s="35" t="n">
        <v>45702</v>
      </c>
      <c r="B48" s="92" t="n">
        <v>5071294403.58139</v>
      </c>
      <c r="C48" s="92" t="n"/>
      <c r="D48" s="92" t="n">
        <v>0</v>
      </c>
      <c r="E48" s="100" t="n">
        <v>995279</v>
      </c>
      <c r="F48" s="92" t="n">
        <v>0</v>
      </c>
      <c r="G48" s="92" t="n">
        <v>0</v>
      </c>
      <c r="H48" s="92" t="n">
        <v>24980</v>
      </c>
      <c r="I48" s="92" t="n">
        <v>25753</v>
      </c>
      <c r="J48" s="92" t="n"/>
      <c r="K48" s="92" t="n"/>
      <c r="L48" s="94" t="n"/>
      <c r="M48" s="92" t="n"/>
      <c r="N48" s="94" t="n">
        <v>14914740.91</v>
      </c>
      <c r="O48" s="94" t="n">
        <v>26581.3289</v>
      </c>
      <c r="P48" s="94" t="n">
        <v>591.6068</v>
      </c>
      <c r="Q48" s="92" t="n">
        <v>15535.89</v>
      </c>
      <c r="R48" s="94" t="n">
        <v>334326100.2138</v>
      </c>
      <c r="S48" s="94" t="n">
        <v>999844584.1786</v>
      </c>
      <c r="T48" s="95">
        <f>IF(OR(R48="",R47=""),"",R48-R47)</f>
        <v/>
      </c>
      <c r="U48" s="95">
        <f>IF(OR(S48="",S47=""),"",S48-S47)</f>
        <v/>
      </c>
      <c r="V48" s="95">
        <f>IF(OR(U48="",P48=""),"",U48+P48)</f>
        <v/>
      </c>
      <c r="W48" s="95">
        <f>IF(OR(T48="",O48="",P48=""),"",T48-O48+P48)</f>
        <v/>
      </c>
    </row>
    <row r="49">
      <c r="A49" s="35" t="n">
        <v>45703</v>
      </c>
      <c r="B49" s="92" t="n">
        <v>2569566270.959479</v>
      </c>
      <c r="C49" s="92" t="n"/>
      <c r="D49" s="92" t="n">
        <v>0</v>
      </c>
      <c r="E49" s="100" t="n">
        <v>719690</v>
      </c>
      <c r="F49" s="92" t="n">
        <v>0</v>
      </c>
      <c r="G49" s="92" t="n">
        <v>0</v>
      </c>
      <c r="H49" s="92" t="n">
        <v>17093</v>
      </c>
      <c r="I49" s="92" t="n">
        <v>17622</v>
      </c>
      <c r="J49" s="92" t="n"/>
      <c r="K49" s="92" t="n"/>
      <c r="L49" s="94" t="n"/>
      <c r="M49" s="92" t="n"/>
      <c r="N49" s="94" t="n">
        <v>14965063.05</v>
      </c>
      <c r="O49" s="94" t="n">
        <v>26587.2677</v>
      </c>
      <c r="P49" s="94" t="n">
        <v>978.1297</v>
      </c>
      <c r="Q49" s="92" t="n">
        <v>25624.55</v>
      </c>
      <c r="R49" s="94" t="n">
        <v>334337350.1624</v>
      </c>
      <c r="S49" s="94" t="n">
        <v>999843606.0489</v>
      </c>
      <c r="T49" s="95">
        <f>IF(OR(R49="",R48=""),"",R49-R48)</f>
        <v/>
      </c>
      <c r="U49" s="95">
        <f>IF(OR(S49="",S48=""),"",S49-S48)</f>
        <v/>
      </c>
      <c r="V49" s="95">
        <f>IF(OR(U49="",P49=""),"",U49+P49)</f>
        <v/>
      </c>
      <c r="W49" s="95">
        <f>IF(OR(T49="",O49="",P49=""),"",T49-O49+P49)</f>
        <v/>
      </c>
    </row>
    <row r="50">
      <c r="A50" s="35" t="n">
        <v>45704</v>
      </c>
      <c r="B50" s="92" t="n">
        <v>2576463334.918157</v>
      </c>
      <c r="C50" s="92" t="n"/>
      <c r="D50" s="92" t="n">
        <v>0</v>
      </c>
      <c r="E50" s="100" t="n">
        <v>590017</v>
      </c>
      <c r="F50" s="92" t="n">
        <v>0</v>
      </c>
      <c r="G50" s="92" t="n">
        <v>0</v>
      </c>
      <c r="H50" s="92" t="n">
        <v>8590</v>
      </c>
      <c r="I50" s="92" t="n">
        <v>8856</v>
      </c>
      <c r="J50" s="92" t="n"/>
      <c r="K50" s="92" t="n"/>
      <c r="L50" s="94" t="n"/>
      <c r="M50" s="92" t="n"/>
      <c r="N50" s="94" t="n">
        <v>14987424.4</v>
      </c>
      <c r="O50" s="94" t="n">
        <v>26607.0205</v>
      </c>
      <c r="P50" s="94" t="n">
        <v>420.737</v>
      </c>
      <c r="Q50" s="92" t="n">
        <v>10821.36</v>
      </c>
      <c r="R50" s="94" t="n">
        <v>334349192.5507</v>
      </c>
      <c r="S50" s="94" t="n">
        <v>999843185.3119</v>
      </c>
      <c r="T50" s="95">
        <f>IF(OR(R50="",R49=""),"",R50-R49)</f>
        <v/>
      </c>
      <c r="U50" s="95">
        <f>IF(OR(S50="",S49=""),"",S50-S49)</f>
        <v/>
      </c>
      <c r="V50" s="95">
        <f>IF(OR(U50="",P50=""),"",U50+P50)</f>
        <v/>
      </c>
      <c r="W50" s="95">
        <f>IF(OR(T50="",O50="",P50=""),"",T50-O50+P50)</f>
        <v/>
      </c>
    </row>
    <row r="51">
      <c r="A51" s="35" t="n">
        <v>45705</v>
      </c>
      <c r="B51" s="92" t="n">
        <v>5049366130.654168</v>
      </c>
      <c r="C51" s="92" t="n"/>
      <c r="D51" s="92" t="n">
        <v>0</v>
      </c>
      <c r="E51" s="100" t="n">
        <v>1284898</v>
      </c>
      <c r="F51" s="92" t="n">
        <v>0</v>
      </c>
      <c r="G51" s="92" t="n">
        <v>0</v>
      </c>
      <c r="H51" s="92" t="n">
        <v>18385</v>
      </c>
      <c r="I51" s="92" t="n">
        <v>18954</v>
      </c>
      <c r="J51" s="92" t="n"/>
      <c r="K51" s="92" t="n"/>
      <c r="L51" s="94" t="n"/>
      <c r="M51" s="92" t="n"/>
      <c r="N51" s="94" t="n">
        <v>15018354.8</v>
      </c>
      <c r="O51" s="94" t="n">
        <v>26613.6988</v>
      </c>
      <c r="P51" s="94" t="n">
        <v>311.4459</v>
      </c>
      <c r="Q51" s="92" t="n">
        <v>8347.370000000001</v>
      </c>
      <c r="R51" s="94" t="n">
        <v>334361152.2871</v>
      </c>
      <c r="S51" s="94" t="n">
        <v>999842873.8661</v>
      </c>
      <c r="T51" s="95">
        <f>IF(OR(R51="",R50=""),"",R51-R50)</f>
        <v/>
      </c>
      <c r="U51" s="95">
        <f>IF(OR(S51="",S50=""),"",S51-S50)</f>
        <v/>
      </c>
      <c r="V51" s="95">
        <f>IF(OR(U51="",P51=""),"",U51+P51)</f>
        <v/>
      </c>
      <c r="W51" s="95">
        <f>IF(OR(T51="",O51="",P51=""),"",T51-O51+P51)</f>
        <v/>
      </c>
    </row>
    <row r="52">
      <c r="A52" s="35" t="n">
        <v>45706</v>
      </c>
      <c r="B52" s="92" t="n">
        <v>6787245917.892003</v>
      </c>
      <c r="C52" s="92" t="n"/>
      <c r="D52" s="92" t="n">
        <v>0</v>
      </c>
      <c r="E52" s="100" t="n">
        <v>1600692</v>
      </c>
      <c r="F52" s="92" t="n">
        <v>0</v>
      </c>
      <c r="G52" s="92" t="n">
        <v>0</v>
      </c>
      <c r="H52" s="92" t="n">
        <v>54131</v>
      </c>
      <c r="I52" s="92" t="n">
        <v>55805</v>
      </c>
      <c r="J52" s="92" t="n"/>
      <c r="K52" s="92" t="n"/>
      <c r="L52" s="94" t="n"/>
      <c r="M52" s="92" t="n"/>
      <c r="N52" s="94" t="n">
        <v>15074929.71</v>
      </c>
      <c r="O52" s="94" t="n">
        <v>26591.793</v>
      </c>
      <c r="P52" s="94" t="n">
        <v>491.1939</v>
      </c>
      <c r="Q52" s="92" t="n">
        <v>12464.04</v>
      </c>
      <c r="R52" s="94" t="n">
        <v>334372907.5048</v>
      </c>
      <c r="S52" s="94" t="n">
        <v>999842382.6722</v>
      </c>
      <c r="T52" s="95">
        <f>IF(OR(R52="",R51=""),"",R52-R51)</f>
        <v/>
      </c>
      <c r="U52" s="95">
        <f>IF(OR(S52="",S51=""),"",S52-S51)</f>
        <v/>
      </c>
      <c r="V52" s="95">
        <f>IF(OR(U52="",P52=""),"",U52+P52)</f>
        <v/>
      </c>
      <c r="W52" s="95">
        <f>IF(OR(T52="",O52="",P52=""),"",T52-O52+P52)</f>
        <v/>
      </c>
    </row>
    <row r="53">
      <c r="A53" s="35" t="n">
        <v>45707</v>
      </c>
      <c r="B53" s="92" t="n">
        <v>3901859790.855969</v>
      </c>
      <c r="C53" s="92" t="n"/>
      <c r="D53" s="92" t="n">
        <v>0</v>
      </c>
      <c r="E53" s="100" t="n">
        <v>979405</v>
      </c>
      <c r="F53" s="92" t="n">
        <v>0</v>
      </c>
      <c r="G53" s="92" t="n">
        <v>0</v>
      </c>
      <c r="H53" s="92" t="n">
        <v>21395</v>
      </c>
      <c r="I53" s="92" t="n">
        <v>22056</v>
      </c>
      <c r="J53" s="92" t="n"/>
      <c r="K53" s="92" t="n"/>
      <c r="L53" s="94" t="n"/>
      <c r="M53" s="92" t="n"/>
      <c r="N53" s="94" t="n">
        <v>15130595.42</v>
      </c>
      <c r="O53" s="94" t="n">
        <v>26568.7312</v>
      </c>
      <c r="P53" s="94" t="n">
        <v>1766.3576</v>
      </c>
      <c r="Q53" s="92" t="n">
        <v>42530.36</v>
      </c>
      <c r="R53" s="94" t="n">
        <v>334397709.8784</v>
      </c>
      <c r="S53" s="94" t="n">
        <v>999840616.3146</v>
      </c>
      <c r="T53" s="95">
        <f>IF(OR(R53="",R52=""),"",R53-R52)</f>
        <v/>
      </c>
      <c r="U53" s="95">
        <f>IF(OR(S53="",S52=""),"",S53-S52)</f>
        <v/>
      </c>
      <c r="V53" s="95">
        <f>IF(OR(U53="",P53=""),"",U53+P53)</f>
        <v/>
      </c>
      <c r="W53" s="95">
        <f>IF(OR(T53="",O53="",P53=""),"",T53-O53+P53)</f>
        <v/>
      </c>
    </row>
    <row r="54">
      <c r="A54" s="35" t="n">
        <v>45708</v>
      </c>
      <c r="B54" s="92" t="n">
        <v>5037378690.966618</v>
      </c>
      <c r="C54" s="92" t="n"/>
      <c r="D54" s="92" t="n">
        <v>0</v>
      </c>
      <c r="E54" s="100" t="n">
        <v>1159166</v>
      </c>
      <c r="F54" s="92" t="n">
        <v>0</v>
      </c>
      <c r="G54" s="92" t="n">
        <v>0</v>
      </c>
      <c r="H54" s="92" t="n">
        <v>19510</v>
      </c>
      <c r="I54" s="92" t="n">
        <v>20113</v>
      </c>
      <c r="J54" s="92" t="n"/>
      <c r="K54" s="92" t="n"/>
      <c r="L54" s="94" t="n"/>
      <c r="M54" s="92" t="n"/>
      <c r="N54" s="94" t="n">
        <v>15173205.49</v>
      </c>
      <c r="O54" s="94" t="n">
        <v>26580.8603</v>
      </c>
      <c r="P54" s="94" t="n">
        <v>672.5468</v>
      </c>
      <c r="Q54" s="92" t="n">
        <v>16181.48</v>
      </c>
      <c r="R54" s="94" t="n">
        <v>334394887.336</v>
      </c>
      <c r="S54" s="94" t="n">
        <v>999839943.7678</v>
      </c>
      <c r="T54" s="95">
        <f>IF(OR(R54="",R53=""),"",R54-R53)</f>
        <v/>
      </c>
      <c r="U54" s="95">
        <f>IF(OR(S54="",S53=""),"",S54-S53)</f>
        <v/>
      </c>
      <c r="V54" s="95">
        <f>IF(OR(U54="",P54=""),"",U54+P54)</f>
        <v/>
      </c>
      <c r="W54" s="95">
        <f>IF(OR(T54="",O54="",P54=""),"",T54-O54+P54)</f>
        <v/>
      </c>
    </row>
    <row r="55">
      <c r="A55" s="35" t="n">
        <v>45709</v>
      </c>
      <c r="B55" s="92" t="n">
        <v>10385529202.05231</v>
      </c>
      <c r="C55" s="92" t="n"/>
      <c r="D55" s="92" t="n">
        <v>0</v>
      </c>
      <c r="E55" s="100" t="n">
        <v>2316528</v>
      </c>
      <c r="F55" s="92" t="n">
        <v>0</v>
      </c>
      <c r="G55" s="92" t="n">
        <v>0</v>
      </c>
      <c r="H55" s="92" t="n">
        <v>27000</v>
      </c>
      <c r="I55" s="92" t="n">
        <v>27835</v>
      </c>
      <c r="J55" s="92" t="n"/>
      <c r="K55" s="92" t="n"/>
      <c r="L55" s="94" t="n"/>
      <c r="M55" s="92" t="n"/>
      <c r="N55" s="94" t="n">
        <v>15227192.51</v>
      </c>
      <c r="O55" s="94" t="n">
        <v>26551.3041</v>
      </c>
      <c r="P55" s="94" t="n">
        <v>563.1262</v>
      </c>
      <c r="Q55" s="92" t="n">
        <v>13765.9</v>
      </c>
      <c r="R55" s="94" t="n">
        <v>334406498.0186</v>
      </c>
      <c r="S55" s="94" t="n">
        <v>999839380.6415</v>
      </c>
      <c r="T55" s="95">
        <f>IF(OR(R55="",R54=""),"",R55-R54)</f>
        <v/>
      </c>
      <c r="U55" s="95">
        <f>IF(OR(S55="",S54=""),"",S55-S54)</f>
        <v/>
      </c>
      <c r="V55" s="95">
        <f>IF(OR(U55="",P55=""),"",U55+P55)</f>
        <v/>
      </c>
      <c r="W55" s="95">
        <f>IF(OR(T55="",O55="",P55=""),"",T55-O55+P55)</f>
        <v/>
      </c>
    </row>
    <row r="56">
      <c r="A56" s="35" t="n">
        <v>45710</v>
      </c>
      <c r="B56" s="92" t="n">
        <v>3022212830.22437</v>
      </c>
      <c r="C56" s="92" t="n"/>
      <c r="D56" s="92" t="n">
        <v>0</v>
      </c>
      <c r="E56" s="100" t="n">
        <v>871664</v>
      </c>
      <c r="F56" s="92" t="n">
        <v>0</v>
      </c>
      <c r="G56" s="92" t="n">
        <v>0</v>
      </c>
      <c r="H56" s="92" t="n">
        <v>12051</v>
      </c>
      <c r="I56" s="92" t="n">
        <v>12423</v>
      </c>
      <c r="J56" s="92" t="n"/>
      <c r="K56" s="92" t="n"/>
      <c r="L56" s="94" t="n"/>
      <c r="M56" s="92" t="n"/>
      <c r="N56" s="94" t="n">
        <v>15315067.23</v>
      </c>
      <c r="O56" s="94" t="n">
        <v>26531.5366</v>
      </c>
      <c r="P56" s="94" t="n">
        <v>957.8834000000001</v>
      </c>
      <c r="Q56" s="92" t="n">
        <v>23940.86</v>
      </c>
      <c r="R56" s="94" t="n">
        <v>334417678.0333</v>
      </c>
      <c r="S56" s="94" t="n">
        <v>999838422.7581</v>
      </c>
      <c r="T56" s="95">
        <f>IF(OR(R56="",R55=""),"",R56-R55)</f>
        <v/>
      </c>
      <c r="U56" s="95">
        <f>IF(OR(S56="",S55=""),"",S56-S55)</f>
        <v/>
      </c>
      <c r="V56" s="95">
        <f>IF(OR(U56="",P56=""),"",U56+P56)</f>
        <v/>
      </c>
      <c r="W56" s="95">
        <f>IF(OR(T56="",O56="",P56=""),"",T56-O56+P56)</f>
        <v/>
      </c>
    </row>
    <row r="57">
      <c r="A57" s="35" t="n">
        <v>45711</v>
      </c>
      <c r="B57" s="92" t="n">
        <v>3357930484.68021</v>
      </c>
      <c r="C57" s="92" t="n"/>
      <c r="D57" s="92" t="n">
        <v>0</v>
      </c>
      <c r="E57" s="100" t="n">
        <v>730962</v>
      </c>
      <c r="F57" s="92" t="n">
        <v>0</v>
      </c>
      <c r="G57" s="92" t="n">
        <v>0</v>
      </c>
      <c r="H57" s="92" t="n">
        <v>13468</v>
      </c>
      <c r="I57" s="92" t="n">
        <v>13884</v>
      </c>
      <c r="J57" s="92" t="n"/>
      <c r="K57" s="92" t="n"/>
      <c r="L57" s="94" t="n"/>
      <c r="M57" s="92" t="n"/>
      <c r="N57" s="94" t="n">
        <v>15345748.45</v>
      </c>
      <c r="O57" s="94" t="n">
        <v>26510.0073</v>
      </c>
      <c r="P57" s="94" t="n">
        <v>272.4934</v>
      </c>
      <c r="Q57" s="92" t="n">
        <v>6754.57</v>
      </c>
      <c r="R57" s="94" t="n">
        <v>334429505.371</v>
      </c>
      <c r="S57" s="94" t="n">
        <v>999838150.2647001</v>
      </c>
      <c r="T57" s="95">
        <f>IF(OR(R57="",R56=""),"",R57-R56)</f>
        <v/>
      </c>
      <c r="U57" s="95">
        <f>IF(OR(S57="",S56=""),"",S57-S56)</f>
        <v/>
      </c>
      <c r="V57" s="95">
        <f>IF(OR(U57="",P57=""),"",U57+P57)</f>
        <v/>
      </c>
      <c r="W57" s="95">
        <f>IF(OR(T57="",O57="",P57=""),"",T57-O57+P57)</f>
        <v/>
      </c>
    </row>
    <row r="58">
      <c r="A58" s="35" t="n">
        <v>45712</v>
      </c>
      <c r="B58" s="92" t="n">
        <v>9442757917.150431</v>
      </c>
      <c r="C58" s="92" t="n"/>
      <c r="D58" s="92" t="n">
        <v>0</v>
      </c>
      <c r="E58" s="100" t="n">
        <v>1485788</v>
      </c>
      <c r="F58" s="92" t="n">
        <v>0</v>
      </c>
      <c r="G58" s="92" t="n">
        <v>0</v>
      </c>
      <c r="H58" s="92" t="n">
        <v>35404</v>
      </c>
      <c r="I58" s="92" t="n">
        <v>36499</v>
      </c>
      <c r="J58" s="92" t="n"/>
      <c r="K58" s="92" t="n"/>
      <c r="L58" s="94" t="n"/>
      <c r="M58" s="92" t="n"/>
      <c r="N58" s="94" t="n">
        <v>15395296.91</v>
      </c>
      <c r="O58" s="94" t="n">
        <v>26495.5925</v>
      </c>
      <c r="P58" s="94" t="n">
        <v>359.0801</v>
      </c>
      <c r="Q58" s="92" t="n">
        <v>8311.27</v>
      </c>
      <c r="R58" s="94" t="n">
        <v>334441229.483</v>
      </c>
      <c r="S58" s="94" t="n">
        <v>999837791.1845</v>
      </c>
      <c r="T58" s="95">
        <f>IF(OR(R58="",R57=""),"",R58-R57)</f>
        <v/>
      </c>
      <c r="U58" s="95">
        <f>IF(OR(S58="",S57=""),"",S58-S57)</f>
        <v/>
      </c>
      <c r="V58" s="95">
        <f>IF(OR(U58="",P58=""),"",U58+P58)</f>
        <v/>
      </c>
      <c r="W58" s="95">
        <f>IF(OR(T58="",O58="",P58=""),"",T58-O58+P58)</f>
        <v/>
      </c>
    </row>
    <row r="59">
      <c r="A59" s="35" t="n">
        <v>45713</v>
      </c>
      <c r="B59" s="92" t="n">
        <v>13212926718.15891</v>
      </c>
      <c r="C59" s="92" t="n"/>
      <c r="D59" s="92" t="n">
        <v>0</v>
      </c>
      <c r="E59" s="100" t="n">
        <v>3739612</v>
      </c>
      <c r="F59" s="92" t="n">
        <v>0</v>
      </c>
      <c r="G59" s="92" t="n">
        <v>0</v>
      </c>
      <c r="H59" s="92" t="n">
        <v>74128</v>
      </c>
      <c r="I59" s="92" t="n">
        <v>76421</v>
      </c>
      <c r="J59" s="92" t="n"/>
      <c r="K59" s="92" t="n"/>
      <c r="L59" s="94" t="n"/>
      <c r="M59" s="92" t="n"/>
      <c r="N59" s="94" t="n">
        <v>15434587.43</v>
      </c>
      <c r="O59" s="94" t="n">
        <v>26462.3619</v>
      </c>
      <c r="P59" s="94" t="n">
        <v>1448.4853</v>
      </c>
      <c r="Q59" s="92" t="n">
        <v>28795.89</v>
      </c>
      <c r="R59" s="94" t="n">
        <v>334451802.9027</v>
      </c>
      <c r="S59" s="94" t="n">
        <v>999836342.6993001</v>
      </c>
      <c r="T59" s="95">
        <f>IF(OR(R59="",R58=""),"",R59-R58)</f>
        <v/>
      </c>
      <c r="U59" s="95">
        <f>IF(OR(S59="",S58=""),"",S59-S58)</f>
        <v/>
      </c>
      <c r="V59" s="95">
        <f>IF(OR(U59="",P59=""),"",U59+P59)</f>
        <v/>
      </c>
      <c r="W59" s="95">
        <f>IF(OR(T59="",O59="",P59=""),"",T59-O59+P59)</f>
        <v/>
      </c>
    </row>
    <row r="60">
      <c r="A60" s="35" t="n">
        <v>45714</v>
      </c>
      <c r="B60" s="92" t="n">
        <v>9361694443.808464</v>
      </c>
      <c r="C60" s="92" t="n"/>
      <c r="D60" s="92" t="n">
        <v>0</v>
      </c>
      <c r="E60" s="100" t="n">
        <v>2149527</v>
      </c>
      <c r="F60" s="92" t="n">
        <v>0</v>
      </c>
      <c r="G60" s="92" t="n">
        <v>0</v>
      </c>
      <c r="H60" s="92" t="n">
        <v>35817</v>
      </c>
      <c r="I60" s="92" t="n">
        <v>36925</v>
      </c>
      <c r="J60" s="92" t="n"/>
      <c r="K60" s="92" t="n"/>
      <c r="L60" s="94" t="n"/>
      <c r="M60" s="92" t="n"/>
      <c r="N60" s="94" t="n">
        <v>15640861.3</v>
      </c>
      <c r="O60" s="94" t="n">
        <v>26402.5399</v>
      </c>
      <c r="P60" s="94" t="n">
        <v>2533.9117</v>
      </c>
      <c r="Q60" s="92" t="n">
        <v>51168.55</v>
      </c>
      <c r="R60" s="94" t="n">
        <v>334461210.2152</v>
      </c>
      <c r="S60" s="94" t="n">
        <v>999833808.7876</v>
      </c>
      <c r="T60" s="95">
        <f>IF(OR(R60="",R59=""),"",R60-R59)</f>
        <v/>
      </c>
      <c r="U60" s="95">
        <f>IF(OR(S60="",S59=""),"",S60-S59)</f>
        <v/>
      </c>
      <c r="V60" s="95">
        <f>IF(OR(U60="",P60=""),"",U60+P60)</f>
        <v/>
      </c>
      <c r="W60" s="95">
        <f>IF(OR(T60="",O60="",P60=""),"",T60-O60+P60)</f>
        <v/>
      </c>
    </row>
    <row r="61">
      <c r="A61" s="35" t="n">
        <v>45715</v>
      </c>
      <c r="B61" s="92" t="n">
        <v>6796939578.979759</v>
      </c>
      <c r="C61" s="92" t="n"/>
      <c r="D61" s="92" t="n">
        <v>0</v>
      </c>
      <c r="E61" s="100" t="n">
        <v>1512278</v>
      </c>
      <c r="F61" s="92" t="n">
        <v>0</v>
      </c>
      <c r="G61" s="92" t="n">
        <v>0</v>
      </c>
      <c r="H61" s="92" t="n">
        <v>20848</v>
      </c>
      <c r="I61" s="92" t="n">
        <v>21492</v>
      </c>
      <c r="J61" s="92" t="n"/>
      <c r="K61" s="92" t="n"/>
      <c r="L61" s="94" t="n"/>
      <c r="M61" s="92" t="n"/>
      <c r="N61" s="94" t="n">
        <v>15754076.09</v>
      </c>
      <c r="O61" s="94" t="n">
        <v>26370.7823</v>
      </c>
      <c r="P61" s="94" t="n">
        <v>1291.9301</v>
      </c>
      <c r="Q61" s="92" t="n">
        <v>25272.74</v>
      </c>
      <c r="R61" s="94" t="n">
        <v>334486289.0649</v>
      </c>
      <c r="S61" s="94" t="n">
        <v>999832516.8573999</v>
      </c>
      <c r="T61" s="95">
        <f>IF(OR(R61="",R60=""),"",R61-R60)</f>
        <v/>
      </c>
      <c r="U61" s="95">
        <f>IF(OR(S61="",S60=""),"",S61-S60)</f>
        <v/>
      </c>
      <c r="V61" s="95">
        <f>IF(OR(U61="",P61=""),"",U61+P61)</f>
        <v/>
      </c>
      <c r="W61" s="95">
        <f>IF(OR(T61="",O61="",P61=""),"",T61-O61+P61)</f>
        <v/>
      </c>
    </row>
    <row r="62">
      <c r="A62" s="35" t="n">
        <v>45716</v>
      </c>
      <c r="B62" s="92" t="n">
        <v>11157922813.2335</v>
      </c>
      <c r="C62" s="92" t="n"/>
      <c r="D62" s="92" t="n">
        <v>0</v>
      </c>
      <c r="E62" s="100" t="n">
        <v>2432393</v>
      </c>
      <c r="F62" s="92" t="n">
        <v>0</v>
      </c>
      <c r="G62" s="92" t="n">
        <v>0</v>
      </c>
      <c r="H62" s="92" t="n">
        <v>32056</v>
      </c>
      <c r="I62" s="92" t="n">
        <v>33048</v>
      </c>
      <c r="J62" s="92" t="n"/>
      <c r="K62" s="92" t="n"/>
      <c r="L62" s="94" t="n"/>
      <c r="M62" s="92" t="n"/>
      <c r="N62" s="94" t="n">
        <v>15863736.06</v>
      </c>
      <c r="O62" s="94" t="n">
        <v>26389.8779</v>
      </c>
      <c r="P62" s="94" t="n">
        <v>800.0368999999999</v>
      </c>
      <c r="Q62" s="92" t="n">
        <v>16693.57</v>
      </c>
      <c r="R62" s="94" t="n">
        <v>334482921.3819</v>
      </c>
      <c r="S62" s="94" t="n">
        <v>999831716.8206</v>
      </c>
      <c r="T62" s="95">
        <f>IF(OR(R62="",R61=""),"",R62-R61)</f>
        <v/>
      </c>
      <c r="U62" s="95">
        <f>IF(OR(S62="",S61=""),"",S62-S61)</f>
        <v/>
      </c>
      <c r="V62" s="95">
        <f>IF(OR(U62="",P62=""),"",U62+P62)</f>
        <v/>
      </c>
      <c r="W62" s="95">
        <f>IF(OR(T62="",O62="",P62=""),"",T62-O62+P62)</f>
        <v/>
      </c>
    </row>
    <row r="63">
      <c r="A63" s="35" t="n">
        <v>45717</v>
      </c>
      <c r="B63" s="92" t="n">
        <v>4300489522.68242</v>
      </c>
      <c r="C63" s="92" t="n"/>
      <c r="D63" s="92" t="n">
        <v>0</v>
      </c>
      <c r="E63" s="100" t="n">
        <v>986055</v>
      </c>
      <c r="F63" s="92" t="n">
        <v>0</v>
      </c>
      <c r="G63" s="92" t="n">
        <v>0</v>
      </c>
      <c r="H63" s="92" t="n">
        <v>11966</v>
      </c>
      <c r="I63" s="92" t="n">
        <v>12337</v>
      </c>
      <c r="J63" s="92" t="n"/>
      <c r="K63" s="92" t="n"/>
      <c r="L63" s="94" t="n"/>
      <c r="M63" s="92" t="n"/>
      <c r="N63" s="94" t="n">
        <v>15955800.76</v>
      </c>
      <c r="O63" s="94" t="n">
        <v>26354.4325</v>
      </c>
      <c r="P63" s="94" t="n">
        <v>1113.9076</v>
      </c>
      <c r="Q63" s="92" t="n">
        <v>22219.11</v>
      </c>
      <c r="R63" s="94" t="n">
        <v>334493670.0368</v>
      </c>
      <c r="S63" s="94" t="n">
        <v>999830602.913</v>
      </c>
      <c r="T63" s="95">
        <f>IF(OR(R63="",R62=""),"",R63-R62)</f>
        <v/>
      </c>
      <c r="U63" s="95">
        <f>IF(OR(S63="",S62=""),"",S63-S62)</f>
        <v/>
      </c>
      <c r="V63" s="95">
        <f>IF(OR(U63="",P63=""),"",U63+P63)</f>
        <v/>
      </c>
      <c r="W63" s="95">
        <f>IF(OR(T63="",O63="",P63=""),"",T63-O63+P63)</f>
        <v/>
      </c>
    </row>
    <row r="64">
      <c r="A64" s="35" t="n">
        <v>45718</v>
      </c>
      <c r="B64" s="92" t="n">
        <v>11125716133.36184</v>
      </c>
      <c r="C64" s="92" t="n"/>
      <c r="D64" s="92" t="n">
        <v>0</v>
      </c>
      <c r="E64" s="100" t="n">
        <v>2543535</v>
      </c>
      <c r="F64" s="92" t="n">
        <v>0</v>
      </c>
      <c r="G64" s="92" t="n">
        <v>0</v>
      </c>
      <c r="H64" s="92" t="n">
        <v>30292</v>
      </c>
      <c r="I64" s="92" t="n">
        <v>31229</v>
      </c>
      <c r="J64" s="92" t="n"/>
      <c r="K64" s="92" t="n"/>
      <c r="L64" s="94" t="n"/>
      <c r="M64" s="92" t="n"/>
      <c r="N64" s="94" t="n">
        <v>15998308.46</v>
      </c>
      <c r="O64" s="94" t="n">
        <v>26347.5556</v>
      </c>
      <c r="P64" s="94" t="n">
        <v>456.8228</v>
      </c>
      <c r="Q64" s="92" t="n">
        <v>8954.18</v>
      </c>
      <c r="R64" s="94" t="n">
        <v>334505067.5641</v>
      </c>
      <c r="S64" s="94" t="n">
        <v>999830146.0901999</v>
      </c>
      <c r="T64" s="95">
        <f>IF(OR(R64="",R63=""),"",R64-R63)</f>
        <v/>
      </c>
      <c r="U64" s="95">
        <f>IF(OR(S64="",S63=""),"",S64-S63)</f>
        <v/>
      </c>
      <c r="V64" s="95">
        <f>IF(OR(U64="",P64=""),"",U64+P64)</f>
        <v/>
      </c>
      <c r="W64" s="95">
        <f>IF(OR(T64="",O64="",P64=""),"",T64-O64+P64)</f>
        <v/>
      </c>
    </row>
    <row r="65">
      <c r="A65" s="35" t="n">
        <v>45719</v>
      </c>
      <c r="B65" s="92" t="n">
        <v>11687296548.93717</v>
      </c>
      <c r="C65" s="92" t="n"/>
      <c r="D65" s="92" t="n">
        <v>0</v>
      </c>
      <c r="E65" s="100" t="n">
        <v>2309308</v>
      </c>
      <c r="F65" s="92" t="n">
        <v>0</v>
      </c>
      <c r="G65" s="92" t="n">
        <v>0</v>
      </c>
      <c r="H65" s="92" t="n">
        <v>31039</v>
      </c>
      <c r="I65" s="92" t="n">
        <v>31999</v>
      </c>
      <c r="J65" s="92" t="n"/>
      <c r="K65" s="92" t="n"/>
      <c r="L65" s="94" t="n"/>
      <c r="M65" s="92" t="n"/>
      <c r="N65" s="94" t="n">
        <v>16155014.79</v>
      </c>
      <c r="O65" s="94" t="n">
        <v>26343.6937</v>
      </c>
      <c r="P65" s="94" t="n">
        <v>1076.7938</v>
      </c>
      <c r="Q65" s="92" t="n">
        <v>22101.73</v>
      </c>
      <c r="R65" s="94" t="n">
        <v>334515833.0789</v>
      </c>
      <c r="S65" s="94" t="n">
        <v>999829069.2964</v>
      </c>
      <c r="T65" s="95">
        <f>IF(OR(R65="",R64=""),"",R65-R64)</f>
        <v/>
      </c>
      <c r="U65" s="95">
        <f>IF(OR(S65="",S64=""),"",S65-S64)</f>
        <v/>
      </c>
      <c r="V65" s="95">
        <f>IF(OR(U65="",P65=""),"",U65+P65)</f>
        <v/>
      </c>
      <c r="W65" s="95">
        <f>IF(OR(T65="",O65="",P65=""),"",T65-O65+P65)</f>
        <v/>
      </c>
    </row>
    <row r="66">
      <c r="A66" s="35" t="n">
        <v>45720</v>
      </c>
      <c r="B66" s="92" t="n">
        <v>10923024321.65941</v>
      </c>
      <c r="C66" s="92" t="n"/>
      <c r="D66" s="92" t="n">
        <v>0</v>
      </c>
      <c r="E66" s="100" t="n">
        <v>2752695</v>
      </c>
      <c r="F66" s="92" t="n">
        <v>0</v>
      </c>
      <c r="G66" s="92" t="n">
        <v>0</v>
      </c>
      <c r="H66" s="92" t="n">
        <v>46479</v>
      </c>
      <c r="I66" s="92" t="n">
        <v>47916</v>
      </c>
      <c r="J66" s="92" t="n"/>
      <c r="K66" s="92" t="n"/>
      <c r="L66" s="94" t="n"/>
      <c r="M66" s="92" t="n"/>
      <c r="N66" s="94" t="n">
        <v>16312096.56</v>
      </c>
      <c r="O66" s="94" t="n">
        <v>26300.1912</v>
      </c>
      <c r="P66" s="94" t="n">
        <v>1191.9757</v>
      </c>
      <c r="Q66" s="92" t="n">
        <v>21315.51</v>
      </c>
      <c r="R66" s="94" t="n">
        <v>334540941.2944</v>
      </c>
      <c r="S66" s="94" t="n">
        <v>999827877.3207</v>
      </c>
      <c r="T66" s="95">
        <f>IF(OR(R66="",R65=""),"",R66-R65)</f>
        <v/>
      </c>
      <c r="U66" s="95">
        <f>IF(OR(S66="",S65=""),"",S66-S65)</f>
        <v/>
      </c>
      <c r="V66" s="95">
        <f>IF(OR(U66="",P66=""),"",U66+P66)</f>
        <v/>
      </c>
      <c r="W66" s="95">
        <f>IF(OR(T66="",O66="",P66=""),"",T66-O66+P66)</f>
        <v/>
      </c>
    </row>
    <row r="67">
      <c r="A67" s="35" t="n">
        <v>45721</v>
      </c>
      <c r="B67" s="92" t="n">
        <v>6393102152.209929</v>
      </c>
      <c r="C67" s="92" t="n"/>
      <c r="D67" s="92" t="n">
        <v>0</v>
      </c>
      <c r="E67" s="100" t="n">
        <v>1426600</v>
      </c>
      <c r="F67" s="92" t="n">
        <v>0</v>
      </c>
      <c r="G67" s="92" t="n">
        <v>0</v>
      </c>
      <c r="H67" s="92" t="n">
        <v>19446</v>
      </c>
      <c r="I67" s="92" t="n">
        <v>20047</v>
      </c>
      <c r="J67" s="92" t="n"/>
      <c r="K67" s="92" t="n"/>
      <c r="L67" s="94" t="n"/>
      <c r="M67" s="92" t="n"/>
      <c r="N67" s="94" t="n">
        <v>16429514.85</v>
      </c>
      <c r="O67" s="94" t="n">
        <v>26023.1564</v>
      </c>
      <c r="P67" s="94" t="n">
        <v>2036.1675</v>
      </c>
      <c r="Q67" s="92" t="n">
        <v>34803.19</v>
      </c>
      <c r="R67" s="94" t="n">
        <v>334550415.2618</v>
      </c>
      <c r="S67" s="94" t="n">
        <v>999825841.1532</v>
      </c>
      <c r="T67" s="95">
        <f>IF(OR(R67="",R66=""),"",R67-R66)</f>
        <v/>
      </c>
      <c r="U67" s="95">
        <f>IF(OR(S67="",S66=""),"",S67-S66)</f>
        <v/>
      </c>
      <c r="V67" s="95">
        <f>IF(OR(U67="",P67=""),"",U67+P67)</f>
        <v/>
      </c>
      <c r="W67" s="95">
        <f>IF(OR(T67="",O67="",P67=""),"",T67-O67+P67)</f>
        <v/>
      </c>
    </row>
    <row r="68">
      <c r="A68" s="35" t="n">
        <v>45722</v>
      </c>
      <c r="B68" s="92" t="n">
        <v>6898925843.815734</v>
      </c>
      <c r="C68" s="92" t="n"/>
      <c r="D68" s="92" t="n">
        <v>0</v>
      </c>
      <c r="E68" s="100" t="n">
        <v>1542778</v>
      </c>
      <c r="F68" s="92" t="n">
        <v>0</v>
      </c>
      <c r="G68" s="92" t="n">
        <v>0</v>
      </c>
      <c r="H68" s="92" t="n">
        <v>23432</v>
      </c>
      <c r="I68" s="92" t="n">
        <v>24157</v>
      </c>
      <c r="J68" s="92" t="n"/>
      <c r="K68" s="92" t="n"/>
      <c r="L68" s="94" t="n"/>
      <c r="M68" s="92" t="n"/>
      <c r="N68" s="94" t="n">
        <v>16512215.26</v>
      </c>
      <c r="O68" s="94" t="n">
        <v>26246.193</v>
      </c>
      <c r="P68" s="94" t="n">
        <v>835.7671</v>
      </c>
      <c r="Q68" s="92" t="n">
        <v>14362.66</v>
      </c>
      <c r="R68" s="94" t="n">
        <v>334561284.9252</v>
      </c>
      <c r="S68" s="94" t="n">
        <v>999825005.3861001</v>
      </c>
      <c r="T68" s="95">
        <f>IF(OR(R68="",R67=""),"",R68-R67)</f>
        <v/>
      </c>
      <c r="U68" s="95">
        <f>IF(OR(S68="",S67=""),"",S68-S67)</f>
        <v/>
      </c>
      <c r="V68" s="95">
        <f>IF(OR(U68="",P68=""),"",U68+P68)</f>
        <v/>
      </c>
      <c r="W68" s="95">
        <f>IF(OR(T68="",O68="",P68=""),"",T68-O68+P68)</f>
        <v/>
      </c>
    </row>
    <row r="69">
      <c r="A69" s="35" t="n">
        <v>45723</v>
      </c>
      <c r="B69" s="92" t="n">
        <v>10328312158.94852</v>
      </c>
      <c r="C69" s="92" t="n"/>
      <c r="D69" s="92" t="n">
        <v>0</v>
      </c>
      <c r="E69" s="100" t="n">
        <v>2285221</v>
      </c>
      <c r="F69" s="92" t="n">
        <v>0</v>
      </c>
      <c r="G69" s="92" t="n">
        <v>0</v>
      </c>
      <c r="H69" s="92" t="n">
        <v>22966</v>
      </c>
      <c r="I69" s="92" t="n">
        <v>23676</v>
      </c>
      <c r="J69" s="92" t="n"/>
      <c r="K69" s="92" t="n"/>
      <c r="L69" s="94" t="n"/>
      <c r="M69" s="92" t="n"/>
      <c r="N69" s="94" t="n">
        <v>16639426.98</v>
      </c>
      <c r="O69" s="94" t="n">
        <v>26269.2514</v>
      </c>
      <c r="P69" s="94" t="n">
        <v>957.7524</v>
      </c>
      <c r="Q69" s="92" t="n">
        <v>14736.46</v>
      </c>
      <c r="R69" s="94" t="n">
        <v>334572050.6974</v>
      </c>
      <c r="S69" s="94" t="n">
        <v>999824047.6337</v>
      </c>
      <c r="T69" s="95">
        <f>IF(OR(R69="",R68=""),"",R69-R68)</f>
        <v/>
      </c>
      <c r="U69" s="95">
        <f>IF(OR(S69="",S68=""),"",S69-S68)</f>
        <v/>
      </c>
      <c r="V69" s="95">
        <f>IF(OR(U69="",P69=""),"",U69+P69)</f>
        <v/>
      </c>
      <c r="W69" s="95">
        <f>IF(OR(T69="",O69="",P69=""),"",T69-O69+P69)</f>
        <v/>
      </c>
    </row>
    <row r="70">
      <c r="A70" s="35" t="n">
        <v>45724</v>
      </c>
      <c r="B70" s="92" t="n">
        <v>2704382867.574585</v>
      </c>
      <c r="C70" s="92" t="n"/>
      <c r="D70" s="92" t="n">
        <v>0</v>
      </c>
      <c r="E70" s="100" t="n">
        <v>625934</v>
      </c>
      <c r="F70" s="92" t="n">
        <v>0</v>
      </c>
      <c r="G70" s="92" t="n">
        <v>0</v>
      </c>
      <c r="H70" s="92" t="n">
        <v>10565</v>
      </c>
      <c r="I70" s="92" t="n">
        <v>10892</v>
      </c>
      <c r="J70" s="92" t="n"/>
      <c r="K70" s="92" t="n"/>
      <c r="L70" s="94" t="n"/>
      <c r="M70" s="92" t="n"/>
      <c r="N70" s="94" t="n">
        <v>16741647.32</v>
      </c>
      <c r="O70" s="94" t="n">
        <v>26284.4279</v>
      </c>
      <c r="P70" s="94" t="n">
        <v>935.3216</v>
      </c>
      <c r="Q70" s="92" t="n">
        <v>14159.37</v>
      </c>
      <c r="R70" s="94" t="n">
        <v>334582862.4387</v>
      </c>
      <c r="S70" s="94" t="n">
        <v>999823112.312</v>
      </c>
      <c r="T70" s="95">
        <f>IF(OR(R70="",R69=""),"",R70-R69)</f>
        <v/>
      </c>
      <c r="U70" s="95">
        <f>IF(OR(S70="",S69=""),"",S70-S69)</f>
        <v/>
      </c>
      <c r="V70" s="95">
        <f>IF(OR(U70="",P70=""),"",U70+P70)</f>
        <v/>
      </c>
      <c r="W70" s="95">
        <f>IF(OR(T70="",O70="",P70=""),"",T70-O70+P70)</f>
        <v/>
      </c>
    </row>
    <row r="71">
      <c r="A71" s="35" t="n">
        <v>45725</v>
      </c>
      <c r="B71" s="92" t="n">
        <v>5412422029.100883</v>
      </c>
      <c r="C71" s="92" t="n"/>
      <c r="D71" s="92" t="n">
        <v>0</v>
      </c>
      <c r="E71" s="100" t="n">
        <v>1192088</v>
      </c>
      <c r="F71" s="92" t="n">
        <v>0</v>
      </c>
      <c r="G71" s="92" t="n">
        <v>0</v>
      </c>
      <c r="H71" s="92" t="n">
        <v>17452</v>
      </c>
      <c r="I71" s="92" t="n">
        <v>17991</v>
      </c>
      <c r="J71" s="92" t="n"/>
      <c r="K71" s="92" t="n"/>
      <c r="L71" s="94" t="n"/>
      <c r="M71" s="92" t="n"/>
      <c r="N71" s="94" t="n">
        <v>16773653.19</v>
      </c>
      <c r="O71" s="94" t="n">
        <v>26298.1187</v>
      </c>
      <c r="P71" s="94" t="n">
        <v>452.9895</v>
      </c>
      <c r="Q71" s="92" t="n">
        <v>6845.8</v>
      </c>
      <c r="R71" s="94" t="n">
        <v>334594176.2109</v>
      </c>
      <c r="S71" s="94" t="n">
        <v>999822659.3226</v>
      </c>
      <c r="T71" s="95">
        <f>IF(OR(R71="",R70=""),"",R71-R70)</f>
        <v/>
      </c>
      <c r="U71" s="95">
        <f>IF(OR(S71="",S70=""),"",S71-S70)</f>
        <v/>
      </c>
      <c r="V71" s="95">
        <f>IF(OR(U71="",P71=""),"",U71+P71)</f>
        <v/>
      </c>
      <c r="W71" s="95">
        <f>IF(OR(T71="",O71="",P71=""),"",T71-O71+P71)</f>
        <v/>
      </c>
    </row>
    <row r="72">
      <c r="A72" s="35" t="n">
        <v>45726</v>
      </c>
      <c r="B72" s="92" t="n">
        <v>9662861733.834814</v>
      </c>
      <c r="C72" s="92" t="n"/>
      <c r="D72" s="92" t="n">
        <v>0</v>
      </c>
      <c r="E72" s="100" t="n">
        <v>2131600</v>
      </c>
      <c r="F72" s="92" t="n">
        <v>0</v>
      </c>
      <c r="G72" s="92" t="n">
        <v>0</v>
      </c>
      <c r="H72" s="92" t="n">
        <v>24189</v>
      </c>
      <c r="I72" s="92" t="n">
        <v>24937</v>
      </c>
      <c r="J72" s="92" t="n"/>
      <c r="K72" s="92" t="n"/>
      <c r="L72" s="94" t="n"/>
      <c r="M72" s="92" t="n"/>
      <c r="N72" s="94" t="n">
        <v>16870455.19</v>
      </c>
      <c r="O72" s="94" t="n">
        <v>26363.6194</v>
      </c>
      <c r="P72" s="94" t="n">
        <v>623.5696</v>
      </c>
      <c r="Q72" s="92" t="n">
        <v>8992.809999999999</v>
      </c>
      <c r="R72" s="94" t="n">
        <v>334590951.7148</v>
      </c>
      <c r="S72" s="94" t="n">
        <v>999822035.753</v>
      </c>
      <c r="T72" s="95">
        <f>IF(OR(R72="",R71=""),"",R72-R71)</f>
        <v/>
      </c>
      <c r="U72" s="95">
        <f>IF(OR(S72="",S71=""),"",S72-S71)</f>
        <v/>
      </c>
      <c r="V72" s="95">
        <f>IF(OR(U72="",P72=""),"",U72+P72)</f>
        <v/>
      </c>
      <c r="W72" s="95">
        <f>IF(OR(T72="",O72="",P72=""),"",T72-O72+P72)</f>
        <v/>
      </c>
    </row>
    <row r="73">
      <c r="A73" s="35" t="n">
        <v>45727</v>
      </c>
      <c r="B73" s="92" t="n">
        <v>8230997836.537791</v>
      </c>
      <c r="C73" s="92" t="n"/>
      <c r="D73" s="92" t="n">
        <v>0</v>
      </c>
      <c r="E73" s="100" t="n">
        <v>1830963</v>
      </c>
      <c r="F73" s="92" t="n">
        <v>0</v>
      </c>
      <c r="G73" s="92" t="n">
        <v>0</v>
      </c>
      <c r="H73" s="92" t="n">
        <v>23851</v>
      </c>
      <c r="I73" s="92" t="n">
        <v>24588</v>
      </c>
      <c r="J73" s="92" t="n"/>
      <c r="K73" s="92" t="n"/>
      <c r="L73" s="94" t="n"/>
      <c r="M73" s="92" t="n"/>
      <c r="N73" s="94" t="n">
        <v>17041443.72</v>
      </c>
      <c r="O73" s="94" t="n">
        <v>26334.2317</v>
      </c>
      <c r="P73" s="94" t="n">
        <v>1085.8531</v>
      </c>
      <c r="Q73" s="92" t="n">
        <v>14612.87</v>
      </c>
      <c r="R73" s="94" t="n">
        <v>334616200.0934</v>
      </c>
      <c r="S73" s="94" t="n">
        <v>999820949.8999</v>
      </c>
      <c r="T73" s="95">
        <f>IF(OR(R73="",R72=""),"",R73-R72)</f>
        <v/>
      </c>
      <c r="U73" s="95">
        <f>IF(OR(S73="",S72=""),"",S73-S72)</f>
        <v/>
      </c>
      <c r="V73" s="95">
        <f>IF(OR(U73="",P73=""),"",U73+P73)</f>
        <v/>
      </c>
      <c r="W73" s="95">
        <f>IF(OR(T73="",O73="",P73=""),"",T73-O73+P73)</f>
        <v/>
      </c>
    </row>
    <row r="74">
      <c r="A74" s="35" t="n">
        <v>45728</v>
      </c>
      <c r="B74" s="92" t="n">
        <v>7385946216.235805</v>
      </c>
      <c r="C74" s="92" t="n"/>
      <c r="D74" s="92" t="n">
        <v>0</v>
      </c>
      <c r="E74" s="100" t="n">
        <v>1519532</v>
      </c>
      <c r="F74" s="92" t="n">
        <v>0</v>
      </c>
      <c r="G74" s="92" t="n">
        <v>0</v>
      </c>
      <c r="H74" s="92" t="n">
        <v>25720</v>
      </c>
      <c r="I74" s="92" t="n">
        <v>26516</v>
      </c>
      <c r="J74" s="92" t="n"/>
      <c r="K74" s="92" t="n"/>
      <c r="L74" s="94" t="n"/>
      <c r="M74" s="92" t="n"/>
      <c r="N74" s="94" t="n">
        <v>17144489.76</v>
      </c>
      <c r="O74" s="94" t="n">
        <v>26325.6793</v>
      </c>
      <c r="P74" s="94" t="n">
        <v>1086.3826</v>
      </c>
      <c r="Q74" s="92" t="n">
        <v>14969.27</v>
      </c>
      <c r="R74" s="94" t="n">
        <v>334626934.8432</v>
      </c>
      <c r="S74" s="94" t="n">
        <v>999819863.5174</v>
      </c>
      <c r="T74" s="95">
        <f>IF(OR(R74="",R73=""),"",R74-R73)</f>
        <v/>
      </c>
      <c r="U74" s="95">
        <f>IF(OR(S74="",S73=""),"",S74-S73)</f>
        <v/>
      </c>
      <c r="V74" s="95">
        <f>IF(OR(U74="",P74=""),"",U74+P74)</f>
        <v/>
      </c>
      <c r="W74" s="95">
        <f>IF(OR(T74="",O74="",P74=""),"",T74-O74+P74)</f>
        <v/>
      </c>
    </row>
    <row r="75">
      <c r="A75" s="35" t="n">
        <v>45729</v>
      </c>
      <c r="B75" s="92" t="n">
        <v>4794383453.130346</v>
      </c>
      <c r="C75" s="92" t="n"/>
      <c r="D75" s="92" t="n">
        <v>0</v>
      </c>
      <c r="E75" s="100" t="n">
        <v>1101752</v>
      </c>
      <c r="F75" s="92" t="n">
        <v>0</v>
      </c>
      <c r="G75" s="92" t="n">
        <v>0</v>
      </c>
      <c r="H75" s="92" t="n">
        <v>21030</v>
      </c>
      <c r="I75" s="92" t="n">
        <v>21681</v>
      </c>
      <c r="J75" s="92" t="n"/>
      <c r="K75" s="92" t="n"/>
      <c r="L75" s="94" t="n"/>
      <c r="M75" s="92" t="n"/>
      <c r="N75" s="94" t="n">
        <v>17255896.02</v>
      </c>
      <c r="O75" s="94" t="n">
        <v>26389.0402</v>
      </c>
      <c r="P75" s="94" t="n">
        <v>1361.7718</v>
      </c>
      <c r="Q75" s="92" t="n">
        <v>17921.6</v>
      </c>
      <c r="R75" s="94" t="n">
        <v>334637493.127</v>
      </c>
      <c r="S75" s="94" t="n">
        <v>999818501.7456</v>
      </c>
      <c r="T75" s="95">
        <f>IF(OR(R75="",R74=""),"",R75-R74)</f>
        <v/>
      </c>
      <c r="U75" s="95">
        <f>IF(OR(S75="",S74=""),"",S75-S74)</f>
        <v/>
      </c>
      <c r="V75" s="95">
        <f>IF(OR(U75="",P75=""),"",U75+P75)</f>
        <v/>
      </c>
      <c r="W75" s="95">
        <f>IF(OR(T75="",O75="",P75=""),"",T75-O75+P75)</f>
        <v/>
      </c>
    </row>
    <row r="76">
      <c r="A76" s="35" t="n">
        <v>45730</v>
      </c>
      <c r="B76" s="92" t="n">
        <v>4206697098.393208</v>
      </c>
      <c r="C76" s="92" t="n"/>
      <c r="D76" s="92" t="n">
        <v>0</v>
      </c>
      <c r="E76" s="100" t="n">
        <v>932668</v>
      </c>
      <c r="F76" s="92" t="n">
        <v>0</v>
      </c>
      <c r="G76" s="92" t="n">
        <v>0</v>
      </c>
      <c r="H76" s="92" t="n">
        <v>16226</v>
      </c>
      <c r="I76" s="92" t="n">
        <v>16728</v>
      </c>
      <c r="J76" s="92" t="n"/>
      <c r="K76" s="92" t="n"/>
      <c r="L76" s="94" t="n"/>
      <c r="M76" s="92" t="n"/>
      <c r="N76" s="94" t="n">
        <v>17348727.29</v>
      </c>
      <c r="O76" s="94" t="n">
        <v>26348.158</v>
      </c>
      <c r="P76" s="94" t="n">
        <v>1180.449</v>
      </c>
      <c r="Q76" s="92" t="n">
        <v>14543.72</v>
      </c>
      <c r="R76" s="94" t="n">
        <v>334648174.3865</v>
      </c>
      <c r="S76" s="94" t="n">
        <v>999817321.2966</v>
      </c>
      <c r="T76" s="95">
        <f>IF(OR(R76="",R75=""),"",R76-R75)</f>
        <v/>
      </c>
      <c r="U76" s="95">
        <f>IF(OR(S76="",S75=""),"",S76-S75)</f>
        <v/>
      </c>
      <c r="V76" s="95">
        <f>IF(OR(U76="",P76=""),"",U76+P76)</f>
        <v/>
      </c>
      <c r="W76" s="95">
        <f>IF(OR(T76="",O76="",P76=""),"",T76-O76+P76)</f>
        <v/>
      </c>
    </row>
    <row r="77">
      <c r="A77" s="35" t="n">
        <v>45731</v>
      </c>
      <c r="B77" s="92" t="n">
        <v>2136911541.357526</v>
      </c>
      <c r="C77" s="92" t="n"/>
      <c r="D77" s="92" t="n">
        <v>0</v>
      </c>
      <c r="E77" s="100" t="n">
        <v>603903</v>
      </c>
      <c r="F77" s="92" t="n">
        <v>0</v>
      </c>
      <c r="G77" s="92" t="n">
        <v>0</v>
      </c>
      <c r="H77" s="92" t="n">
        <v>7658</v>
      </c>
      <c r="I77" s="92" t="n">
        <v>7895</v>
      </c>
      <c r="J77" s="92" t="n"/>
      <c r="K77" s="92" t="n"/>
      <c r="L77" s="94" t="n"/>
      <c r="M77" s="92" t="n"/>
      <c r="N77" s="94" t="n">
        <v>17415406.91</v>
      </c>
      <c r="O77" s="94" t="n">
        <v>26350.721</v>
      </c>
      <c r="P77" s="94" t="n">
        <v>1123.12</v>
      </c>
      <c r="Q77" s="92" t="n">
        <v>15495.69</v>
      </c>
      <c r="R77" s="94" t="n">
        <v>334658891.7754</v>
      </c>
      <c r="S77" s="94" t="n">
        <v>999816198.1766</v>
      </c>
      <c r="T77" s="95">
        <f>IF(OR(R77="",R76=""),"",R77-R76)</f>
        <v/>
      </c>
      <c r="U77" s="95">
        <f>IF(OR(S77="",S76=""),"",S77-S76)</f>
        <v/>
      </c>
      <c r="V77" s="95">
        <f>IF(OR(U77="",P77=""),"",U77+P77)</f>
        <v/>
      </c>
      <c r="W77" s="95">
        <f>IF(OR(T77="",O77="",P77=""),"",T77-O77+P77)</f>
        <v/>
      </c>
    </row>
    <row r="78">
      <c r="A78" s="35" t="n">
        <v>45732</v>
      </c>
      <c r="B78" s="92" t="n">
        <v>3662298195.66477</v>
      </c>
      <c r="C78" s="92" t="n"/>
      <c r="D78" s="92" t="n">
        <v>0</v>
      </c>
      <c r="E78" s="100" t="n">
        <v>818086</v>
      </c>
      <c r="F78" s="92" t="n">
        <v>0</v>
      </c>
      <c r="G78" s="92" t="n">
        <v>0</v>
      </c>
      <c r="H78" s="92" t="n">
        <v>10339</v>
      </c>
      <c r="I78" s="92" t="n">
        <v>10659</v>
      </c>
      <c r="J78" s="92" t="n"/>
      <c r="K78" s="92" t="n"/>
      <c r="L78" s="94" t="n"/>
      <c r="M78" s="92" t="n"/>
      <c r="N78" s="94" t="n">
        <v>17448594.25</v>
      </c>
      <c r="O78" s="94" t="n">
        <v>26366.3447</v>
      </c>
      <c r="P78" s="94" t="n">
        <v>394.0556</v>
      </c>
      <c r="Q78" s="92" t="n">
        <v>5666.52</v>
      </c>
      <c r="R78" s="94" t="n">
        <v>334670362.1829</v>
      </c>
      <c r="S78" s="94" t="n">
        <v>999815804.1210001</v>
      </c>
      <c r="T78" s="95">
        <f>IF(OR(R78="",R77=""),"",R78-R77)</f>
        <v/>
      </c>
      <c r="U78" s="95">
        <f>IF(OR(S78="",S77=""),"",S78-S77)</f>
        <v/>
      </c>
      <c r="V78" s="95">
        <f>IF(OR(U78="",P78=""),"",U78+P78)</f>
        <v/>
      </c>
      <c r="W78" s="95">
        <f>IF(OR(T78="",O78="",P78=""),"",T78-O78+P78)</f>
        <v/>
      </c>
    </row>
    <row r="79">
      <c r="A79" s="35" t="n">
        <v>45733</v>
      </c>
      <c r="B79" s="92" t="n">
        <v>3724551748.312353</v>
      </c>
      <c r="C79" s="92" t="n"/>
      <c r="D79" s="92" t="n">
        <v>0</v>
      </c>
      <c r="E79" s="100" t="n">
        <v>785447</v>
      </c>
      <c r="F79" s="92" t="n">
        <v>0</v>
      </c>
      <c r="G79" s="92" t="n">
        <v>0</v>
      </c>
      <c r="H79" s="92" t="n">
        <v>7961</v>
      </c>
      <c r="I79" s="92" t="n">
        <v>8208</v>
      </c>
      <c r="J79" s="92" t="n"/>
      <c r="K79" s="92" t="n"/>
      <c r="L79" s="94" t="n"/>
      <c r="M79" s="92" t="n"/>
      <c r="N79" s="94" t="n">
        <v>17515019.42</v>
      </c>
      <c r="O79" s="94" t="n">
        <v>26359.8114</v>
      </c>
      <c r="P79" s="94" t="n">
        <v>337.0554</v>
      </c>
      <c r="Q79" s="92" t="n">
        <v>4370.93</v>
      </c>
      <c r="R79" s="94" t="n">
        <v>334681886.4107</v>
      </c>
      <c r="S79" s="94" t="n">
        <v>999815467.0656</v>
      </c>
      <c r="T79" s="95">
        <f>IF(OR(R79="",R78=""),"",R79-R78)</f>
        <v/>
      </c>
      <c r="U79" s="95">
        <f>IF(OR(S79="",S78=""),"",S79-S78)</f>
        <v/>
      </c>
      <c r="V79" s="95">
        <f>IF(OR(U79="",P79=""),"",U79+P79)</f>
        <v/>
      </c>
      <c r="W79" s="95">
        <f>IF(OR(T79="",O79="",P79=""),"",T79-O79+P79)</f>
        <v/>
      </c>
    </row>
    <row r="80">
      <c r="A80" s="35" t="n">
        <v>45734</v>
      </c>
      <c r="B80" s="92" t="n">
        <v>4923537604.501444</v>
      </c>
      <c r="C80" s="92" t="n"/>
      <c r="D80" s="92" t="n">
        <v>0</v>
      </c>
      <c r="E80" s="100" t="n">
        <v>1091874</v>
      </c>
      <c r="F80" s="92" t="n">
        <v>0</v>
      </c>
      <c r="G80" s="92" t="n">
        <v>0</v>
      </c>
      <c r="H80" s="92" t="n">
        <v>7924</v>
      </c>
      <c r="I80" s="92" t="n">
        <v>8169</v>
      </c>
      <c r="J80" s="92" t="n"/>
      <c r="K80" s="92" t="n"/>
      <c r="L80" s="94" t="n"/>
      <c r="M80" s="92" t="n"/>
      <c r="N80" s="94" t="n">
        <v>17593696.73</v>
      </c>
      <c r="O80" s="94" t="n">
        <v>26362.7924</v>
      </c>
      <c r="P80" s="94" t="n">
        <v>471.6324</v>
      </c>
      <c r="Q80" s="92" t="n">
        <v>6249.6</v>
      </c>
      <c r="R80" s="94" t="n">
        <v>334693275.7844</v>
      </c>
      <c r="S80" s="94" t="n">
        <v>999814995.4333</v>
      </c>
      <c r="T80" s="95">
        <f>IF(OR(R80="",R79=""),"",R80-R79)</f>
        <v/>
      </c>
      <c r="U80" s="95">
        <f>IF(OR(S80="",S79=""),"",S80-S79)</f>
        <v/>
      </c>
      <c r="V80" s="95">
        <f>IF(OR(U80="",P80=""),"",U80+P80)</f>
        <v/>
      </c>
      <c r="W80" s="95">
        <f>IF(OR(T80="",O80="",P80=""),"",T80-O80+P80)</f>
        <v/>
      </c>
    </row>
    <row r="81">
      <c r="A81" s="35" t="n">
        <v>45735</v>
      </c>
      <c r="B81" s="92" t="n">
        <v>5936470683.989239</v>
      </c>
      <c r="C81" s="92" t="n"/>
      <c r="D81" s="92" t="n">
        <v>0</v>
      </c>
      <c r="E81" s="100" t="n">
        <v>1367967</v>
      </c>
      <c r="F81" s="92" t="n">
        <v>0</v>
      </c>
      <c r="G81" s="92" t="n">
        <v>0</v>
      </c>
      <c r="H81" s="92" t="n">
        <v>17924</v>
      </c>
      <c r="I81" s="92" t="n">
        <v>18478</v>
      </c>
      <c r="J81" s="92" t="n"/>
      <c r="K81" s="92" t="n"/>
      <c r="L81" s="94" t="n"/>
      <c r="M81" s="92" t="n"/>
      <c r="N81" s="94" t="n">
        <v>17658355.82</v>
      </c>
      <c r="O81" s="94" t="n">
        <v>26377.2891</v>
      </c>
      <c r="P81" s="94" t="n">
        <v>408.8611</v>
      </c>
      <c r="Q81" s="92" t="n">
        <v>5793.56</v>
      </c>
      <c r="R81" s="94" t="n">
        <v>334704745.5059</v>
      </c>
      <c r="S81" s="94" t="n">
        <v>999814586.5721999</v>
      </c>
      <c r="T81" s="95">
        <f>IF(OR(R81="",R80=""),"",R81-R80)</f>
        <v/>
      </c>
      <c r="U81" s="95">
        <f>IF(OR(S81="",S80=""),"",S81-S80)</f>
        <v/>
      </c>
      <c r="V81" s="95">
        <f>IF(OR(U81="",P81=""),"",U81+P81)</f>
        <v/>
      </c>
      <c r="W81" s="95">
        <f>IF(OR(T81="",O81="",P81=""),"",T81-O81+P81)</f>
        <v/>
      </c>
    </row>
    <row r="82">
      <c r="A82" s="35" t="n">
        <v>45736</v>
      </c>
      <c r="B82" s="92" t="n">
        <v>4798349094.547944</v>
      </c>
      <c r="C82" s="92" t="n"/>
      <c r="D82" s="92" t="n">
        <v>0</v>
      </c>
      <c r="E82" s="92" t="n">
        <v>1360250.11</v>
      </c>
      <c r="F82" s="92" t="n">
        <v>0</v>
      </c>
      <c r="G82" s="92" t="n">
        <v>0</v>
      </c>
      <c r="H82" s="92" t="n">
        <v>13612</v>
      </c>
      <c r="I82" s="92" t="n">
        <v>14033</v>
      </c>
      <c r="J82" s="92" t="n">
        <v>222.6507295013012</v>
      </c>
      <c r="K82" s="92" t="n">
        <v>35438.86</v>
      </c>
      <c r="L82" s="94" t="n">
        <v>93242.48</v>
      </c>
      <c r="M82" s="92" t="n">
        <v>1360250.11</v>
      </c>
      <c r="N82" s="94" t="n">
        <v>17751598.3</v>
      </c>
      <c r="O82" s="94" t="n">
        <v>26389.3845</v>
      </c>
      <c r="P82" s="94" t="n">
        <v>1047.6243</v>
      </c>
      <c r="Q82" s="92" t="n">
        <v>16362.32</v>
      </c>
      <c r="R82" s="94" t="n">
        <v>334715599.3143</v>
      </c>
      <c r="S82" s="94" t="n">
        <v>999813538.9479001</v>
      </c>
      <c r="T82" s="95">
        <f>IF(OR(R82="",R81=""),"",R82-R81)</f>
        <v/>
      </c>
      <c r="U82" s="95">
        <f>IF(OR(S82="",S81=""),"",S82-S81)</f>
        <v/>
      </c>
      <c r="V82" s="95">
        <f>IF(OR(U82="",P82=""),"",U82+P82)</f>
        <v/>
      </c>
      <c r="W82" s="95">
        <f>IF(OR(T82="",O82="",P82=""),"",T82-O82+P82)</f>
        <v/>
      </c>
    </row>
    <row r="83">
      <c r="A83" s="35" t="n">
        <v>45737</v>
      </c>
      <c r="B83" s="92" t="n">
        <v>3535282613.280395</v>
      </c>
      <c r="C83" s="92" t="n"/>
      <c r="D83" s="92" t="n">
        <v>0</v>
      </c>
      <c r="E83" s="92" t="n">
        <v>1031164.897</v>
      </c>
      <c r="F83" s="92" t="n">
        <v>0</v>
      </c>
      <c r="G83" s="92" t="n">
        <v>0</v>
      </c>
      <c r="H83" s="92" t="n">
        <v>11995</v>
      </c>
      <c r="I83" s="92" t="n">
        <v>12366</v>
      </c>
      <c r="J83" s="92" t="n">
        <v>2823.908911723948</v>
      </c>
      <c r="K83" s="92" t="n">
        <v>45038.24</v>
      </c>
      <c r="L83" s="94" t="n">
        <v>70431.98</v>
      </c>
      <c r="M83" s="92" t="n">
        <v>1031164.897</v>
      </c>
      <c r="N83" s="94" t="n">
        <v>17822030.28</v>
      </c>
      <c r="O83" s="94" t="n">
        <v>26422.8998</v>
      </c>
      <c r="P83" s="94" t="n">
        <v>592.8651</v>
      </c>
      <c r="Q83" s="92" t="n">
        <v>8389.629999999999</v>
      </c>
      <c r="R83" s="94" t="n">
        <v>334726951.3235</v>
      </c>
      <c r="S83" s="94" t="n">
        <v>999812946.0828</v>
      </c>
      <c r="T83" s="95">
        <f>IF(OR(R83="",R82=""),"",R83-R82)</f>
        <v/>
      </c>
      <c r="U83" s="95">
        <f>IF(OR(S83="",S82=""),"",S83-S82)</f>
        <v/>
      </c>
      <c r="V83" s="95">
        <f>IF(OR(U83="",P83=""),"",U83+P83)</f>
        <v/>
      </c>
      <c r="W83" s="95">
        <f>IF(OR(T83="",O83="",P83=""),"",T83-O83+P83)</f>
        <v/>
      </c>
    </row>
    <row r="84">
      <c r="A84" s="35" t="n">
        <v>45738</v>
      </c>
      <c r="B84" s="92" t="n">
        <v>2045427812.0682</v>
      </c>
      <c r="C84" s="92" t="n"/>
      <c r="D84" s="92" t="n">
        <v>0</v>
      </c>
      <c r="E84" s="92" t="n">
        <v>847303.1758</v>
      </c>
      <c r="F84" s="92" t="n">
        <v>0</v>
      </c>
      <c r="G84" s="92" t="n">
        <v>0</v>
      </c>
      <c r="H84" s="92" t="n">
        <v>8184</v>
      </c>
      <c r="I84" s="92" t="n">
        <v>8437</v>
      </c>
      <c r="J84" s="92" t="n">
        <v>212.6556887149742</v>
      </c>
      <c r="K84" s="92" t="n">
        <v>57676.12</v>
      </c>
      <c r="L84" s="94" t="n">
        <v>53131.87</v>
      </c>
      <c r="M84" s="92" t="n">
        <v>847303.1758</v>
      </c>
      <c r="N84" s="94" t="n">
        <v>17875162.15</v>
      </c>
      <c r="O84" s="94" t="n">
        <v>26439.0599</v>
      </c>
      <c r="P84" s="94" t="n">
        <v>633.9893</v>
      </c>
      <c r="Q84" s="92" t="n">
        <v>10097.86</v>
      </c>
      <c r="R84" s="94" t="n">
        <v>334738288.4362</v>
      </c>
      <c r="S84" s="94" t="n">
        <v>999812312.0935</v>
      </c>
      <c r="T84" s="95">
        <f>IF(OR(R84="",R83=""),"",R84-R83)</f>
        <v/>
      </c>
      <c r="U84" s="95">
        <f>IF(OR(S84="",S83=""),"",S84-S83)</f>
        <v/>
      </c>
      <c r="V84" s="95">
        <f>IF(OR(U84="",P84=""),"",U84+P84)</f>
        <v/>
      </c>
      <c r="W84" s="95">
        <f>IF(OR(T84="",O84="",P84=""),"",T84-O84+P84)</f>
        <v/>
      </c>
    </row>
    <row r="85">
      <c r="A85" s="35" t="n">
        <v>45739</v>
      </c>
      <c r="B85" s="92" t="n">
        <v>2462791312.632705</v>
      </c>
      <c r="C85" s="92" t="n"/>
      <c r="D85" s="92" t="n">
        <v>0</v>
      </c>
      <c r="E85" s="92" t="n">
        <v>450708.7431</v>
      </c>
      <c r="F85" s="92" t="n">
        <v>0</v>
      </c>
      <c r="G85" s="92" t="n">
        <v>0</v>
      </c>
      <c r="H85" s="92" t="n">
        <v>6361</v>
      </c>
      <c r="I85" s="92" t="n">
        <v>6558</v>
      </c>
      <c r="J85" s="92" t="n">
        <v>313.5206917487216</v>
      </c>
      <c r="K85" s="92" t="n">
        <v>0</v>
      </c>
      <c r="L85" s="94" t="n">
        <v>28455.13</v>
      </c>
      <c r="M85" s="92" t="n">
        <v>450708.7431</v>
      </c>
      <c r="N85" s="94" t="n">
        <v>17903617.28</v>
      </c>
      <c r="O85" s="94" t="n">
        <v>26250.6168</v>
      </c>
      <c r="P85" s="94" t="n">
        <v>393.117</v>
      </c>
      <c r="Q85" s="92" t="n">
        <v>6122.6</v>
      </c>
      <c r="R85" s="94" t="n">
        <v>334749684.0839</v>
      </c>
      <c r="S85" s="94" t="n">
        <v>999811918.9765</v>
      </c>
      <c r="T85" s="95">
        <f>IF(OR(R85="",R84=""),"",R85-R84)</f>
        <v/>
      </c>
      <c r="U85" s="95">
        <f>IF(OR(S85="",S84=""),"",S85-S84)</f>
        <v/>
      </c>
      <c r="V85" s="95">
        <f>IF(OR(U85="",P85=""),"",U85+P85)</f>
        <v/>
      </c>
      <c r="W85" s="95">
        <f>IF(OR(T85="",O85="",P85=""),"",T85-O85+P85)</f>
        <v/>
      </c>
    </row>
    <row r="86">
      <c r="A86" s="35" t="n">
        <v>45740</v>
      </c>
      <c r="B86" s="92" t="n">
        <v>5105825634.546457</v>
      </c>
      <c r="C86" s="92" t="n"/>
      <c r="D86" s="92" t="n">
        <v>0</v>
      </c>
      <c r="E86" s="92" t="n">
        <v>829053.8093</v>
      </c>
      <c r="F86" s="92" t="n">
        <v>0</v>
      </c>
      <c r="G86" s="92" t="n">
        <v>0</v>
      </c>
      <c r="H86" s="92" t="n">
        <v>18609</v>
      </c>
      <c r="I86" s="92" t="n">
        <v>19185</v>
      </c>
      <c r="J86" s="92" t="n">
        <v>377.7330302472752</v>
      </c>
      <c r="K86" s="92" t="n">
        <v>49980</v>
      </c>
      <c r="L86" s="94" t="n">
        <v>49430.03</v>
      </c>
      <c r="M86" s="92" t="n">
        <v>829053.8093</v>
      </c>
      <c r="N86" s="94" t="n">
        <v>17953047.31</v>
      </c>
      <c r="O86" s="94" t="n">
        <v>26407.9725</v>
      </c>
      <c r="P86" s="94" t="n">
        <v>282.117</v>
      </c>
      <c r="Q86" s="92" t="n">
        <v>4596.11</v>
      </c>
      <c r="R86" s="94" t="n">
        <v>334761309.1772</v>
      </c>
      <c r="S86" s="94" t="n">
        <v>999811636.8595001</v>
      </c>
      <c r="T86" s="95">
        <f>IF(OR(R86="",R85=""),"",R86-R85)</f>
        <v/>
      </c>
      <c r="U86" s="95">
        <f>IF(OR(S86="",S85=""),"",S86-S85)</f>
        <v/>
      </c>
      <c r="V86" s="95">
        <f>IF(OR(U86="",P86=""),"",U86+P86)</f>
        <v/>
      </c>
      <c r="W86" s="95">
        <f>IF(OR(T86="",O86="",P86=""),"",T86-O86+P86)</f>
        <v/>
      </c>
    </row>
    <row r="87">
      <c r="A87" s="35" t="n">
        <v>45741</v>
      </c>
      <c r="B87" s="92" t="n">
        <v>3932030198.711734</v>
      </c>
      <c r="C87" s="92" t="n"/>
      <c r="D87" s="92" t="n">
        <v>0</v>
      </c>
      <c r="E87" s="92" t="n">
        <v>1041581.334</v>
      </c>
      <c r="F87" s="92" t="n">
        <v>0</v>
      </c>
      <c r="G87" s="92" t="n">
        <v>0</v>
      </c>
      <c r="H87" s="92" t="n">
        <v>11179</v>
      </c>
      <c r="I87" s="92" t="n">
        <v>11525</v>
      </c>
      <c r="J87" s="92" t="n">
        <v>325.8671064719514</v>
      </c>
      <c r="K87" s="92" t="n">
        <v>63542.04</v>
      </c>
      <c r="L87" s="94" t="n">
        <v>63584.4</v>
      </c>
      <c r="M87" s="92" t="n">
        <v>1041581.334</v>
      </c>
      <c r="N87" s="94" t="n">
        <v>18016631.71</v>
      </c>
      <c r="O87" s="94" t="n">
        <v>26408.1199</v>
      </c>
      <c r="P87" s="94" t="n">
        <v>874.4752</v>
      </c>
      <c r="Q87" s="92" t="n">
        <v>14662.32</v>
      </c>
      <c r="R87" s="94" t="n">
        <v>334772362.5115</v>
      </c>
      <c r="S87" s="94" t="n">
        <v>999810762.3843</v>
      </c>
      <c r="T87" s="95">
        <f>IF(OR(R87="",R86=""),"",R87-R86)</f>
        <v/>
      </c>
      <c r="U87" s="95">
        <f>IF(OR(S87="",S86=""),"",S87-S86)</f>
        <v/>
      </c>
      <c r="V87" s="95">
        <f>IF(OR(U87="",P87=""),"",U87+P87)</f>
        <v/>
      </c>
      <c r="W87" s="95">
        <f>IF(OR(T87="",O87="",P87=""),"",T87-O87+P87)</f>
        <v/>
      </c>
    </row>
    <row r="88">
      <c r="A88" s="35" t="n">
        <v>45742</v>
      </c>
      <c r="B88" s="92" t="n">
        <v>4546459279.561303</v>
      </c>
      <c r="C88" s="92" t="n"/>
      <c r="D88" s="92" t="n">
        <v>0</v>
      </c>
      <c r="E88" s="92" t="n">
        <v>829339.3903</v>
      </c>
      <c r="F88" s="92" t="n">
        <v>0</v>
      </c>
      <c r="G88" s="92" t="n">
        <v>0</v>
      </c>
      <c r="H88" s="92" t="n">
        <v>60200</v>
      </c>
      <c r="I88" s="92" t="n">
        <v>62061</v>
      </c>
      <c r="J88" s="92" t="n">
        <v>520.8885075694191</v>
      </c>
      <c r="K88" s="92" t="n">
        <v>0</v>
      </c>
      <c r="L88" s="94" t="n">
        <v>57631.29</v>
      </c>
      <c r="M88" s="92" t="n">
        <v>829339.3903</v>
      </c>
      <c r="N88" s="94" t="n">
        <v>18074263</v>
      </c>
      <c r="O88" s="94" t="n">
        <v>26422.3743</v>
      </c>
      <c r="P88" s="94" t="n">
        <v>418.2386</v>
      </c>
      <c r="Q88" s="92" t="n">
        <v>6705.62</v>
      </c>
      <c r="R88" s="94" t="n">
        <v>334783883.8816</v>
      </c>
      <c r="S88" s="94" t="n">
        <v>999810344.1457</v>
      </c>
      <c r="T88" s="95">
        <f>IF(OR(R88="",R87=""),"",R88-R87)</f>
        <v/>
      </c>
      <c r="U88" s="95">
        <f>IF(OR(S88="",S87=""),"",S88-S87)</f>
        <v/>
      </c>
      <c r="V88" s="95">
        <f>IF(OR(U88="",P88=""),"",U88+P88)</f>
        <v/>
      </c>
      <c r="W88" s="95">
        <f>IF(OR(T88="",O88="",P88=""),"",T88-O88+P88)</f>
        <v/>
      </c>
    </row>
    <row r="89">
      <c r="A89" s="35" t="n">
        <v>45743</v>
      </c>
      <c r="B89" s="92" t="n">
        <v>2968017787.671563</v>
      </c>
      <c r="C89" s="92" t="n"/>
      <c r="D89" s="92" t="n">
        <v>0</v>
      </c>
      <c r="E89" s="92" t="n">
        <v>1118366.468</v>
      </c>
      <c r="F89" s="92" t="n">
        <v>0</v>
      </c>
      <c r="G89" s="92" t="n">
        <v>0</v>
      </c>
      <c r="H89" s="92" t="n">
        <v>11862</v>
      </c>
      <c r="I89" s="92" t="n">
        <v>12229</v>
      </c>
      <c r="J89" s="92" t="n">
        <v>170.7250606801719</v>
      </c>
      <c r="K89" s="92" t="n">
        <v>145034.84</v>
      </c>
      <c r="L89" s="94" t="n">
        <v>77117.5</v>
      </c>
      <c r="M89" s="92" t="n">
        <v>1118366.468</v>
      </c>
      <c r="N89" s="94" t="n">
        <v>18151380.5</v>
      </c>
      <c r="O89" s="94" t="n">
        <v>26404.3816</v>
      </c>
      <c r="P89" s="94" t="n">
        <v>3348.6945</v>
      </c>
      <c r="Q89" s="92" t="n">
        <v>47070.92</v>
      </c>
      <c r="R89" s="94" t="n">
        <v>334792463.6356</v>
      </c>
      <c r="S89" s="94" t="n">
        <v>999806995.4512</v>
      </c>
      <c r="T89" s="95">
        <f>IF(OR(R89="",R88=""),"",R89-R88)</f>
        <v/>
      </c>
      <c r="U89" s="95">
        <f>IF(OR(S89="",S88=""),"",S89-S88)</f>
        <v/>
      </c>
      <c r="V89" s="95">
        <f>IF(OR(U89="",P89=""),"",U89+P89)</f>
        <v/>
      </c>
      <c r="W89" s="95">
        <f>IF(OR(T89="",O89="",P89=""),"",T89-O89+P89)</f>
        <v/>
      </c>
    </row>
    <row r="90">
      <c r="A90" s="35" t="n">
        <v>45744</v>
      </c>
      <c r="B90" s="92" t="n">
        <v>4696027441.767789</v>
      </c>
      <c r="C90" s="92" t="n"/>
      <c r="D90" s="92" t="n">
        <v>0</v>
      </c>
      <c r="E90" s="92" t="n">
        <v>828868.4987</v>
      </c>
      <c r="F90" s="92" t="n">
        <v>0</v>
      </c>
      <c r="G90" s="92" t="n">
        <v>0</v>
      </c>
      <c r="H90" s="92" t="n">
        <v>17635</v>
      </c>
      <c r="I90" s="92" t="n">
        <v>18181</v>
      </c>
      <c r="J90" s="92" t="n">
        <v>148.9020700611663</v>
      </c>
      <c r="K90" s="92" t="n">
        <v>0</v>
      </c>
      <c r="L90" s="94" t="n">
        <v>62740.01</v>
      </c>
      <c r="M90" s="92" t="n">
        <v>828868.4987</v>
      </c>
      <c r="N90" s="94" t="n">
        <v>18214120.51</v>
      </c>
      <c r="O90" s="94" t="n">
        <v>26355.4575</v>
      </c>
      <c r="P90" s="94" t="n">
        <v>572.3714</v>
      </c>
      <c r="Q90" s="92" t="n">
        <v>8353.190000000001</v>
      </c>
      <c r="R90" s="94" t="n">
        <v>334803747.7969</v>
      </c>
      <c r="S90" s="94" t="n">
        <v>999806423.0798</v>
      </c>
      <c r="T90" s="95">
        <f>IF(OR(R90="",R89=""),"",R90-R89)</f>
        <v/>
      </c>
      <c r="U90" s="95">
        <f>IF(OR(S90="",S89=""),"",S90-S89)</f>
        <v/>
      </c>
      <c r="V90" s="95">
        <f>IF(OR(U90="",P90=""),"",U90+P90)</f>
        <v/>
      </c>
      <c r="W90" s="95">
        <f>IF(OR(T90="",O90="",P90=""),"",T90-O90+P90)</f>
        <v/>
      </c>
    </row>
    <row r="91">
      <c r="A91" s="35" t="n">
        <v>45745</v>
      </c>
      <c r="B91" s="92" t="n">
        <v>3300437272.578557</v>
      </c>
      <c r="C91" s="92" t="n"/>
      <c r="D91" s="92" t="n">
        <v>0</v>
      </c>
      <c r="E91" s="92" t="n">
        <v>901117.2336</v>
      </c>
      <c r="F91" s="92" t="n">
        <v>0</v>
      </c>
      <c r="G91" s="92" t="n">
        <v>0</v>
      </c>
      <c r="H91" s="92" t="n">
        <v>12226</v>
      </c>
      <c r="I91" s="92" t="n">
        <v>12604</v>
      </c>
      <c r="J91" s="92" t="n">
        <v>123.1480614605451</v>
      </c>
      <c r="K91" s="92" t="n">
        <v>53370.55</v>
      </c>
      <c r="L91" s="94" t="n">
        <v>70357.02</v>
      </c>
      <c r="M91" s="92" t="n">
        <v>901117.2336</v>
      </c>
      <c r="N91" s="94" t="n">
        <v>18284477.53</v>
      </c>
      <c r="O91" s="94" t="n">
        <v>26368.156</v>
      </c>
      <c r="P91" s="94" t="n">
        <v>574.8896</v>
      </c>
      <c r="Q91" s="92" t="n">
        <v>7698.63</v>
      </c>
      <c r="R91" s="94" t="n">
        <v>334815048.8904</v>
      </c>
      <c r="S91" s="94" t="n">
        <v>999805848.1902</v>
      </c>
      <c r="T91" s="95">
        <f>IF(OR(R91="",R90=""),"",R91-R90)</f>
        <v/>
      </c>
      <c r="U91" s="95">
        <f>IF(OR(S91="",S90=""),"",S91-S90)</f>
        <v/>
      </c>
      <c r="V91" s="95">
        <f>IF(OR(U91="",P91=""),"",U91+P91)</f>
        <v/>
      </c>
      <c r="W91" s="95">
        <f>IF(OR(T91="",O91="",P91=""),"",T91-O91+P91)</f>
        <v/>
      </c>
    </row>
    <row r="92">
      <c r="A92" s="35" t="n">
        <v>45746</v>
      </c>
      <c r="B92" s="92" t="n">
        <v>2774062341.433435</v>
      </c>
      <c r="C92" s="92" t="n"/>
      <c r="D92" s="92" t="n">
        <v>0</v>
      </c>
      <c r="E92" s="92" t="n">
        <v>696924.2389999999</v>
      </c>
      <c r="F92" s="92" t="n">
        <v>0</v>
      </c>
      <c r="G92" s="92" t="n">
        <v>0</v>
      </c>
      <c r="H92" s="92" t="n">
        <v>7203</v>
      </c>
      <c r="I92" s="92" t="n">
        <v>7425</v>
      </c>
      <c r="J92" s="92" t="n">
        <v>101.8783737082079</v>
      </c>
      <c r="K92" s="92" t="n">
        <v>45820.11</v>
      </c>
      <c r="L92" s="94" t="n">
        <v>55468.07</v>
      </c>
      <c r="M92" s="92" t="n">
        <v>696924.2389999999</v>
      </c>
      <c r="N92" s="94" t="n">
        <v>18339945.6</v>
      </c>
      <c r="O92" s="94" t="n">
        <v>26361.1944</v>
      </c>
      <c r="P92" s="94" t="n">
        <v>564.418</v>
      </c>
      <c r="Q92" s="92" t="n">
        <v>7222.57</v>
      </c>
      <c r="R92" s="94" t="n">
        <v>334826339.7432</v>
      </c>
      <c r="S92" s="94" t="n">
        <v>999805283.7722</v>
      </c>
      <c r="T92" s="95">
        <f>IF(OR(R92="",R91=""),"",R92-R91)</f>
        <v/>
      </c>
      <c r="U92" s="95">
        <f>IF(OR(S92="",S91=""),"",S92-S91)</f>
        <v/>
      </c>
      <c r="V92" s="95">
        <f>IF(OR(U92="",P92=""),"",U92+P92)</f>
        <v/>
      </c>
      <c r="W92" s="95">
        <f>IF(OR(T92="",O92="",P92=""),"",T92-O92+P92)</f>
        <v/>
      </c>
    </row>
    <row r="93">
      <c r="A93" s="35" t="n">
        <v>45747</v>
      </c>
      <c r="B93" s="92" t="n">
        <v>5786815779.419011</v>
      </c>
      <c r="C93" s="92" t="n"/>
      <c r="D93" s="92" t="n">
        <v>0</v>
      </c>
      <c r="E93" s="92" t="n">
        <v>895707.816</v>
      </c>
      <c r="F93" s="92" t="n">
        <v>0</v>
      </c>
      <c r="G93" s="92" t="n">
        <v>0</v>
      </c>
      <c r="H93" s="92" t="n">
        <v>12269</v>
      </c>
      <c r="I93" s="92" t="n">
        <v>12648</v>
      </c>
      <c r="J93" s="92" t="n">
        <v>396.5736642050702</v>
      </c>
      <c r="K93" s="92" t="n">
        <v>0</v>
      </c>
      <c r="L93" s="94" t="n">
        <v>68018.00999999999</v>
      </c>
      <c r="M93" s="92" t="n">
        <v>895707.816</v>
      </c>
      <c r="N93" s="94" t="n">
        <v>18407963.61</v>
      </c>
      <c r="O93" s="94" t="n">
        <v>26329.3381</v>
      </c>
      <c r="P93" s="94" t="n">
        <v>300.1917</v>
      </c>
      <c r="Q93" s="92" t="n">
        <v>3746.69</v>
      </c>
      <c r="R93" s="94" t="n">
        <v>334837845.1698</v>
      </c>
      <c r="S93" s="94" t="n">
        <v>999804983.5805</v>
      </c>
      <c r="T93" s="95">
        <f>IF(OR(R93="",R92=""),"",R93-R92)</f>
        <v/>
      </c>
      <c r="U93" s="95">
        <f>IF(OR(S93="",S92=""),"",S93-S92)</f>
        <v/>
      </c>
      <c r="V93" s="95">
        <f>IF(OR(U93="",P93=""),"",U93+P93)</f>
        <v/>
      </c>
      <c r="W93" s="95">
        <f>IF(OR(T93="",O93="",P93=""),"",T93-O93+P93)</f>
        <v/>
      </c>
    </row>
    <row r="94">
      <c r="A94" s="35" t="n">
        <v>45748</v>
      </c>
      <c r="B94" s="92" t="n">
        <v>5024540120.028457</v>
      </c>
      <c r="C94" s="92" t="n"/>
      <c r="D94" s="92" t="n">
        <v>0</v>
      </c>
      <c r="E94" s="92" t="n">
        <v>1148306.088</v>
      </c>
      <c r="F94" s="92" t="n">
        <v>0</v>
      </c>
      <c r="G94" s="92" t="n">
        <v>0</v>
      </c>
      <c r="H94" s="92" t="n">
        <v>8930</v>
      </c>
      <c r="I94" s="92" t="n">
        <v>9206</v>
      </c>
      <c r="J94" s="92" t="n">
        <v>239.9249564471868</v>
      </c>
      <c r="K94" s="92" t="n">
        <v>49127.38</v>
      </c>
      <c r="L94" s="94" t="n">
        <v>85214.7</v>
      </c>
      <c r="M94" s="92" t="n">
        <v>1148306.088</v>
      </c>
      <c r="N94" s="94" t="n">
        <v>18493178.31</v>
      </c>
      <c r="O94" s="94" t="n">
        <v>26348.1635</v>
      </c>
      <c r="P94" s="94" t="n">
        <v>564.9225</v>
      </c>
      <c r="Q94" s="92" t="n">
        <v>7337.5</v>
      </c>
      <c r="R94" s="94" t="n">
        <v>334849120.4282</v>
      </c>
      <c r="S94" s="94" t="n">
        <v>999804418.658</v>
      </c>
      <c r="T94" s="95">
        <f>IF(OR(R94="",R93=""),"",R94-R93)</f>
        <v/>
      </c>
      <c r="U94" s="95">
        <f>IF(OR(S94="",S93=""),"",S94-S93)</f>
        <v/>
      </c>
      <c r="V94" s="95">
        <f>IF(OR(U94="",P94=""),"",U94+P94)</f>
        <v/>
      </c>
      <c r="W94" s="95">
        <f>IF(OR(T94="",O94="",P94=""),"",T94-O94+P94)</f>
        <v/>
      </c>
    </row>
    <row r="95">
      <c r="A95" s="35" t="n">
        <v>45749</v>
      </c>
      <c r="B95" s="92" t="n">
        <v>8109376458.284445</v>
      </c>
      <c r="C95" s="92" t="n"/>
      <c r="D95" s="92" t="n">
        <v>0</v>
      </c>
      <c r="E95" s="92" t="n">
        <v>999399.2316000001</v>
      </c>
      <c r="F95" s="92" t="n">
        <v>0</v>
      </c>
      <c r="G95" s="92" t="n">
        <v>0</v>
      </c>
      <c r="H95" s="92" t="n">
        <v>21650</v>
      </c>
      <c r="I95" s="92" t="n">
        <v>22319</v>
      </c>
      <c r="J95" s="92" t="n">
        <v>190.268371598262</v>
      </c>
      <c r="K95" s="92" t="n">
        <v>40627.7</v>
      </c>
      <c r="L95" s="94" t="n">
        <v>83892.06</v>
      </c>
      <c r="M95" s="92" t="n">
        <v>999399.2316000001</v>
      </c>
      <c r="N95" s="94" t="n">
        <v>18577070.37</v>
      </c>
      <c r="O95" s="94" t="n">
        <v>6623.2099</v>
      </c>
      <c r="P95" s="94" t="n">
        <v>54.2361</v>
      </c>
      <c r="Q95" s="92" t="n">
        <v>706.9400000000001</v>
      </c>
      <c r="R95" s="94" t="n">
        <v>334852487.956</v>
      </c>
      <c r="S95" s="94" t="n">
        <v>999803866.1991</v>
      </c>
      <c r="T95" s="95">
        <f>IF(OR(R95="",R94=""),"",R95-R94)</f>
        <v/>
      </c>
      <c r="U95" s="95">
        <f>IF(OR(S95="",S94=""),"",S95-S94)</f>
        <v/>
      </c>
      <c r="V95" s="95">
        <f>IF(OR(U95="",P95=""),"",U95+P95)</f>
        <v/>
      </c>
      <c r="W95" s="95">
        <f>IF(OR(T95="",O95="",P95=""),"",T95-O95+P95)</f>
        <v/>
      </c>
    </row>
    <row r="96">
      <c r="A96" s="35" t="n">
        <v>45750</v>
      </c>
      <c r="B96" s="92" t="n">
        <v>5930229209.413551</v>
      </c>
      <c r="C96" s="92" t="n"/>
      <c r="D96" s="92" t="n">
        <v>0</v>
      </c>
      <c r="E96" s="92" t="n">
        <v>1706987.162</v>
      </c>
      <c r="F96" s="92" t="n">
        <v>0</v>
      </c>
      <c r="G96" s="92" t="n">
        <v>0</v>
      </c>
      <c r="H96" s="92" t="n">
        <v>17941</v>
      </c>
      <c r="I96" s="92" t="n">
        <v>18496</v>
      </c>
      <c r="J96" s="92" t="n">
        <v>137.8949377601271</v>
      </c>
      <c r="K96" s="92" t="n">
        <v>43356.89</v>
      </c>
      <c r="L96" s="94" t="n">
        <v>147349.1</v>
      </c>
      <c r="M96" s="92" t="n">
        <v>1706987.162</v>
      </c>
      <c r="N96" s="94" t="n">
        <v>18724419.47</v>
      </c>
      <c r="O96" s="94" t="n">
        <v>19999.2249</v>
      </c>
      <c r="P96" s="94" t="n">
        <v>883.6477</v>
      </c>
      <c r="Q96" s="92" t="n">
        <v>10654.14</v>
      </c>
      <c r="R96" s="94" t="n">
        <v>334857081.3299</v>
      </c>
      <c r="S96" s="94" t="n">
        <v>999802982.5513</v>
      </c>
      <c r="T96" s="95">
        <f>IF(OR(R96="",R95=""),"",R96-R95)</f>
        <v/>
      </c>
      <c r="U96" s="95">
        <f>IF(OR(S96="",S95=""),"",S96-S95)</f>
        <v/>
      </c>
      <c r="V96" s="95">
        <f>IF(OR(U96="",P96=""),"",U96+P96)</f>
        <v/>
      </c>
      <c r="W96" s="95">
        <f>IF(OR(T96="",O96="",P96=""),"",T96-O96+P96)</f>
        <v/>
      </c>
    </row>
    <row r="97">
      <c r="A97" s="35" t="n">
        <v>45751</v>
      </c>
      <c r="B97" s="92" t="n">
        <v>7751080977.472291</v>
      </c>
      <c r="C97" s="92" t="n"/>
      <c r="D97" s="92" t="n">
        <v>0</v>
      </c>
      <c r="E97" s="92" t="n">
        <v>1341664.156</v>
      </c>
      <c r="F97" s="92" t="n">
        <v>0</v>
      </c>
      <c r="G97" s="92" t="n">
        <v>0</v>
      </c>
      <c r="H97" s="92" t="n">
        <v>16969</v>
      </c>
      <c r="I97" s="92" t="n">
        <v>17493</v>
      </c>
      <c r="J97" s="92" t="n">
        <v>141.3380405329709</v>
      </c>
      <c r="K97" s="92" t="n">
        <v>47949.77</v>
      </c>
      <c r="L97" s="94" t="n">
        <v>110859.2</v>
      </c>
      <c r="M97" s="92" t="n">
        <v>1341664.156</v>
      </c>
      <c r="N97" s="94" t="n">
        <v>18835278.67</v>
      </c>
      <c r="O97" s="94" t="n">
        <v>26342.9936</v>
      </c>
      <c r="P97" s="94" t="n">
        <v>1167.9452</v>
      </c>
      <c r="Q97" s="92" t="n">
        <v>13761.9</v>
      </c>
      <c r="R97" s="94" t="n">
        <v>334867729.5761</v>
      </c>
      <c r="S97" s="94" t="n">
        <v>999801814.6061</v>
      </c>
      <c r="T97" s="95">
        <f>IF(OR(R97="",R96=""),"",R97-R96)</f>
        <v/>
      </c>
      <c r="U97" s="95">
        <f>IF(OR(S97="",S96=""),"",S97-S96)</f>
        <v/>
      </c>
      <c r="V97" s="95">
        <f>IF(OR(U97="",P97=""),"",U97+P97)</f>
        <v/>
      </c>
      <c r="W97" s="95">
        <f>IF(OR(T97="",O97="",P97=""),"",T97-O97+P97)</f>
        <v/>
      </c>
    </row>
    <row r="98">
      <c r="A98" s="35" t="n">
        <v>45752</v>
      </c>
      <c r="B98" s="92" t="n">
        <v>2430774311.148821</v>
      </c>
      <c r="C98" s="92" t="n"/>
      <c r="D98" s="92" t="n">
        <v>0</v>
      </c>
      <c r="E98" s="92" t="n">
        <v>1806393.176</v>
      </c>
      <c r="F98" s="92" t="n">
        <v>0</v>
      </c>
      <c r="G98" s="92" t="n">
        <v>0</v>
      </c>
      <c r="H98" s="92" t="n">
        <v>5986</v>
      </c>
      <c r="I98" s="92" t="n">
        <v>6171</v>
      </c>
      <c r="J98" s="92" t="n">
        <v>70.23900232124376</v>
      </c>
      <c r="K98" s="92" t="n">
        <v>0</v>
      </c>
      <c r="L98" s="94" t="n">
        <v>153210.93</v>
      </c>
      <c r="M98" s="92" t="n">
        <v>1806393.176</v>
      </c>
      <c r="N98" s="94" t="n">
        <v>18988489.6</v>
      </c>
      <c r="O98" s="94" t="n">
        <v>26344.3158</v>
      </c>
      <c r="P98" s="94" t="n">
        <v>1096.1885</v>
      </c>
      <c r="Q98" s="92" t="n">
        <v>13080.82</v>
      </c>
      <c r="R98" s="94" t="n">
        <v>334878442.0279</v>
      </c>
      <c r="S98" s="94" t="n">
        <v>999800718.4176</v>
      </c>
      <c r="T98" s="95">
        <f>IF(OR(R98="",R97=""),"",R98-R97)</f>
        <v/>
      </c>
      <c r="U98" s="95">
        <f>IF(OR(S98="",S97=""),"",S98-S97)</f>
        <v/>
      </c>
      <c r="V98" s="95">
        <f>IF(OR(U98="",P98=""),"",U98+P98)</f>
        <v/>
      </c>
      <c r="W98" s="95">
        <f>IF(OR(T98="",O98="",P98=""),"",T98-O98+P98)</f>
        <v/>
      </c>
    </row>
    <row r="99">
      <c r="A99" s="35" t="n">
        <v>45753</v>
      </c>
      <c r="B99" s="92" t="n">
        <v>7538397804.353545</v>
      </c>
      <c r="C99" s="92" t="n"/>
      <c r="D99" s="92" t="n">
        <v>0</v>
      </c>
      <c r="E99" s="92" t="n">
        <v>456748.8161</v>
      </c>
      <c r="F99" s="92" t="n">
        <v>0</v>
      </c>
      <c r="G99" s="92" t="n">
        <v>0</v>
      </c>
      <c r="H99" s="92" t="n">
        <v>17780</v>
      </c>
      <c r="I99" s="92" t="n">
        <v>18329</v>
      </c>
      <c r="J99" s="92" t="n">
        <v>86.21783880466637</v>
      </c>
      <c r="K99" s="92" t="n">
        <v>31043.55</v>
      </c>
      <c r="L99" s="94" t="n">
        <v>42454.63</v>
      </c>
      <c r="M99" s="92" t="n">
        <v>456748.8161</v>
      </c>
      <c r="N99" s="94" t="n">
        <v>19030944.23</v>
      </c>
      <c r="O99" s="94" t="n">
        <v>26306.8726</v>
      </c>
      <c r="P99" s="94" t="n">
        <v>316.5482</v>
      </c>
      <c r="Q99" s="92" t="n">
        <v>3773.73</v>
      </c>
      <c r="R99" s="94" t="n">
        <v>334889895.6273</v>
      </c>
      <c r="S99" s="94" t="n">
        <v>999800401.8694</v>
      </c>
      <c r="T99" s="95">
        <f>IF(OR(R99="",R98=""),"",R99-R98)</f>
        <v/>
      </c>
      <c r="U99" s="95">
        <f>IF(OR(S99="",S98=""),"",S99-S98)</f>
        <v/>
      </c>
      <c r="V99" s="95">
        <f>IF(OR(U99="",P99=""),"",U99+P99)</f>
        <v/>
      </c>
      <c r="W99" s="95">
        <f>IF(OR(T99="",O99="",P99=""),"",T99-O99+P99)</f>
        <v/>
      </c>
    </row>
    <row r="100">
      <c r="A100" s="35" t="n">
        <v>45754</v>
      </c>
      <c r="B100" s="92" t="n">
        <v>13309974115.71172</v>
      </c>
      <c r="C100" s="92" t="n"/>
      <c r="D100" s="92" t="n">
        <v>0</v>
      </c>
      <c r="E100" s="92" t="n">
        <v>2696151.302</v>
      </c>
      <c r="F100" s="92" t="n">
        <v>0</v>
      </c>
      <c r="G100" s="92" t="n">
        <v>0</v>
      </c>
      <c r="H100" s="92" t="n">
        <v>34970</v>
      </c>
      <c r="I100" s="92" t="n">
        <v>36051</v>
      </c>
      <c r="J100" s="92" t="n">
        <v>159.4357757973535</v>
      </c>
      <c r="K100" s="92" t="n">
        <v>21948.67</v>
      </c>
      <c r="L100" s="94" t="n">
        <v>256254.02</v>
      </c>
      <c r="M100" s="92" t="n">
        <v>2696151.302</v>
      </c>
      <c r="N100" s="94" t="n">
        <v>19287198.25</v>
      </c>
      <c r="O100" s="94" t="n">
        <v>26316.4147</v>
      </c>
      <c r="P100" s="94" t="n">
        <v>939.6004</v>
      </c>
      <c r="Q100" s="92" t="n">
        <v>9419.02</v>
      </c>
      <c r="R100" s="94" t="n">
        <v>334900746.749</v>
      </c>
      <c r="S100" s="94" t="n">
        <v>999799462.2690001</v>
      </c>
      <c r="T100" s="95">
        <f>IF(OR(R100="",R99=""),"",R100-R99)</f>
        <v/>
      </c>
      <c r="U100" s="95">
        <f>IF(OR(S100="",S99=""),"",S100-S99)</f>
        <v/>
      </c>
      <c r="V100" s="95">
        <f>IF(OR(U100="",P100=""),"",U100+P100)</f>
        <v/>
      </c>
      <c r="W100" s="95">
        <f>IF(OR(T100="",O100="",P100=""),"",T100-O100+P100)</f>
        <v/>
      </c>
    </row>
    <row r="101">
      <c r="A101" s="35" t="n">
        <v>45755</v>
      </c>
      <c r="B101" s="92" t="n">
        <v>7663480477.189616</v>
      </c>
      <c r="C101" s="92" t="n"/>
      <c r="D101" s="92" t="n">
        <v>0</v>
      </c>
      <c r="E101" s="92" t="n">
        <v>2383035.646</v>
      </c>
      <c r="F101" s="92" t="n">
        <v>0</v>
      </c>
      <c r="G101" s="92" t="n">
        <v>0</v>
      </c>
      <c r="H101" s="92" t="n">
        <v>20270</v>
      </c>
      <c r="I101" s="92" t="n">
        <v>20897</v>
      </c>
      <c r="J101" s="92" t="n">
        <v>260.9064576519706</v>
      </c>
      <c r="K101" s="92" t="n">
        <v>27563.24</v>
      </c>
      <c r="L101" s="94" t="n">
        <v>209565.99</v>
      </c>
      <c r="M101" s="92" t="n">
        <v>2383035.646</v>
      </c>
      <c r="N101" s="94" t="n">
        <v>19496764.24</v>
      </c>
      <c r="O101" s="94" t="n">
        <v>26338.7732</v>
      </c>
      <c r="P101" s="94" t="n">
        <v>2135.0213</v>
      </c>
      <c r="Q101" s="92" t="n">
        <v>24777.99</v>
      </c>
      <c r="R101" s="94" t="n">
        <v>334910440.7622</v>
      </c>
      <c r="S101" s="94" t="n">
        <v>999797327.2477</v>
      </c>
      <c r="T101" s="95">
        <f>IF(OR(R101="",R100=""),"",R101-R100)</f>
        <v/>
      </c>
      <c r="U101" s="95">
        <f>IF(OR(S101="",S100=""),"",S101-S100)</f>
        <v/>
      </c>
      <c r="V101" s="95">
        <f>IF(OR(U101="",P101=""),"",U101+P101)</f>
        <v/>
      </c>
      <c r="W101" s="95">
        <f>IF(OR(T101="",O101="",P101=""),"",T101-O101+P101)</f>
        <v/>
      </c>
    </row>
    <row r="102">
      <c r="A102" s="35" t="n">
        <v>45756</v>
      </c>
      <c r="B102" s="92" t="n">
        <v>12444620477.97867</v>
      </c>
      <c r="C102" s="92" t="n"/>
      <c r="D102" s="92" t="n">
        <v>0</v>
      </c>
      <c r="E102" s="92" t="n">
        <v>2265416.302</v>
      </c>
      <c r="F102" s="92" t="n">
        <v>0</v>
      </c>
      <c r="G102" s="92" t="n">
        <v>0</v>
      </c>
      <c r="H102" s="92" t="n">
        <v>35768</v>
      </c>
      <c r="I102" s="92" t="n">
        <v>36874</v>
      </c>
      <c r="J102" s="92" t="n">
        <v>1499.456863071</v>
      </c>
      <c r="K102" s="92" t="n">
        <v>0</v>
      </c>
      <c r="L102" s="94" t="n">
        <v>177028.08</v>
      </c>
      <c r="M102" s="92" t="n">
        <v>2265416.302</v>
      </c>
      <c r="N102" s="94" t="n">
        <v>19673792.32</v>
      </c>
      <c r="O102" s="94" t="n">
        <v>26379.045</v>
      </c>
      <c r="P102" s="94" t="n">
        <v>1189.0274</v>
      </c>
      <c r="Q102" s="92" t="n">
        <v>13705.32</v>
      </c>
      <c r="R102" s="94" t="n">
        <v>334921113.5882</v>
      </c>
      <c r="S102" s="94" t="n">
        <v>999796138.2203</v>
      </c>
      <c r="T102" s="95">
        <f>IF(OR(R102="",R101=""),"",R102-R101)</f>
        <v/>
      </c>
      <c r="U102" s="95">
        <f>IF(OR(S102="",S101=""),"",S102-S101)</f>
        <v/>
      </c>
      <c r="V102" s="95">
        <f>IF(OR(U102="",P102=""),"",U102+P102)</f>
        <v/>
      </c>
      <c r="W102" s="95">
        <f>IF(OR(T102="",O102="",P102=""),"",T102-O102+P102)</f>
        <v/>
      </c>
    </row>
    <row r="103">
      <c r="A103" s="35" t="n">
        <v>45757</v>
      </c>
      <c r="B103" s="92" t="n">
        <v>7229336568.384927</v>
      </c>
      <c r="C103" s="92" t="n"/>
      <c r="D103" s="92" t="n">
        <v>0</v>
      </c>
      <c r="E103" s="92" t="n">
        <v>2469028.056</v>
      </c>
      <c r="F103" s="92" t="n">
        <v>0</v>
      </c>
      <c r="G103" s="92" t="n">
        <v>0</v>
      </c>
      <c r="H103" s="92" t="n">
        <v>22023</v>
      </c>
      <c r="I103" s="92" t="n">
        <v>22705</v>
      </c>
      <c r="J103" s="92" t="n">
        <v>1905.243982577854</v>
      </c>
      <c r="K103" s="92" t="n">
        <v>34630.96</v>
      </c>
      <c r="L103" s="94" t="n">
        <v>179849.25</v>
      </c>
      <c r="M103" s="92" t="n">
        <v>2469028.056</v>
      </c>
      <c r="N103" s="94" t="n">
        <v>19853641.57</v>
      </c>
      <c r="O103" s="94" t="n">
        <v>26339.0337</v>
      </c>
      <c r="P103" s="94" t="n">
        <v>2125.1637</v>
      </c>
      <c r="Q103" s="92" t="n">
        <v>28758.78</v>
      </c>
      <c r="R103" s="94" t="n">
        <v>334930806.6489</v>
      </c>
      <c r="S103" s="94" t="n">
        <v>999794013.0566</v>
      </c>
      <c r="T103" s="95">
        <f>IF(OR(R103="",R102=""),"",R103-R102)</f>
        <v/>
      </c>
      <c r="U103" s="95">
        <f>IF(OR(S103="",S102=""),"",S103-S102)</f>
        <v/>
      </c>
      <c r="V103" s="95">
        <f>IF(OR(U103="",P103=""),"",U103+P103)</f>
        <v/>
      </c>
      <c r="W103" s="95">
        <f>IF(OR(T103="",O103="",P103=""),"",T103-O103+P103)</f>
        <v/>
      </c>
    </row>
    <row r="104">
      <c r="A104" s="35" t="n">
        <v>45758</v>
      </c>
      <c r="B104" s="92" t="n">
        <v>5544362890.154925</v>
      </c>
      <c r="C104" s="92" t="n"/>
      <c r="D104" s="92" t="n">
        <v>0</v>
      </c>
      <c r="E104" s="92" t="n">
        <v>1682430.291</v>
      </c>
      <c r="F104" s="92" t="n">
        <v>0</v>
      </c>
      <c r="G104" s="92" t="n">
        <v>0</v>
      </c>
      <c r="H104" s="92" t="n">
        <v>23717</v>
      </c>
      <c r="I104" s="92" t="n">
        <v>24450</v>
      </c>
      <c r="J104" s="92" t="n">
        <v>2810.807794830194</v>
      </c>
      <c r="K104" s="92" t="n">
        <v>34139.03</v>
      </c>
      <c r="L104" s="94" t="n">
        <v>109034.1</v>
      </c>
      <c r="M104" s="92" t="n">
        <v>1682430.291</v>
      </c>
      <c r="N104" s="94" t="n">
        <v>19962675.67</v>
      </c>
      <c r="O104" s="94" t="n">
        <v>26358.6189</v>
      </c>
      <c r="P104" s="94" t="n">
        <v>1005.1581</v>
      </c>
      <c r="Q104" s="92" t="n">
        <v>14256.16</v>
      </c>
      <c r="R104" s="94" t="n">
        <v>334941636.0661</v>
      </c>
      <c r="S104" s="94" t="n">
        <v>999793007.8985</v>
      </c>
      <c r="T104" s="95">
        <f>IF(OR(R104="",R103=""),"",R104-R103)</f>
        <v/>
      </c>
      <c r="U104" s="95">
        <f>IF(OR(S104="",S103=""),"",S104-S103)</f>
        <v/>
      </c>
      <c r="V104" s="95">
        <f>IF(OR(U104="",P104=""),"",U104+P104)</f>
        <v/>
      </c>
      <c r="W104" s="95">
        <f>IF(OR(T104="",O104="",P104=""),"",T104-O104+P104)</f>
        <v/>
      </c>
    </row>
    <row r="105">
      <c r="A105" s="35" t="n">
        <v>45759</v>
      </c>
      <c r="B105" s="92" t="n">
        <v>4949382648.127316</v>
      </c>
      <c r="C105" s="92" t="n"/>
      <c r="D105" s="92" t="n">
        <v>0</v>
      </c>
      <c r="E105" s="92" t="n">
        <v>1296921.483</v>
      </c>
      <c r="F105" s="92" t="n">
        <v>0</v>
      </c>
      <c r="G105" s="92" t="n">
        <v>0</v>
      </c>
      <c r="H105" s="92" t="n">
        <v>15230</v>
      </c>
      <c r="I105" s="92" t="n">
        <v>15701</v>
      </c>
      <c r="J105" s="92" t="n">
        <v>2732.477308877567</v>
      </c>
      <c r="K105" s="92" t="n">
        <v>0</v>
      </c>
      <c r="L105" s="94" t="n">
        <v>81751.52</v>
      </c>
      <c r="M105" s="92" t="n">
        <v>1296921.483</v>
      </c>
      <c r="N105" s="94" t="n">
        <v>20044427.19</v>
      </c>
      <c r="O105" s="94" t="n">
        <v>26323.9627</v>
      </c>
      <c r="P105" s="94" t="n">
        <v>1029.4553</v>
      </c>
      <c r="Q105" s="92" t="n">
        <v>15987.44</v>
      </c>
      <c r="R105" s="94" t="n">
        <v>334952392.92</v>
      </c>
      <c r="S105" s="94" t="n">
        <v>999791978.4431</v>
      </c>
      <c r="T105" s="95">
        <f>IF(OR(R105="",R104=""),"",R105-R104)</f>
        <v/>
      </c>
      <c r="U105" s="95">
        <f>IF(OR(S105="",S104=""),"",S105-S104)</f>
        <v/>
      </c>
      <c r="V105" s="95">
        <f>IF(OR(U105="",P105=""),"",U105+P105)</f>
        <v/>
      </c>
      <c r="W105" s="95">
        <f>IF(OR(T105="",O105="",P105=""),"",T105-O105+P105)</f>
        <v/>
      </c>
    </row>
    <row r="106">
      <c r="A106" s="35" t="n">
        <v>45760</v>
      </c>
      <c r="B106" s="92" t="n">
        <v>6199138478.012774</v>
      </c>
      <c r="C106" s="92" t="n"/>
      <c r="D106" s="92" t="n">
        <v>0</v>
      </c>
      <c r="E106" s="92" t="n">
        <v>1071942.308</v>
      </c>
      <c r="F106" s="92" t="n">
        <v>0</v>
      </c>
      <c r="G106" s="92" t="n">
        <v>0</v>
      </c>
      <c r="H106" s="92" t="n">
        <v>18121</v>
      </c>
      <c r="I106" s="92" t="n">
        <v>18682</v>
      </c>
      <c r="J106" s="92" t="n">
        <v>3018.641321384335</v>
      </c>
      <c r="K106" s="92" t="n">
        <v>17255.98</v>
      </c>
      <c r="L106" s="94" t="n">
        <v>69492.77</v>
      </c>
      <c r="M106" s="92" t="n">
        <v>1071942.308</v>
      </c>
      <c r="N106" s="94" t="n">
        <v>20113919.96</v>
      </c>
      <c r="O106" s="94" t="n">
        <v>26301.9331</v>
      </c>
      <c r="P106" s="94" t="n">
        <v>774.0534</v>
      </c>
      <c r="Q106" s="92" t="n">
        <v>12751.37</v>
      </c>
      <c r="R106" s="94" t="n">
        <v>334963374.0575</v>
      </c>
      <c r="S106" s="94" t="n">
        <v>999791204.3897001</v>
      </c>
      <c r="T106" s="95">
        <f>IF(OR(R106="",R105=""),"",R106-R105)</f>
        <v/>
      </c>
      <c r="U106" s="95">
        <f>IF(OR(S106="",S105=""),"",S106-S105)</f>
        <v/>
      </c>
      <c r="V106" s="95">
        <f>IF(OR(U106="",P106=""),"",U106+P106)</f>
        <v/>
      </c>
      <c r="W106" s="95">
        <f>IF(OR(T106="",O106="",P106=""),"",T106-O106+P106)</f>
        <v/>
      </c>
    </row>
    <row r="107">
      <c r="A107" s="35" t="n">
        <v>45761</v>
      </c>
      <c r="B107" s="92" t="n">
        <v>6189611973.531875</v>
      </c>
      <c r="C107" s="92" t="n"/>
      <c r="D107" s="92" t="n">
        <v>0</v>
      </c>
      <c r="E107" s="92" t="n">
        <v>1453677.389</v>
      </c>
      <c r="F107" s="92" t="n">
        <v>0</v>
      </c>
      <c r="G107" s="92" t="n">
        <v>0</v>
      </c>
      <c r="H107" s="92" t="n">
        <v>16961</v>
      </c>
      <c r="I107" s="92" t="n">
        <v>17486</v>
      </c>
      <c r="J107" s="92" t="n">
        <v>5224.690037634058</v>
      </c>
      <c r="K107" s="92" t="n">
        <v>17255.11</v>
      </c>
      <c r="L107" s="94" t="n">
        <v>92420.11</v>
      </c>
      <c r="M107" s="92" t="n">
        <v>1453677.389</v>
      </c>
      <c r="N107" s="94" t="n">
        <v>20206340.07</v>
      </c>
      <c r="O107" s="94" t="n">
        <v>26276.6359</v>
      </c>
      <c r="P107" s="94" t="n">
        <v>666.1597</v>
      </c>
      <c r="Q107" s="92" t="n">
        <v>10417.41</v>
      </c>
      <c r="R107" s="94" t="n">
        <v>334974418.3382</v>
      </c>
      <c r="S107" s="94" t="n">
        <v>999790538.23</v>
      </c>
      <c r="T107" s="95">
        <f>IF(OR(R107="",R106=""),"",R107-R106)</f>
        <v/>
      </c>
      <c r="U107" s="95">
        <f>IF(OR(S107="",S106=""),"",S107-S106)</f>
        <v/>
      </c>
      <c r="V107" s="95">
        <f>IF(OR(U107="",P107=""),"",U107+P107)</f>
        <v/>
      </c>
      <c r="W107" s="95">
        <f>IF(OR(T107="",O107="",P107=""),"",T107-O107+P107)</f>
        <v/>
      </c>
    </row>
    <row r="108">
      <c r="A108" s="35" t="n">
        <v>45762</v>
      </c>
      <c r="B108" s="92" t="n">
        <v>5704397495.460091</v>
      </c>
      <c r="C108" s="92" t="n"/>
      <c r="D108" s="92" t="n">
        <v>0</v>
      </c>
      <c r="E108" s="92" t="n">
        <v>1263352.3</v>
      </c>
      <c r="F108" s="92" t="n">
        <v>0</v>
      </c>
      <c r="G108" s="92" t="n">
        <v>0</v>
      </c>
      <c r="H108" s="92" t="n">
        <v>15547</v>
      </c>
      <c r="I108" s="92" t="n">
        <v>16028</v>
      </c>
      <c r="J108" s="92" t="n">
        <v>2522.51747421389</v>
      </c>
      <c r="K108" s="92" t="n">
        <v>24391.53</v>
      </c>
      <c r="L108" s="94" t="n">
        <v>83639.50999999999</v>
      </c>
      <c r="M108" s="92" t="n">
        <v>1263352.3</v>
      </c>
      <c r="N108" s="94" t="n">
        <v>20289979.58</v>
      </c>
      <c r="O108" s="94" t="n">
        <v>26283.8481</v>
      </c>
      <c r="P108" s="94" t="n">
        <v>636.1099</v>
      </c>
      <c r="Q108" s="92" t="n">
        <v>9939.219999999999</v>
      </c>
      <c r="R108" s="94" t="n">
        <v>334985513.8393</v>
      </c>
      <c r="S108" s="94" t="n">
        <v>999789902.1201</v>
      </c>
      <c r="T108" s="95">
        <f>IF(OR(R108="",R107=""),"",R108-R107)</f>
        <v/>
      </c>
      <c r="U108" s="95">
        <f>IF(OR(S108="",S107=""),"",S108-S107)</f>
        <v/>
      </c>
      <c r="V108" s="95">
        <f>IF(OR(U108="",P108=""),"",U108+P108)</f>
        <v/>
      </c>
      <c r="W108" s="95">
        <f>IF(OR(T108="",O108="",P108=""),"",T108-O108+P108)</f>
        <v/>
      </c>
    </row>
    <row r="109">
      <c r="A109" s="35" t="n">
        <v>45763</v>
      </c>
      <c r="B109" s="92" t="n">
        <v>6826966423.241995</v>
      </c>
      <c r="C109" s="92" t="n"/>
      <c r="D109" s="92" t="n">
        <v>0</v>
      </c>
      <c r="E109" s="92" t="n">
        <v>1260681.212</v>
      </c>
      <c r="F109" s="92" t="n">
        <v>0</v>
      </c>
      <c r="G109" s="92" t="n">
        <v>0</v>
      </c>
      <c r="H109" s="92" t="n">
        <v>20456</v>
      </c>
      <c r="I109" s="92" t="n">
        <v>21088</v>
      </c>
      <c r="J109" s="92" t="n">
        <v>3345.623242206836</v>
      </c>
      <c r="K109" s="92" t="n">
        <v>20090.65</v>
      </c>
      <c r="L109" s="94" t="n">
        <v>81538.27</v>
      </c>
      <c r="M109" s="92" t="n">
        <v>1260681.212</v>
      </c>
      <c r="N109" s="94" t="n">
        <v>20371517.85</v>
      </c>
      <c r="O109" s="94" t="n">
        <v>26320.225</v>
      </c>
      <c r="P109" s="94" t="n">
        <v>567.9891</v>
      </c>
      <c r="Q109" s="92" t="n">
        <v>8524.1</v>
      </c>
      <c r="R109" s="94" t="n">
        <v>334996714.1001</v>
      </c>
      <c r="S109" s="94" t="n">
        <v>999789334.131</v>
      </c>
      <c r="T109" s="95">
        <f>IF(OR(R109="",R108=""),"",R109-R108)</f>
        <v/>
      </c>
      <c r="U109" s="95">
        <f>IF(OR(S109="",S108=""),"",S109-S108)</f>
        <v/>
      </c>
      <c r="V109" s="95">
        <f>IF(OR(U109="",P109=""),"",U109+P109)</f>
        <v/>
      </c>
      <c r="W109" s="95">
        <f>IF(OR(T109="",O109="",P109=""),"",T109-O109+P109)</f>
        <v/>
      </c>
    </row>
    <row r="110">
      <c r="A110" s="35" t="n">
        <v>45764</v>
      </c>
      <c r="B110" s="92" t="n">
        <v>4931816793.507854</v>
      </c>
      <c r="C110" s="92" t="n"/>
      <c r="D110" s="92" t="n">
        <v>0</v>
      </c>
      <c r="E110" s="92" t="n">
        <v>1446889.317</v>
      </c>
      <c r="F110" s="92" t="n">
        <v>0</v>
      </c>
      <c r="G110" s="92" t="n">
        <v>0</v>
      </c>
      <c r="H110" s="92" t="n">
        <v>19985</v>
      </c>
      <c r="I110" s="92" t="n">
        <v>20603</v>
      </c>
      <c r="J110" s="92" t="n">
        <v>2049.849132518398</v>
      </c>
      <c r="K110" s="92" t="n">
        <v>0</v>
      </c>
      <c r="L110" s="94" t="n">
        <v>88253.77</v>
      </c>
      <c r="M110" s="92" t="n">
        <v>1446889.317</v>
      </c>
      <c r="N110" s="94" t="n">
        <v>20459771.62</v>
      </c>
      <c r="O110" s="94" t="n">
        <v>26296.1442</v>
      </c>
      <c r="P110" s="94" t="n">
        <v>643.2034</v>
      </c>
      <c r="Q110" s="92" t="n">
        <v>10101.19</v>
      </c>
      <c r="R110" s="94" t="n">
        <v>335007816.3884</v>
      </c>
      <c r="S110" s="94" t="n">
        <v>999788690.9277</v>
      </c>
      <c r="T110" s="95">
        <f>IF(OR(R110="",R109=""),"",R110-R109)</f>
        <v/>
      </c>
      <c r="U110" s="95">
        <f>IF(OR(S110="",S109=""),"",S110-S109)</f>
        <v/>
      </c>
      <c r="V110" s="95">
        <f>IF(OR(U110="",P110=""),"",U110+P110)</f>
        <v/>
      </c>
      <c r="W110" s="95">
        <f>IF(OR(T110="",O110="",P110=""),"",T110-O110+P110)</f>
        <v/>
      </c>
    </row>
    <row r="111">
      <c r="A111" s="35" t="n">
        <v>45765</v>
      </c>
      <c r="B111" s="92" t="n">
        <v>2170024470.50174</v>
      </c>
      <c r="C111" s="92" t="n"/>
      <c r="D111" s="92" t="n">
        <v>0</v>
      </c>
      <c r="E111" s="92" t="n">
        <v>884257.6583</v>
      </c>
      <c r="F111" s="92" t="n">
        <v>0</v>
      </c>
      <c r="G111" s="92" t="n">
        <v>0</v>
      </c>
      <c r="H111" s="92" t="n">
        <v>12055</v>
      </c>
      <c r="I111" s="92" t="n">
        <v>12428</v>
      </c>
      <c r="J111" s="92" t="n">
        <v>3051.85154063489</v>
      </c>
      <c r="K111" s="92" t="n">
        <v>18209.58</v>
      </c>
      <c r="L111" s="94" t="n">
        <v>52023.07</v>
      </c>
      <c r="M111" s="92" t="n">
        <v>884257.6583</v>
      </c>
      <c r="N111" s="94" t="n">
        <v>20511794.69</v>
      </c>
      <c r="O111" s="94" t="n">
        <v>26303.0308</v>
      </c>
      <c r="P111" s="94" t="n">
        <v>940.704</v>
      </c>
      <c r="Q111" s="92" t="n">
        <v>16132.6</v>
      </c>
      <c r="R111" s="94" t="n">
        <v>335018611.7123</v>
      </c>
      <c r="S111" s="94" t="n">
        <v>999787750.2236</v>
      </c>
      <c r="T111" s="95">
        <f>IF(OR(R111="",R110=""),"",R111-R110)</f>
        <v/>
      </c>
      <c r="U111" s="95">
        <f>IF(OR(S111="",S110=""),"",S111-S110)</f>
        <v/>
      </c>
      <c r="V111" s="95">
        <f>IF(OR(U111="",P111=""),"",U111+P111)</f>
        <v/>
      </c>
      <c r="W111" s="95">
        <f>IF(OR(T111="",O111="",P111=""),"",T111-O111+P111)</f>
        <v/>
      </c>
    </row>
    <row r="112">
      <c r="A112" s="35" t="n">
        <v>45766</v>
      </c>
      <c r="B112" s="92" t="n">
        <v>2477853939.365164</v>
      </c>
      <c r="C112" s="92" t="n"/>
      <c r="D112" s="92" t="n">
        <v>0</v>
      </c>
      <c r="E112" s="92" t="n">
        <v>562035.0159</v>
      </c>
      <c r="F112" s="92" t="n">
        <v>0</v>
      </c>
      <c r="G112" s="92" t="n">
        <v>0</v>
      </c>
      <c r="H112" s="92" t="n">
        <v>12279</v>
      </c>
      <c r="I112" s="92" t="n">
        <v>12659</v>
      </c>
      <c r="J112" s="92" t="n">
        <v>1444.78104201302</v>
      </c>
      <c r="K112" s="92" t="n">
        <v>18219.28</v>
      </c>
      <c r="L112" s="94" t="n">
        <v>31600.29</v>
      </c>
      <c r="M112" s="92" t="n">
        <v>562035.0159</v>
      </c>
      <c r="N112" s="94" t="n">
        <v>20543394.98</v>
      </c>
      <c r="O112" s="94" t="n">
        <v>26285.6979</v>
      </c>
      <c r="P112" s="94" t="n">
        <v>520.8593</v>
      </c>
      <c r="Q112" s="92" t="n">
        <v>8810.6</v>
      </c>
      <c r="R112" s="94" t="n">
        <v>335029808.2024</v>
      </c>
      <c r="S112" s="94" t="n">
        <v>999787229.3643</v>
      </c>
      <c r="T112" s="95">
        <f>IF(OR(R112="",R111=""),"",R112-R111)</f>
        <v/>
      </c>
      <c r="U112" s="95">
        <f>IF(OR(S112="",S111=""),"",S112-S111)</f>
        <v/>
      </c>
      <c r="V112" s="95">
        <f>IF(OR(U112="",P112=""),"",U112+P112)</f>
        <v/>
      </c>
      <c r="W112" s="95">
        <f>IF(OR(T112="",O112="",P112=""),"",T112-O112+P112)</f>
        <v/>
      </c>
    </row>
    <row r="113">
      <c r="A113" s="35" t="n">
        <v>45767</v>
      </c>
      <c r="B113" s="92" t="n">
        <v>2831191375.860566</v>
      </c>
      <c r="C113" s="92" t="n"/>
      <c r="D113" s="92" t="n">
        <v>0</v>
      </c>
      <c r="E113" s="92" t="n">
        <v>503819.1862</v>
      </c>
      <c r="F113" s="92" t="n">
        <v>0</v>
      </c>
      <c r="G113" s="92" t="n">
        <v>0</v>
      </c>
      <c r="H113" s="92" t="n">
        <v>10592</v>
      </c>
      <c r="I113" s="92" t="n">
        <v>10920</v>
      </c>
      <c r="J113" s="92" t="n">
        <v>1231.31182639604</v>
      </c>
      <c r="K113" s="92" t="n">
        <v>18279.54</v>
      </c>
      <c r="L113" s="94" t="n">
        <v>28426.6</v>
      </c>
      <c r="M113" s="92" t="n">
        <v>503819.1862</v>
      </c>
      <c r="N113" s="94" t="n">
        <v>20571821.58</v>
      </c>
      <c r="O113" s="94" t="n">
        <v>26264.1199</v>
      </c>
      <c r="P113" s="94" t="n">
        <v>529.2375</v>
      </c>
      <c r="Q113" s="92" t="n">
        <v>9566.76</v>
      </c>
      <c r="R113" s="94" t="n">
        <v>335040958.0021</v>
      </c>
      <c r="S113" s="94" t="n">
        <v>999786700.1267999</v>
      </c>
      <c r="T113" s="95">
        <f>IF(OR(R113="",R112=""),"",R113-R112)</f>
        <v/>
      </c>
      <c r="U113" s="95">
        <f>IF(OR(S113="",S112=""),"",S113-S112)</f>
        <v/>
      </c>
      <c r="V113" s="95">
        <f>IF(OR(U113="",P113=""),"",U113+P113)</f>
        <v/>
      </c>
      <c r="W113" s="95">
        <f>IF(OR(T113="",O113="",P113=""),"",T113-O113+P113)</f>
        <v/>
      </c>
    </row>
    <row r="114">
      <c r="A114" s="35" t="n">
        <v>45768</v>
      </c>
      <c r="B114" s="92" t="n">
        <v>6514487934.799059</v>
      </c>
      <c r="C114" s="92" t="n"/>
      <c r="D114" s="92" t="n">
        <v>0</v>
      </c>
      <c r="E114" s="92" t="n">
        <v>938622.6024</v>
      </c>
      <c r="F114" s="92" t="n">
        <v>0</v>
      </c>
      <c r="G114" s="92" t="n">
        <v>0</v>
      </c>
      <c r="H114" s="92" t="n">
        <v>20191</v>
      </c>
      <c r="I114" s="92" t="n">
        <v>20816</v>
      </c>
      <c r="J114" s="92" t="n">
        <v>4424.654530647215</v>
      </c>
      <c r="K114" s="92" t="n">
        <v>19083.9</v>
      </c>
      <c r="L114" s="94" t="n">
        <v>52255.23</v>
      </c>
      <c r="M114" s="92" t="n">
        <v>938622.6024</v>
      </c>
      <c r="N114" s="94" t="n">
        <v>20624076.81</v>
      </c>
      <c r="O114" s="94" t="n">
        <v>26218.992</v>
      </c>
      <c r="P114" s="94" t="n">
        <v>410.4167</v>
      </c>
      <c r="Q114" s="92" t="n">
        <v>7249.4</v>
      </c>
      <c r="R114" s="94" t="n">
        <v>335052190.5135</v>
      </c>
      <c r="S114" s="94" t="n">
        <v>999786289.7101001</v>
      </c>
      <c r="T114" s="95">
        <f>IF(OR(R114="",R113=""),"",R114-R113)</f>
        <v/>
      </c>
      <c r="U114" s="95">
        <f>IF(OR(S114="",S113=""),"",S114-S113)</f>
        <v/>
      </c>
      <c r="V114" s="95">
        <f>IF(OR(U114="",P114=""),"",U114+P114)</f>
        <v/>
      </c>
      <c r="W114" s="95">
        <f>IF(OR(T114="",O114="",P114=""),"",T114-O114+P114)</f>
        <v/>
      </c>
    </row>
    <row r="115">
      <c r="A115" s="35" t="n">
        <v>45769</v>
      </c>
      <c r="B115" s="92" t="n">
        <v>9749391466.017874</v>
      </c>
      <c r="C115" s="92" t="n"/>
      <c r="D115" s="92" t="n">
        <v>0</v>
      </c>
      <c r="E115" s="92" t="n">
        <v>1423075.149</v>
      </c>
      <c r="F115" s="92" t="n">
        <v>0</v>
      </c>
      <c r="G115" s="92" t="n">
        <v>0</v>
      </c>
      <c r="H115" s="92" t="n">
        <v>20024</v>
      </c>
      <c r="I115" s="92" t="n">
        <v>20644</v>
      </c>
      <c r="J115" s="92" t="n">
        <v>4155.0142763256</v>
      </c>
      <c r="K115" s="92" t="n">
        <v>0</v>
      </c>
      <c r="L115" s="94" t="n">
        <v>76482.66</v>
      </c>
      <c r="M115" s="92" t="n">
        <v>1423075.149</v>
      </c>
      <c r="N115" s="94" t="n">
        <v>20700559.47</v>
      </c>
      <c r="O115" s="94" t="n">
        <v>26258.8912</v>
      </c>
      <c r="P115" s="94" t="n">
        <v>648.3471</v>
      </c>
      <c r="Q115" s="92" t="n">
        <v>11729.9</v>
      </c>
      <c r="R115" s="94" t="n">
        <v>335063213.3621</v>
      </c>
      <c r="S115" s="94" t="n">
        <v>999785641.3631001</v>
      </c>
      <c r="T115" s="95">
        <f>IF(OR(R115="",R114=""),"",R115-R114)</f>
        <v/>
      </c>
      <c r="U115" s="95">
        <f>IF(OR(S115="",S114=""),"",S115-S114)</f>
        <v/>
      </c>
      <c r="V115" s="95">
        <f>IF(OR(U115="",P115=""),"",U115+P115)</f>
        <v/>
      </c>
      <c r="W115" s="95">
        <f>IF(OR(T115="",O115="",P115=""),"",T115-O115+P115)</f>
        <v/>
      </c>
    </row>
    <row r="116">
      <c r="A116" s="35" t="n">
        <v>45770</v>
      </c>
      <c r="B116" s="92" t="n">
        <v>8586739199.556433</v>
      </c>
      <c r="C116" s="92" t="n"/>
      <c r="D116" s="92" t="n">
        <v>0</v>
      </c>
      <c r="E116" s="92" t="n">
        <v>2257032.676</v>
      </c>
      <c r="F116" s="92" t="n">
        <v>0</v>
      </c>
      <c r="G116" s="92" t="n">
        <v>0</v>
      </c>
      <c r="H116" s="92" t="n">
        <v>23731</v>
      </c>
      <c r="I116" s="92" t="n">
        <v>24465</v>
      </c>
      <c r="J116" s="92" t="n">
        <v>5131.081096013228</v>
      </c>
      <c r="K116" s="92" t="n">
        <v>23592.15</v>
      </c>
      <c r="L116" s="94" t="n">
        <v>120992.35</v>
      </c>
      <c r="M116" s="92" t="n">
        <v>2257032.676</v>
      </c>
      <c r="N116" s="94" t="n">
        <v>20821551.82</v>
      </c>
      <c r="O116" s="94" t="n">
        <v>26217.4408</v>
      </c>
      <c r="P116" s="94" t="n">
        <v>708.6571</v>
      </c>
      <c r="Q116" s="92" t="n">
        <v>13545.98</v>
      </c>
      <c r="R116" s="94" t="n">
        <v>335074118.8348</v>
      </c>
      <c r="S116" s="94" t="n">
        <v>999784932.706</v>
      </c>
      <c r="T116" s="95">
        <f>IF(OR(R116="",R115=""),"",R116-R115)</f>
        <v/>
      </c>
      <c r="U116" s="95">
        <f>IF(OR(S116="",S115=""),"",S116-S115)</f>
        <v/>
      </c>
      <c r="V116" s="95">
        <f>IF(OR(U116="",P116=""),"",U116+P116)</f>
        <v/>
      </c>
      <c r="W116" s="95">
        <f>IF(OR(T116="",O116="",P116=""),"",T116-O116+P116)</f>
        <v/>
      </c>
    </row>
    <row r="117">
      <c r="A117" s="35" t="n">
        <v>45771</v>
      </c>
      <c r="B117" s="92" t="n">
        <v>5758061914.11327</v>
      </c>
      <c r="C117" s="92" t="n"/>
      <c r="D117" s="92" t="n">
        <v>0</v>
      </c>
      <c r="E117" s="92" t="n">
        <v>1763542.077</v>
      </c>
      <c r="F117" s="92" t="n">
        <v>0</v>
      </c>
      <c r="G117" s="92" t="n">
        <v>0</v>
      </c>
      <c r="H117" s="92" t="n">
        <v>15095</v>
      </c>
      <c r="I117" s="92" t="n">
        <v>15562</v>
      </c>
      <c r="J117" s="92" t="n">
        <v>2281.184420243312</v>
      </c>
      <c r="K117" s="92" t="n">
        <v>19881.93</v>
      </c>
      <c r="L117" s="94" t="n">
        <v>96372.78</v>
      </c>
      <c r="M117" s="92" t="n">
        <v>1763542.077</v>
      </c>
      <c r="N117" s="94" t="n">
        <v>20917924.6</v>
      </c>
      <c r="O117" s="94" t="n">
        <v>26193.1501</v>
      </c>
      <c r="P117" s="94" t="n">
        <v>671.4738</v>
      </c>
      <c r="Q117" s="92" t="n">
        <v>12299.72</v>
      </c>
      <c r="R117" s="94" t="n">
        <v>335085020.7049</v>
      </c>
      <c r="S117" s="94" t="n">
        <v>999784261.2322</v>
      </c>
      <c r="T117" s="95">
        <f>IF(OR(R117="",R116=""),"",R117-R116)</f>
        <v/>
      </c>
      <c r="U117" s="95">
        <f>IF(OR(S117="",S116=""),"",S117-S116)</f>
        <v/>
      </c>
      <c r="V117" s="95">
        <f>IF(OR(U117="",P117=""),"",U117+P117)</f>
        <v/>
      </c>
      <c r="W117" s="95">
        <f>IF(OR(T117="",O117="",P117=""),"",T117-O117+P117)</f>
        <v/>
      </c>
    </row>
    <row r="118">
      <c r="A118" s="35" t="n">
        <v>45772</v>
      </c>
      <c r="B118" s="92" t="n">
        <v>7060976063.80115</v>
      </c>
      <c r="C118" s="92" t="n"/>
      <c r="D118" s="92" t="n">
        <v>0</v>
      </c>
      <c r="E118" s="92" t="n">
        <v>1305000.805</v>
      </c>
      <c r="F118" s="92" t="n">
        <v>0</v>
      </c>
      <c r="G118" s="92" t="n">
        <v>0</v>
      </c>
      <c r="H118" s="92" t="n">
        <v>15640</v>
      </c>
      <c r="I118" s="92" t="n">
        <v>16124</v>
      </c>
      <c r="J118" s="92" t="n">
        <v>2166.061415683268</v>
      </c>
      <c r="K118" s="92" t="n">
        <v>26183.79</v>
      </c>
      <c r="L118" s="94" t="n">
        <v>69908.78999999999</v>
      </c>
      <c r="M118" s="92" t="n">
        <v>1305000.805</v>
      </c>
      <c r="N118" s="94" t="n">
        <v>20987833.39</v>
      </c>
      <c r="O118" s="94" t="n">
        <v>26180.0593</v>
      </c>
      <c r="P118" s="94" t="n">
        <v>486.2935</v>
      </c>
      <c r="Q118" s="92" t="n">
        <v>9206.02</v>
      </c>
      <c r="R118" s="94" t="n">
        <v>335096082.7621</v>
      </c>
      <c r="S118" s="94" t="n">
        <v>999783774.9388</v>
      </c>
      <c r="T118" s="95">
        <f>IF(OR(R118="",R117=""),"",R118-R117)</f>
        <v/>
      </c>
      <c r="U118" s="95">
        <f>IF(OR(S118="",S117=""),"",S118-S117)</f>
        <v/>
      </c>
      <c r="V118" s="95">
        <f>IF(OR(U118="",P118=""),"",U118+P118)</f>
        <v/>
      </c>
      <c r="W118" s="95">
        <f>IF(OR(T118="",O118="",P118=""),"",T118-O118+P118)</f>
        <v/>
      </c>
    </row>
    <row r="119">
      <c r="A119" s="35" t="n">
        <v>45773</v>
      </c>
      <c r="B119" s="92" t="n">
        <v>3839502376.340041</v>
      </c>
      <c r="C119" s="92" t="n"/>
      <c r="D119" s="92" t="n">
        <v>0</v>
      </c>
      <c r="E119" s="92" t="n">
        <v>1427722.029</v>
      </c>
      <c r="F119" s="92" t="n">
        <v>0</v>
      </c>
      <c r="G119" s="92" t="n">
        <v>0</v>
      </c>
      <c r="H119" s="92" t="n">
        <v>11474</v>
      </c>
      <c r="I119" s="92" t="n">
        <v>11829</v>
      </c>
      <c r="J119" s="92" t="n">
        <v>4132.27839602638</v>
      </c>
      <c r="K119" s="92" t="n">
        <v>0</v>
      </c>
      <c r="L119" s="94" t="n">
        <v>80199.64999999999</v>
      </c>
      <c r="M119" s="92" t="n">
        <v>1427722.029</v>
      </c>
      <c r="N119" s="94" t="n">
        <v>21068033.04</v>
      </c>
      <c r="O119" s="94" t="n">
        <v>26167.7741</v>
      </c>
      <c r="P119" s="94" t="n">
        <v>470.6409</v>
      </c>
      <c r="Q119" s="92" t="n">
        <v>8666.620000000001</v>
      </c>
      <c r="R119" s="94" t="n">
        <v>335107142.0517</v>
      </c>
      <c r="S119" s="94" t="n">
        <v>999783304.2979</v>
      </c>
      <c r="T119" s="95">
        <f>IF(OR(R119="",R118=""),"",R119-R118)</f>
        <v/>
      </c>
      <c r="U119" s="95">
        <f>IF(OR(S119="",S118=""),"",S119-S118)</f>
        <v/>
      </c>
      <c r="V119" s="95">
        <f>IF(OR(U119="",P119=""),"",U119+P119)</f>
        <v/>
      </c>
      <c r="W119" s="95">
        <f>IF(OR(T119="",O119="",P119=""),"",T119-O119+P119)</f>
        <v/>
      </c>
    </row>
    <row r="120">
      <c r="A120" s="35" t="n">
        <v>45774</v>
      </c>
      <c r="B120" s="92" t="n">
        <v>3382764141.414567</v>
      </c>
      <c r="C120" s="92" t="n"/>
      <c r="D120" s="92" t="n">
        <v>0</v>
      </c>
      <c r="E120" s="92" t="n">
        <v>816115.3855</v>
      </c>
      <c r="F120" s="92" t="n">
        <v>0</v>
      </c>
      <c r="G120" s="92" t="n">
        <v>0</v>
      </c>
      <c r="H120" s="92" t="n">
        <v>9875</v>
      </c>
      <c r="I120" s="92" t="n">
        <v>10180</v>
      </c>
      <c r="J120" s="92" t="n">
        <v>3549.158766957544</v>
      </c>
      <c r="K120" s="92" t="n">
        <v>18345.18</v>
      </c>
      <c r="L120" s="94" t="n">
        <v>46152.81</v>
      </c>
      <c r="M120" s="92" t="n">
        <v>816115.3855</v>
      </c>
      <c r="N120" s="94" t="n">
        <v>21114185.85</v>
      </c>
      <c r="O120" s="94" t="n">
        <v>26128.5247</v>
      </c>
      <c r="P120" s="94" t="n">
        <v>319.0979</v>
      </c>
      <c r="Q120" s="92" t="n">
        <v>5740.25</v>
      </c>
      <c r="R120" s="94" t="n">
        <v>335118317.8096</v>
      </c>
      <c r="S120" s="94" t="n">
        <v>999782985.2</v>
      </c>
      <c r="T120" s="95">
        <f>IF(OR(R120="",R119=""),"",R120-R119)</f>
        <v/>
      </c>
      <c r="U120" s="95">
        <f>IF(OR(S120="",S119=""),"",S120-S119)</f>
        <v/>
      </c>
      <c r="V120" s="95">
        <f>IF(OR(U120="",P120=""),"",U120+P120)</f>
        <v/>
      </c>
      <c r="W120" s="95">
        <f>IF(OR(T120="",O120="",P120=""),"",T120-O120+P120)</f>
        <v/>
      </c>
    </row>
    <row r="121">
      <c r="A121" s="35" t="n">
        <v>45775</v>
      </c>
      <c r="B121" s="92" t="n">
        <v>6671543330.523771</v>
      </c>
      <c r="C121" s="92" t="n"/>
      <c r="D121" s="92" t="n">
        <v>0</v>
      </c>
      <c r="E121" s="92" t="n">
        <v>790516.2383</v>
      </c>
      <c r="F121" s="92" t="n">
        <v>0</v>
      </c>
      <c r="G121" s="92" t="n">
        <v>0</v>
      </c>
      <c r="H121" s="92" t="n">
        <v>19152</v>
      </c>
      <c r="I121" s="92" t="n">
        <v>19745</v>
      </c>
      <c r="J121" s="92" t="n">
        <v>11047.25477620505</v>
      </c>
      <c r="K121" s="92" t="n">
        <v>19387.81</v>
      </c>
      <c r="L121" s="94" t="n">
        <v>44835</v>
      </c>
      <c r="M121" s="92" t="n">
        <v>790516.2383</v>
      </c>
      <c r="N121" s="94" t="n">
        <v>21159020.85</v>
      </c>
      <c r="O121" s="94" t="n">
        <v>26136.1052</v>
      </c>
      <c r="P121" s="94" t="n">
        <v>272.2418</v>
      </c>
      <c r="Q121" s="92" t="n">
        <v>4722.44</v>
      </c>
      <c r="R121" s="94" t="n">
        <v>335129396.0941</v>
      </c>
      <c r="S121" s="94" t="n">
        <v>999782712.9583</v>
      </c>
      <c r="T121" s="95">
        <f>IF(OR(R121="",R120=""),"",R121-R120)</f>
        <v/>
      </c>
      <c r="U121" s="95">
        <f>IF(OR(S121="",S120=""),"",S121-S120)</f>
        <v/>
      </c>
      <c r="V121" s="95">
        <f>IF(OR(U121="",P121=""),"",U121+P121)</f>
        <v/>
      </c>
      <c r="W121" s="95">
        <f>IF(OR(T121="",O121="",P121=""),"",T121-O121+P121)</f>
        <v/>
      </c>
    </row>
    <row r="122">
      <c r="A122" s="35" t="n">
        <v>45776</v>
      </c>
      <c r="B122" s="92" t="n">
        <v>4981695000.898414</v>
      </c>
      <c r="C122" s="92" t="n"/>
      <c r="D122" s="92" t="n">
        <v>0</v>
      </c>
      <c r="E122" s="92" t="n">
        <v>1345956.884</v>
      </c>
      <c r="F122" s="92" t="n">
        <v>0</v>
      </c>
      <c r="G122" s="92" t="n">
        <v>0</v>
      </c>
      <c r="H122" s="92" t="n">
        <v>17450</v>
      </c>
      <c r="I122" s="92" t="n">
        <v>17990</v>
      </c>
      <c r="J122" s="92" t="n">
        <v>5627.005665572719</v>
      </c>
      <c r="K122" s="92" t="n">
        <v>24783.17</v>
      </c>
      <c r="L122" s="94" t="n">
        <v>71896.23</v>
      </c>
      <c r="M122" s="92" t="n">
        <v>1345956.884</v>
      </c>
      <c r="N122" s="94" t="n">
        <v>21230917.08</v>
      </c>
      <c r="O122" s="94" t="n">
        <v>26145.6743</v>
      </c>
      <c r="P122" s="94" t="n">
        <v>685.8724</v>
      </c>
      <c r="Q122" s="92" t="n">
        <v>12822.04</v>
      </c>
      <c r="R122" s="94" t="n">
        <v>335140210.9469</v>
      </c>
      <c r="S122" s="94" t="n">
        <v>999782027.0858999</v>
      </c>
      <c r="T122" s="95">
        <f>IF(OR(R122="",R121=""),"",R122-R121)</f>
        <v/>
      </c>
      <c r="U122" s="95">
        <f>IF(OR(S122="",S121=""),"",S122-S121)</f>
        <v/>
      </c>
      <c r="V122" s="95">
        <f>IF(OR(U122="",P122=""),"",U122+P122)</f>
        <v/>
      </c>
      <c r="W122" s="95">
        <f>IF(OR(T122="",O122="",P122=""),"",T122-O122+P122)</f>
        <v/>
      </c>
    </row>
    <row r="123">
      <c r="A123" s="35" t="n">
        <v>45777</v>
      </c>
      <c r="B123" s="92" t="n">
        <v>5886017387.242141</v>
      </c>
      <c r="C123" s="92" t="n"/>
      <c r="D123" s="92" t="n">
        <v>0</v>
      </c>
      <c r="E123" s="92" t="n">
        <v>1104429.803</v>
      </c>
      <c r="F123" s="92" t="n">
        <v>0</v>
      </c>
      <c r="G123" s="92" t="n">
        <v>0</v>
      </c>
      <c r="H123" s="92" t="n">
        <v>18265</v>
      </c>
      <c r="I123" s="92" t="n">
        <v>18830</v>
      </c>
      <c r="J123" s="92" t="n">
        <v>7879.375304898586</v>
      </c>
      <c r="K123" s="92" t="n">
        <v>24975.33</v>
      </c>
      <c r="L123" s="94" t="n">
        <v>60069.57</v>
      </c>
      <c r="M123" s="92" t="n">
        <v>1104429.803</v>
      </c>
      <c r="N123" s="94" t="n">
        <v>21290986.65</v>
      </c>
      <c r="O123" s="94" t="n">
        <v>26180.9241</v>
      </c>
      <c r="P123" s="94" t="n">
        <v>623.4232</v>
      </c>
      <c r="Q123" s="92" t="n">
        <v>11524.91</v>
      </c>
      <c r="R123" s="94" t="n">
        <v>335151140.3284</v>
      </c>
      <c r="S123" s="94" t="n">
        <v>999781403.6627001</v>
      </c>
      <c r="T123" s="95">
        <f>IF(OR(R123="",R122=""),"",R123-R122)</f>
        <v/>
      </c>
      <c r="U123" s="95">
        <f>IF(OR(S123="",S122=""),"",S123-S122)</f>
        <v/>
      </c>
      <c r="V123" s="95">
        <f>IF(OR(U123="",P123=""),"",U123+P123)</f>
        <v/>
      </c>
      <c r="W123" s="95">
        <f>IF(OR(T123="",O123="",P123=""),"",T123-O123+P123)</f>
        <v/>
      </c>
    </row>
    <row r="124">
      <c r="A124" s="35" t="n">
        <v>45778</v>
      </c>
      <c r="B124" s="92" t="n">
        <v>5844761153.41146</v>
      </c>
      <c r="C124" s="92" t="n"/>
      <c r="D124" s="92" t="n">
        <v>0</v>
      </c>
      <c r="E124" s="92" t="n">
        <v>1369589.548</v>
      </c>
      <c r="F124" s="92" t="n">
        <v>0</v>
      </c>
      <c r="G124" s="92" t="n">
        <v>0</v>
      </c>
      <c r="H124" s="92" t="n">
        <v>26481</v>
      </c>
      <c r="I124" s="92" t="n">
        <v>27300</v>
      </c>
      <c r="J124" s="92" t="n">
        <v>9592.893420177576</v>
      </c>
      <c r="K124" s="92" t="n">
        <v>32916.44</v>
      </c>
      <c r="L124" s="94" t="n">
        <v>67943.64999999999</v>
      </c>
      <c r="M124" s="92" t="n">
        <v>1369589.548</v>
      </c>
      <c r="N124" s="94" t="n">
        <v>21358930.3</v>
      </c>
      <c r="O124" s="94" t="n">
        <v>26120.6661</v>
      </c>
      <c r="P124" s="94" t="n">
        <v>728.1965</v>
      </c>
      <c r="Q124" s="92" t="n">
        <v>14754.72</v>
      </c>
      <c r="R124" s="94" t="n">
        <v>335161901.9368</v>
      </c>
      <c r="S124" s="94" t="n">
        <v>999780675.4662</v>
      </c>
      <c r="T124" s="95">
        <f>IF(OR(R124="",R123=""),"",R124-R123)</f>
        <v/>
      </c>
      <c r="U124" s="95">
        <f>IF(OR(S124="",S123=""),"",S124-S123)</f>
        <v/>
      </c>
      <c r="V124" s="95">
        <f>IF(OR(U124="",P124=""),"",U124+P124)</f>
        <v/>
      </c>
      <c r="W124" s="95">
        <f>IF(OR(T124="",O124="",P124=""),"",T124-O124+P124)</f>
        <v/>
      </c>
    </row>
    <row r="125">
      <c r="A125" s="35" t="n">
        <v>45779</v>
      </c>
      <c r="B125" s="92" t="n">
        <v>4184147211.787067</v>
      </c>
      <c r="C125" s="92" t="n"/>
      <c r="D125" s="92" t="n">
        <v>0</v>
      </c>
      <c r="E125" s="92" t="n">
        <v>1529406.315</v>
      </c>
      <c r="F125" s="92" t="n">
        <v>0</v>
      </c>
      <c r="G125" s="92" t="n">
        <v>0</v>
      </c>
      <c r="H125" s="92" t="n">
        <v>15833</v>
      </c>
      <c r="I125" s="92" t="n">
        <v>16323</v>
      </c>
      <c r="J125" s="92" t="n">
        <v>7526.698336645159</v>
      </c>
      <c r="K125" s="92" t="n">
        <v>0</v>
      </c>
      <c r="L125" s="94" t="n">
        <v>74079.22</v>
      </c>
      <c r="M125" s="92" t="n">
        <v>1529406.315</v>
      </c>
      <c r="N125" s="94" t="n">
        <v>21433009.52</v>
      </c>
      <c r="O125" s="94" t="n">
        <v>26181.9903</v>
      </c>
      <c r="P125" s="94" t="n">
        <v>938.5428000000001</v>
      </c>
      <c r="Q125" s="92" t="n">
        <v>18795.73</v>
      </c>
      <c r="R125" s="94" t="n">
        <v>335172513.7176</v>
      </c>
      <c r="S125" s="94" t="n">
        <v>999779736.9233</v>
      </c>
      <c r="T125" s="95">
        <f>IF(OR(R125="",R124=""),"",R125-R124)</f>
        <v/>
      </c>
      <c r="U125" s="95">
        <f>IF(OR(S125="",S124=""),"",S125-S124)</f>
        <v/>
      </c>
      <c r="V125" s="95">
        <f>IF(OR(U125="",P125=""),"",U125+P125)</f>
        <v/>
      </c>
      <c r="W125" s="95">
        <f>IF(OR(T125="",O125="",P125=""),"",T125-O125+P125)</f>
        <v/>
      </c>
    </row>
    <row r="126">
      <c r="A126" s="35" t="n">
        <v>45780</v>
      </c>
      <c r="B126" s="92" t="n">
        <v>2551647647.325788</v>
      </c>
      <c r="C126" s="92" t="n"/>
      <c r="D126" s="92" t="n">
        <v>0</v>
      </c>
      <c r="E126" s="92" t="n">
        <v>845933.1692</v>
      </c>
      <c r="F126" s="92" t="n">
        <v>0</v>
      </c>
      <c r="G126" s="92" t="n">
        <v>0</v>
      </c>
      <c r="H126" s="92" t="n">
        <v>11340</v>
      </c>
      <c r="I126" s="92" t="n">
        <v>11691</v>
      </c>
      <c r="J126" s="92" t="n">
        <v>6881.604989870509</v>
      </c>
      <c r="K126" s="92" t="n">
        <v>33029.81</v>
      </c>
      <c r="L126" s="94" t="n">
        <v>40789.66</v>
      </c>
      <c r="M126" s="92" t="n">
        <v>845933.1692</v>
      </c>
      <c r="N126" s="94" t="n">
        <v>21473799.18</v>
      </c>
      <c r="O126" s="94" t="n">
        <v>26252.5339</v>
      </c>
      <c r="P126" s="94" t="n">
        <v>570.6552</v>
      </c>
      <c r="Q126" s="92" t="n">
        <v>11824.83</v>
      </c>
      <c r="R126" s="94" t="n">
        <v>335183596.6197</v>
      </c>
      <c r="S126" s="94" t="n">
        <v>999779166.2681</v>
      </c>
      <c r="T126" s="95">
        <f>IF(OR(R126="",R125=""),"",R126-R125)</f>
        <v/>
      </c>
      <c r="U126" s="95">
        <f>IF(OR(S126="",S125=""),"",S126-S125)</f>
        <v/>
      </c>
      <c r="V126" s="95">
        <f>IF(OR(U126="",P126=""),"",U126+P126)</f>
        <v/>
      </c>
      <c r="W126" s="95">
        <f>IF(OR(T126="",O126="",P126=""),"",T126-O126+P126)</f>
        <v/>
      </c>
    </row>
    <row r="127">
      <c r="A127" s="35" t="n">
        <v>45781</v>
      </c>
      <c r="B127" s="92" t="n">
        <v>3530006395.054267</v>
      </c>
      <c r="C127" s="92" t="n"/>
      <c r="D127" s="92" t="n">
        <v>0</v>
      </c>
      <c r="E127" s="92" t="n">
        <v>549144.5098999999</v>
      </c>
      <c r="F127" s="92" t="n">
        <v>0</v>
      </c>
      <c r="G127" s="92" t="n">
        <v>0</v>
      </c>
      <c r="H127" s="92" t="n">
        <v>11971</v>
      </c>
      <c r="I127" s="92" t="n">
        <v>12341</v>
      </c>
      <c r="J127" s="92" t="n">
        <v>5290.833767148337</v>
      </c>
      <c r="K127" s="92" t="n">
        <v>32933.78</v>
      </c>
      <c r="L127" s="94" t="n">
        <v>26778.23</v>
      </c>
      <c r="M127" s="92" t="n">
        <v>549144.5098999999</v>
      </c>
      <c r="N127" s="94" t="n">
        <v>21500577.41</v>
      </c>
      <c r="O127" s="94" t="n">
        <v>26273.8404</v>
      </c>
      <c r="P127" s="94" t="n">
        <v>416.9712</v>
      </c>
      <c r="Q127" s="92" t="n">
        <v>8815.6</v>
      </c>
      <c r="R127" s="94" t="n">
        <v>335194868.5961</v>
      </c>
      <c r="S127" s="94" t="n">
        <v>999778749.2970001</v>
      </c>
      <c r="T127" s="95">
        <f>IF(OR(R127="",R126=""),"",R127-R126)</f>
        <v/>
      </c>
      <c r="U127" s="95">
        <f>IF(OR(S127="",S126=""),"",S127-S126)</f>
        <v/>
      </c>
      <c r="V127" s="95">
        <f>IF(OR(U127="",P127=""),"",U127+P127)</f>
        <v/>
      </c>
      <c r="W127" s="95">
        <f>IF(OR(T127="",O127="",P127=""),"",T127-O127+P127)</f>
        <v/>
      </c>
    </row>
    <row r="128">
      <c r="A128" s="35" t="n">
        <v>45782</v>
      </c>
      <c r="B128" s="92" t="n">
        <v>4567961400.616288</v>
      </c>
      <c r="C128" s="92" t="n"/>
      <c r="D128" s="92" t="n">
        <v>0</v>
      </c>
      <c r="E128" s="92" t="n">
        <v>995251.4383</v>
      </c>
      <c r="F128" s="92" t="n">
        <v>0</v>
      </c>
      <c r="G128" s="92" t="n">
        <v>0</v>
      </c>
      <c r="H128" s="92" t="n">
        <v>26309</v>
      </c>
      <c r="I128" s="92" t="n">
        <v>27123</v>
      </c>
      <c r="J128" s="92" t="n">
        <v>2837.20646197264</v>
      </c>
      <c r="K128" s="92" t="n">
        <v>0</v>
      </c>
      <c r="L128" s="94" t="n">
        <v>49246.62</v>
      </c>
      <c r="M128" s="92" t="n">
        <v>995251.4383</v>
      </c>
      <c r="N128" s="94" t="n">
        <v>21549824.03</v>
      </c>
      <c r="O128" s="94" t="n">
        <v>26237.5716</v>
      </c>
      <c r="P128" s="94" t="n">
        <v>332.2736</v>
      </c>
      <c r="Q128" s="92" t="n">
        <v>6627.03</v>
      </c>
      <c r="R128" s="94" t="n">
        <v>335206177.98</v>
      </c>
      <c r="S128" s="94" t="n">
        <v>999778417.0233999</v>
      </c>
      <c r="T128" s="95">
        <f>IF(OR(R128="",R127=""),"",R128-R127)</f>
        <v/>
      </c>
      <c r="U128" s="95">
        <f>IF(OR(S128="",S127=""),"",S128-S127)</f>
        <v/>
      </c>
      <c r="V128" s="95">
        <f>IF(OR(U128="",P128=""),"",U128+P128)</f>
        <v/>
      </c>
      <c r="W128" s="95">
        <f>IF(OR(T128="",O128="",P128=""),"",T128-O128+P128)</f>
        <v/>
      </c>
    </row>
    <row r="129">
      <c r="A129" s="35" t="n">
        <v>45783</v>
      </c>
      <c r="B129" s="92" t="n">
        <v>4993697122.463089</v>
      </c>
      <c r="C129" s="92" t="n"/>
      <c r="D129" s="92" t="n">
        <v>0</v>
      </c>
      <c r="E129" s="92" t="n">
        <v>1128924.442</v>
      </c>
      <c r="F129" s="92" t="n">
        <v>0</v>
      </c>
      <c r="G129" s="92" t="n">
        <v>0</v>
      </c>
      <c r="H129" s="92" t="n">
        <v>31953</v>
      </c>
      <c r="I129" s="92" t="n">
        <v>32941</v>
      </c>
      <c r="J129" s="92" t="n">
        <v>4469.320161361423</v>
      </c>
      <c r="K129" s="92" t="n">
        <v>34550.83</v>
      </c>
      <c r="L129" s="94" t="n">
        <v>56072.29</v>
      </c>
      <c r="M129" s="92" t="n">
        <v>1128924.442</v>
      </c>
      <c r="N129" s="94" t="n">
        <v>21605896.32</v>
      </c>
      <c r="O129" s="94" t="n">
        <v>26248.6152</v>
      </c>
      <c r="P129" s="94" t="n">
        <v>729.029</v>
      </c>
      <c r="Q129" s="92" t="n">
        <v>14727.48</v>
      </c>
      <c r="R129" s="94" t="n">
        <v>335217112.4043</v>
      </c>
      <c r="S129" s="94" t="n">
        <v>999777687.9944</v>
      </c>
      <c r="T129" s="95">
        <f>IF(OR(R129="",R128=""),"",R129-R128)</f>
        <v/>
      </c>
      <c r="U129" s="95">
        <f>IF(OR(S129="",S128=""),"",S129-S128)</f>
        <v/>
      </c>
      <c r="V129" s="95">
        <f>IF(OR(U129="",P129=""),"",U129+P129)</f>
        <v/>
      </c>
      <c r="W129" s="95">
        <f>IF(OR(T129="",O129="",P129=""),"",T129-O129+P129)</f>
        <v/>
      </c>
    </row>
    <row r="130">
      <c r="A130" s="35" t="n">
        <v>45784</v>
      </c>
      <c r="B130" s="92" t="n">
        <v>5302496590.749238</v>
      </c>
      <c r="C130" s="92" t="n"/>
      <c r="D130" s="92" t="n">
        <v>0</v>
      </c>
      <c r="E130" s="92" t="n">
        <v>1645504.587</v>
      </c>
      <c r="F130" s="92" t="n">
        <v>0</v>
      </c>
      <c r="G130" s="92" t="n">
        <v>0</v>
      </c>
      <c r="H130" s="92" t="n">
        <v>28385</v>
      </c>
      <c r="I130" s="92" t="n">
        <v>29262</v>
      </c>
      <c r="J130" s="92" t="n">
        <v>4920.589626436782</v>
      </c>
      <c r="K130" s="92" t="n">
        <v>25840.79</v>
      </c>
      <c r="L130" s="94" t="n">
        <v>78353.91</v>
      </c>
      <c r="M130" s="92" t="n">
        <v>1645504.587</v>
      </c>
      <c r="N130" s="94" t="n">
        <v>21684250.23</v>
      </c>
      <c r="O130" s="94" t="n">
        <v>26286.8993</v>
      </c>
      <c r="P130" s="94" t="n">
        <v>970.6196</v>
      </c>
      <c r="Q130" s="92" t="n">
        <v>20407.76</v>
      </c>
      <c r="R130" s="94" t="n">
        <v>335228498.2614</v>
      </c>
      <c r="S130" s="94" t="n">
        <v>999776717.3749</v>
      </c>
      <c r="T130" s="95">
        <f>IF(OR(R130="",R129=""),"",R130-R129)</f>
        <v/>
      </c>
      <c r="U130" s="95">
        <f>IF(OR(S130="",S129=""),"",S130-S129)</f>
        <v/>
      </c>
      <c r="V130" s="95">
        <f>IF(OR(U130="",P130=""),"",U130+P130)</f>
        <v/>
      </c>
      <c r="W130" s="95">
        <f>IF(OR(T130="",O130="",P130=""),"",T130-O130+P130)</f>
        <v/>
      </c>
    </row>
    <row r="131">
      <c r="A131" s="35" t="n">
        <v>45785</v>
      </c>
      <c r="B131" s="92" t="n">
        <v>10744450407.59778</v>
      </c>
      <c r="C131" s="92" t="n"/>
      <c r="D131" s="92" t="n">
        <v>0</v>
      </c>
      <c r="E131" s="92" t="n">
        <v>2070058.595</v>
      </c>
      <c r="F131" s="92" t="n">
        <v>0</v>
      </c>
      <c r="G131" s="92" t="n">
        <v>0</v>
      </c>
      <c r="H131" s="92" t="n">
        <v>51811</v>
      </c>
      <c r="I131" s="92" t="n">
        <v>53413</v>
      </c>
      <c r="J131" s="92" t="n">
        <v>4665.805506652856</v>
      </c>
      <c r="K131" s="92" t="n">
        <v>39039.54</v>
      </c>
      <c r="L131" s="94" t="n">
        <v>94408.36</v>
      </c>
      <c r="M131" s="92" t="n">
        <v>2070058.595</v>
      </c>
      <c r="N131" s="94" t="n">
        <v>21778658.59</v>
      </c>
      <c r="O131" s="94" t="n">
        <v>26293.0763</v>
      </c>
      <c r="P131" s="94" t="n">
        <v>779.5515</v>
      </c>
      <c r="Q131" s="92" t="n">
        <v>16462.96</v>
      </c>
      <c r="R131" s="94" t="n">
        <v>335239406.6037</v>
      </c>
      <c r="S131" s="94" t="n">
        <v>999775937.8233</v>
      </c>
      <c r="T131" s="95">
        <f>IF(OR(R131="",R130=""),"",R131-R130)</f>
        <v/>
      </c>
      <c r="U131" s="95">
        <f>IF(OR(S131="",S130=""),"",S131-S130)</f>
        <v/>
      </c>
      <c r="V131" s="95">
        <f>IF(OR(U131="",P131=""),"",U131+P131)</f>
        <v/>
      </c>
      <c r="W131" s="95">
        <f>IF(OR(T131="",O131="",P131=""),"",T131-O131+P131)</f>
        <v/>
      </c>
    </row>
    <row r="132">
      <c r="A132" s="35" t="n">
        <v>45786</v>
      </c>
      <c r="B132" s="92" t="n">
        <v>9205104235.407499</v>
      </c>
      <c r="C132" s="92" t="n"/>
      <c r="D132" s="92" t="n">
        <v>0</v>
      </c>
      <c r="E132" s="92" t="n">
        <v>3722273.751</v>
      </c>
      <c r="F132" s="92" t="n">
        <v>0</v>
      </c>
      <c r="G132" s="92" t="n">
        <v>0</v>
      </c>
      <c r="H132" s="92" t="n">
        <v>61259</v>
      </c>
      <c r="I132" s="92" t="n">
        <v>63153</v>
      </c>
      <c r="J132" s="92" t="n">
        <v>4421.023417596251</v>
      </c>
      <c r="K132" s="92" t="n">
        <v>49456.56</v>
      </c>
      <c r="L132" s="94" t="n">
        <v>150005.11</v>
      </c>
      <c r="M132" s="92" t="n">
        <v>3722273.751</v>
      </c>
      <c r="N132" s="94" t="n">
        <v>21928663.7</v>
      </c>
      <c r="O132" s="94" t="n">
        <v>26286.2467</v>
      </c>
      <c r="P132" s="94" t="n">
        <v>2047.9404</v>
      </c>
      <c r="Q132" s="92" t="n">
        <v>47450.78</v>
      </c>
      <c r="R132" s="94" t="n">
        <v>335249066.064</v>
      </c>
      <c r="S132" s="94" t="n">
        <v>999773889.883</v>
      </c>
      <c r="T132" s="95">
        <f>IF(OR(R132="",R131=""),"",R132-R131)</f>
        <v/>
      </c>
      <c r="U132" s="95">
        <f>IF(OR(S132="",S131=""),"",S132-S131)</f>
        <v/>
      </c>
      <c r="V132" s="95">
        <f>IF(OR(U132="",P132=""),"",U132+P132)</f>
        <v/>
      </c>
      <c r="W132" s="95">
        <f>IF(OR(T132="",O132="",P132=""),"",T132-O132+P132)</f>
        <v/>
      </c>
    </row>
    <row r="133">
      <c r="A133" s="35" t="n">
        <v>45787</v>
      </c>
      <c r="B133" s="92" t="n">
        <v>5771644873.068854</v>
      </c>
      <c r="C133" s="92" t="n"/>
      <c r="D133" s="92" t="n">
        <v>0</v>
      </c>
      <c r="E133" s="92" t="n">
        <v>1982994.49</v>
      </c>
      <c r="F133" s="92" t="n">
        <v>0</v>
      </c>
      <c r="G133" s="92" t="n">
        <v>0</v>
      </c>
      <c r="H133" s="92" t="n">
        <v>36046</v>
      </c>
      <c r="I133" s="92" t="n">
        <v>37161</v>
      </c>
      <c r="J133" s="92" t="n">
        <v>3198.978199177561</v>
      </c>
      <c r="K133" s="92" t="n">
        <v>0</v>
      </c>
      <c r="L133" s="94" t="n">
        <v>78879.00999999999</v>
      </c>
      <c r="M133" s="92" t="n">
        <v>1982994.49</v>
      </c>
      <c r="N133" s="94" t="n">
        <v>22007542.71</v>
      </c>
      <c r="O133" s="94" t="n">
        <v>26264.9266</v>
      </c>
      <c r="P133" s="94" t="n">
        <v>1889.7992</v>
      </c>
      <c r="Q133" s="92" t="n">
        <v>47118.36</v>
      </c>
      <c r="R133" s="94" t="n">
        <v>335258901.4017</v>
      </c>
      <c r="S133" s="94" t="n">
        <v>999772000.0838</v>
      </c>
      <c r="T133" s="95">
        <f>IF(OR(R133="",R132=""),"",R133-R132)</f>
        <v/>
      </c>
      <c r="U133" s="95">
        <f>IF(OR(S133="",S132=""),"",S133-S132)</f>
        <v/>
      </c>
      <c r="V133" s="95">
        <f>IF(OR(U133="",P133=""),"",U133+P133)</f>
        <v/>
      </c>
      <c r="W133" s="95">
        <f>IF(OR(T133="",O133="",P133=""),"",T133-O133+P133)</f>
        <v/>
      </c>
    </row>
    <row r="134">
      <c r="A134" s="35" t="n">
        <v>45788</v>
      </c>
      <c r="B134" s="92" t="n">
        <v>6586463067.025468</v>
      </c>
      <c r="C134" s="92" t="n"/>
      <c r="D134" s="92" t="n">
        <v>0</v>
      </c>
      <c r="E134" s="92" t="n">
        <v>2151725.798</v>
      </c>
      <c r="F134" s="92" t="n">
        <v>0</v>
      </c>
      <c r="G134" s="92" t="n">
        <v>0</v>
      </c>
      <c r="H134" s="92" t="n">
        <v>45509</v>
      </c>
      <c r="I134" s="92" t="n">
        <v>46917</v>
      </c>
      <c r="J134" s="92" t="n">
        <v>4712.375812118085</v>
      </c>
      <c r="K134" s="92" t="n">
        <v>61482.8</v>
      </c>
      <c r="L134" s="94" t="n">
        <v>85990.77</v>
      </c>
      <c r="M134" s="92" t="n">
        <v>2151725.798</v>
      </c>
      <c r="N134" s="94" t="n">
        <v>22093533.48</v>
      </c>
      <c r="O134" s="94" t="n">
        <v>26383.8354</v>
      </c>
      <c r="P134" s="94" t="n">
        <v>886.5262</v>
      </c>
      <c r="Q134" s="92" t="n">
        <v>23269.98</v>
      </c>
      <c r="R134" s="94" t="n">
        <v>335269832.7922</v>
      </c>
      <c r="S134" s="94" t="n">
        <v>999771113.5575</v>
      </c>
      <c r="T134" s="95">
        <f>IF(OR(R134="",R133=""),"",R134-R133)</f>
        <v/>
      </c>
      <c r="U134" s="95">
        <f>IF(OR(S134="",S133=""),"",S134-S133)</f>
        <v/>
      </c>
      <c r="V134" s="95">
        <f>IF(OR(U134="",P134=""),"",U134+P134)</f>
        <v/>
      </c>
      <c r="W134" s="95">
        <f>IF(OR(T134="",O134="",P134=""),"",T134-O134+P134)</f>
        <v/>
      </c>
    </row>
    <row r="135">
      <c r="A135" s="35" t="n">
        <v>45789</v>
      </c>
      <c r="B135" s="92" t="n">
        <v>11465187013.32223</v>
      </c>
      <c r="C135" s="92" t="n"/>
      <c r="D135" s="92" t="n">
        <v>0</v>
      </c>
      <c r="E135" s="92" t="n">
        <v>2013924.852</v>
      </c>
      <c r="F135" s="92" t="n">
        <v>0</v>
      </c>
      <c r="G135" s="92" t="n">
        <v>0</v>
      </c>
      <c r="H135" s="92" t="n">
        <v>45638</v>
      </c>
      <c r="I135" s="92" t="n">
        <v>47049</v>
      </c>
      <c r="J135" s="92" t="n">
        <v>5249.561312008317</v>
      </c>
      <c r="K135" s="92" t="n">
        <v>34871.23</v>
      </c>
      <c r="L135" s="94" t="n">
        <v>81748.81</v>
      </c>
      <c r="M135" s="92" t="n">
        <v>2013924.852</v>
      </c>
      <c r="N135" s="94" t="n">
        <v>22175282.29</v>
      </c>
      <c r="O135" s="94" t="n">
        <v>26327.3026</v>
      </c>
      <c r="P135" s="94" t="n">
        <v>1125.8566</v>
      </c>
      <c r="Q135" s="92" t="n">
        <v>28183</v>
      </c>
      <c r="R135" s="94" t="n">
        <v>335280483.2561</v>
      </c>
      <c r="S135" s="94" t="n">
        <v>999769987.701</v>
      </c>
      <c r="T135" s="95">
        <f>IF(OR(R135="",R134=""),"",R135-R134)</f>
        <v/>
      </c>
      <c r="U135" s="95">
        <f>IF(OR(S135="",S134=""),"",S135-S134)</f>
        <v/>
      </c>
      <c r="V135" s="95">
        <f>IF(OR(U135="",P135=""),"",U135+P135)</f>
        <v/>
      </c>
      <c r="W135" s="95">
        <f>IF(OR(T135="",O135="",P135=""),"",T135-O135+P135)</f>
        <v/>
      </c>
    </row>
    <row r="136">
      <c r="A136" s="35" t="n">
        <v>45790</v>
      </c>
      <c r="B136" s="92" t="n">
        <v>8383620368.11664</v>
      </c>
      <c r="C136" s="92" t="n"/>
      <c r="D136" s="92" t="n">
        <v>0</v>
      </c>
      <c r="E136" s="92" t="n">
        <v>2931446.112</v>
      </c>
      <c r="F136" s="92" t="n">
        <v>0</v>
      </c>
      <c r="G136" s="92" t="n">
        <v>0</v>
      </c>
      <c r="H136" s="92" t="n">
        <v>40740</v>
      </c>
      <c r="I136" s="92" t="n">
        <v>42000</v>
      </c>
      <c r="J136" s="92" t="n">
        <v>3367.628447783542</v>
      </c>
      <c r="K136" s="92" t="n">
        <v>39094.52</v>
      </c>
      <c r="L136" s="94" t="n">
        <v>115846.18</v>
      </c>
      <c r="M136" s="92" t="n">
        <v>2931446.112</v>
      </c>
      <c r="N136" s="94" t="n">
        <v>22291128.47</v>
      </c>
      <c r="O136" s="94" t="n">
        <v>26375.9894</v>
      </c>
      <c r="P136" s="94" t="n">
        <v>1150.7927</v>
      </c>
      <c r="Q136" s="92" t="n">
        <v>28201.32</v>
      </c>
      <c r="R136" s="94" t="n">
        <v>335291137.9852</v>
      </c>
      <c r="S136" s="94" t="n">
        <v>999768836.9083</v>
      </c>
      <c r="T136" s="95">
        <f>IF(OR(R136="",R135=""),"",R136-R135)</f>
        <v/>
      </c>
      <c r="U136" s="95">
        <f>IF(OR(S136="",S135=""),"",S136-S135)</f>
        <v/>
      </c>
      <c r="V136" s="95">
        <f>IF(OR(U136="",P136=""),"",U136+P136)</f>
        <v/>
      </c>
      <c r="W136" s="95">
        <f>IF(OR(T136="",O136="",P136=""),"",T136-O136+P136)</f>
        <v/>
      </c>
    </row>
    <row r="137">
      <c r="A137" s="35" t="n">
        <v>45791</v>
      </c>
      <c r="B137" s="92" t="n">
        <v>7000956820.499754</v>
      </c>
      <c r="C137" s="92" t="n"/>
      <c r="D137" s="92" t="n">
        <v>0</v>
      </c>
      <c r="E137" s="92" t="n">
        <v>2425221.212</v>
      </c>
      <c r="F137" s="92" t="n">
        <v>0</v>
      </c>
      <c r="G137" s="92" t="n">
        <v>0</v>
      </c>
      <c r="H137" s="92" t="n">
        <v>34519</v>
      </c>
      <c r="I137" s="92" t="n">
        <v>35587</v>
      </c>
      <c r="J137" s="92" t="n">
        <v>3780.99140769924</v>
      </c>
      <c r="K137" s="92" t="n">
        <v>48946.75</v>
      </c>
      <c r="L137" s="94" t="n">
        <v>96039.05</v>
      </c>
      <c r="M137" s="92" t="n">
        <v>2425221.212</v>
      </c>
      <c r="N137" s="94" t="n">
        <v>22387167.52</v>
      </c>
      <c r="O137" s="94" t="n">
        <v>26379.0101</v>
      </c>
      <c r="P137" s="94" t="n">
        <v>998.4329</v>
      </c>
      <c r="Q137" s="92" t="n">
        <v>25636.26</v>
      </c>
      <c r="R137" s="94" t="n">
        <v>335301953.0617</v>
      </c>
      <c r="S137" s="94" t="n">
        <v>999767838.4754</v>
      </c>
      <c r="T137" s="95">
        <f>IF(OR(R137="",R136=""),"",R137-R136)</f>
        <v/>
      </c>
      <c r="U137" s="95">
        <f>IF(OR(S137="",S136=""),"",S137-S136)</f>
        <v/>
      </c>
      <c r="V137" s="95">
        <f>IF(OR(U137="",P137=""),"",U137+P137)</f>
        <v/>
      </c>
      <c r="W137" s="95">
        <f>IF(OR(T137="",O137="",P137=""),"",T137-O137+P137)</f>
        <v/>
      </c>
    </row>
    <row r="138">
      <c r="A138" s="35" t="n">
        <v>45792</v>
      </c>
      <c r="B138" s="92" t="n">
        <v>7691386938.568702</v>
      </c>
      <c r="C138" s="92" t="n"/>
      <c r="D138" s="92" t="n">
        <v>0</v>
      </c>
      <c r="E138" s="92" t="n">
        <v>1824984.348</v>
      </c>
      <c r="F138" s="92" t="n">
        <v>0</v>
      </c>
      <c r="G138" s="92" t="n">
        <v>0</v>
      </c>
      <c r="H138" s="92" t="n">
        <v>35880</v>
      </c>
      <c r="I138" s="92" t="n">
        <v>36989</v>
      </c>
      <c r="J138" s="92" t="n">
        <v>5271.275731880184</v>
      </c>
      <c r="K138" s="92" t="n">
        <v>0</v>
      </c>
      <c r="L138" s="94" t="n">
        <v>72382.53</v>
      </c>
      <c r="M138" s="92" t="n">
        <v>1824984.348</v>
      </c>
      <c r="N138" s="94" t="n">
        <v>22459550.05</v>
      </c>
      <c r="O138" s="94" t="n">
        <v>26336.2435</v>
      </c>
      <c r="P138" s="94" t="n">
        <v>667.6346</v>
      </c>
      <c r="Q138" s="92" t="n">
        <v>16877.8</v>
      </c>
      <c r="R138" s="94" t="n">
        <v>335313091.1542</v>
      </c>
      <c r="S138" s="94" t="n">
        <v>999767170.8407</v>
      </c>
      <c r="T138" s="95">
        <f>IF(OR(R138="",R137=""),"",R138-R137)</f>
        <v/>
      </c>
      <c r="U138" s="95">
        <f>IF(OR(S138="",S137=""),"",S138-S137)</f>
        <v/>
      </c>
      <c r="V138" s="95">
        <f>IF(OR(U138="",P138=""),"",U138+P138)</f>
        <v/>
      </c>
      <c r="W138" s="95">
        <f>IF(OR(T138="",O138="",P138=""),"",T138-O138+P138)</f>
        <v/>
      </c>
    </row>
    <row r="139">
      <c r="A139" s="35" t="n">
        <v>45793</v>
      </c>
      <c r="B139" s="92" t="n">
        <v>6286215708.911819</v>
      </c>
      <c r="C139" s="92" t="n"/>
      <c r="D139" s="92" t="n">
        <v>0</v>
      </c>
      <c r="E139" s="92" t="n">
        <v>2316472.826</v>
      </c>
      <c r="F139" s="92" t="n">
        <v>0</v>
      </c>
      <c r="G139" s="92" t="n">
        <v>0</v>
      </c>
      <c r="H139" s="92" t="n">
        <v>50491</v>
      </c>
      <c r="I139" s="92" t="n">
        <v>52053</v>
      </c>
      <c r="J139" s="92" t="n">
        <v>4550.524200601108</v>
      </c>
      <c r="K139" s="92" t="n">
        <v>39703.06</v>
      </c>
      <c r="L139" s="94" t="n">
        <v>84745.06</v>
      </c>
      <c r="M139" s="92" t="n">
        <v>2316472.826</v>
      </c>
      <c r="N139" s="94" t="n">
        <v>22544295.11</v>
      </c>
      <c r="O139" s="94" t="n">
        <v>26356.8899</v>
      </c>
      <c r="P139" s="94" t="n">
        <v>821.8124</v>
      </c>
      <c r="Q139" s="92" t="n">
        <v>21579.56</v>
      </c>
      <c r="R139" s="94" t="n">
        <v>335324064.4849</v>
      </c>
      <c r="S139" s="94" t="n">
        <v>999766349.0283</v>
      </c>
      <c r="T139" s="95">
        <f>IF(OR(R139="",R138=""),"",R139-R138)</f>
        <v/>
      </c>
      <c r="U139" s="95">
        <f>IF(OR(S139="",S138=""),"",S139-S138)</f>
        <v/>
      </c>
      <c r="V139" s="95">
        <f>IF(OR(U139="",P139=""),"",U139+P139)</f>
        <v/>
      </c>
      <c r="W139" s="95">
        <f>IF(OR(T139="",O139="",P139=""),"",T139-O139+P139)</f>
        <v/>
      </c>
    </row>
    <row r="140">
      <c r="A140" s="35" t="n">
        <v>45794</v>
      </c>
      <c r="B140" s="92" t="n">
        <v>4365168405.24695</v>
      </c>
      <c r="C140" s="92" t="n"/>
      <c r="D140" s="92" t="n">
        <v>0</v>
      </c>
      <c r="E140" s="92" t="n">
        <v>1800311.971</v>
      </c>
      <c r="F140" s="92" t="n">
        <v>0</v>
      </c>
      <c r="G140" s="92" t="n">
        <v>0</v>
      </c>
      <c r="H140" s="92" t="n">
        <v>43294</v>
      </c>
      <c r="I140" s="92" t="n">
        <v>44633</v>
      </c>
      <c r="J140" s="92" t="n">
        <v>2661.971748629785</v>
      </c>
      <c r="K140" s="92" t="n">
        <v>22540.86</v>
      </c>
      <c r="L140" s="94" t="n">
        <v>69880.88</v>
      </c>
      <c r="M140" s="92" t="n">
        <v>1800311.971</v>
      </c>
      <c r="N140" s="94" t="n">
        <v>22614175.99</v>
      </c>
      <c r="O140" s="94" t="n">
        <v>26319.8402</v>
      </c>
      <c r="P140" s="94" t="n">
        <v>1419.0542</v>
      </c>
      <c r="Q140" s="92" t="n">
        <v>37947.64</v>
      </c>
      <c r="R140" s="94" t="n">
        <v>335334399.7393</v>
      </c>
      <c r="S140" s="94" t="n">
        <v>999764929.9741</v>
      </c>
      <c r="T140" s="95">
        <f>IF(OR(R140="",R139=""),"",R140-R139)</f>
        <v/>
      </c>
      <c r="U140" s="95">
        <f>IF(OR(S140="",S139=""),"",S140-S139)</f>
        <v/>
      </c>
      <c r="V140" s="95">
        <f>IF(OR(U140="",P140=""),"",U140+P140)</f>
        <v/>
      </c>
      <c r="W140" s="95">
        <f>IF(OR(T140="",O140="",P140=""),"",T140-O140+P140)</f>
        <v/>
      </c>
    </row>
    <row r="141">
      <c r="A141" s="35" t="n">
        <v>45795</v>
      </c>
      <c r="B141" s="92" t="n">
        <v>7314944825.222101</v>
      </c>
      <c r="C141" s="92" t="n"/>
      <c r="D141" s="92" t="n">
        <v>0</v>
      </c>
      <c r="E141" s="92" t="n">
        <v>915170.6442</v>
      </c>
      <c r="F141" s="92" t="n">
        <v>0</v>
      </c>
      <c r="G141" s="92" t="n">
        <v>0</v>
      </c>
      <c r="H141" s="92" t="n">
        <v>39516</v>
      </c>
      <c r="I141" s="92" t="n">
        <v>40738</v>
      </c>
      <c r="J141" s="92" t="n">
        <v>1944.374945875695</v>
      </c>
      <c r="K141" s="92" t="n">
        <v>23849.95</v>
      </c>
      <c r="L141" s="94" t="n">
        <v>34506.07</v>
      </c>
      <c r="M141" s="92" t="n">
        <v>915170.6442</v>
      </c>
      <c r="N141" s="94" t="n">
        <v>22648682.06</v>
      </c>
      <c r="O141" s="94" t="n">
        <v>26317.2146</v>
      </c>
      <c r="P141" s="94" t="n">
        <v>991.9164</v>
      </c>
      <c r="Q141" s="92" t="n">
        <v>25794.29</v>
      </c>
      <c r="R141" s="94" t="n">
        <v>335345163.1421</v>
      </c>
      <c r="S141" s="94" t="n">
        <v>999763938.0577</v>
      </c>
      <c r="T141" s="95">
        <f>IF(OR(R141="",R140=""),"",R141-R140)</f>
        <v/>
      </c>
      <c r="U141" s="95">
        <f>IF(OR(S141="",S140=""),"",S141-S140)</f>
        <v/>
      </c>
      <c r="V141" s="95">
        <f>IF(OR(U141="",P141=""),"",U141+P141)</f>
        <v/>
      </c>
      <c r="W141" s="95">
        <f>IF(OR(T141="",O141="",P141=""),"",T141-O141+P141)</f>
        <v/>
      </c>
    </row>
    <row r="142">
      <c r="A142" s="35" t="n">
        <v>45796</v>
      </c>
      <c r="B142" s="92" t="n">
        <v>9535736914.447601</v>
      </c>
      <c r="C142" s="92" t="n"/>
      <c r="D142" s="92" t="n">
        <v>0</v>
      </c>
      <c r="E142" s="92" t="n">
        <v>3021657.469</v>
      </c>
      <c r="F142" s="92" t="n">
        <v>0</v>
      </c>
      <c r="G142" s="92" t="n">
        <v>0</v>
      </c>
      <c r="H142" s="92" t="n">
        <v>49789</v>
      </c>
      <c r="I142" s="92" t="n">
        <v>51328</v>
      </c>
      <c r="J142" s="92" t="n">
        <v>2016.679964120407</v>
      </c>
      <c r="K142" s="92" t="n">
        <v>0</v>
      </c>
      <c r="L142" s="94" t="n">
        <v>116816.87</v>
      </c>
      <c r="M142" s="92" t="n">
        <v>3021657.469</v>
      </c>
      <c r="N142" s="94" t="n">
        <v>22765498.93</v>
      </c>
      <c r="O142" s="94" t="n">
        <v>26301.7686</v>
      </c>
      <c r="P142" s="94" t="n">
        <v>844.6677</v>
      </c>
      <c r="Q142" s="92" t="n">
        <v>22863.47</v>
      </c>
      <c r="R142" s="94" t="n">
        <v>335356069.0241</v>
      </c>
      <c r="S142" s="94" t="n">
        <v>999763093.39</v>
      </c>
      <c r="T142" s="95">
        <f>IF(OR(R142="",R141=""),"",R142-R141)</f>
        <v/>
      </c>
      <c r="U142" s="95">
        <f>IF(OR(S142="",S141=""),"",S142-S141)</f>
        <v/>
      </c>
      <c r="V142" s="95">
        <f>IF(OR(U142="",P142=""),"",U142+P142)</f>
        <v/>
      </c>
      <c r="W142" s="95">
        <f>IF(OR(T142="",O142="",P142=""),"",T142-O142+P142)</f>
        <v/>
      </c>
    </row>
    <row r="143">
      <c r="A143" s="35" t="n">
        <v>45797</v>
      </c>
      <c r="B143" s="92" t="n">
        <v>11112341692.06507</v>
      </c>
      <c r="C143" s="92" t="n"/>
      <c r="D143" s="92" t="n">
        <v>0</v>
      </c>
      <c r="E143" s="92" t="n">
        <v>2335473.216</v>
      </c>
      <c r="F143" s="92" t="n">
        <v>0</v>
      </c>
      <c r="G143" s="92" t="n">
        <v>0</v>
      </c>
      <c r="H143" s="92" t="n">
        <v>42349</v>
      </c>
      <c r="I143" s="92" t="n">
        <v>43659</v>
      </c>
      <c r="J143" s="92" t="n">
        <v>1665.285350590203</v>
      </c>
      <c r="K143" s="92" t="n">
        <v>18725</v>
      </c>
      <c r="L143" s="94" t="n">
        <v>90221.34</v>
      </c>
      <c r="M143" s="92" t="n">
        <v>2335473.216</v>
      </c>
      <c r="N143" s="94" t="n">
        <v>22855720.27</v>
      </c>
      <c r="O143" s="94" t="n">
        <v>26318.4723</v>
      </c>
      <c r="P143" s="94" t="n">
        <v>1017.3268</v>
      </c>
      <c r="Q143" s="92" t="n">
        <v>27104.13</v>
      </c>
      <c r="R143" s="94" t="n">
        <v>335366812.4516</v>
      </c>
      <c r="S143" s="94" t="n">
        <v>999762076.0632</v>
      </c>
      <c r="T143" s="95">
        <f>IF(OR(R143="",R142=""),"",R143-R142)</f>
        <v/>
      </c>
      <c r="U143" s="95">
        <f>IF(OR(S143="",S142=""),"",S143-S142)</f>
        <v/>
      </c>
      <c r="V143" s="95">
        <f>IF(OR(U143="",P143=""),"",U143+P143)</f>
        <v/>
      </c>
      <c r="W143" s="95">
        <f>IF(OR(T143="",O143="",P143=""),"",T143-O143+P143)</f>
        <v/>
      </c>
    </row>
    <row r="144">
      <c r="A144" s="35" t="n">
        <v>45798</v>
      </c>
      <c r="B144" s="92" t="n">
        <v>17607432132.96347</v>
      </c>
      <c r="C144" s="92" t="n"/>
      <c r="D144" s="92" t="n">
        <v>0</v>
      </c>
      <c r="E144" s="92" t="n">
        <v>3243296.471</v>
      </c>
      <c r="F144" s="92" t="n">
        <v>0</v>
      </c>
      <c r="G144" s="92" t="n">
        <v>0</v>
      </c>
      <c r="H144" s="92" t="n">
        <v>68295</v>
      </c>
      <c r="I144" s="92" t="n">
        <v>70408</v>
      </c>
      <c r="J144" s="92" t="n">
        <v>2996.664644683044</v>
      </c>
      <c r="K144" s="92" t="n">
        <v>18440.9</v>
      </c>
      <c r="L144" s="94" t="n">
        <v>117416.77</v>
      </c>
      <c r="M144" s="92" t="n">
        <v>3243296.471</v>
      </c>
      <c r="N144" s="94" t="n">
        <v>22973137.04</v>
      </c>
      <c r="O144" s="94" t="n">
        <v>26382.9301</v>
      </c>
      <c r="P144" s="94" t="n">
        <v>742.3954</v>
      </c>
      <c r="Q144" s="92" t="n">
        <v>19643.04</v>
      </c>
      <c r="R144" s="94" t="n">
        <v>335377891.0606</v>
      </c>
      <c r="S144" s="94" t="n">
        <v>999761333.6679</v>
      </c>
      <c r="T144" s="95">
        <f>IF(OR(R144="",R143=""),"",R144-R143)</f>
        <v/>
      </c>
      <c r="U144" s="95">
        <f>IF(OR(S144="",S143=""),"",S144-S143)</f>
        <v/>
      </c>
      <c r="V144" s="95">
        <f>IF(OR(U144="",P144=""),"",U144+P144)</f>
        <v/>
      </c>
      <c r="W144" s="95">
        <f>IF(OR(T144="",O144="",P144=""),"",T144-O144+P144)</f>
        <v/>
      </c>
    </row>
    <row r="145">
      <c r="A145" s="35" t="n">
        <v>45799</v>
      </c>
      <c r="B145" s="92" t="n">
        <v>11653389156.53191</v>
      </c>
      <c r="C145" s="92" t="n"/>
      <c r="D145" s="92" t="n">
        <v>0</v>
      </c>
      <c r="E145" s="92" t="n">
        <v>5872178.578</v>
      </c>
      <c r="F145" s="92" t="n">
        <v>0</v>
      </c>
      <c r="G145" s="92" t="n">
        <v>0</v>
      </c>
      <c r="H145" s="92" t="n">
        <v>110239</v>
      </c>
      <c r="I145" s="92" t="n">
        <v>113648</v>
      </c>
      <c r="J145" s="92" t="n">
        <v>35055.96777071235</v>
      </c>
      <c r="K145" s="92" t="n">
        <v>23454.97</v>
      </c>
      <c r="L145" s="94" t="n">
        <v>183172.39</v>
      </c>
      <c r="M145" s="92" t="n">
        <v>5872178.578</v>
      </c>
      <c r="N145" s="94" t="n">
        <v>23156309.43</v>
      </c>
      <c r="O145" s="94" t="n">
        <v>26369.2575</v>
      </c>
      <c r="P145" s="94" t="n">
        <v>1400.0976</v>
      </c>
      <c r="Q145" s="92" t="n">
        <v>39540.86</v>
      </c>
      <c r="R145" s="94" t="n">
        <v>335388287.9178</v>
      </c>
      <c r="S145" s="94" t="n">
        <v>999759933.5702</v>
      </c>
      <c r="T145" s="95">
        <f>IF(OR(R145="",R144=""),"",R145-R144)</f>
        <v/>
      </c>
      <c r="U145" s="95">
        <f>IF(OR(S145="",S144=""),"",S145-S144)</f>
        <v/>
      </c>
      <c r="V145" s="95">
        <f>IF(OR(U145="",P145=""),"",U145+P145)</f>
        <v/>
      </c>
      <c r="W145" s="95">
        <f>IF(OR(T145="",O145="",P145=""),"",T145-O145+P145)</f>
        <v/>
      </c>
    </row>
    <row r="146">
      <c r="A146" s="35" t="n">
        <v>45800</v>
      </c>
      <c r="B146" s="92" t="n">
        <v>13132043868.8706</v>
      </c>
      <c r="C146" s="92" t="n"/>
      <c r="D146" s="92" t="n">
        <v>0</v>
      </c>
      <c r="E146" s="92" t="n">
        <v>2858955.209</v>
      </c>
      <c r="F146" s="92" t="n">
        <v>0</v>
      </c>
      <c r="G146" s="92" t="n">
        <v>0</v>
      </c>
      <c r="H146" s="92" t="n">
        <v>136676</v>
      </c>
      <c r="I146" s="92" t="n">
        <v>140903</v>
      </c>
      <c r="J146" s="92" t="n">
        <v>129210.1306439126</v>
      </c>
      <c r="K146" s="92" t="n">
        <v>0</v>
      </c>
      <c r="L146" s="94" t="n">
        <v>81894.82000000001</v>
      </c>
      <c r="M146" s="92" t="n">
        <v>2858955.209</v>
      </c>
      <c r="N146" s="94" t="n">
        <v>23238204.25</v>
      </c>
      <c r="O146" s="94" t="n">
        <v>26341.6338</v>
      </c>
      <c r="P146" s="94" t="n">
        <v>2802.9091</v>
      </c>
      <c r="Q146" s="92" t="n">
        <v>93549.89</v>
      </c>
      <c r="R146" s="94" t="n">
        <v>335397236.9127</v>
      </c>
      <c r="S146" s="94" t="n">
        <v>999757130.6612</v>
      </c>
      <c r="T146" s="95">
        <f>IF(OR(R146="",R145=""),"",R146-R145)</f>
        <v/>
      </c>
      <c r="U146" s="95">
        <f>IF(OR(S146="",S145=""),"",S146-S145)</f>
        <v/>
      </c>
      <c r="V146" s="95">
        <f>IF(OR(U146="",P146=""),"",U146+P146)</f>
        <v/>
      </c>
      <c r="W146" s="95">
        <f>IF(OR(T146="",O146="",P146=""),"",T146-O146+P146)</f>
        <v/>
      </c>
    </row>
    <row r="147">
      <c r="A147" s="35" t="n">
        <v>45801</v>
      </c>
      <c r="B147" s="92" t="n">
        <v>7439669343.965864</v>
      </c>
      <c r="C147" s="92" t="n"/>
      <c r="D147" s="92" t="n">
        <v>0</v>
      </c>
      <c r="E147" s="92" t="n">
        <v>3421583.678</v>
      </c>
      <c r="F147" s="92" t="n">
        <v>0</v>
      </c>
      <c r="G147" s="92" t="n">
        <v>0</v>
      </c>
      <c r="H147" s="92" t="n">
        <v>61742</v>
      </c>
      <c r="I147" s="92" t="n">
        <v>63652</v>
      </c>
      <c r="J147" s="92" t="n">
        <v>34424.35568569396</v>
      </c>
      <c r="K147" s="92" t="n">
        <v>24967.89</v>
      </c>
      <c r="L147" s="94" t="n">
        <v>98770.75999999999</v>
      </c>
      <c r="M147" s="92" t="n">
        <v>3421583.678</v>
      </c>
      <c r="N147" s="94" t="n">
        <v>23336975.01</v>
      </c>
      <c r="O147" s="94" t="n">
        <v>26288.5976</v>
      </c>
      <c r="P147" s="94" t="n">
        <v>2774.1488</v>
      </c>
      <c r="Q147" s="92" t="n">
        <v>92266.8</v>
      </c>
      <c r="R147" s="94" t="n">
        <v>335406125.4695</v>
      </c>
      <c r="S147" s="94" t="n">
        <v>999754356.5123</v>
      </c>
      <c r="T147" s="95">
        <f>IF(OR(R147="",R146=""),"",R147-R146)</f>
        <v/>
      </c>
      <c r="U147" s="95">
        <f>IF(OR(S147="",S146=""),"",S147-S146)</f>
        <v/>
      </c>
      <c r="V147" s="95">
        <f>IF(OR(U147="",P147=""),"",U147+P147)</f>
        <v/>
      </c>
      <c r="W147" s="95">
        <f>IF(OR(T147="",O147="",P147=""),"",T147-O147+P147)</f>
        <v/>
      </c>
    </row>
    <row r="148">
      <c r="A148" s="35" t="n">
        <v>45802</v>
      </c>
      <c r="B148" s="92" t="n">
        <v>9377129709.883877</v>
      </c>
      <c r="C148" s="92" t="n"/>
      <c r="D148" s="92" t="n">
        <v>0</v>
      </c>
      <c r="E148" s="92" t="n">
        <v>2098890.136</v>
      </c>
      <c r="F148" s="92" t="n">
        <v>0</v>
      </c>
      <c r="G148" s="92" t="n">
        <v>0</v>
      </c>
      <c r="H148" s="92" t="n">
        <v>90452</v>
      </c>
      <c r="I148" s="92" t="n">
        <v>93250</v>
      </c>
      <c r="J148" s="92" t="n">
        <v>154666.157509478</v>
      </c>
      <c r="K148" s="92" t="n">
        <v>28772.86</v>
      </c>
      <c r="L148" s="94" t="n">
        <v>55390.98</v>
      </c>
      <c r="M148" s="92" t="n">
        <v>2098890.136</v>
      </c>
      <c r="N148" s="94" t="n">
        <v>23392365.99</v>
      </c>
      <c r="O148" s="94" t="n">
        <v>26274.0281</v>
      </c>
      <c r="P148" s="94" t="n">
        <v>1397.6446</v>
      </c>
      <c r="Q148" s="92" t="n">
        <v>48693.94</v>
      </c>
      <c r="R148" s="94" t="n">
        <v>335416376.9602</v>
      </c>
      <c r="S148" s="94" t="n">
        <v>999752958.8677</v>
      </c>
      <c r="T148" s="95">
        <f>IF(OR(R148="",R147=""),"",R148-R147)</f>
        <v/>
      </c>
      <c r="U148" s="95">
        <f>IF(OR(S148="",S147=""),"",S148-S147)</f>
        <v/>
      </c>
      <c r="V148" s="95">
        <f>IF(OR(U148="",P148=""),"",U148+P148)</f>
        <v/>
      </c>
      <c r="W148" s="95">
        <f>IF(OR(T148="",O148="",P148=""),"",T148-O148+P148)</f>
        <v/>
      </c>
    </row>
    <row r="149">
      <c r="A149" s="35" t="n">
        <v>45803</v>
      </c>
      <c r="B149" s="92" t="n">
        <v>7002792387.164196</v>
      </c>
      <c r="C149" s="92" t="n"/>
      <c r="D149" s="92" t="n">
        <v>0</v>
      </c>
      <c r="E149" s="92" t="n">
        <v>2258419.38</v>
      </c>
      <c r="F149" s="92" t="n">
        <v>0</v>
      </c>
      <c r="G149" s="92" t="n">
        <v>0</v>
      </c>
      <c r="H149" s="92" t="n">
        <v>97173</v>
      </c>
      <c r="I149" s="92" t="n">
        <v>100179</v>
      </c>
      <c r="J149" s="92" t="n">
        <v>116074.2444668833</v>
      </c>
      <c r="K149" s="92" t="n">
        <v>37966.86</v>
      </c>
      <c r="L149" s="94" t="n">
        <v>60341.07</v>
      </c>
      <c r="M149" s="92" t="n">
        <v>2258419.38</v>
      </c>
      <c r="N149" s="94" t="n">
        <v>23452707.06</v>
      </c>
      <c r="O149" s="94" t="n">
        <v>25952.4593</v>
      </c>
      <c r="P149" s="94" t="n">
        <v>1801.2147</v>
      </c>
      <c r="Q149" s="92" t="n">
        <v>69975.39</v>
      </c>
      <c r="R149" s="94" t="n">
        <v>335426016.6973</v>
      </c>
      <c r="S149" s="94" t="n">
        <v>999751157.653</v>
      </c>
      <c r="T149" s="95">
        <f>IF(OR(R149="",R148=""),"",R149-R148)</f>
        <v/>
      </c>
      <c r="U149" s="95">
        <f>IF(OR(S149="",S148=""),"",S149-S148)</f>
        <v/>
      </c>
      <c r="V149" s="95">
        <f>IF(OR(U149="",P149=""),"",U149+P149)</f>
        <v/>
      </c>
      <c r="W149" s="95">
        <f>IF(OR(T149="",O149="",P149=""),"",T149-O149+P149)</f>
        <v/>
      </c>
    </row>
    <row r="150">
      <c r="A150" s="35" t="n">
        <v>45804</v>
      </c>
      <c r="B150" s="92" t="n">
        <v>11173683374.34</v>
      </c>
      <c r="C150" s="92" t="n"/>
      <c r="D150" s="92" t="n">
        <v>0</v>
      </c>
      <c r="E150" s="92" t="n">
        <v>2244861.839</v>
      </c>
      <c r="F150" s="92" t="n">
        <v>0</v>
      </c>
      <c r="G150" s="92" t="n">
        <v>0</v>
      </c>
      <c r="H150" s="92" t="n">
        <v>84652</v>
      </c>
      <c r="I150" s="92" t="n">
        <v>87270</v>
      </c>
      <c r="J150" s="92" t="n">
        <v>201427.941166362</v>
      </c>
      <c r="K150" s="92" t="n">
        <v>55203</v>
      </c>
      <c r="L150" s="94" t="n">
        <v>61995.05</v>
      </c>
      <c r="M150" s="92" t="n">
        <v>2244861.839</v>
      </c>
      <c r="N150" s="94" t="n">
        <v>23514702.11</v>
      </c>
      <c r="O150" s="94" t="n">
        <v>26236.7805</v>
      </c>
      <c r="P150" s="94" t="n">
        <v>2566.597</v>
      </c>
      <c r="Q150" s="92" t="n">
        <v>95599.32000000001</v>
      </c>
      <c r="R150" s="94" t="n">
        <v>335435039.2613</v>
      </c>
      <c r="S150" s="94" t="n">
        <v>999748591.056</v>
      </c>
      <c r="T150" s="95">
        <f>IF(OR(R150="",R149=""),"",R150-R149)</f>
        <v/>
      </c>
      <c r="U150" s="95">
        <f>IF(OR(S150="",S149=""),"",S150-S149)</f>
        <v/>
      </c>
      <c r="V150" s="95">
        <f>IF(OR(U150="",P150=""),"",U150+P150)</f>
        <v/>
      </c>
      <c r="W150" s="95">
        <f>IF(OR(T150="",O150="",P150=""),"",T150-O150+P150)</f>
        <v/>
      </c>
    </row>
    <row r="151">
      <c r="A151" s="35" t="n">
        <v>45805</v>
      </c>
      <c r="B151" s="92" t="n">
        <v>9155802237.656036</v>
      </c>
      <c r="C151" s="92" t="n"/>
      <c r="D151" s="92" t="n">
        <v>0</v>
      </c>
      <c r="E151" s="92" t="n">
        <v>2305266.481</v>
      </c>
      <c r="F151" s="92" t="n">
        <v>0</v>
      </c>
      <c r="G151" s="92" t="n">
        <v>0</v>
      </c>
      <c r="H151" s="92" t="n">
        <v>80403</v>
      </c>
      <c r="I151" s="92" t="n">
        <v>82889</v>
      </c>
      <c r="J151" s="92" t="n">
        <v>75605.17928433532</v>
      </c>
      <c r="K151" s="92" t="n">
        <v>0</v>
      </c>
      <c r="L151" s="94" t="n">
        <v>69201.32000000001</v>
      </c>
      <c r="M151" s="92" t="n">
        <v>2305266.481</v>
      </c>
      <c r="N151" s="94" t="n">
        <v>23583903.43</v>
      </c>
      <c r="O151" s="94" t="n">
        <v>26207.4869</v>
      </c>
      <c r="P151" s="94" t="n">
        <v>2773.3719</v>
      </c>
      <c r="Q151" s="92" t="n">
        <v>98524.03999999999</v>
      </c>
      <c r="R151" s="94" t="n">
        <v>335443830.4754</v>
      </c>
      <c r="S151" s="94" t="n">
        <v>999745817.6841</v>
      </c>
      <c r="T151" s="95">
        <f>IF(OR(R151="",R150=""),"",R151-R150)</f>
        <v/>
      </c>
      <c r="U151" s="95">
        <f>IF(OR(S151="",S150=""),"",S151-S150)</f>
        <v/>
      </c>
      <c r="V151" s="95">
        <f>IF(OR(U151="",P151=""),"",U151+P151)</f>
        <v/>
      </c>
      <c r="W151" s="95">
        <f>IF(OR(T151="",O151="",P151=""),"",T151-O151+P151)</f>
        <v/>
      </c>
    </row>
    <row r="152">
      <c r="A152" s="35" t="n">
        <v>45806</v>
      </c>
      <c r="B152" s="92" t="n">
        <v>10872328015.21723</v>
      </c>
      <c r="C152" s="92" t="n"/>
      <c r="D152" s="92" t="n">
        <v>0</v>
      </c>
      <c r="E152" s="92" t="n">
        <v>2602830.505</v>
      </c>
      <c r="F152" s="92" t="n">
        <v>0</v>
      </c>
      <c r="G152" s="92" t="n">
        <v>0</v>
      </c>
      <c r="H152" s="92" t="n">
        <v>85461</v>
      </c>
      <c r="I152" s="92" t="n">
        <v>88105</v>
      </c>
      <c r="J152" s="92" t="n">
        <v>34406.35455339479</v>
      </c>
      <c r="K152" s="92" t="n">
        <v>62838.71</v>
      </c>
      <c r="L152" s="94" t="n">
        <v>80786.59</v>
      </c>
      <c r="M152" s="92" t="n">
        <v>2602830.505</v>
      </c>
      <c r="N152" s="94" t="n">
        <v>23664690.02</v>
      </c>
      <c r="O152" s="94" t="n">
        <v>26214.7499</v>
      </c>
      <c r="P152" s="94" t="n">
        <v>1240.1215</v>
      </c>
      <c r="Q152" s="92" t="n">
        <v>41937.81</v>
      </c>
      <c r="R152" s="94" t="n">
        <v>335454167.2079</v>
      </c>
      <c r="S152" s="94" t="n">
        <v>999744577.5626</v>
      </c>
      <c r="T152" s="95">
        <f>IF(OR(R152="",R151=""),"",R152-R151)</f>
        <v/>
      </c>
      <c r="U152" s="95">
        <f>IF(OR(S152="",S151=""),"",S152-S151)</f>
        <v/>
      </c>
      <c r="V152" s="95">
        <f>IF(OR(U152="",P152=""),"",U152+P152)</f>
        <v/>
      </c>
      <c r="W152" s="95">
        <f>IF(OR(T152="",O152="",P152=""),"",T152-O152+P152)</f>
        <v/>
      </c>
    </row>
    <row r="153">
      <c r="A153" s="35" t="n">
        <v>45807</v>
      </c>
      <c r="B153" s="92" t="n">
        <v>10883704783.30737</v>
      </c>
      <c r="C153" s="92" t="n"/>
      <c r="D153" s="92" t="n">
        <v>0</v>
      </c>
      <c r="E153" s="92" t="n">
        <v>3404212.923</v>
      </c>
      <c r="F153" s="92" t="n">
        <v>0</v>
      </c>
      <c r="G153" s="92" t="n">
        <v>0</v>
      </c>
      <c r="H153" s="92" t="n">
        <v>84997</v>
      </c>
      <c r="I153" s="92" t="n">
        <v>87626</v>
      </c>
      <c r="J153" s="92" t="n">
        <v>26566.11318981272</v>
      </c>
      <c r="K153" s="92" t="n">
        <v>39054.57</v>
      </c>
      <c r="L153" s="94" t="n">
        <v>102673.6</v>
      </c>
      <c r="M153" s="92" t="n">
        <v>3404212.923</v>
      </c>
      <c r="N153" s="94" t="n">
        <v>23767363.62</v>
      </c>
      <c r="O153" s="94" t="n">
        <v>26217.0528</v>
      </c>
      <c r="P153" s="94" t="n">
        <v>3266.41</v>
      </c>
      <c r="Q153" s="92" t="n">
        <v>103174.46</v>
      </c>
      <c r="R153" s="94" t="n">
        <v>335462478.1987</v>
      </c>
      <c r="S153" s="94" t="n">
        <v>999741311.1526999</v>
      </c>
      <c r="T153" s="95">
        <f>IF(OR(R153="",R152=""),"",R153-R152)</f>
        <v/>
      </c>
      <c r="U153" s="95">
        <f>IF(OR(S153="",S152=""),"",S153-S152)</f>
        <v/>
      </c>
      <c r="V153" s="95">
        <f>IF(OR(U153="",P153=""),"",U153+P153)</f>
        <v/>
      </c>
      <c r="W153" s="95">
        <f>IF(OR(T153="",O153="",P153=""),"",T153-O153+P153)</f>
        <v/>
      </c>
    </row>
    <row r="154">
      <c r="A154" s="35" t="n">
        <v>45808</v>
      </c>
      <c r="B154" s="92" t="n">
        <v>4406569829.065056</v>
      </c>
      <c r="C154" s="92" t="n"/>
      <c r="D154" s="92" t="n">
        <v>0</v>
      </c>
      <c r="E154" s="92" t="n">
        <v>2525982.714</v>
      </c>
      <c r="F154" s="92" t="n">
        <v>0</v>
      </c>
      <c r="G154" s="92" t="n">
        <v>0</v>
      </c>
      <c r="H154" s="92" t="n">
        <v>47335</v>
      </c>
      <c r="I154" s="92" t="n">
        <v>48799</v>
      </c>
      <c r="J154" s="92" t="n">
        <v>16044.1587257375</v>
      </c>
      <c r="K154" s="92" t="n">
        <v>0</v>
      </c>
      <c r="L154" s="94" t="n">
        <v>78478.33</v>
      </c>
      <c r="M154" s="92" t="n">
        <v>2525982.714</v>
      </c>
      <c r="N154" s="94" t="n">
        <v>23845841.95</v>
      </c>
      <c r="O154" s="94" t="n">
        <v>26216.242</v>
      </c>
      <c r="P154" s="94" t="n">
        <v>2856.0966</v>
      </c>
      <c r="Q154" s="92" t="n">
        <v>94776.71000000001</v>
      </c>
      <c r="R154" s="94" t="n">
        <v>335471184.481</v>
      </c>
      <c r="S154" s="94" t="n">
        <v>999738455.0561</v>
      </c>
      <c r="T154" s="95">
        <f>IF(OR(R154="",R153=""),"",R154-R153)</f>
        <v/>
      </c>
      <c r="U154" s="95">
        <f>IF(OR(S154="",S153=""),"",S154-S153)</f>
        <v/>
      </c>
      <c r="V154" s="95">
        <f>IF(OR(U154="",P154=""),"",U154+P154)</f>
        <v/>
      </c>
      <c r="W154" s="95">
        <f>IF(OR(T154="",O154="",P154=""),"",T154-O154+P154)</f>
        <v/>
      </c>
    </row>
    <row r="155">
      <c r="A155" s="35" t="n">
        <v>45809</v>
      </c>
      <c r="B155" s="92" t="n">
        <v>3705323553.665798</v>
      </c>
      <c r="C155" s="92" t="n"/>
      <c r="D155" s="92" t="n">
        <v>0</v>
      </c>
      <c r="E155" s="92" t="n">
        <v>841842.179</v>
      </c>
      <c r="F155" s="92" t="n">
        <v>0</v>
      </c>
      <c r="G155" s="92" t="n">
        <v>0</v>
      </c>
      <c r="H155" s="92" t="n">
        <v>38019</v>
      </c>
      <c r="I155" s="92" t="n">
        <v>39195</v>
      </c>
      <c r="J155" s="92" t="n">
        <v>11256.69851151819</v>
      </c>
      <c r="K155" s="92" t="n">
        <v>17491.22</v>
      </c>
      <c r="L155" s="94" t="n">
        <v>25779.83</v>
      </c>
      <c r="M155" s="92" t="n">
        <v>841842.179</v>
      </c>
      <c r="N155" s="94" t="n">
        <v>23871621.78</v>
      </c>
      <c r="O155" s="94" t="n">
        <v>26193.0407</v>
      </c>
      <c r="P155" s="94" t="n">
        <v>872.6834</v>
      </c>
      <c r="Q155" s="92" t="n">
        <v>28479.59</v>
      </c>
      <c r="R155" s="94" t="n">
        <v>335481849.231</v>
      </c>
      <c r="S155" s="94" t="n">
        <v>999737582.3727</v>
      </c>
      <c r="T155" s="95">
        <f>IF(OR(R155="",R154=""),"",R155-R154)</f>
        <v/>
      </c>
      <c r="U155" s="95">
        <f>IF(OR(S155="",S154=""),"",S155-S154)</f>
        <v/>
      </c>
      <c r="V155" s="95">
        <f>IF(OR(U155="",P155=""),"",U155+P155)</f>
        <v/>
      </c>
      <c r="W155" s="95">
        <f>IF(OR(T155="",O155="",P155=""),"",T155-O155+P155)</f>
        <v/>
      </c>
    </row>
    <row r="156">
      <c r="A156" s="35" t="n">
        <v>45810</v>
      </c>
      <c r="B156" s="92" t="n">
        <v>6302813236.903772</v>
      </c>
      <c r="C156" s="92" t="n"/>
      <c r="D156" s="92" t="n">
        <v>0</v>
      </c>
      <c r="E156" s="92" t="n">
        <v>1129967.844</v>
      </c>
      <c r="F156" s="92" t="n">
        <v>0</v>
      </c>
      <c r="G156" s="92" t="n">
        <v>0</v>
      </c>
      <c r="H156" s="92" t="n">
        <v>61843</v>
      </c>
      <c r="I156" s="92" t="n">
        <v>63756</v>
      </c>
      <c r="J156" s="92" t="n">
        <v>24588.74266068666</v>
      </c>
      <c r="K156" s="92" t="n">
        <v>24906.87</v>
      </c>
      <c r="L156" s="94" t="n">
        <v>33459.53</v>
      </c>
      <c r="M156" s="92" t="n">
        <v>1129967.844</v>
      </c>
      <c r="N156" s="94" t="n">
        <v>23905081.31</v>
      </c>
      <c r="O156" s="94" t="n">
        <v>26154.8497</v>
      </c>
      <c r="P156" s="94" t="n">
        <v>1127.2508</v>
      </c>
      <c r="Q156" s="92" t="n">
        <v>38479.27</v>
      </c>
      <c r="R156" s="94" t="n">
        <v>335492227.8216</v>
      </c>
      <c r="S156" s="94" t="n">
        <v>999736455.1217999</v>
      </c>
      <c r="T156" s="95">
        <f>IF(OR(R156="",R155=""),"",R156-R155)</f>
        <v/>
      </c>
      <c r="U156" s="95">
        <f>IF(OR(S156="",S155=""),"",S156-S155)</f>
        <v/>
      </c>
      <c r="V156" s="95">
        <f>IF(OR(U156="",P156=""),"",U156+P156)</f>
        <v/>
      </c>
      <c r="W156" s="95">
        <f>IF(OR(T156="",O156="",P156=""),"",T156-O156+P156)</f>
        <v/>
      </c>
    </row>
    <row r="157">
      <c r="A157" s="35" t="n">
        <v>45811</v>
      </c>
      <c r="B157" s="92" t="n">
        <v>7303712733.688487</v>
      </c>
      <c r="C157" s="92" t="n"/>
      <c r="D157" s="92" t="n">
        <v>0</v>
      </c>
      <c r="E157" s="92" t="n">
        <v>2131282.663</v>
      </c>
      <c r="F157" s="92" t="n">
        <v>0</v>
      </c>
      <c r="G157" s="92" t="n">
        <v>0</v>
      </c>
      <c r="H157" s="92" t="n">
        <v>73250</v>
      </c>
      <c r="I157" s="92" t="n">
        <v>75516</v>
      </c>
      <c r="J157" s="92" t="n">
        <v>28415.57385003828</v>
      </c>
      <c r="K157" s="92" t="n">
        <v>28329.32</v>
      </c>
      <c r="L157" s="94" t="n">
        <v>58331.9</v>
      </c>
      <c r="M157" s="92" t="n">
        <v>2131282.663</v>
      </c>
      <c r="N157" s="94" t="n">
        <v>23963413.21</v>
      </c>
      <c r="O157" s="94" t="n">
        <v>26211.5203</v>
      </c>
      <c r="P157" s="94" t="n">
        <v>1977.5927</v>
      </c>
      <c r="Q157" s="92" t="n">
        <v>72534.14</v>
      </c>
      <c r="R157" s="94" t="n">
        <v>335501802.3392</v>
      </c>
      <c r="S157" s="94" t="n">
        <v>999734477.5292</v>
      </c>
      <c r="T157" s="95">
        <f>IF(OR(R157="",R156=""),"",R157-R156)</f>
        <v/>
      </c>
      <c r="U157" s="95">
        <f>IF(OR(S157="",S156=""),"",S157-S156)</f>
        <v/>
      </c>
      <c r="V157" s="95">
        <f>IF(OR(U157="",P157=""),"",U157+P157)</f>
        <v/>
      </c>
      <c r="W157" s="95">
        <f>IF(OR(T157="",O157="",P157=""),"",T157-O157+P157)</f>
        <v/>
      </c>
    </row>
    <row r="158">
      <c r="A158" s="35" t="n">
        <v>45812</v>
      </c>
      <c r="B158" s="92" t="n">
        <v>5792362513.074206</v>
      </c>
      <c r="C158" s="92" t="n"/>
      <c r="D158" s="92" t="n">
        <v>0</v>
      </c>
      <c r="E158" s="92" t="n">
        <v>2068043.731</v>
      </c>
      <c r="F158" s="92" t="n">
        <v>0</v>
      </c>
      <c r="G158" s="92" t="n">
        <v>0</v>
      </c>
      <c r="H158" s="92" t="n">
        <v>63539</v>
      </c>
      <c r="I158" s="92" t="n">
        <v>65504</v>
      </c>
      <c r="J158" s="92" t="n">
        <v>23947.75573152115</v>
      </c>
      <c r="K158" s="92" t="n">
        <v>28105.49</v>
      </c>
      <c r="L158" s="94" t="n">
        <v>56943.92</v>
      </c>
      <c r="M158" s="92" t="n">
        <v>2068043.731</v>
      </c>
      <c r="N158" s="94" t="n">
        <v>24020357.13</v>
      </c>
      <c r="O158" s="94" t="n">
        <v>26190.0142</v>
      </c>
      <c r="P158" s="94" t="n">
        <v>2037.2925</v>
      </c>
      <c r="Q158" s="92" t="n">
        <v>73225.39</v>
      </c>
      <c r="R158" s="94" t="n">
        <v>335511301.6768</v>
      </c>
      <c r="S158" s="94" t="n">
        <v>999732440.2367001</v>
      </c>
      <c r="T158" s="95">
        <f>IF(OR(R158="",R157=""),"",R158-R157)</f>
        <v/>
      </c>
      <c r="U158" s="95">
        <f>IF(OR(S158="",S157=""),"",S158-S157)</f>
        <v/>
      </c>
      <c r="V158" s="95">
        <f>IF(OR(U158="",P158=""),"",U158+P158)</f>
        <v/>
      </c>
      <c r="W158" s="95">
        <f>IF(OR(T158="",O158="",P158=""),"",T158-O158+P158)</f>
        <v/>
      </c>
    </row>
    <row r="159">
      <c r="A159" s="35" t="n">
        <v>45813</v>
      </c>
      <c r="B159" s="92" t="n">
        <v>10473782981.77962</v>
      </c>
      <c r="C159" s="92" t="n"/>
      <c r="D159" s="92" t="n">
        <v>0</v>
      </c>
      <c r="E159" s="92" t="n">
        <v>1507195.643</v>
      </c>
      <c r="F159" s="92" t="n">
        <v>0</v>
      </c>
      <c r="G159" s="92" t="n">
        <v>0</v>
      </c>
      <c r="H159" s="92" t="n">
        <v>91075</v>
      </c>
      <c r="I159" s="92" t="n">
        <v>93892</v>
      </c>
      <c r="J159" s="92" t="n">
        <v>34218.45467730064</v>
      </c>
      <c r="K159" s="92" t="n">
        <v>0</v>
      </c>
      <c r="L159" s="94" t="n">
        <v>44401.02</v>
      </c>
      <c r="M159" s="92" t="n">
        <v>1507195.643</v>
      </c>
      <c r="N159" s="94" t="n">
        <v>24064758.15</v>
      </c>
      <c r="O159" s="94" t="n">
        <v>26188.2055</v>
      </c>
      <c r="P159" s="94" t="n">
        <v>1896.2776</v>
      </c>
      <c r="Q159" s="92" t="n">
        <v>67006.87</v>
      </c>
      <c r="R159" s="94" t="n">
        <v>335520951.1156</v>
      </c>
      <c r="S159" s="94" t="n">
        <v>999730543.9591</v>
      </c>
      <c r="T159" s="95">
        <f>IF(OR(R159="",R158=""),"",R159-R158)</f>
        <v/>
      </c>
      <c r="U159" s="95">
        <f>IF(OR(S159="",S158=""),"",S159-S158)</f>
        <v/>
      </c>
      <c r="V159" s="95">
        <f>IF(OR(U159="",P159=""),"",U159+P159)</f>
        <v/>
      </c>
      <c r="W159" s="95">
        <f>IF(OR(T159="",O159="",P159=""),"",T159-O159+P159)</f>
        <v/>
      </c>
    </row>
    <row r="160">
      <c r="A160" s="35" t="n">
        <v>45814</v>
      </c>
      <c r="B160" s="92" t="n">
        <v>6130444265.56801</v>
      </c>
      <c r="C160" s="92" t="n"/>
      <c r="D160" s="92" t="n">
        <v>0</v>
      </c>
      <c r="E160" s="92" t="n">
        <v>3227629.667</v>
      </c>
      <c r="F160" s="92" t="n">
        <v>0</v>
      </c>
      <c r="G160" s="92" t="n">
        <v>0</v>
      </c>
      <c r="H160" s="92" t="n">
        <v>57599</v>
      </c>
      <c r="I160" s="92" t="n">
        <v>59380</v>
      </c>
      <c r="J160" s="92" t="n">
        <v>15010.01017266228</v>
      </c>
      <c r="K160" s="92" t="n">
        <v>23534.02</v>
      </c>
      <c r="L160" s="94" t="n">
        <v>93474.94</v>
      </c>
      <c r="M160" s="92" t="n">
        <v>3227629.667</v>
      </c>
      <c r="N160" s="94" t="n">
        <v>24158233.09</v>
      </c>
      <c r="O160" s="94" t="n">
        <v>26212.4448</v>
      </c>
      <c r="P160" s="94" t="n">
        <v>1516.1553</v>
      </c>
      <c r="Q160" s="92" t="n">
        <v>51515.92</v>
      </c>
      <c r="R160" s="94" t="n">
        <v>335531002.2391</v>
      </c>
      <c r="S160" s="94" t="n">
        <v>999729027.8037</v>
      </c>
      <c r="T160" s="95">
        <f>IF(OR(R160="",R159=""),"",R160-R159)</f>
        <v/>
      </c>
      <c r="U160" s="95">
        <f>IF(OR(S160="",S159=""),"",S160-S159)</f>
        <v/>
      </c>
      <c r="V160" s="95">
        <f>IF(OR(U160="",P160=""),"",U160+P160)</f>
        <v/>
      </c>
      <c r="W160" s="95">
        <f>IF(OR(T160="",O160="",P160=""),"",T160-O160+P160)</f>
        <v/>
      </c>
    </row>
    <row r="161">
      <c r="A161" s="35" t="n">
        <v>45815</v>
      </c>
      <c r="B161" s="92" t="n">
        <v>3033732963.310419</v>
      </c>
      <c r="C161" s="92" t="n"/>
      <c r="D161" s="92" t="n">
        <v>0</v>
      </c>
      <c r="E161" s="92" t="n">
        <v>1547600.765</v>
      </c>
      <c r="F161" s="92" t="n">
        <v>0</v>
      </c>
      <c r="G161" s="92" t="n">
        <v>0</v>
      </c>
      <c r="H161" s="92" t="n">
        <v>30046</v>
      </c>
      <c r="I161" s="92" t="n">
        <v>30975</v>
      </c>
      <c r="J161" s="92" t="n">
        <v>10596.98572538256</v>
      </c>
      <c r="K161" s="92" t="n">
        <v>19606.25</v>
      </c>
      <c r="L161" s="94" t="n">
        <v>45268.08</v>
      </c>
      <c r="M161" s="92" t="n">
        <v>1547600.765</v>
      </c>
      <c r="N161" s="94" t="n">
        <v>24203501.17</v>
      </c>
      <c r="O161" s="94" t="n">
        <v>26173.826</v>
      </c>
      <c r="P161" s="94" t="n">
        <v>1731.8133</v>
      </c>
      <c r="Q161" s="92" t="n">
        <v>57205.26</v>
      </c>
      <c r="R161" s="94" t="n">
        <v>335540796.6626</v>
      </c>
      <c r="S161" s="94" t="n">
        <v>999727295.9905</v>
      </c>
      <c r="T161" s="95">
        <f>IF(OR(R161="",R160=""),"",R161-R160)</f>
        <v/>
      </c>
      <c r="U161" s="95">
        <f>IF(OR(S161="",S160=""),"",S161-S160)</f>
        <v/>
      </c>
      <c r="V161" s="95">
        <f>IF(OR(U161="",P161=""),"",U161+P161)</f>
        <v/>
      </c>
      <c r="W161" s="95">
        <f>IF(OR(T161="",O161="",P161=""),"",T161-O161+P161)</f>
        <v/>
      </c>
    </row>
    <row r="162">
      <c r="A162" s="35" t="n">
        <v>45816</v>
      </c>
      <c r="B162" s="92" t="n">
        <v>3121700687.69074</v>
      </c>
      <c r="C162" s="92" t="n"/>
      <c r="D162" s="92" t="n">
        <v>0</v>
      </c>
      <c r="E162" s="92" t="n">
        <v>795945.0894000001</v>
      </c>
      <c r="F162" s="92" t="n">
        <v>0</v>
      </c>
      <c r="G162" s="92" t="n">
        <v>0</v>
      </c>
      <c r="H162" s="92" t="n"/>
      <c r="I162" s="92" t="n"/>
      <c r="J162" s="92" t="n">
        <v>12374.01890525949</v>
      </c>
      <c r="K162" s="92" t="n">
        <v>24700.19</v>
      </c>
      <c r="L162" s="94" t="n">
        <v>22402.6</v>
      </c>
      <c r="M162" s="92" t="n">
        <v>795945.0894000001</v>
      </c>
      <c r="N162" s="94" t="n">
        <v>24225903.77</v>
      </c>
      <c r="O162" s="94" t="n">
        <v>26210.6307</v>
      </c>
      <c r="P162" s="94" t="n">
        <v>1145.1683</v>
      </c>
      <c r="Q162" s="92" t="n">
        <v>39757.38</v>
      </c>
      <c r="R162" s="94" t="n">
        <v>335551211.2055</v>
      </c>
      <c r="S162" s="94" t="n">
        <v>999726150.8221999</v>
      </c>
      <c r="T162" s="95">
        <f>IF(OR(R162="",R161=""),"",R162-R161)</f>
        <v/>
      </c>
      <c r="U162" s="95">
        <f>IF(OR(S162="",S161=""),"",S162-S161)</f>
        <v/>
      </c>
      <c r="V162" s="95">
        <f>IF(OR(U162="",P162=""),"",U162+P162)</f>
        <v/>
      </c>
      <c r="W162" s="95">
        <f>IF(OR(T162="",O162="",P162=""),"",T162-O162+P162)</f>
        <v/>
      </c>
    </row>
    <row r="163">
      <c r="A163" s="35" t="n">
        <v>45817</v>
      </c>
      <c r="B163" s="92" t="n">
        <v>7946952907.375451</v>
      </c>
      <c r="C163" s="92" t="n"/>
      <c r="D163" s="92" t="n">
        <v>0</v>
      </c>
      <c r="E163" s="92" t="n">
        <v>1033782.871</v>
      </c>
      <c r="F163" s="92" t="n">
        <v>0</v>
      </c>
      <c r="G163" s="92" t="n">
        <v>0</v>
      </c>
      <c r="H163" s="92" t="n"/>
      <c r="I163" s="92" t="n"/>
      <c r="J163" s="92" t="n">
        <v>21782.4085150401</v>
      </c>
      <c r="K163" s="92" t="n">
        <v>0</v>
      </c>
      <c r="L163" s="94" t="n">
        <v>27813.55</v>
      </c>
      <c r="M163" s="92" t="n">
        <v>1033782.871</v>
      </c>
      <c r="N163" s="94" t="n">
        <v>24253717.32</v>
      </c>
      <c r="O163" s="94" t="n">
        <v>25299.7854</v>
      </c>
      <c r="P163" s="94" t="n">
        <v>1303.6525</v>
      </c>
      <c r="Q163" s="92" t="n">
        <v>45368.41</v>
      </c>
      <c r="R163" s="94" t="n">
        <v>335560930.772</v>
      </c>
      <c r="S163" s="94" t="n">
        <v>999724847.1697</v>
      </c>
      <c r="T163" s="95">
        <f>IF(OR(R163="",R162=""),"",R163-R162)</f>
        <v/>
      </c>
      <c r="U163" s="95">
        <f>IF(OR(S163="",S162=""),"",S163-S162)</f>
        <v/>
      </c>
      <c r="V163" s="95">
        <f>IF(OR(U163="",P163=""),"",U163+P163)</f>
        <v/>
      </c>
      <c r="W163" s="95">
        <f>IF(OR(T163="",O163="",P163=""),"",T163-O163+P163)</f>
        <v/>
      </c>
    </row>
    <row r="164">
      <c r="A164" s="35" t="n">
        <v>45818</v>
      </c>
      <c r="B164" s="92" t="n">
        <v>8868062326.575634</v>
      </c>
      <c r="C164" s="92" t="n"/>
      <c r="D164" s="92" t="n">
        <v>0</v>
      </c>
      <c r="E164" s="92" t="n">
        <v>2966717.529</v>
      </c>
      <c r="F164" s="92" t="n">
        <v>0</v>
      </c>
      <c r="G164" s="92" t="n">
        <v>0</v>
      </c>
      <c r="H164" s="92" t="n">
        <v>112003</v>
      </c>
      <c r="I164" s="92" t="n">
        <v>115467</v>
      </c>
      <c r="J164" s="92" t="n">
        <v>36602.41261427078</v>
      </c>
      <c r="K164" s="92" t="n">
        <v>19343.05</v>
      </c>
      <c r="L164" s="94" t="n">
        <v>72585.42</v>
      </c>
      <c r="M164" s="92" t="n">
        <v>2966717.529</v>
      </c>
      <c r="N164" s="94" t="n">
        <v>24326302.74</v>
      </c>
      <c r="O164" s="94" t="n">
        <v>26201.0939</v>
      </c>
      <c r="P164" s="94" t="n">
        <v>1301.1221</v>
      </c>
      <c r="Q164" s="92" t="n">
        <v>50109.47</v>
      </c>
      <c r="R164" s="94" t="n">
        <v>335571173.9658</v>
      </c>
      <c r="S164" s="94" t="n">
        <v>999723546.0476</v>
      </c>
      <c r="T164" s="95">
        <f>IF(OR(R164="",R163=""),"",R164-R163)</f>
        <v/>
      </c>
      <c r="U164" s="95">
        <f>IF(OR(S164="",S163=""),"",S164-S163)</f>
        <v/>
      </c>
      <c r="V164" s="95">
        <f>IF(OR(U164="",P164=""),"",U164+P164)</f>
        <v/>
      </c>
      <c r="W164" s="95">
        <f>IF(OR(T164="",O164="",P164=""),"",T164-O164+P164)</f>
        <v/>
      </c>
    </row>
    <row r="165">
      <c r="A165" s="35" t="n">
        <v>45819</v>
      </c>
      <c r="B165" s="92" t="n">
        <v>8880849385.853497</v>
      </c>
      <c r="C165" s="92" t="n"/>
      <c r="D165" s="92" t="n">
        <v>0</v>
      </c>
      <c r="E165" s="92" t="n">
        <v>2670016.404</v>
      </c>
      <c r="F165" s="92" t="n">
        <v>0</v>
      </c>
      <c r="G165" s="92" t="n">
        <v>0</v>
      </c>
      <c r="H165" s="92" t="n">
        <v>102743</v>
      </c>
      <c r="I165" s="92" t="n">
        <v>105920</v>
      </c>
      <c r="J165" s="92" t="n">
        <v>23763.46511041922</v>
      </c>
      <c r="K165" s="92" t="n">
        <v>0</v>
      </c>
      <c r="L165" s="94" t="n">
        <v>62825.88</v>
      </c>
      <c r="M165" s="92" t="n">
        <v>2670016.404</v>
      </c>
      <c r="N165" s="94" t="n">
        <v>24389128.62</v>
      </c>
      <c r="O165" s="94" t="n">
        <v>26194.2846</v>
      </c>
      <c r="P165" s="94" t="n">
        <v>2420.7992</v>
      </c>
      <c r="Q165" s="92" t="n">
        <v>102175.88</v>
      </c>
      <c r="R165" s="94" t="n">
        <v>335580289.525</v>
      </c>
      <c r="S165" s="94" t="n">
        <v>999721125.2484</v>
      </c>
      <c r="T165" s="95">
        <f>IF(OR(R165="",R164=""),"",R165-R164)</f>
        <v/>
      </c>
      <c r="U165" s="95">
        <f>IF(OR(S165="",S164=""),"",S165-S164)</f>
        <v/>
      </c>
      <c r="V165" s="95">
        <f>IF(OR(U165="",P165=""),"",U165+P165)</f>
        <v/>
      </c>
      <c r="W165" s="95">
        <f>IF(OR(T165="",O165="",P165=""),"",T165-O165+P165)</f>
        <v/>
      </c>
    </row>
    <row r="166">
      <c r="A166" s="35" t="n">
        <v>45820</v>
      </c>
      <c r="B166" s="92" t="n">
        <v>9859976825.038404</v>
      </c>
      <c r="C166" s="92" t="n"/>
      <c r="D166" s="92" t="n">
        <v>0</v>
      </c>
      <c r="E166" s="92" t="n">
        <v>2787983.18</v>
      </c>
      <c r="F166" s="92" t="n">
        <v>0</v>
      </c>
      <c r="G166" s="92" t="n">
        <v>0</v>
      </c>
      <c r="H166" s="92" t="n">
        <v>92615</v>
      </c>
      <c r="I166" s="92" t="n">
        <v>95479</v>
      </c>
      <c r="J166" s="92" t="n">
        <v>21543.03993374297</v>
      </c>
      <c r="K166" s="92" t="n">
        <v>0</v>
      </c>
      <c r="L166" s="94" t="n">
        <v>66551.07000000001</v>
      </c>
      <c r="M166" s="92" t="n">
        <v>2787983.18</v>
      </c>
      <c r="N166" s="94" t="n">
        <v>24455679.69</v>
      </c>
      <c r="O166" s="94" t="n">
        <v>26172.6772</v>
      </c>
      <c r="P166" s="94" t="n">
        <v>1573.8715</v>
      </c>
      <c r="Q166" s="92" t="n">
        <v>65059.91</v>
      </c>
      <c r="R166" s="94" t="n">
        <v>335590195.7042</v>
      </c>
      <c r="S166" s="94" t="n">
        <v>999719551.3769</v>
      </c>
      <c r="T166" s="95">
        <f>IF(OR(R166="",R165=""),"",R166-R165)</f>
        <v/>
      </c>
      <c r="U166" s="95">
        <f>IF(OR(S166="",S165=""),"",S166-S165)</f>
        <v/>
      </c>
      <c r="V166" s="95">
        <f>IF(OR(U166="",P166=""),"",U166+P166)</f>
        <v/>
      </c>
      <c r="W166" s="95">
        <f>IF(OR(T166="",O166="",P166=""),"",T166-O166+P166)</f>
        <v/>
      </c>
    </row>
    <row r="167">
      <c r="A167" s="35" t="n">
        <v>45821</v>
      </c>
      <c r="B167" s="92" t="n">
        <v>13286056841.76529</v>
      </c>
      <c r="C167" s="92" t="n"/>
      <c r="D167" s="92" t="n">
        <v>0</v>
      </c>
      <c r="E167" s="92" t="n">
        <v>4333047.901</v>
      </c>
      <c r="F167" s="92" t="n">
        <v>0</v>
      </c>
      <c r="G167" s="92" t="n">
        <v>0</v>
      </c>
      <c r="H167" s="92" t="n">
        <v>144260</v>
      </c>
      <c r="I167" s="92" t="n">
        <v>148721</v>
      </c>
      <c r="J167" s="92" t="n">
        <v>25139.00915677668</v>
      </c>
      <c r="K167" s="92" t="n">
        <v>20519.17</v>
      </c>
      <c r="L167" s="94" t="n">
        <v>106831.07</v>
      </c>
      <c r="M167" s="92" t="n">
        <v>4333047.901</v>
      </c>
      <c r="N167" s="94" t="n">
        <v>24562510.76</v>
      </c>
      <c r="O167" s="94" t="n">
        <v>26192.0002</v>
      </c>
      <c r="P167" s="94" t="n">
        <v>1328.325</v>
      </c>
      <c r="Q167" s="92" t="n">
        <v>52391.79</v>
      </c>
      <c r="R167" s="94" t="n">
        <v>335600395.2203</v>
      </c>
      <c r="S167" s="94" t="n">
        <v>999718223.0519</v>
      </c>
      <c r="T167" s="95">
        <f>IF(OR(R167="",R166=""),"",R167-R166)</f>
        <v/>
      </c>
      <c r="U167" s="95">
        <f>IF(OR(S167="",S166=""),"",S167-S166)</f>
        <v/>
      </c>
      <c r="V167" s="95">
        <f>IF(OR(U167="",P167=""),"",U167+P167)</f>
        <v/>
      </c>
      <c r="W167" s="95">
        <f>IF(OR(T167="",O167="",P167=""),"",T167-O167+P167)</f>
        <v/>
      </c>
    </row>
    <row r="168">
      <c r="A168" s="35" t="n">
        <v>45822</v>
      </c>
      <c r="B168" s="92" t="n">
        <v>4490469119.637341</v>
      </c>
      <c r="C168" s="92" t="n"/>
      <c r="D168" s="92" t="n">
        <v>0</v>
      </c>
      <c r="E168" s="92" t="n">
        <v>2185535.18</v>
      </c>
      <c r="F168" s="92" t="n">
        <v>0</v>
      </c>
      <c r="G168" s="92" t="n">
        <v>0</v>
      </c>
      <c r="H168" s="92" t="n">
        <v>51552</v>
      </c>
      <c r="I168" s="92" t="n">
        <v>53146</v>
      </c>
      <c r="J168" s="92" t="n">
        <v>8906.428435099999</v>
      </c>
      <c r="K168" s="92" t="n">
        <v>34608.23</v>
      </c>
      <c r="L168" s="94" t="n">
        <v>53683.83</v>
      </c>
      <c r="M168" s="92" t="n">
        <v>2185535.18</v>
      </c>
      <c r="N168" s="94" t="n">
        <v>24616194.59</v>
      </c>
      <c r="O168" s="94" t="n">
        <v>26263.4844</v>
      </c>
      <c r="P168" s="94" t="n">
        <v>2718.0225</v>
      </c>
      <c r="Q168" s="92" t="n">
        <v>114351.28</v>
      </c>
      <c r="R168" s="94" t="n">
        <v>335609334.2368</v>
      </c>
      <c r="S168" s="94" t="n">
        <v>999715505.0294</v>
      </c>
      <c r="T168" s="95">
        <f>IF(OR(R168="",R167=""),"",R168-R167)</f>
        <v/>
      </c>
      <c r="U168" s="95">
        <f>IF(OR(S168="",S167=""),"",S168-S167)</f>
        <v/>
      </c>
      <c r="V168" s="95">
        <f>IF(OR(U168="",P168=""),"",U168+P168)</f>
        <v/>
      </c>
      <c r="W168" s="95">
        <f>IF(OR(T168="",O168="",P168=""),"",T168-O168+P168)</f>
        <v/>
      </c>
    </row>
    <row r="169">
      <c r="A169" s="35" t="n">
        <v>45823</v>
      </c>
      <c r="B169" s="92" t="n">
        <v>4120559320.636847</v>
      </c>
      <c r="C169" s="92" t="n"/>
      <c r="D169" s="92" t="n">
        <v>0</v>
      </c>
      <c r="E169" s="92" t="n">
        <v>1164654.025</v>
      </c>
      <c r="F169" s="92" t="n">
        <v>0</v>
      </c>
      <c r="G169" s="92" t="n">
        <v>0</v>
      </c>
      <c r="H169" s="92" t="n">
        <v>38458</v>
      </c>
      <c r="I169" s="92" t="n">
        <v>39647</v>
      </c>
      <c r="J169" s="92" t="n">
        <v>6346.058325351533</v>
      </c>
      <c r="K169" s="92" t="n">
        <v>0</v>
      </c>
      <c r="L169" s="94" t="n">
        <v>28628.23</v>
      </c>
      <c r="M169" s="92" t="n">
        <v>1164654.025</v>
      </c>
      <c r="N169" s="94" t="n">
        <v>24644822.82</v>
      </c>
      <c r="O169" s="94" t="n">
        <v>26057.0889</v>
      </c>
      <c r="P169" s="94" t="n">
        <v>1523.9619</v>
      </c>
      <c r="Q169" s="92" t="n">
        <v>61283.08</v>
      </c>
      <c r="R169" s="94" t="n">
        <v>335619293.8073</v>
      </c>
      <c r="S169" s="94" t="n">
        <v>999713981.0676</v>
      </c>
      <c r="T169" s="95">
        <f>IF(OR(R169="",R168=""),"",R169-R168)</f>
        <v/>
      </c>
      <c r="U169" s="95">
        <f>IF(OR(S169="",S168=""),"",S169-S168)</f>
        <v/>
      </c>
      <c r="V169" s="95">
        <f>IF(OR(U169="",P169=""),"",U169+P169)</f>
        <v/>
      </c>
      <c r="W169" s="95">
        <f>IF(OR(T169="",O169="",P169=""),"",T169-O169+P169)</f>
        <v/>
      </c>
    </row>
    <row r="170">
      <c r="A170" s="35" t="n">
        <v>45824</v>
      </c>
      <c r="B170" s="92" t="n">
        <v>9910445108.152103</v>
      </c>
      <c r="C170" s="92" t="n"/>
      <c r="D170" s="92" t="n">
        <v>0</v>
      </c>
      <c r="E170" s="92" t="n">
        <v>1387388.361</v>
      </c>
      <c r="F170" s="92" t="n">
        <v>0</v>
      </c>
      <c r="G170" s="92" t="n">
        <v>0</v>
      </c>
      <c r="H170" s="92" t="n">
        <v>100767</v>
      </c>
      <c r="I170" s="92" t="n">
        <v>103884</v>
      </c>
      <c r="J170" s="92" t="n">
        <v>13337.00449259716</v>
      </c>
      <c r="K170" s="92" t="n">
        <v>43700.71</v>
      </c>
      <c r="L170" s="94" t="n">
        <v>31692.79</v>
      </c>
      <c r="M170" s="92" t="n">
        <v>1387388.361</v>
      </c>
      <c r="N170" s="94" t="n">
        <v>24676515.61</v>
      </c>
      <c r="O170" s="94" t="n">
        <v>26275.4979</v>
      </c>
      <c r="P170" s="94" t="n">
        <v>535.3125</v>
      </c>
      <c r="Q170" s="92" t="n">
        <v>21937.11</v>
      </c>
      <c r="R170" s="94" t="n">
        <v>335630422.4471</v>
      </c>
      <c r="S170" s="94" t="n">
        <v>999713445.755</v>
      </c>
      <c r="T170" s="95">
        <f>IF(OR(R170="",R169=""),"",R170-R169)</f>
        <v/>
      </c>
      <c r="U170" s="95">
        <f>IF(OR(S170="",S169=""),"",S170-S169)</f>
        <v/>
      </c>
      <c r="V170" s="95">
        <f>IF(OR(U170="",P170=""),"",U170+P170)</f>
        <v/>
      </c>
      <c r="W170" s="95">
        <f>IF(OR(T170="",O170="",P170=""),"",T170-O170+P170)</f>
        <v/>
      </c>
    </row>
    <row r="171">
      <c r="A171" s="35" t="n">
        <v>45825</v>
      </c>
      <c r="B171" s="92" t="n">
        <v>11324625683.5624</v>
      </c>
      <c r="C171" s="92" t="n"/>
      <c r="D171" s="92" t="n">
        <v>0</v>
      </c>
      <c r="E171" s="92" t="n">
        <v>3414074.097</v>
      </c>
      <c r="F171" s="92" t="n">
        <v>0</v>
      </c>
      <c r="G171" s="92" t="n">
        <v>0</v>
      </c>
      <c r="H171" s="92" t="n">
        <v>115542</v>
      </c>
      <c r="I171" s="92" t="n">
        <v>119116</v>
      </c>
      <c r="J171" s="92" t="n">
        <v>20062.71327571625</v>
      </c>
      <c r="K171" s="92" t="n">
        <v>0</v>
      </c>
      <c r="L171" s="94" t="n">
        <v>84832.16</v>
      </c>
      <c r="M171" s="92" t="n">
        <v>3414074.097</v>
      </c>
      <c r="N171" s="94" t="n">
        <v>24761347.77</v>
      </c>
      <c r="O171" s="94" t="n">
        <v>26285.5777</v>
      </c>
      <c r="P171" s="94" t="n">
        <v>2288.4006</v>
      </c>
      <c r="Q171" s="92" t="n">
        <v>94658.55</v>
      </c>
      <c r="R171" s="94" t="n">
        <v>335639819.1205</v>
      </c>
      <c r="S171" s="94" t="n">
        <v>999711157.3544</v>
      </c>
      <c r="T171" s="95">
        <f>IF(OR(R171="",R170=""),"",R171-R170)</f>
        <v/>
      </c>
      <c r="U171" s="95">
        <f>IF(OR(S171="",S170=""),"",S171-S170)</f>
        <v/>
      </c>
      <c r="V171" s="95">
        <f>IF(OR(U171="",P171=""),"",U171+P171)</f>
        <v/>
      </c>
      <c r="W171" s="95">
        <f>IF(OR(T171="",O171="",P171=""),"",T171-O171+P171)</f>
        <v/>
      </c>
    </row>
    <row r="172">
      <c r="A172" s="35" t="n">
        <v>45826</v>
      </c>
      <c r="B172" s="92" t="n">
        <v>7999530032.926586</v>
      </c>
      <c r="C172" s="92" t="n"/>
      <c r="D172" s="92" t="n">
        <v>0</v>
      </c>
      <c r="E172" s="92" t="n">
        <v>2621754.273</v>
      </c>
      <c r="F172" s="92" t="n">
        <v>0</v>
      </c>
      <c r="G172" s="92" t="n">
        <v>0</v>
      </c>
      <c r="H172" s="92" t="n">
        <v>86220</v>
      </c>
      <c r="I172" s="92" t="n">
        <v>88887</v>
      </c>
      <c r="J172" s="92" t="n">
        <v>15089.27882149545</v>
      </c>
      <c r="K172" s="92" t="n">
        <v>28795.88</v>
      </c>
      <c r="L172" s="94" t="n">
        <v>68011.24000000001</v>
      </c>
      <c r="M172" s="92" t="n">
        <v>2621754.273</v>
      </c>
      <c r="N172" s="94" t="n">
        <v>24829359.01</v>
      </c>
      <c r="O172" s="94" t="n">
        <v>26255.0567</v>
      </c>
      <c r="P172" s="94" t="n">
        <v>1751.8615</v>
      </c>
      <c r="Q172" s="92" t="n">
        <v>69725.84</v>
      </c>
      <c r="R172" s="94" t="n">
        <v>335649678.8817</v>
      </c>
      <c r="S172" s="94" t="n">
        <v>999709405.493</v>
      </c>
      <c r="T172" s="95">
        <f>IF(OR(R172="",R171=""),"",R172-R171)</f>
        <v/>
      </c>
      <c r="U172" s="95">
        <f>IF(OR(S172="",S171=""),"",S172-S171)</f>
        <v/>
      </c>
      <c r="V172" s="95">
        <f>IF(OR(U172="",P172=""),"",U172+P172)</f>
        <v/>
      </c>
      <c r="W172" s="95">
        <f>IF(OR(T172="",O172="",P172=""),"",T172-O172+P172)</f>
        <v/>
      </c>
    </row>
    <row r="173">
      <c r="A173" s="35" t="n">
        <v>45827</v>
      </c>
      <c r="B173" s="92" t="n">
        <v>5309706181.645636</v>
      </c>
      <c r="C173" s="92" t="n"/>
      <c r="D173" s="92" t="n">
        <v>0</v>
      </c>
      <c r="E173" s="92" t="n">
        <v>2072394.657</v>
      </c>
      <c r="F173" s="92" t="n">
        <v>0</v>
      </c>
      <c r="G173" s="92" t="n">
        <v>0</v>
      </c>
      <c r="H173" s="92" t="n">
        <v>71693</v>
      </c>
      <c r="I173" s="92" t="n">
        <v>73911</v>
      </c>
      <c r="J173" s="92" t="n">
        <v>18252.61533476083</v>
      </c>
      <c r="K173" s="92" t="n">
        <v>24354.76</v>
      </c>
      <c r="L173" s="94" t="n">
        <v>55708.49</v>
      </c>
      <c r="M173" s="92" t="n">
        <v>2072394.657</v>
      </c>
      <c r="N173" s="94" t="n">
        <v>24885067.5</v>
      </c>
      <c r="O173" s="94" t="n">
        <v>26211.4713</v>
      </c>
      <c r="P173" s="94" t="n">
        <v>1998.2373</v>
      </c>
      <c r="Q173" s="92" t="n">
        <v>78520.73</v>
      </c>
      <c r="R173" s="94" t="n">
        <v>335659233.8305</v>
      </c>
      <c r="S173" s="94" t="n">
        <v>999707407.2557</v>
      </c>
      <c r="T173" s="95">
        <f>IF(OR(R173="",R172=""),"",R173-R172)</f>
        <v/>
      </c>
      <c r="U173" s="95">
        <f>IF(OR(S173="",S172=""),"",S173-S172)</f>
        <v/>
      </c>
      <c r="V173" s="95">
        <f>IF(OR(U173="",P173=""),"",U173+P173)</f>
        <v/>
      </c>
      <c r="W173" s="95">
        <f>IF(OR(T173="",O173="",P173=""),"",T173-O173+P173)</f>
        <v/>
      </c>
    </row>
    <row r="174">
      <c r="A174" s="35" t="n">
        <v>45828</v>
      </c>
      <c r="B174" s="92" t="n">
        <v>8984765570.031044</v>
      </c>
      <c r="C174" s="92" t="n"/>
      <c r="D174" s="92" t="n">
        <v>0</v>
      </c>
      <c r="E174" s="92" t="n">
        <v>1572540.275</v>
      </c>
      <c r="F174" s="92" t="n">
        <v>0</v>
      </c>
      <c r="G174" s="92" t="n">
        <v>0</v>
      </c>
      <c r="H174" s="92" t="n">
        <v>90730</v>
      </c>
      <c r="I174" s="92" t="n">
        <v>93536</v>
      </c>
      <c r="J174" s="92" t="n">
        <v>19860.19996333497</v>
      </c>
      <c r="K174" s="92" t="n">
        <v>25525.19</v>
      </c>
      <c r="L174" s="94" t="n">
        <v>46185.19</v>
      </c>
      <c r="M174" s="92" t="n">
        <v>1572540.275</v>
      </c>
      <c r="N174" s="94" t="n">
        <v>24931252.69</v>
      </c>
      <c r="O174" s="94" t="n">
        <v>26182.7163</v>
      </c>
      <c r="P174" s="94" t="n">
        <v>1736.6411</v>
      </c>
      <c r="Q174" s="92" t="n">
        <v>64135.02</v>
      </c>
      <c r="R174" s="94" t="n">
        <v>335669051.7086</v>
      </c>
      <c r="S174" s="94" t="n">
        <v>999705670.6145999</v>
      </c>
      <c r="T174" s="95">
        <f>IF(OR(R174="",R173=""),"",R174-R173)</f>
        <v/>
      </c>
      <c r="U174" s="95">
        <f>IF(OR(S174="",S173=""),"",S174-S173)</f>
        <v/>
      </c>
      <c r="V174" s="95">
        <f>IF(OR(U174="",P174=""),"",U174+P174)</f>
        <v/>
      </c>
      <c r="W174" s="95">
        <f>IF(OR(T174="",O174="",P174=""),"",T174-O174+P174)</f>
        <v/>
      </c>
    </row>
    <row r="175">
      <c r="A175" s="35" t="n">
        <v>45829</v>
      </c>
      <c r="B175" s="92" t="n">
        <v>5853561717.658664</v>
      </c>
      <c r="C175" s="92" t="n"/>
      <c r="D175" s="92" t="n">
        <v>0</v>
      </c>
      <c r="E175" s="92" t="n">
        <v>2062339.95</v>
      </c>
      <c r="F175" s="92" t="n">
        <v>0</v>
      </c>
      <c r="G175" s="92" t="n">
        <v>0</v>
      </c>
      <c r="H175" s="92" t="n">
        <v>67039</v>
      </c>
      <c r="I175" s="92" t="n">
        <v>69112</v>
      </c>
      <c r="J175" s="92" t="n">
        <v>10510.7072833123</v>
      </c>
      <c r="K175" s="92" t="n">
        <v>26551.55</v>
      </c>
      <c r="L175" s="94" t="n">
        <v>62400.26</v>
      </c>
      <c r="M175" s="92" t="n">
        <v>2062339.95</v>
      </c>
      <c r="N175" s="94" t="n">
        <v>24993652.95</v>
      </c>
      <c r="O175" s="94" t="n">
        <v>26223.7499</v>
      </c>
      <c r="P175" s="94" t="n">
        <v>1975.2883</v>
      </c>
      <c r="Q175" s="92" t="n">
        <v>65201.3</v>
      </c>
      <c r="R175" s="94" t="n">
        <v>335678650.3662</v>
      </c>
      <c r="S175" s="94" t="n">
        <v>999703695.3263</v>
      </c>
      <c r="T175" s="95">
        <f>IF(OR(R175="",R174=""),"",R175-R174)</f>
        <v/>
      </c>
      <c r="U175" s="95">
        <f>IF(OR(S175="",S174=""),"",S175-S174)</f>
        <v/>
      </c>
      <c r="V175" s="95">
        <f>IF(OR(U175="",P175=""),"",U175+P175)</f>
        <v/>
      </c>
      <c r="W175" s="95">
        <f>IF(OR(T175="",O175="",P175=""),"",T175-O175+P175)</f>
        <v/>
      </c>
    </row>
    <row r="176">
      <c r="A176" s="35" t="n">
        <v>45830</v>
      </c>
      <c r="B176" s="92" t="n">
        <v>12754870645.14705</v>
      </c>
      <c r="C176" s="92" t="n"/>
      <c r="D176" s="92" t="n">
        <v>0</v>
      </c>
      <c r="E176" s="92" t="n">
        <v>2243331.857</v>
      </c>
      <c r="F176" s="92" t="n">
        <v>0</v>
      </c>
      <c r="G176" s="92" t="n">
        <v>0</v>
      </c>
      <c r="H176" s="92" t="n">
        <v>89973</v>
      </c>
      <c r="I176" s="92" t="n">
        <v>92755</v>
      </c>
      <c r="J176" s="92" t="n">
        <v>13559.37666744104</v>
      </c>
      <c r="K176" s="92" t="n">
        <v>0</v>
      </c>
      <c r="L176" s="94" t="n">
        <v>67413.95</v>
      </c>
      <c r="M176" s="92" t="n">
        <v>2243331.857</v>
      </c>
      <c r="N176" s="94" t="n">
        <v>25061066.9</v>
      </c>
      <c r="O176" s="94" t="n">
        <v>26187.2271</v>
      </c>
      <c r="P176" s="94" t="n">
        <v>2172.3448</v>
      </c>
      <c r="Q176" s="92" t="n">
        <v>73083.11</v>
      </c>
      <c r="R176" s="94" t="n">
        <v>335688028.1681</v>
      </c>
      <c r="S176" s="94" t="n">
        <v>999701522.9815</v>
      </c>
      <c r="T176" s="95">
        <f>IF(OR(R176="",R175=""),"",R176-R175)</f>
        <v/>
      </c>
      <c r="U176" s="95">
        <f>IF(OR(S176="",S175=""),"",S176-S175)</f>
        <v/>
      </c>
      <c r="V176" s="95">
        <f>IF(OR(U176="",P176=""),"",U176+P176)</f>
        <v/>
      </c>
      <c r="W176" s="95">
        <f>IF(OR(T176="",O176="",P176=""),"",T176-O176+P176)</f>
        <v/>
      </c>
    </row>
    <row r="177">
      <c r="A177" s="35" t="n">
        <v>45831</v>
      </c>
      <c r="B177" s="92" t="n">
        <v>13808379727.87627</v>
      </c>
      <c r="C177" s="92" t="n"/>
      <c r="D177" s="92" t="n">
        <v>0</v>
      </c>
      <c r="E177" s="92" t="n">
        <v>3427206.965</v>
      </c>
      <c r="F177" s="92" t="n">
        <v>0</v>
      </c>
      <c r="G177" s="92" t="n">
        <v>0</v>
      </c>
      <c r="H177" s="92" t="n">
        <v>103763</v>
      </c>
      <c r="I177" s="92" t="n">
        <v>106972</v>
      </c>
      <c r="J177" s="92" t="n">
        <v>16668.45397892478</v>
      </c>
      <c r="K177" s="92" t="n">
        <v>24169.31</v>
      </c>
      <c r="L177" s="94" t="n">
        <v>93856.7</v>
      </c>
      <c r="M177" s="92" t="n">
        <v>3427206.965</v>
      </c>
      <c r="N177" s="94" t="n">
        <v>25154923.6</v>
      </c>
      <c r="O177" s="94" t="n">
        <v>26160.7949</v>
      </c>
      <c r="P177" s="94" t="n">
        <v>1693.9611</v>
      </c>
      <c r="Q177" s="92" t="n">
        <v>59805.3</v>
      </c>
      <c r="R177" s="94" t="n">
        <v>335697835.7048</v>
      </c>
      <c r="S177" s="94" t="n">
        <v>999699829.0203</v>
      </c>
      <c r="T177" s="95">
        <f>IF(OR(R177="",R176=""),"",R177-R176)</f>
        <v/>
      </c>
      <c r="U177" s="95">
        <f>IF(OR(S177="",S176=""),"",S177-S176)</f>
        <v/>
      </c>
      <c r="V177" s="95">
        <f>IF(OR(U177="",P177=""),"",U177+P177)</f>
        <v/>
      </c>
      <c r="W177" s="95">
        <f>IF(OR(T177="",O177="",P177=""),"",T177-O177+P177)</f>
        <v/>
      </c>
    </row>
    <row r="178">
      <c r="A178" s="35" t="n">
        <v>45832</v>
      </c>
      <c r="B178" s="92" t="n">
        <v>7562435082.964275</v>
      </c>
      <c r="C178" s="92" t="n"/>
      <c r="D178" s="92" t="n">
        <v>0</v>
      </c>
      <c r="E178" s="92" t="n">
        <v>4394495.539</v>
      </c>
      <c r="F178" s="92" t="n">
        <v>0</v>
      </c>
      <c r="G178" s="92" t="n">
        <v>0</v>
      </c>
      <c r="H178" s="92" t="n">
        <v>73307</v>
      </c>
      <c r="I178" s="92" t="n">
        <v>75574</v>
      </c>
      <c r="J178" s="92" t="n">
        <v>6948.965492956771</v>
      </c>
      <c r="K178" s="92" t="n">
        <v>27735.18</v>
      </c>
      <c r="L178" s="94" t="n">
        <v>116998.38</v>
      </c>
      <c r="M178" s="92" t="n">
        <v>4394495.539</v>
      </c>
      <c r="N178" s="94" t="n">
        <v>25271921.98</v>
      </c>
      <c r="O178" s="94" t="n">
        <v>26181.7962</v>
      </c>
      <c r="P178" s="94" t="n">
        <v>2653.9171</v>
      </c>
      <c r="Q178" s="92" t="n">
        <v>100510.47</v>
      </c>
      <c r="R178" s="94" t="n">
        <v>335706696.6373</v>
      </c>
      <c r="S178" s="94" t="n">
        <v>999697175.1033</v>
      </c>
      <c r="T178" s="95">
        <f>IF(OR(R178="",R177=""),"",R178-R177)</f>
        <v/>
      </c>
      <c r="U178" s="95">
        <f>IF(OR(S178="",S177=""),"",S178-S177)</f>
        <v/>
      </c>
      <c r="V178" s="95">
        <f>IF(OR(U178="",P178=""),"",U178+P178)</f>
        <v/>
      </c>
      <c r="W178" s="95">
        <f>IF(OR(T178="",O178="",P178=""),"",T178-O178+P178)</f>
        <v/>
      </c>
    </row>
    <row r="179">
      <c r="A179" s="35" t="n">
        <v>45833</v>
      </c>
      <c r="B179" s="92" t="n">
        <v>7112711274.387126</v>
      </c>
      <c r="C179" s="92" t="n"/>
      <c r="D179" s="92" t="n">
        <v>0</v>
      </c>
      <c r="E179" s="92" t="n">
        <v>1849546.926</v>
      </c>
      <c r="F179" s="92" t="n">
        <v>0</v>
      </c>
      <c r="G179" s="92" t="n">
        <v>0</v>
      </c>
      <c r="H179" s="92" t="n">
        <v>64357</v>
      </c>
      <c r="I179" s="92" t="n">
        <v>66347</v>
      </c>
      <c r="J179" s="92" t="n">
        <v>7939.630694802136</v>
      </c>
      <c r="K179" s="92" t="n">
        <v>0</v>
      </c>
      <c r="L179" s="94" t="n">
        <v>49011.9</v>
      </c>
      <c r="M179" s="92" t="n">
        <v>1849546.926</v>
      </c>
      <c r="N179" s="94" t="n">
        <v>25320933.88</v>
      </c>
      <c r="O179" s="94" t="n">
        <v>26205.6615</v>
      </c>
      <c r="P179" s="94" t="n">
        <v>1860.9468</v>
      </c>
      <c r="Q179" s="92" t="n">
        <v>70003.24000000001</v>
      </c>
      <c r="R179" s="94" t="n">
        <v>335716417.4731</v>
      </c>
      <c r="S179" s="94" t="n">
        <v>999695314.1564</v>
      </c>
      <c r="T179" s="95">
        <f>IF(OR(R179="",R178=""),"",R179-R178)</f>
        <v/>
      </c>
      <c r="U179" s="95">
        <f>IF(OR(S179="",S178=""),"",S179-S178)</f>
        <v/>
      </c>
      <c r="V179" s="95">
        <f>IF(OR(U179="",P179=""),"",U179+P179)</f>
        <v/>
      </c>
      <c r="W179" s="95">
        <f>IF(OR(T179="",O179="",P179=""),"",T179-O179+P179)</f>
        <v/>
      </c>
    </row>
    <row r="180">
      <c r="A180" s="35" t="n">
        <v>45834</v>
      </c>
      <c r="B180" s="92" t="n">
        <v>6054093572.703783</v>
      </c>
      <c r="C180" s="92" t="n"/>
      <c r="D180" s="92" t="n">
        <v>0</v>
      </c>
      <c r="E180" s="92" t="n">
        <v>1978598.824</v>
      </c>
      <c r="F180" s="92" t="n">
        <v>0</v>
      </c>
      <c r="G180" s="92" t="n">
        <v>0</v>
      </c>
      <c r="H180" s="92" t="n">
        <v>52385</v>
      </c>
      <c r="I180" s="92" t="n">
        <v>54006</v>
      </c>
      <c r="J180" s="92" t="n">
        <v>8495.846218578423</v>
      </c>
      <c r="K180" s="92" t="n">
        <v>18461</v>
      </c>
      <c r="L180" s="94" t="n">
        <v>53218.85</v>
      </c>
      <c r="M180" s="92" t="n">
        <v>1978598.824</v>
      </c>
      <c r="N180" s="94" t="n">
        <v>25374152.73</v>
      </c>
      <c r="O180" s="94" t="n">
        <v>26264.077</v>
      </c>
      <c r="P180" s="94" t="n">
        <v>931.2572</v>
      </c>
      <c r="Q180" s="92" t="n">
        <v>34558.49</v>
      </c>
      <c r="R180" s="94" t="n">
        <v>335727122.5404</v>
      </c>
      <c r="S180" s="94" t="n">
        <v>999694382.8992</v>
      </c>
      <c r="T180" s="95">
        <f>IF(OR(R180="",R179=""),"",R180-R179)</f>
        <v/>
      </c>
      <c r="U180" s="95">
        <f>IF(OR(S180="",S179=""),"",S180-S179)</f>
        <v/>
      </c>
      <c r="V180" s="95">
        <f>IF(OR(U180="",P180=""),"",U180+P180)</f>
        <v/>
      </c>
      <c r="W180" s="95">
        <f>IF(OR(T180="",O180="",P180=""),"",T180-O180+P180)</f>
        <v/>
      </c>
    </row>
    <row r="181">
      <c r="A181" s="35" t="n">
        <v>45835</v>
      </c>
      <c r="B181" s="92" t="n">
        <v>5468496333.636342</v>
      </c>
      <c r="C181" s="92" t="n"/>
      <c r="D181" s="92" t="n">
        <v>0</v>
      </c>
      <c r="E181" s="92" t="n">
        <v>1815313.983</v>
      </c>
      <c r="F181" s="92" t="n">
        <v>0</v>
      </c>
      <c r="G181" s="92" t="n">
        <v>0</v>
      </c>
      <c r="H181" s="92" t="n">
        <v>36324</v>
      </c>
      <c r="I181" s="92" t="n">
        <v>37448</v>
      </c>
      <c r="J181" s="92" t="n">
        <v>4007.853210149209</v>
      </c>
      <c r="K181" s="92" t="n">
        <v>0</v>
      </c>
      <c r="L181" s="94" t="n">
        <v>49767.76</v>
      </c>
      <c r="M181" s="92" t="n">
        <v>1815313.983</v>
      </c>
      <c r="N181" s="94" t="n">
        <v>25423920.49</v>
      </c>
      <c r="O181" s="94" t="n">
        <v>26235.3685</v>
      </c>
      <c r="P181" s="94" t="n">
        <v>1348.0803</v>
      </c>
      <c r="Q181" s="92" t="n">
        <v>48119.73</v>
      </c>
      <c r="R181" s="94" t="n">
        <v>335737396.4316</v>
      </c>
      <c r="S181" s="94" t="n">
        <v>999693034.8189</v>
      </c>
      <c r="T181" s="95">
        <f>IF(OR(R181="",R180=""),"",R181-R180)</f>
        <v/>
      </c>
      <c r="U181" s="95">
        <f>IF(OR(S181="",S180=""),"",S181-S180)</f>
        <v/>
      </c>
      <c r="V181" s="95">
        <f>IF(OR(U181="",P181=""),"",U181+P181)</f>
        <v/>
      </c>
      <c r="W181" s="95">
        <f>IF(OR(T181="",O181="",P181=""),"",T181-O181+P181)</f>
        <v/>
      </c>
    </row>
    <row r="182">
      <c r="A182" s="35" t="n">
        <v>45836</v>
      </c>
      <c r="B182" s="92" t="n">
        <v>2029915379.929195</v>
      </c>
      <c r="C182" s="92" t="n"/>
      <c r="D182" s="92" t="n">
        <v>0</v>
      </c>
      <c r="E182" s="92" t="n">
        <v>1203337.358</v>
      </c>
      <c r="F182" s="92" t="n">
        <v>0</v>
      </c>
      <c r="G182" s="92" t="n">
        <v>0</v>
      </c>
      <c r="H182" s="92" t="n">
        <v>28089</v>
      </c>
      <c r="I182" s="92" t="n">
        <v>28957</v>
      </c>
      <c r="J182" s="92" t="n">
        <v>3740.089685894544</v>
      </c>
      <c r="K182" s="92" t="n">
        <v>18251.71</v>
      </c>
      <c r="L182" s="94" t="n">
        <v>32517.99</v>
      </c>
      <c r="M182" s="92" t="n">
        <v>1203337.358</v>
      </c>
      <c r="N182" s="94" t="n">
        <v>25456438.48</v>
      </c>
      <c r="O182" s="94" t="n">
        <v>26271.3196</v>
      </c>
      <c r="P182" s="94" t="n">
        <v>599.8286000000001</v>
      </c>
      <c r="Q182" s="92" t="n">
        <v>21803.47</v>
      </c>
      <c r="R182" s="94" t="n">
        <v>335748446.623</v>
      </c>
      <c r="S182" s="94" t="n">
        <v>999692434.9903001</v>
      </c>
      <c r="T182" s="95">
        <f>IF(OR(R182="",R181=""),"",R182-R181)</f>
        <v/>
      </c>
      <c r="U182" s="95">
        <f>IF(OR(S182="",S181=""),"",S182-S181)</f>
        <v/>
      </c>
      <c r="V182" s="95">
        <f>IF(OR(U182="",P182=""),"",U182+P182)</f>
        <v/>
      </c>
      <c r="W182" s="95">
        <f>IF(OR(T182="",O182="",P182=""),"",T182-O182+P182)</f>
        <v/>
      </c>
    </row>
    <row r="183">
      <c r="A183" s="35" t="n">
        <v>45837</v>
      </c>
      <c r="B183" s="92" t="n">
        <v>3690353142.092132</v>
      </c>
      <c r="C183" s="92" t="n"/>
      <c r="D183" s="92" t="n">
        <v>0</v>
      </c>
      <c r="E183" s="92" t="n">
        <v>542414.0383</v>
      </c>
      <c r="F183" s="92" t="n">
        <v>0</v>
      </c>
      <c r="G183" s="92" t="n">
        <v>0</v>
      </c>
      <c r="H183" s="92" t="n">
        <v>45808</v>
      </c>
      <c r="I183" s="92" t="n">
        <v>47224</v>
      </c>
      <c r="J183" s="92" t="n">
        <v>3387.603864184065</v>
      </c>
      <c r="K183" s="92" t="n">
        <v>0</v>
      </c>
      <c r="L183" s="94" t="n">
        <v>14116.47</v>
      </c>
      <c r="M183" s="92" t="n">
        <v>542414.0383</v>
      </c>
      <c r="N183" s="94" t="n">
        <v>25470554.95</v>
      </c>
      <c r="O183" s="94" t="n">
        <v>26095.91</v>
      </c>
      <c r="P183" s="94" t="n">
        <v>873.9448</v>
      </c>
      <c r="Q183" s="92" t="n">
        <v>32970.01</v>
      </c>
      <c r="R183" s="94" t="n">
        <v>335759174.8354</v>
      </c>
      <c r="S183" s="94" t="n">
        <v>999691561.0455</v>
      </c>
      <c r="T183" s="95">
        <f>IF(OR(R183="",R182=""),"",R183-R182)</f>
        <v/>
      </c>
      <c r="U183" s="95">
        <f>IF(OR(S183="",S182=""),"",S183-S182)</f>
        <v/>
      </c>
      <c r="V183" s="95">
        <f>IF(OR(U183="",P183=""),"",U183+P183)</f>
        <v/>
      </c>
      <c r="W183" s="95">
        <f>IF(OR(T183="",O183="",P183=""),"",T183-O183+P183)</f>
        <v/>
      </c>
    </row>
    <row r="184">
      <c r="A184" s="35" t="n">
        <v>45838</v>
      </c>
      <c r="B184" s="92" t="n">
        <v>6117167590.460418</v>
      </c>
      <c r="C184" s="92" t="n"/>
      <c r="D184" s="92" t="n">
        <v>0</v>
      </c>
      <c r="E184" s="92" t="n">
        <v>1536144.182</v>
      </c>
      <c r="F184" s="92" t="n">
        <v>0</v>
      </c>
      <c r="G184" s="92" t="n">
        <v>0</v>
      </c>
      <c r="H184" s="92" t="n">
        <v>58913</v>
      </c>
      <c r="I184" s="92" t="n">
        <v>60735</v>
      </c>
      <c r="J184" s="92" t="n">
        <v>38958.54557761391</v>
      </c>
      <c r="K184" s="92" t="n">
        <v>0</v>
      </c>
      <c r="L184" s="94" t="n">
        <v>38320.67</v>
      </c>
      <c r="M184" s="92" t="n">
        <v>1536144.182</v>
      </c>
      <c r="N184" s="94" t="n">
        <v>25508875.62</v>
      </c>
      <c r="O184" s="94" t="n">
        <v>26277.9253</v>
      </c>
      <c r="P184" s="94" t="n">
        <v>649.6043</v>
      </c>
      <c r="Q184" s="92" t="n">
        <v>25678.86</v>
      </c>
      <c r="R184" s="94" t="n">
        <v>335770195.0451</v>
      </c>
      <c r="S184" s="94" t="n">
        <v>999690911.4412</v>
      </c>
      <c r="T184" s="95">
        <f>IF(OR(R184="",R183=""),"",R184-R183)</f>
        <v/>
      </c>
      <c r="U184" s="95">
        <f>IF(OR(S184="",S183=""),"",S184-S183)</f>
        <v/>
      </c>
      <c r="V184" s="95">
        <f>IF(OR(U184="",P184=""),"",U184+P184)</f>
        <v/>
      </c>
      <c r="W184" s="95">
        <f>IF(OR(T184="",O184="",P184=""),"",T184-O184+P184)</f>
        <v/>
      </c>
    </row>
    <row r="185">
      <c r="A185" s="35" t="n">
        <v>45839</v>
      </c>
      <c r="B185" s="92" t="n">
        <v>6136377450.129353</v>
      </c>
      <c r="C185" s="92" t="n"/>
      <c r="D185" s="92" t="n">
        <v>0</v>
      </c>
      <c r="E185" s="92" t="n">
        <v>1555195.846</v>
      </c>
      <c r="F185" s="92" t="n">
        <v>0</v>
      </c>
      <c r="G185" s="92" t="n">
        <v>0</v>
      </c>
      <c r="H185" s="92" t="n">
        <v>55162</v>
      </c>
      <c r="I185" s="92" t="n">
        <v>56869</v>
      </c>
      <c r="J185" s="92" t="n">
        <v>8099.642670797391</v>
      </c>
      <c r="K185" s="92" t="n">
        <v>0</v>
      </c>
      <c r="L185" s="94" t="n">
        <v>40397.31</v>
      </c>
      <c r="M185" s="92" t="n">
        <v>1555195.846</v>
      </c>
      <c r="N185" s="94" t="n">
        <v>25549272.93</v>
      </c>
      <c r="O185" s="94" t="n">
        <v>26322.6881</v>
      </c>
      <c r="P185" s="94" t="n">
        <v>850.0683</v>
      </c>
      <c r="Q185" s="92" t="n">
        <v>33572.17</v>
      </c>
      <c r="R185" s="94" t="n">
        <v>335781057.9908</v>
      </c>
      <c r="S185" s="94" t="n">
        <v>999690061.3729</v>
      </c>
      <c r="T185" s="95">
        <f>IF(OR(R185="",R184=""),"",R185-R184)</f>
        <v/>
      </c>
      <c r="U185" s="95">
        <f>IF(OR(S185="",S184=""),"",S185-S184)</f>
        <v/>
      </c>
      <c r="V185" s="95">
        <f>IF(OR(U185="",P185=""),"",U185+P185)</f>
        <v/>
      </c>
      <c r="W185" s="95">
        <f>IF(OR(T185="",O185="",P185=""),"",T185-O185+P185)</f>
        <v/>
      </c>
    </row>
    <row r="186">
      <c r="A186" s="35" t="n">
        <v>45840</v>
      </c>
      <c r="B186" s="92" t="n">
        <v>8708461911.885946</v>
      </c>
      <c r="C186" s="92" t="n"/>
      <c r="D186" s="92" t="n">
        <v>0</v>
      </c>
      <c r="E186" s="92" t="n">
        <v>1844481.991</v>
      </c>
      <c r="F186" s="92" t="n">
        <v>0</v>
      </c>
      <c r="G186" s="92" t="n">
        <v>0</v>
      </c>
      <c r="H186" s="92" t="n">
        <v>58343</v>
      </c>
      <c r="I186" s="92" t="n">
        <v>60148</v>
      </c>
      <c r="J186" s="92" t="n">
        <v>6638.274666003046</v>
      </c>
      <c r="K186" s="92" t="n">
        <v>0</v>
      </c>
      <c r="L186" s="94" t="n">
        <v>47673.58</v>
      </c>
      <c r="M186" s="92" t="n">
        <v>1844481.991</v>
      </c>
      <c r="N186" s="94" t="n">
        <v>25596946.51</v>
      </c>
      <c r="O186" s="94" t="n">
        <v>26305.5889</v>
      </c>
      <c r="P186" s="94" t="n">
        <v>710.4213</v>
      </c>
      <c r="Q186" s="92" t="n">
        <v>26294.11</v>
      </c>
      <c r="R186" s="94" t="n">
        <v>335792043.7489</v>
      </c>
      <c r="S186" s="94" t="n">
        <v>999689350.9517</v>
      </c>
      <c r="T186" s="95">
        <f>IF(OR(R186="",R185=""),"",R186-R185)</f>
        <v/>
      </c>
      <c r="U186" s="95">
        <f>IF(OR(S186="",S185=""),"",S186-S185)</f>
        <v/>
      </c>
      <c r="V186" s="95">
        <f>IF(OR(U186="",P186=""),"",U186+P186)</f>
        <v/>
      </c>
      <c r="W186" s="95">
        <f>IF(OR(T186="",O186="",P186=""),"",T186-O186+P186)</f>
        <v/>
      </c>
    </row>
    <row r="187">
      <c r="A187" s="35" t="n">
        <v>45841</v>
      </c>
      <c r="B187" s="92" t="n">
        <v>6251465096.543179</v>
      </c>
      <c r="C187" s="92" t="n"/>
      <c r="D187" s="92" t="n">
        <v>0</v>
      </c>
      <c r="E187" s="92" t="n">
        <v>2494949.024</v>
      </c>
      <c r="F187" s="92" t="n">
        <v>0</v>
      </c>
      <c r="G187" s="92" t="n">
        <v>0</v>
      </c>
      <c r="H187" s="92" t="n">
        <v>49730</v>
      </c>
      <c r="I187" s="92" t="n">
        <v>51268</v>
      </c>
      <c r="J187" s="92" t="n">
        <v>9166.216101661439</v>
      </c>
      <c r="K187" s="92" t="n">
        <v>0</v>
      </c>
      <c r="L187" s="94" t="n">
        <v>61753.57</v>
      </c>
      <c r="M187" s="92" t="n">
        <v>2494949.024</v>
      </c>
      <c r="N187" s="94" t="n">
        <v>25658700.08</v>
      </c>
      <c r="O187" s="94" t="n">
        <v>26103.9266</v>
      </c>
      <c r="P187" s="94" t="n">
        <v>954.5984999999999</v>
      </c>
      <c r="Q187" s="92" t="n">
        <v>38050.77</v>
      </c>
      <c r="R187" s="94" t="n">
        <v>335802622.7298</v>
      </c>
      <c r="S187" s="94" t="n">
        <v>999688396.3532</v>
      </c>
      <c r="T187" s="95">
        <f>IF(OR(R187="",R186=""),"",R187-R186)</f>
        <v/>
      </c>
      <c r="U187" s="95">
        <f>IF(OR(S187="",S186=""),"",S187-S186)</f>
        <v/>
      </c>
      <c r="V187" s="95">
        <f>IF(OR(U187="",P187=""),"",U187+P187)</f>
        <v/>
      </c>
      <c r="W187" s="95">
        <f>IF(OR(T187="",O187="",P187=""),"",T187-O187+P187)</f>
        <v/>
      </c>
    </row>
    <row r="188">
      <c r="A188" s="35" t="n">
        <v>45842</v>
      </c>
      <c r="B188" s="92" t="n">
        <v>5865755226.167191</v>
      </c>
      <c r="C188" s="92" t="n"/>
      <c r="D188" s="92" t="n">
        <v>0</v>
      </c>
      <c r="E188" s="92" t="n">
        <v>1741250.39</v>
      </c>
      <c r="F188" s="92" t="n">
        <v>0</v>
      </c>
      <c r="G188" s="92" t="n">
        <v>0</v>
      </c>
      <c r="H188" s="92" t="n">
        <v>48293</v>
      </c>
      <c r="I188" s="92" t="n">
        <v>49787</v>
      </c>
      <c r="J188" s="92" t="n">
        <v>7770.906878301268</v>
      </c>
      <c r="K188" s="92" t="n">
        <v>0</v>
      </c>
      <c r="L188" s="94" t="n">
        <v>45057.8</v>
      </c>
      <c r="M188" s="92" t="n">
        <v>1741250.39</v>
      </c>
      <c r="N188" s="94" t="n">
        <v>25703757.88</v>
      </c>
      <c r="O188" s="94" t="n">
        <v>26133.6193</v>
      </c>
      <c r="P188" s="94" t="n">
        <v>597.4414</v>
      </c>
      <c r="Q188" s="92" t="n">
        <v>23999.52</v>
      </c>
      <c r="R188" s="94" t="n">
        <v>335813566.7545</v>
      </c>
      <c r="S188" s="94" t="n">
        <v>999687798.9117</v>
      </c>
      <c r="T188" s="95">
        <f>IF(OR(R188="",R187=""),"",R188-R187)</f>
        <v/>
      </c>
      <c r="U188" s="95">
        <f>IF(OR(S188="",S187=""),"",S188-S187)</f>
        <v/>
      </c>
      <c r="V188" s="95">
        <f>IF(OR(U188="",P188=""),"",U188+P188)</f>
        <v/>
      </c>
      <c r="W188" s="95">
        <f>IF(OR(T188="",O188="",P188=""),"",T188-O188+P188)</f>
        <v/>
      </c>
    </row>
    <row r="189">
      <c r="A189" s="35" t="n">
        <v>45843</v>
      </c>
      <c r="B189" s="92" t="n">
        <v>2451950269.5296</v>
      </c>
      <c r="C189" s="92" t="n"/>
      <c r="D189" s="92" t="n">
        <v>0</v>
      </c>
      <c r="E189" s="92" t="n">
        <v>1596923.669</v>
      </c>
      <c r="F189" s="92" t="n">
        <v>0</v>
      </c>
      <c r="G189" s="92" t="n">
        <v>0</v>
      </c>
      <c r="H189" s="92" t="n">
        <v>28497</v>
      </c>
      <c r="I189" s="92" t="n">
        <v>29379</v>
      </c>
      <c r="J189" s="92" t="n">
        <v>5293.572988509542</v>
      </c>
      <c r="K189" s="92" t="n">
        <v>0</v>
      </c>
      <c r="L189" s="94" t="n">
        <v>40813.15</v>
      </c>
      <c r="M189" s="92" t="n">
        <v>1596923.669</v>
      </c>
      <c r="N189" s="94" t="n">
        <v>25744571.03</v>
      </c>
      <c r="O189" s="94" t="n">
        <v>26192.9064</v>
      </c>
      <c r="P189" s="94" t="n">
        <v>708.3487</v>
      </c>
      <c r="Q189" s="92" t="n">
        <v>27644.37</v>
      </c>
      <c r="R189" s="94" t="n">
        <v>335824474.083</v>
      </c>
      <c r="S189" s="94" t="n">
        <v>999687090.563</v>
      </c>
      <c r="T189" s="95">
        <f>IF(OR(R189="",R188=""),"",R189-R188)</f>
        <v/>
      </c>
      <c r="U189" s="95">
        <f>IF(OR(S189="",S188=""),"",S189-S188)</f>
        <v/>
      </c>
      <c r="V189" s="95">
        <f>IF(OR(U189="",P189=""),"",U189+P189)</f>
        <v/>
      </c>
      <c r="W189" s="95">
        <f>IF(OR(T189="",O189="",P189=""),"",T189-O189+P189)</f>
        <v/>
      </c>
    </row>
    <row r="190">
      <c r="A190" s="35" t="n">
        <v>45844</v>
      </c>
      <c r="B190" s="92" t="n">
        <v>4289662636.717702</v>
      </c>
      <c r="C190" s="92" t="n"/>
      <c r="D190" s="92" t="n">
        <v>0</v>
      </c>
      <c r="E190" s="92" t="n">
        <v>650244.1229</v>
      </c>
      <c r="F190" s="92" t="n">
        <v>0</v>
      </c>
      <c r="G190" s="92" t="n">
        <v>0</v>
      </c>
      <c r="H190" s="92" t="n">
        <v>26036</v>
      </c>
      <c r="I190" s="92" t="n">
        <v>26841</v>
      </c>
      <c r="J190" s="92" t="n">
        <v>4856.094394934317</v>
      </c>
      <c r="K190" s="92" t="n">
        <v>0</v>
      </c>
      <c r="L190" s="94" t="n">
        <v>16520.15</v>
      </c>
      <c r="M190" s="92" t="n">
        <v>650244.1229</v>
      </c>
      <c r="N190" s="94" t="n">
        <v>25761091.18</v>
      </c>
      <c r="O190" s="94" t="n">
        <v>26201.8544</v>
      </c>
      <c r="P190" s="94" t="n">
        <v>331.3298</v>
      </c>
      <c r="Q190" s="92" t="n">
        <v>12924.68</v>
      </c>
      <c r="R190" s="94" t="n">
        <v>335835805.7448</v>
      </c>
      <c r="S190" s="94" t="n">
        <v>999686759.2332</v>
      </c>
      <c r="T190" s="95">
        <f>IF(OR(R190="",R189=""),"",R190-R189)</f>
        <v/>
      </c>
      <c r="U190" s="95">
        <f>IF(OR(S190="",S189=""),"",S190-S189)</f>
        <v/>
      </c>
      <c r="V190" s="95">
        <f>IF(OR(U190="",P190=""),"",U190+P190)</f>
        <v/>
      </c>
      <c r="W190" s="95">
        <f>IF(OR(T190="",O190="",P190=""),"",T190-O190+P190)</f>
        <v/>
      </c>
    </row>
    <row r="191">
      <c r="A191" s="35" t="n">
        <v>45845</v>
      </c>
      <c r="B191" s="92" t="n">
        <v>5322409239.838073</v>
      </c>
      <c r="C191" s="92" t="n"/>
      <c r="D191" s="92" t="n">
        <v>0</v>
      </c>
      <c r="E191" s="92" t="n">
        <v>1372817.964</v>
      </c>
      <c r="F191" s="92" t="n">
        <v>0</v>
      </c>
      <c r="G191" s="92" t="n">
        <v>0</v>
      </c>
      <c r="H191" s="92" t="n">
        <v>46909</v>
      </c>
      <c r="I191" s="92" t="n">
        <v>48359</v>
      </c>
      <c r="J191" s="92" t="n">
        <v>51071.86506595204</v>
      </c>
      <c r="K191" s="92" t="n">
        <v>19890.06</v>
      </c>
      <c r="L191" s="94" t="n">
        <v>34874.72</v>
      </c>
      <c r="M191" s="92" t="n">
        <v>1372817.964</v>
      </c>
      <c r="N191" s="94" t="n">
        <v>25795965.9</v>
      </c>
      <c r="O191" s="94" t="n">
        <v>26216.6899</v>
      </c>
      <c r="P191" s="94" t="n">
        <v>330.7715</v>
      </c>
      <c r="Q191" s="92" t="n">
        <v>13137.25</v>
      </c>
      <c r="R191" s="94" t="n">
        <v>335847130.6963</v>
      </c>
      <c r="S191" s="94" t="n">
        <v>999686428.4617</v>
      </c>
      <c r="T191" s="95">
        <f>IF(OR(R191="",R190=""),"",R191-R190)</f>
        <v/>
      </c>
      <c r="U191" s="95">
        <f>IF(OR(S191="",S190=""),"",S191-S190)</f>
        <v/>
      </c>
      <c r="V191" s="95">
        <f>IF(OR(U191="",P191=""),"",U191+P191)</f>
        <v/>
      </c>
      <c r="W191" s="95">
        <f>IF(OR(T191="",O191="",P191=""),"",T191-O191+P191)</f>
        <v/>
      </c>
    </row>
    <row r="192">
      <c r="A192" s="35" t="n">
        <v>45846</v>
      </c>
      <c r="B192" s="92" t="n">
        <v>5320747621.804342</v>
      </c>
      <c r="C192" s="92" t="n"/>
      <c r="D192" s="92" t="n">
        <v>0</v>
      </c>
      <c r="E192" s="92" t="n">
        <v>1519235.873</v>
      </c>
      <c r="F192" s="92" t="n">
        <v>0</v>
      </c>
      <c r="G192" s="92" t="n">
        <v>0</v>
      </c>
      <c r="H192" s="92" t="n">
        <v>56727</v>
      </c>
      <c r="I192" s="92" t="n">
        <v>58482</v>
      </c>
      <c r="J192" s="92" t="n">
        <v>10924.06923909988</v>
      </c>
      <c r="K192" s="92" t="n">
        <v>0</v>
      </c>
      <c r="L192" s="94" t="n">
        <v>39768.58</v>
      </c>
      <c r="M192" s="92" t="n">
        <v>1519235.873</v>
      </c>
      <c r="N192" s="94" t="n">
        <v>25835734.48</v>
      </c>
      <c r="O192" s="94" t="n">
        <v>26255.6227</v>
      </c>
      <c r="P192" s="94" t="n">
        <v>1043.8797</v>
      </c>
      <c r="Q192" s="92" t="n">
        <v>40282.8</v>
      </c>
      <c r="R192" s="94" t="n">
        <v>335857740.578</v>
      </c>
      <c r="S192" s="94" t="n">
        <v>999685384.5819</v>
      </c>
      <c r="T192" s="95">
        <f>IF(OR(R192="",R191=""),"",R192-R191)</f>
        <v/>
      </c>
      <c r="U192" s="95">
        <f>IF(OR(S192="",S191=""),"",S192-S191)</f>
        <v/>
      </c>
      <c r="V192" s="95">
        <f>IF(OR(U192="",P192=""),"",U192+P192)</f>
        <v/>
      </c>
      <c r="W192" s="95">
        <f>IF(OR(T192="",O192="",P192=""),"",T192-O192+P192)</f>
        <v/>
      </c>
    </row>
    <row r="193">
      <c r="A193" s="35" t="n">
        <v>45847</v>
      </c>
      <c r="B193" s="92" t="n">
        <v>8668787164.751041</v>
      </c>
      <c r="C193" s="92" t="n"/>
      <c r="D193" s="92" t="n">
        <v>0</v>
      </c>
      <c r="E193" s="92" t="n">
        <v>1613091.807</v>
      </c>
      <c r="F193" s="92" t="n">
        <v>0</v>
      </c>
      <c r="G193" s="92" t="n">
        <v>0</v>
      </c>
      <c r="H193" s="92" t="n">
        <v>65935</v>
      </c>
      <c r="I193" s="92" t="n">
        <v>67974</v>
      </c>
      <c r="J193" s="92" t="n">
        <v>14525.89532465642</v>
      </c>
      <c r="K193" s="92" t="n">
        <v>0</v>
      </c>
      <c r="L193" s="94" t="n">
        <v>40396.81</v>
      </c>
      <c r="M193" s="92" t="n">
        <v>1613091.807</v>
      </c>
      <c r="N193" s="94" t="n">
        <v>25876131.29</v>
      </c>
      <c r="O193" s="94" t="n">
        <v>26158.1165</v>
      </c>
      <c r="P193" s="94" t="n">
        <v>884.6962</v>
      </c>
      <c r="Q193" s="92" t="n">
        <v>34398.76</v>
      </c>
      <c r="R193" s="94" t="n">
        <v>335868401.2836</v>
      </c>
      <c r="S193" s="94" t="n">
        <v>999684499.8857</v>
      </c>
      <c r="T193" s="95">
        <f>IF(OR(R193="",R192=""),"",R193-R192)</f>
        <v/>
      </c>
      <c r="U193" s="95">
        <f>IF(OR(S193="",S192=""),"",S193-S192)</f>
        <v/>
      </c>
      <c r="V193" s="95">
        <f>IF(OR(U193="",P193=""),"",U193+P193)</f>
        <v/>
      </c>
      <c r="W193" s="95">
        <f>IF(OR(T193="",O193="",P193=""),"",T193-O193+P193)</f>
        <v/>
      </c>
    </row>
    <row r="194">
      <c r="A194" s="35" t="n">
        <v>45848</v>
      </c>
      <c r="B194" s="92" t="n">
        <v>10991694982.19964</v>
      </c>
      <c r="C194" s="92" t="n"/>
      <c r="D194" s="92" t="n">
        <v>0</v>
      </c>
      <c r="E194" s="92" t="n">
        <v>2954098.983</v>
      </c>
      <c r="F194" s="92" t="n">
        <v>0</v>
      </c>
      <c r="G194" s="92" t="n">
        <v>0</v>
      </c>
      <c r="H194" s="92" t="n">
        <v>91203</v>
      </c>
      <c r="I194" s="92" t="n">
        <v>94024</v>
      </c>
      <c r="J194" s="92" t="n">
        <v>12995.80219957034</v>
      </c>
      <c r="K194" s="92" t="n">
        <v>20914.09</v>
      </c>
      <c r="L194" s="94" t="n">
        <v>69330.37</v>
      </c>
      <c r="M194" s="92" t="n">
        <v>2954098.983</v>
      </c>
      <c r="N194" s="94" t="n">
        <v>25945461.66</v>
      </c>
      <c r="O194" s="94" t="n">
        <v>26159.7777</v>
      </c>
      <c r="P194" s="94" t="n">
        <v>723.8416</v>
      </c>
      <c r="Q194" s="92" t="n">
        <v>29619.6</v>
      </c>
      <c r="R194" s="94" t="n">
        <v>335879175.3955</v>
      </c>
      <c r="S194" s="94" t="n">
        <v>999683776.0441</v>
      </c>
      <c r="T194" s="95">
        <f>IF(OR(R194="",R193=""),"",R194-R193)</f>
        <v/>
      </c>
      <c r="U194" s="95">
        <f>IF(OR(S194="",S193=""),"",S194-S193)</f>
        <v/>
      </c>
      <c r="V194" s="95">
        <f>IF(OR(U194="",P194=""),"",U194+P194)</f>
        <v/>
      </c>
      <c r="W194" s="95">
        <f>IF(OR(T194="",O194="",P194=""),"",T194-O194+P194)</f>
        <v/>
      </c>
    </row>
    <row r="195">
      <c r="A195" s="35" t="n">
        <v>45849</v>
      </c>
      <c r="B195" s="92" t="n">
        <v>12433064594.48568</v>
      </c>
      <c r="C195" s="92" t="n"/>
      <c r="D195" s="92" t="n">
        <v>0</v>
      </c>
      <c r="E195" s="92" t="n">
        <v>3647033.077</v>
      </c>
      <c r="F195" s="92" t="n">
        <v>0</v>
      </c>
      <c r="G195" s="92" t="n">
        <v>0</v>
      </c>
      <c r="H195" s="92" t="n">
        <v>105205</v>
      </c>
      <c r="I195" s="92" t="n">
        <v>108458</v>
      </c>
      <c r="J195" s="92" t="n">
        <v>15500.35035738051</v>
      </c>
      <c r="K195" s="92" t="n">
        <v>23004.42</v>
      </c>
      <c r="L195" s="94" t="n">
        <v>80315.2</v>
      </c>
      <c r="M195" s="92" t="n">
        <v>3647033.077</v>
      </c>
      <c r="N195" s="94" t="n">
        <v>26025776.86</v>
      </c>
      <c r="O195" s="94" t="n">
        <v>26122.8024</v>
      </c>
      <c r="P195" s="94" t="n">
        <v>1451.9016</v>
      </c>
      <c r="Q195" s="92" t="n">
        <v>63345.74</v>
      </c>
      <c r="R195" s="94" t="n">
        <v>335889172.3017</v>
      </c>
      <c r="S195" s="94" t="n">
        <v>999682324.1425</v>
      </c>
      <c r="T195" s="95">
        <f>IF(OR(R195="",R194=""),"",R195-R194)</f>
        <v/>
      </c>
      <c r="U195" s="95">
        <f>IF(OR(S195="",S194=""),"",S195-S194)</f>
        <v/>
      </c>
      <c r="V195" s="95">
        <f>IF(OR(U195="",P195=""),"",U195+P195)</f>
        <v/>
      </c>
      <c r="W195" s="95">
        <f>IF(OR(T195="",O195="",P195=""),"",T195-O195+P195)</f>
        <v/>
      </c>
    </row>
    <row r="196">
      <c r="A196" s="35" t="n">
        <v>45850</v>
      </c>
      <c r="B196" s="92" t="n">
        <v>5486400795.634754</v>
      </c>
      <c r="C196" s="92" t="n"/>
      <c r="D196" s="92" t="n">
        <v>0</v>
      </c>
      <c r="E196" s="92" t="n">
        <v>3465960.553</v>
      </c>
      <c r="F196" s="92" t="n">
        <v>0</v>
      </c>
      <c r="G196" s="92" t="n">
        <v>0</v>
      </c>
      <c r="H196" s="92" t="n">
        <v>74246</v>
      </c>
      <c r="I196" s="92" t="n">
        <v>76542</v>
      </c>
      <c r="J196" s="92" t="n">
        <v>15073.9213791158</v>
      </c>
      <c r="K196" s="92" t="n">
        <v>23282.54</v>
      </c>
      <c r="L196" s="94" t="n">
        <v>74964.00999999999</v>
      </c>
      <c r="M196" s="92" t="n">
        <v>3465960.553</v>
      </c>
      <c r="N196" s="94" t="n">
        <v>26100740.87</v>
      </c>
      <c r="O196" s="94" t="n">
        <v>26136.0303</v>
      </c>
      <c r="P196" s="94" t="n">
        <v>1831.2501</v>
      </c>
      <c r="Q196" s="92" t="n">
        <v>84765.82000000001</v>
      </c>
      <c r="R196" s="94" t="n">
        <v>335898800.2028</v>
      </c>
      <c r="S196" s="94" t="n">
        <v>999680492.8925</v>
      </c>
      <c r="T196" s="95">
        <f>IF(OR(R196="",R195=""),"",R196-R195)</f>
        <v/>
      </c>
      <c r="U196" s="95">
        <f>IF(OR(S196="",S195=""),"",S196-S195)</f>
        <v/>
      </c>
      <c r="V196" s="95">
        <f>IF(OR(U196="",P196=""),"",U196+P196)</f>
        <v/>
      </c>
      <c r="W196" s="95">
        <f>IF(OR(T196="",O196="",P196=""),"",T196-O196+P196)</f>
        <v/>
      </c>
    </row>
    <row r="197">
      <c r="A197" s="35" t="n">
        <v>45851</v>
      </c>
      <c r="B197" s="92" t="n">
        <v>6412427250.738647</v>
      </c>
      <c r="C197" s="92" t="n"/>
      <c r="D197" s="92" t="n">
        <v>0</v>
      </c>
      <c r="E197" s="92" t="n">
        <v>2008748.358</v>
      </c>
      <c r="F197" s="92" t="n">
        <v>0</v>
      </c>
      <c r="G197" s="92" t="n">
        <v>0</v>
      </c>
      <c r="H197" s="92" t="n">
        <v>68655</v>
      </c>
      <c r="I197" s="92" t="n">
        <v>70779</v>
      </c>
      <c r="J197" s="92" t="n">
        <v>10846.0034337668</v>
      </c>
      <c r="K197" s="92" t="n">
        <v>30350.1</v>
      </c>
      <c r="L197" s="94" t="n">
        <v>41639.5</v>
      </c>
      <c r="M197" s="92" t="n">
        <v>2008748.358</v>
      </c>
      <c r="N197" s="94" t="n">
        <v>26142380.37</v>
      </c>
      <c r="O197" s="94" t="n">
        <v>26013.8934</v>
      </c>
      <c r="P197" s="94" t="n">
        <v>1374.6539</v>
      </c>
      <c r="Q197" s="92" t="n">
        <v>64786.75</v>
      </c>
      <c r="R197" s="94" t="n">
        <v>335908802.9073</v>
      </c>
      <c r="S197" s="94" t="n">
        <v>999679118.2386</v>
      </c>
      <c r="T197" s="95">
        <f>IF(OR(R197="",R196=""),"",R197-R196)</f>
        <v/>
      </c>
      <c r="U197" s="95">
        <f>IF(OR(S197="",S196=""),"",S197-S196)</f>
        <v/>
      </c>
      <c r="V197" s="95">
        <f>IF(OR(U197="",P197=""),"",U197+P197)</f>
        <v/>
      </c>
      <c r="W197" s="95">
        <f>IF(OR(T197="",O197="",P197=""),"",T197-O197+P197)</f>
        <v/>
      </c>
    </row>
    <row r="198">
      <c r="A198" s="35" t="n">
        <v>45852</v>
      </c>
      <c r="B198" s="92" t="n">
        <v>13350737289.80416</v>
      </c>
      <c r="C198" s="92" t="n"/>
      <c r="D198" s="92" t="n">
        <v>0</v>
      </c>
      <c r="E198" s="92" t="n">
        <v>3181268.757</v>
      </c>
      <c r="F198" s="92" t="n">
        <v>0</v>
      </c>
      <c r="G198" s="92" t="n">
        <v>0</v>
      </c>
      <c r="H198" s="92" t="n">
        <v>118304</v>
      </c>
      <c r="I198" s="92" t="n">
        <v>121963</v>
      </c>
      <c r="J198" s="92" t="n">
        <v>16968.98052542983</v>
      </c>
      <c r="K198" s="92" t="n">
        <v>35814.39</v>
      </c>
      <c r="L198" s="94" t="n">
        <v>65683.78</v>
      </c>
      <c r="M198" s="92" t="n">
        <v>3181268.757</v>
      </c>
      <c r="N198" s="94" t="n">
        <v>26208064.15</v>
      </c>
      <c r="O198" s="94" t="n">
        <v>26101.0722</v>
      </c>
      <c r="P198" s="94" t="n">
        <v>1452.3753</v>
      </c>
      <c r="Q198" s="92" t="n">
        <v>71303.64</v>
      </c>
      <c r="R198" s="94" t="n">
        <v>335918785.0474</v>
      </c>
      <c r="S198" s="94" t="n">
        <v>999677665.8633</v>
      </c>
      <c r="T198" s="95">
        <f>IF(OR(R198="",R197=""),"",R198-R197)</f>
        <v/>
      </c>
      <c r="U198" s="95">
        <f>IF(OR(S198="",S197=""),"",S198-S197)</f>
        <v/>
      </c>
      <c r="V198" s="95">
        <f>IF(OR(U198="",P198=""),"",U198+P198)</f>
        <v/>
      </c>
      <c r="W198" s="95">
        <f>IF(OR(T198="",O198="",P198=""),"",T198-O198+P198)</f>
        <v/>
      </c>
    </row>
    <row r="199">
      <c r="A199" s="35" t="n">
        <v>45853</v>
      </c>
      <c r="B199" s="92" t="n">
        <v>17479662857.74258</v>
      </c>
      <c r="C199" s="92" t="n"/>
      <c r="D199" s="92" t="n">
        <v>0</v>
      </c>
      <c r="E199" s="92" t="n">
        <v>3961622.468</v>
      </c>
      <c r="F199" s="92" t="n">
        <v>0</v>
      </c>
      <c r="G199" s="92" t="n">
        <v>0</v>
      </c>
      <c r="H199" s="92" t="n">
        <v>122632</v>
      </c>
      <c r="I199" s="92" t="n">
        <v>126425</v>
      </c>
      <c r="J199" s="92" t="n">
        <v>28006.94016744708</v>
      </c>
      <c r="K199" s="92" t="n">
        <v>0</v>
      </c>
      <c r="L199" s="94" t="n">
        <v>83530.85000000001</v>
      </c>
      <c r="M199" s="92" t="n">
        <v>3961622.468</v>
      </c>
      <c r="N199" s="94" t="n">
        <v>26291595</v>
      </c>
      <c r="O199" s="94" t="n">
        <v>25934.9584</v>
      </c>
      <c r="P199" s="94" t="n">
        <v>1590.787</v>
      </c>
      <c r="Q199" s="92" t="n">
        <v>75311.83</v>
      </c>
      <c r="R199" s="94" t="n">
        <v>335928490.4635</v>
      </c>
      <c r="S199" s="94" t="n">
        <v>999676075.0763</v>
      </c>
      <c r="T199" s="95">
        <f>IF(OR(R199="",R198=""),"",R199-R198)</f>
        <v/>
      </c>
      <c r="U199" s="95">
        <f>IF(OR(S199="",S198=""),"",S199-S198)</f>
        <v/>
      </c>
      <c r="V199" s="95">
        <f>IF(OR(U199="",P199=""),"",U199+P199)</f>
        <v/>
      </c>
      <c r="W199" s="95">
        <f>IF(OR(T199="",O199="",P199=""),"",T199-O199+P199)</f>
        <v/>
      </c>
    </row>
    <row r="200">
      <c r="A200" s="35" t="n">
        <v>45854</v>
      </c>
      <c r="B200" s="92" t="n">
        <v>14838264786.44256</v>
      </c>
      <c r="C200" s="92" t="n">
        <v>483122232.3373135</v>
      </c>
      <c r="D200" s="92" t="n">
        <v>0</v>
      </c>
      <c r="E200" s="92" t="n">
        <v>4321512.604</v>
      </c>
      <c r="F200" s="92" t="n">
        <v>0</v>
      </c>
      <c r="G200" s="92" t="n">
        <v>0</v>
      </c>
      <c r="H200" s="92" t="n">
        <v>106735</v>
      </c>
      <c r="I200" s="92" t="n">
        <v>110036</v>
      </c>
      <c r="J200" s="92" t="n">
        <v>25631.07110739695</v>
      </c>
      <c r="K200" s="92" t="n">
        <v>37909.3</v>
      </c>
      <c r="L200" s="94" t="n">
        <v>90398.67999999999</v>
      </c>
      <c r="M200" s="92" t="n">
        <v>4321512.604</v>
      </c>
      <c r="N200" s="94" t="n">
        <v>26381993.68</v>
      </c>
      <c r="O200" s="94" t="n">
        <v>26049.4675</v>
      </c>
      <c r="P200" s="94" t="n">
        <v>762.501</v>
      </c>
      <c r="Q200" s="92" t="n">
        <v>36536.76</v>
      </c>
      <c r="R200" s="94" t="n">
        <v>335939110.616</v>
      </c>
      <c r="S200" s="94" t="n">
        <v>999675312.5753</v>
      </c>
      <c r="T200" s="95">
        <f>IF(OR(R200="",R199=""),"",R200-R199)</f>
        <v/>
      </c>
      <c r="U200" s="95">
        <f>IF(OR(S200="",S199=""),"",S200-S199)</f>
        <v/>
      </c>
      <c r="V200" s="95">
        <f>IF(OR(U200="",P200=""),"",U200+P200)</f>
        <v/>
      </c>
      <c r="W200" s="95">
        <f>IF(OR(T200="",O200="",P200=""),"",T200-O200+P200)</f>
        <v/>
      </c>
    </row>
    <row r="201">
      <c r="A201" s="35" t="n">
        <v>45855</v>
      </c>
      <c r="B201" s="92" t="n">
        <v>16730826628.91327</v>
      </c>
      <c r="C201" s="92" t="n">
        <v>605520134.5887198</v>
      </c>
      <c r="D201" s="92" t="n">
        <v>0</v>
      </c>
      <c r="E201" s="92" t="n">
        <v>4475765.953</v>
      </c>
      <c r="F201" s="92" t="n">
        <v>0</v>
      </c>
      <c r="G201" s="92" t="n">
        <v>0</v>
      </c>
      <c r="H201" s="92" t="n">
        <v>137344</v>
      </c>
      <c r="I201" s="92" t="n">
        <v>141592</v>
      </c>
      <c r="J201" s="92" t="n">
        <v>30615.53347005913</v>
      </c>
      <c r="K201" s="92" t="n">
        <v>40435.14</v>
      </c>
      <c r="L201" s="94" t="n">
        <v>96658.21000000001</v>
      </c>
      <c r="M201" s="92" t="n">
        <v>4475765.953</v>
      </c>
      <c r="N201" s="94" t="n">
        <v>26478651.89</v>
      </c>
      <c r="O201" s="94" t="n">
        <v>26170.3924</v>
      </c>
      <c r="P201" s="94" t="n">
        <v>1597.9602</v>
      </c>
      <c r="Q201" s="92" t="n">
        <v>75397.35000000001</v>
      </c>
      <c r="R201" s="94" t="n">
        <v>335949084.5695</v>
      </c>
      <c r="S201" s="94" t="n">
        <v>999673714.6151</v>
      </c>
      <c r="T201" s="95">
        <f>IF(OR(R201="",R200=""),"",R201-R200)</f>
        <v/>
      </c>
      <c r="U201" s="95">
        <f>IF(OR(S201="",S200=""),"",S201-S200)</f>
        <v/>
      </c>
      <c r="V201" s="95">
        <f>IF(OR(U201="",P201=""),"",U201+P201)</f>
        <v/>
      </c>
      <c r="W201" s="95">
        <f>IF(OR(T201="",O201="",P201=""),"",T201-O201+P201)</f>
        <v/>
      </c>
    </row>
    <row r="202">
      <c r="A202" s="35" t="n">
        <v>45856</v>
      </c>
      <c r="B202" s="92" t="n">
        <v>17860068610.46303</v>
      </c>
      <c r="C202" s="92" t="n">
        <v>534758802.4731365</v>
      </c>
      <c r="D202" s="92" t="n">
        <v>0</v>
      </c>
      <c r="E202" s="92" t="n">
        <v>5353743.659</v>
      </c>
      <c r="F202" s="92" t="n">
        <v>0</v>
      </c>
      <c r="G202" s="92" t="n">
        <v>0</v>
      </c>
      <c r="H202" s="92" t="n">
        <v>119533</v>
      </c>
      <c r="I202" s="92" t="n">
        <v>123230</v>
      </c>
      <c r="J202" s="92" t="n">
        <v>27402.36328192447</v>
      </c>
      <c r="K202" s="92" t="n">
        <v>38945.15</v>
      </c>
      <c r="L202" s="94" t="n">
        <v>117990.63</v>
      </c>
      <c r="M202" s="92" t="n">
        <v>5353743.659</v>
      </c>
      <c r="N202" s="94" t="n">
        <v>26596642.52</v>
      </c>
      <c r="O202" s="94" t="n">
        <v>26160.4342</v>
      </c>
      <c r="P202" s="94" t="n">
        <v>1707.7749</v>
      </c>
      <c r="Q202" s="92" t="n">
        <v>77293.89</v>
      </c>
      <c r="R202" s="94" t="n">
        <v>335959040.6408</v>
      </c>
      <c r="S202" s="94" t="n">
        <v>999672006.8401999</v>
      </c>
      <c r="T202" s="95">
        <f>IF(OR(R202="",R201=""),"",R202-R201)</f>
        <v/>
      </c>
      <c r="U202" s="95">
        <f>IF(OR(S202="",S201=""),"",S202-S201)</f>
        <v/>
      </c>
      <c r="V202" s="95">
        <f>IF(OR(U202="",P202=""),"",U202+P202)</f>
        <v/>
      </c>
      <c r="W202" s="95">
        <f>IF(OR(T202="",O202="",P202=""),"",T202-O202+P202)</f>
        <v/>
      </c>
    </row>
    <row r="203">
      <c r="A203" s="35" t="n">
        <v>45857</v>
      </c>
      <c r="B203" s="92" t="n">
        <v>5940465680.993386</v>
      </c>
      <c r="C203" s="92" t="n">
        <v>242005222.4328609</v>
      </c>
      <c r="D203" s="92" t="n">
        <v>0</v>
      </c>
      <c r="E203" s="92" t="n">
        <v>3622903.074</v>
      </c>
      <c r="F203" s="92" t="n">
        <v>0</v>
      </c>
      <c r="G203" s="92" t="n">
        <v>0</v>
      </c>
      <c r="H203" s="92" t="n">
        <v>54170</v>
      </c>
      <c r="I203" s="92" t="n">
        <v>55845</v>
      </c>
      <c r="J203" s="92" t="n">
        <v>10314.03957846649</v>
      </c>
      <c r="K203" s="92" t="n">
        <v>0</v>
      </c>
      <c r="L203" s="94" t="n">
        <v>81070.97</v>
      </c>
      <c r="M203" s="92" t="n">
        <v>3622903.074</v>
      </c>
      <c r="N203" s="94" t="n">
        <v>26677713.49</v>
      </c>
      <c r="O203" s="94" t="n">
        <v>26235.1622</v>
      </c>
      <c r="P203" s="94" t="n">
        <v>1734.6771</v>
      </c>
      <c r="Q203" s="92" t="n">
        <v>77534.86</v>
      </c>
      <c r="R203" s="94" t="n">
        <v>335968971.7153</v>
      </c>
      <c r="S203" s="94" t="n">
        <v>999670272.1631</v>
      </c>
      <c r="T203" s="95">
        <f>IF(OR(R203="",R202=""),"",R203-R202)</f>
        <v/>
      </c>
      <c r="U203" s="95">
        <f>IF(OR(S203="",S202=""),"",S203-S202)</f>
        <v/>
      </c>
      <c r="V203" s="95">
        <f>IF(OR(U203="",P203=""),"",U203+P203)</f>
        <v/>
      </c>
      <c r="W203" s="95">
        <f>IF(OR(T203="",O203="",P203=""),"",T203-O203+P203)</f>
        <v/>
      </c>
    </row>
    <row r="204">
      <c r="A204" s="35" t="n">
        <v>45858</v>
      </c>
      <c r="B204" s="92" t="n">
        <v>11223164737.14127</v>
      </c>
      <c r="C204" s="92" t="n">
        <v>333203527.0148016</v>
      </c>
      <c r="D204" s="92" t="n">
        <v>0</v>
      </c>
      <c r="E204" s="92" t="n">
        <v>1637416.709</v>
      </c>
      <c r="F204" s="92" t="n">
        <v>0</v>
      </c>
      <c r="G204" s="92" t="n">
        <v>0</v>
      </c>
      <c r="H204" s="92" t="n">
        <v>65594</v>
      </c>
      <c r="I204" s="92" t="n">
        <v>67623</v>
      </c>
      <c r="J204" s="92" t="n">
        <v>14768.49212748751</v>
      </c>
      <c r="K204" s="92" t="n">
        <v>23021.35</v>
      </c>
      <c r="L204" s="94" t="n">
        <v>35661.34</v>
      </c>
      <c r="M204" s="92" t="n">
        <v>1637416.709</v>
      </c>
      <c r="N204" s="94" t="n">
        <v>26713374.83</v>
      </c>
      <c r="O204" s="94" t="n">
        <v>25437.4605</v>
      </c>
      <c r="P204" s="94" t="n">
        <v>387.0758</v>
      </c>
      <c r="Q204" s="92" t="n">
        <v>17124.81</v>
      </c>
      <c r="R204" s="94" t="n">
        <v>335979876.865</v>
      </c>
      <c r="S204" s="94" t="n">
        <v>999669885.0872999</v>
      </c>
      <c r="T204" s="95">
        <f>IF(OR(R204="",R203=""),"",R204-R203)</f>
        <v/>
      </c>
      <c r="U204" s="95">
        <f>IF(OR(S204="",S203=""),"",S204-S203)</f>
        <v/>
      </c>
      <c r="V204" s="95">
        <f>IF(OR(U204="",P204=""),"",U204+P204)</f>
        <v/>
      </c>
      <c r="W204" s="95">
        <f>IF(OR(T204="",O204="",P204=""),"",T204-O204+P204)</f>
        <v/>
      </c>
    </row>
    <row r="205">
      <c r="A205" s="35" t="n">
        <v>45859</v>
      </c>
      <c r="B205" s="92" t="n">
        <v>15217202579.28521</v>
      </c>
      <c r="C205" s="92" t="n">
        <v>423990453.3858855</v>
      </c>
      <c r="D205" s="92" t="n">
        <v>0</v>
      </c>
      <c r="E205" s="92" t="n">
        <v>4157067.30163</v>
      </c>
      <c r="F205" s="92" t="n">
        <v>0</v>
      </c>
      <c r="G205" s="92" t="n">
        <v>0</v>
      </c>
      <c r="H205" s="92" t="n">
        <v>94711</v>
      </c>
      <c r="I205" s="92" t="n">
        <v>97640</v>
      </c>
      <c r="J205" s="92" t="n">
        <v>30281.51454049356</v>
      </c>
      <c r="K205" s="92" t="n">
        <v>30274.37</v>
      </c>
      <c r="L205" s="94" t="n">
        <v>89986.02</v>
      </c>
      <c r="M205" s="92" t="n">
        <v>4157067.30163</v>
      </c>
      <c r="N205" s="94" t="n">
        <v>26790541.33</v>
      </c>
      <c r="O205" s="94" t="n">
        <v>26253.0862</v>
      </c>
      <c r="P205" s="94" t="n">
        <v>1064.9001</v>
      </c>
      <c r="Q205" s="92" t="n">
        <v>48440.71</v>
      </c>
      <c r="R205" s="94" t="n">
        <v>335990521.8755</v>
      </c>
      <c r="S205" s="94" t="n">
        <v>999668820.1872</v>
      </c>
      <c r="T205" s="95">
        <f>IF(OR(R205="",R204=""),"",R205-R204)</f>
        <v/>
      </c>
      <c r="U205" s="95">
        <f>IF(OR(S205="",S204=""),"",S205-S204)</f>
        <v/>
      </c>
      <c r="V205" s="95">
        <f>IF(OR(U205="",P205=""),"",U205+P205)</f>
        <v/>
      </c>
      <c r="W205" s="95">
        <f>IF(OR(T205="",O205="",P205=""),"",T205-O205+P205)</f>
        <v/>
      </c>
    </row>
    <row r="206">
      <c r="A206" s="35" t="n">
        <v>45860</v>
      </c>
      <c r="B206" s="92" t="n">
        <v>17573226980.30249</v>
      </c>
      <c r="C206" s="92" t="n">
        <v>499809586.2347062</v>
      </c>
      <c r="D206" s="92" t="n">
        <v>0</v>
      </c>
      <c r="E206" s="92" t="n">
        <v>4309374.38511</v>
      </c>
      <c r="F206" s="92" t="n">
        <v>0</v>
      </c>
      <c r="G206" s="92" t="n">
        <v>0</v>
      </c>
      <c r="H206" s="92" t="n">
        <v>102780</v>
      </c>
      <c r="I206" s="92" t="n">
        <v>105959</v>
      </c>
      <c r="J206" s="92" t="n">
        <v>29834.46565461404</v>
      </c>
      <c r="K206" s="92" t="n">
        <v>31944.03</v>
      </c>
      <c r="L206" s="94" t="n">
        <v>97303.92</v>
      </c>
      <c r="M206" s="92" t="n">
        <v>4309374.38511</v>
      </c>
      <c r="N206" s="94" t="n">
        <v>26894757.84</v>
      </c>
      <c r="O206" s="94" t="n">
        <v>26270.2379</v>
      </c>
      <c r="P206" s="94" t="n">
        <v>1351.9293</v>
      </c>
      <c r="Q206" s="92" t="n">
        <v>60089.2</v>
      </c>
      <c r="R206" s="94" t="n">
        <v>336000871.6998</v>
      </c>
      <c r="S206" s="94" t="n">
        <v>999667468.2579</v>
      </c>
      <c r="T206" s="95">
        <f>IF(OR(R206="",R205=""),"",R206-R205)</f>
        <v/>
      </c>
      <c r="U206" s="95">
        <f>IF(OR(S206="",S205=""),"",S206-S205)</f>
        <v/>
      </c>
      <c r="V206" s="95">
        <f>IF(OR(U206="",P206=""),"",U206+P206)</f>
        <v/>
      </c>
      <c r="W206" s="95">
        <f>IF(OR(T206="",O206="",P206=""),"",T206-O206+P206)</f>
        <v/>
      </c>
    </row>
    <row r="207">
      <c r="A207" s="35" t="n">
        <v>45861</v>
      </c>
      <c r="B207" s="92" t="n">
        <v>13920019812.41172</v>
      </c>
      <c r="C207" s="92" t="n">
        <v>465675371.4233123</v>
      </c>
      <c r="D207" s="92" t="n">
        <v>0</v>
      </c>
      <c r="E207" s="92" t="n">
        <v>4231130.14645</v>
      </c>
      <c r="F207" s="92" t="n">
        <v>0</v>
      </c>
      <c r="G207" s="92" t="n">
        <v>0</v>
      </c>
      <c r="H207" s="92" t="n">
        <v>96945</v>
      </c>
      <c r="I207" s="92" t="n">
        <v>99943</v>
      </c>
      <c r="J207" s="92" t="n">
        <v>22305.80969603184</v>
      </c>
      <c r="K207" s="92" t="n">
        <v>38232.91</v>
      </c>
      <c r="L207" s="94" t="n">
        <v>96327.11</v>
      </c>
      <c r="M207" s="92" t="n">
        <v>4231130.14645</v>
      </c>
      <c r="N207" s="94" t="n">
        <v>26980394.04</v>
      </c>
      <c r="O207" s="94" t="n">
        <v>26260.0077</v>
      </c>
      <c r="P207" s="94" t="n">
        <v>1567.0252</v>
      </c>
      <c r="Q207" s="92" t="n">
        <v>71576.23</v>
      </c>
      <c r="R207" s="94" t="n">
        <v>336010997.535</v>
      </c>
      <c r="S207" s="94" t="n">
        <v>999665901.2326</v>
      </c>
      <c r="T207" s="95">
        <f>IF(OR(R207="",R206=""),"",R207-R206)</f>
        <v/>
      </c>
      <c r="U207" s="95">
        <f>IF(OR(S207="",S206=""),"",S207-S206)</f>
        <v/>
      </c>
      <c r="V207" s="95">
        <f>IF(OR(U207="",P207=""),"",U207+P207)</f>
        <v/>
      </c>
      <c r="W207" s="95">
        <f>IF(OR(T207="",O207="",P207=""),"",T207-O207+P207)</f>
        <v/>
      </c>
    </row>
    <row r="208">
      <c r="A208" s="35" t="n">
        <v>45862</v>
      </c>
      <c r="B208" s="92" t="n">
        <v>13225484310.07906</v>
      </c>
      <c r="C208" s="92" t="n">
        <v>397759221.9502596</v>
      </c>
      <c r="D208" s="92" t="n">
        <v>0</v>
      </c>
      <c r="E208" s="92" t="n">
        <v>3649361.05445</v>
      </c>
      <c r="F208" s="92" t="n">
        <v>0</v>
      </c>
      <c r="G208" s="92" t="n">
        <v>0</v>
      </c>
      <c r="H208" s="92" t="n">
        <v>88469</v>
      </c>
      <c r="I208" s="92" t="n">
        <v>91205</v>
      </c>
      <c r="J208" s="92" t="n">
        <v>15704.90521626581</v>
      </c>
      <c r="K208" s="92" t="n">
        <v>61157.71</v>
      </c>
      <c r="L208" s="94" t="n">
        <v>85212.58</v>
      </c>
      <c r="M208" s="92" t="n">
        <v>3649361.05445</v>
      </c>
      <c r="N208" s="94" t="n">
        <v>27094232.14</v>
      </c>
      <c r="O208" s="94" t="n">
        <v>26273.1</v>
      </c>
      <c r="P208" s="94" t="n">
        <v>1495.0699</v>
      </c>
      <c r="Q208" s="92" t="n">
        <v>65208.97</v>
      </c>
      <c r="R208" s="94" t="n">
        <v>336021231.4487</v>
      </c>
      <c r="S208" s="94" t="n">
        <v>999664406.1627001</v>
      </c>
      <c r="T208" s="95">
        <f>IF(OR(R208="",R207=""),"",R208-R207)</f>
        <v/>
      </c>
      <c r="U208" s="95">
        <f>IF(OR(S208="",S207=""),"",S208-S207)</f>
        <v/>
      </c>
      <c r="V208" s="95">
        <f>IF(OR(U208="",P208=""),"",U208+P208)</f>
        <v/>
      </c>
      <c r="W208" s="95">
        <f>IF(OR(T208="",O208="",P208=""),"",T208-O208+P208)</f>
        <v/>
      </c>
    </row>
    <row r="209">
      <c r="A209" s="35" t="n">
        <v>45863</v>
      </c>
      <c r="B209" s="92" t="n">
        <v>15953353062.81947</v>
      </c>
      <c r="C209" s="92" t="n">
        <v>413143280.0136014</v>
      </c>
      <c r="D209" s="92" t="n">
        <v>0</v>
      </c>
      <c r="E209" s="92" t="n">
        <v>3875969.71215</v>
      </c>
      <c r="F209" s="92" t="n">
        <v>0</v>
      </c>
      <c r="G209" s="92" t="n">
        <v>0</v>
      </c>
      <c r="H209" s="92" t="n">
        <v>87695</v>
      </c>
      <c r="I209" s="92" t="n">
        <v>90407</v>
      </c>
      <c r="J209" s="92" t="n">
        <v>17068.72335907221</v>
      </c>
      <c r="K209" s="92" t="n">
        <v>0</v>
      </c>
      <c r="L209" s="94" t="n">
        <v>91651.09</v>
      </c>
      <c r="M209" s="92" t="n">
        <v>3875969.71215</v>
      </c>
      <c r="N209" s="94" t="n">
        <v>27194423.78</v>
      </c>
      <c r="O209" s="94" t="n">
        <v>26270.6827</v>
      </c>
      <c r="P209" s="94" t="n">
        <v>2080.4413</v>
      </c>
      <c r="Q209" s="92" t="n">
        <v>87022.78</v>
      </c>
      <c r="R209" s="94" t="n">
        <v>336030846.4841</v>
      </c>
      <c r="S209" s="94" t="n">
        <v>999662325.7214</v>
      </c>
      <c r="T209" s="95">
        <f>IF(OR(R209="",R208=""),"",R209-R208)</f>
        <v/>
      </c>
      <c r="U209" s="95">
        <f>IF(OR(S209="",S208=""),"",S209-S208)</f>
        <v/>
      </c>
      <c r="V209" s="95">
        <f>IF(OR(U209="",P209=""),"",U209+P209)</f>
        <v/>
      </c>
      <c r="W209" s="95">
        <f>IF(OR(T209="",O209="",P209=""),"",T209-O209+P209)</f>
        <v/>
      </c>
    </row>
    <row r="210">
      <c r="A210" s="35" t="n">
        <v>45864</v>
      </c>
      <c r="B210" s="92" t="n">
        <v>5698633537.275541</v>
      </c>
      <c r="C210" s="92" t="n">
        <v>235138334.1735499</v>
      </c>
      <c r="D210" s="92" t="n">
        <v>0</v>
      </c>
      <c r="E210" s="92" t="n">
        <v>2008190.47534</v>
      </c>
      <c r="F210" s="92" t="n">
        <v>0</v>
      </c>
      <c r="G210" s="92" t="n">
        <v>0</v>
      </c>
      <c r="H210" s="92" t="n">
        <v>49934</v>
      </c>
      <c r="I210" s="92" t="n">
        <v>51478</v>
      </c>
      <c r="J210" s="92" t="n">
        <v>9624.489324601454</v>
      </c>
      <c r="K210" s="92" t="n">
        <v>29566.6</v>
      </c>
      <c r="L210" s="94" t="n">
        <v>45480.69</v>
      </c>
      <c r="M210" s="92" t="n">
        <v>2008190.47534</v>
      </c>
      <c r="N210" s="94" t="n">
        <v>27257117.78</v>
      </c>
      <c r="O210" s="94" t="n">
        <v>26267.594</v>
      </c>
      <c r="P210" s="94" t="n">
        <v>620.5895</v>
      </c>
      <c r="Q210" s="92" t="n">
        <v>27269.63</v>
      </c>
      <c r="R210" s="94" t="n">
        <v>336041928.4141</v>
      </c>
      <c r="S210" s="94" t="n">
        <v>999661705.1319</v>
      </c>
      <c r="T210" s="95">
        <f>IF(OR(R210="",R209=""),"",R210-R209)</f>
        <v/>
      </c>
      <c r="U210" s="95">
        <f>IF(OR(S210="",S209=""),"",S210-S209)</f>
        <v/>
      </c>
      <c r="V210" s="95">
        <f>IF(OR(U210="",P210=""),"",U210+P210)</f>
        <v/>
      </c>
      <c r="W210" s="95">
        <f>IF(OR(T210="",O210="",P210=""),"",T210-O210+P210)</f>
        <v/>
      </c>
    </row>
    <row r="211">
      <c r="A211" s="35" t="n">
        <v>45865</v>
      </c>
      <c r="B211" s="92" t="n">
        <v>7413250946.811219</v>
      </c>
      <c r="C211" s="92" t="n">
        <v>277162323.0870966</v>
      </c>
      <c r="D211" s="92" t="n">
        <v>0</v>
      </c>
      <c r="E211" s="92" t="n">
        <v>2122051.78256</v>
      </c>
      <c r="F211" s="92" t="n">
        <v>0</v>
      </c>
      <c r="G211" s="92" t="n">
        <v>0</v>
      </c>
      <c r="H211" s="92" t="n">
        <v>61525</v>
      </c>
      <c r="I211" s="92" t="n">
        <v>63428</v>
      </c>
      <c r="J211" s="92" t="n">
        <v>9811.180749259762</v>
      </c>
      <c r="K211" s="92" t="n">
        <v>0</v>
      </c>
      <c r="L211" s="94" t="n">
        <v>48885.03</v>
      </c>
      <c r="M211" s="92" t="n">
        <v>2122051.78256</v>
      </c>
      <c r="N211" s="94" t="n">
        <v>27288584.56</v>
      </c>
      <c r="O211" s="94" t="n">
        <v>26273.9549</v>
      </c>
      <c r="P211" s="94" t="n">
        <v>1027.789</v>
      </c>
      <c r="Q211" s="92" t="n">
        <v>44634.3</v>
      </c>
      <c r="R211" s="94" t="n">
        <v>336052628.599</v>
      </c>
      <c r="S211" s="94" t="n">
        <v>999660677.3429</v>
      </c>
      <c r="T211" s="95">
        <f>IF(OR(R211="",R210=""),"",R211-R210)</f>
        <v/>
      </c>
      <c r="U211" s="95">
        <f>IF(OR(S211="",S210=""),"",S211-S210)</f>
        <v/>
      </c>
      <c r="V211" s="95">
        <f>IF(OR(U211="",P211=""),"",U211+P211)</f>
        <v/>
      </c>
      <c r="W211" s="95">
        <f>IF(OR(T211="",O211="",P211=""),"",T211-O211+P211)</f>
        <v/>
      </c>
    </row>
    <row r="212">
      <c r="A212" s="35" t="n">
        <v>45866</v>
      </c>
      <c r="B212" s="92" t="n">
        <v>12436414976.15904</v>
      </c>
      <c r="C212" s="92" t="n">
        <v>460399033.7312332</v>
      </c>
      <c r="D212" s="92" t="n">
        <v>0</v>
      </c>
      <c r="E212" s="92" t="n">
        <v>3328771.12294</v>
      </c>
      <c r="F212" s="92" t="n">
        <v>0</v>
      </c>
      <c r="G212" s="92" t="n">
        <v>0</v>
      </c>
      <c r="H212" s="92" t="n">
        <v>92959</v>
      </c>
      <c r="I212" s="92" t="n">
        <v>95834</v>
      </c>
      <c r="J212" s="92" t="n">
        <v>41455.00848448902</v>
      </c>
      <c r="K212" s="92" t="n">
        <v>24999.41</v>
      </c>
      <c r="L212" s="94" t="n">
        <v>74785.14999999999</v>
      </c>
      <c r="M212" s="92" t="n">
        <v>3328771.12294</v>
      </c>
      <c r="N212" s="94" t="n">
        <v>27345959.54</v>
      </c>
      <c r="O212" s="94" t="n">
        <v>25503.8166</v>
      </c>
      <c r="P212" s="94" t="n">
        <v>415.4104</v>
      </c>
      <c r="Q212" s="92" t="n">
        <v>18184.18</v>
      </c>
      <c r="R212" s="94" t="n">
        <v>336063577.5727</v>
      </c>
      <c r="S212" s="94" t="n">
        <v>999660261.9325</v>
      </c>
      <c r="T212" s="95">
        <f>IF(OR(R212="",R211=""),"",R212-R211)</f>
        <v/>
      </c>
      <c r="U212" s="95">
        <f>IF(OR(S212="",S211=""),"",S212-S211)</f>
        <v/>
      </c>
      <c r="V212" s="95">
        <f>IF(OR(U212="",P212=""),"",U212+P212)</f>
        <v/>
      </c>
      <c r="W212" s="95">
        <f>IF(OR(T212="",O212="",P212=""),"",T212-O212+P212)</f>
        <v/>
      </c>
    </row>
    <row r="213">
      <c r="A213" s="35" t="n">
        <v>45867</v>
      </c>
      <c r="B213" s="92" t="n">
        <v>11467327116.61715</v>
      </c>
      <c r="C213" s="92" t="n">
        <v>429337829.5767714</v>
      </c>
      <c r="D213" s="92" t="n">
        <v>0</v>
      </c>
      <c r="E213" s="92" t="n">
        <v>3117194.3948</v>
      </c>
      <c r="F213" s="92" t="n">
        <v>0</v>
      </c>
      <c r="G213" s="92" t="n">
        <v>0</v>
      </c>
      <c r="H213" s="92" t="n">
        <v>86781</v>
      </c>
      <c r="I213" s="92" t="n">
        <v>89465</v>
      </c>
      <c r="J213" s="92" t="n">
        <v>33339.7111656936</v>
      </c>
      <c r="K213" s="92" t="n">
        <v>30412.84</v>
      </c>
      <c r="L213" s="94" t="n">
        <v>71034.64999999999</v>
      </c>
      <c r="M213" s="92" t="n">
        <v>3117194.3948</v>
      </c>
      <c r="N213" s="94" t="n">
        <v>27416511.56</v>
      </c>
      <c r="O213" s="94" t="n">
        <v>26215.6556</v>
      </c>
      <c r="P213" s="94" t="n">
        <v>1482.5447</v>
      </c>
      <c r="Q213" s="92" t="n">
        <v>65295.72</v>
      </c>
      <c r="R213" s="94" t="n">
        <v>336073783.4021</v>
      </c>
      <c r="S213" s="94" t="n">
        <v>999658779.3877</v>
      </c>
      <c r="T213" s="95">
        <f>IF(OR(R213="",R212=""),"",R213-R212)</f>
        <v/>
      </c>
      <c r="U213" s="95">
        <f>IF(OR(S213="",S212=""),"",S213-S212)</f>
        <v/>
      </c>
      <c r="V213" s="95">
        <f>IF(OR(U213="",P213=""),"",U213+P213)</f>
        <v/>
      </c>
      <c r="W213" s="95">
        <f>IF(OR(T213="",O213="",P213=""),"",T213-O213+P213)</f>
        <v/>
      </c>
    </row>
    <row r="214">
      <c r="A214" s="35" t="n">
        <v>45868</v>
      </c>
      <c r="B214" s="92" t="n">
        <v>10174615682.51146</v>
      </c>
      <c r="C214" s="92" t="n">
        <v>420443327.5599376</v>
      </c>
      <c r="D214" s="92" t="n">
        <v>0</v>
      </c>
      <c r="E214" s="92" t="n">
        <v>2705475.10854</v>
      </c>
      <c r="F214" s="92" t="n">
        <v>0</v>
      </c>
      <c r="G214" s="92" t="n">
        <v>0</v>
      </c>
      <c r="H214" s="92" t="n">
        <v>92539</v>
      </c>
      <c r="I214" s="92" t="n">
        <v>95401</v>
      </c>
      <c r="J214" s="92" t="n">
        <v>21389.53545005571</v>
      </c>
      <c r="K214" s="92" t="n">
        <v>33602.85</v>
      </c>
      <c r="L214" s="94" t="n">
        <v>63587.22</v>
      </c>
      <c r="M214" s="92" t="n">
        <v>2705475.10854</v>
      </c>
      <c r="N214" s="94" t="n">
        <v>27487010.24</v>
      </c>
      <c r="O214" s="94" t="n">
        <v>26279.9993</v>
      </c>
      <c r="P214" s="94" t="n">
        <v>1630.932</v>
      </c>
      <c r="Q214" s="92" t="n">
        <v>70797.13</v>
      </c>
      <c r="R214" s="94" t="n">
        <v>336083914.986</v>
      </c>
      <c r="S214" s="94" t="n">
        <v>999657148.4558001</v>
      </c>
      <c r="T214" s="95">
        <f>IF(OR(R214="",R213=""),"",R214-R213)</f>
        <v/>
      </c>
      <c r="U214" s="95">
        <f>IF(OR(S214="",S213=""),"",S214-S213)</f>
        <v/>
      </c>
      <c r="V214" s="95">
        <f>IF(OR(U214="",P214=""),"",U214+P214)</f>
        <v/>
      </c>
      <c r="W214" s="95">
        <f>IF(OR(T214="",O214="",P214=""),"",T214-O214+P214)</f>
        <v/>
      </c>
    </row>
    <row r="215">
      <c r="A215" s="35" t="n">
        <v>45869</v>
      </c>
      <c r="B215" s="92" t="n">
        <v>11403174318.78286</v>
      </c>
      <c r="C215" s="92" t="n">
        <v>511510492.2166022</v>
      </c>
      <c r="D215" s="92" t="n">
        <v>0</v>
      </c>
      <c r="E215" s="92" t="n">
        <v>3164904.28337</v>
      </c>
      <c r="F215" s="92" t="n">
        <v>0</v>
      </c>
      <c r="G215" s="92" t="n">
        <v>0</v>
      </c>
      <c r="H215" s="92" t="n">
        <v>112557</v>
      </c>
      <c r="I215" s="92" t="n">
        <v>116038</v>
      </c>
      <c r="J215" s="92" t="n">
        <v>24945.57760686526</v>
      </c>
      <c r="K215" s="92" t="n">
        <v>0</v>
      </c>
      <c r="L215" s="94" t="n">
        <v>74193.64999999999</v>
      </c>
      <c r="M215" s="92" t="n">
        <v>3164904.28337</v>
      </c>
      <c r="N215" s="94" t="n">
        <v>27552679.16</v>
      </c>
      <c r="O215" s="94" t="n">
        <v>26380.5006</v>
      </c>
      <c r="P215" s="94" t="n">
        <v>1477.7298</v>
      </c>
      <c r="Q215" s="92" t="n">
        <v>62378.67</v>
      </c>
      <c r="R215" s="94" t="n">
        <v>336094305.3084</v>
      </c>
      <c r="S215" s="94" t="n">
        <v>999655670.7259001</v>
      </c>
      <c r="T215" s="95">
        <f>IF(OR(R215="",R214=""),"",R215-R214)</f>
        <v/>
      </c>
      <c r="U215" s="95">
        <f>IF(OR(S215="",S214=""),"",S215-S214)</f>
        <v/>
      </c>
      <c r="V215" s="95">
        <f>IF(OR(U215="",P215=""),"",U215+P215)</f>
        <v/>
      </c>
      <c r="W215" s="95">
        <f>IF(OR(T215="",O215="",P215=""),"",T215-O215+P215)</f>
        <v/>
      </c>
    </row>
    <row r="216">
      <c r="A216" s="35" t="n">
        <v>45870</v>
      </c>
      <c r="B216" s="92" t="n">
        <v>18380818442.57787</v>
      </c>
      <c r="C216" s="92" t="n">
        <v>582897037.5452373</v>
      </c>
      <c r="D216" s="92" t="n">
        <v>0</v>
      </c>
      <c r="E216" s="92" t="n">
        <v>4693953.32472</v>
      </c>
      <c r="F216" s="92" t="n">
        <v>0</v>
      </c>
      <c r="G216" s="92" t="n">
        <v>0</v>
      </c>
      <c r="H216" s="92" t="n">
        <v>175624</v>
      </c>
      <c r="I216" s="92" t="n">
        <v>230825</v>
      </c>
      <c r="J216" s="92" t="n">
        <v>45397.82282918472</v>
      </c>
      <c r="K216" s="92" t="n">
        <v>20451.21</v>
      </c>
      <c r="L216" s="94" t="n">
        <v>120637.42</v>
      </c>
      <c r="M216" s="92" t="n">
        <v>4693953.32472</v>
      </c>
      <c r="N216" s="94" t="n">
        <v>27649852.82</v>
      </c>
      <c r="O216" s="94" t="n">
        <v>26361.4326</v>
      </c>
      <c r="P216" s="94" t="n">
        <v>1012.4622</v>
      </c>
      <c r="Q216" s="92" t="n">
        <v>40842.22</v>
      </c>
      <c r="R216" s="94" t="n">
        <v>336105173.4095</v>
      </c>
      <c r="S216" s="94" t="n">
        <v>999654658.2638</v>
      </c>
      <c r="T216" s="95">
        <f>IF(OR(R216="",R215=""),"",R216-R215)</f>
        <v/>
      </c>
      <c r="U216" s="95">
        <f>IF(OR(S216="",S215=""),"",S216-S215)</f>
        <v/>
      </c>
      <c r="V216" s="95">
        <f>IF(OR(U216="",P216=""),"",U216+P216)</f>
        <v/>
      </c>
      <c r="W216" s="95">
        <f>IF(OR(T216="",O216="",P216=""),"",T216-O216+P216)</f>
        <v/>
      </c>
    </row>
    <row r="217">
      <c r="A217" s="35" t="n">
        <v>45871</v>
      </c>
      <c r="B217" s="92" t="n">
        <v>8441327240.046515</v>
      </c>
      <c r="C217" s="92" t="n">
        <v>279006045.8205063</v>
      </c>
      <c r="D217" s="92" t="n">
        <v>0</v>
      </c>
      <c r="E217" s="92" t="n">
        <v>2317465.07313</v>
      </c>
      <c r="F217" s="92" t="n">
        <v>0</v>
      </c>
      <c r="G217" s="92" t="n">
        <v>0</v>
      </c>
      <c r="H217" s="92" t="n">
        <v>86900</v>
      </c>
      <c r="I217" s="92" t="n">
        <v>114760</v>
      </c>
      <c r="J217" s="92" t="n">
        <v>14020.20642849904</v>
      </c>
      <c r="K217" s="92" t="n">
        <v>0</v>
      </c>
      <c r="L217" s="94" t="n">
        <v>62168.17</v>
      </c>
      <c r="M217" s="92" t="n">
        <v>2317465.07313</v>
      </c>
      <c r="N217" s="94" t="n">
        <v>27747374.36</v>
      </c>
      <c r="O217" s="94" t="n">
        <v>26277.6015</v>
      </c>
      <c r="P217" s="94" t="n">
        <v>1602.8112</v>
      </c>
      <c r="Q217" s="92" t="n">
        <v>60262.49</v>
      </c>
      <c r="R217" s="94" t="n">
        <v>336115356.5023</v>
      </c>
      <c r="S217" s="94" t="n">
        <v>999653055.4526</v>
      </c>
      <c r="T217" s="95">
        <f>IF(OR(R217="",R216=""),"",R217-R216)</f>
        <v/>
      </c>
      <c r="U217" s="95">
        <f>IF(OR(S217="",S216=""),"",S217-S216)</f>
        <v/>
      </c>
      <c r="V217" s="95">
        <f>IF(OR(U217="",P217=""),"",U217+P217)</f>
        <v/>
      </c>
      <c r="W217" s="95">
        <f>IF(OR(T217="",O217="",P217=""),"",T217-O217+P217)</f>
        <v/>
      </c>
    </row>
    <row r="218">
      <c r="A218" s="35" t="n">
        <v>45872</v>
      </c>
      <c r="B218" s="92" t="n">
        <v>5841208708.800244</v>
      </c>
      <c r="C218" s="92" t="n">
        <v>209546089.8780509</v>
      </c>
      <c r="D218" s="92" t="n">
        <v>0</v>
      </c>
      <c r="E218" s="92" t="n">
        <v>1580317.95475</v>
      </c>
      <c r="F218" s="92" t="n">
        <v>0</v>
      </c>
      <c r="G218" s="92" t="n">
        <v>0</v>
      </c>
      <c r="H218" s="92" t="n">
        <v>69200</v>
      </c>
      <c r="I218" s="92" t="n">
        <v>90506</v>
      </c>
      <c r="J218" s="92" t="n">
        <v>10035.7450083736</v>
      </c>
      <c r="K218" s="92" t="n">
        <v>0</v>
      </c>
      <c r="L218" s="94" t="n">
        <v>41619.99</v>
      </c>
      <c r="M218" s="92" t="n">
        <v>1580317.95475</v>
      </c>
      <c r="N218" s="94" t="n">
        <v>27805030.63</v>
      </c>
      <c r="O218" s="94" t="n">
        <v>26043.8984</v>
      </c>
      <c r="P218" s="94" t="n">
        <v>723.8625</v>
      </c>
      <c r="Q218" s="92" t="n">
        <v>26714.51</v>
      </c>
      <c r="R218" s="94" t="n">
        <v>336126245.1038</v>
      </c>
      <c r="S218" s="94" t="n">
        <v>999652331.5901</v>
      </c>
      <c r="T218" s="95">
        <f>IF(OR(R218="",R217=""),"",R218-R217)</f>
        <v/>
      </c>
      <c r="U218" s="95">
        <f>IF(OR(S218="",S217=""),"",S218-S217)</f>
        <v/>
      </c>
      <c r="V218" s="95">
        <f>IF(OR(U218="",P218=""),"",U218+P218)</f>
        <v/>
      </c>
      <c r="W218" s="95">
        <f>IF(OR(T218="",O218="",P218=""),"",T218-O218+P218)</f>
        <v/>
      </c>
    </row>
    <row r="219">
      <c r="A219" s="35" t="n">
        <v>45873</v>
      </c>
      <c r="B219" s="92" t="n">
        <v>9314089950.947948</v>
      </c>
      <c r="C219" s="92" t="n">
        <v>261203946.6003131</v>
      </c>
      <c r="D219" s="92" t="n">
        <v>0</v>
      </c>
      <c r="E219" s="92" t="n">
        <v>2447194.85482</v>
      </c>
      <c r="F219" s="92" t="n">
        <v>0</v>
      </c>
      <c r="G219" s="92" t="n">
        <v>0</v>
      </c>
      <c r="H219" s="92" t="n">
        <v>75818</v>
      </c>
      <c r="I219" s="92" t="n">
        <v>106473</v>
      </c>
      <c r="J219" s="92" t="n">
        <v>27129.21538327852</v>
      </c>
      <c r="K219" s="92" t="n">
        <v>19109.93</v>
      </c>
      <c r="L219" s="94" t="n">
        <v>63755.37</v>
      </c>
      <c r="M219" s="92" t="n">
        <v>2447194.85482</v>
      </c>
      <c r="N219" s="94" t="n">
        <v>27844267.3</v>
      </c>
      <c r="O219" s="94" t="n">
        <v>26395.5924</v>
      </c>
      <c r="P219" s="94" t="n">
        <v>552.175</v>
      </c>
      <c r="Q219" s="92" t="n">
        <v>21040.9</v>
      </c>
      <c r="R219" s="94" t="n">
        <v>336137623.2757</v>
      </c>
      <c r="S219" s="94" t="n">
        <v>999651779.4151</v>
      </c>
      <c r="T219" s="95">
        <f>IF(OR(R219="",R218=""),"",R219-R218)</f>
        <v/>
      </c>
      <c r="U219" s="95">
        <f>IF(OR(S219="",S218=""),"",S219-S218)</f>
        <v/>
      </c>
      <c r="V219" s="95">
        <f>IF(OR(U219="",P219=""),"",U219+P219)</f>
        <v/>
      </c>
      <c r="W219" s="95">
        <f>IF(OR(T219="",O219="",P219=""),"",T219-O219+P219)</f>
        <v/>
      </c>
    </row>
    <row r="220">
      <c r="A220" s="35" t="n">
        <v>45874</v>
      </c>
      <c r="B220" s="92" t="n">
        <v>9775208827.431736</v>
      </c>
      <c r="C220" s="92" t="n">
        <v>291833981.6980531</v>
      </c>
      <c r="D220" s="92" t="n">
        <v>0</v>
      </c>
      <c r="E220" s="92" t="n">
        <v>2546392.65031</v>
      </c>
      <c r="F220" s="92" t="n">
        <v>0</v>
      </c>
      <c r="G220" s="92" t="n">
        <v>0</v>
      </c>
      <c r="H220" s="92" t="n">
        <v>90076</v>
      </c>
      <c r="I220" s="92" t="n">
        <v>121622</v>
      </c>
      <c r="J220" s="92" t="n">
        <v>17386.94442128533</v>
      </c>
      <c r="K220" s="92" t="n">
        <v>0</v>
      </c>
      <c r="L220" s="94" t="n">
        <v>65794.39</v>
      </c>
      <c r="M220" s="92" t="n">
        <v>2546392.65031</v>
      </c>
      <c r="N220" s="94" t="n">
        <v>27913180.98</v>
      </c>
      <c r="O220" s="94" t="n">
        <v>26389.5639</v>
      </c>
      <c r="P220" s="94" t="n">
        <v>1060.8068</v>
      </c>
      <c r="Q220" s="92" t="n">
        <v>41008.67</v>
      </c>
      <c r="R220" s="94" t="n">
        <v>336148457.9052</v>
      </c>
      <c r="S220" s="94" t="n">
        <v>999650718.6083</v>
      </c>
      <c r="T220" s="95">
        <f>IF(OR(R220="",R219=""),"",R220-R219)</f>
        <v/>
      </c>
      <c r="U220" s="95">
        <f>IF(OR(S220="",S219=""),"",S220-S219)</f>
        <v/>
      </c>
      <c r="V220" s="95">
        <f>IF(OR(U220="",P220=""),"",U220+P220)</f>
        <v/>
      </c>
      <c r="W220" s="95">
        <f>IF(OR(T220="",O220="",P220=""),"",T220-O220+P220)</f>
        <v/>
      </c>
    </row>
    <row r="221">
      <c r="A221" s="35" t="n">
        <v>45875</v>
      </c>
      <c r="B221" s="92" t="n">
        <v>7858359162.903938</v>
      </c>
      <c r="C221" s="92" t="n">
        <v>218660206.8294639</v>
      </c>
      <c r="D221" s="92" t="n">
        <v>0</v>
      </c>
      <c r="E221" s="92" t="n">
        <v>2103705.59875</v>
      </c>
      <c r="F221" s="92" t="n">
        <v>0</v>
      </c>
      <c r="G221" s="92" t="n">
        <v>0</v>
      </c>
      <c r="H221" s="92" t="n">
        <v>71671</v>
      </c>
      <c r="I221" s="92" t="n">
        <v>97146</v>
      </c>
      <c r="J221" s="92" t="n">
        <v>12721.08790941294</v>
      </c>
      <c r="K221" s="92" t="n">
        <v>19580.67</v>
      </c>
      <c r="L221" s="94" t="n">
        <v>55381.01</v>
      </c>
      <c r="M221" s="92" t="n">
        <v>2103705.59875</v>
      </c>
      <c r="N221" s="94" t="n">
        <v>27977594.07</v>
      </c>
      <c r="O221" s="94" t="n">
        <v>26366.1775</v>
      </c>
      <c r="P221" s="94" t="n">
        <v>684.0744999999999</v>
      </c>
      <c r="Q221" s="92" t="n">
        <v>26247.25</v>
      </c>
      <c r="R221" s="94" t="n">
        <v>336159629.0494</v>
      </c>
      <c r="S221" s="94" t="n">
        <v>999650034.5339</v>
      </c>
      <c r="T221" s="95">
        <f>IF(OR(R221="",R220=""),"",R221-R220)</f>
        <v/>
      </c>
      <c r="U221" s="95">
        <f>IF(OR(S221="",S220=""),"",S221-S220)</f>
        <v/>
      </c>
      <c r="V221" s="95">
        <f>IF(OR(U221="",P221=""),"",U221+P221)</f>
        <v/>
      </c>
      <c r="W221" s="95">
        <f>IF(OR(T221="",O221="",P221=""),"",T221-O221+P221)</f>
        <v/>
      </c>
    </row>
    <row r="222">
      <c r="A222" s="35" t="n">
        <v>45876</v>
      </c>
      <c r="B222" s="92" t="n">
        <v>10373151278.31898</v>
      </c>
      <c r="C222" s="92" t="n">
        <v>273927931.5841435</v>
      </c>
      <c r="D222" s="92" t="n">
        <v>0</v>
      </c>
      <c r="E222" s="92" t="n">
        <v>2329278.74838</v>
      </c>
      <c r="F222" s="92" t="n">
        <v>0</v>
      </c>
      <c r="G222" s="92" t="n">
        <v>0</v>
      </c>
      <c r="H222" s="92" t="n">
        <v>85404</v>
      </c>
      <c r="I222" s="92" t="n">
        <v>115340</v>
      </c>
      <c r="J222" s="92" t="n">
        <v>13071.87321151455</v>
      </c>
      <c r="K222" s="92" t="n">
        <v>19034.52</v>
      </c>
      <c r="L222" s="94" t="n">
        <v>59747.11</v>
      </c>
      <c r="M222" s="92" t="n">
        <v>2329278.74838</v>
      </c>
      <c r="N222" s="94" t="n">
        <v>28025314.57</v>
      </c>
      <c r="O222" s="94" t="n">
        <v>26362.4824</v>
      </c>
      <c r="P222" s="94" t="n">
        <v>952.0636</v>
      </c>
      <c r="Q222" s="92" t="n">
        <v>36204.6</v>
      </c>
      <c r="R222" s="94" t="n">
        <v>336170544.5344</v>
      </c>
      <c r="S222" s="94" t="n">
        <v>999649082.4703</v>
      </c>
      <c r="T222" s="95">
        <f>IF(OR(R222="",R221=""),"",R222-R221)</f>
        <v/>
      </c>
      <c r="U222" s="95">
        <f>IF(OR(S222="",S221=""),"",S222-S221)</f>
        <v/>
      </c>
      <c r="V222" s="95">
        <f>IF(OR(U222="",P222=""),"",U222+P222)</f>
        <v/>
      </c>
      <c r="W222" s="95">
        <f>IF(OR(T222="",O222="",P222=""),"",T222-O222+P222)</f>
        <v/>
      </c>
    </row>
    <row r="223">
      <c r="A223" s="35" t="n">
        <v>45877</v>
      </c>
      <c r="B223" s="92" t="n">
        <v>11308035796.91068</v>
      </c>
      <c r="C223" s="92" t="n">
        <v>280145100.7489918</v>
      </c>
      <c r="D223" s="92" t="n">
        <v>0</v>
      </c>
      <c r="E223" s="92" t="n">
        <v>3491806.81434</v>
      </c>
      <c r="F223" s="92" t="n">
        <v>0</v>
      </c>
      <c r="G223" s="92" t="n">
        <v>0</v>
      </c>
      <c r="H223" s="92" t="n">
        <v>82659</v>
      </c>
      <c r="I223" s="92" t="n">
        <v>116628</v>
      </c>
      <c r="J223" s="92" t="n">
        <v>11956.39401788876</v>
      </c>
      <c r="K223" s="92" t="n">
        <v>0</v>
      </c>
      <c r="L223" s="94" t="n">
        <v>85296.85000000001</v>
      </c>
      <c r="M223" s="92" t="n">
        <v>3491806.81434</v>
      </c>
      <c r="N223" s="94" t="n">
        <v>28111519.57</v>
      </c>
      <c r="O223" s="94" t="n">
        <v>26396.2943</v>
      </c>
      <c r="P223" s="94" t="n">
        <v>1277.2851</v>
      </c>
      <c r="Q223" s="92" t="n">
        <v>52192.42</v>
      </c>
      <c r="R223" s="94" t="n">
        <v>336181145.2618</v>
      </c>
      <c r="S223" s="94" t="n">
        <v>999647805.1852</v>
      </c>
      <c r="T223" s="95">
        <f>IF(OR(R223="",R222=""),"",R223-R222)</f>
        <v/>
      </c>
      <c r="U223" s="95">
        <f>IF(OR(S223="",S222=""),"",S223-S222)</f>
        <v/>
      </c>
      <c r="V223" s="95">
        <f>IF(OR(U223="",P223=""),"",U223+P223)</f>
        <v/>
      </c>
      <c r="W223" s="95">
        <f>IF(OR(T223="",O223="",P223=""),"",T223-O223+P223)</f>
        <v/>
      </c>
    </row>
    <row r="224">
      <c r="A224" s="35" t="n">
        <v>45878</v>
      </c>
      <c r="B224" s="92" t="n">
        <v>10137348599.56834</v>
      </c>
      <c r="C224" s="92" t="n">
        <v>343946145.3351248</v>
      </c>
      <c r="D224" s="92" t="n">
        <v>0</v>
      </c>
      <c r="E224" s="92" t="n">
        <v>2854886.42061</v>
      </c>
      <c r="F224" s="92" t="n">
        <v>0</v>
      </c>
      <c r="G224" s="92" t="n">
        <v>0</v>
      </c>
      <c r="H224" s="92" t="n">
        <v>107206</v>
      </c>
      <c r="I224" s="92" t="n">
        <v>148257</v>
      </c>
      <c r="J224" s="92" t="n">
        <v>14264.23914080895</v>
      </c>
      <c r="K224" s="92" t="n">
        <v>24963.92</v>
      </c>
      <c r="L224" s="94" t="n">
        <v>66407.03</v>
      </c>
      <c r="M224" s="92" t="n">
        <v>2854886.42061</v>
      </c>
      <c r="N224" s="94" t="n">
        <v>28221636.38</v>
      </c>
      <c r="O224" s="94" t="n">
        <v>26363.757</v>
      </c>
      <c r="P224" s="94" t="n">
        <v>584.8424</v>
      </c>
      <c r="Q224" s="92" t="n">
        <v>23944.62</v>
      </c>
      <c r="R224" s="94" t="n">
        <v>336192428.3381</v>
      </c>
      <c r="S224" s="94" t="n">
        <v>999647220.3428</v>
      </c>
      <c r="T224" s="95">
        <f>IF(OR(R224="",R223=""),"",R224-R223)</f>
        <v/>
      </c>
      <c r="U224" s="95">
        <f>IF(OR(S224="",S223=""),"",S224-S223)</f>
        <v/>
      </c>
      <c r="V224" s="95">
        <f>IF(OR(U224="",P224=""),"",U224+P224)</f>
        <v/>
      </c>
      <c r="W224" s="95">
        <f>IF(OR(T224="",O224="",P224=""),"",T224-O224+P224)</f>
        <v/>
      </c>
    </row>
    <row r="225">
      <c r="A225" s="35" t="n">
        <v>45879</v>
      </c>
      <c r="B225" s="92" t="n">
        <v>9805998920.343033</v>
      </c>
      <c r="C225" s="92" t="n">
        <v>244549175.5437262</v>
      </c>
      <c r="D225" s="92" t="n">
        <v>0</v>
      </c>
      <c r="E225" s="92" t="n">
        <v>2616564.70131</v>
      </c>
      <c r="F225" s="92" t="n">
        <v>0</v>
      </c>
      <c r="G225" s="92" t="n">
        <v>0</v>
      </c>
      <c r="H225" s="92" t="n">
        <v>86249</v>
      </c>
      <c r="I225" s="92" t="n">
        <v>121824</v>
      </c>
      <c r="J225" s="92" t="n">
        <v>8521.677875704803</v>
      </c>
      <c r="K225" s="92" t="n">
        <v>0</v>
      </c>
      <c r="L225" s="94" t="n">
        <v>59071.34</v>
      </c>
      <c r="M225" s="92" t="n">
        <v>2616564.70131</v>
      </c>
      <c r="N225" s="94" t="n">
        <v>28288043.41</v>
      </c>
      <c r="O225" s="94" t="n">
        <v>26141.3602</v>
      </c>
      <c r="P225" s="94" t="n">
        <v>1317.9291</v>
      </c>
      <c r="Q225" s="92" t="n">
        <v>57741.77</v>
      </c>
      <c r="R225" s="94" t="n">
        <v>336202828.0561</v>
      </c>
      <c r="S225" s="94" t="n">
        <v>999645902.4138</v>
      </c>
      <c r="T225" s="95">
        <f>IF(OR(R225="",R224=""),"",R225-R224)</f>
        <v/>
      </c>
      <c r="U225" s="95">
        <f>IF(OR(S225="",S224=""),"",S225-S224)</f>
        <v/>
      </c>
      <c r="V225" s="95">
        <f>IF(OR(U225="",P225=""),"",U225+P225)</f>
        <v/>
      </c>
      <c r="W225" s="95">
        <f>IF(OR(T225="",O225="",P225=""),"",T225-O225+P225)</f>
        <v/>
      </c>
    </row>
    <row r="226">
      <c r="A226" s="35" t="n">
        <v>45880</v>
      </c>
      <c r="B226" s="92" t="n">
        <v>16607625784.39066</v>
      </c>
      <c r="C226" s="92" t="n">
        <v>427606412.6355898</v>
      </c>
      <c r="D226" s="92" t="n">
        <v>0</v>
      </c>
      <c r="E226" s="92" t="n">
        <v>4537056.47795</v>
      </c>
      <c r="F226" s="92" t="n">
        <v>0</v>
      </c>
      <c r="G226" s="92" t="n">
        <v>0</v>
      </c>
      <c r="H226" s="92" t="n">
        <v>146784</v>
      </c>
      <c r="I226" s="92" t="n">
        <v>199959</v>
      </c>
      <c r="J226" s="92" t="n">
        <v>23994.24089334988</v>
      </c>
      <c r="K226" s="92" t="n">
        <v>23212.42</v>
      </c>
      <c r="L226" s="94" t="n">
        <v>101216.76</v>
      </c>
      <c r="M226" s="92" t="n">
        <v>4537056.47795</v>
      </c>
      <c r="N226" s="94" t="n">
        <v>28388988.26</v>
      </c>
      <c r="O226" s="94" t="n">
        <v>26376.4255</v>
      </c>
      <c r="P226" s="94" t="n">
        <v>416.7786</v>
      </c>
      <c r="Q226" s="92" t="n">
        <v>18847.35</v>
      </c>
      <c r="R226" s="94" t="n">
        <v>336214300.0586</v>
      </c>
      <c r="S226" s="94" t="n">
        <v>999645485.6352</v>
      </c>
      <c r="T226" s="95">
        <f>IF(OR(R226="",R225=""),"",R226-R225)</f>
        <v/>
      </c>
      <c r="U226" s="95">
        <f>IF(OR(S226="",S225=""),"",S226-S225)</f>
        <v/>
      </c>
      <c r="V226" s="95">
        <f>IF(OR(U226="",P226=""),"",U226+P226)</f>
        <v/>
      </c>
      <c r="W226" s="95">
        <f>IF(OR(T226="",O226="",P226=""),"",T226-O226+P226)</f>
        <v/>
      </c>
    </row>
    <row r="227">
      <c r="A227" s="35" t="n">
        <v>45881</v>
      </c>
      <c r="B227" s="92" t="n">
        <v>16065474194.3346</v>
      </c>
      <c r="C227" s="92" t="n">
        <v>451736526.657743</v>
      </c>
      <c r="D227" s="92" t="n">
        <v>0</v>
      </c>
      <c r="E227" s="92" t="n">
        <v>4441446.21351</v>
      </c>
      <c r="F227" s="92" t="n">
        <v>0</v>
      </c>
      <c r="G227" s="92" t="n">
        <v>0</v>
      </c>
      <c r="H227" s="92" t="n">
        <v>166903</v>
      </c>
      <c r="I227" s="92" t="n">
        <v>233886</v>
      </c>
      <c r="J227" s="92" t="n">
        <v>30295.03824612783</v>
      </c>
      <c r="K227" s="92" t="n">
        <v>22178.89</v>
      </c>
      <c r="L227" s="94" t="n">
        <v>100791.05</v>
      </c>
      <c r="M227" s="92" t="n">
        <v>4441446.21351</v>
      </c>
      <c r="N227" s="94" t="n">
        <v>28489779.31</v>
      </c>
      <c r="O227" s="94" t="n">
        <v>26426.8902</v>
      </c>
      <c r="P227" s="94" t="n">
        <v>1293.1775</v>
      </c>
      <c r="Q227" s="92" t="n">
        <v>55804.49</v>
      </c>
      <c r="R227" s="94" t="n">
        <v>336224956.6297</v>
      </c>
      <c r="S227" s="94" t="n">
        <v>999644192.4577</v>
      </c>
      <c r="T227" s="95">
        <f>IF(OR(R227="",R226=""),"",R227-R226)</f>
        <v/>
      </c>
      <c r="U227" s="95">
        <f>IF(OR(S227="",S226=""),"",S227-S226)</f>
        <v/>
      </c>
      <c r="V227" s="95">
        <f>IF(OR(U227="",P227=""),"",U227+P227)</f>
        <v/>
      </c>
      <c r="W227" s="95">
        <f>IF(OR(T227="",O227="",P227=""),"",T227-O227+P227)</f>
        <v/>
      </c>
    </row>
    <row r="228">
      <c r="A228" s="35" t="n">
        <v>45882</v>
      </c>
      <c r="B228" s="92" t="n">
        <v>19919714584.66799</v>
      </c>
      <c r="C228" s="92" t="n">
        <v>675085879.3157613</v>
      </c>
      <c r="D228" s="92" t="n">
        <v>0</v>
      </c>
      <c r="E228" s="92" t="n">
        <v>4994057.16026</v>
      </c>
      <c r="F228" s="92" t="n">
        <v>0</v>
      </c>
      <c r="G228" s="92" t="n">
        <v>0</v>
      </c>
      <c r="H228" s="92" t="n">
        <v>243291</v>
      </c>
      <c r="I228" s="92" t="n">
        <v>335687</v>
      </c>
      <c r="J228" s="92" t="n">
        <v>38220.91580512521</v>
      </c>
      <c r="K228" s="92" t="n">
        <v>24771.33</v>
      </c>
      <c r="L228" s="94" t="n">
        <v>109111.69</v>
      </c>
      <c r="M228" s="92" t="n">
        <v>4994057.16026</v>
      </c>
      <c r="N228" s="94" t="n">
        <v>28599162.91</v>
      </c>
      <c r="O228" s="94" t="n">
        <v>26337.768</v>
      </c>
      <c r="P228" s="94" t="n">
        <v>1319.473</v>
      </c>
      <c r="Q228" s="92" t="n">
        <v>59208.05</v>
      </c>
      <c r="R228" s="94" t="n">
        <v>336235497.9967</v>
      </c>
      <c r="S228" s="94" t="n">
        <v>999642872.9847</v>
      </c>
      <c r="T228" s="95">
        <f>IF(OR(R228="",R227=""),"",R228-R227)</f>
        <v/>
      </c>
      <c r="U228" s="95">
        <f>IF(OR(S228="",S227=""),"",S228-S227)</f>
        <v/>
      </c>
      <c r="V228" s="95">
        <f>IF(OR(U228="",P228=""),"",U228+P228)</f>
        <v/>
      </c>
      <c r="W228" s="95">
        <f>IF(OR(T228="",O228="",P228=""),"",T228-O228+P228)</f>
        <v/>
      </c>
    </row>
    <row r="229">
      <c r="A229" s="35" t="n">
        <v>45883</v>
      </c>
      <c r="B229" s="92" t="n">
        <v>27376439345.65004</v>
      </c>
      <c r="C229" s="92" t="n">
        <v>773925537.6406747</v>
      </c>
      <c r="D229" s="92" t="n">
        <v>0</v>
      </c>
      <c r="E229" s="92" t="n">
        <v>7723090.9907</v>
      </c>
      <c r="F229" s="92" t="n">
        <v>0</v>
      </c>
      <c r="G229" s="92" t="n">
        <v>0</v>
      </c>
      <c r="H229" s="92" t="n">
        <v>258882</v>
      </c>
      <c r="I229" s="92" t="n">
        <v>352410</v>
      </c>
      <c r="J229" s="92" t="n">
        <v>65478.19858556801</v>
      </c>
      <c r="K229" s="92" t="n">
        <v>0</v>
      </c>
      <c r="L229" s="94" t="n">
        <v>167809.16</v>
      </c>
      <c r="M229" s="92" t="n">
        <v>7723090.9907</v>
      </c>
      <c r="N229" s="94" t="n">
        <v>28764050.72</v>
      </c>
      <c r="O229" s="94" t="n">
        <v>26365.7818</v>
      </c>
      <c r="P229" s="94" t="n">
        <v>1863.2942</v>
      </c>
      <c r="Q229" s="92" t="n">
        <v>89005.84</v>
      </c>
      <c r="R229" s="94" t="n">
        <v>336245485.1874</v>
      </c>
      <c r="S229" s="94" t="n">
        <v>999641009.6905</v>
      </c>
      <c r="T229" s="95">
        <f>IF(OR(R229="",R228=""),"",R229-R228)</f>
        <v/>
      </c>
      <c r="U229" s="95">
        <f>IF(OR(S229="",S228=""),"",S229-S228)</f>
        <v/>
      </c>
      <c r="V229" s="95">
        <f>IF(OR(U229="",P229=""),"",U229+P229)</f>
        <v/>
      </c>
      <c r="W229" s="95">
        <f>IF(OR(T229="",O229="",P229=""),"",T229-O229+P229)</f>
        <v/>
      </c>
    </row>
    <row r="230">
      <c r="A230" s="35" t="n">
        <v>45884</v>
      </c>
      <c r="B230" s="92" t="n">
        <v>13585090718.69072</v>
      </c>
      <c r="C230" s="92" t="n">
        <v>569025734.5069208</v>
      </c>
      <c r="D230" s="92" t="n">
        <v>0</v>
      </c>
      <c r="E230" s="92" t="n">
        <v>3656083.60376</v>
      </c>
      <c r="F230" s="92" t="n">
        <v>0</v>
      </c>
      <c r="G230" s="92" t="n">
        <v>0</v>
      </c>
      <c r="H230" s="92" t="n">
        <v>213695</v>
      </c>
      <c r="I230" s="92" t="n">
        <v>277797</v>
      </c>
      <c r="J230" s="92" t="n">
        <v>38781.46603555472</v>
      </c>
      <c r="K230" s="92" t="n">
        <v>28086.06</v>
      </c>
      <c r="L230" s="94" t="n">
        <v>77150.31</v>
      </c>
      <c r="M230" s="92" t="n">
        <v>3656083.60376</v>
      </c>
      <c r="N230" s="94" t="n">
        <v>28843895.32</v>
      </c>
      <c r="O230" s="94" t="n">
        <v>26256.5939</v>
      </c>
      <c r="P230" s="94" t="n">
        <v>1373.4081</v>
      </c>
      <c r="Q230" s="92" t="n">
        <v>63178.83</v>
      </c>
      <c r="R230" s="94" t="n">
        <v>336255851.4887</v>
      </c>
      <c r="S230" s="94" t="n">
        <v>999639636.2825</v>
      </c>
      <c r="T230" s="95">
        <f>IF(OR(R230="",R229=""),"",R230-R229)</f>
        <v/>
      </c>
      <c r="U230" s="95">
        <f>IF(OR(S230="",S229=""),"",S230-S229)</f>
        <v/>
      </c>
      <c r="V230" s="95">
        <f>IF(OR(U230="",P230=""),"",U230+P230)</f>
        <v/>
      </c>
      <c r="W230" s="95">
        <f>IF(OR(T230="",O230="",P230=""),"",T230-O230+P230)</f>
        <v/>
      </c>
    </row>
    <row r="231">
      <c r="A231" s="35" t="n">
        <v>45885</v>
      </c>
      <c r="B231" s="92" t="n">
        <v>4928430305.297351</v>
      </c>
      <c r="C231" s="92" t="n">
        <v>196663923.118233</v>
      </c>
      <c r="D231" s="92" t="n">
        <v>0</v>
      </c>
      <c r="E231" s="92" t="n">
        <v>1365202.03208</v>
      </c>
      <c r="F231" s="92" t="n">
        <v>0</v>
      </c>
      <c r="G231" s="92" t="n">
        <v>0</v>
      </c>
      <c r="H231" s="92" t="n">
        <v>87617</v>
      </c>
      <c r="I231" s="92" t="n">
        <v>119204</v>
      </c>
      <c r="J231" s="92" t="n">
        <v>7912.454579992194</v>
      </c>
      <c r="K231" s="92" t="n">
        <v>29711.18</v>
      </c>
      <c r="L231" s="94" t="n">
        <v>28971.85</v>
      </c>
      <c r="M231" s="92" t="n">
        <v>1365202.03208</v>
      </c>
      <c r="N231" s="94" t="n">
        <v>28873094.23</v>
      </c>
      <c r="O231" s="94" t="n">
        <v>26182.6599</v>
      </c>
      <c r="P231" s="94" t="n">
        <v>1709.1627</v>
      </c>
      <c r="Q231" s="92" t="n">
        <v>82443.17</v>
      </c>
      <c r="R231" s="94" t="n">
        <v>336265836.629</v>
      </c>
      <c r="S231" s="94" t="n">
        <v>999637927.1197</v>
      </c>
      <c r="T231" s="95">
        <f>IF(OR(R231="",R230=""),"",R231-R230)</f>
        <v/>
      </c>
      <c r="U231" s="95">
        <f>IF(OR(S231="",S230=""),"",S231-S230)</f>
        <v/>
      </c>
      <c r="V231" s="95">
        <f>IF(OR(U231="",P231=""),"",U231+P231)</f>
        <v/>
      </c>
      <c r="W231" s="95">
        <f>IF(OR(T231="",O231="",P231=""),"",T231-O231+P231)</f>
        <v/>
      </c>
    </row>
    <row r="232">
      <c r="A232" s="35" t="n">
        <v>45886</v>
      </c>
      <c r="B232" s="92" t="n">
        <v>6272412052.739481</v>
      </c>
      <c r="C232" s="92" t="n">
        <v>251740970.6387413</v>
      </c>
      <c r="D232" s="92" t="n">
        <v>0</v>
      </c>
      <c r="E232" s="92" t="n">
        <v>1699981.19394</v>
      </c>
      <c r="F232" s="92" t="n">
        <v>0</v>
      </c>
      <c r="G232" s="92" t="n">
        <v>0</v>
      </c>
      <c r="H232" s="92" t="n">
        <v>79899</v>
      </c>
      <c r="I232" s="92" t="n">
        <v>109997</v>
      </c>
      <c r="J232" s="92" t="n">
        <v>7181.022759360755</v>
      </c>
      <c r="K232" s="92" t="n">
        <v>0</v>
      </c>
      <c r="L232" s="94" t="n">
        <v>36315.48</v>
      </c>
      <c r="M232" s="92" t="n">
        <v>1699981.19394</v>
      </c>
      <c r="N232" s="94" t="n">
        <v>28909605.98</v>
      </c>
      <c r="O232" s="94" t="n">
        <v>26168.0725</v>
      </c>
      <c r="P232" s="94" t="n">
        <v>924.1917999999999</v>
      </c>
      <c r="Q232" s="92" t="n">
        <v>42810.41</v>
      </c>
      <c r="R232" s="94" t="n">
        <v>336276574.2123</v>
      </c>
      <c r="S232" s="94" t="n">
        <v>999637002.9279</v>
      </c>
      <c r="T232" s="95">
        <f>IF(OR(R232="",R231=""),"",R232-R231)</f>
        <v/>
      </c>
      <c r="U232" s="95">
        <f>IF(OR(S232="",S231=""),"",S232-S231)</f>
        <v/>
      </c>
      <c r="V232" s="95">
        <f>IF(OR(U232="",P232=""),"",U232+P232)</f>
        <v/>
      </c>
      <c r="W232" s="95">
        <f>IF(OR(T232="",O232="",P232=""),"",T232-O232+P232)</f>
        <v/>
      </c>
    </row>
    <row r="233">
      <c r="A233" s="35" t="n">
        <v>45887</v>
      </c>
      <c r="B233" s="92" t="n">
        <v>15278357611.70071</v>
      </c>
      <c r="C233" s="92" t="n">
        <v>367201249.7021266</v>
      </c>
      <c r="D233" s="92" t="n">
        <v>0</v>
      </c>
      <c r="E233" s="92" t="n">
        <v>4068407.79645</v>
      </c>
      <c r="F233" s="92" t="n">
        <v>0</v>
      </c>
      <c r="G233" s="92" t="n">
        <v>0</v>
      </c>
      <c r="H233" s="92" t="n">
        <v>117217</v>
      </c>
      <c r="I233" s="92" t="n">
        <v>152925</v>
      </c>
      <c r="J233" s="92" t="n">
        <v>14146.97794252994</v>
      </c>
      <c r="K233" s="92" t="n">
        <v>0</v>
      </c>
      <c r="L233" s="94" t="n">
        <v>92598.72</v>
      </c>
      <c r="M233" s="92" t="n">
        <v>4068407.79645</v>
      </c>
      <c r="N233" s="94" t="n">
        <v>29002008.43</v>
      </c>
      <c r="O233" s="94" t="n">
        <v>26239.5597</v>
      </c>
      <c r="P233" s="94" t="n">
        <v>413.5272</v>
      </c>
      <c r="Q233" s="92" t="n">
        <v>19039.41</v>
      </c>
      <c r="R233" s="94" t="n">
        <v>336287857.1262</v>
      </c>
      <c r="S233" s="94" t="n">
        <v>999636589.4007</v>
      </c>
      <c r="T233" s="95">
        <f>IF(OR(R233="",R232=""),"",R233-R232)</f>
        <v/>
      </c>
      <c r="U233" s="95">
        <f>IF(OR(S233="",S232=""),"",S233-S232)</f>
        <v/>
      </c>
      <c r="V233" s="95">
        <f>IF(OR(U233="",P233=""),"",U233+P233)</f>
        <v/>
      </c>
      <c r="W233" s="95">
        <f>IF(OR(T233="",O233="",P233=""),"",T233-O233+P233)</f>
        <v/>
      </c>
    </row>
    <row r="234">
      <c r="A234" s="35" t="n">
        <v>45888</v>
      </c>
      <c r="B234" s="92" t="n">
        <v>16655285032.81031</v>
      </c>
      <c r="C234" s="92" t="n">
        <v>390244912.0893883</v>
      </c>
      <c r="D234" s="92" t="n">
        <v>0</v>
      </c>
      <c r="E234" s="92" t="n">
        <v>4196894.61651</v>
      </c>
      <c r="F234" s="92" t="n">
        <v>0</v>
      </c>
      <c r="G234" s="92" t="n">
        <v>0</v>
      </c>
      <c r="H234" s="92" t="n">
        <v>124535</v>
      </c>
      <c r="I234" s="92" t="n">
        <v>160422</v>
      </c>
      <c r="J234" s="92" t="n">
        <v>21535.53296781836</v>
      </c>
      <c r="K234" s="92" t="n">
        <v>21581.17</v>
      </c>
      <c r="L234" s="94" t="n">
        <v>98671.67</v>
      </c>
      <c r="M234" s="92" t="n">
        <v>4196894.61651</v>
      </c>
      <c r="N234" s="94" t="n">
        <v>29100680.1</v>
      </c>
      <c r="O234" s="94" t="n">
        <v>26295.1059</v>
      </c>
      <c r="P234" s="94" t="n">
        <v>731.1435</v>
      </c>
      <c r="Q234" s="92" t="n">
        <v>31593.07</v>
      </c>
      <c r="R234" s="94" t="n">
        <v>336298916.0738</v>
      </c>
      <c r="S234" s="94" t="n">
        <v>999635858.2573</v>
      </c>
      <c r="T234" s="95">
        <f>IF(OR(R234="",R233=""),"",R234-R233)</f>
        <v/>
      </c>
      <c r="U234" s="95">
        <f>IF(OR(S234="",S233=""),"",S234-S233)</f>
        <v/>
      </c>
      <c r="V234" s="95">
        <f>IF(OR(U234="",P234=""),"",U234+P234)</f>
        <v/>
      </c>
      <c r="W234" s="95">
        <f>IF(OR(T234="",O234="",P234=""),"",T234-O234+P234)</f>
        <v/>
      </c>
    </row>
    <row r="235">
      <c r="A235" s="35" t="n">
        <v>45889</v>
      </c>
      <c r="B235" s="92" t="n">
        <v>15135209638.42719</v>
      </c>
      <c r="C235" s="92" t="n">
        <v>542977581.5812136</v>
      </c>
      <c r="D235" s="92" t="n">
        <v>0</v>
      </c>
      <c r="E235" s="92" t="n">
        <v>3873066.94455</v>
      </c>
      <c r="F235" s="92" t="n">
        <v>0</v>
      </c>
      <c r="G235" s="92" t="n">
        <v>0</v>
      </c>
      <c r="H235" s="92" t="n">
        <v>160524</v>
      </c>
      <c r="I235" s="92" t="n">
        <v>230987</v>
      </c>
      <c r="J235" s="92" t="n">
        <v>19695.56386351545</v>
      </c>
      <c r="K235" s="92" t="n">
        <v>35823.48</v>
      </c>
      <c r="L235" s="94" t="n">
        <v>92180.89</v>
      </c>
      <c r="M235" s="92" t="n">
        <v>3873066.94455</v>
      </c>
      <c r="N235" s="94" t="n">
        <v>29193133.72</v>
      </c>
      <c r="O235" s="94" t="n">
        <v>26302.267</v>
      </c>
      <c r="P235" s="94" t="n">
        <v>1238.6553</v>
      </c>
      <c r="Q235" s="92" t="n">
        <v>51424.63</v>
      </c>
      <c r="R235" s="94" t="n">
        <v>336309452.6684</v>
      </c>
      <c r="S235" s="94" t="n">
        <v>999634619.602</v>
      </c>
      <c r="T235" s="95">
        <f>IF(OR(R235="",R234=""),"",R235-R234)</f>
        <v/>
      </c>
      <c r="U235" s="95">
        <f>IF(OR(S235="",S234=""),"",S235-S234)</f>
        <v/>
      </c>
      <c r="V235" s="95">
        <f>IF(OR(U235="",P235=""),"",U235+P235)</f>
        <v/>
      </c>
      <c r="W235" s="95">
        <f>IF(OR(T235="",O235="",P235=""),"",T235-O235+P235)</f>
        <v/>
      </c>
    </row>
    <row r="236">
      <c r="A236" s="35" t="n">
        <v>45890</v>
      </c>
      <c r="B236" s="92" t="n">
        <v>11826851575.68992</v>
      </c>
      <c r="C236" s="92" t="n">
        <v>923204691.9344271</v>
      </c>
      <c r="D236" s="92" t="n">
        <v>0</v>
      </c>
      <c r="E236" s="92" t="n">
        <v>3184206.25233</v>
      </c>
      <c r="F236" s="92" t="n">
        <v>0</v>
      </c>
      <c r="G236" s="92" t="n">
        <v>0</v>
      </c>
      <c r="H236" s="92" t="n">
        <v>212310</v>
      </c>
      <c r="I236" s="92" t="n">
        <v>351557</v>
      </c>
      <c r="J236" s="92" t="n">
        <v>10986.34043925129</v>
      </c>
      <c r="K236" s="92" t="n">
        <v>0</v>
      </c>
      <c r="L236" s="94" t="n">
        <v>76866.14999999999</v>
      </c>
      <c r="M236" s="92" t="n">
        <v>3184206.25233</v>
      </c>
      <c r="N236" s="94" t="n">
        <v>29269478.54</v>
      </c>
      <c r="O236" s="94" t="n">
        <v>26232.6918</v>
      </c>
      <c r="P236" s="94" t="n">
        <v>2110.2162</v>
      </c>
      <c r="Q236" s="92" t="n">
        <v>90795.22</v>
      </c>
      <c r="R236" s="94" t="n">
        <v>336319056.2883</v>
      </c>
      <c r="S236" s="94" t="n">
        <v>999632509.3858</v>
      </c>
      <c r="T236" s="95">
        <f>IF(OR(R236="",R235=""),"",R236-R235)</f>
        <v/>
      </c>
      <c r="U236" s="95">
        <f>IF(OR(S236="",S235=""),"",S236-S235)</f>
        <v/>
      </c>
      <c r="V236" s="95">
        <f>IF(OR(U236="",P236=""),"",U236+P236)</f>
        <v/>
      </c>
      <c r="W236" s="95">
        <f>IF(OR(T236="",O236="",P236=""),"",T236-O236+P236)</f>
        <v/>
      </c>
    </row>
    <row r="237">
      <c r="A237" s="35" t="n">
        <v>45891</v>
      </c>
      <c r="B237" s="92" t="n">
        <v>21155470262.7558</v>
      </c>
      <c r="C237" s="92" t="n">
        <v>1392685684.979868</v>
      </c>
      <c r="D237" s="92" t="n">
        <v>0</v>
      </c>
      <c r="E237" s="92" t="n">
        <v>5659586.13195</v>
      </c>
      <c r="F237" s="92" t="n">
        <v>0</v>
      </c>
      <c r="G237" s="92" t="n">
        <v>0</v>
      </c>
      <c r="H237" s="92" t="n">
        <v>427174</v>
      </c>
      <c r="I237" s="92" t="n">
        <v>801006</v>
      </c>
      <c r="J237" s="92" t="n">
        <v>41408.25254683448</v>
      </c>
      <c r="K237" s="92" t="n">
        <v>43345.43</v>
      </c>
      <c r="L237" s="94" t="n">
        <v>130153.58</v>
      </c>
      <c r="M237" s="92" t="n">
        <v>5659586.13195</v>
      </c>
      <c r="N237" s="94" t="n">
        <v>29399880.72</v>
      </c>
      <c r="O237" s="94" t="n">
        <v>26316.9537</v>
      </c>
      <c r="P237" s="94" t="n">
        <v>476.4692</v>
      </c>
      <c r="Q237" s="92" t="n">
        <v>19359.18</v>
      </c>
      <c r="R237" s="94" t="n">
        <v>336330407.5196</v>
      </c>
      <c r="S237" s="94" t="n">
        <v>999632032.9166</v>
      </c>
      <c r="T237" s="95">
        <f>IF(OR(R237="",R236=""),"",R237-R236)</f>
        <v/>
      </c>
      <c r="U237" s="95">
        <f>IF(OR(S237="",S236=""),"",S237-S236)</f>
        <v/>
      </c>
      <c r="V237" s="95">
        <f>IF(OR(U237="",P237=""),"",U237+P237)</f>
        <v/>
      </c>
      <c r="W237" s="95">
        <f>IF(OR(T237="",O237="",P237=""),"",T237-O237+P237)</f>
        <v/>
      </c>
    </row>
    <row r="238">
      <c r="A238" s="35" t="n">
        <v>45892</v>
      </c>
      <c r="B238" s="92" t="n">
        <v>8356300448.041975</v>
      </c>
      <c r="C238" s="92" t="n">
        <v>1292052218.922707</v>
      </c>
      <c r="D238" s="92" t="n">
        <v>0</v>
      </c>
      <c r="E238" s="92" t="n">
        <v>2555181.64434</v>
      </c>
      <c r="F238" s="92" t="n">
        <v>0</v>
      </c>
      <c r="G238" s="92" t="n">
        <v>0</v>
      </c>
      <c r="H238" s="92" t="n">
        <v>302447</v>
      </c>
      <c r="I238" s="92" t="n">
        <v>585670</v>
      </c>
      <c r="J238" s="92" t="n">
        <v>12653.39209463229</v>
      </c>
      <c r="K238" s="92" t="n">
        <v>0</v>
      </c>
      <c r="L238" s="94" t="n">
        <v>57895.64</v>
      </c>
      <c r="M238" s="92" t="n">
        <v>2555181.64434</v>
      </c>
      <c r="N238" s="94" t="n">
        <v>29457776.36</v>
      </c>
      <c r="O238" s="94" t="n">
        <v>26337.2215</v>
      </c>
      <c r="P238" s="94" t="n">
        <v>2213.6907</v>
      </c>
      <c r="Q238" s="92" t="n">
        <v>99572.92</v>
      </c>
      <c r="R238" s="94" t="n">
        <v>336340044.7131</v>
      </c>
      <c r="S238" s="94" t="n">
        <v>999629819.2258</v>
      </c>
      <c r="T238" s="95">
        <f>IF(OR(R238="",R237=""),"",R238-R237)</f>
        <v/>
      </c>
      <c r="U238" s="95">
        <f>IF(OR(S238="",S237=""),"",S238-S237)</f>
        <v/>
      </c>
      <c r="V238" s="95">
        <f>IF(OR(U238="",P238=""),"",U238+P238)</f>
        <v/>
      </c>
      <c r="W238" s="95">
        <f>IF(OR(T238="",O238="",P238=""),"",T238-O238+P238)</f>
        <v/>
      </c>
    </row>
    <row r="239">
      <c r="A239" s="35" t="n">
        <v>45893</v>
      </c>
      <c r="B239" s="92" t="n">
        <v>17185841113.43915</v>
      </c>
      <c r="C239" s="92" t="n">
        <v>3357923728.147274</v>
      </c>
      <c r="D239" s="92" t="n">
        <v>0</v>
      </c>
      <c r="E239" s="92" t="n">
        <v>5298039.79658</v>
      </c>
      <c r="F239" s="92" t="n">
        <v>0</v>
      </c>
      <c r="G239" s="92" t="n">
        <v>0</v>
      </c>
      <c r="H239" s="92" t="n">
        <v>1000338</v>
      </c>
      <c r="I239" s="92" t="n">
        <v>1970942</v>
      </c>
      <c r="J239" s="92" t="n">
        <v>52789.3033721489</v>
      </c>
      <c r="K239" s="92" t="n">
        <v>95229.59</v>
      </c>
      <c r="L239" s="94" t="n">
        <v>117446.82</v>
      </c>
      <c r="M239" s="92" t="n">
        <v>5298039.79658</v>
      </c>
      <c r="N239" s="94" t="n">
        <v>29575440.54</v>
      </c>
      <c r="O239" s="94" t="n">
        <v>25925.0993</v>
      </c>
      <c r="P239" s="94" t="n">
        <v>374.1172</v>
      </c>
      <c r="Q239" s="92" t="n">
        <v>16772.61</v>
      </c>
      <c r="R239" s="94" t="n">
        <v>336351283.4145</v>
      </c>
      <c r="S239" s="94" t="n">
        <v>999629445.1086</v>
      </c>
      <c r="T239" s="95">
        <f>IF(OR(R239="",R238=""),"",R239-R238)</f>
        <v/>
      </c>
      <c r="U239" s="95">
        <f>IF(OR(S239="",S238=""),"",S239-S238)</f>
        <v/>
      </c>
      <c r="V239" s="95">
        <f>IF(OR(U239="",P239=""),"",U239+P239)</f>
        <v/>
      </c>
      <c r="W239" s="95">
        <f>IF(OR(T239="",O239="",P239=""),"",T239-O239+P239)</f>
        <v/>
      </c>
    </row>
    <row r="240">
      <c r="A240" s="35" t="n">
        <v>45894</v>
      </c>
      <c r="B240" s="92" t="n">
        <v>20948854170.77424</v>
      </c>
      <c r="C240" s="92" t="n">
        <v>3442644555.91572</v>
      </c>
      <c r="D240" s="92" t="n">
        <v>0</v>
      </c>
      <c r="E240" s="92" t="n">
        <v>5591022.73503</v>
      </c>
      <c r="F240" s="92" t="n">
        <v>0</v>
      </c>
      <c r="G240" s="92" t="n">
        <v>0</v>
      </c>
      <c r="H240" s="92" t="n">
        <v>314829</v>
      </c>
      <c r="I240" s="92" t="n">
        <v>543705</v>
      </c>
      <c r="J240" s="92" t="n">
        <v>57416.9308421625</v>
      </c>
      <c r="K240" s="92" t="n">
        <v>0</v>
      </c>
      <c r="L240" s="94" t="n">
        <v>124431.35</v>
      </c>
      <c r="M240" s="92" t="n">
        <v>5591022.73503</v>
      </c>
      <c r="N240" s="94" t="n">
        <v>29699945.26</v>
      </c>
      <c r="O240" s="94" t="n">
        <v>26363.9334</v>
      </c>
      <c r="P240" s="94" t="n">
        <v>2861.0986</v>
      </c>
      <c r="Q240" s="92" t="n">
        <v>132424.52</v>
      </c>
      <c r="R240" s="94" t="n">
        <v>336360313.0874</v>
      </c>
      <c r="S240" s="94" t="n">
        <v>999626584.0101</v>
      </c>
      <c r="T240" s="95">
        <f>IF(OR(R240="",R239=""),"",R240-R239)</f>
        <v/>
      </c>
      <c r="U240" s="95">
        <f>IF(OR(S240="",S239=""),"",S240-S239)</f>
        <v/>
      </c>
      <c r="V240" s="95">
        <f>IF(OR(U240="",P240=""),"",U240+P240)</f>
        <v/>
      </c>
      <c r="W240" s="95">
        <f>IF(OR(T240="",O240="",P240=""),"",T240-O240+P240)</f>
        <v/>
      </c>
    </row>
    <row r="241">
      <c r="A241" s="35" t="n">
        <v>45895</v>
      </c>
      <c r="B241" s="92" t="n">
        <v>15388541325.81821</v>
      </c>
      <c r="C241" s="92" t="n"/>
      <c r="D241" s="92" t="n">
        <v>0</v>
      </c>
      <c r="E241" s="92" t="n">
        <v>5812626.00916</v>
      </c>
      <c r="F241" s="92" t="n">
        <v>0</v>
      </c>
      <c r="G241" s="92" t="n">
        <v>0</v>
      </c>
      <c r="H241" s="92" t="n">
        <v>459589</v>
      </c>
      <c r="I241" s="92" t="n">
        <v>782342</v>
      </c>
      <c r="J241" s="92" t="n">
        <v>43508.11539426938</v>
      </c>
      <c r="K241" s="92" t="n">
        <v>49798.91</v>
      </c>
      <c r="L241" s="94" t="n">
        <v>124468.22</v>
      </c>
      <c r="M241" s="92" t="n">
        <v>5812626.00916</v>
      </c>
      <c r="N241" s="94" t="n">
        <v>29824454.1</v>
      </c>
      <c r="O241" s="94" t="n">
        <v>26366.0098</v>
      </c>
      <c r="P241" s="94" t="n">
        <v>1538.1765</v>
      </c>
      <c r="Q241" s="92" t="n">
        <v>65850.87</v>
      </c>
      <c r="R241" s="94" t="n">
        <v>336370656.9693</v>
      </c>
      <c r="S241" s="94" t="n">
        <v>999625045.8336</v>
      </c>
      <c r="T241" s="95">
        <f>IF(OR(R241="",R240=""),"",R241-R240)</f>
        <v/>
      </c>
      <c r="U241" s="95">
        <f>IF(OR(S241="",S240=""),"",S241-S240)</f>
        <v/>
      </c>
      <c r="V241" s="95">
        <f>IF(OR(U241="",P241=""),"",U241+P241)</f>
        <v/>
      </c>
      <c r="W241" s="95">
        <f>IF(OR(T241="",O241="",P241=""),"",T241-O241+P241)</f>
        <v/>
      </c>
    </row>
    <row r="242">
      <c r="A242" s="35" t="n">
        <v>45896</v>
      </c>
      <c r="B242" s="92" t="n">
        <v>13058401010.23568</v>
      </c>
      <c r="C242" s="92" t="n"/>
      <c r="D242" s="92" t="n">
        <v>0</v>
      </c>
      <c r="E242" s="92" t="n">
        <v>3645666.39599</v>
      </c>
      <c r="F242" s="92" t="n">
        <v>0</v>
      </c>
      <c r="G242" s="92" t="n">
        <v>0</v>
      </c>
      <c r="H242" s="92" t="n">
        <v>177611</v>
      </c>
      <c r="I242" s="92" t="n">
        <v>217368</v>
      </c>
      <c r="J242" s="92" t="n">
        <v>52325.08759990281</v>
      </c>
      <c r="K242" s="92" t="n">
        <v>68838.23</v>
      </c>
      <c r="L242" s="94" t="n">
        <v>73824.09</v>
      </c>
      <c r="M242" s="92" t="n">
        <v>3645666.39599</v>
      </c>
      <c r="N242" s="94" t="n">
        <v>29897946.84</v>
      </c>
      <c r="O242" s="94" t="n">
        <v>26403.5722</v>
      </c>
      <c r="P242" s="94" t="n">
        <v>2522.4986</v>
      </c>
      <c r="Q242" s="92" t="n">
        <v>122551.81</v>
      </c>
      <c r="R242" s="94" t="n">
        <v>336380049.882</v>
      </c>
      <c r="S242" s="94" t="n">
        <v>999622523.335</v>
      </c>
      <c r="T242" s="95">
        <f>IF(OR(R242="",R241=""),"",R242-R241)</f>
        <v/>
      </c>
      <c r="U242" s="95">
        <f>IF(OR(S242="",S241=""),"",S242-S241)</f>
        <v/>
      </c>
      <c r="V242" s="95">
        <f>IF(OR(U242="",P242=""),"",U242+P242)</f>
        <v/>
      </c>
      <c r="W242" s="95">
        <f>IF(OR(T242="",O242="",P242=""),"",T242-O242+P242)</f>
        <v/>
      </c>
    </row>
    <row r="243">
      <c r="A243" s="35" t="n">
        <v>45897</v>
      </c>
      <c r="B243" s="92" t="n">
        <v>10282718688.72443</v>
      </c>
      <c r="C243" s="92" t="n"/>
      <c r="D243" s="92" t="n">
        <v>0</v>
      </c>
      <c r="E243" s="92" t="n">
        <v>2852918.43232</v>
      </c>
      <c r="F243" s="92" t="n">
        <v>0</v>
      </c>
      <c r="G243" s="92" t="n">
        <v>0</v>
      </c>
      <c r="H243" s="92" t="n">
        <v>133062</v>
      </c>
      <c r="I243" s="92" t="n">
        <v>176810</v>
      </c>
      <c r="J243" s="92" t="n">
        <v>26936.35459954765</v>
      </c>
      <c r="K243" s="92" t="n">
        <v>0</v>
      </c>
      <c r="L243" s="94" t="n">
        <v>59964.64</v>
      </c>
      <c r="M243" s="92" t="n">
        <v>2852918.43232</v>
      </c>
      <c r="N243" s="94" t="n">
        <v>29957492.26</v>
      </c>
      <c r="O243" s="94" t="n">
        <v>26384</v>
      </c>
      <c r="P243" s="94" t="n">
        <v>2596.5887</v>
      </c>
      <c r="Q243" s="92" t="n">
        <v>122355.15</v>
      </c>
      <c r="R243" s="94" t="n">
        <v>336389421.9294</v>
      </c>
      <c r="S243" s="94" t="n">
        <v>999619926.7463</v>
      </c>
      <c r="T243" s="95">
        <f>IF(OR(R243="",R242=""),"",R243-R242)</f>
        <v/>
      </c>
      <c r="U243" s="95">
        <f>IF(OR(S243="",S242=""),"",S243-S242)</f>
        <v/>
      </c>
      <c r="V243" s="95">
        <f>IF(OR(U243="",P243=""),"",U243+P243)</f>
        <v/>
      </c>
      <c r="W243" s="95">
        <f>IF(OR(T243="",O243="",P243=""),"",T243-O243+P243)</f>
        <v/>
      </c>
    </row>
    <row r="244">
      <c r="A244" s="35" t="n">
        <v>45898</v>
      </c>
      <c r="B244" s="92" t="n">
        <v>16727206705.29462</v>
      </c>
      <c r="C244" s="92" t="n"/>
      <c r="D244" s="92" t="n">
        <v>0</v>
      </c>
      <c r="E244" s="92" t="n">
        <v>4517739.09553</v>
      </c>
      <c r="F244" s="92" t="n">
        <v>0</v>
      </c>
      <c r="G244" s="92" t="n">
        <v>0</v>
      </c>
      <c r="H244" s="92" t="n">
        <v>353666</v>
      </c>
      <c r="I244" s="92" t="n">
        <v>598611</v>
      </c>
      <c r="J244" s="92" t="n">
        <v>28057.99142478528</v>
      </c>
      <c r="K244" s="92" t="n">
        <v>34731.2</v>
      </c>
      <c r="L244" s="94" t="n">
        <v>101222.13</v>
      </c>
      <c r="M244" s="92" t="n">
        <v>4517739.09553</v>
      </c>
      <c r="N244" s="94" t="n">
        <v>30059183.69</v>
      </c>
      <c r="O244" s="94" t="n">
        <v>26324.2015</v>
      </c>
      <c r="P244" s="94" t="n">
        <v>775.6297</v>
      </c>
      <c r="Q244" s="92" t="n">
        <v>35347.77</v>
      </c>
      <c r="R244" s="94" t="n">
        <v>336400538.9753</v>
      </c>
      <c r="S244" s="94" t="n">
        <v>999619151.1166</v>
      </c>
      <c r="T244" s="95">
        <f>IF(OR(R244="",R243=""),"",R244-R243)</f>
        <v/>
      </c>
      <c r="U244" s="95">
        <f>IF(OR(S244="",S243=""),"",S244-S243)</f>
        <v/>
      </c>
      <c r="V244" s="95">
        <f>IF(OR(U244="",P244=""),"",U244+P244)</f>
        <v/>
      </c>
      <c r="W244" s="95">
        <f>IF(OR(T244="",O244="",P244=""),"",T244-O244+P244)</f>
        <v/>
      </c>
    </row>
    <row r="245">
      <c r="A245" s="35" t="n">
        <v>45899</v>
      </c>
      <c r="B245" s="92" t="n">
        <v>6799419657.98675</v>
      </c>
      <c r="C245" s="92" t="n"/>
      <c r="D245" s="92" t="n">
        <v>0</v>
      </c>
      <c r="E245" s="92" t="n">
        <v>1903289.33744</v>
      </c>
      <c r="F245" s="92" t="n">
        <v>0</v>
      </c>
      <c r="G245" s="92" t="n">
        <v>0</v>
      </c>
      <c r="H245" s="92" t="n">
        <v>187625</v>
      </c>
      <c r="I245" s="92" t="n">
        <v>323882</v>
      </c>
      <c r="J245" s="92" t="n">
        <v>7760.110163731018</v>
      </c>
      <c r="K245" s="92" t="n">
        <v>34702.17</v>
      </c>
      <c r="L245" s="94" t="n">
        <v>43251.17</v>
      </c>
      <c r="M245" s="92" t="n">
        <v>1903289.33744</v>
      </c>
      <c r="N245" s="94" t="n">
        <v>30102384.78</v>
      </c>
      <c r="O245" s="94" t="n">
        <v>26261.8781</v>
      </c>
      <c r="P245" s="94" t="n">
        <v>1515.4212</v>
      </c>
      <c r="Q245" s="92" t="n">
        <v>67293.03999999999</v>
      </c>
      <c r="R245" s="94" t="n">
        <v>336410972.8038</v>
      </c>
      <c r="S245" s="94" t="n">
        <v>999617635.6954</v>
      </c>
      <c r="T245" s="95">
        <f>IF(OR(R245="",R244=""),"",R245-R244)</f>
        <v/>
      </c>
      <c r="U245" s="95">
        <f>IF(OR(S245="",S244=""),"",S245-S244)</f>
        <v/>
      </c>
      <c r="V245" s="95">
        <f>IF(OR(U245="",P245=""),"",U245+P245)</f>
        <v/>
      </c>
      <c r="W245" s="95">
        <f>IF(OR(T245="",O245="",P245=""),"",T245-O245+P245)</f>
        <v/>
      </c>
    </row>
    <row r="246">
      <c r="A246" s="35" t="n">
        <v>45900</v>
      </c>
      <c r="B246" s="92" t="n">
        <v>5766508404.612074</v>
      </c>
      <c r="C246" s="92" t="n"/>
      <c r="D246" s="92" t="n">
        <v>0</v>
      </c>
      <c r="E246" s="92" t="n">
        <v>1781642.51828</v>
      </c>
      <c r="F246" s="92" t="n">
        <v>0</v>
      </c>
      <c r="G246" s="92" t="n">
        <v>0</v>
      </c>
      <c r="H246" s="92" t="n">
        <v>258222</v>
      </c>
      <c r="I246" s="92" t="n">
        <v>473026</v>
      </c>
      <c r="J246" s="92" t="n">
        <v>6506.938058085142</v>
      </c>
      <c r="K246" s="92" t="n">
        <v>28404.45</v>
      </c>
      <c r="L246" s="94" t="n">
        <v>39932.11</v>
      </c>
      <c r="M246" s="92" t="n">
        <v>1781642.51828</v>
      </c>
      <c r="N246" s="94" t="n">
        <v>30142542.9</v>
      </c>
      <c r="O246" s="94" t="n">
        <v>26548.2562</v>
      </c>
      <c r="P246" s="94" t="n">
        <v>1051.6584</v>
      </c>
      <c r="Q246" s="92" t="n">
        <v>46374.45</v>
      </c>
      <c r="R246" s="94" t="n">
        <v>336422061.5007</v>
      </c>
      <c r="S246" s="94" t="n">
        <v>999616584.0369999</v>
      </c>
      <c r="T246" s="95">
        <f>IF(OR(R246="",R245=""),"",R246-R245)</f>
        <v/>
      </c>
      <c r="U246" s="95">
        <f>IF(OR(S246="",S245=""),"",S246-S245)</f>
        <v/>
      </c>
      <c r="V246" s="95">
        <f>IF(OR(U246="",P246=""),"",U246+P246)</f>
        <v/>
      </c>
      <c r="W246" s="95">
        <f>IF(OR(T246="",O246="",P246=""),"",T246-O246+P246)</f>
        <v/>
      </c>
    </row>
    <row r="247">
      <c r="A247" s="35" t="n">
        <v>45901</v>
      </c>
      <c r="B247" s="92" t="n">
        <v>11587932833.88221</v>
      </c>
      <c r="C247" s="92" t="n"/>
      <c r="D247" s="92" t="n">
        <v>0</v>
      </c>
      <c r="E247" s="92" t="n">
        <v>3002689.84027</v>
      </c>
      <c r="F247" s="92" t="n">
        <v>0</v>
      </c>
      <c r="G247" s="92" t="n">
        <v>0</v>
      </c>
      <c r="H247" s="92" t="n">
        <v>186943</v>
      </c>
      <c r="I247" s="92" t="n">
        <v>297309</v>
      </c>
      <c r="J247" s="92" t="n">
        <v>18424.96866774532</v>
      </c>
      <c r="K247" s="92" t="n">
        <v>0</v>
      </c>
      <c r="L247" s="94" t="n">
        <v>68021.86</v>
      </c>
      <c r="M247" s="92" t="n">
        <v>3002689.84027</v>
      </c>
      <c r="N247" s="94" t="n">
        <v>30210338.75</v>
      </c>
      <c r="O247" s="94" t="n">
        <v>26680.4789</v>
      </c>
      <c r="P247" s="94" t="n">
        <v>996.2214</v>
      </c>
      <c r="Q247" s="92" t="n">
        <v>44034.98</v>
      </c>
      <c r="R247" s="94" t="n">
        <v>336433281.2701</v>
      </c>
      <c r="S247" s="94" t="n">
        <v>999615587.8156</v>
      </c>
      <c r="T247" s="95">
        <f>IF(OR(R247="",R246=""),"",R247-R246)</f>
        <v/>
      </c>
      <c r="U247" s="95">
        <f>IF(OR(S247="",S246=""),"",S247-S246)</f>
        <v/>
      </c>
      <c r="V247" s="95">
        <f>IF(OR(U247="",P247=""),"",U247+P247)</f>
        <v/>
      </c>
      <c r="W247" s="95">
        <f>IF(OR(T247="",O247="",P247=""),"",T247-O247+P247)</f>
        <v/>
      </c>
    </row>
    <row r="248">
      <c r="A248" s="35" t="n">
        <v>45902</v>
      </c>
      <c r="B248" s="92" t="n">
        <v>11422881300.32564</v>
      </c>
      <c r="C248" s="92" t="n"/>
      <c r="D248" s="92" t="n">
        <v>0</v>
      </c>
      <c r="E248" s="92" t="n">
        <v>3058785.56673</v>
      </c>
      <c r="F248" s="92" t="n">
        <v>0</v>
      </c>
      <c r="G248" s="92" t="n">
        <v>0</v>
      </c>
      <c r="H248" s="92" t="n">
        <v>97355</v>
      </c>
      <c r="I248" s="92" t="n">
        <v>138213</v>
      </c>
      <c r="J248" s="92" t="n">
        <v>17147.42827030919</v>
      </c>
      <c r="K248" s="92" t="n">
        <v>58325.55</v>
      </c>
      <c r="L248" s="94" t="n">
        <v>69292.78</v>
      </c>
      <c r="M248" s="92" t="n">
        <v>3058785.56673</v>
      </c>
      <c r="N248" s="94" t="n">
        <v>30279631.53</v>
      </c>
      <c r="O248" s="94" t="n">
        <v>26649.846</v>
      </c>
      <c r="P248" s="94" t="n">
        <v>470.2765</v>
      </c>
      <c r="Q248" s="92" t="n">
        <v>20214.84</v>
      </c>
      <c r="R248" s="94" t="n">
        <v>336444931.2984</v>
      </c>
      <c r="S248" s="94" t="n">
        <v>999615117.5391001</v>
      </c>
      <c r="T248" s="95">
        <f>IF(OR(R248="",R247=""),"",R248-R247)</f>
        <v/>
      </c>
      <c r="U248" s="95">
        <f>IF(OR(S248="",S247=""),"",S248-S247)</f>
        <v/>
      </c>
      <c r="V248" s="95">
        <f>IF(OR(U248="",P248=""),"",U248+P248)</f>
        <v/>
      </c>
      <c r="W248" s="95">
        <f>IF(OR(T248="",O248="",P248=""),"",T248-O248+P248)</f>
        <v/>
      </c>
    </row>
    <row r="249">
      <c r="A249" s="35" t="n">
        <v>45903</v>
      </c>
      <c r="B249" s="92" t="n">
        <v>8200160965.199457</v>
      </c>
      <c r="C249" s="92" t="n"/>
      <c r="D249" s="92" t="n">
        <v>0</v>
      </c>
      <c r="E249" s="92" t="n">
        <v>2259297.54066</v>
      </c>
      <c r="F249" s="92" t="n">
        <v>0</v>
      </c>
      <c r="G249" s="92" t="n">
        <v>0</v>
      </c>
      <c r="H249" s="92" t="n">
        <v>90595</v>
      </c>
      <c r="I249" s="92" t="n">
        <v>121295</v>
      </c>
      <c r="J249" s="92" t="n">
        <v>22000.40336266439</v>
      </c>
      <c r="K249" s="92" t="n">
        <v>0</v>
      </c>
      <c r="L249" s="94" t="n">
        <v>49663.71</v>
      </c>
      <c r="M249" s="92" t="n">
        <v>2259297.54066</v>
      </c>
      <c r="N249" s="94" t="n">
        <v>30329295.24</v>
      </c>
      <c r="O249" s="94" t="n">
        <v>26600.4145</v>
      </c>
      <c r="P249" s="94" t="n">
        <v>1849.0277</v>
      </c>
      <c r="Q249" s="92" t="n">
        <v>83187.75999999999</v>
      </c>
      <c r="R249" s="94" t="n">
        <v>336455172.6048</v>
      </c>
      <c r="S249" s="94" t="n">
        <v>999613268.5114</v>
      </c>
      <c r="T249" s="95">
        <f>IF(OR(R249="",R248=""),"",R249-R248)</f>
        <v/>
      </c>
      <c r="U249" s="95">
        <f>IF(OR(S249="",S248=""),"",S249-S248)</f>
        <v/>
      </c>
      <c r="V249" s="95">
        <f>IF(OR(U249="",P249=""),"",U249+P249)</f>
        <v/>
      </c>
      <c r="W249" s="95">
        <f>IF(OR(T249="",O249="",P249=""),"",T249-O249+P249)</f>
        <v/>
      </c>
    </row>
    <row r="250">
      <c r="A250" s="35" t="n">
        <v>45904</v>
      </c>
      <c r="B250" s="92" t="n">
        <v>9353334458.860628</v>
      </c>
      <c r="C250" s="92" t="n"/>
      <c r="D250" s="92" t="n">
        <v>0</v>
      </c>
      <c r="E250" s="92" t="n">
        <v>2588476.63511</v>
      </c>
      <c r="F250" s="92" t="n">
        <v>0</v>
      </c>
      <c r="G250" s="92" t="n">
        <v>0</v>
      </c>
      <c r="H250" s="92" t="n">
        <v>108106</v>
      </c>
      <c r="I250" s="92" t="n">
        <v>141848</v>
      </c>
      <c r="J250" s="92" t="n">
        <v>20973.83293150496</v>
      </c>
      <c r="K250" s="92" t="n">
        <v>23483.66</v>
      </c>
      <c r="L250" s="94" t="n">
        <v>56982.19</v>
      </c>
      <c r="M250" s="92" t="n">
        <v>2588476.63511</v>
      </c>
      <c r="N250" s="94" t="n">
        <v>30386453.73</v>
      </c>
      <c r="O250" s="94" t="n">
        <v>26579.8812</v>
      </c>
      <c r="P250" s="94" t="n">
        <v>500.6941</v>
      </c>
      <c r="Q250" s="92" t="n">
        <v>22924.03</v>
      </c>
      <c r="R250" s="94" t="n">
        <v>336466722.2326</v>
      </c>
      <c r="S250" s="94" t="n">
        <v>999612767.8173</v>
      </c>
      <c r="T250" s="95">
        <f>IF(OR(R250="",R249=""),"",R250-R249)</f>
        <v/>
      </c>
      <c r="U250" s="95">
        <f>IF(OR(S250="",S249=""),"",S250-S249)</f>
        <v/>
      </c>
      <c r="V250" s="95">
        <f>IF(OR(U250="",P250=""),"",U250+P250)</f>
        <v/>
      </c>
      <c r="W250" s="95">
        <f>IF(OR(T250="",O250="",P250=""),"",T250-O250+P250)</f>
        <v/>
      </c>
    </row>
    <row r="251">
      <c r="A251" s="35" t="n">
        <v>45905</v>
      </c>
      <c r="B251" s="92" t="n">
        <v>13297495996.65089</v>
      </c>
      <c r="C251" s="92" t="n"/>
      <c r="D251" s="92" t="n">
        <v>0</v>
      </c>
      <c r="E251" s="92" t="n">
        <v>3390576.2696</v>
      </c>
      <c r="F251" s="92" t="n">
        <v>0</v>
      </c>
      <c r="G251" s="92" t="n">
        <v>0</v>
      </c>
      <c r="H251" s="92" t="n">
        <v>152198</v>
      </c>
      <c r="I251" s="92" t="n">
        <v>202138</v>
      </c>
      <c r="J251" s="92" t="n">
        <v>33820.50239822755</v>
      </c>
      <c r="K251" s="92" t="n">
        <v>0</v>
      </c>
      <c r="L251" s="94" t="n">
        <v>72961.84</v>
      </c>
      <c r="M251" s="92" t="n">
        <v>3390576.2696</v>
      </c>
      <c r="N251" s="94" t="n">
        <v>30459239.27</v>
      </c>
      <c r="O251" s="94" t="n">
        <v>26477.5564</v>
      </c>
      <c r="P251" s="94" t="n">
        <v>922.0321</v>
      </c>
      <c r="Q251" s="92" t="n">
        <v>41829.37</v>
      </c>
      <c r="R251" s="94" t="n">
        <v>336477744.2731</v>
      </c>
      <c r="S251" s="94" t="n">
        <v>999611845.7852</v>
      </c>
      <c r="T251" s="95">
        <f>IF(OR(R251="",R250=""),"",R251-R250)</f>
        <v/>
      </c>
      <c r="U251" s="95">
        <f>IF(OR(S251="",S250=""),"",S251-S250)</f>
        <v/>
      </c>
      <c r="V251" s="95">
        <f>IF(OR(U251="",P251=""),"",U251+P251)</f>
        <v/>
      </c>
      <c r="W251" s="95">
        <f>IF(OR(T251="",O251="",P251=""),"",T251-O251+P251)</f>
        <v/>
      </c>
    </row>
    <row r="252">
      <c r="A252" s="35" t="n">
        <v>45906</v>
      </c>
      <c r="B252" s="92" t="n">
        <v>3331797735.063243</v>
      </c>
      <c r="C252" s="92" t="n"/>
      <c r="D252" s="92" t="n">
        <v>0</v>
      </c>
      <c r="E252" s="92" t="n">
        <v>996785.99767</v>
      </c>
      <c r="F252" s="92" t="n">
        <v>0</v>
      </c>
      <c r="G252" s="92" t="n">
        <v>0</v>
      </c>
      <c r="H252" s="92" t="n">
        <v>86566</v>
      </c>
      <c r="I252" s="92" t="n">
        <v>113097</v>
      </c>
      <c r="J252" s="92" t="n">
        <v>9924.966067739862</v>
      </c>
      <c r="K252" s="92" t="n">
        <v>26595.36</v>
      </c>
      <c r="L252" s="94" t="n">
        <v>21417.47</v>
      </c>
      <c r="M252" s="92" t="n">
        <v>996785.99767</v>
      </c>
      <c r="N252" s="94" t="n">
        <v>30480656.74</v>
      </c>
      <c r="O252" s="94" t="n">
        <v>26466.1282</v>
      </c>
      <c r="P252" s="94" t="n">
        <v>660.0802</v>
      </c>
      <c r="Q252" s="92" t="n">
        <v>31311.23</v>
      </c>
      <c r="R252" s="94" t="n">
        <v>336489014.1038</v>
      </c>
      <c r="S252" s="94" t="n">
        <v>999611185.705</v>
      </c>
      <c r="T252" s="95">
        <f>IF(OR(R252="",R251=""),"",R252-R251)</f>
        <v/>
      </c>
      <c r="U252" s="95">
        <f>IF(OR(S252="",S251=""),"",S252-S251)</f>
        <v/>
      </c>
      <c r="V252" s="95">
        <f>IF(OR(U252="",P252=""),"",U252+P252)</f>
        <v/>
      </c>
      <c r="W252" s="95">
        <f>IF(OR(T252="",O252="",P252=""),"",T252-O252+P252)</f>
        <v/>
      </c>
    </row>
    <row r="253">
      <c r="A253" s="35" t="n">
        <v>45907</v>
      </c>
      <c r="B253" s="92" t="n">
        <v>3844405859.281347</v>
      </c>
      <c r="C253" s="92" t="n">
        <v>228441598.2557046</v>
      </c>
      <c r="D253" s="92" t="n">
        <v>0</v>
      </c>
      <c r="E253" s="92" t="n">
        <v>1076047.8964</v>
      </c>
      <c r="F253" s="92" t="n">
        <v>0</v>
      </c>
      <c r="G253" s="92" t="n">
        <v>0</v>
      </c>
      <c r="H253" s="92" t="n">
        <v>107118</v>
      </c>
      <c r="I253" s="92" t="n">
        <v>140516</v>
      </c>
      <c r="J253" s="92" t="n">
        <v>10078.66332137399</v>
      </c>
      <c r="K253" s="92" t="n">
        <v>0</v>
      </c>
      <c r="L253" s="94" t="n">
        <v>22861.04</v>
      </c>
      <c r="M253" s="92" t="n">
        <v>1076047.8964</v>
      </c>
      <c r="N253" s="94" t="n">
        <v>30503517.78</v>
      </c>
      <c r="O253" s="94" t="n">
        <v>26495.0245</v>
      </c>
      <c r="P253" s="94" t="n">
        <v>869.383</v>
      </c>
      <c r="Q253" s="92" t="n">
        <v>40168.54</v>
      </c>
      <c r="R253" s="94" t="n">
        <v>336500096.3823</v>
      </c>
      <c r="S253" s="94" t="n">
        <v>999610316.322</v>
      </c>
      <c r="T253" s="95">
        <f>IF(OR(R253="",R252=""),"",R253-R252)</f>
        <v/>
      </c>
      <c r="U253" s="95">
        <f>IF(OR(S253="",S252=""),"",S253-S252)</f>
        <v/>
      </c>
      <c r="V253" s="95">
        <f>IF(OR(U253="",P253=""),"",U253+P253)</f>
        <v/>
      </c>
      <c r="W253" s="95">
        <f>IF(OR(T253="",O253="",P253=""),"",T253-O253+P253)</f>
        <v/>
      </c>
    </row>
    <row r="254">
      <c r="A254" s="35" t="n">
        <v>45908</v>
      </c>
      <c r="B254" s="92" t="n">
        <v>9243638471.371004</v>
      </c>
      <c r="C254" s="92" t="n">
        <v>560130865.134505</v>
      </c>
      <c r="D254" s="92" t="n">
        <v>0</v>
      </c>
      <c r="E254" s="92" t="n">
        <v>2646828.64244</v>
      </c>
      <c r="F254" s="92" t="n">
        <v>0</v>
      </c>
      <c r="G254" s="92" t="n">
        <v>0</v>
      </c>
      <c r="H254" s="92" t="n">
        <v>217527</v>
      </c>
      <c r="I254" s="92" t="n">
        <v>273056</v>
      </c>
      <c r="J254" s="92" t="n">
        <v>30522.43348773766</v>
      </c>
      <c r="K254" s="92" t="n">
        <v>23586.38</v>
      </c>
      <c r="L254" s="94" t="n">
        <v>52527.18</v>
      </c>
      <c r="M254" s="92" t="n">
        <v>2646828.64244</v>
      </c>
      <c r="N254" s="94" t="n">
        <v>30556044.96</v>
      </c>
      <c r="O254" s="94" t="n">
        <v>26585.8381</v>
      </c>
      <c r="P254" s="94" t="n">
        <v>393.8362</v>
      </c>
      <c r="Q254" s="92" t="n">
        <v>18541.02</v>
      </c>
      <c r="R254" s="94" t="n">
        <v>336511744.2139</v>
      </c>
      <c r="S254" s="94" t="n">
        <v>999609922.4858</v>
      </c>
      <c r="T254" s="95">
        <f>IF(OR(R254="",R253=""),"",R254-R253)</f>
        <v/>
      </c>
      <c r="U254" s="95">
        <f>IF(OR(S254="",S253=""),"",S254-S253)</f>
        <v/>
      </c>
      <c r="V254" s="95">
        <f>IF(OR(U254="",P254=""),"",U254+P254)</f>
        <v/>
      </c>
      <c r="W254" s="95">
        <f>IF(OR(T254="",O254="",P254=""),"",T254-O254+P254)</f>
        <v/>
      </c>
    </row>
    <row r="255">
      <c r="A255" s="35" t="n">
        <v>45909</v>
      </c>
      <c r="B255" s="92" t="n">
        <v>10021381731.79487</v>
      </c>
      <c r="C255" s="92" t="n">
        <v>699243944.8881996</v>
      </c>
      <c r="D255" s="92" t="n">
        <v>0</v>
      </c>
      <c r="E255" s="92" t="n">
        <v>2868805.13371</v>
      </c>
      <c r="F255" s="92" t="n">
        <v>0</v>
      </c>
      <c r="G255" s="92" t="n">
        <v>0</v>
      </c>
      <c r="H255" s="92" t="n">
        <v>342654</v>
      </c>
      <c r="I255" s="92" t="n">
        <v>413034</v>
      </c>
      <c r="J255" s="92" t="n">
        <v>44114.14466879103</v>
      </c>
      <c r="K255" s="92" t="n">
        <v>32581.41</v>
      </c>
      <c r="L255" s="94" t="n">
        <v>53818.18</v>
      </c>
      <c r="M255" s="92" t="n">
        <v>2868805.13371</v>
      </c>
      <c r="N255" s="94" t="n">
        <v>30609863.14</v>
      </c>
      <c r="O255" s="94" t="n">
        <v>26573.7835</v>
      </c>
      <c r="P255" s="94" t="n">
        <v>1758.4763</v>
      </c>
      <c r="Q255" s="92" t="n">
        <v>89376.32000000001</v>
      </c>
      <c r="R255" s="94" t="n">
        <v>336522020.0713</v>
      </c>
      <c r="S255" s="94" t="n">
        <v>999608164.0095</v>
      </c>
      <c r="T255" s="95">
        <f>IF(OR(R255="",R254=""),"",R255-R254)</f>
        <v/>
      </c>
      <c r="U255" s="95">
        <f>IF(OR(S255="",S254=""),"",S255-S254)</f>
        <v/>
      </c>
      <c r="V255" s="95">
        <f>IF(OR(U255="",P255=""),"",U255+P255)</f>
        <v/>
      </c>
      <c r="W255" s="95">
        <f>IF(OR(T255="",O255="",P255=""),"",T255-O255+P255)</f>
        <v/>
      </c>
    </row>
    <row r="256">
      <c r="A256" s="35" t="n">
        <v>45910</v>
      </c>
      <c r="B256" s="92" t="n">
        <v>10548513640.86533</v>
      </c>
      <c r="C256" s="92" t="n">
        <v>719104547.408921</v>
      </c>
      <c r="D256" s="92" t="n">
        <v>0</v>
      </c>
      <c r="E256" s="92" t="n">
        <v>3110976.397</v>
      </c>
      <c r="F256" s="92" t="n">
        <v>0</v>
      </c>
      <c r="G256" s="92" t="n">
        <v>0</v>
      </c>
      <c r="H256" s="92" t="n">
        <v>352169</v>
      </c>
      <c r="I256" s="92" t="n">
        <v>460271</v>
      </c>
      <c r="J256" s="92" t="n">
        <v>64920.65873867486</v>
      </c>
      <c r="K256" s="92" t="n">
        <v>0</v>
      </c>
      <c r="L256" s="94" t="n">
        <v>56960.36</v>
      </c>
      <c r="M256" s="92" t="n">
        <v>3110976.397</v>
      </c>
      <c r="N256" s="94" t="n">
        <v>30667003.89</v>
      </c>
      <c r="O256" s="94" t="n">
        <v>26497.9912</v>
      </c>
      <c r="P256" s="94" t="n">
        <v>1883.9013</v>
      </c>
      <c r="Q256" s="92" t="n">
        <v>99843</v>
      </c>
      <c r="R256" s="94" t="n">
        <v>336532181.8449</v>
      </c>
      <c r="S256" s="94" t="n">
        <v>999606280.1082</v>
      </c>
      <c r="T256" s="95">
        <f>IF(OR(R256="",R255=""),"",R256-R255)</f>
        <v/>
      </c>
      <c r="U256" s="95">
        <f>IF(OR(S256="",S255=""),"",S256-S255)</f>
        <v/>
      </c>
      <c r="V256" s="95">
        <f>IF(OR(U256="",P256=""),"",U256+P256)</f>
        <v/>
      </c>
      <c r="W256" s="95">
        <f>IF(OR(T256="",O256="",P256=""),"",T256-O256+P256)</f>
        <v/>
      </c>
    </row>
    <row r="257">
      <c r="A257" s="35" t="n">
        <v>45911</v>
      </c>
      <c r="B257" s="92" t="n">
        <v>10439854514.59675</v>
      </c>
      <c r="C257" s="92" t="n">
        <v>1094741476.282402</v>
      </c>
      <c r="D257" s="92" t="n">
        <v>0</v>
      </c>
      <c r="E257" s="92" t="n">
        <v>2776718.36674</v>
      </c>
      <c r="F257" s="92" t="n">
        <v>0</v>
      </c>
      <c r="G257" s="92" t="n">
        <v>0</v>
      </c>
      <c r="H257" s="92" t="n">
        <v>675011</v>
      </c>
      <c r="I257" s="92" t="n">
        <v>877218</v>
      </c>
      <c r="J257" s="92" t="n">
        <v>49875.71239998077</v>
      </c>
      <c r="K257" s="92" t="n">
        <v>38608.58</v>
      </c>
      <c r="L257" s="94" t="n">
        <v>50755.36</v>
      </c>
      <c r="M257" s="92" t="n">
        <v>2776718.36674</v>
      </c>
      <c r="N257" s="94" t="n">
        <v>30717578.86</v>
      </c>
      <c r="O257" s="94" t="n">
        <v>26585.6629</v>
      </c>
      <c r="P257" s="94" t="n">
        <v>962.3786</v>
      </c>
      <c r="Q257" s="92" t="n">
        <v>53594.86</v>
      </c>
      <c r="R257" s="94" t="n">
        <v>336543284.3194</v>
      </c>
      <c r="S257" s="94" t="n">
        <v>999605317.7296</v>
      </c>
      <c r="T257" s="95">
        <f>IF(OR(R257="",R256=""),"",R257-R256)</f>
        <v/>
      </c>
      <c r="U257" s="95">
        <f>IF(OR(S257="",S256=""),"",S257-S256)</f>
        <v/>
      </c>
      <c r="V257" s="95">
        <f>IF(OR(U257="",P257=""),"",U257+P257)</f>
        <v/>
      </c>
      <c r="W257" s="95">
        <f>IF(OR(T257="",O257="",P257=""),"",T257-O257+P257)</f>
        <v/>
      </c>
    </row>
    <row r="258">
      <c r="A258" s="35" t="n">
        <v>45912</v>
      </c>
      <c r="B258" s="92" t="n">
        <v>11233080580.32552</v>
      </c>
      <c r="C258" s="92" t="n">
        <v>1094479775.509347</v>
      </c>
      <c r="D258" s="92" t="n">
        <v>0</v>
      </c>
      <c r="E258" s="92" t="n">
        <v>3886527.32367</v>
      </c>
      <c r="F258" s="92" t="n">
        <v>0</v>
      </c>
      <c r="G258" s="92" t="n">
        <v>0</v>
      </c>
      <c r="H258" s="92" t="n">
        <v>719743</v>
      </c>
      <c r="I258" s="92" t="n">
        <v>932625</v>
      </c>
      <c r="J258" s="92" t="n">
        <v>27942.40777418236</v>
      </c>
      <c r="K258" s="92" t="n">
        <v>40234.03</v>
      </c>
      <c r="L258" s="94" t="n">
        <v>69085.89999999999</v>
      </c>
      <c r="M258" s="92" t="n">
        <v>3886527.32367</v>
      </c>
      <c r="N258" s="94" t="n">
        <v>30786664.76</v>
      </c>
      <c r="O258" s="94" t="n">
        <v>26596.9858</v>
      </c>
      <c r="P258" s="94" t="n">
        <v>1764.2211</v>
      </c>
      <c r="Q258" s="92" t="n">
        <v>100437.99</v>
      </c>
      <c r="R258" s="94" t="n">
        <v>336553589.8043</v>
      </c>
      <c r="S258" s="94" t="n">
        <v>999603553.5085</v>
      </c>
      <c r="T258" s="95">
        <f>IF(OR(R258="",R257=""),"",R258-R257)</f>
        <v/>
      </c>
      <c r="U258" s="95">
        <f>IF(OR(S258="",S257=""),"",S258-S257)</f>
        <v/>
      </c>
      <c r="V258" s="95">
        <f>IF(OR(U258="",P258=""),"",U258+P258)</f>
        <v/>
      </c>
      <c r="W258" s="95">
        <f>IF(OR(T258="",O258="",P258=""),"",T258-O258+P258)</f>
        <v/>
      </c>
    </row>
    <row r="259">
      <c r="A259" s="35" t="n">
        <v>45913</v>
      </c>
      <c r="B259" s="92" t="n">
        <v>7135097960.119803</v>
      </c>
      <c r="C259" s="92" t="n">
        <v>938167075.8207673</v>
      </c>
      <c r="D259" s="92" t="n">
        <v>0</v>
      </c>
      <c r="E259" s="92" t="n">
        <v>2341465.7437</v>
      </c>
      <c r="F259" s="92" t="n">
        <v>0</v>
      </c>
      <c r="G259" s="92" t="n">
        <v>0</v>
      </c>
      <c r="H259" s="92" t="n">
        <v>667731</v>
      </c>
      <c r="I259" s="92" t="n">
        <v>872004</v>
      </c>
      <c r="J259" s="92" t="n">
        <v>27236.93572255552</v>
      </c>
      <c r="K259" s="92" t="n">
        <v>35238.96</v>
      </c>
      <c r="L259" s="94" t="n">
        <v>42254.53</v>
      </c>
      <c r="M259" s="92" t="n">
        <v>2341465.7437</v>
      </c>
      <c r="N259" s="94" t="n">
        <v>30828919.29</v>
      </c>
      <c r="O259" s="94" t="n">
        <v>26610.6412</v>
      </c>
      <c r="P259" s="94" t="n">
        <v>1590.6385</v>
      </c>
      <c r="Q259" s="92" t="n">
        <v>87889.94</v>
      </c>
      <c r="R259" s="94" t="n">
        <v>336564086.7358</v>
      </c>
      <c r="S259" s="94" t="n">
        <v>999601962.8699</v>
      </c>
      <c r="T259" s="95">
        <f>IF(OR(R259="",R258=""),"",R259-R258)</f>
        <v/>
      </c>
      <c r="U259" s="95">
        <f>IF(OR(S259="",S258=""),"",S259-S258)</f>
        <v/>
      </c>
      <c r="V259" s="95">
        <f>IF(OR(U259="",P259=""),"",U259+P259)</f>
        <v/>
      </c>
      <c r="W259" s="95">
        <f>IF(OR(T259="",O259="",P259=""),"",T259-O259+P259)</f>
        <v/>
      </c>
    </row>
    <row r="260">
      <c r="A260" s="35" t="n">
        <v>45914</v>
      </c>
      <c r="B260" s="92" t="n">
        <v>7351240468.233036</v>
      </c>
      <c r="C260" s="92" t="n">
        <v>1437490568.857316</v>
      </c>
      <c r="D260" s="92" t="n">
        <v>0</v>
      </c>
      <c r="E260" s="92" t="n">
        <v>2440513.66345</v>
      </c>
      <c r="F260" s="92" t="n">
        <v>0</v>
      </c>
      <c r="G260" s="92" t="n">
        <v>0</v>
      </c>
      <c r="H260" s="92" t="n">
        <v>1177892</v>
      </c>
      <c r="I260" s="92" t="n">
        <v>1484929</v>
      </c>
      <c r="J260" s="92" t="n">
        <v>25193.24964935424</v>
      </c>
      <c r="K260" s="92" t="n">
        <v>69612.11</v>
      </c>
      <c r="L260" s="94" t="n">
        <v>44985.96</v>
      </c>
      <c r="M260" s="92" t="n">
        <v>2440513.66345</v>
      </c>
      <c r="N260" s="94" t="n">
        <v>30873905.25</v>
      </c>
      <c r="O260" s="94" t="n">
        <v>26575.8632</v>
      </c>
      <c r="P260" s="94" t="n">
        <v>1322.6154</v>
      </c>
      <c r="Q260" s="92" t="n">
        <v>72478.66</v>
      </c>
      <c r="R260" s="94" t="n">
        <v>336574841.2925</v>
      </c>
      <c r="S260" s="94" t="n">
        <v>999600640.2546</v>
      </c>
      <c r="T260" s="95">
        <f>IF(OR(R260="",R259=""),"",R260-R259)</f>
        <v/>
      </c>
      <c r="U260" s="95">
        <f>IF(OR(S260="",S259=""),"",S260-S259)</f>
        <v/>
      </c>
      <c r="V260" s="95">
        <f>IF(OR(U260="",P260=""),"",U260+P260)</f>
        <v/>
      </c>
      <c r="W260" s="95">
        <f>IF(OR(T260="",O260="",P260=""),"",T260-O260+P260)</f>
        <v/>
      </c>
    </row>
    <row r="261">
      <c r="A261" s="35" t="n">
        <v>45915</v>
      </c>
      <c r="B261" s="92" t="n">
        <v>10569922363.93654</v>
      </c>
      <c r="C261" s="92" t="n">
        <v>827742710.6427817</v>
      </c>
      <c r="D261" s="92" t="n">
        <v>0</v>
      </c>
      <c r="E261" s="92" t="n">
        <v>3082934.90493</v>
      </c>
      <c r="F261" s="92" t="n">
        <v>0</v>
      </c>
      <c r="G261" s="92" t="n">
        <v>0</v>
      </c>
      <c r="H261" s="92" t="n">
        <v>446016</v>
      </c>
      <c r="I261" s="92" t="n">
        <v>546177</v>
      </c>
      <c r="J261" s="92" t="n">
        <v>39378.1698267149</v>
      </c>
      <c r="K261" s="92" t="n">
        <v>137023.41</v>
      </c>
      <c r="L261" s="94" t="n">
        <v>57922.8</v>
      </c>
      <c r="M261" s="92" t="n">
        <v>3082934.90493</v>
      </c>
      <c r="N261" s="94" t="n">
        <v>30933107.91</v>
      </c>
      <c r="O261" s="94" t="n">
        <v>26579.8241</v>
      </c>
      <c r="P261" s="94" t="n">
        <v>2114.4975</v>
      </c>
      <c r="Q261" s="92" t="n">
        <v>114011.59</v>
      </c>
      <c r="R261" s="94" t="n">
        <v>336584772.8928</v>
      </c>
      <c r="S261" s="94" t="n">
        <v>999598525.757</v>
      </c>
      <c r="T261" s="95">
        <f>IF(OR(R261="",R260=""),"",R261-R260)</f>
        <v/>
      </c>
      <c r="U261" s="95">
        <f>IF(OR(S261="",S260=""),"",S261-S260)</f>
        <v/>
      </c>
      <c r="V261" s="95">
        <f>IF(OR(U261="",P261=""),"",U261+P261)</f>
        <v/>
      </c>
      <c r="W261" s="95">
        <f>IF(OR(T261="",O261="",P261=""),"",T261-O261+P261)</f>
        <v/>
      </c>
    </row>
    <row r="262">
      <c r="A262" s="35" t="n">
        <v>45916</v>
      </c>
      <c r="B262" s="92" t="n">
        <v>8683442695.782038</v>
      </c>
      <c r="C262" s="92" t="n">
        <v>683449994.073549</v>
      </c>
      <c r="D262" s="92" t="n">
        <v>0</v>
      </c>
      <c r="E262" s="92" t="n">
        <v>2594690.27346</v>
      </c>
      <c r="F262" s="92" t="n">
        <v>0</v>
      </c>
      <c r="G262" s="92" t="n">
        <v>0</v>
      </c>
      <c r="H262" s="92" t="n">
        <v>434995</v>
      </c>
      <c r="I262" s="92" t="n">
        <v>513550</v>
      </c>
      <c r="J262" s="92" t="n">
        <v>40156.33760806474</v>
      </c>
      <c r="K262" s="92" t="n">
        <v>0</v>
      </c>
      <c r="L262" s="94" t="n">
        <v>48484.79</v>
      </c>
      <c r="M262" s="92" t="n">
        <v>2594690.27346</v>
      </c>
      <c r="N262" s="94" t="n">
        <v>30980292.85</v>
      </c>
      <c r="O262" s="94" t="n">
        <v>26544.4866</v>
      </c>
      <c r="P262" s="94" t="n">
        <v>3313.2701</v>
      </c>
      <c r="Q262" s="92" t="n">
        <v>178404.68</v>
      </c>
      <c r="R262" s="94" t="n">
        <v>336593454.9461</v>
      </c>
      <c r="S262" s="94" t="n">
        <v>999595212.487</v>
      </c>
      <c r="T262" s="95">
        <f>IF(OR(R262="",R261=""),"",R262-R261)</f>
        <v/>
      </c>
      <c r="U262" s="95">
        <f>IF(OR(S262="",S261=""),"",S262-S261)</f>
        <v/>
      </c>
      <c r="V262" s="95">
        <f>IF(OR(U262="",P262=""),"",U262+P262)</f>
        <v/>
      </c>
      <c r="W262" s="95">
        <f>IF(OR(T262="",O262="",P262=""),"",T262-O262+P262)</f>
        <v/>
      </c>
    </row>
    <row r="263">
      <c r="A263" s="35" t="n">
        <v>45917</v>
      </c>
      <c r="B263" s="92" t="n">
        <v>12223979385.21501</v>
      </c>
      <c r="C263" s="92" t="n">
        <v>969217220.8807002</v>
      </c>
      <c r="D263" s="92" t="n">
        <v>0</v>
      </c>
      <c r="E263" s="92" t="n">
        <v>3503801.88959</v>
      </c>
      <c r="F263" s="92" t="n">
        <v>0</v>
      </c>
      <c r="G263" s="92" t="n">
        <v>0</v>
      </c>
      <c r="H263" s="92" t="n">
        <v>619267</v>
      </c>
      <c r="I263" s="92" t="n">
        <v>733442</v>
      </c>
      <c r="J263" s="92" t="n">
        <v>37998.55017001093</v>
      </c>
      <c r="K263" s="92" t="n">
        <v>40795.08</v>
      </c>
      <c r="L263" s="94" t="n">
        <v>63294.81</v>
      </c>
      <c r="M263" s="92" t="n">
        <v>3503801.88959</v>
      </c>
      <c r="N263" s="94" t="n">
        <v>31042329.24</v>
      </c>
      <c r="O263" s="94" t="n">
        <v>26519.9032</v>
      </c>
      <c r="P263" s="94" t="n">
        <v>697.1051</v>
      </c>
      <c r="Q263" s="92" t="n">
        <v>37697.7</v>
      </c>
      <c r="R263" s="94" t="n">
        <v>336604666.9719</v>
      </c>
      <c r="S263" s="94" t="n">
        <v>999594515.3819</v>
      </c>
      <c r="T263" s="95">
        <f>IF(OR(R263="",R262=""),"",R263-R262)</f>
        <v/>
      </c>
      <c r="U263" s="95">
        <f>IF(OR(S263="",S262=""),"",S263-S262)</f>
        <v/>
      </c>
      <c r="V263" s="95">
        <f>IF(OR(U263="",P263=""),"",U263+P263)</f>
        <v/>
      </c>
      <c r="W263" s="95">
        <f>IF(OR(T263="",O263="",P263=""),"",T263-O263+P263)</f>
        <v/>
      </c>
    </row>
    <row r="264">
      <c r="A264" s="35" t="n">
        <v>45918</v>
      </c>
      <c r="B264" s="92" t="n">
        <v>9613850551.592533</v>
      </c>
      <c r="C264" s="92" t="n">
        <v>850496679.2463367</v>
      </c>
      <c r="D264" s="92" t="n">
        <v>0</v>
      </c>
      <c r="E264" s="92" t="n">
        <v>2978630.80127</v>
      </c>
      <c r="F264" s="92" t="n">
        <v>0</v>
      </c>
      <c r="G264" s="92" t="n">
        <v>0</v>
      </c>
      <c r="H264" s="92" t="n">
        <v>512239</v>
      </c>
      <c r="I264" s="92" t="n">
        <v>590986</v>
      </c>
      <c r="J264" s="92" t="n">
        <v>40751.90259362284</v>
      </c>
      <c r="K264" s="92" t="n">
        <v>40354.24</v>
      </c>
      <c r="L264" s="94" t="n">
        <v>51082.94</v>
      </c>
      <c r="M264" s="92" t="n">
        <v>2978630.80127</v>
      </c>
      <c r="N264" s="94" t="n">
        <v>31094690.59</v>
      </c>
      <c r="O264" s="94" t="n">
        <v>26535.3939</v>
      </c>
      <c r="P264" s="94" t="n">
        <v>1522.8477</v>
      </c>
      <c r="Q264" s="92" t="n">
        <v>88170.60000000001</v>
      </c>
      <c r="R264" s="94" t="n">
        <v>336615136.9378</v>
      </c>
      <c r="S264" s="94" t="n">
        <v>999592992.5341001</v>
      </c>
      <c r="T264" s="95">
        <f>IF(OR(R264="",R263=""),"",R264-R263)</f>
        <v/>
      </c>
      <c r="U264" s="95">
        <f>IF(OR(S264="",S263=""),"",S264-S263)</f>
        <v/>
      </c>
      <c r="V264" s="95">
        <f>IF(OR(U264="",P264=""),"",U264+P264)</f>
        <v/>
      </c>
      <c r="W264" s="95">
        <f>IF(OR(T264="",O264="",P264=""),"",T264-O264+P264)</f>
        <v/>
      </c>
    </row>
    <row r="265">
      <c r="A265" s="35" t="n">
        <v>45919</v>
      </c>
      <c r="B265" s="92" t="n">
        <v>9088388320.053013</v>
      </c>
      <c r="C265" s="92" t="n">
        <v>595975324.2508047</v>
      </c>
      <c r="D265" s="92" t="n">
        <v>0</v>
      </c>
      <c r="E265" s="92" t="n">
        <v>2702384.64833</v>
      </c>
      <c r="F265" s="92" t="n">
        <v>0</v>
      </c>
      <c r="G265" s="92" t="n">
        <v>0</v>
      </c>
      <c r="H265" s="92" t="n">
        <v>314403</v>
      </c>
      <c r="I265" s="92" t="n">
        <v>380519</v>
      </c>
      <c r="J265" s="92" t="n">
        <v>38873.93532871857</v>
      </c>
      <c r="K265" s="92" t="n">
        <v>61834.55</v>
      </c>
      <c r="L265" s="94" t="n">
        <v>47875.75</v>
      </c>
      <c r="M265" s="92" t="n">
        <v>2702384.64833</v>
      </c>
      <c r="N265" s="94" t="n">
        <v>31142566.34</v>
      </c>
      <c r="O265" s="94" t="n">
        <v>26519.1483</v>
      </c>
      <c r="P265" s="94" t="n">
        <v>1422.2344</v>
      </c>
      <c r="Q265" s="92" t="n">
        <v>83616</v>
      </c>
      <c r="R265" s="94" t="n">
        <v>336625675.5579</v>
      </c>
      <c r="S265" s="94" t="n">
        <v>999591570.2998</v>
      </c>
      <c r="T265" s="95">
        <f>IF(OR(R265="",R264=""),"",R265-R264)</f>
        <v/>
      </c>
      <c r="U265" s="95">
        <f>IF(OR(S265="",S264=""),"",S265-S264)</f>
        <v/>
      </c>
      <c r="V265" s="95">
        <f>IF(OR(U265="",P265=""),"",U265+P265)</f>
        <v/>
      </c>
      <c r="W265" s="95">
        <f>IF(OR(T265="",O265="",P265=""),"",T265-O265+P265)</f>
        <v/>
      </c>
    </row>
    <row r="266">
      <c r="A266" s="35" t="n">
        <v>45920</v>
      </c>
      <c r="B266" s="92" t="n">
        <v>4219380098.346895</v>
      </c>
      <c r="C266" s="92" t="n">
        <v>462163180.4315408</v>
      </c>
      <c r="D266" s="92" t="n">
        <v>0</v>
      </c>
      <c r="E266" s="92" t="n">
        <v>1449428.03146</v>
      </c>
      <c r="F266" s="92" t="n">
        <v>0</v>
      </c>
      <c r="G266" s="92" t="n">
        <v>0</v>
      </c>
      <c r="H266" s="92" t="n">
        <v>278589</v>
      </c>
      <c r="I266" s="92" t="n">
        <v>334244</v>
      </c>
      <c r="J266" s="92" t="n">
        <v>20787.05471263842</v>
      </c>
      <c r="K266" s="92" t="n">
        <v>0</v>
      </c>
      <c r="L266" s="94" t="n">
        <v>26174.58</v>
      </c>
      <c r="M266" s="92" t="n">
        <v>1449428.03146</v>
      </c>
      <c r="N266" s="94" t="n">
        <v>31168740.92</v>
      </c>
      <c r="O266" s="94" t="n">
        <v>26520.645</v>
      </c>
      <c r="P266" s="94" t="n">
        <v>1487.1558</v>
      </c>
      <c r="Q266" s="92" t="n">
        <v>83413.82000000001</v>
      </c>
      <c r="R266" s="94" t="n">
        <v>336636118.7715</v>
      </c>
      <c r="S266" s="94" t="n">
        <v>999590083.1440001</v>
      </c>
      <c r="T266" s="95">
        <f>IF(OR(R266="",R265=""),"",R266-R265)</f>
        <v/>
      </c>
      <c r="U266" s="95">
        <f>IF(OR(S266="",S265=""),"",S266-S265)</f>
        <v/>
      </c>
      <c r="V266" s="95">
        <f>IF(OR(U266="",P266=""),"",U266+P266)</f>
        <v/>
      </c>
      <c r="W266" s="95">
        <f>IF(OR(T266="",O266="",P266=""),"",T266-O266+P266)</f>
        <v/>
      </c>
    </row>
    <row r="267">
      <c r="A267" s="35" t="n">
        <v>45921</v>
      </c>
      <c r="B267" s="92" t="n">
        <v>5311897299.167199</v>
      </c>
      <c r="C267" s="92" t="n">
        <v>486691901.0599771</v>
      </c>
      <c r="D267" s="92" t="n">
        <v>0</v>
      </c>
      <c r="E267" s="92" t="n">
        <v>1731316.00493</v>
      </c>
      <c r="F267" s="92" t="n">
        <v>0</v>
      </c>
      <c r="G267" s="92" t="n">
        <v>0</v>
      </c>
      <c r="H267" s="92" t="n">
        <v>227210</v>
      </c>
      <c r="I267" s="92" t="n">
        <v>269790</v>
      </c>
      <c r="J267" s="92" t="n">
        <v>24836.73302502789</v>
      </c>
      <c r="K267" s="92" t="n">
        <v>53372.92</v>
      </c>
      <c r="L267" s="94" t="n">
        <v>32969.48</v>
      </c>
      <c r="M267" s="92" t="n">
        <v>1731316.00493</v>
      </c>
      <c r="N267" s="94" t="n">
        <v>31202104.65</v>
      </c>
      <c r="O267" s="94" t="n">
        <v>26520.6144</v>
      </c>
      <c r="P267" s="94" t="n">
        <v>379.3241</v>
      </c>
      <c r="Q267" s="92" t="n">
        <v>20554.24</v>
      </c>
      <c r="R267" s="94" t="n">
        <v>336647662.2603</v>
      </c>
      <c r="S267" s="94" t="n">
        <v>999589703.8199</v>
      </c>
      <c r="T267" s="95">
        <f>IF(OR(R267="",R266=""),"",R267-R266)</f>
        <v/>
      </c>
      <c r="U267" s="95">
        <f>IF(OR(S267="",S266=""),"",S267-S266)</f>
        <v/>
      </c>
      <c r="V267" s="95">
        <f>IF(OR(U267="",P267=""),"",U267+P267)</f>
        <v/>
      </c>
      <c r="W267" s="95">
        <f>IF(OR(T267="",O267="",P267=""),"",T267-O267+P267)</f>
        <v/>
      </c>
    </row>
    <row r="268">
      <c r="A268" s="35" t="n">
        <v>45922</v>
      </c>
      <c r="B268" s="92" t="n">
        <v>16410899803.68904</v>
      </c>
      <c r="C268" s="92" t="n">
        <v>800897188.7099341</v>
      </c>
      <c r="D268" s="92" t="n">
        <v>0</v>
      </c>
      <c r="E268" s="92" t="n">
        <v>4825143.11409</v>
      </c>
      <c r="F268" s="92" t="n">
        <v>0</v>
      </c>
      <c r="G268" s="92" t="n">
        <v>0</v>
      </c>
      <c r="H268" s="92" t="n">
        <v>253053</v>
      </c>
      <c r="I268" s="92" t="n">
        <v>327310</v>
      </c>
      <c r="J268" s="92" t="n">
        <v>83905.02673487215</v>
      </c>
      <c r="K268" s="92" t="n">
        <v>31873.95</v>
      </c>
      <c r="L268" s="94" t="n">
        <v>99115.08</v>
      </c>
      <c r="M268" s="92" t="n">
        <v>4825143.11409</v>
      </c>
      <c r="N268" s="94" t="n">
        <v>31301565.54</v>
      </c>
      <c r="O268" s="94" t="n">
        <v>26481.2514</v>
      </c>
      <c r="P268" s="94" t="n">
        <v>1654.3808</v>
      </c>
      <c r="Q268" s="92" t="n">
        <v>84301.45</v>
      </c>
      <c r="R268" s="94" t="n">
        <v>336657935.7533</v>
      </c>
      <c r="S268" s="94" t="n">
        <v>999588049.4392</v>
      </c>
      <c r="T268" s="95">
        <f>IF(OR(R268="",R267=""),"",R268-R267)</f>
        <v/>
      </c>
      <c r="U268" s="95">
        <f>IF(OR(S268="",S267=""),"",S268-S267)</f>
        <v/>
      </c>
      <c r="V268" s="95">
        <f>IF(OR(U268="",P268=""),"",U268+P268)</f>
        <v/>
      </c>
      <c r="W268" s="95">
        <f>IF(OR(T268="",O268="",P268=""),"",T268-O268+P268)</f>
        <v/>
      </c>
    </row>
    <row r="269">
      <c r="A269" s="35" t="n">
        <v>45923</v>
      </c>
      <c r="B269" s="92" t="n">
        <v>9710818917.334631</v>
      </c>
      <c r="C269" s="92" t="n">
        <v>525141559.9408007</v>
      </c>
      <c r="D269" s="92" t="n">
        <v>0</v>
      </c>
      <c r="E269" s="92" t="n">
        <v>2814059.09028</v>
      </c>
      <c r="F269" s="92" t="n">
        <v>0</v>
      </c>
      <c r="G269" s="92" t="n">
        <v>0</v>
      </c>
      <c r="H269" s="92" t="n">
        <v>179008</v>
      </c>
      <c r="I269" s="92" t="n">
        <v>222638</v>
      </c>
      <c r="J269" s="92" t="n">
        <v>53833.42766994093</v>
      </c>
      <c r="K269" s="92" t="n">
        <v>0</v>
      </c>
      <c r="L269" s="94" t="n">
        <v>60343.93</v>
      </c>
      <c r="M269" s="92" t="n">
        <v>2814059.09028</v>
      </c>
      <c r="N269" s="94" t="n">
        <v>31361169.41</v>
      </c>
      <c r="O269" s="94" t="n">
        <v>26550.3898</v>
      </c>
      <c r="P269" s="94" t="n">
        <v>1779.5668</v>
      </c>
      <c r="Q269" s="92" t="n">
        <v>83417.19</v>
      </c>
      <c r="R269" s="94" t="n">
        <v>336668163.6611</v>
      </c>
      <c r="S269" s="94" t="n">
        <v>999586269.8724</v>
      </c>
      <c r="T269" s="95">
        <f>IF(OR(R269="",R268=""),"",R269-R268)</f>
        <v/>
      </c>
      <c r="U269" s="95">
        <f>IF(OR(S269="",S268=""),"",S269-S268)</f>
        <v/>
      </c>
      <c r="V269" s="95">
        <f>IF(OR(U269="",P269=""),"",U269+P269)</f>
        <v/>
      </c>
      <c r="W269" s="95">
        <f>IF(OR(T269="",O269="",P269=""),"",T269-O269+P269)</f>
        <v/>
      </c>
    </row>
    <row r="270">
      <c r="A270" s="35" t="n">
        <v>45924</v>
      </c>
      <c r="B270" s="92" t="n">
        <v>9364843437.613741</v>
      </c>
      <c r="C270" s="92" t="n">
        <v>548805474.7437638</v>
      </c>
      <c r="D270" s="92" t="n">
        <v>0</v>
      </c>
      <c r="E270" s="92" t="n">
        <v>2663425.83059</v>
      </c>
      <c r="F270" s="92" t="n">
        <v>0</v>
      </c>
      <c r="G270" s="92" t="n">
        <v>0</v>
      </c>
      <c r="H270" s="92" t="n">
        <v>173179</v>
      </c>
      <c r="I270" s="92" t="n">
        <v>211012</v>
      </c>
      <c r="J270" s="92" t="n">
        <v>145666.6182970873</v>
      </c>
      <c r="K270" s="92" t="n">
        <v>26322.72</v>
      </c>
      <c r="L270" s="94" t="n">
        <v>59159.16</v>
      </c>
      <c r="M270" s="92" t="n">
        <v>2663425.83059</v>
      </c>
      <c r="N270" s="94" t="n">
        <v>31420547.02</v>
      </c>
      <c r="O270" s="94" t="n">
        <v>26333.996</v>
      </c>
      <c r="P270" s="94" t="n">
        <v>1059.8152</v>
      </c>
      <c r="Q270" s="92" t="n">
        <v>47413.48</v>
      </c>
      <c r="R270" s="94" t="n">
        <v>336678806.3201</v>
      </c>
      <c r="S270" s="94" t="n">
        <v>999585210.0572</v>
      </c>
      <c r="T270" s="95">
        <f>IF(OR(R270="",R269=""),"",R270-R269)</f>
        <v/>
      </c>
      <c r="U270" s="95">
        <f>IF(OR(S270="",S269=""),"",S270-S269)</f>
        <v/>
      </c>
      <c r="V270" s="95">
        <f>IF(OR(U270="",P270=""),"",U270+P270)</f>
        <v/>
      </c>
      <c r="W270" s="95">
        <f>IF(OR(T270="",O270="",P270=""),"",T270-O270+P270)</f>
        <v/>
      </c>
    </row>
    <row r="271">
      <c r="A271" s="35" t="n">
        <v>45925</v>
      </c>
      <c r="B271" s="92" t="n">
        <v>17338409014.86723</v>
      </c>
      <c r="C271" s="92" t="n">
        <v>1272071931.26043</v>
      </c>
      <c r="D271" s="92" t="n">
        <v>0</v>
      </c>
      <c r="E271" s="92" t="n">
        <v>5027352.35541</v>
      </c>
      <c r="F271" s="92" t="n">
        <v>0</v>
      </c>
      <c r="G271" s="92" t="n">
        <v>0</v>
      </c>
      <c r="H271" s="92" t="n">
        <v>416147</v>
      </c>
      <c r="I271" s="92" t="n">
        <v>607352</v>
      </c>
      <c r="J271" s="92" t="n">
        <v>111412.3042617545</v>
      </c>
      <c r="K271" s="92" t="n">
        <v>32452.93</v>
      </c>
      <c r="L271" s="94" t="n">
        <v>119037.7</v>
      </c>
      <c r="M271" s="92" t="n">
        <v>5027352.35541</v>
      </c>
      <c r="N271" s="94" t="n">
        <v>31539671.17</v>
      </c>
      <c r="O271" s="94" t="n">
        <v>26490.2406</v>
      </c>
      <c r="P271" s="94" t="n">
        <v>1835.6658</v>
      </c>
      <c r="Q271" s="92" t="n">
        <v>84070.74000000001</v>
      </c>
      <c r="R271" s="94" t="n">
        <v>336688872.2694</v>
      </c>
      <c r="S271" s="94" t="n">
        <v>999583374.3914</v>
      </c>
      <c r="T271" s="95">
        <f>IF(OR(R271="",R270=""),"",R271-R270)</f>
        <v/>
      </c>
      <c r="U271" s="95">
        <f>IF(OR(S271="",S270=""),"",S271-S270)</f>
        <v/>
      </c>
      <c r="V271" s="95">
        <f>IF(OR(U271="",P271=""),"",U271+P271)</f>
        <v/>
      </c>
      <c r="W271" s="95">
        <f>IF(OR(T271="",O271="",P271=""),"",T271-O271+P271)</f>
        <v/>
      </c>
    </row>
    <row r="272">
      <c r="A272" s="35" t="n">
        <v>45926</v>
      </c>
      <c r="B272" s="92" t="n">
        <v>9099654714.808125</v>
      </c>
      <c r="C272" s="92" t="n">
        <v>1070183295.575557</v>
      </c>
      <c r="D272" s="92" t="n">
        <v>0</v>
      </c>
      <c r="E272" s="92" t="n">
        <v>2846935.39964</v>
      </c>
      <c r="F272" s="92" t="n">
        <v>0</v>
      </c>
      <c r="G272" s="92" t="n">
        <v>0</v>
      </c>
      <c r="H272" s="92" t="n">
        <v>318514</v>
      </c>
      <c r="I272" s="92" t="n">
        <v>497915</v>
      </c>
      <c r="J272" s="92" t="n">
        <v>95150.72465556856</v>
      </c>
      <c r="K272" s="92" t="n">
        <v>0</v>
      </c>
      <c r="L272" s="94" t="n">
        <v>65870.34</v>
      </c>
      <c r="M272" s="92" t="n">
        <v>2846935.39964</v>
      </c>
      <c r="N272" s="94" t="n">
        <v>31605236.61</v>
      </c>
      <c r="O272" s="94" t="n">
        <v>26434.0542</v>
      </c>
      <c r="P272" s="94" t="n">
        <v>2653.1531</v>
      </c>
      <c r="Q272" s="92" t="n">
        <v>109171.94</v>
      </c>
      <c r="R272" s="94" t="n">
        <v>336698052.4516</v>
      </c>
      <c r="S272" s="94" t="n">
        <v>999580721.2383</v>
      </c>
      <c r="T272" s="95">
        <f>IF(OR(R272="",R271=""),"",R272-R271)</f>
        <v/>
      </c>
      <c r="U272" s="95">
        <f>IF(OR(S272="",S271=""),"",S272-S271)</f>
        <v/>
      </c>
      <c r="V272" s="95">
        <f>IF(OR(U272="",P272=""),"",U272+P272)</f>
        <v/>
      </c>
      <c r="W272" s="95">
        <f>IF(OR(T272="",O272="",P272=""),"",T272-O272+P272)</f>
        <v/>
      </c>
    </row>
    <row r="273">
      <c r="A273" s="35" t="n">
        <v>45927</v>
      </c>
      <c r="B273" s="92" t="n">
        <v>4181427581.761502</v>
      </c>
      <c r="C273" s="92" t="n">
        <v>655504681.6789134</v>
      </c>
      <c r="D273" s="92" t="n">
        <v>0</v>
      </c>
      <c r="E273" s="92" t="n">
        <v>1460827.72403</v>
      </c>
      <c r="F273" s="92" t="n">
        <v>0</v>
      </c>
      <c r="G273" s="92" t="n">
        <v>0</v>
      </c>
      <c r="H273" s="92" t="n">
        <v>169956</v>
      </c>
      <c r="I273" s="92" t="n">
        <v>293605</v>
      </c>
      <c r="J273" s="92" t="n">
        <v>34516.32436584815</v>
      </c>
      <c r="K273" s="92" t="n">
        <v>22419.21</v>
      </c>
      <c r="L273" s="94" t="n">
        <v>32624.52</v>
      </c>
      <c r="M273" s="92" t="n">
        <v>1460827.72403</v>
      </c>
      <c r="N273" s="94" t="n">
        <v>31675614.22</v>
      </c>
      <c r="O273" s="94" t="n">
        <v>26395.275</v>
      </c>
      <c r="P273" s="94" t="n">
        <v>1489.1978</v>
      </c>
      <c r="Q273" s="92" t="n">
        <v>66844.88</v>
      </c>
      <c r="R273" s="94" t="n">
        <v>336708301.6659</v>
      </c>
      <c r="S273" s="94" t="n">
        <v>999579232.0404</v>
      </c>
      <c r="T273" s="95">
        <f>IF(OR(R273="",R272=""),"",R273-R272)</f>
        <v/>
      </c>
      <c r="U273" s="95">
        <f>IF(OR(S273="",S272=""),"",S273-S272)</f>
        <v/>
      </c>
      <c r="V273" s="95">
        <f>IF(OR(U273="",P273=""),"",U273+P273)</f>
        <v/>
      </c>
      <c r="W273" s="95">
        <f>IF(OR(T273="",O273="",P273=""),"",T273-O273+P273)</f>
        <v/>
      </c>
    </row>
    <row r="274">
      <c r="A274" s="35" t="n">
        <v>45928</v>
      </c>
      <c r="B274" s="92" t="n">
        <v>5697862969.067475</v>
      </c>
      <c r="C274" s="92" t="n">
        <v>529511395.4080792</v>
      </c>
      <c r="D274" s="92" t="n">
        <v>0</v>
      </c>
      <c r="E274" s="92" t="n">
        <v>1713778.62968</v>
      </c>
      <c r="F274" s="92" t="n">
        <v>0</v>
      </c>
      <c r="G274" s="92" t="n">
        <v>0</v>
      </c>
      <c r="H274" s="92" t="n">
        <v>147917</v>
      </c>
      <c r="I274" s="92" t="n">
        <v>212923</v>
      </c>
      <c r="J274" s="92" t="n">
        <v>42291.04119373473</v>
      </c>
      <c r="K274" s="92" t="n">
        <v>0</v>
      </c>
      <c r="L274" s="94" t="n">
        <v>37753.09</v>
      </c>
      <c r="M274" s="92" t="n">
        <v>1713778.62968</v>
      </c>
      <c r="N274" s="94" t="n">
        <v>31675614.22</v>
      </c>
      <c r="O274" s="94" t="n">
        <v>26313.7776</v>
      </c>
      <c r="P274" s="94" t="n">
        <v>1177.5401</v>
      </c>
      <c r="Q274" s="92" t="n">
        <v>53720.56</v>
      </c>
      <c r="R274" s="94" t="n">
        <v>336718806.4421</v>
      </c>
      <c r="S274" s="94" t="n">
        <v>999578054.5003</v>
      </c>
      <c r="T274" s="95">
        <f>IF(OR(R274="",R273=""),"",R274-R273)</f>
        <v/>
      </c>
      <c r="U274" s="95">
        <f>IF(OR(S274="",S273=""),"",S274-S273)</f>
        <v/>
      </c>
      <c r="V274" s="95">
        <f>IF(OR(U274="",P274=""),"",U274+P274)</f>
        <v/>
      </c>
      <c r="W274" s="95">
        <f>IF(OR(T274="",O274="",P274=""),"",T274-O274+P274)</f>
        <v/>
      </c>
    </row>
    <row r="275">
      <c r="A275" s="35" t="n">
        <v>45929</v>
      </c>
      <c r="B275" s="92" t="n">
        <v>7934780754.132312</v>
      </c>
      <c r="C275" s="92" t="n">
        <v>704831792.1384637</v>
      </c>
      <c r="D275" s="92" t="n">
        <v>0</v>
      </c>
      <c r="E275" s="92" t="n">
        <v>2482196.62762</v>
      </c>
      <c r="F275" s="92" t="n">
        <v>0</v>
      </c>
      <c r="G275" s="92" t="n">
        <v>0</v>
      </c>
      <c r="H275" s="92" t="n">
        <v>174982</v>
      </c>
      <c r="I275" s="92" t="n">
        <v>258840</v>
      </c>
      <c r="J275" s="92" t="n">
        <v>62226.71507096494</v>
      </c>
      <c r="K275" s="92" t="n">
        <v>31773.87</v>
      </c>
      <c r="L275" s="94" t="n">
        <v>53114.97</v>
      </c>
      <c r="M275" s="92" t="n">
        <v>2482196.62762</v>
      </c>
      <c r="N275" s="94" t="n">
        <v>31728729.19</v>
      </c>
      <c r="O275" s="94" t="n">
        <v>26353.2422</v>
      </c>
      <c r="P275" s="94" t="n">
        <v>1419.9657</v>
      </c>
      <c r="Q275" s="92" t="n">
        <v>66510.48</v>
      </c>
      <c r="R275" s="94" t="n">
        <v>336729084.8317</v>
      </c>
      <c r="S275" s="94" t="n">
        <v>999576634.5346</v>
      </c>
      <c r="T275" s="95">
        <f>IF(OR(R275="",R274=""),"",R275-R274)</f>
        <v/>
      </c>
      <c r="U275" s="95">
        <f>IF(OR(S275="",S274=""),"",S275-S274)</f>
        <v/>
      </c>
      <c r="V275" s="95">
        <f>IF(OR(U275="",P275=""),"",U275+P275)</f>
        <v/>
      </c>
      <c r="W275" s="95">
        <f>IF(OR(T275="",O275="",P275=""),"",T275-O275+P275)</f>
        <v/>
      </c>
    </row>
    <row r="276">
      <c r="A276" s="35" t="n">
        <v>45930</v>
      </c>
      <c r="B276" s="92" t="n">
        <v>8498007774.039121</v>
      </c>
      <c r="C276" s="92" t="n"/>
      <c r="D276" s="92" t="n">
        <v>0</v>
      </c>
      <c r="E276" s="92" t="n">
        <v>2530245.33311</v>
      </c>
      <c r="F276" s="92" t="n">
        <v>0</v>
      </c>
      <c r="G276" s="92" t="n">
        <v>0</v>
      </c>
      <c r="H276" s="92" t="n">
        <v>190907</v>
      </c>
      <c r="I276" s="92" t="n">
        <v>272745</v>
      </c>
      <c r="J276" s="92" t="n">
        <v>52354.82103129054</v>
      </c>
      <c r="K276" s="92" t="n">
        <v>36054.78</v>
      </c>
      <c r="L276" s="94" t="n">
        <v>56329.96</v>
      </c>
      <c r="M276" s="92" t="n">
        <v>2530245.33311</v>
      </c>
      <c r="N276" s="94" t="n">
        <v>31785059.15</v>
      </c>
      <c r="O276" s="94" t="n">
        <v>26353.0446</v>
      </c>
      <c r="P276" s="94" t="n">
        <v>1560.4482</v>
      </c>
      <c r="Q276" s="92" t="n">
        <v>71948.36</v>
      </c>
      <c r="R276" s="94" t="n">
        <v>336739221.0418</v>
      </c>
      <c r="S276" s="94" t="n">
        <v>999575074.0864</v>
      </c>
      <c r="T276" s="95">
        <f>IF(OR(R276="",R275=""),"",R276-R275)</f>
        <v/>
      </c>
      <c r="U276" s="95">
        <f>IF(OR(S276="",S275=""),"",S276-S275)</f>
        <v/>
      </c>
      <c r="V276" s="95">
        <f>IF(OR(U276="",P276=""),"",U276+P276)</f>
        <v/>
      </c>
      <c r="W276" s="95">
        <f>IF(OR(T276="",O276="",P276=""),"",T276-O276+P276)</f>
        <v/>
      </c>
    </row>
    <row r="277">
      <c r="A277" s="35" t="n">
        <v>45931</v>
      </c>
      <c r="B277" s="92" t="n">
        <v>9824233176.318731</v>
      </c>
      <c r="C277" s="92" t="n">
        <v>631435672.4214213</v>
      </c>
      <c r="D277" s="92" t="n">
        <v>0</v>
      </c>
      <c r="E277" s="92" t="n">
        <v>2829098.65173</v>
      </c>
      <c r="F277" s="92" t="n">
        <v>0</v>
      </c>
      <c r="G277" s="92" t="n">
        <v>0</v>
      </c>
      <c r="H277" s="92" t="n">
        <v>165450</v>
      </c>
      <c r="I277" s="92" t="n">
        <v>254301</v>
      </c>
      <c r="J277" s="92" t="n">
        <v>51778.88643826535</v>
      </c>
      <c r="K277" s="92" t="n">
        <v>40212.6</v>
      </c>
      <c r="L277" s="94" t="n">
        <v>60619.99</v>
      </c>
      <c r="M277" s="92" t="n">
        <v>2829098.65173</v>
      </c>
      <c r="N277" s="94" t="n">
        <v>31845679.14</v>
      </c>
      <c r="O277" s="94" t="n">
        <v>26351.695</v>
      </c>
      <c r="P277" s="94" t="n">
        <v>1559.708</v>
      </c>
      <c r="Q277" s="92" t="n">
        <v>70598.62</v>
      </c>
      <c r="R277" s="94" t="n">
        <v>336749355.2904</v>
      </c>
      <c r="S277" s="94" t="n">
        <v>999573514.3785</v>
      </c>
      <c r="T277" s="95">
        <f>IF(OR(R277="",R276=""),"",R277-R276)</f>
        <v/>
      </c>
      <c r="U277" s="95">
        <f>IF(OR(S277="",S276=""),"",S277-S276)</f>
        <v/>
      </c>
      <c r="V277" s="95">
        <f>IF(OR(U277="",P277=""),"",U277+P277)</f>
        <v/>
      </c>
      <c r="W277" s="95">
        <f>IF(OR(T277="",O277="",P277=""),"",T277-O277+P277)</f>
        <v/>
      </c>
    </row>
    <row r="278">
      <c r="A278" s="35" t="n">
        <v>45932</v>
      </c>
      <c r="B278" s="92" t="n">
        <v>10644493010.44195</v>
      </c>
      <c r="C278" s="92" t="n"/>
      <c r="D278" s="92" t="n">
        <v>0</v>
      </c>
      <c r="E278" s="92" t="n">
        <v>3179744.99493</v>
      </c>
      <c r="F278" s="92" t="n">
        <v>0</v>
      </c>
      <c r="G278" s="92" t="n">
        <v>0</v>
      </c>
      <c r="H278" s="92" t="n">
        <v>178645</v>
      </c>
      <c r="I278" s="92" t="n">
        <v>239666</v>
      </c>
      <c r="J278" s="92" t="n">
        <v>59032.67923597377</v>
      </c>
      <c r="K278" s="92" t="n">
        <v>0</v>
      </c>
      <c r="L278" s="94" t="n">
        <v>64602.58</v>
      </c>
      <c r="M278" s="92" t="n">
        <v>3179744.99493</v>
      </c>
      <c r="N278" s="94" t="n">
        <v>31910281.72</v>
      </c>
      <c r="O278" s="94" t="n">
        <v>26326.8913</v>
      </c>
      <c r="P278" s="94" t="n">
        <v>2228.7202</v>
      </c>
      <c r="Q278" s="92" t="n">
        <v>106803.62</v>
      </c>
      <c r="R278" s="94" t="n">
        <v>336758801.5002</v>
      </c>
      <c r="S278" s="94" t="n">
        <v>999571285.6582</v>
      </c>
      <c r="T278" s="95">
        <f>IF(OR(R278="",R277=""),"",R278-R277)</f>
        <v/>
      </c>
      <c r="U278" s="95">
        <f>IF(OR(S278="",S277=""),"",S278-S277)</f>
        <v/>
      </c>
      <c r="V278" s="95">
        <f>IF(OR(U278="",P278=""),"",U278+P278)</f>
        <v/>
      </c>
      <c r="W278" s="95">
        <f>IF(OR(T278="",O278="",P278=""),"",T278-O278+P278)</f>
        <v/>
      </c>
    </row>
    <row r="279">
      <c r="A279" s="35" t="n">
        <v>45933</v>
      </c>
      <c r="B279" s="92" t="n">
        <v>10408189865.90493</v>
      </c>
      <c r="C279" s="92" t="n"/>
      <c r="D279" s="92" t="n">
        <v>0</v>
      </c>
      <c r="E279" s="92" t="n">
        <v>3194278.76779</v>
      </c>
      <c r="F279" s="92" t="n">
        <v>0</v>
      </c>
      <c r="G279" s="92" t="n">
        <v>0</v>
      </c>
      <c r="H279" s="92" t="n">
        <v>155510</v>
      </c>
      <c r="I279" s="92" t="n">
        <v>219717</v>
      </c>
      <c r="J279" s="92" t="n">
        <v>37391.4250701302</v>
      </c>
      <c r="K279" s="92" t="n">
        <v>34634.9</v>
      </c>
      <c r="L279" s="94" t="n">
        <v>63968.63</v>
      </c>
      <c r="M279" s="92" t="n">
        <v>3194278.76779</v>
      </c>
      <c r="N279" s="94" t="n">
        <v>31974250.35</v>
      </c>
      <c r="O279" s="94" t="n">
        <v>26375.1157</v>
      </c>
      <c r="P279" s="94" t="n">
        <v>2052.1029</v>
      </c>
      <c r="Q279" s="92" t="n">
        <v>103520.38</v>
      </c>
      <c r="R279" s="94" t="n">
        <v>336768505.2656</v>
      </c>
      <c r="S279" s="94" t="n">
        <v>999569233.5553</v>
      </c>
      <c r="T279" s="95">
        <f>IF(OR(R279="",R278=""),"",R279-R278)</f>
        <v/>
      </c>
      <c r="U279" s="95">
        <f>IF(OR(S279="",S278=""),"",S279-S278)</f>
        <v/>
      </c>
      <c r="V279" s="95">
        <f>IF(OR(U279="",P279=""),"",U279+P279)</f>
        <v/>
      </c>
      <c r="W279" s="95">
        <f>IF(OR(T279="",O279="",P279=""),"",T279-O279+P279)</f>
        <v/>
      </c>
    </row>
    <row r="280">
      <c r="A280" s="35" t="n">
        <v>45934</v>
      </c>
      <c r="B280" s="92" t="n">
        <v>4766544219.283792</v>
      </c>
      <c r="C280" s="92" t="n"/>
      <c r="D280" s="92" t="n">
        <v>0</v>
      </c>
      <c r="E280" s="92" t="n">
        <v>1423501.12628</v>
      </c>
      <c r="F280" s="92" t="n">
        <v>0</v>
      </c>
      <c r="G280" s="92" t="n">
        <v>0</v>
      </c>
      <c r="H280" s="92" t="n">
        <v>133499</v>
      </c>
      <c r="I280" s="92" t="n">
        <v>174444</v>
      </c>
      <c r="J280" s="92" t="n">
        <v>18861.85493815149</v>
      </c>
      <c r="K280" s="92" t="n">
        <v>44298.54</v>
      </c>
      <c r="L280" s="94" t="n">
        <v>29332</v>
      </c>
      <c r="M280" s="92" t="n">
        <v>1423501.12628</v>
      </c>
      <c r="N280" s="94" t="n">
        <v>32003582.35</v>
      </c>
      <c r="O280" s="94" t="n">
        <v>26401.1862</v>
      </c>
      <c r="P280" s="94" t="n">
        <v>1300.9188</v>
      </c>
      <c r="Q280" s="92" t="n">
        <v>64111.23</v>
      </c>
      <c r="R280" s="94" t="n">
        <v>336778968.8591</v>
      </c>
      <c r="S280" s="94" t="n">
        <v>999567932.6365</v>
      </c>
      <c r="T280" s="95">
        <f>IF(OR(R280="",R279=""),"",R280-R279)</f>
        <v/>
      </c>
      <c r="U280" s="95">
        <f>IF(OR(S280="",S279=""),"",S280-S279)</f>
        <v/>
      </c>
      <c r="V280" s="95">
        <f>IF(OR(U280="",P280=""),"",U280+P280)</f>
        <v/>
      </c>
      <c r="W280" s="95">
        <f>IF(OR(T280="",O280="",P280=""),"",T280-O280+P280)</f>
        <v/>
      </c>
    </row>
    <row r="281">
      <c r="A281" s="35" t="n">
        <v>45935</v>
      </c>
      <c r="B281" s="92" t="n">
        <v>9544080331.339458</v>
      </c>
      <c r="C281" s="92" t="n"/>
      <c r="D281" s="92" t="n">
        <v>0</v>
      </c>
      <c r="E281" s="92" t="n">
        <v>2806654.38617</v>
      </c>
      <c r="F281" s="92" t="n">
        <v>0</v>
      </c>
      <c r="G281" s="92" t="n">
        <v>0</v>
      </c>
      <c r="H281" s="92" t="n">
        <v>130885</v>
      </c>
      <c r="I281" s="92" t="n">
        <v>194451</v>
      </c>
      <c r="J281" s="92" t="n">
        <v>26824.58424227849</v>
      </c>
      <c r="K281" s="92" t="n">
        <v>40225.12</v>
      </c>
      <c r="L281" s="94" t="n">
        <v>56599.12</v>
      </c>
      <c r="M281" s="92" t="n">
        <v>2806654.38617</v>
      </c>
      <c r="N281" s="94" t="n">
        <v>32060736.7</v>
      </c>
      <c r="O281" s="94" t="n">
        <v>26408.6283</v>
      </c>
      <c r="P281" s="94" t="n">
        <v>1245.0727</v>
      </c>
      <c r="Q281" s="92" t="n">
        <v>61583.16</v>
      </c>
      <c r="R281" s="94" t="n">
        <v>336789534.0484</v>
      </c>
      <c r="S281" s="94" t="n">
        <v>999566687.5639</v>
      </c>
      <c r="T281" s="95">
        <f>IF(OR(R281="",R280=""),"",R281-R280)</f>
        <v/>
      </c>
      <c r="U281" s="95">
        <f>IF(OR(S281="",S280=""),"",S281-S280)</f>
        <v/>
      </c>
      <c r="V281" s="95">
        <f>IF(OR(U281="",P281=""),"",U281+P281)</f>
        <v/>
      </c>
      <c r="W281" s="95">
        <f>IF(OR(T281="",O281="",P281=""),"",T281-O281+P281)</f>
        <v/>
      </c>
    </row>
    <row r="282">
      <c r="A282" s="35" t="n">
        <v>45936</v>
      </c>
      <c r="B282" s="92" t="n">
        <v>10603772427.07632</v>
      </c>
      <c r="C282" s="92" t="n"/>
      <c r="D282" s="92" t="n">
        <v>0</v>
      </c>
      <c r="E282" s="92" t="n">
        <v>3123698.85575</v>
      </c>
      <c r="F282" s="92" t="n">
        <v>0</v>
      </c>
      <c r="G282" s="92" t="n">
        <v>0</v>
      </c>
      <c r="H282" s="92" t="n">
        <v>264204</v>
      </c>
      <c r="I282" s="92" t="n">
        <v>350589</v>
      </c>
      <c r="J282" s="92" t="n">
        <v>25002.13914833654</v>
      </c>
      <c r="K282" s="92" t="n">
        <v>0</v>
      </c>
      <c r="L282" s="94" t="n">
        <v>64194.16</v>
      </c>
      <c r="M282" s="92" t="n">
        <v>3123698.85575</v>
      </c>
      <c r="N282" s="94" t="n">
        <v>32124587.41</v>
      </c>
      <c r="O282" s="94" t="n">
        <v>26412.4511</v>
      </c>
      <c r="P282" s="94" t="n">
        <v>1265.7452</v>
      </c>
      <c r="Q282" s="92" t="n">
        <v>61016.51</v>
      </c>
      <c r="R282" s="94" t="n">
        <v>336800048.0853</v>
      </c>
      <c r="S282" s="94" t="n">
        <v>999565421.8186001</v>
      </c>
      <c r="T282" s="95">
        <f>IF(OR(R282="",R281=""),"",R282-R281)</f>
        <v/>
      </c>
      <c r="U282" s="95">
        <f>IF(OR(S282="",S281=""),"",S282-S281)</f>
        <v/>
      </c>
      <c r="V282" s="95">
        <f>IF(OR(U282="",P282=""),"",U282+P282)</f>
        <v/>
      </c>
      <c r="W282" s="95">
        <f>IF(OR(T282="",O282="",P282=""),"",T282-O282+P282)</f>
        <v/>
      </c>
    </row>
    <row r="283">
      <c r="A283" s="35" t="n">
        <v>45937</v>
      </c>
      <c r="B283" s="92" t="n">
        <v>14676247652.04393</v>
      </c>
      <c r="C283" s="92" t="n"/>
      <c r="D283" s="92" t="n">
        <v>0</v>
      </c>
      <c r="E283" s="92" t="n">
        <v>4300251.97199</v>
      </c>
      <c r="F283" s="92" t="n">
        <v>0</v>
      </c>
      <c r="G283" s="92" t="n">
        <v>0</v>
      </c>
      <c r="H283" s="92" t="n">
        <v>312019</v>
      </c>
      <c r="I283" s="92" t="n">
        <v>400627</v>
      </c>
      <c r="J283" s="92" t="n">
        <v>36955.93164683354</v>
      </c>
      <c r="K283" s="92" t="n">
        <v>23733.55</v>
      </c>
      <c r="L283" s="94" t="n">
        <v>94377.52</v>
      </c>
      <c r="M283" s="92" t="n">
        <v>4300251.97199</v>
      </c>
      <c r="N283" s="94" t="n">
        <v>32218974.67</v>
      </c>
      <c r="O283" s="94" t="n">
        <v>26417.4115</v>
      </c>
      <c r="P283" s="94" t="n">
        <v>488.5721</v>
      </c>
      <c r="Q283" s="92" t="n">
        <v>23251.63</v>
      </c>
      <c r="R283" s="94" t="n">
        <v>336811349.4266</v>
      </c>
      <c r="S283" s="94" t="n">
        <v>999564933.2465</v>
      </c>
      <c r="T283" s="95">
        <f>IF(OR(R283="",R282=""),"",R283-R282)</f>
        <v/>
      </c>
      <c r="U283" s="95">
        <f>IF(OR(S283="",S282=""),"",S283-S282)</f>
        <v/>
      </c>
      <c r="V283" s="95">
        <f>IF(OR(U283="",P283=""),"",U283+P283)</f>
        <v/>
      </c>
      <c r="W283" s="95">
        <f>IF(OR(T283="",O283="",P283=""),"",T283-O283+P283)</f>
        <v/>
      </c>
    </row>
    <row r="284">
      <c r="A284" s="35" t="n">
        <v>45938</v>
      </c>
      <c r="B284" s="92" t="n">
        <v>8887739221.497124</v>
      </c>
      <c r="C284" s="92" t="n"/>
      <c r="D284" s="92" t="n">
        <v>0</v>
      </c>
      <c r="E284" s="92" t="n">
        <v>2673956.65827</v>
      </c>
      <c r="F284" s="92" t="n">
        <v>0</v>
      </c>
      <c r="G284" s="92" t="n">
        <v>0</v>
      </c>
      <c r="H284" s="92" t="n">
        <v>245503</v>
      </c>
      <c r="I284" s="92" t="n">
        <v>316234</v>
      </c>
      <c r="J284" s="92" t="n">
        <v>23104.13737393815</v>
      </c>
      <c r="K284" s="92" t="n">
        <v>0</v>
      </c>
      <c r="L284" s="94" t="n">
        <v>57969.57</v>
      </c>
      <c r="M284" s="92" t="n">
        <v>2673956.65827</v>
      </c>
      <c r="N284" s="94" t="n">
        <v>32235953.87</v>
      </c>
      <c r="O284" s="94" t="n">
        <v>26421.9418</v>
      </c>
      <c r="P284" s="94" t="n">
        <v>1239.5163</v>
      </c>
      <c r="Q284" s="92" t="n">
        <v>55737.95</v>
      </c>
      <c r="R284" s="94" t="n">
        <v>336821917.3302</v>
      </c>
      <c r="S284" s="94" t="n">
        <v>999563693.7302001</v>
      </c>
      <c r="T284" s="95">
        <f>IF(OR(R284="",R283=""),"",R284-R283)</f>
        <v/>
      </c>
      <c r="U284" s="95">
        <f>IF(OR(S284="",S283=""),"",S284-S283)</f>
        <v/>
      </c>
      <c r="V284" s="95">
        <f>IF(OR(U284="",P284=""),"",U284+P284)</f>
        <v/>
      </c>
      <c r="W284" s="95">
        <f>IF(OR(T284="",O284="",P284=""),"",T284-O284+P284)</f>
        <v/>
      </c>
    </row>
    <row r="285">
      <c r="A285" s="35" t="n">
        <v>45939</v>
      </c>
      <c r="B285" s="92" t="n">
        <v>12273094486.69183</v>
      </c>
      <c r="C285" s="92" t="n"/>
      <c r="D285" s="92" t="n">
        <v>0</v>
      </c>
      <c r="E285" s="92" t="n">
        <v>3500214.9785</v>
      </c>
      <c r="F285" s="92" t="n">
        <v>0</v>
      </c>
      <c r="G285" s="92" t="n">
        <v>0</v>
      </c>
      <c r="H285" s="92" t="n">
        <v>186876</v>
      </c>
      <c r="I285" s="92" t="n">
        <v>253750</v>
      </c>
      <c r="J285" s="92" t="n">
        <v>37636.68705437952</v>
      </c>
      <c r="K285" s="92" t="n">
        <v>23191.89</v>
      </c>
      <c r="L285" s="94" t="n">
        <v>79211.56</v>
      </c>
      <c r="M285" s="92" t="n">
        <v>3500214.9785</v>
      </c>
      <c r="N285" s="94" t="n">
        <v>32294369.12</v>
      </c>
      <c r="O285" s="94" t="n">
        <v>26430.8063</v>
      </c>
      <c r="P285" s="94" t="n">
        <v>400.0284</v>
      </c>
      <c r="Q285" s="92" t="n">
        <v>18640.72</v>
      </c>
      <c r="R285" s="94" t="n">
        <v>336833323.0214</v>
      </c>
      <c r="S285" s="94" t="n">
        <v>999563293.7018</v>
      </c>
      <c r="T285" s="95">
        <f>IF(OR(R285="",R284=""),"",R285-R284)</f>
        <v/>
      </c>
      <c r="U285" s="95">
        <f>IF(OR(S285="",S284=""),"",S285-S284)</f>
        <v/>
      </c>
      <c r="V285" s="95">
        <f>IF(OR(U285="",P285=""),"",U285+P285)</f>
        <v/>
      </c>
      <c r="W285" s="95">
        <f>IF(OR(T285="",O285="",P285=""),"",T285-O285+P285)</f>
        <v/>
      </c>
    </row>
    <row r="286">
      <c r="A286" s="35" t="n">
        <v>45940</v>
      </c>
      <c r="B286" s="92" t="n">
        <v>28724586156.57698</v>
      </c>
      <c r="C286" s="92" t="n"/>
      <c r="D286" s="92" t="n">
        <v>0</v>
      </c>
      <c r="E286" s="92" t="n">
        <v>20134654.76808</v>
      </c>
      <c r="F286" s="92" t="n">
        <v>0</v>
      </c>
      <c r="G286" s="92" t="n">
        <v>0</v>
      </c>
      <c r="H286" s="92" t="n">
        <v>353674</v>
      </c>
      <c r="I286" s="92" t="n">
        <v>510401</v>
      </c>
      <c r="J286" s="92" t="n">
        <v>391730.1730758381</v>
      </c>
      <c r="K286" s="92" t="n">
        <v>0</v>
      </c>
      <c r="L286" s="94" t="n">
        <v>507262.99</v>
      </c>
      <c r="M286" s="92" t="n">
        <v>20134654.76808</v>
      </c>
      <c r="N286" s="94" t="n">
        <v>32371984.13</v>
      </c>
      <c r="O286" s="94" t="n">
        <v>26390.5465</v>
      </c>
      <c r="P286" s="94" t="n">
        <v>1105.4204</v>
      </c>
      <c r="Q286" s="92" t="n">
        <v>48722.51</v>
      </c>
      <c r="R286" s="94" t="n">
        <v>336843953.0266</v>
      </c>
      <c r="S286" s="94" t="n">
        <v>999562188.2814</v>
      </c>
      <c r="T286" s="95">
        <f>IF(OR(R286="",R285=""),"",R286-R285)</f>
        <v/>
      </c>
      <c r="U286" s="95">
        <f>IF(OR(S286="",S285=""),"",S286-S285)</f>
        <v/>
      </c>
      <c r="V286" s="95">
        <f>IF(OR(U286="",P286=""),"",U286+P286)</f>
        <v/>
      </c>
      <c r="W286" s="95">
        <f>IF(OR(T286="",O286="",P286=""),"",T286-O286+P286)</f>
        <v/>
      </c>
    </row>
    <row r="287">
      <c r="A287" s="35" t="n">
        <v>45941</v>
      </c>
      <c r="B287" s="92" t="n">
        <v>10333348903.63861</v>
      </c>
      <c r="C287" s="92" t="n"/>
      <c r="D287" s="92" t="n">
        <v>0</v>
      </c>
      <c r="E287" s="92" t="n">
        <v>2999479.48806</v>
      </c>
      <c r="F287" s="92" t="n">
        <v>0</v>
      </c>
      <c r="G287" s="92" t="n">
        <v>0</v>
      </c>
      <c r="H287" s="92" t="n">
        <v>247275</v>
      </c>
      <c r="I287" s="92" t="n">
        <v>323696</v>
      </c>
      <c r="J287" s="92" t="n">
        <v>105794.8433546484</v>
      </c>
      <c r="K287" s="92" t="n">
        <v>29062.12</v>
      </c>
      <c r="L287" s="94" t="n">
        <v>78616.25</v>
      </c>
      <c r="M287" s="92" t="n">
        <v>2999479.48806</v>
      </c>
      <c r="N287" s="94" t="n">
        <v>32894296</v>
      </c>
      <c r="O287" s="94" t="n">
        <v>26366.7242</v>
      </c>
      <c r="P287" s="94" t="n">
        <v>1896.0689</v>
      </c>
      <c r="Q287" s="92" t="n">
        <v>72481.97</v>
      </c>
      <c r="R287" s="94" t="n">
        <v>336853750.8481</v>
      </c>
      <c r="S287" s="94" t="n">
        <v>999560292.2125</v>
      </c>
      <c r="T287" s="95">
        <f>IF(OR(R287="",R286=""),"",R287-R286)</f>
        <v/>
      </c>
      <c r="U287" s="95">
        <f>IF(OR(S287="",S286=""),"",S287-S286)</f>
        <v/>
      </c>
      <c r="V287" s="95">
        <f>IF(OR(U287="",P287=""),"",U287+P287)</f>
        <v/>
      </c>
      <c r="W287" s="95">
        <f>IF(OR(T287="",O287="",P287=""),"",T287-O287+P287)</f>
        <v/>
      </c>
    </row>
    <row r="288">
      <c r="A288" s="35" t="n">
        <v>45942</v>
      </c>
      <c r="B288" s="92" t="n">
        <v>11787564657.259</v>
      </c>
      <c r="C288" s="92" t="n"/>
      <c r="D288" s="92" t="n">
        <v>0</v>
      </c>
      <c r="E288" s="92" t="n">
        <v>3279132.39735</v>
      </c>
      <c r="F288" s="92" t="n">
        <v>0</v>
      </c>
      <c r="G288" s="92" t="n">
        <v>0</v>
      </c>
      <c r="H288" s="92" t="n">
        <v>176358</v>
      </c>
      <c r="I288" s="92" t="n">
        <v>257362</v>
      </c>
      <c r="J288" s="92" t="n">
        <v>49128.07455342344</v>
      </c>
      <c r="K288" s="92" t="n">
        <v>0</v>
      </c>
      <c r="L288" s="94" t="n">
        <v>84192.56</v>
      </c>
      <c r="M288" s="92" t="n">
        <v>3279132.39735</v>
      </c>
      <c r="N288" s="94" t="n">
        <v>32964950.57</v>
      </c>
      <c r="O288" s="94" t="n">
        <v>26327.2198</v>
      </c>
      <c r="P288" s="94" t="n">
        <v>2730.5779</v>
      </c>
      <c r="Q288" s="92" t="n">
        <v>100266.82</v>
      </c>
      <c r="R288" s="94" t="n">
        <v>336862648.7853</v>
      </c>
      <c r="S288" s="94" t="n">
        <v>999557561.6346</v>
      </c>
      <c r="T288" s="95">
        <f>IF(OR(R288="",R287=""),"",R288-R287)</f>
        <v/>
      </c>
      <c r="U288" s="95">
        <f>IF(OR(S288="",S287=""),"",S288-S287)</f>
        <v/>
      </c>
      <c r="V288" s="95">
        <f>IF(OR(U288="",P288=""),"",U288+P288)</f>
        <v/>
      </c>
      <c r="W288" s="95">
        <f>IF(OR(T288="",O288="",P288=""),"",T288-O288+P288)</f>
        <v/>
      </c>
    </row>
    <row r="289">
      <c r="A289" s="35" t="n">
        <v>45943</v>
      </c>
      <c r="B289" s="92" t="n">
        <v>9594655311.160784</v>
      </c>
      <c r="C289" s="92" t="n"/>
      <c r="D289" s="92" t="n">
        <v>24047820</v>
      </c>
      <c r="E289" s="92" t="n">
        <v>2737513.05481</v>
      </c>
      <c r="F289" s="92" t="n">
        <v>15821</v>
      </c>
      <c r="G289" s="92" t="n">
        <v>0</v>
      </c>
      <c r="H289" s="92" t="n">
        <v>162992</v>
      </c>
      <c r="I289" s="92" t="n">
        <v>217963</v>
      </c>
      <c r="J289" s="92" t="n">
        <v>54909.7571754914</v>
      </c>
      <c r="K289" s="92" t="n">
        <v>0</v>
      </c>
      <c r="L289" s="94" t="n">
        <v>66844.14</v>
      </c>
      <c r="M289" s="92" t="n">
        <v>2737513.05481</v>
      </c>
      <c r="N289" s="94" t="n">
        <v>33052999.62</v>
      </c>
      <c r="O289" s="94" t="n">
        <v>26292.3723</v>
      </c>
      <c r="P289" s="94" t="n">
        <v>1146.203</v>
      </c>
      <c r="Q289" s="92" t="n">
        <v>45436.06</v>
      </c>
      <c r="R289" s="94" t="n">
        <v>336873089.9901</v>
      </c>
      <c r="S289" s="94" t="n">
        <v>999556415.4316</v>
      </c>
      <c r="T289" s="95">
        <f>IF(OR(R289="",R288=""),"",R289-R288)</f>
        <v/>
      </c>
      <c r="U289" s="95">
        <f>IF(OR(S289="",S288=""),"",S289-S288)</f>
        <v/>
      </c>
      <c r="V289" s="95">
        <f>IF(OR(U289="",P289=""),"",U289+P289)</f>
        <v/>
      </c>
      <c r="W289" s="95">
        <f>IF(OR(T289="",O289="",P289=""),"",T289-O289+P289)</f>
        <v/>
      </c>
    </row>
    <row r="290">
      <c r="A290" s="35" t="n">
        <v>45944</v>
      </c>
      <c r="B290" s="92" t="n">
        <v>16153886831.19667</v>
      </c>
      <c r="C290" s="92" t="n"/>
      <c r="D290" s="92" t="n">
        <v>21857347</v>
      </c>
      <c r="E290" s="92" t="n">
        <v>4368313.10851</v>
      </c>
      <c r="F290" s="92" t="n">
        <v>12707</v>
      </c>
      <c r="G290" s="92" t="n">
        <v>0</v>
      </c>
      <c r="H290" s="92" t="n">
        <v>150967</v>
      </c>
      <c r="I290" s="92" t="n">
        <v>198310</v>
      </c>
      <c r="J290" s="92" t="n">
        <v>50001.73301025721</v>
      </c>
      <c r="K290" s="92" t="n">
        <v>0</v>
      </c>
      <c r="L290" s="94" t="n">
        <v>110239.28</v>
      </c>
      <c r="M290" s="92" t="n">
        <v>4368313.10851</v>
      </c>
      <c r="N290" s="94" t="n">
        <v>33139257.46</v>
      </c>
      <c r="O290" s="94" t="n">
        <v>26269.2748</v>
      </c>
      <c r="P290" s="94" t="n">
        <v>1747.98</v>
      </c>
      <c r="Q290" s="92" t="n">
        <v>74415.00999999999</v>
      </c>
      <c r="R290" s="94" t="n">
        <v>336882896.8473</v>
      </c>
      <c r="S290" s="94" t="n">
        <v>999554667.4516</v>
      </c>
      <c r="T290" s="95">
        <f>IF(OR(R290="",R289=""),"",R290-R289)</f>
        <v/>
      </c>
      <c r="U290" s="95">
        <f>IF(OR(S290="",S289=""),"",S290-S289)</f>
        <v/>
      </c>
      <c r="V290" s="95">
        <f>IF(OR(U290="",P290=""),"",U290+P290)</f>
        <v/>
      </c>
      <c r="W290" s="95">
        <f>IF(OR(T290="",O290="",P290=""),"",T290-O290+P290)</f>
        <v/>
      </c>
    </row>
    <row r="291">
      <c r="A291" s="35" t="n">
        <v>45945</v>
      </c>
      <c r="B291" s="92" t="n">
        <v>10747314915.5199</v>
      </c>
      <c r="C291" s="92" t="n"/>
      <c r="D291" s="92" t="n">
        <v>20629520</v>
      </c>
      <c r="E291" s="92" t="n">
        <v>2972554.26511</v>
      </c>
      <c r="F291" s="92" t="n">
        <v>12145</v>
      </c>
      <c r="G291" s="92" t="n">
        <v>0</v>
      </c>
      <c r="H291" s="92" t="n">
        <v>120242</v>
      </c>
      <c r="I291" s="92" t="n">
        <v>154768</v>
      </c>
      <c r="J291" s="92" t="n">
        <v>32231.03163678108</v>
      </c>
      <c r="K291" s="92" t="n">
        <v>19765.09</v>
      </c>
      <c r="L291" s="94" t="n">
        <v>75913.64999999999</v>
      </c>
      <c r="M291" s="92" t="n">
        <v>2972554.26511</v>
      </c>
      <c r="N291" s="94" t="n">
        <v>33225824.74</v>
      </c>
      <c r="O291" s="94" t="n">
        <v>32330.6166</v>
      </c>
      <c r="P291" s="94" t="n">
        <v>1658.0976</v>
      </c>
      <c r="Q291" s="92" t="n">
        <v>64804.26</v>
      </c>
      <c r="R291" s="94" t="n">
        <v>336898848.1335</v>
      </c>
      <c r="S291" s="94" t="n">
        <v>999553009.354</v>
      </c>
      <c r="T291" s="95">
        <f>IF(OR(R291="",R290=""),"",R291-R290)</f>
        <v/>
      </c>
      <c r="U291" s="95">
        <f>IF(OR(S291="",S290=""),"",S291-S290)</f>
        <v/>
      </c>
      <c r="V291" s="95">
        <f>IF(OR(U291="",P291=""),"",U291+P291)</f>
        <v/>
      </c>
      <c r="W291" s="95">
        <f>IF(OR(T291="",O291="",P291=""),"",T291-O291+P291)</f>
        <v/>
      </c>
    </row>
    <row r="292">
      <c r="A292" s="35" t="n">
        <v>45946</v>
      </c>
      <c r="B292" s="92" t="n">
        <v>11475520240.2455</v>
      </c>
      <c r="C292" s="92" t="n"/>
      <c r="D292" s="92" t="n">
        <v>19168299</v>
      </c>
      <c r="E292" s="92" t="n">
        <v>3135849.89117</v>
      </c>
      <c r="F292" s="92" t="n">
        <v>11499</v>
      </c>
      <c r="G292" s="92" t="n">
        <v>0</v>
      </c>
      <c r="H292" s="92" t="n">
        <v>137248</v>
      </c>
      <c r="I292" s="92" t="n">
        <v>184541</v>
      </c>
      <c r="J292" s="92" t="n">
        <v>33093.78849591841</v>
      </c>
      <c r="K292" s="92" t="n">
        <v>28035.79</v>
      </c>
      <c r="L292" s="94" t="n">
        <v>83220.56</v>
      </c>
      <c r="M292" s="92" t="n">
        <v>3135849.89117</v>
      </c>
      <c r="N292" s="94" t="n">
        <v>33297567.25</v>
      </c>
      <c r="O292" s="94" t="n">
        <v>30483.492</v>
      </c>
      <c r="P292" s="94" t="n">
        <v>869.1431</v>
      </c>
      <c r="Q292" s="92" t="n">
        <v>32419.91</v>
      </c>
      <c r="R292" s="94" t="n">
        <v>336913723.5428</v>
      </c>
      <c r="S292" s="94" t="n">
        <v>999552140.2108999</v>
      </c>
      <c r="T292" s="95">
        <f>IF(OR(R292="",R291=""),"",R292-R291)</f>
        <v/>
      </c>
      <c r="U292" s="95">
        <f>IF(OR(S292="",S291=""),"",S292-S291)</f>
        <v/>
      </c>
      <c r="V292" s="95">
        <f>IF(OR(U292="",P292=""),"",U292+P292)</f>
        <v/>
      </c>
      <c r="W292" s="95">
        <f>IF(OR(T292="",O292="",P292=""),"",T292-O292+P292)</f>
        <v/>
      </c>
    </row>
    <row r="293">
      <c r="A293" s="35" t="n">
        <v>45947</v>
      </c>
      <c r="B293" s="92" t="n">
        <v>11953817621.32452</v>
      </c>
      <c r="C293" s="92" t="n"/>
      <c r="D293" s="92" t="n">
        <v>15072187</v>
      </c>
      <c r="E293" s="92" t="n">
        <v>3355088.34083</v>
      </c>
      <c r="F293" s="92" t="n">
        <v>8904</v>
      </c>
      <c r="G293" s="92" t="n">
        <v>0</v>
      </c>
      <c r="H293" s="92" t="n">
        <v>172445</v>
      </c>
      <c r="I293" s="92" t="n">
        <v>235326</v>
      </c>
      <c r="J293" s="92" t="n">
        <v>60611.98977499302</v>
      </c>
      <c r="K293" s="92" t="n">
        <v>0</v>
      </c>
      <c r="L293" s="94" t="n">
        <v>95672.62</v>
      </c>
      <c r="M293" s="92" t="n">
        <v>3355088.34083</v>
      </c>
      <c r="N293" s="94" t="n">
        <v>33399150.81</v>
      </c>
      <c r="O293" s="94" t="n">
        <v>24464.4903</v>
      </c>
      <c r="P293" s="94" t="n">
        <v>1905.645</v>
      </c>
      <c r="Q293" s="92" t="n">
        <v>64938.67</v>
      </c>
      <c r="R293" s="94" t="n">
        <v>336921489.8739</v>
      </c>
      <c r="S293" s="94" t="n">
        <v>999550234.5658</v>
      </c>
      <c r="T293" s="95">
        <f>IF(OR(R293="",R292=""),"",R293-R292)</f>
        <v/>
      </c>
      <c r="U293" s="95">
        <f>IF(OR(S293="",S292=""),"",S293-S292)</f>
        <v/>
      </c>
      <c r="V293" s="95">
        <f>IF(OR(U293="",P293=""),"",U293+P293)</f>
        <v/>
      </c>
      <c r="W293" s="95">
        <f>IF(OR(T293="",O293="",P293=""),"",T293-O293+P293)</f>
        <v/>
      </c>
    </row>
    <row r="294">
      <c r="A294" s="35" t="n">
        <v>45948</v>
      </c>
      <c r="B294" s="92" t="n">
        <v>3467672712.489694</v>
      </c>
      <c r="C294" s="92" t="n"/>
      <c r="D294" s="92" t="n">
        <v>6244622</v>
      </c>
      <c r="E294" s="92" t="n">
        <v>993444.0729</v>
      </c>
      <c r="F294" s="92" t="n">
        <v>3769</v>
      </c>
      <c r="G294" s="92" t="n">
        <v>0</v>
      </c>
      <c r="H294" s="92" t="n">
        <v>91488</v>
      </c>
      <c r="I294" s="92" t="n">
        <v>121569</v>
      </c>
      <c r="J294" s="92" t="n">
        <v>15340.98794640204</v>
      </c>
      <c r="K294" s="92" t="n">
        <v>23233.38</v>
      </c>
      <c r="L294" s="94" t="n">
        <v>27890.23</v>
      </c>
      <c r="M294" s="92" t="n">
        <v>993444.0729</v>
      </c>
      <c r="N294" s="94" t="n">
        <v>33470022.26</v>
      </c>
      <c r="O294" s="94" t="n">
        <v>18294.0242</v>
      </c>
      <c r="P294" s="94" t="n">
        <v>715.6541999999999</v>
      </c>
      <c r="Q294" s="92" t="n">
        <v>25194.97</v>
      </c>
      <c r="R294" s="94" t="n">
        <v>336924322.5921</v>
      </c>
      <c r="S294" s="94" t="n">
        <v>999549518.9116</v>
      </c>
      <c r="T294" s="95">
        <f>IF(OR(R294="",R293=""),"",R294-R293)</f>
        <v/>
      </c>
      <c r="U294" s="95">
        <f>IF(OR(S294="",S293=""),"",S294-S293)</f>
        <v/>
      </c>
      <c r="V294" s="95">
        <f>IF(OR(U294="",P294=""),"",U294+P294)</f>
        <v/>
      </c>
      <c r="W294" s="95">
        <f>IF(OR(T294="",O294="",P294=""),"",T294-O294+P294)</f>
        <v/>
      </c>
    </row>
    <row r="295">
      <c r="A295" s="35" t="n">
        <v>45949</v>
      </c>
      <c r="B295" s="92" t="n">
        <v>5254604469.742279</v>
      </c>
      <c r="C295" s="92" t="n"/>
      <c r="D295" s="92" t="n">
        <v>7839092</v>
      </c>
      <c r="E295" s="92" t="n">
        <v>1540345.58896</v>
      </c>
      <c r="F295" s="92" t="n">
        <v>5523</v>
      </c>
      <c r="G295" s="92" t="n">
        <v>0</v>
      </c>
      <c r="H295" s="92" t="n">
        <v>92346</v>
      </c>
      <c r="I295" s="92" t="n">
        <v>121130</v>
      </c>
      <c r="J295" s="92" t="n">
        <v>13247.19389161772</v>
      </c>
      <c r="K295" s="92" t="n">
        <v>0</v>
      </c>
      <c r="L295" s="94" t="n">
        <v>41256.26</v>
      </c>
      <c r="M295" s="92" t="n">
        <v>1540345.58896</v>
      </c>
      <c r="N295" s="94" t="n">
        <v>33495735.45</v>
      </c>
      <c r="O295" s="94" t="n">
        <v>26082.6342</v>
      </c>
      <c r="P295" s="94" t="n">
        <v>1077.1714</v>
      </c>
      <c r="Q295" s="92" t="n">
        <v>39293.6</v>
      </c>
      <c r="R295" s="94" t="n">
        <v>336934537.1599</v>
      </c>
      <c r="S295" s="94" t="n">
        <v>999548441.7402</v>
      </c>
      <c r="T295" s="95">
        <f>IF(OR(R295="",R294=""),"",R295-R294)</f>
        <v/>
      </c>
      <c r="U295" s="95">
        <f>IF(OR(S295="",S294=""),"",S295-S294)</f>
        <v/>
      </c>
      <c r="V295" s="95">
        <f>IF(OR(U295="",P295=""),"",U295+P295)</f>
        <v/>
      </c>
      <c r="W295" s="95">
        <f>IF(OR(T295="",O295="",P295=""),"",T295-O295+P295)</f>
        <v/>
      </c>
    </row>
    <row r="296">
      <c r="A296" s="35" t="n">
        <v>45950</v>
      </c>
      <c r="B296" s="92" t="n">
        <v>8373540528.993366</v>
      </c>
      <c r="C296" s="92" t="n"/>
      <c r="D296" s="92" t="n">
        <v>10611401</v>
      </c>
      <c r="E296" s="92" t="n">
        <v>2356209.44585</v>
      </c>
      <c r="F296" s="92" t="n">
        <v>6963</v>
      </c>
      <c r="G296" s="92" t="n">
        <v>0</v>
      </c>
      <c r="H296" s="92" t="n">
        <v>114214</v>
      </c>
      <c r="I296" s="92" t="n">
        <v>148185</v>
      </c>
      <c r="J296" s="92" t="n">
        <v>31866.8255208179</v>
      </c>
      <c r="K296" s="92" t="n">
        <v>0</v>
      </c>
      <c r="L296" s="94" t="n">
        <v>61726.58</v>
      </c>
      <c r="M296" s="92" t="n">
        <v>2356209.44585</v>
      </c>
      <c r="N296" s="94" t="n">
        <v>33552212.8</v>
      </c>
      <c r="O296" s="94" t="n">
        <v>26081.3967</v>
      </c>
      <c r="P296" s="94" t="n">
        <v>412.6558</v>
      </c>
      <c r="Q296" s="92" t="n">
        <v>15361.73</v>
      </c>
      <c r="R296" s="94" t="n">
        <v>336945398.6793</v>
      </c>
      <c r="S296" s="94" t="n">
        <v>999548029.0844001</v>
      </c>
      <c r="T296" s="95">
        <f>IF(OR(R296="",R295=""),"",R296-R295)</f>
        <v/>
      </c>
      <c r="U296" s="95">
        <f>IF(OR(S296="",S295=""),"",S296-S295)</f>
        <v/>
      </c>
      <c r="V296" s="95">
        <f>IF(OR(U296="",P296=""),"",U296+P296)</f>
        <v/>
      </c>
      <c r="W296" s="95">
        <f>IF(OR(T296="",O296="",P296=""),"",T296-O296+P296)</f>
        <v/>
      </c>
    </row>
    <row r="297">
      <c r="A297" s="35" t="n">
        <v>45951</v>
      </c>
      <c r="B297" s="92" t="n">
        <v>14652836608.95355</v>
      </c>
      <c r="C297" s="92" t="n"/>
      <c r="D297" s="92" t="n">
        <v>23310245</v>
      </c>
      <c r="E297" s="92" t="n">
        <v>3988911.60609</v>
      </c>
      <c r="F297" s="92" t="n">
        <v>14477</v>
      </c>
      <c r="G297" s="92" t="n">
        <v>0</v>
      </c>
      <c r="H297" s="92" t="n">
        <v>156162</v>
      </c>
      <c r="I297" s="92" t="n">
        <v>201314</v>
      </c>
      <c r="J297" s="92" t="n">
        <v>28143.9850891633</v>
      </c>
      <c r="K297" s="92" t="n">
        <v>0</v>
      </c>
      <c r="L297" s="94" t="n">
        <v>108263.5</v>
      </c>
      <c r="M297" s="92" t="n">
        <v>3988911.60609</v>
      </c>
      <c r="N297" s="94" t="n">
        <v>33610247.32</v>
      </c>
      <c r="O297" s="94" t="n">
        <v>26075.5151</v>
      </c>
      <c r="P297" s="94" t="n">
        <v>1955.7853</v>
      </c>
      <c r="Q297" s="92" t="n">
        <v>74332.56</v>
      </c>
      <c r="R297" s="94" t="n">
        <v>336954725.0596</v>
      </c>
      <c r="S297" s="94" t="n">
        <v>999546073.2991</v>
      </c>
      <c r="T297" s="95">
        <f>IF(OR(R297="",R296=""),"",R297-R296)</f>
        <v/>
      </c>
      <c r="U297" s="95">
        <f>IF(OR(S297="",S296=""),"",S297-S296)</f>
        <v/>
      </c>
      <c r="V297" s="95">
        <f>IF(OR(U297="",P297=""),"",U297+P297)</f>
        <v/>
      </c>
      <c r="W297" s="95">
        <f>IF(OR(T297="",O297="",P297=""),"",T297-O297+P297)</f>
        <v/>
      </c>
    </row>
    <row r="298">
      <c r="A298" s="35" t="n">
        <v>45952</v>
      </c>
      <c r="B298" s="92" t="n">
        <v>11769029272.26644</v>
      </c>
      <c r="C298" s="92" t="n"/>
      <c r="D298" s="92" t="n">
        <v>36699372</v>
      </c>
      <c r="E298" s="92" t="n">
        <v>3088332.67687</v>
      </c>
      <c r="F298" s="92" t="n">
        <v>21272</v>
      </c>
      <c r="G298" s="92" t="n">
        <v>0</v>
      </c>
      <c r="H298" s="92" t="n">
        <v>123392</v>
      </c>
      <c r="I298" s="92" t="n">
        <v>159923</v>
      </c>
      <c r="J298" s="92" t="n">
        <v>34572.35843598907</v>
      </c>
      <c r="K298" s="92" t="n">
        <v>0</v>
      </c>
      <c r="L298" s="94" t="n">
        <v>86754.64999999999</v>
      </c>
      <c r="M298" s="92" t="n">
        <v>3088332.67687</v>
      </c>
      <c r="N298" s="94" t="n">
        <v>33714407.27</v>
      </c>
      <c r="O298" s="94" t="n">
        <v>26042.0374</v>
      </c>
      <c r="P298" s="94" t="n">
        <v>852.7009</v>
      </c>
      <c r="Q298" s="92" t="n">
        <v>29756.28</v>
      </c>
      <c r="R298" s="94" t="n">
        <v>336965097.2515</v>
      </c>
      <c r="S298" s="94" t="n">
        <v>999545220.5980999</v>
      </c>
      <c r="T298" s="95">
        <f>IF(OR(R298="",R297=""),"",R298-R297)</f>
        <v/>
      </c>
      <c r="U298" s="95">
        <f>IF(OR(S298="",S297=""),"",S298-S297)</f>
        <v/>
      </c>
      <c r="V298" s="95">
        <f>IF(OR(U298="",P298=""),"",U298+P298)</f>
        <v/>
      </c>
      <c r="W298" s="95">
        <f>IF(OR(T298="",O298="",P298=""),"",T298-O298+P298)</f>
        <v/>
      </c>
    </row>
    <row r="299">
      <c r="A299" s="35" t="n">
        <v>45953</v>
      </c>
      <c r="B299" s="92" t="n">
        <v>8799210965.3256</v>
      </c>
      <c r="C299" s="92" t="n"/>
      <c r="D299" s="92" t="n">
        <v>30172562</v>
      </c>
      <c r="E299" s="92" t="n">
        <v>2477734.27137</v>
      </c>
      <c r="F299" s="92" t="n">
        <v>18275</v>
      </c>
      <c r="G299" s="92" t="n">
        <v>0</v>
      </c>
      <c r="H299" s="92" t="n">
        <v>125618</v>
      </c>
      <c r="I299" s="92" t="n">
        <v>159178</v>
      </c>
      <c r="J299" s="92" t="n">
        <v>119622.5094301594</v>
      </c>
      <c r="K299" s="92" t="n">
        <v>23638.23</v>
      </c>
      <c r="L299" s="94" t="n">
        <v>63430.91</v>
      </c>
      <c r="M299" s="92" t="n">
        <v>2477734.27137</v>
      </c>
      <c r="N299" s="94" t="n">
        <v>33798678.78</v>
      </c>
      <c r="O299" s="94" t="n">
        <v>26080.1532</v>
      </c>
      <c r="P299" s="94" t="n">
        <v>2114.4851</v>
      </c>
      <c r="Q299" s="92" t="n">
        <v>77801.42</v>
      </c>
      <c r="R299" s="94" t="n">
        <v>336974240.035</v>
      </c>
      <c r="S299" s="94" t="n">
        <v>999543106.113</v>
      </c>
      <c r="T299" s="95">
        <f>IF(OR(R299="",R298=""),"",R299-R298)</f>
        <v/>
      </c>
      <c r="U299" s="95">
        <f>IF(OR(S299="",S298=""),"",S299-S298)</f>
        <v/>
      </c>
      <c r="V299" s="95">
        <f>IF(OR(U299="",P299=""),"",U299+P299)</f>
        <v/>
      </c>
      <c r="W299" s="95">
        <f>IF(OR(T299="",O299="",P299=""),"",T299-O299+P299)</f>
        <v/>
      </c>
    </row>
    <row r="300">
      <c r="A300" s="35" t="n">
        <v>45954</v>
      </c>
      <c r="B300" s="92" t="n">
        <v>6800341602.026008</v>
      </c>
      <c r="C300" s="92" t="n"/>
      <c r="D300" s="92" t="n">
        <v>27345918</v>
      </c>
      <c r="E300" s="92" t="n">
        <v>2006758.3182</v>
      </c>
      <c r="F300" s="92" t="n">
        <v>15456</v>
      </c>
      <c r="G300" s="92" t="n">
        <v>0</v>
      </c>
      <c r="H300" s="92" t="n">
        <v>81020</v>
      </c>
      <c r="I300" s="92" t="n">
        <v>110772</v>
      </c>
      <c r="J300" s="92" t="n">
        <v>16159.27581826643</v>
      </c>
      <c r="K300" s="92" t="n">
        <v>0</v>
      </c>
      <c r="L300" s="94" t="n">
        <v>50463.82</v>
      </c>
      <c r="M300" s="92" t="n">
        <v>2006758.3182</v>
      </c>
      <c r="N300" s="94" t="n">
        <v>33858352.09</v>
      </c>
      <c r="O300" s="94" t="n">
        <v>26111.7184</v>
      </c>
      <c r="P300" s="94" t="n">
        <v>1712.4665</v>
      </c>
      <c r="Q300" s="92" t="n">
        <v>68970.44</v>
      </c>
      <c r="R300" s="94" t="n">
        <v>336983831.2874</v>
      </c>
      <c r="S300" s="94" t="n">
        <v>999541393.6465</v>
      </c>
      <c r="T300" s="95">
        <f>IF(OR(R300="",R299=""),"",R300-R299)</f>
        <v/>
      </c>
      <c r="U300" s="95">
        <f>IF(OR(S300="",S299=""),"",S300-S299)</f>
        <v/>
      </c>
      <c r="V300" s="95">
        <f>IF(OR(U300="",P300=""),"",U300+P300)</f>
        <v/>
      </c>
      <c r="W300" s="95">
        <f>IF(OR(T300="",O300="",P300=""),"",T300-O300+P300)</f>
        <v/>
      </c>
    </row>
    <row r="301">
      <c r="A301" s="35" t="n">
        <v>45955</v>
      </c>
      <c r="B301" s="92" t="n">
        <v>3249386503.241645</v>
      </c>
      <c r="C301" s="92" t="n"/>
      <c r="D301" s="92" t="n">
        <v>48997606</v>
      </c>
      <c r="E301" s="92" t="n">
        <v>989708.01429</v>
      </c>
      <c r="F301" s="92" t="n">
        <v>26955</v>
      </c>
      <c r="G301" s="92" t="n">
        <v>0</v>
      </c>
      <c r="H301" s="92" t="n">
        <v>87107</v>
      </c>
      <c r="I301" s="92" t="n">
        <v>110935</v>
      </c>
      <c r="J301" s="92" t="n">
        <v>18716.72102899492</v>
      </c>
      <c r="K301" s="92" t="n">
        <v>28825.64</v>
      </c>
      <c r="L301" s="94" t="n">
        <v>23900.16</v>
      </c>
      <c r="M301" s="92" t="n">
        <v>989708.01429</v>
      </c>
      <c r="N301" s="94" t="n">
        <v>33906947.56</v>
      </c>
      <c r="O301" s="94" t="n">
        <v>26119.6365</v>
      </c>
      <c r="P301" s="94" t="n">
        <v>1123.6321</v>
      </c>
      <c r="Q301" s="92" t="n">
        <v>43804.24</v>
      </c>
      <c r="R301" s="94" t="n">
        <v>336994009.3587</v>
      </c>
      <c r="S301" s="94" t="n">
        <v>999540270.0144</v>
      </c>
      <c r="T301" s="95">
        <f>IF(OR(R301="",R300=""),"",R301-R300)</f>
        <v/>
      </c>
      <c r="U301" s="95">
        <f>IF(OR(S301="",S300=""),"",S301-S300)</f>
        <v/>
      </c>
      <c r="V301" s="95">
        <f>IF(OR(U301="",P301=""),"",U301+P301)</f>
        <v/>
      </c>
      <c r="W301" s="95">
        <f>IF(OR(T301="",O301="",P301=""),"",T301-O301+P301)</f>
        <v/>
      </c>
    </row>
    <row r="302">
      <c r="A302" s="35" t="n">
        <v>45956</v>
      </c>
      <c r="B302" s="92" t="n">
        <v>6198381579.219498</v>
      </c>
      <c r="C302" s="92" t="n"/>
      <c r="D302" s="92" t="n">
        <v>47016155</v>
      </c>
      <c r="E302" s="92" t="n">
        <v>1881476.25411</v>
      </c>
      <c r="F302" s="92" t="n">
        <v>28262</v>
      </c>
      <c r="G302" s="92" t="n">
        <v>0</v>
      </c>
      <c r="H302" s="92" t="n">
        <v>125584</v>
      </c>
      <c r="I302" s="92" t="n">
        <v>153309</v>
      </c>
      <c r="J302" s="92" t="n">
        <v>34682.1036159077</v>
      </c>
      <c r="K302" s="92" t="n">
        <v>42619.88</v>
      </c>
      <c r="L302" s="94" t="n">
        <v>40200.85</v>
      </c>
      <c r="M302" s="92" t="n">
        <v>1881476.25411</v>
      </c>
      <c r="N302" s="94" t="n">
        <v>33930325.96</v>
      </c>
      <c r="O302" s="94" t="n">
        <v>26119.244</v>
      </c>
      <c r="P302" s="94" t="n">
        <v>1153.0696</v>
      </c>
      <c r="Q302" s="92" t="n">
        <v>50976.05</v>
      </c>
      <c r="R302" s="94" t="n">
        <v>337004162.4541</v>
      </c>
      <c r="S302" s="94" t="n">
        <v>999539116.9448</v>
      </c>
      <c r="T302" s="95">
        <f>IF(OR(R302="",R301=""),"",R302-R301)</f>
        <v/>
      </c>
      <c r="U302" s="95">
        <f>IF(OR(S302="",S301=""),"",S302-S301)</f>
        <v/>
      </c>
      <c r="V302" s="95">
        <f>IF(OR(U302="",P302=""),"",U302+P302)</f>
        <v/>
      </c>
      <c r="W302" s="95">
        <f>IF(OR(T302="",O302="",P302=""),"",T302-O302+P302)</f>
        <v/>
      </c>
    </row>
    <row r="303">
      <c r="A303" s="35" t="n">
        <v>45957</v>
      </c>
      <c r="B303" s="92" t="n">
        <v>8411267596.114157</v>
      </c>
      <c r="C303" s="92" t="n"/>
      <c r="D303" s="92" t="n">
        <v>65446643</v>
      </c>
      <c r="E303" s="92" t="n">
        <v>2485119.65814</v>
      </c>
      <c r="F303" s="92" t="n">
        <v>36623</v>
      </c>
      <c r="G303" s="92" t="n">
        <v>0</v>
      </c>
      <c r="H303" s="92" t="n">
        <v>141883</v>
      </c>
      <c r="I303" s="92" t="n">
        <v>180324</v>
      </c>
      <c r="J303" s="92" t="n">
        <v>53328.08633295985</v>
      </c>
      <c r="K303" s="92" t="n">
        <v>0</v>
      </c>
      <c r="L303" s="94" t="n">
        <v>52411.15</v>
      </c>
      <c r="M303" s="92" t="n">
        <v>2485119.65814</v>
      </c>
      <c r="N303" s="94" t="n">
        <v>33981239.81</v>
      </c>
      <c r="O303" s="94" t="n">
        <v>30771.3676</v>
      </c>
      <c r="P303" s="94" t="n">
        <v>1937.3233</v>
      </c>
      <c r="Q303" s="92" t="n">
        <v>95241.72</v>
      </c>
      <c r="R303" s="94" t="n">
        <v>337018189.5669</v>
      </c>
      <c r="S303" s="94" t="n">
        <v>999537179.6215</v>
      </c>
      <c r="T303" s="95">
        <f>IF(OR(R303="",R302=""),"",R303-R302)</f>
        <v/>
      </c>
      <c r="U303" s="95">
        <f>IF(OR(S303="",S302=""),"",S303-S302)</f>
        <v/>
      </c>
      <c r="V303" s="95">
        <f>IF(OR(U303="",P303=""),"",U303+P303)</f>
        <v/>
      </c>
      <c r="W303" s="95">
        <f>IF(OR(T303="",O303="",P303=""),"",T303-O303+P303)</f>
        <v/>
      </c>
    </row>
    <row r="304">
      <c r="A304" s="35" t="n">
        <v>45958</v>
      </c>
      <c r="B304" s="92" t="n">
        <v>9800694354.673594</v>
      </c>
      <c r="C304" s="92" t="n"/>
      <c r="D304" s="92" t="n">
        <v>80478854</v>
      </c>
      <c r="E304" s="92" t="n">
        <v>2746596.55191</v>
      </c>
      <c r="F304" s="92" t="n">
        <v>43462</v>
      </c>
      <c r="G304" s="92" t="n">
        <v>0</v>
      </c>
      <c r="H304" s="92" t="n">
        <v>147331</v>
      </c>
      <c r="I304" s="92" t="n">
        <v>195777</v>
      </c>
      <c r="J304" s="92" t="n">
        <v>41219.04381132711</v>
      </c>
      <c r="K304" s="92" t="n">
        <v>0</v>
      </c>
      <c r="L304" s="94" t="n">
        <v>57848.3</v>
      </c>
      <c r="M304" s="92" t="n">
        <v>2746596.55191</v>
      </c>
      <c r="N304" s="94" t="n">
        <v>34026899.08</v>
      </c>
      <c r="O304" s="94" t="n">
        <v>21505.2152</v>
      </c>
      <c r="P304" s="94" t="n">
        <v>2987.1464</v>
      </c>
      <c r="Q304" s="92" t="n">
        <v>139826.83</v>
      </c>
      <c r="R304" s="94" t="n">
        <v>337021892.0603</v>
      </c>
      <c r="S304" s="94" t="n">
        <v>999534192.4751</v>
      </c>
      <c r="T304" s="95">
        <f>IF(OR(R304="",R303=""),"",R304-R303)</f>
        <v/>
      </c>
      <c r="U304" s="95">
        <f>IF(OR(S304="",S303=""),"",S304-S303)</f>
        <v/>
      </c>
      <c r="V304" s="95">
        <f>IF(OR(U304="",P304=""),"",U304+P304)</f>
        <v/>
      </c>
      <c r="W304" s="95">
        <f>IF(OR(T304="",O304="",P304=""),"",T304-O304+P304)</f>
        <v/>
      </c>
    </row>
    <row r="305">
      <c r="A305" s="35" t="n">
        <v>45959</v>
      </c>
      <c r="B305" s="92" t="n">
        <v>11021600474.10319</v>
      </c>
      <c r="C305" s="92" t="n"/>
      <c r="D305" s="92" t="n">
        <v>94293418</v>
      </c>
      <c r="E305" s="92" t="n">
        <v>3030139.75</v>
      </c>
      <c r="F305" s="92" t="n">
        <v>49570</v>
      </c>
      <c r="G305" s="92" t="n">
        <v>0</v>
      </c>
      <c r="H305" s="92" t="n">
        <v>142583</v>
      </c>
      <c r="I305" s="92" t="n">
        <v>180724</v>
      </c>
      <c r="J305" s="92" t="n">
        <v>64687.93868420767</v>
      </c>
      <c r="K305" s="92" t="n">
        <v>0</v>
      </c>
      <c r="L305" s="94" t="n">
        <v>63421.84</v>
      </c>
      <c r="M305" s="92" t="n">
        <v>3030139.75</v>
      </c>
      <c r="N305" s="94" t="n">
        <v>34136793.69</v>
      </c>
      <c r="O305" s="94" t="n">
        <v>26132.4928</v>
      </c>
      <c r="P305" s="94" t="n">
        <v>643.3239</v>
      </c>
      <c r="Q305" s="92" t="n">
        <v>30583.3</v>
      </c>
      <c r="R305" s="94" t="n">
        <v>337032568.2019</v>
      </c>
      <c r="S305" s="94" t="n">
        <v>999533549.1512001</v>
      </c>
      <c r="T305" s="95">
        <f>IF(OR(R305="",R304=""),"",R305-R304)</f>
        <v/>
      </c>
      <c r="U305" s="95">
        <f>IF(OR(S305="",S304=""),"",S305-S304)</f>
        <v/>
      </c>
      <c r="V305" s="95">
        <f>IF(OR(U305="",P305=""),"",U305+P305)</f>
        <v/>
      </c>
      <c r="W305" s="95">
        <f>IF(OR(T305="",O305="",P305=""),"",T305-O305+P305)</f>
        <v/>
      </c>
    </row>
    <row r="306">
      <c r="A306" s="35" t="n">
        <v>45960</v>
      </c>
      <c r="B306" s="92" t="n">
        <v>12251475489.92371</v>
      </c>
      <c r="C306" s="92" t="n"/>
      <c r="D306" s="92" t="n">
        <v>116073044</v>
      </c>
      <c r="E306" s="92" t="n">
        <v>3350689.9</v>
      </c>
      <c r="F306" s="92" t="n">
        <v>53747</v>
      </c>
      <c r="G306" s="92" t="n">
        <v>0</v>
      </c>
      <c r="H306" s="92" t="n">
        <v>203424</v>
      </c>
      <c r="I306" s="92" t="n">
        <v>249350</v>
      </c>
      <c r="J306" s="92" t="n">
        <v>77902.03054013163</v>
      </c>
      <c r="K306" s="92" t="n">
        <v>49040.85</v>
      </c>
      <c r="L306" s="94" t="n">
        <v>72418.74000000001</v>
      </c>
      <c r="M306" s="92" t="n">
        <v>3350689.9</v>
      </c>
      <c r="N306" s="94" t="n">
        <v>34207883.32</v>
      </c>
      <c r="O306" s="94" t="n">
        <v>25584.5234</v>
      </c>
      <c r="P306" s="94" t="n">
        <v>777.1475</v>
      </c>
      <c r="Q306" s="92" t="n">
        <v>37119.67</v>
      </c>
      <c r="R306" s="94" t="n">
        <v>337042570.3133</v>
      </c>
      <c r="S306" s="94" t="n">
        <v>999532772.0037</v>
      </c>
      <c r="T306" s="95">
        <f>IF(OR(R306="",R305=""),"",R306-R305)</f>
        <v/>
      </c>
      <c r="U306" s="95">
        <f>IF(OR(S306="",S305=""),"",S306-S305)</f>
        <v/>
      </c>
      <c r="V306" s="95">
        <f>IF(OR(U306="",P306=""),"",U306+P306)</f>
        <v/>
      </c>
      <c r="W306" s="95">
        <f>IF(OR(T306="",O306="",P306=""),"",T306-O306+P306)</f>
        <v/>
      </c>
    </row>
    <row r="307">
      <c r="A307" s="35" t="n">
        <v>45961</v>
      </c>
      <c r="B307" s="92" t="n">
        <v>7199511723.580703</v>
      </c>
      <c r="C307" s="92" t="n"/>
      <c r="D307" s="92" t="n">
        <v>60260348</v>
      </c>
      <c r="E307" s="92" t="n">
        <v>2259013.3</v>
      </c>
      <c r="F307" s="92" t="n">
        <v>30785</v>
      </c>
      <c r="G307" s="92" t="n">
        <v>0</v>
      </c>
      <c r="H307" s="92" t="n">
        <v>123962</v>
      </c>
      <c r="I307" s="92" t="n">
        <v>153519</v>
      </c>
      <c r="J307" s="92" t="n">
        <v>40723.51198512119</v>
      </c>
      <c r="K307" s="92" t="n">
        <v>29694.07</v>
      </c>
      <c r="L307" s="94" t="n">
        <v>50976.52</v>
      </c>
      <c r="M307" s="92" t="n">
        <v>2259013.3</v>
      </c>
      <c r="N307" s="94" t="n">
        <v>34259513.44</v>
      </c>
      <c r="O307" s="94" t="n">
        <v>26132.0917</v>
      </c>
      <c r="P307" s="94" t="n">
        <v>2710.6255</v>
      </c>
      <c r="Q307" s="92" t="n">
        <v>123413.43</v>
      </c>
      <c r="R307" s="94" t="n">
        <v>337051167.524</v>
      </c>
      <c r="S307" s="94" t="n">
        <v>999530061.3782001</v>
      </c>
      <c r="T307" s="95">
        <f>IF(OR(R307="",R306=""),"",R307-R306)</f>
        <v/>
      </c>
      <c r="U307" s="95">
        <f>IF(OR(S307="",S306=""),"",S307-S306)</f>
        <v/>
      </c>
      <c r="V307" s="95">
        <f>IF(OR(U307="",P307=""),"",U307+P307)</f>
        <v/>
      </c>
      <c r="W307" s="95">
        <f>IF(OR(T307="",O307="",P307=""),"",T307-O307+P307)</f>
        <v/>
      </c>
    </row>
    <row r="308">
      <c r="A308" s="35" t="n">
        <v>45962</v>
      </c>
      <c r="B308" s="92" t="n">
        <v>2965686251.470873</v>
      </c>
      <c r="C308" s="92" t="n"/>
      <c r="D308" s="92" t="n">
        <v>44942141</v>
      </c>
      <c r="E308" s="92" t="n">
        <v>905975.09</v>
      </c>
      <c r="F308" s="92" t="n">
        <v>24402</v>
      </c>
      <c r="G308" s="92" t="n">
        <v>0</v>
      </c>
      <c r="H308" s="92" t="n">
        <v>79034</v>
      </c>
      <c r="I308" s="92" t="n">
        <v>97376</v>
      </c>
      <c r="J308" s="92" t="n">
        <v>20884.86685340288</v>
      </c>
      <c r="K308" s="92" t="n">
        <v>27250.43</v>
      </c>
      <c r="L308" s="94" t="n">
        <v>20798.35</v>
      </c>
      <c r="M308" s="92" t="n">
        <v>905975.09</v>
      </c>
      <c r="N308" s="94" t="n">
        <v>34280139.13</v>
      </c>
      <c r="O308" s="94" t="n">
        <v>26112.4247</v>
      </c>
      <c r="P308" s="94" t="n">
        <v>1407.0012</v>
      </c>
      <c r="Q308" s="92" t="n">
        <v>61106.76</v>
      </c>
      <c r="R308" s="94" t="n">
        <v>337061070.3308</v>
      </c>
      <c r="S308" s="94" t="n">
        <v>999528654.377</v>
      </c>
      <c r="T308" s="95">
        <f>IF(OR(R308="",R307=""),"",R308-R307)</f>
        <v/>
      </c>
      <c r="U308" s="95">
        <f>IF(OR(S308="",S307=""),"",S308-S307)</f>
        <v/>
      </c>
      <c r="V308" s="95">
        <f>IF(OR(U308="",P308=""),"",U308+P308)</f>
        <v/>
      </c>
      <c r="W308" s="95">
        <f>IF(OR(T308="",O308="",P308=""),"",T308-O308+P308)</f>
        <v/>
      </c>
    </row>
    <row r="309">
      <c r="A309" s="35" t="n">
        <v>45963</v>
      </c>
      <c r="B309" s="92" t="n">
        <v>4109923136.259565</v>
      </c>
      <c r="C309" s="92" t="n"/>
      <c r="D309" s="92" t="n">
        <v>32898300</v>
      </c>
      <c r="E309" s="92" t="n">
        <v>1131973.02</v>
      </c>
      <c r="F309" s="92" t="n">
        <v>18560</v>
      </c>
      <c r="G309" s="92" t="n">
        <v>0</v>
      </c>
      <c r="H309" s="92" t="n">
        <v>90793</v>
      </c>
      <c r="I309" s="92" t="n">
        <v>117319</v>
      </c>
      <c r="J309" s="92" t="n">
        <v>21561.40035412544</v>
      </c>
      <c r="K309" s="92" t="n">
        <v>0</v>
      </c>
      <c r="L309" s="94" t="n">
        <v>26840.13</v>
      </c>
      <c r="M309" s="92" t="n">
        <v>1131973.02</v>
      </c>
      <c r="N309" s="94" t="n">
        <v>34310312.42</v>
      </c>
      <c r="O309" s="94" t="n">
        <v>26085.2116</v>
      </c>
      <c r="P309" s="94" t="n">
        <v>1000.5355</v>
      </c>
      <c r="Q309" s="92" t="n">
        <v>42616.31</v>
      </c>
      <c r="R309" s="94" t="n">
        <v>337071356.5747</v>
      </c>
      <c r="S309" s="94" t="n">
        <v>999527653.8415</v>
      </c>
      <c r="T309" s="95">
        <f>IF(OR(R309="",R308=""),"",R309-R308)</f>
        <v/>
      </c>
      <c r="U309" s="95">
        <f>IF(OR(S309="",S308=""),"",S309-S308)</f>
        <v/>
      </c>
      <c r="V309" s="95">
        <f>IF(OR(U309="",P309=""),"",U309+P309)</f>
        <v/>
      </c>
      <c r="W309" s="95">
        <f>IF(OR(T309="",O309="",P309=""),"",T309-O309+P309)</f>
        <v/>
      </c>
    </row>
    <row r="310">
      <c r="A310" s="35" t="n">
        <v>45964</v>
      </c>
      <c r="B310" s="92" t="n">
        <v>12395113798.28667</v>
      </c>
      <c r="C310" s="92" t="n"/>
      <c r="D310" s="92" t="n">
        <v>76786337</v>
      </c>
      <c r="E310" s="92" t="n">
        <v>3442991.47</v>
      </c>
      <c r="F310" s="92" t="n">
        <v>34561</v>
      </c>
      <c r="G310" s="92" t="n">
        <v>0</v>
      </c>
      <c r="H310" s="92" t="n">
        <v>152770</v>
      </c>
      <c r="I310" s="92" t="n">
        <v>205746</v>
      </c>
      <c r="J310" s="92" t="n">
        <v>45857.57870453568</v>
      </c>
      <c r="K310" s="92" t="n">
        <v>23979.5</v>
      </c>
      <c r="L310" s="94" t="n">
        <v>84946.33</v>
      </c>
      <c r="M310" s="92" t="n">
        <v>3442991.47</v>
      </c>
      <c r="N310" s="94" t="n">
        <v>34393309.46</v>
      </c>
      <c r="O310" s="94" t="n">
        <v>26120.7791</v>
      </c>
      <c r="P310" s="94" t="n">
        <v>838.5616</v>
      </c>
      <c r="Q310" s="92" t="n">
        <v>35472.41</v>
      </c>
      <c r="R310" s="94" t="n">
        <v>337081825.5118</v>
      </c>
      <c r="S310" s="94" t="n">
        <v>999526815.2799</v>
      </c>
      <c r="T310" s="95">
        <f>IF(OR(R310="",R309=""),"",R310-R309)</f>
        <v/>
      </c>
      <c r="U310" s="95">
        <f>IF(OR(S310="",S309=""),"",S310-S309)</f>
        <v/>
      </c>
      <c r="V310" s="95">
        <f>IF(OR(U310="",P310=""),"",U310+P310)</f>
        <v/>
      </c>
      <c r="W310" s="95">
        <f>IF(OR(T310="",O310="",P310=""),"",T310-O310+P310)</f>
        <v/>
      </c>
    </row>
    <row r="311">
      <c r="A311" s="35" t="n">
        <v>45965</v>
      </c>
      <c r="B311" s="92" t="n">
        <v>18754986134.89375</v>
      </c>
      <c r="C311" s="92" t="n"/>
      <c r="D311" s="92" t="n">
        <v>76973279</v>
      </c>
      <c r="E311" s="92" t="n">
        <v>4842096.4</v>
      </c>
      <c r="F311" s="92" t="n">
        <v>30207</v>
      </c>
      <c r="G311" s="92" t="n">
        <v>0</v>
      </c>
      <c r="H311" s="92" t="n">
        <v>250277</v>
      </c>
      <c r="I311" s="92" t="n">
        <v>327482</v>
      </c>
      <c r="J311" s="92" t="n">
        <v>86012.91274979358</v>
      </c>
      <c r="K311" s="92" t="n">
        <v>22271.87</v>
      </c>
      <c r="L311" s="94" t="n">
        <v>128295.39</v>
      </c>
      <c r="M311" s="92" t="n">
        <v>4842096.4</v>
      </c>
      <c r="N311" s="94" t="n">
        <v>34530179.1</v>
      </c>
      <c r="O311" s="94" t="n">
        <v>26102.2179</v>
      </c>
      <c r="P311" s="94" t="n">
        <v>1420.4197</v>
      </c>
      <c r="Q311" s="92" t="n">
        <v>55752.18</v>
      </c>
      <c r="R311" s="94" t="n">
        <v>337091670.0507</v>
      </c>
      <c r="S311" s="94" t="n">
        <v>999525394.8602</v>
      </c>
      <c r="T311" s="95">
        <f>IF(OR(R311="",R310=""),"",R311-R310)</f>
        <v/>
      </c>
      <c r="U311" s="95">
        <f>IF(OR(S311="",S310=""),"",S311-S310)</f>
        <v/>
      </c>
      <c r="V311" s="95">
        <f>IF(OR(U311="",P311=""),"",U311+P311)</f>
        <v/>
      </c>
      <c r="W311" s="95">
        <f>IF(OR(T311="",O311="",P311=""),"",T311-O311+P311)</f>
        <v/>
      </c>
    </row>
    <row r="312">
      <c r="A312" s="35" t="n">
        <v>45966</v>
      </c>
      <c r="B312" s="92" t="n">
        <v>9049643782.87299</v>
      </c>
      <c r="C312" s="92" t="n"/>
      <c r="D312" s="92" t="n">
        <v>74172106</v>
      </c>
      <c r="E312" s="92" t="n">
        <v>3095161.4</v>
      </c>
      <c r="F312" s="92" t="n">
        <v>33812</v>
      </c>
      <c r="G312" s="92" t="n">
        <v>0</v>
      </c>
      <c r="H312" s="92" t="n">
        <v>119430</v>
      </c>
      <c r="I312" s="92" t="n">
        <v>162518</v>
      </c>
      <c r="J312" s="92" t="n">
        <v>36274.73347561946</v>
      </c>
      <c r="K312" s="92" t="n">
        <v>37178.92</v>
      </c>
      <c r="L312" s="94" t="n">
        <v>76813.03</v>
      </c>
      <c r="M312" s="92" t="n">
        <v>3095161.4</v>
      </c>
      <c r="N312" s="94" t="n">
        <v>34598550</v>
      </c>
      <c r="O312" s="94" t="n">
        <v>25985.3347</v>
      </c>
      <c r="P312" s="94" t="n">
        <v>2903.9061</v>
      </c>
      <c r="Q312" s="92" t="n">
        <v>113503.53</v>
      </c>
      <c r="R312" s="94" t="n">
        <v>337099854.8585</v>
      </c>
      <c r="S312" s="94" t="n">
        <v>999522490.9541</v>
      </c>
      <c r="T312" s="95">
        <f>IF(OR(R312="",R311=""),"",R312-R311)</f>
        <v/>
      </c>
      <c r="U312" s="95">
        <f>IF(OR(S312="",S311=""),"",S312-S311)</f>
        <v/>
      </c>
      <c r="V312" s="95">
        <f>IF(OR(U312="",P312=""),"",U312+P312)</f>
        <v/>
      </c>
      <c r="W312" s="95">
        <f>IF(OR(T312="",O312="",P312=""),"",T312-O312+P312)</f>
        <v/>
      </c>
    </row>
    <row r="313">
      <c r="A313" s="35" t="n">
        <v>45967</v>
      </c>
      <c r="B313" s="92" t="n">
        <v>10025511124.26234</v>
      </c>
      <c r="C313" s="92" t="n"/>
      <c r="D313" s="92" t="n">
        <v>72408906</v>
      </c>
      <c r="E313" s="92" t="n">
        <v>2820403.43</v>
      </c>
      <c r="F313" s="92" t="n">
        <v>32091</v>
      </c>
      <c r="G313" s="92" t="n">
        <v>0</v>
      </c>
      <c r="H313" s="92" t="n">
        <v>133394</v>
      </c>
      <c r="I313" s="92" t="n">
        <v>179457</v>
      </c>
      <c r="J313" s="92" t="n">
        <v>28589.39459381691</v>
      </c>
      <c r="K313" s="92" t="n">
        <v>0</v>
      </c>
      <c r="L313" s="94" t="n">
        <v>71839.50999999999</v>
      </c>
      <c r="M313" s="92" t="n">
        <v>2820403.43</v>
      </c>
      <c r="N313" s="94" t="n">
        <v>34669690.21</v>
      </c>
      <c r="O313" s="94" t="n">
        <v>25961.9492</v>
      </c>
      <c r="P313" s="94" t="n">
        <v>1791.5839</v>
      </c>
      <c r="Q313" s="92" t="n">
        <v>73526.60000000001</v>
      </c>
      <c r="R313" s="94" t="n">
        <v>337109109.1968</v>
      </c>
      <c r="S313" s="94" t="n">
        <v>999520699.3702</v>
      </c>
      <c r="T313" s="95">
        <f>IF(OR(R313="",R312=""),"",R313-R312)</f>
        <v/>
      </c>
      <c r="U313" s="95">
        <f>IF(OR(S313="",S312=""),"",S313-S312)</f>
        <v/>
      </c>
      <c r="V313" s="95">
        <f>IF(OR(U313="",P313=""),"",U313+P313)</f>
        <v/>
      </c>
      <c r="W313" s="95">
        <f>IF(OR(T313="",O313="",P313=""),"",T313-O313+P313)</f>
        <v/>
      </c>
    </row>
    <row r="314">
      <c r="A314" s="35" t="n">
        <v>45968</v>
      </c>
      <c r="B314" s="92" t="n">
        <v>11452867117.06297</v>
      </c>
      <c r="C314" s="92" t="n"/>
      <c r="D314" s="92" t="n">
        <v>86339593</v>
      </c>
      <c r="E314" s="92" t="n">
        <v>3221804.45</v>
      </c>
      <c r="F314" s="92" t="n">
        <v>36941</v>
      </c>
      <c r="G314" s="92" t="n">
        <v>0</v>
      </c>
      <c r="H314" s="92" t="n">
        <v>117559</v>
      </c>
      <c r="I314" s="92" t="n">
        <v>158063</v>
      </c>
      <c r="J314" s="92" t="n">
        <v>44091.6878996825</v>
      </c>
      <c r="K314" s="92" t="n">
        <v>23132.01</v>
      </c>
      <c r="L314" s="94" t="n">
        <v>79550.84</v>
      </c>
      <c r="M314" s="92" t="n">
        <v>3221804.45</v>
      </c>
      <c r="N314" s="94" t="n">
        <v>34749096.65</v>
      </c>
      <c r="O314" s="94" t="n">
        <v>25933.0357</v>
      </c>
      <c r="P314" s="94" t="n">
        <v>769.2206</v>
      </c>
      <c r="Q314" s="92" t="n">
        <v>29566.53</v>
      </c>
      <c r="R314" s="94" t="n">
        <v>337119353.0779</v>
      </c>
      <c r="S314" s="94" t="n">
        <v>999519930.1496</v>
      </c>
      <c r="T314" s="95">
        <f>IF(OR(R314="",R313=""),"",R314-R313)</f>
        <v/>
      </c>
      <c r="U314" s="95">
        <f>IF(OR(S314="",S313=""),"",S314-S313)</f>
        <v/>
      </c>
      <c r="V314" s="95">
        <f>IF(OR(U314="",P314=""),"",U314+P314)</f>
        <v/>
      </c>
      <c r="W314" s="95">
        <f>IF(OR(T314="",O314="",P314=""),"",T314-O314+P314)</f>
        <v/>
      </c>
    </row>
    <row r="315">
      <c r="A315" s="35" t="n">
        <v>45969</v>
      </c>
      <c r="B315" s="92" t="n">
        <v>5598834970.480749</v>
      </c>
      <c r="C315" s="92" t="n"/>
      <c r="D315" s="92" t="n">
        <v>17353200</v>
      </c>
      <c r="E315" s="92" t="n">
        <v>1626720.04</v>
      </c>
      <c r="F315" s="92" t="n">
        <v>9415</v>
      </c>
      <c r="G315" s="92" t="n">
        <v>0</v>
      </c>
      <c r="H315" s="92" t="n">
        <v>146952</v>
      </c>
      <c r="I315" s="92" t="n">
        <v>192732</v>
      </c>
      <c r="J315" s="92" t="n">
        <v>17413.29662651659</v>
      </c>
      <c r="K315" s="92" t="n">
        <v>21168.53</v>
      </c>
      <c r="L315" s="94" t="n">
        <v>39496.34</v>
      </c>
      <c r="M315" s="92" t="n">
        <v>1626720.04</v>
      </c>
      <c r="N315" s="94" t="n">
        <v>34788699.69</v>
      </c>
      <c r="O315" s="94" t="n">
        <v>25923.3665</v>
      </c>
      <c r="P315" s="94" t="n">
        <v>2190.7271</v>
      </c>
      <c r="Q315" s="92" t="n">
        <v>92204.42</v>
      </c>
      <c r="R315" s="94" t="n">
        <v>337128160.3025</v>
      </c>
      <c r="S315" s="94" t="n">
        <v>999517739.4225</v>
      </c>
      <c r="T315" s="95">
        <f>IF(OR(R315="",R314=""),"",R315-R314)</f>
        <v/>
      </c>
      <c r="U315" s="95">
        <f>IF(OR(S315="",S314=""),"",S315-S314)</f>
        <v/>
      </c>
      <c r="V315" s="95">
        <f>IF(OR(U315="",P315=""),"",U315+P315)</f>
        <v/>
      </c>
      <c r="W315" s="95">
        <f>IF(OR(T315="",O315="",P315=""),"",T315-O315+P315)</f>
        <v/>
      </c>
    </row>
    <row r="316">
      <c r="A316" s="35" t="n">
        <v>45970</v>
      </c>
      <c r="B316" s="92" t="n">
        <v>6118478811.771244</v>
      </c>
      <c r="C316" s="92" t="n"/>
      <c r="D316" s="92" t="n">
        <v>35940775</v>
      </c>
      <c r="E316" s="92" t="n">
        <v>1728449.96</v>
      </c>
      <c r="F316" s="92" t="n">
        <v>18794</v>
      </c>
      <c r="G316" s="92" t="n">
        <v>0</v>
      </c>
      <c r="H316" s="92" t="n">
        <v>81398</v>
      </c>
      <c r="I316" s="92" t="n">
        <v>109079</v>
      </c>
      <c r="J316" s="92" t="n">
        <v>17823.69843861972</v>
      </c>
      <c r="K316" s="92" t="n">
        <v>0</v>
      </c>
      <c r="L316" s="94" t="n">
        <v>42278.57</v>
      </c>
      <c r="M316" s="92" t="n">
        <v>1728449.96</v>
      </c>
      <c r="N316" s="94" t="n">
        <v>34831432.51</v>
      </c>
      <c r="O316" s="94" t="n">
        <v>25894.7721</v>
      </c>
      <c r="P316" s="94" t="n">
        <v>972.6213</v>
      </c>
      <c r="Q316" s="92" t="n">
        <v>38961.75</v>
      </c>
      <c r="R316" s="94" t="n">
        <v>337138133.2539</v>
      </c>
      <c r="S316" s="94" t="n">
        <v>999516766.8012</v>
      </c>
      <c r="T316" s="95">
        <f>IF(OR(R316="",R315=""),"",R316-R315)</f>
        <v/>
      </c>
      <c r="U316" s="95">
        <f>IF(OR(S316="",S315=""),"",S316-S315)</f>
        <v/>
      </c>
      <c r="V316" s="95">
        <f>IF(OR(U316="",P316=""),"",U316+P316)</f>
        <v/>
      </c>
      <c r="W316" s="95">
        <f>IF(OR(T316="",O316="",P316=""),"",T316-O316+P316)</f>
        <v/>
      </c>
    </row>
    <row r="317">
      <c r="A317" s="35" t="n">
        <v>45971</v>
      </c>
      <c r="B317" s="92" t="n">
        <v>8805762772.054436</v>
      </c>
      <c r="C317" s="92" t="n">
        <v>294063499.4635271</v>
      </c>
      <c r="D317" s="92" t="n">
        <v>48277276</v>
      </c>
      <c r="E317" s="92" t="n">
        <v>2462236.88</v>
      </c>
      <c r="F317" s="92" t="n">
        <v>22200</v>
      </c>
      <c r="G317" s="92" t="n">
        <v>0</v>
      </c>
      <c r="H317" s="92" t="n">
        <v>101237</v>
      </c>
      <c r="I317" s="92" t="n">
        <v>138356</v>
      </c>
      <c r="J317" s="92" t="n">
        <v>21912.36709961436</v>
      </c>
      <c r="K317" s="92" t="n">
        <v>28674.71</v>
      </c>
      <c r="L317" s="94" t="n">
        <v>58760.44</v>
      </c>
      <c r="M317" s="92" t="n">
        <v>2462236.88</v>
      </c>
      <c r="N317" s="94" t="n">
        <v>34889688.91</v>
      </c>
      <c r="O317" s="94" t="n">
        <v>25893.8588</v>
      </c>
      <c r="P317" s="94" t="n">
        <v>1115.504</v>
      </c>
      <c r="Q317" s="92" t="n">
        <v>46825.51</v>
      </c>
      <c r="R317" s="94" t="n">
        <v>337147972.8439</v>
      </c>
      <c r="S317" s="94" t="n">
        <v>999515651.2972</v>
      </c>
      <c r="T317" s="95">
        <f>IF(OR(R317="",R316=""),"",R317-R316)</f>
        <v/>
      </c>
      <c r="U317" s="95">
        <f>IF(OR(S317="",S316=""),"",S317-S316)</f>
        <v/>
      </c>
      <c r="V317" s="95">
        <f>IF(OR(U317="",P317=""),"",U317+P317)</f>
        <v/>
      </c>
      <c r="W317" s="95">
        <f>IF(OR(T317="",O317="",P317=""),"",T317-O317+P317)</f>
        <v/>
      </c>
    </row>
    <row r="318">
      <c r="A318" s="35" t="n">
        <v>45972</v>
      </c>
      <c r="B318" s="92" t="n">
        <v>9377492721.86141</v>
      </c>
      <c r="C318" s="92" t="n">
        <v>336158013.1535773</v>
      </c>
      <c r="D318" s="92" t="n">
        <v>51882733</v>
      </c>
      <c r="E318" s="92" t="n">
        <v>2630949.04</v>
      </c>
      <c r="F318" s="92" t="n">
        <v>21096</v>
      </c>
      <c r="G318" s="92" t="n">
        <v>0</v>
      </c>
      <c r="H318" s="92" t="n">
        <v>139663</v>
      </c>
      <c r="I318" s="92" t="n">
        <v>176605</v>
      </c>
      <c r="J318" s="92" t="n">
        <v>21951.803370227</v>
      </c>
      <c r="K318" s="92" t="n">
        <v>0</v>
      </c>
      <c r="L318" s="94" t="n">
        <v>65665.92999999999</v>
      </c>
      <c r="M318" s="92" t="n">
        <v>2630949.04</v>
      </c>
      <c r="N318" s="94" t="n">
        <v>34955480.73</v>
      </c>
      <c r="O318" s="94" t="n">
        <v>25897.845</v>
      </c>
      <c r="P318" s="94" t="n">
        <v>1227.8531</v>
      </c>
      <c r="Q318" s="92" t="n">
        <v>50324.18</v>
      </c>
      <c r="R318" s="94" t="n">
        <v>337157726.7135</v>
      </c>
      <c r="S318" s="94" t="n">
        <v>999514423.4441</v>
      </c>
      <c r="T318" s="95">
        <f>IF(OR(R318="",R317=""),"",R318-R317)</f>
        <v/>
      </c>
      <c r="U318" s="95">
        <f>IF(OR(S318="",S317=""),"",S318-S317)</f>
        <v/>
      </c>
      <c r="V318" s="95">
        <f>IF(OR(U318="",P318=""),"",U318+P318)</f>
        <v/>
      </c>
      <c r="W318" s="95">
        <f>IF(OR(T318="",O318="",P318=""),"",T318-O318+P318)</f>
        <v/>
      </c>
    </row>
    <row r="319">
      <c r="A319" s="35" t="n">
        <v>45973</v>
      </c>
      <c r="B319" s="92" t="n">
        <v>7870620922.088922</v>
      </c>
      <c r="C319" s="92" t="n">
        <v>262212552.193934</v>
      </c>
      <c r="D319" s="92" t="n">
        <v>55323533</v>
      </c>
      <c r="E319" s="92" t="n">
        <v>2222071.34</v>
      </c>
      <c r="F319" s="92" t="n">
        <v>25160</v>
      </c>
      <c r="G319" s="92" t="n">
        <v>0</v>
      </c>
      <c r="H319" s="92" t="n">
        <v>106685</v>
      </c>
      <c r="I319" s="92" t="n">
        <v>140400</v>
      </c>
      <c r="J319" s="92" t="n">
        <v>23955.71629433637</v>
      </c>
      <c r="K319" s="92" t="n">
        <v>19345.2</v>
      </c>
      <c r="L319" s="94" t="n">
        <v>57050.12</v>
      </c>
      <c r="M319" s="92" t="n">
        <v>2222071.34</v>
      </c>
      <c r="N319" s="94" t="n">
        <v>35011836.54</v>
      </c>
      <c r="O319" s="94" t="n">
        <v>25950.145</v>
      </c>
      <c r="P319" s="94" t="n">
        <v>1130.4074</v>
      </c>
      <c r="Q319" s="92" t="n">
        <v>43810.64</v>
      </c>
      <c r="R319" s="94" t="n">
        <v>337167638.6458</v>
      </c>
      <c r="S319" s="94" t="n">
        <v>999513293.0366</v>
      </c>
      <c r="T319" s="95">
        <f>IF(OR(R319="",R318=""),"",R319-R318)</f>
        <v/>
      </c>
      <c r="U319" s="95">
        <f>IF(OR(S319="",S318=""),"",S319-S318)</f>
        <v/>
      </c>
      <c r="V319" s="95">
        <f>IF(OR(U319="",P319=""),"",U319+P319)</f>
        <v/>
      </c>
      <c r="W319" s="95">
        <f>IF(OR(T319="",O319="",P319=""),"",T319-O319+P319)</f>
        <v/>
      </c>
    </row>
    <row r="320">
      <c r="A320" s="35" t="n">
        <v>45974</v>
      </c>
      <c r="B320" s="92" t="n">
        <v>13169557696.45143</v>
      </c>
      <c r="C320" s="92" t="n">
        <v>296326625.6829592</v>
      </c>
      <c r="D320" s="92" t="n">
        <v>77882780</v>
      </c>
      <c r="E320" s="92" t="n">
        <v>3637329.07</v>
      </c>
      <c r="F320" s="92" t="n">
        <v>34595</v>
      </c>
      <c r="G320" s="92" t="n">
        <v>0</v>
      </c>
      <c r="H320" s="92" t="n">
        <v>107158</v>
      </c>
      <c r="I320" s="92" t="n">
        <v>143873</v>
      </c>
      <c r="J320" s="92" t="n">
        <v>24421.98486641538</v>
      </c>
      <c r="K320" s="92" t="n">
        <v>0</v>
      </c>
      <c r="L320" s="94" t="n">
        <v>95270.13</v>
      </c>
      <c r="M320" s="92" t="n">
        <v>3637329.07</v>
      </c>
      <c r="N320" s="94" t="n">
        <v>35109691.56</v>
      </c>
      <c r="O320" s="94" t="n">
        <v>25638.1525</v>
      </c>
      <c r="P320" s="94" t="n">
        <v>1508.7648</v>
      </c>
      <c r="Q320" s="92" t="n">
        <v>57591.06</v>
      </c>
      <c r="R320" s="94" t="n">
        <v>337176996.989</v>
      </c>
      <c r="S320" s="94" t="n">
        <v>999511784.2719001</v>
      </c>
      <c r="T320" s="95">
        <f>IF(OR(R320="",R319=""),"",R320-R319)</f>
        <v/>
      </c>
      <c r="U320" s="95">
        <f>IF(OR(S320="",S319=""),"",S320-S319)</f>
        <v/>
      </c>
      <c r="V320" s="95">
        <f>IF(OR(U320="",P320=""),"",U320+P320)</f>
        <v/>
      </c>
      <c r="W320" s="95">
        <f>IF(OR(T320="",O320="",P320=""),"",T320-O320+P320)</f>
        <v/>
      </c>
    </row>
    <row r="321">
      <c r="A321" s="35" t="n">
        <v>45975</v>
      </c>
      <c r="B321" s="92" t="n">
        <v>13613954644.48285</v>
      </c>
      <c r="C321" s="92" t="n"/>
      <c r="D321" s="92" t="n">
        <v>82876659</v>
      </c>
      <c r="E321" s="92" t="n">
        <v>3778626.52</v>
      </c>
      <c r="F321" s="92" t="n">
        <v>35410</v>
      </c>
      <c r="G321" s="92" t="n">
        <v>0</v>
      </c>
      <c r="H321" s="92" t="n">
        <v>150195</v>
      </c>
      <c r="I321" s="92" t="n">
        <v>195412</v>
      </c>
      <c r="J321" s="92" t="n">
        <v>27479.26514730756</v>
      </c>
      <c r="K321" s="92" t="n">
        <v>20142.14</v>
      </c>
      <c r="L321" s="94" t="n">
        <v>101425.41</v>
      </c>
      <c r="M321" s="92" t="n">
        <v>3778626.52</v>
      </c>
      <c r="N321" s="94" t="n">
        <v>35207988.45</v>
      </c>
      <c r="O321" s="94" t="n">
        <v>25446.1864</v>
      </c>
      <c r="P321" s="94" t="n">
        <v>705.1372</v>
      </c>
      <c r="Q321" s="92" t="n">
        <v>26966.21</v>
      </c>
      <c r="R321" s="94" t="n">
        <v>337187046.1995</v>
      </c>
      <c r="S321" s="94" t="n">
        <v>999511079.1346</v>
      </c>
      <c r="T321" s="95">
        <f>IF(OR(R321="",R320=""),"",R321-R320)</f>
        <v/>
      </c>
      <c r="U321" s="95">
        <f>IF(OR(S321="",S320=""),"",S321-S320)</f>
        <v/>
      </c>
      <c r="V321" s="95">
        <f>IF(OR(U321="",P321=""),"",U321+P321)</f>
        <v/>
      </c>
      <c r="W321" s="95">
        <f>IF(OR(T321="",O321="",P321=""),"",T321-O321+P321)</f>
        <v/>
      </c>
    </row>
    <row r="322">
      <c r="A322" s="35" t="n">
        <v>45976</v>
      </c>
      <c r="B322" s="92" t="n">
        <v>4625959537.415768</v>
      </c>
      <c r="C322" s="92" t="n"/>
      <c r="D322" s="92" t="n">
        <v>28938455</v>
      </c>
      <c r="E322" s="92" t="n">
        <v>1346765.12</v>
      </c>
      <c r="F322" s="92" t="n">
        <v>18495</v>
      </c>
      <c r="G322" s="92" t="n">
        <v>0</v>
      </c>
      <c r="H322" s="92" t="n">
        <v>76492</v>
      </c>
      <c r="I322" s="92" t="n">
        <v>101061</v>
      </c>
      <c r="J322" s="92" t="n">
        <v>9172.038954276788</v>
      </c>
      <c r="K322" s="92" t="n">
        <v>0</v>
      </c>
      <c r="L322" s="94" t="n">
        <v>34839.66</v>
      </c>
      <c r="M322" s="92" t="n">
        <v>1346765.12</v>
      </c>
      <c r="N322" s="94" t="n">
        <v>35243905.51</v>
      </c>
      <c r="O322" s="94" t="n">
        <v>25324.6023</v>
      </c>
      <c r="P322" s="94" t="n">
        <v>2028.2638</v>
      </c>
      <c r="Q322" s="92" t="n">
        <v>76401.64999999999</v>
      </c>
      <c r="R322" s="94" t="n">
        <v>337195576.277</v>
      </c>
      <c r="S322" s="94" t="n">
        <v>999509050.8708</v>
      </c>
      <c r="T322" s="95">
        <f>IF(OR(R322="",R321=""),"",R322-R321)</f>
        <v/>
      </c>
      <c r="U322" s="95">
        <f>IF(OR(S322="",S321=""),"",S322-S321)</f>
        <v/>
      </c>
      <c r="V322" s="95">
        <f>IF(OR(U322="",P322=""),"",U322+P322)</f>
        <v/>
      </c>
      <c r="W322" s="95">
        <f>IF(OR(T322="",O322="",P322=""),"",T322-O322+P322)</f>
        <v/>
      </c>
    </row>
    <row r="323">
      <c r="A323" s="35" t="n">
        <v>45977</v>
      </c>
      <c r="B323" s="92" t="n">
        <v>7048418408.604944</v>
      </c>
      <c r="C323" s="92" t="n"/>
      <c r="D323" s="92" t="n">
        <v>39021394</v>
      </c>
      <c r="E323" s="92" t="n">
        <v>1936066.5</v>
      </c>
      <c r="F323" s="92" t="n">
        <v>22747</v>
      </c>
      <c r="G323" s="92" t="n">
        <v>0</v>
      </c>
      <c r="H323" s="92" t="n">
        <v>98423</v>
      </c>
      <c r="I323" s="92" t="n">
        <v>127467</v>
      </c>
      <c r="J323" s="92" t="n">
        <v>17703.58209622724</v>
      </c>
      <c r="K323" s="92" t="n">
        <v>0</v>
      </c>
      <c r="L323" s="94" t="n">
        <v>50364.81</v>
      </c>
      <c r="M323" s="92" t="n">
        <v>1936066.5</v>
      </c>
      <c r="N323" s="94" t="n">
        <v>35296567.11</v>
      </c>
      <c r="O323" s="94" t="n">
        <v>25348.0065</v>
      </c>
      <c r="P323" s="94" t="n">
        <v>368.3821</v>
      </c>
      <c r="Q323" s="92" t="n">
        <v>14143.85</v>
      </c>
      <c r="R323" s="94" t="n">
        <v>337205807.951</v>
      </c>
      <c r="S323" s="94" t="n">
        <v>999508682.4887</v>
      </c>
      <c r="T323" s="95">
        <f>IF(OR(R323="",R322=""),"",R323-R322)</f>
        <v/>
      </c>
      <c r="U323" s="95">
        <f>IF(OR(S323="",S322=""),"",S323-S322)</f>
        <v/>
      </c>
      <c r="V323" s="95">
        <f>IF(OR(U323="",P323=""),"",U323+P323)</f>
        <v/>
      </c>
      <c r="W323" s="95">
        <f>IF(OR(T323="",O323="",P323=""),"",T323-O323+P323)</f>
        <v/>
      </c>
    </row>
    <row r="324">
      <c r="A324" s="35" t="n">
        <v>45978</v>
      </c>
      <c r="B324" s="92" t="n">
        <v>9790644279.56209</v>
      </c>
      <c r="C324" s="92" t="n"/>
      <c r="D324" s="92" t="n">
        <v>124865202</v>
      </c>
      <c r="E324" s="92" t="n">
        <v>2814222.59</v>
      </c>
      <c r="F324" s="92" t="n">
        <v>55479</v>
      </c>
      <c r="G324" s="92" t="n">
        <v>0</v>
      </c>
      <c r="H324" s="92" t="n">
        <v>114541</v>
      </c>
      <c r="I324" s="92" t="n">
        <v>153294</v>
      </c>
      <c r="J324" s="92" t="n">
        <v>25585.71163847729</v>
      </c>
      <c r="K324" s="92" t="n">
        <v>0</v>
      </c>
      <c r="L324" s="94" t="n">
        <v>73999.24000000001</v>
      </c>
      <c r="M324" s="92" t="n">
        <v>2814222.59</v>
      </c>
      <c r="N324" s="94" t="n">
        <v>35367094.07</v>
      </c>
      <c r="O324" s="94" t="n">
        <v>25332.2468</v>
      </c>
      <c r="P324" s="94" t="n">
        <v>1015.1872</v>
      </c>
      <c r="Q324" s="92" t="n">
        <v>39279.62</v>
      </c>
      <c r="R324" s="94" t="n">
        <v>337215360.1284</v>
      </c>
      <c r="S324" s="94" t="n">
        <v>999507667.3015</v>
      </c>
      <c r="T324" s="95">
        <f>IF(OR(R324="",R323=""),"",R324-R323)</f>
        <v/>
      </c>
      <c r="U324" s="95">
        <f>IF(OR(S324="",S323=""),"",S324-S323)</f>
        <v/>
      </c>
      <c r="V324" s="95">
        <f>IF(OR(U324="",P324=""),"",U324+P324)</f>
        <v/>
      </c>
      <c r="W324" s="95">
        <f>IF(OR(T324="",O324="",P324=""),"",T324-O324+P324)</f>
        <v/>
      </c>
    </row>
    <row r="325">
      <c r="A325" s="35" t="n">
        <v>45979</v>
      </c>
      <c r="B325" s="92" t="n">
        <v>9827374789.107634</v>
      </c>
      <c r="C325" s="92" t="n"/>
      <c r="D325" s="92" t="n">
        <v>143664862</v>
      </c>
      <c r="E325" s="92" t="n">
        <v>2891591.59</v>
      </c>
      <c r="F325" s="92" t="n">
        <v>63228</v>
      </c>
      <c r="G325" s="92" t="n">
        <v>0</v>
      </c>
      <c r="H325" s="92" t="n">
        <v>102009</v>
      </c>
      <c r="I325" s="92" t="n">
        <v>134082</v>
      </c>
      <c r="J325" s="92" t="n">
        <v>48591.65624382608</v>
      </c>
      <c r="K325" s="92" t="n">
        <v>19431.37</v>
      </c>
      <c r="L325" s="94" t="n">
        <v>73038.41</v>
      </c>
      <c r="M325" s="92" t="n">
        <v>2891591.59</v>
      </c>
      <c r="N325" s="94" t="n">
        <v>35441466.6</v>
      </c>
      <c r="O325" s="94" t="n">
        <v>25303.9953</v>
      </c>
      <c r="P325" s="94" t="n">
        <v>689.8976</v>
      </c>
      <c r="Q325" s="92" t="n">
        <v>26951.54</v>
      </c>
      <c r="R325" s="94" t="n">
        <v>337225142.5523</v>
      </c>
      <c r="S325" s="94" t="n">
        <v>999506977.4039</v>
      </c>
      <c r="T325" s="95">
        <f>IF(OR(R325="",R324=""),"",R325-R324)</f>
        <v/>
      </c>
      <c r="U325" s="95">
        <f>IF(OR(S325="",S324=""),"",S325-S324)</f>
        <v/>
      </c>
      <c r="V325" s="95">
        <f>IF(OR(U325="",P325=""),"",U325+P325)</f>
        <v/>
      </c>
      <c r="W325" s="95">
        <f>IF(OR(T325="",O325="",P325=""),"",T325-O325+P325)</f>
        <v/>
      </c>
    </row>
    <row r="326">
      <c r="A326" s="35" t="n">
        <v>45980</v>
      </c>
      <c r="B326" s="92" t="n">
        <v>9741184862.591455</v>
      </c>
      <c r="C326" s="92" t="n"/>
      <c r="D326" s="92" t="n">
        <v>230705185</v>
      </c>
      <c r="E326" s="92" t="n">
        <v>2713751.03</v>
      </c>
      <c r="F326" s="92" t="n">
        <v>110543</v>
      </c>
      <c r="G326" s="92" t="n">
        <v>0</v>
      </c>
      <c r="H326" s="92" t="n">
        <v>107102</v>
      </c>
      <c r="I326" s="92" t="n">
        <v>152868</v>
      </c>
      <c r="J326" s="92" t="n">
        <v>26710.85823632487</v>
      </c>
      <c r="K326" s="92" t="n">
        <v>0</v>
      </c>
      <c r="L326" s="94" t="n">
        <v>71425.92999999999</v>
      </c>
      <c r="M326" s="92" t="n">
        <v>2713751.03</v>
      </c>
      <c r="N326" s="94" t="n">
        <v>35515086.06</v>
      </c>
      <c r="O326" s="94" t="n">
        <v>25266.5099</v>
      </c>
      <c r="P326" s="94" t="n">
        <v>1970.3837</v>
      </c>
      <c r="Q326" s="92" t="n">
        <v>75773.07000000001</v>
      </c>
      <c r="R326" s="94" t="n">
        <v>337233673.3417</v>
      </c>
      <c r="S326" s="94" t="n">
        <v>999505007.0202</v>
      </c>
      <c r="T326" s="95">
        <f>IF(OR(R326="",R325=""),"",R326-R325)</f>
        <v/>
      </c>
      <c r="U326" s="95">
        <f>IF(OR(S326="",S325=""),"",S326-S325)</f>
        <v/>
      </c>
      <c r="V326" s="95">
        <f>IF(OR(U326="",P326=""),"",U326+P326)</f>
        <v/>
      </c>
      <c r="W326" s="95">
        <f>IF(OR(T326="",O326="",P326=""),"",T326-O326+P326)</f>
        <v/>
      </c>
    </row>
    <row r="327">
      <c r="A327" s="35" t="n">
        <v>45981</v>
      </c>
      <c r="B327" s="92" t="n">
        <v>10905595007.32093</v>
      </c>
      <c r="C327" s="92" t="n"/>
      <c r="D327" s="92" t="n">
        <v>316335677</v>
      </c>
      <c r="E327" s="92" t="n">
        <v>3297836.79</v>
      </c>
      <c r="F327" s="92" t="n">
        <v>140567</v>
      </c>
      <c r="G327" s="92" t="n">
        <v>0</v>
      </c>
      <c r="H327" s="92" t="n">
        <v>138245</v>
      </c>
      <c r="I327" s="92" t="n">
        <v>191643</v>
      </c>
      <c r="J327" s="92" t="n">
        <v>21755.97247248714</v>
      </c>
      <c r="K327" s="92" t="n">
        <v>19301.42</v>
      </c>
      <c r="L327" s="94" t="n">
        <v>86002.89</v>
      </c>
      <c r="M327" s="92" t="n">
        <v>3297836.79</v>
      </c>
      <c r="N327" s="94" t="n">
        <v>35598549</v>
      </c>
      <c r="O327" s="94" t="n">
        <v>25302.0351</v>
      </c>
      <c r="P327" s="94" t="n">
        <v>746.9853000000001</v>
      </c>
      <c r="Q327" s="92" t="n">
        <v>28953.9</v>
      </c>
      <c r="R327" s="94" t="n">
        <v>337243423.9183</v>
      </c>
      <c r="S327" s="94" t="n">
        <v>999504260.0349</v>
      </c>
      <c r="T327" s="95">
        <f>IF(OR(R327="",R326=""),"",R327-R326)</f>
        <v/>
      </c>
      <c r="U327" s="95">
        <f>IF(OR(S327="",S326=""),"",S327-S326)</f>
        <v/>
      </c>
      <c r="V327" s="95">
        <f>IF(OR(U327="",P327=""),"",U327+P327)</f>
        <v/>
      </c>
      <c r="W327" s="95">
        <f>IF(OR(T327="",O327="",P327=""),"",T327-O327+P327)</f>
        <v/>
      </c>
    </row>
    <row r="328">
      <c r="A328" s="35" t="n">
        <v>45982</v>
      </c>
      <c r="B328" s="92" t="n">
        <v>15870077046.09589</v>
      </c>
      <c r="C328" s="92" t="n"/>
      <c r="D328" s="92" t="n">
        <v>320977745</v>
      </c>
      <c r="E328" s="92" t="n">
        <v>4477366.02</v>
      </c>
      <c r="F328" s="92" t="n">
        <v>127981</v>
      </c>
      <c r="G328" s="92" t="n">
        <v>0</v>
      </c>
      <c r="H328" s="92" t="n">
        <v>170154</v>
      </c>
      <c r="I328" s="92" t="n">
        <v>220169</v>
      </c>
      <c r="J328" s="92" t="n">
        <v>139853.1428343788</v>
      </c>
      <c r="K328" s="92" t="n">
        <v>0</v>
      </c>
      <c r="L328" s="94" t="n">
        <v>131495.54</v>
      </c>
      <c r="M328" s="92" t="n">
        <v>4477366.02</v>
      </c>
      <c r="N328" s="94" t="n">
        <v>35732484.14</v>
      </c>
      <c r="O328" s="94" t="n">
        <v>25458.281</v>
      </c>
      <c r="P328" s="94" t="n">
        <v>1603.7265</v>
      </c>
      <c r="Q328" s="92" t="n">
        <v>61201.41</v>
      </c>
      <c r="R328" s="94" t="n">
        <v>337252474.386</v>
      </c>
      <c r="S328" s="94" t="n">
        <v>999502656.3083</v>
      </c>
      <c r="T328" s="95">
        <f>IF(OR(R328="",R327=""),"",R328-R327)</f>
        <v/>
      </c>
      <c r="U328" s="95">
        <f>IF(OR(S328="",S327=""),"",S328-S327)</f>
        <v/>
      </c>
      <c r="V328" s="95">
        <f>IF(OR(U328="",P328=""),"",U328+P328)</f>
        <v/>
      </c>
      <c r="W328" s="95">
        <f>IF(OR(T328="",O328="",P328=""),"",T328-O328+P328)</f>
        <v/>
      </c>
    </row>
    <row r="329">
      <c r="A329" s="35" t="n">
        <v>45983</v>
      </c>
      <c r="B329" s="92" t="n">
        <v>4616700091.780627</v>
      </c>
      <c r="C329" s="92" t="n"/>
      <c r="D329" s="92" t="n">
        <v>56501925</v>
      </c>
      <c r="E329" s="92" t="n">
        <v>1463002.28</v>
      </c>
      <c r="F329" s="92" t="n">
        <v>33202</v>
      </c>
      <c r="G329" s="92" t="n">
        <v>0</v>
      </c>
      <c r="H329" s="92" t="n">
        <v>99253</v>
      </c>
      <c r="I329" s="92" t="n">
        <v>118691</v>
      </c>
      <c r="J329" s="92" t="n">
        <v>61625.82517037715</v>
      </c>
      <c r="K329" s="92" t="n">
        <v>0</v>
      </c>
      <c r="L329" s="94" t="n">
        <v>45248.9</v>
      </c>
      <c r="M329" s="92" t="n">
        <v>1463002.28</v>
      </c>
      <c r="N329" s="94" t="n">
        <v>35775635.35</v>
      </c>
      <c r="O329" s="94" t="n">
        <v>26093.2751</v>
      </c>
      <c r="P329" s="94" t="n">
        <v>1923.115</v>
      </c>
      <c r="Q329" s="92" t="n">
        <v>64474.35</v>
      </c>
      <c r="R329" s="94" t="n">
        <v>337261854.4014</v>
      </c>
      <c r="S329" s="94" t="n">
        <v>999500733.1934</v>
      </c>
      <c r="T329" s="95">
        <f>IF(OR(R329="",R328=""),"",R329-R328)</f>
        <v/>
      </c>
      <c r="U329" s="95">
        <f>IF(OR(S329="",S328=""),"",S329-S328)</f>
        <v/>
      </c>
      <c r="V329" s="95">
        <f>IF(OR(U329="",P329=""),"",U329+P329)</f>
        <v/>
      </c>
      <c r="W329" s="95">
        <f>IF(OR(T329="",O329="",P329=""),"",T329-O329+P329)</f>
        <v/>
      </c>
    </row>
    <row r="330">
      <c r="A330" s="35" t="n">
        <v>45984</v>
      </c>
      <c r="B330" s="92" t="n">
        <v>6272448068.159555</v>
      </c>
      <c r="C330" s="92" t="n"/>
      <c r="D330" s="92" t="n">
        <v>54397552</v>
      </c>
      <c r="E330" s="92" t="n">
        <v>1788087.04</v>
      </c>
      <c r="F330" s="92" t="n">
        <v>19317</v>
      </c>
      <c r="G330" s="92" t="n">
        <v>0</v>
      </c>
      <c r="H330" s="92" t="n">
        <v>90553</v>
      </c>
      <c r="I330" s="92" t="n">
        <v>116277</v>
      </c>
      <c r="J330" s="92" t="n">
        <v>32712.50387890688</v>
      </c>
      <c r="K330" s="92" t="n">
        <v>0</v>
      </c>
      <c r="L330" s="94" t="n">
        <v>57272.67</v>
      </c>
      <c r="M330" s="92" t="n">
        <v>1788087.04</v>
      </c>
      <c r="N330" s="94" t="n">
        <v>35834603.26</v>
      </c>
      <c r="O330" s="94" t="n">
        <v>25985.4196</v>
      </c>
      <c r="P330" s="94" t="n">
        <v>996.9057</v>
      </c>
      <c r="Q330" s="92" t="n">
        <v>29721.25</v>
      </c>
      <c r="R330" s="94" t="n">
        <v>337272061.1235</v>
      </c>
      <c r="S330" s="94" t="n">
        <v>999499736.2876</v>
      </c>
      <c r="T330" s="95">
        <f>IF(OR(R330="",R329=""),"",R330-R329)</f>
        <v/>
      </c>
      <c r="U330" s="95">
        <f>IF(OR(S330="",S329=""),"",S330-S329)</f>
        <v/>
      </c>
      <c r="V330" s="95">
        <f>IF(OR(U330="",P330=""),"",U330+P330)</f>
        <v/>
      </c>
      <c r="W330" s="95">
        <f>IF(OR(T330="",O330="",P330=""),"",T330-O330+P330)</f>
        <v/>
      </c>
    </row>
    <row r="331">
      <c r="A331" s="35" t="n">
        <v>45985</v>
      </c>
      <c r="B331" s="92" t="n">
        <v>9833081075.962315</v>
      </c>
      <c r="C331" s="92" t="n"/>
      <c r="D331" s="92" t="n">
        <v>446733399</v>
      </c>
      <c r="E331" s="92" t="n">
        <v>2548486.51</v>
      </c>
      <c r="F331" s="92" t="n">
        <v>31678</v>
      </c>
      <c r="G331" s="92" t="n">
        <v>0</v>
      </c>
      <c r="H331" s="92" t="n">
        <v>101913</v>
      </c>
      <c r="I331" s="92" t="n">
        <v>128678</v>
      </c>
      <c r="J331" s="92" t="n">
        <v>29059.74762739233</v>
      </c>
      <c r="K331" s="92" t="n">
        <v>0</v>
      </c>
      <c r="L331" s="94" t="n">
        <v>79513.28</v>
      </c>
      <c r="M331" s="92" t="n">
        <v>2548486.51</v>
      </c>
      <c r="N331" s="94" t="n">
        <v>35912351.16</v>
      </c>
      <c r="O331" s="94" t="n">
        <v>25930.868</v>
      </c>
      <c r="P331" s="94" t="n">
        <v>781.6647</v>
      </c>
      <c r="Q331" s="92" t="n">
        <v>24897.97</v>
      </c>
      <c r="R331" s="94" t="n">
        <v>337282446.9887</v>
      </c>
      <c r="S331" s="94" t="n">
        <v>999498954.623</v>
      </c>
      <c r="T331" s="95">
        <f>IF(OR(R331="",R330=""),"",R331-R330)</f>
        <v/>
      </c>
      <c r="U331" s="95">
        <f>IF(OR(S331="",S330=""),"",S331-S330)</f>
        <v/>
      </c>
      <c r="V331" s="95">
        <f>IF(OR(U331="",P331=""),"",U331+P331)</f>
        <v/>
      </c>
      <c r="W331" s="95">
        <f>IF(OR(T331="",O331="",P331=""),"",T331-O331+P331)</f>
        <v/>
      </c>
    </row>
    <row r="332">
      <c r="A332" s="35" t="n">
        <v>45986</v>
      </c>
      <c r="B332" s="92" t="n">
        <v>8046994888.655939</v>
      </c>
      <c r="C332" s="92" t="n"/>
      <c r="D332" s="92" t="n">
        <v>525535455</v>
      </c>
      <c r="E332" s="92" t="n">
        <v>1965765.79</v>
      </c>
      <c r="F332" s="92" t="n">
        <v>36924</v>
      </c>
      <c r="G332" s="92" t="n">
        <v>0</v>
      </c>
      <c r="H332" s="92" t="n">
        <v>99165</v>
      </c>
      <c r="I332" s="92" t="n">
        <v>125607</v>
      </c>
      <c r="J332" s="92" t="n">
        <v>40906.31853622154</v>
      </c>
      <c r="K332" s="92" t="n">
        <v>0</v>
      </c>
      <c r="L332" s="94" t="n">
        <v>60402.47</v>
      </c>
      <c r="M332" s="92" t="n">
        <v>1965765.79</v>
      </c>
      <c r="N332" s="94" t="n">
        <v>35971494.16</v>
      </c>
      <c r="O332" s="94" t="n">
        <v>25908.1004</v>
      </c>
      <c r="P332" s="94" t="n">
        <v>1412.2144</v>
      </c>
      <c r="Q332" s="92" t="n">
        <v>46821.26</v>
      </c>
      <c r="R332" s="94" t="n">
        <v>337292218.7532</v>
      </c>
      <c r="S332" s="94" t="n">
        <v>999497542.4085</v>
      </c>
      <c r="T332" s="95">
        <f>IF(OR(R332="",R331=""),"",R332-R331)</f>
        <v/>
      </c>
      <c r="U332" s="95">
        <f>IF(OR(S332="",S331=""),"",S332-S331)</f>
        <v/>
      </c>
      <c r="V332" s="95">
        <f>IF(OR(U332="",P332=""),"",U332+P332)</f>
        <v/>
      </c>
      <c r="W332" s="95">
        <f>IF(OR(T332="",O332="",P332=""),"",T332-O332+P332)</f>
        <v/>
      </c>
    </row>
    <row r="333">
      <c r="A333" s="35" t="n">
        <v>45987</v>
      </c>
      <c r="B333" s="92" t="n">
        <v>7216393409.867259</v>
      </c>
      <c r="C333" s="92" t="n"/>
      <c r="D333" s="92" t="n">
        <v>398953790</v>
      </c>
      <c r="E333" s="92" t="n">
        <v>2161625.93</v>
      </c>
      <c r="F333" s="92" t="n">
        <v>31209</v>
      </c>
      <c r="G333" s="92" t="n">
        <v>0</v>
      </c>
      <c r="H333" s="92" t="n">
        <v>98810</v>
      </c>
      <c r="I333" s="92" t="n">
        <v>129077</v>
      </c>
      <c r="J333" s="92" t="n">
        <v>23744.54884645989</v>
      </c>
      <c r="K333" s="92" t="n">
        <v>0</v>
      </c>
      <c r="L333" s="94" t="n">
        <v>62475.15</v>
      </c>
      <c r="M333" s="92" t="n">
        <v>2161625.93</v>
      </c>
      <c r="N333" s="94" t="n">
        <v>36035251.03</v>
      </c>
      <c r="O333" s="94" t="n">
        <v>25927.2734</v>
      </c>
      <c r="P333" s="94" t="n">
        <v>1074.1511</v>
      </c>
      <c r="Q333" s="92" t="n">
        <v>36459.91</v>
      </c>
      <c r="R333" s="94" t="n">
        <v>337302323.9331</v>
      </c>
      <c r="S333" s="94" t="n">
        <v>999496468.2574</v>
      </c>
      <c r="T333" s="95">
        <f>IF(OR(R333="",R332=""),"",R333-R332)</f>
        <v/>
      </c>
      <c r="U333" s="95">
        <f>IF(OR(S333="",S332=""),"",S333-S332)</f>
        <v/>
      </c>
      <c r="V333" s="95">
        <f>IF(OR(U333="",P333=""),"",U333+P333)</f>
        <v/>
      </c>
      <c r="W333" s="95">
        <f>IF(OR(T333="",O333="",P333=""),"",T333-O333+P333)</f>
        <v/>
      </c>
    </row>
    <row r="334">
      <c r="A334" s="35" t="n">
        <v>45988</v>
      </c>
      <c r="B334" s="92" t="n">
        <v>4539272017.50808</v>
      </c>
      <c r="C334" s="92" t="n">
        <v>292702229.7850219</v>
      </c>
      <c r="D334" s="92" t="n">
        <v>188922825</v>
      </c>
      <c r="E334" s="92" t="n">
        <v>1351706.04</v>
      </c>
      <c r="F334" s="92" t="n">
        <v>24745</v>
      </c>
      <c r="G334" s="92" t="n">
        <v>0</v>
      </c>
      <c r="H334" s="92" t="n">
        <v>102079</v>
      </c>
      <c r="I334" s="92" t="n">
        <v>125247</v>
      </c>
      <c r="J334" s="92" t="n">
        <v>15709.05536838143</v>
      </c>
      <c r="K334" s="92" t="n">
        <v>0</v>
      </c>
      <c r="L334" s="94" t="n">
        <v>38174.87</v>
      </c>
      <c r="M334" s="92" t="n">
        <v>1351706.04</v>
      </c>
      <c r="N334" s="94" t="n">
        <v>36078643.78</v>
      </c>
      <c r="O334" s="94" t="n">
        <v>25939.7711</v>
      </c>
      <c r="P334" s="94" t="n">
        <v>1501.4621</v>
      </c>
      <c r="Q334" s="92" t="n">
        <v>53847.69</v>
      </c>
      <c r="R334" s="94" t="n">
        <v>337312073.692</v>
      </c>
      <c r="S334" s="94" t="n">
        <v>999494966.7953</v>
      </c>
      <c r="T334" s="95">
        <f>IF(OR(R334="",R333=""),"",R334-R333)</f>
        <v/>
      </c>
      <c r="U334" s="95">
        <f>IF(OR(S334="",S333=""),"",S334-S333)</f>
        <v/>
      </c>
      <c r="V334" s="95">
        <f>IF(OR(U334="",P334=""),"",U334+P334)</f>
        <v/>
      </c>
      <c r="W334" s="95">
        <f>IF(OR(T334="",O334="",P334=""),"",T334-O334+P334)</f>
        <v/>
      </c>
    </row>
    <row r="335">
      <c r="A335" s="35" t="n">
        <v>45989</v>
      </c>
      <c r="B335" s="92" t="n">
        <v>5251008725.279543</v>
      </c>
      <c r="C335" s="92" t="n">
        <v>255721445.4562827</v>
      </c>
      <c r="D335" s="92" t="n">
        <v>258786551</v>
      </c>
      <c r="E335" s="92" t="n">
        <v>1510697.17</v>
      </c>
      <c r="F335" s="92" t="n">
        <v>29576</v>
      </c>
      <c r="G335" s="92" t="n">
        <v>0</v>
      </c>
      <c r="H335" s="92" t="n">
        <v>106451</v>
      </c>
      <c r="I335" s="92" t="n">
        <v>135613</v>
      </c>
      <c r="J335" s="92" t="n">
        <v>26450.57931753064</v>
      </c>
      <c r="K335" s="92" t="n">
        <v>0</v>
      </c>
      <c r="L335" s="94" t="n">
        <v>42843.73</v>
      </c>
      <c r="M335" s="92" t="n">
        <v>1510697.17</v>
      </c>
      <c r="N335" s="94" t="n">
        <v>36115330.7</v>
      </c>
      <c r="O335" s="94" t="n">
        <v>31338.8428</v>
      </c>
      <c r="P335" s="94" t="n">
        <v>1305.9098</v>
      </c>
      <c r="Q335" s="92" t="n">
        <v>45898.16</v>
      </c>
      <c r="R335" s="94" t="n">
        <v>337327395.763</v>
      </c>
      <c r="S335" s="94" t="n">
        <v>999493660.8855</v>
      </c>
      <c r="T335" s="95">
        <f>IF(OR(R335="",R334=""),"",R335-R334)</f>
        <v/>
      </c>
      <c r="U335" s="95">
        <f>IF(OR(S335="",S334=""),"",S335-S334)</f>
        <v/>
      </c>
      <c r="V335" s="95">
        <f>IF(OR(U335="",P335=""),"",U335+P335)</f>
        <v/>
      </c>
      <c r="W335" s="95">
        <f>IF(OR(T335="",O335="",P335=""),"",T335-O335+P335)</f>
        <v/>
      </c>
    </row>
    <row r="336">
      <c r="A336" s="35" t="n">
        <v>45990</v>
      </c>
      <c r="B336" s="92" t="n">
        <v>2750876746.709146</v>
      </c>
      <c r="C336" s="92" t="n">
        <v>265118910.7790964</v>
      </c>
      <c r="D336" s="92" t="n">
        <v>138182239</v>
      </c>
      <c r="E336" s="92" t="n">
        <v>804884.51</v>
      </c>
      <c r="F336" s="92" t="n">
        <v>16359</v>
      </c>
      <c r="G336" s="92" t="n">
        <v>0</v>
      </c>
      <c r="H336" s="92" t="n">
        <v>77510</v>
      </c>
      <c r="I336" s="92" t="n">
        <v>101164</v>
      </c>
      <c r="J336" s="92" t="n">
        <v>29658.64427759313</v>
      </c>
      <c r="K336" s="92" t="n">
        <v>0</v>
      </c>
      <c r="L336" s="94" t="n">
        <v>23024.51</v>
      </c>
      <c r="M336" s="92" t="n">
        <v>804884.51</v>
      </c>
      <c r="N336" s="94" t="n">
        <v>36138304.14</v>
      </c>
      <c r="O336" s="94" t="n">
        <v>20590.3069</v>
      </c>
      <c r="P336" s="94" t="n">
        <v>1064.5581</v>
      </c>
      <c r="Q336" s="92" t="n">
        <v>37366.52</v>
      </c>
      <c r="R336" s="94" t="n">
        <v>337332211.5247</v>
      </c>
      <c r="S336" s="94" t="n">
        <v>999492596.3274</v>
      </c>
      <c r="T336" s="95">
        <f>IF(OR(R336="",R335=""),"",R336-R335)</f>
        <v/>
      </c>
      <c r="U336" s="95">
        <f>IF(OR(S336="",S335=""),"",S336-S335)</f>
        <v/>
      </c>
      <c r="V336" s="95">
        <f>IF(OR(U336="",P336=""),"",U336+P336)</f>
        <v/>
      </c>
      <c r="W336" s="95">
        <f>IF(OR(T336="",O336="",P336=""),"",T336-O336+P336)</f>
        <v/>
      </c>
    </row>
    <row r="337">
      <c r="A337" s="35" t="n">
        <v>45991</v>
      </c>
      <c r="B337" s="92" t="n">
        <v>2624750722.239789</v>
      </c>
      <c r="C337" s="92" t="n">
        <v>180198119.4724098</v>
      </c>
      <c r="D337" s="92" t="n">
        <v>103667471</v>
      </c>
      <c r="E337" s="92" t="n">
        <v>791553.71</v>
      </c>
      <c r="F337" s="92" t="n">
        <v>11867</v>
      </c>
      <c r="G337" s="92" t="n">
        <v>0</v>
      </c>
      <c r="H337" s="92" t="n">
        <v>66269</v>
      </c>
      <c r="I337" s="92" t="n">
        <v>82329</v>
      </c>
      <c r="J337" s="92" t="n">
        <v>11668.06729438829</v>
      </c>
      <c r="K337" s="92" t="n">
        <v>0</v>
      </c>
      <c r="L337" s="94" t="n">
        <v>23691.4</v>
      </c>
      <c r="M337" s="92" t="n">
        <v>791553.71</v>
      </c>
      <c r="N337" s="94" t="n">
        <v>36170343.66</v>
      </c>
      <c r="O337" s="94" t="n">
        <v>25920.7845</v>
      </c>
      <c r="P337" s="94" t="n">
        <v>407.8315</v>
      </c>
      <c r="Q337" s="92" t="n">
        <v>14024.31</v>
      </c>
      <c r="R337" s="94" t="n">
        <v>339088736.4976</v>
      </c>
      <c r="S337" s="94" t="n">
        <v>999492188.4959</v>
      </c>
      <c r="T337" s="95">
        <f>IF(OR(R337="",R336=""),"",R337-R336)</f>
        <v/>
      </c>
      <c r="U337" s="95">
        <f>IF(OR(S337="",S336=""),"",S337-S336)</f>
        <v/>
      </c>
      <c r="V337" s="95">
        <f>IF(OR(U337="",P337=""),"",U337+P337)</f>
        <v/>
      </c>
      <c r="W337" s="95">
        <f>IF(OR(T337="",O337="",P337=""),"",T337-O337+P337)</f>
        <v/>
      </c>
    </row>
    <row r="338">
      <c r="A338" s="35" t="n">
        <v>45992</v>
      </c>
      <c r="B338" s="92" t="n">
        <v>10016982471.85497</v>
      </c>
      <c r="C338" s="92" t="n">
        <v>189426713.2568978</v>
      </c>
      <c r="D338" s="92" t="n">
        <v>397070365</v>
      </c>
      <c r="E338" s="92" t="n">
        <v>2849206.8</v>
      </c>
      <c r="F338" s="92" t="n">
        <v>29169</v>
      </c>
      <c r="G338" s="92" t="n">
        <v>0</v>
      </c>
      <c r="H338" s="92" t="n">
        <v>134550</v>
      </c>
      <c r="I338" s="92" t="n">
        <v>175170</v>
      </c>
      <c r="J338" s="92" t="n">
        <v>34588.22826412698</v>
      </c>
      <c r="K338" s="92" t="n">
        <v>0</v>
      </c>
      <c r="L338" s="94" t="n">
        <v>93343.03999999999</v>
      </c>
      <c r="M338" s="92" t="n">
        <v>2849206.8</v>
      </c>
      <c r="N338" s="94" t="n">
        <v>36256264.96</v>
      </c>
      <c r="O338" s="94" t="n">
        <v>26009.9969</v>
      </c>
      <c r="P338" s="94" t="n">
        <v>1190.3492</v>
      </c>
      <c r="Q338" s="92" t="n">
        <v>37106.16</v>
      </c>
      <c r="R338" s="94" t="n">
        <v>339098805.6282</v>
      </c>
      <c r="S338" s="94" t="n">
        <v>999490998.1467</v>
      </c>
      <c r="T338" s="95">
        <f>IF(OR(R338="",R337=""),"",R338-R337)</f>
        <v/>
      </c>
      <c r="U338" s="95">
        <f>IF(OR(S338="",S337=""),"",S338-S337)</f>
        <v/>
      </c>
      <c r="V338" s="95">
        <f>IF(OR(U338="",P338=""),"",U338+P338)</f>
        <v/>
      </c>
      <c r="W338" s="95">
        <f>IF(OR(T338="",O338="",P338=""),"",T338-O338+P338)</f>
        <v/>
      </c>
    </row>
    <row r="339">
      <c r="A339" s="35" t="n">
        <v>45993</v>
      </c>
      <c r="B339" s="92" t="n">
        <v>7552386592.540933</v>
      </c>
      <c r="C339" s="92" t="n">
        <v>326729097.8841441</v>
      </c>
      <c r="D339" s="92" t="n">
        <v>380463264</v>
      </c>
      <c r="E339" s="92" t="n">
        <v>2194924.87</v>
      </c>
      <c r="F339" s="92" t="n">
        <v>32307</v>
      </c>
      <c r="G339" s="92" t="n">
        <v>0</v>
      </c>
      <c r="H339" s="92" t="n">
        <v>103275</v>
      </c>
      <c r="I339" s="92" t="n">
        <v>141033</v>
      </c>
      <c r="J339" s="92" t="n">
        <v>37473.69830858563</v>
      </c>
      <c r="K339" s="92" t="n">
        <v>0</v>
      </c>
      <c r="L339" s="94" t="n">
        <v>67716.16</v>
      </c>
      <c r="M339" s="92" t="n">
        <v>2194924.87</v>
      </c>
      <c r="N339" s="94" t="n">
        <v>36323946.13</v>
      </c>
      <c r="O339" s="94" t="n">
        <v>25997.6102</v>
      </c>
      <c r="P339" s="94" t="n">
        <v>1385.634</v>
      </c>
      <c r="Q339" s="92" t="n">
        <v>43223.47</v>
      </c>
      <c r="R339" s="94" t="n">
        <v>339108664.075</v>
      </c>
      <c r="S339" s="94" t="n">
        <v>999489612.5128</v>
      </c>
      <c r="T339" s="95">
        <f>IF(OR(R339="",R338=""),"",R339-R338)</f>
        <v/>
      </c>
      <c r="U339" s="95">
        <f>IF(OR(S339="",S338=""),"",S339-S338)</f>
        <v/>
      </c>
      <c r="V339" s="95">
        <f>IF(OR(U339="",P339=""),"",U339+P339)</f>
        <v/>
      </c>
      <c r="W339" s="95">
        <f>IF(OR(T339="",O339="",P339=""),"",T339-O339+P339)</f>
        <v/>
      </c>
    </row>
    <row r="340">
      <c r="A340" s="35" t="n">
        <v>45994</v>
      </c>
      <c r="B340" s="92" t="n">
        <v>6887438165.572482</v>
      </c>
      <c r="C340" s="92" t="n">
        <v>303272604.5843256</v>
      </c>
      <c r="D340" s="92" t="n">
        <v>408944628</v>
      </c>
      <c r="E340" s="92" t="n">
        <v>2079489.72</v>
      </c>
      <c r="F340" s="92" t="n">
        <v>29491</v>
      </c>
      <c r="G340" s="92" t="n">
        <v>0</v>
      </c>
      <c r="H340" s="92" t="n">
        <v>85689</v>
      </c>
      <c r="I340" s="92" t="n">
        <v>108352</v>
      </c>
      <c r="J340" s="92" t="n">
        <v>25092.22544406611</v>
      </c>
      <c r="K340" s="92" t="n">
        <v>0</v>
      </c>
      <c r="L340" s="94" t="n">
        <v>60797.55</v>
      </c>
      <c r="M340" s="92" t="n">
        <v>2079489.72</v>
      </c>
      <c r="N340" s="94" t="n">
        <v>36384895.82</v>
      </c>
      <c r="O340" s="94" t="n">
        <v>25968.5244</v>
      </c>
      <c r="P340" s="94" t="n">
        <v>1964.9548</v>
      </c>
      <c r="Q340" s="92" t="n">
        <v>66122.69</v>
      </c>
      <c r="R340" s="94" t="n">
        <v>339117875.5365</v>
      </c>
      <c r="S340" s="94" t="n">
        <v>999487647.558</v>
      </c>
      <c r="T340" s="95">
        <f>IF(OR(R340="",R339=""),"",R340-R339)</f>
        <v/>
      </c>
      <c r="U340" s="95">
        <f>IF(OR(S340="",S339=""),"",S340-S339)</f>
        <v/>
      </c>
      <c r="V340" s="95">
        <f>IF(OR(U340="",P340=""),"",U340+P340)</f>
        <v/>
      </c>
      <c r="W340" s="95">
        <f>IF(OR(T340="",O340="",P340=""),"",T340-O340+P340)</f>
        <v/>
      </c>
    </row>
    <row r="341">
      <c r="A341" s="35" t="n">
        <v>45995</v>
      </c>
      <c r="B341" s="92" t="n">
        <v>5796923544.759512</v>
      </c>
      <c r="C341" s="92" t="n">
        <v>217351900.391949</v>
      </c>
      <c r="D341" s="92" t="n">
        <v>513842492</v>
      </c>
      <c r="E341" s="92" t="n">
        <v>1663937.63</v>
      </c>
      <c r="F341" s="92" t="n">
        <v>36786</v>
      </c>
      <c r="G341" s="92" t="n">
        <v>0</v>
      </c>
      <c r="H341" s="92" t="n">
        <v>80243</v>
      </c>
      <c r="I341" s="92" t="n">
        <v>101717</v>
      </c>
      <c r="J341" s="92" t="n">
        <v>19057.2032159248</v>
      </c>
      <c r="K341" s="92" t="n">
        <v>0</v>
      </c>
      <c r="L341" s="94" t="n">
        <v>48186.92</v>
      </c>
      <c r="M341" s="92" t="n">
        <v>1663937.63</v>
      </c>
      <c r="N341" s="94" t="n">
        <v>36432787.69</v>
      </c>
      <c r="O341" s="94" t="n">
        <v>25970.2027</v>
      </c>
      <c r="P341" s="94" t="n">
        <v>630.4376</v>
      </c>
      <c r="Q341" s="92" t="n">
        <v>21789.5</v>
      </c>
      <c r="R341" s="94" t="n">
        <v>339128435.7992</v>
      </c>
      <c r="S341" s="94" t="n">
        <v>999487017.1204</v>
      </c>
      <c r="T341" s="95">
        <f>IF(OR(R341="",R340=""),"",R341-R340)</f>
        <v/>
      </c>
      <c r="U341" s="95">
        <f>IF(OR(S341="",S340=""),"",S341-S340)</f>
        <v/>
      </c>
      <c r="V341" s="95">
        <f>IF(OR(U341="",P341=""),"",U341+P341)</f>
        <v/>
      </c>
      <c r="W341" s="95">
        <f>IF(OR(T341="",O341="",P341=""),"",T341-O341+P341)</f>
        <v/>
      </c>
    </row>
    <row r="342">
      <c r="A342" s="35" t="n">
        <v>45996</v>
      </c>
      <c r="B342" s="92" t="n">
        <v>7062828513.427405</v>
      </c>
      <c r="C342" s="92" t="n">
        <v>189081893.5915089</v>
      </c>
      <c r="D342" s="92" t="n">
        <v>337623925</v>
      </c>
      <c r="E342" s="92" t="n">
        <v>2000314.57</v>
      </c>
      <c r="F342" s="92" t="n">
        <v>24444</v>
      </c>
      <c r="G342" s="92" t="n">
        <v>0</v>
      </c>
      <c r="H342" s="92" t="n">
        <v>76535</v>
      </c>
      <c r="I342" s="92" t="n">
        <v>94893</v>
      </c>
      <c r="J342" s="92" t="n">
        <v>17560.31635041048</v>
      </c>
      <c r="K342" s="92" t="n">
        <v>0</v>
      </c>
      <c r="L342" s="94" t="n">
        <v>63142.73</v>
      </c>
      <c r="M342" s="92" t="n">
        <v>2000314.57</v>
      </c>
      <c r="N342" s="94" t="n">
        <v>36495511.64</v>
      </c>
      <c r="O342" s="94" t="n">
        <v>26286.8388</v>
      </c>
      <c r="P342" s="94" t="n">
        <v>1171.0211</v>
      </c>
      <c r="Q342" s="92" t="n">
        <v>39214.57</v>
      </c>
      <c r="R342" s="94" t="n">
        <v>339138948.2656</v>
      </c>
      <c r="S342" s="94" t="n">
        <v>999485846.0993</v>
      </c>
      <c r="T342" s="95">
        <f>IF(OR(R342="",R341=""),"",R342-R341)</f>
        <v/>
      </c>
      <c r="U342" s="95">
        <f>IF(OR(S342="",S341=""),"",S342-S341)</f>
        <v/>
      </c>
      <c r="V342" s="95">
        <f>IF(OR(U342="",P342=""),"",U342+P342)</f>
        <v/>
      </c>
      <c r="W342" s="95">
        <f>IF(OR(T342="",O342="",P342=""),"",T342-O342+P342)</f>
        <v/>
      </c>
    </row>
    <row r="343">
      <c r="A343" s="35" t="n">
        <v>45997</v>
      </c>
      <c r="B343" s="92" t="n">
        <v>2331427885.968429</v>
      </c>
      <c r="C343" s="92" t="n">
        <v>209195207.6959855</v>
      </c>
      <c r="D343" s="92" t="n">
        <v>60229991</v>
      </c>
      <c r="E343" s="92" t="n">
        <v>673471.5</v>
      </c>
      <c r="F343" s="92" t="n">
        <v>6829</v>
      </c>
      <c r="G343" s="92" t="n">
        <v>0</v>
      </c>
      <c r="H343" s="92" t="n">
        <v>43750</v>
      </c>
      <c r="I343" s="92" t="n">
        <v>57413</v>
      </c>
      <c r="J343" s="92" t="n">
        <v>6180.491115620589</v>
      </c>
      <c r="K343" s="92" t="n">
        <v>0</v>
      </c>
      <c r="L343" s="94" t="n">
        <v>21702.43</v>
      </c>
      <c r="M343" s="92" t="n">
        <v>673471.5</v>
      </c>
      <c r="N343" s="94" t="n">
        <v>36516646.11</v>
      </c>
      <c r="O343" s="94" t="n">
        <v>26453.3853</v>
      </c>
      <c r="P343" s="94" t="n">
        <v>1209.6382</v>
      </c>
      <c r="Q343" s="92" t="n">
        <v>37085.09</v>
      </c>
      <c r="R343" s="94" t="n">
        <v>339149672.2396</v>
      </c>
      <c r="S343" s="94" t="n">
        <v>999484636.4611</v>
      </c>
      <c r="T343" s="95">
        <f>IF(OR(R343="",R342=""),"",R343-R342)</f>
        <v/>
      </c>
      <c r="U343" s="95">
        <f>IF(OR(S343="",S342=""),"",S343-S342)</f>
        <v/>
      </c>
      <c r="V343" s="95">
        <f>IF(OR(U343="",P343=""),"",U343+P343)</f>
        <v/>
      </c>
      <c r="W343" s="95">
        <f>IF(OR(T343="",O343="",P343=""),"",T343-O343+P343)</f>
        <v/>
      </c>
    </row>
    <row r="344">
      <c r="A344" s="35" t="n">
        <v>45998</v>
      </c>
      <c r="B344" s="92" t="n">
        <v>6050637350.910094</v>
      </c>
      <c r="C344" s="92" t="n">
        <v>108083987.5548768</v>
      </c>
      <c r="D344" s="92" t="n">
        <v>101264758</v>
      </c>
      <c r="E344" s="92" t="n">
        <v>1720821.46</v>
      </c>
      <c r="F344" s="92" t="n">
        <v>10591</v>
      </c>
      <c r="G344" s="92" t="n">
        <v>0</v>
      </c>
      <c r="H344" s="92" t="n">
        <v>70761</v>
      </c>
      <c r="I344" s="92" t="n">
        <v>83272</v>
      </c>
      <c r="J344" s="92" t="n">
        <v>25409.58117023863</v>
      </c>
      <c r="K344" s="92" t="n">
        <v>0</v>
      </c>
      <c r="L344" s="94" t="n">
        <v>58504.27</v>
      </c>
      <c r="M344" s="92" t="n">
        <v>1720821.46</v>
      </c>
      <c r="N344" s="94" t="n">
        <v>36575096.92</v>
      </c>
      <c r="O344" s="94" t="n">
        <v>26424.9266</v>
      </c>
      <c r="P344" s="94" t="n">
        <v>969.9399</v>
      </c>
      <c r="Q344" s="92" t="n">
        <v>30187.93</v>
      </c>
      <c r="R344" s="94" t="n">
        <v>339160616.1783</v>
      </c>
      <c r="S344" s="94" t="n">
        <v>999483666.5211</v>
      </c>
      <c r="T344" s="95">
        <f>IF(OR(R344="",R343=""),"",R344-R343)</f>
        <v/>
      </c>
      <c r="U344" s="95">
        <f>IF(OR(S344="",S343=""),"",S344-S343)</f>
        <v/>
      </c>
      <c r="V344" s="95">
        <f>IF(OR(U344="",P344=""),"",U344+P344)</f>
        <v/>
      </c>
      <c r="W344" s="95">
        <f>IF(OR(T344="",O344="",P344=""),"",T344-O344+P344)</f>
        <v/>
      </c>
    </row>
    <row r="345">
      <c r="A345" s="35" t="n">
        <v>45999</v>
      </c>
      <c r="B345" s="92" t="n">
        <v>6029441636.519387</v>
      </c>
      <c r="C345" s="92" t="n">
        <v>179695168.8166647</v>
      </c>
      <c r="D345" s="92" t="n">
        <v>303023605</v>
      </c>
      <c r="E345" s="92" t="n">
        <v>1747203.22</v>
      </c>
      <c r="F345" s="92" t="n">
        <v>19072</v>
      </c>
      <c r="G345" s="92" t="n">
        <v>0</v>
      </c>
      <c r="H345" s="92" t="n">
        <v>62256</v>
      </c>
      <c r="I345" s="92" t="n">
        <v>79707</v>
      </c>
      <c r="J345" s="92" t="n">
        <v>15677.35813674252</v>
      </c>
      <c r="K345" s="92" t="n">
        <v>0</v>
      </c>
      <c r="L345" s="94" t="n">
        <v>58433.15</v>
      </c>
      <c r="M345" s="92" t="n">
        <v>1747203.22</v>
      </c>
      <c r="N345" s="94" t="n">
        <v>36821105.39</v>
      </c>
      <c r="O345" s="94" t="n">
        <v>0</v>
      </c>
      <c r="P345" s="94" t="n">
        <v>-4131.1617</v>
      </c>
      <c r="Q345" s="92" t="n">
        <v>-123548.59</v>
      </c>
      <c r="R345" s="94" t="n">
        <v>339171086.9175</v>
      </c>
      <c r="S345" s="94" t="n">
        <v>999482193.398</v>
      </c>
      <c r="T345" s="95">
        <f>IF(OR(R345="",R344=""),"",R345-R344)</f>
        <v/>
      </c>
      <c r="U345" s="95">
        <f>IF(OR(S345="",S344=""),"",S345-S344)</f>
        <v/>
      </c>
      <c r="V345" s="95">
        <f>IF(OR(U345="",P345=""),"",U345+P345)</f>
        <v/>
      </c>
      <c r="W345" s="95">
        <f>IF(OR(T345="",O345="",P345=""),"",T345-O345+P345)</f>
        <v/>
      </c>
    </row>
    <row r="346">
      <c r="A346" s="35" t="n">
        <v>46000</v>
      </c>
      <c r="B346" s="92" t="n">
        <v>8400921013.083695</v>
      </c>
      <c r="C346" s="92" t="n">
        <v>277299999.9999999</v>
      </c>
      <c r="D346" s="92" t="n">
        <v>288606481</v>
      </c>
      <c r="E346" s="92" t="n">
        <v>2415499.24</v>
      </c>
      <c r="F346" s="92" t="n">
        <v>24678</v>
      </c>
      <c r="G346" s="92" t="n">
        <v>0</v>
      </c>
      <c r="H346" s="92" t="n">
        <v>93509</v>
      </c>
      <c r="I346" s="92" t="n">
        <v>121960</v>
      </c>
      <c r="J346" s="92" t="n">
        <v>34351.51835478158</v>
      </c>
      <c r="K346" s="92" t="n">
        <v>0</v>
      </c>
      <c r="L346" s="94" t="n">
        <v>84868.58</v>
      </c>
      <c r="M346" s="92" t="n">
        <v>2415499.24</v>
      </c>
      <c r="N346" s="94" t="n">
        <v>36821105.39</v>
      </c>
      <c r="O346" s="94" t="n">
        <v>88711.8459</v>
      </c>
      <c r="P346" s="94" t="n">
        <v>4131.1617</v>
      </c>
      <c r="Q346" s="92" t="n">
        <v>115468.03</v>
      </c>
      <c r="R346" s="94" t="n">
        <v>339212098.9633</v>
      </c>
      <c r="S346" s="94" t="n">
        <v>999478062.2363</v>
      </c>
      <c r="T346" s="95">
        <f>IF(OR(R346="",R345=""),"",R346-R345)</f>
        <v/>
      </c>
      <c r="U346" s="95">
        <f>IF(OR(S346="",S345=""),"",S346-S345)</f>
        <v/>
      </c>
      <c r="V346" s="95">
        <f>IF(OR(U346="",P346=""),"",U346+P346)</f>
        <v/>
      </c>
      <c r="W346" s="95">
        <f>IF(OR(T346="",O346="",P346=""),"",T346-O346+P346)</f>
        <v/>
      </c>
    </row>
    <row r="347">
      <c r="A347" s="35" t="n">
        <v>46001</v>
      </c>
      <c r="B347" s="92" t="n">
        <v>7965257027.464972</v>
      </c>
      <c r="C347" s="92" t="n">
        <v>236600000.0000002</v>
      </c>
      <c r="D347" s="92" t="n">
        <v>397006526</v>
      </c>
      <c r="E347" s="92" t="n">
        <v>2249508.93</v>
      </c>
      <c r="F347" s="92" t="n">
        <v>31008</v>
      </c>
      <c r="G347" s="92" t="n">
        <v>0</v>
      </c>
      <c r="H347" s="92" t="n">
        <v>74812</v>
      </c>
      <c r="I347" s="92" t="n">
        <v>134546</v>
      </c>
      <c r="J347" s="92" t="n">
        <v>21105.4547747176</v>
      </c>
      <c r="K347" s="92" t="n">
        <v>0</v>
      </c>
      <c r="L347" s="94" t="n">
        <v>77372.82000000001</v>
      </c>
      <c r="M347" s="92" t="n">
        <v>2249508.93</v>
      </c>
      <c r="N347" s="94" t="n">
        <v>36819849.91</v>
      </c>
      <c r="O347" s="94" t="n">
        <v>275.58</v>
      </c>
      <c r="P347" s="94" t="n">
        <v>0.5085</v>
      </c>
      <c r="Q347" s="92" t="n">
        <v>14.19</v>
      </c>
      <c r="R347" s="94" t="n">
        <v>339212374.0349</v>
      </c>
      <c r="S347" s="94" t="n">
        <v>999478061.7279</v>
      </c>
      <c r="T347" s="95">
        <f>IF(OR(R347="",R346=""),"",R347-R346)</f>
        <v/>
      </c>
      <c r="U347" s="95">
        <f>IF(OR(S347="",S346=""),"",S347-S346)</f>
        <v/>
      </c>
      <c r="V347" s="95">
        <f>IF(OR(U347="",P347=""),"",U347+P347)</f>
        <v/>
      </c>
      <c r="W347" s="95">
        <f>IF(OR(T347="",O347="",P347=""),"",T347-O347+P347)</f>
        <v/>
      </c>
    </row>
    <row r="348">
      <c r="A348" s="35" t="n">
        <v>46002</v>
      </c>
      <c r="B348" s="92" t="n">
        <v>7713018416.769529</v>
      </c>
      <c r="C348" s="92" t="n">
        <v>248371282.5538451</v>
      </c>
      <c r="D348" s="92" t="n">
        <v>474736380</v>
      </c>
      <c r="E348" s="92" t="n">
        <v>2154234.31</v>
      </c>
      <c r="F348" s="92" t="n">
        <v>28776</v>
      </c>
      <c r="G348" s="92" t="n">
        <v>0</v>
      </c>
      <c r="H348" s="92" t="n">
        <v>65652</v>
      </c>
      <c r="I348" s="92" t="n">
        <v>89006</v>
      </c>
      <c r="J348" s="92" t="n">
        <v>21132.65177463232</v>
      </c>
      <c r="K348" s="92" t="n">
        <v>0</v>
      </c>
      <c r="L348" s="94" t="n">
        <v>76238.06</v>
      </c>
      <c r="M348" s="92" t="n">
        <v>2154234.31</v>
      </c>
      <c r="N348" s="94" t="n">
        <v>36874341.05</v>
      </c>
      <c r="O348" s="94" t="n">
        <v>0</v>
      </c>
      <c r="P348" s="94" t="n">
        <v>-4.9549</v>
      </c>
      <c r="Q348" s="92" t="n">
        <v>-138.87</v>
      </c>
      <c r="R348" s="94" t="n">
        <v>339211129.6926</v>
      </c>
      <c r="S348" s="94" t="n">
        <v>999478066.6827</v>
      </c>
      <c r="T348" s="95">
        <f>IF(OR(R348="",R347=""),"",R348-R347)</f>
        <v/>
      </c>
      <c r="U348" s="95">
        <f>IF(OR(S348="",S347=""),"",S348-S347)</f>
        <v/>
      </c>
      <c r="V348" s="95">
        <f>IF(OR(U348="",P348=""),"",U348+P348)</f>
        <v/>
      </c>
      <c r="W348" s="95">
        <f>IF(OR(T348="",O348="",P348=""),"",T348-O348+P348)</f>
        <v/>
      </c>
    </row>
    <row r="349">
      <c r="A349" s="35" t="n">
        <v>46003</v>
      </c>
      <c r="B349" s="92" t="n">
        <v>5894675306.947304</v>
      </c>
      <c r="C349" s="92" t="n">
        <v>194008243.9273008</v>
      </c>
      <c r="D349" s="92" t="n">
        <v>490804079</v>
      </c>
      <c r="E349" s="92" t="n">
        <v>1718146.17</v>
      </c>
      <c r="F349" s="92" t="n">
        <v>27470</v>
      </c>
      <c r="G349" s="92" t="n">
        <v>0</v>
      </c>
      <c r="H349" s="92" t="n">
        <v>58512</v>
      </c>
      <c r="I349" s="92" t="n">
        <v>73899</v>
      </c>
      <c r="J349" s="92" t="n">
        <v>25152.25706671428</v>
      </c>
      <c r="K349" s="92" t="n">
        <v>0</v>
      </c>
      <c r="L349" s="94" t="n">
        <v>58888.81</v>
      </c>
      <c r="M349" s="92" t="n">
        <v>1718146.17</v>
      </c>
      <c r="N349" s="94" t="n">
        <v>36931525.93</v>
      </c>
      <c r="O349" s="94" t="n">
        <v>18059.735</v>
      </c>
      <c r="P349" s="94" t="n">
        <v>1445.5575</v>
      </c>
      <c r="Q349" s="92" t="n">
        <v>42104.75</v>
      </c>
      <c r="R349" s="94" t="n">
        <v>339213221.7753</v>
      </c>
      <c r="S349" s="94" t="n">
        <v>999476621.1252</v>
      </c>
      <c r="T349" s="95">
        <f>IF(OR(R349="",R348=""),"",R349-R348)</f>
        <v/>
      </c>
      <c r="U349" s="95">
        <f>IF(OR(S349="",S348=""),"",S349-S348)</f>
        <v/>
      </c>
      <c r="V349" s="95">
        <f>IF(OR(U349="",P349=""),"",U349+P349)</f>
        <v/>
      </c>
      <c r="W349" s="95">
        <f>IF(OR(T349="",O349="",P349=""),"",T349-O349+P349)</f>
        <v/>
      </c>
    </row>
    <row r="350">
      <c r="A350" s="35" t="n">
        <v>46004</v>
      </c>
      <c r="B350" s="92" t="n">
        <v>1446059017.20506</v>
      </c>
      <c r="C350" s="92" t="n">
        <v>166999843.5614237</v>
      </c>
      <c r="D350" s="92" t="n">
        <v>46592994</v>
      </c>
      <c r="E350" s="92" t="n">
        <v>439809.46</v>
      </c>
      <c r="F350" s="92" t="n">
        <v>8142</v>
      </c>
      <c r="G350" s="92" t="n">
        <v>0</v>
      </c>
      <c r="H350" s="92" t="n">
        <v>35015</v>
      </c>
      <c r="I350" s="92" t="n">
        <v>47021</v>
      </c>
      <c r="J350" s="92" t="n">
        <v>12208.76308990984</v>
      </c>
      <c r="K350" s="92" t="n">
        <v>0</v>
      </c>
      <c r="L350" s="94" t="n">
        <v>15306.92</v>
      </c>
      <c r="M350" s="92" t="n">
        <v>439809.46</v>
      </c>
      <c r="N350" s="94" t="n">
        <v>36946205.26</v>
      </c>
      <c r="O350" s="94" t="n">
        <v>26452.1468</v>
      </c>
      <c r="P350" s="94" t="n">
        <v>480.8023</v>
      </c>
      <c r="Q350" s="92" t="n">
        <v>13819.22</v>
      </c>
      <c r="R350" s="94" t="n">
        <v>339224688.1803</v>
      </c>
      <c r="S350" s="94" t="n">
        <v>999476140.3229001</v>
      </c>
      <c r="T350" s="95">
        <f>IF(OR(R350="",R349=""),"",R350-R349)</f>
        <v/>
      </c>
      <c r="U350" s="95">
        <f>IF(OR(S350="",S349=""),"",S350-S349)</f>
        <v/>
      </c>
      <c r="V350" s="95">
        <f>IF(OR(U350="",P350=""),"",U350+P350)</f>
        <v/>
      </c>
      <c r="W350" s="95">
        <f>IF(OR(T350="",O350="",P350=""),"",T350-O350+P350)</f>
        <v/>
      </c>
    </row>
    <row r="351">
      <c r="A351" s="35" t="n">
        <v>46005</v>
      </c>
      <c r="B351" s="92" t="n">
        <v>3164834141.718758</v>
      </c>
      <c r="C351" s="92" t="n">
        <v>91510944.20193835</v>
      </c>
      <c r="D351" s="92" t="n">
        <v>143395668</v>
      </c>
      <c r="E351" s="92" t="n">
        <v>952893.99</v>
      </c>
      <c r="F351" s="92" t="n">
        <v>13468</v>
      </c>
      <c r="G351" s="92" t="n">
        <v>0</v>
      </c>
      <c r="H351" s="92" t="n">
        <v>63808</v>
      </c>
      <c r="I351" s="92" t="n">
        <v>83666</v>
      </c>
      <c r="J351" s="92" t="n">
        <v>17200.14176166897</v>
      </c>
      <c r="K351" s="92" t="n">
        <v>0</v>
      </c>
      <c r="L351" s="94" t="n">
        <v>32806.2</v>
      </c>
      <c r="M351" s="92" t="n">
        <v>952893.99</v>
      </c>
      <c r="N351" s="94" t="n">
        <v>36980133.74</v>
      </c>
      <c r="O351" s="94" t="n">
        <v>26457.3222</v>
      </c>
      <c r="P351" s="94" t="n">
        <v>1187.8446</v>
      </c>
      <c r="Q351" s="92" t="n">
        <v>35425.68</v>
      </c>
      <c r="R351" s="94" t="n">
        <v>339235436.805</v>
      </c>
      <c r="S351" s="94" t="n">
        <v>999474952.4783</v>
      </c>
      <c r="T351" s="95">
        <f>IF(OR(R351="",R350=""),"",R351-R350)</f>
        <v/>
      </c>
      <c r="U351" s="95">
        <f>IF(OR(S351="",S350=""),"",S351-S350)</f>
        <v/>
      </c>
      <c r="V351" s="95">
        <f>IF(OR(U351="",P351=""),"",U351+P351)</f>
        <v/>
      </c>
      <c r="W351" s="95">
        <f>IF(OR(T351="",O351="",P351=""),"",T351-O351+P351)</f>
        <v/>
      </c>
    </row>
    <row r="352">
      <c r="A352" s="35" t="n">
        <v>46006</v>
      </c>
      <c r="B352" s="92" t="n">
        <v>7487679745.020039</v>
      </c>
      <c r="C352" s="92" t="n">
        <v>149228126.5781296</v>
      </c>
      <c r="D352" s="92" t="n">
        <v>341771879</v>
      </c>
      <c r="E352" s="92" t="n">
        <v>2085901.23</v>
      </c>
      <c r="F352" s="92" t="n">
        <v>21788</v>
      </c>
      <c r="G352" s="92" t="n">
        <v>0</v>
      </c>
      <c r="H352" s="92" t="n">
        <v>65373</v>
      </c>
      <c r="I352" s="92" t="n">
        <v>85315</v>
      </c>
      <c r="J352" s="92" t="n">
        <v>24348.3131492928</v>
      </c>
      <c r="K352" s="92" t="n">
        <v>0</v>
      </c>
      <c r="L352" s="94" t="n">
        <v>73873.39</v>
      </c>
      <c r="M352" s="92" t="n">
        <v>2085901.23</v>
      </c>
      <c r="N352" s="94" t="n">
        <v>37054037.49</v>
      </c>
      <c r="O352" s="94" t="n">
        <v>26379.9452</v>
      </c>
      <c r="P352" s="94" t="n">
        <v>1342.3667</v>
      </c>
      <c r="Q352" s="92" t="n">
        <v>38983.67</v>
      </c>
      <c r="R352" s="94" t="n">
        <v>339245989.6325</v>
      </c>
      <c r="S352" s="94" t="n">
        <v>999473610.1116</v>
      </c>
      <c r="T352" s="95">
        <f>IF(OR(R352="",R351=""),"",R352-R351)</f>
        <v/>
      </c>
      <c r="U352" s="95">
        <f>IF(OR(S352="",S351=""),"",S352-S351)</f>
        <v/>
      </c>
      <c r="V352" s="95">
        <f>IF(OR(U352="",P352=""),"",U352+P352)</f>
        <v/>
      </c>
      <c r="W352" s="95">
        <f>IF(OR(T352="",O352="",P352=""),"",T352-O352+P352)</f>
        <v/>
      </c>
    </row>
    <row r="353">
      <c r="A353" s="35" t="n">
        <v>46007</v>
      </c>
      <c r="B353" s="92" t="n">
        <v>5155244182.291606</v>
      </c>
      <c r="C353" s="92" t="n">
        <v>204867472.8604284</v>
      </c>
      <c r="D353" s="92" t="n">
        <v>376443433</v>
      </c>
      <c r="E353" s="92" t="n">
        <v>1517389.42</v>
      </c>
      <c r="F353" s="92" t="n">
        <v>26100</v>
      </c>
      <c r="G353" s="92" t="n">
        <v>0</v>
      </c>
      <c r="H353" s="92" t="n">
        <v>78197</v>
      </c>
      <c r="I353" s="92" t="n">
        <v>106340</v>
      </c>
      <c r="J353" s="92" t="n">
        <v>21083.93819740885</v>
      </c>
      <c r="K353" s="92" t="n">
        <v>0</v>
      </c>
      <c r="L353" s="94" t="n">
        <v>56352.5</v>
      </c>
      <c r="M353" s="92" t="n">
        <v>1517389.42</v>
      </c>
      <c r="N353" s="94" t="n">
        <v>37110589.78</v>
      </c>
      <c r="O353" s="94" t="n">
        <v>26460.0854</v>
      </c>
      <c r="P353" s="94" t="n">
        <v>1653.3904</v>
      </c>
      <c r="Q353" s="92" t="n">
        <v>45449.22</v>
      </c>
      <c r="R353" s="94" t="n">
        <v>339256263.0846</v>
      </c>
      <c r="S353" s="94" t="n">
        <v>999471956.7212</v>
      </c>
      <c r="T353" s="95">
        <f>IF(OR(R353="",R352=""),"",R353-R352)</f>
        <v/>
      </c>
      <c r="U353" s="95">
        <f>IF(OR(S353="",S352=""),"",S353-S352)</f>
        <v/>
      </c>
      <c r="V353" s="95">
        <f>IF(OR(U353="",P353=""),"",U353+P353)</f>
        <v/>
      </c>
      <c r="W353" s="95">
        <f>IF(OR(T353="",O353="",P353=""),"",T353-O353+P353)</f>
        <v/>
      </c>
    </row>
    <row r="354">
      <c r="A354" s="35" t="n">
        <v>46008</v>
      </c>
      <c r="B354" s="92" t="n">
        <v>7761393849.436666</v>
      </c>
      <c r="C354" s="92" t="n">
        <v>239600241.6031985</v>
      </c>
      <c r="D354" s="92" t="n">
        <v>377056299</v>
      </c>
      <c r="E354" s="92" t="n">
        <v>2218531.25</v>
      </c>
      <c r="F354" s="92" t="n">
        <v>27456</v>
      </c>
      <c r="G354" s="92" t="n">
        <v>0</v>
      </c>
      <c r="H354" s="92" t="n">
        <v>128952</v>
      </c>
      <c r="I354" s="92" t="n">
        <v>152482</v>
      </c>
      <c r="J354" s="92" t="n">
        <v>50748.68770302065</v>
      </c>
      <c r="K354" s="92" t="n">
        <v>13379</v>
      </c>
      <c r="L354" s="94" t="n">
        <v>84365.17</v>
      </c>
      <c r="M354" s="92" t="n">
        <v>2218531.25</v>
      </c>
      <c r="N354" s="94" t="n">
        <v>37194424.76</v>
      </c>
      <c r="O354" s="94" t="n">
        <v>26428.4254</v>
      </c>
      <c r="P354" s="94" t="n">
        <v>1593.7829</v>
      </c>
      <c r="Q354" s="92" t="n">
        <v>42163.53</v>
      </c>
      <c r="R354" s="94" t="n">
        <v>339266583.5589</v>
      </c>
      <c r="S354" s="94" t="n">
        <v>999470362.9383</v>
      </c>
      <c r="T354" s="95">
        <f>IF(OR(R354="",R353=""),"",R354-R353)</f>
        <v/>
      </c>
      <c r="U354" s="95">
        <f>IF(OR(S354="",S353=""),"",S354-S353)</f>
        <v/>
      </c>
      <c r="V354" s="95">
        <f>IF(OR(U354="",P354=""),"",U354+P354)</f>
        <v/>
      </c>
      <c r="W354" s="95">
        <f>IF(OR(T354="",O354="",P354=""),"",T354-O354+P354)</f>
        <v/>
      </c>
    </row>
    <row r="355">
      <c r="A355" s="35" t="n">
        <v>46009</v>
      </c>
      <c r="B355" s="92" t="n">
        <v>8258496358.324469</v>
      </c>
      <c r="C355" s="92" t="n">
        <v>333119054.7871638</v>
      </c>
      <c r="D355" s="92" t="n">
        <v>381839682</v>
      </c>
      <c r="E355" s="92" t="n">
        <v>2410570.41</v>
      </c>
      <c r="F355" s="92" t="n">
        <v>34731</v>
      </c>
      <c r="G355" s="92" t="n">
        <v>0</v>
      </c>
      <c r="H355" s="92" t="n">
        <v>117385</v>
      </c>
      <c r="I355" s="92" t="n">
        <v>150815</v>
      </c>
      <c r="J355" s="92" t="n">
        <v>46706.36835189165</v>
      </c>
      <c r="K355" s="92" t="n">
        <v>0</v>
      </c>
      <c r="L355" s="94" t="n">
        <v>100632.9</v>
      </c>
      <c r="M355" s="92" t="n">
        <v>2410570.41</v>
      </c>
      <c r="N355" s="94" t="n">
        <v>37295349.99</v>
      </c>
      <c r="O355" s="94" t="n">
        <v>26437.1583</v>
      </c>
      <c r="P355" s="94" t="n">
        <v>2179.0652</v>
      </c>
      <c r="Q355" s="92" t="n">
        <v>53525.47</v>
      </c>
      <c r="R355" s="94" t="n">
        <v>339276310.2699</v>
      </c>
      <c r="S355" s="94" t="n">
        <v>999468183.8731</v>
      </c>
      <c r="T355" s="95">
        <f>IF(OR(R355="",R354=""),"",R355-R354)</f>
        <v/>
      </c>
      <c r="U355" s="95">
        <f>IF(OR(S355="",S354=""),"",S355-S354)</f>
        <v/>
      </c>
      <c r="V355" s="95">
        <f>IF(OR(U355="",P355=""),"",U355+P355)</f>
        <v/>
      </c>
      <c r="W355" s="95">
        <f>IF(OR(T355="",O355="",P355=""),"",T355-O355+P355)</f>
        <v/>
      </c>
    </row>
    <row r="356">
      <c r="A356" s="35" t="n">
        <v>46010</v>
      </c>
      <c r="B356" s="92" t="n">
        <v>7043735254.585158</v>
      </c>
      <c r="C356" s="92" t="n">
        <v>324184202.8966736</v>
      </c>
      <c r="D356" s="92" t="n">
        <v>280798258</v>
      </c>
      <c r="E356" s="92" t="n">
        <v>1974369.74</v>
      </c>
      <c r="F356" s="92" t="n">
        <v>32371</v>
      </c>
      <c r="G356" s="92" t="n">
        <v>0</v>
      </c>
      <c r="H356" s="92" t="n">
        <v>62503</v>
      </c>
      <c r="I356" s="92" t="n">
        <v>85819</v>
      </c>
      <c r="J356" s="92" t="n">
        <v>17739.36918162803</v>
      </c>
      <c r="K356" s="92" t="n">
        <v>0</v>
      </c>
      <c r="L356" s="94" t="n">
        <v>82489.64999999999</v>
      </c>
      <c r="M356" s="92" t="n">
        <v>1974369.74</v>
      </c>
      <c r="N356" s="94" t="n">
        <v>37378176.69</v>
      </c>
      <c r="O356" s="94" t="n">
        <v>26418.9396</v>
      </c>
      <c r="P356" s="94" t="n">
        <v>2138.5104</v>
      </c>
      <c r="Q356" s="92" t="n">
        <v>47936.85</v>
      </c>
      <c r="R356" s="94" t="n">
        <v>339286111.9646</v>
      </c>
      <c r="S356" s="94" t="n">
        <v>999466045.3627</v>
      </c>
      <c r="T356" s="95">
        <f>IF(OR(R356="",R355=""),"",R356-R355)</f>
        <v/>
      </c>
      <c r="U356" s="95">
        <f>IF(OR(S356="",S355=""),"",S356-S355)</f>
        <v/>
      </c>
      <c r="V356" s="95">
        <f>IF(OR(U356="",P356=""),"",U356+P356)</f>
        <v/>
      </c>
      <c r="W356" s="95">
        <f>IF(OR(T356="",O356="",P356=""),"",T356-O356+P356)</f>
        <v/>
      </c>
    </row>
    <row r="357">
      <c r="A357" s="35" t="n">
        <v>46011</v>
      </c>
      <c r="B357" s="92" t="n">
        <v>1595882243.14519</v>
      </c>
      <c r="C357" s="92" t="n">
        <v>175131502.5492004</v>
      </c>
      <c r="D357" s="92" t="n">
        <v>63473225</v>
      </c>
      <c r="E357" s="92" t="n">
        <v>498643.46</v>
      </c>
      <c r="F357" s="92" t="n">
        <v>13103</v>
      </c>
      <c r="G357" s="92" t="n">
        <v>0</v>
      </c>
      <c r="H357" s="92" t="n">
        <v>42081</v>
      </c>
      <c r="I357" s="92" t="n">
        <v>55827</v>
      </c>
      <c r="J357" s="92" t="n">
        <v>9913.665501002995</v>
      </c>
      <c r="K357" s="92" t="n">
        <v>0</v>
      </c>
      <c r="L357" s="94" t="n">
        <v>20165.54</v>
      </c>
      <c r="M357" s="92" t="n">
        <v>498643.46</v>
      </c>
      <c r="N357" s="94" t="n">
        <v>37397363.99255512</v>
      </c>
      <c r="O357" s="94" t="n">
        <v>26487.66</v>
      </c>
      <c r="P357" s="94" t="n">
        <v>1719.494</v>
      </c>
      <c r="Q357" s="92" t="n">
        <v>42646.03</v>
      </c>
      <c r="R357" s="94" t="n">
        <v>339296363.6406</v>
      </c>
      <c r="S357" s="94" t="n">
        <v>999464325.8687</v>
      </c>
      <c r="T357" s="95">
        <f>IF(OR(R357="",R356=""),"",R357-R356)</f>
        <v/>
      </c>
      <c r="U357" s="95">
        <f>IF(OR(S357="",S356=""),"",S357-S356)</f>
        <v/>
      </c>
      <c r="V357" s="95">
        <f>IF(OR(U357="",P357=""),"",U357+P357)</f>
        <v/>
      </c>
      <c r="W357" s="95">
        <f>IF(OR(T357="",O357="",P357=""),"",T357-O357+P357)</f>
        <v/>
      </c>
    </row>
    <row r="358">
      <c r="A358" s="35" t="n">
        <v>46012</v>
      </c>
      <c r="B358" s="92" t="n">
        <v>2410566325.76378</v>
      </c>
      <c r="C358" s="92" t="n">
        <v>80232170.76769261</v>
      </c>
      <c r="D358" s="92" t="n">
        <v>57499448</v>
      </c>
      <c r="E358" s="92" t="n">
        <v>614571.29</v>
      </c>
      <c r="F358" s="92" t="n">
        <v>11355</v>
      </c>
      <c r="G358" s="92" t="n">
        <v>0</v>
      </c>
      <c r="H358" s="92" t="n">
        <v>35589</v>
      </c>
      <c r="I358" s="92" t="n">
        <v>47261</v>
      </c>
      <c r="J358" s="92" t="n">
        <v>8537.996374191154</v>
      </c>
      <c r="K358" s="92" t="n">
        <v>0</v>
      </c>
      <c r="L358" s="94" t="n">
        <v>25490.35</v>
      </c>
      <c r="M358" s="92" t="n">
        <v>614571.29</v>
      </c>
      <c r="N358" s="94" t="n">
        <v>37430045.18255512</v>
      </c>
      <c r="O358" s="94" t="n">
        <v>26425.3695</v>
      </c>
      <c r="P358" s="94" t="n">
        <v>257.2716</v>
      </c>
      <c r="Q358" s="92" t="n">
        <v>6193.56</v>
      </c>
      <c r="R358" s="94" t="n">
        <v>339308044.3739</v>
      </c>
      <c r="S358" s="94" t="n">
        <v>999464068.5971</v>
      </c>
      <c r="T358" s="95">
        <f>IF(OR(R358="",R357=""),"",R358-R357)</f>
        <v/>
      </c>
      <c r="U358" s="95">
        <f>IF(OR(S358="",S357=""),"",S358-S357)</f>
        <v/>
      </c>
      <c r="V358" s="95">
        <f>IF(OR(U358="",P358=""),"",U358+P358)</f>
        <v/>
      </c>
      <c r="W358" s="95">
        <f>IF(OR(T358="",O358="",P358=""),"",T358-O358+P358)</f>
        <v/>
      </c>
    </row>
    <row r="359">
      <c r="A359" s="35" t="n">
        <v>46013</v>
      </c>
      <c r="B359" s="92" t="n">
        <v>6062565799.324593</v>
      </c>
      <c r="C359" s="92" t="n">
        <v>82086140.3566349</v>
      </c>
      <c r="D359" s="92" t="n">
        <v>201233855</v>
      </c>
      <c r="E359" s="92" t="n">
        <v>1753928.69</v>
      </c>
      <c r="F359" s="92" t="n">
        <v>27024</v>
      </c>
      <c r="G359" s="92" t="n">
        <v>0</v>
      </c>
      <c r="H359" s="92" t="n">
        <v>46382</v>
      </c>
      <c r="I359" s="92" t="n">
        <v>61798</v>
      </c>
      <c r="J359" s="92" t="n">
        <v>12155.06679695003</v>
      </c>
      <c r="K359" s="92" t="n">
        <v>23542.3</v>
      </c>
      <c r="L359" s="94" t="n">
        <v>70611.64</v>
      </c>
      <c r="M359" s="92" t="n">
        <v>1753928.69</v>
      </c>
      <c r="N359" s="94" t="n">
        <v>37494236.91255512</v>
      </c>
      <c r="O359" s="94" t="n">
        <v>26443.411</v>
      </c>
      <c r="P359" s="94" t="n">
        <v>1666.3489</v>
      </c>
      <c r="Q359" s="92" t="n">
        <v>41028.01</v>
      </c>
      <c r="R359" s="94" t="n">
        <v>339318331.3626</v>
      </c>
      <c r="S359" s="94" t="n">
        <v>999462402.2482001</v>
      </c>
      <c r="T359" s="95">
        <f>IF(OR(R359="",R358=""),"",R359-R358)</f>
        <v/>
      </c>
      <c r="U359" s="95">
        <f>IF(OR(S359="",S358=""),"",S359-S358)</f>
        <v/>
      </c>
      <c r="V359" s="95">
        <f>IF(OR(U359="",P359=""),"",U359+P359)</f>
        <v/>
      </c>
      <c r="W359" s="95">
        <f>IF(OR(T359="",O359="",P359=""),"",T359-O359+P359)</f>
        <v/>
      </c>
    </row>
    <row r="360">
      <c r="A360" s="35" t="n">
        <v>46014</v>
      </c>
      <c r="B360" s="92" t="n">
        <v>5129999886.94869</v>
      </c>
      <c r="C360" s="92" t="n">
        <v>131313938.7077517</v>
      </c>
      <c r="D360" s="92" t="n">
        <v>273946895</v>
      </c>
      <c r="E360" s="92" t="n">
        <v>1416162.2</v>
      </c>
      <c r="F360" s="92" t="n">
        <v>28752</v>
      </c>
      <c r="G360" s="92" t="n">
        <v>0</v>
      </c>
      <c r="H360" s="92" t="n">
        <v>50059</v>
      </c>
      <c r="I360" s="92" t="n">
        <v>62692</v>
      </c>
      <c r="J360" s="92" t="n">
        <v>10662.8543444044</v>
      </c>
      <c r="K360" s="92" t="n">
        <v>0</v>
      </c>
      <c r="L360" s="94" t="n">
        <v>58235.51</v>
      </c>
      <c r="M360" s="92" t="n">
        <v>1416162.2</v>
      </c>
      <c r="N360" s="94" t="n">
        <v>37552103.11255512</v>
      </c>
      <c r="O360" s="94" t="n">
        <v>26422.6463</v>
      </c>
      <c r="P360" s="94" t="n">
        <v>3692.6652</v>
      </c>
      <c r="Q360" s="92" t="n">
        <v>91766.42</v>
      </c>
      <c r="R360" s="94" t="n">
        <v>339326137.6251</v>
      </c>
      <c r="S360" s="94" t="n">
        <v>999458709.5829999</v>
      </c>
      <c r="T360" s="95">
        <f>IF(OR(R360="",R359=""),"",R360-R359)</f>
        <v/>
      </c>
      <c r="U360" s="95">
        <f>IF(OR(S360="",S359=""),"",S360-S359)</f>
        <v/>
      </c>
      <c r="V360" s="95">
        <f>IF(OR(U360="",P360=""),"",U360+P360)</f>
        <v/>
      </c>
      <c r="W360" s="95">
        <f>IF(OR(T360="",O360="",P360=""),"",T360-O360+P360)</f>
        <v/>
      </c>
    </row>
    <row r="361">
      <c r="A361" s="35" t="n">
        <v>46015</v>
      </c>
      <c r="B361" s="92" t="n">
        <v>3387920830.009671</v>
      </c>
      <c r="C361" s="92" t="n">
        <v>114039288.8382192</v>
      </c>
      <c r="D361" s="92" t="n">
        <v>153570548</v>
      </c>
      <c r="E361" s="92" t="n">
        <v>871000.51</v>
      </c>
      <c r="F361" s="92" t="n">
        <v>16450</v>
      </c>
      <c r="G361" s="92" t="n">
        <v>0</v>
      </c>
      <c r="H361" s="92" t="n">
        <v>37155</v>
      </c>
      <c r="I361" s="92" t="n">
        <v>47538</v>
      </c>
      <c r="J361" s="92" t="n">
        <v>7482.605158871794</v>
      </c>
      <c r="K361" s="92" t="n">
        <v>0</v>
      </c>
      <c r="L361" s="94" t="n">
        <v>36158.16</v>
      </c>
      <c r="M361" s="92" t="n">
        <v>871000.51</v>
      </c>
      <c r="N361" s="94" t="n">
        <v>37591271.92255512</v>
      </c>
      <c r="O361" s="94" t="n">
        <v>26479.0906</v>
      </c>
      <c r="P361" s="94" t="n">
        <v>315.6238</v>
      </c>
      <c r="Q361" s="92" t="n">
        <v>7575.92</v>
      </c>
      <c r="R361" s="94" t="n">
        <v>339337831.4412</v>
      </c>
      <c r="S361" s="94" t="n">
        <v>999458393.9592</v>
      </c>
      <c r="T361" s="95">
        <f>IF(OR(R361="",R360=""),"",R361-R360)</f>
        <v/>
      </c>
      <c r="U361" s="95">
        <f>IF(OR(S361="",S360=""),"",S361-S360)</f>
        <v/>
      </c>
      <c r="V361" s="95">
        <f>IF(OR(U361="",P361=""),"",U361+P361)</f>
        <v/>
      </c>
      <c r="W361" s="95">
        <f>IF(OR(T361="",O361="",P361=""),"",T361-O361+P361)</f>
        <v/>
      </c>
    </row>
    <row r="362">
      <c r="A362" s="35" t="n">
        <v>46016</v>
      </c>
      <c r="B362" s="92" t="n">
        <v>2451148344.359978</v>
      </c>
      <c r="C362" s="92" t="n">
        <v>82508878.32668835</v>
      </c>
      <c r="D362" s="92" t="n">
        <v>61337988</v>
      </c>
      <c r="E362" s="92" t="n">
        <v>733221.58</v>
      </c>
      <c r="F362" s="92" t="n">
        <v>12389</v>
      </c>
      <c r="G362" s="92" t="n">
        <v>0</v>
      </c>
      <c r="H362" s="92" t="n">
        <v>36888</v>
      </c>
      <c r="I362" s="92" t="n">
        <v>48474</v>
      </c>
      <c r="J362" s="92" t="n">
        <v>6447.799693485051</v>
      </c>
      <c r="K362" s="92" t="n">
        <v>13158.68</v>
      </c>
      <c r="L362" s="94" t="n">
        <v>29555.9</v>
      </c>
      <c r="M362" s="92" t="n">
        <v>733221.58</v>
      </c>
      <c r="N362" s="94" t="n">
        <v>37617994.68255512</v>
      </c>
      <c r="O362" s="94" t="n">
        <v>26460.759</v>
      </c>
      <c r="P362" s="94" t="n">
        <v>1101.0662</v>
      </c>
      <c r="Q362" s="92" t="n">
        <v>27316.9</v>
      </c>
      <c r="R362" s="94" t="n">
        <v>339348867.2578</v>
      </c>
      <c r="S362" s="94" t="n">
        <v>999457292.893</v>
      </c>
      <c r="T362" s="95">
        <f>IF(OR(R362="",R361=""),"",R362-R361)</f>
        <v/>
      </c>
      <c r="U362" s="95">
        <f>IF(OR(S362="",S361=""),"",S362-S361)</f>
        <v/>
      </c>
      <c r="V362" s="95">
        <f>IF(OR(U362="",P362=""),"",U362+P362)</f>
        <v/>
      </c>
      <c r="W362" s="95">
        <f>IF(OR(T362="",O362="",P362=""),"",T362-O362+P362)</f>
        <v/>
      </c>
    </row>
    <row r="363">
      <c r="A363" s="35" t="n">
        <v>46017</v>
      </c>
      <c r="B363" s="92" t="n">
        <v>4703285597.020981</v>
      </c>
      <c r="C363" s="92" t="n">
        <v>71520233.92089242</v>
      </c>
      <c r="D363" s="92" t="n">
        <v>230839091</v>
      </c>
      <c r="E363" s="92" t="n">
        <v>1214449.59</v>
      </c>
      <c r="F363" s="92" t="n">
        <v>29292</v>
      </c>
      <c r="G363" s="92" t="n">
        <v>0</v>
      </c>
      <c r="H363" s="92" t="n">
        <v>67249</v>
      </c>
      <c r="I363" s="92" t="n">
        <v>89653</v>
      </c>
      <c r="J363" s="92" t="n">
        <v>7434.633291901381</v>
      </c>
      <c r="K363" s="92" t="n">
        <v>12169.61</v>
      </c>
      <c r="L363" s="94" t="n">
        <v>48626.65</v>
      </c>
      <c r="M363" s="92" t="n">
        <v>1214449.59</v>
      </c>
      <c r="N363" s="94" t="n">
        <v>37668066.45255512</v>
      </c>
      <c r="O363" s="94" t="n">
        <v>26461.3247</v>
      </c>
      <c r="P363" s="94" t="n">
        <v>1906.2574</v>
      </c>
      <c r="Q363" s="92" t="n">
        <v>46893.93</v>
      </c>
      <c r="R363" s="94" t="n">
        <v>339358937.3725</v>
      </c>
      <c r="S363" s="94" t="n">
        <v>999455386.6356</v>
      </c>
      <c r="T363" s="95">
        <f>IF(OR(R363="",R362=""),"",R363-R362)</f>
        <v/>
      </c>
      <c r="U363" s="95">
        <f>IF(OR(S363="",S362=""),"",S363-S362)</f>
        <v/>
      </c>
      <c r="V363" s="95">
        <f>IF(OR(U363="",P363=""),"",U363+P363)</f>
        <v/>
      </c>
      <c r="W363" s="95">
        <f>IF(OR(T363="",O363="",P363=""),"",T363-O363+P363)</f>
        <v/>
      </c>
    </row>
    <row r="364">
      <c r="A364" s="35" t="n">
        <v>46018</v>
      </c>
      <c r="B364" s="92" t="n">
        <v>1337033522.229218</v>
      </c>
      <c r="C364" s="92" t="n">
        <v>122485181.9154451</v>
      </c>
      <c r="D364" s="92" t="n">
        <v>64057194</v>
      </c>
      <c r="E364" s="92" t="n">
        <v>442768.92</v>
      </c>
      <c r="F364" s="92" t="n">
        <v>14772</v>
      </c>
      <c r="G364" s="92" t="n">
        <v>0</v>
      </c>
      <c r="H364" s="92" t="n">
        <v>44253</v>
      </c>
      <c r="I364" s="92" t="n">
        <v>56845</v>
      </c>
      <c r="J364" s="92" t="n">
        <v>6914.044499406482</v>
      </c>
      <c r="K364" s="92" t="n">
        <v>0</v>
      </c>
      <c r="L364" s="94" t="n">
        <v>17114.12</v>
      </c>
      <c r="M364" s="92" t="n">
        <v>442768.92</v>
      </c>
      <c r="N364" s="94" t="n">
        <v>37683708.12255512</v>
      </c>
      <c r="O364" s="94" t="n">
        <v>26462.3171</v>
      </c>
      <c r="P364" s="94" t="n">
        <v>822.3167999999999</v>
      </c>
      <c r="Q364" s="92" t="n">
        <v>21038.97</v>
      </c>
      <c r="R364" s="94" t="n">
        <v>301702023.8426</v>
      </c>
      <c r="S364" s="94" t="n">
        <v>999454564.3189</v>
      </c>
      <c r="T364" s="95">
        <f>IF(OR(R364="",R363=""),"",R364-R363)</f>
        <v/>
      </c>
      <c r="U364" s="95">
        <f>IF(OR(S364="",S363=""),"",S364-S363)</f>
        <v/>
      </c>
      <c r="V364" s="95">
        <f>IF(OR(U364="",P364=""),"",U364+P364)</f>
        <v/>
      </c>
      <c r="W364" s="95">
        <f>IF(OR(T364="",O364="",P364=""),"",T364-O364+P364)</f>
        <v/>
      </c>
    </row>
    <row r="365">
      <c r="A365" s="35" t="n">
        <v>46019</v>
      </c>
      <c r="B365" s="92" t="n">
        <v>1862120382.781592</v>
      </c>
      <c r="C365" s="92" t="n">
        <v>84032699.71483055</v>
      </c>
      <c r="D365" s="92" t="n">
        <v>75029525</v>
      </c>
      <c r="E365" s="92" t="n">
        <v>475895.45</v>
      </c>
      <c r="F365" s="92" t="n">
        <v>13376</v>
      </c>
      <c r="G365" s="92" t="n">
        <v>0</v>
      </c>
      <c r="H365" s="92" t="n">
        <v>52585</v>
      </c>
      <c r="I365" s="92" t="n">
        <v>72538</v>
      </c>
      <c r="J365" s="92" t="n">
        <v>7072.402556906018</v>
      </c>
      <c r="K365" s="92" t="n">
        <v>17126.65</v>
      </c>
      <c r="L365" s="94" t="n">
        <v>18579.37</v>
      </c>
      <c r="M365" s="92" t="n">
        <v>475895.45</v>
      </c>
      <c r="N365" s="94" t="n">
        <v>37705705.99255512</v>
      </c>
      <c r="O365" s="94" t="n">
        <v>26467.9072</v>
      </c>
      <c r="P365" s="94" t="n">
        <v>1294.7145</v>
      </c>
      <c r="Q365" s="92" t="n">
        <v>33537.64</v>
      </c>
      <c r="R365" s="94" t="n">
        <v>301697072.2922</v>
      </c>
      <c r="S365" s="94" t="n">
        <v>999453269.6043</v>
      </c>
      <c r="T365" s="95">
        <f>IF(OR(R365="",R364=""),"",R365-R364)</f>
        <v/>
      </c>
      <c r="U365" s="95">
        <f>IF(OR(S365="",S364=""),"",S365-S364)</f>
        <v/>
      </c>
      <c r="V365" s="95">
        <f>IF(OR(U365="",P365=""),"",U365+P365)</f>
        <v/>
      </c>
      <c r="W365" s="95">
        <f>IF(OR(T365="",O365="",P365=""),"",T365-O365+P365)</f>
        <v/>
      </c>
    </row>
    <row r="366">
      <c r="A366" s="35" t="n">
        <v>46020</v>
      </c>
      <c r="B366" s="92" t="n">
        <v>6669017441.310191</v>
      </c>
      <c r="C366" s="92" t="n">
        <v>109197976.3276942</v>
      </c>
      <c r="D366" s="92" t="n">
        <v>298579658</v>
      </c>
      <c r="E366" s="92" t="n">
        <v>1939785.77</v>
      </c>
      <c r="F366" s="92" t="n">
        <v>36154</v>
      </c>
      <c r="G366" s="92" t="n">
        <v>0</v>
      </c>
      <c r="H366" s="92" t="n">
        <v>68508</v>
      </c>
      <c r="I366" s="92" t="n">
        <v>90283</v>
      </c>
      <c r="J366" s="92" t="n">
        <v>13996.47333149522</v>
      </c>
      <c r="K366" s="92" t="n">
        <v>18218.18</v>
      </c>
      <c r="L366" s="94" t="n">
        <v>75103.94</v>
      </c>
      <c r="M366" s="92" t="n">
        <v>1939785.77</v>
      </c>
      <c r="N366" s="94" t="n">
        <v>37777472.31255512</v>
      </c>
      <c r="O366" s="94" t="n">
        <v>26457.1114</v>
      </c>
      <c r="P366" s="94" t="n">
        <v>2123.1129</v>
      </c>
      <c r="Q366" s="92" t="n">
        <v>54326.21</v>
      </c>
      <c r="R366" s="94" t="n">
        <v>301684954.2992</v>
      </c>
      <c r="S366" s="94" t="n">
        <v>999451146.4914</v>
      </c>
      <c r="T366" s="95">
        <f>IF(OR(R366="",R365=""),"",R366-R365)</f>
        <v/>
      </c>
      <c r="U366" s="95">
        <f>IF(OR(S366="",S365=""),"",S366-S365)</f>
        <v/>
      </c>
      <c r="V366" s="95">
        <f>IF(OR(U366="",P366=""),"",U366+P366)</f>
        <v/>
      </c>
      <c r="W366" s="95">
        <f>IF(OR(T366="",O366="",P366=""),"",T366-O366+P366)</f>
        <v/>
      </c>
    </row>
    <row r="367">
      <c r="A367" s="35" t="n">
        <v>46021</v>
      </c>
      <c r="B367" s="92" t="n">
        <v>3762294519.923465</v>
      </c>
      <c r="C367" s="92" t="n">
        <v>138636841.0962479</v>
      </c>
      <c r="D367" s="92" t="n">
        <v>317139673</v>
      </c>
      <c r="E367" s="92" t="n">
        <v>1094242.8</v>
      </c>
      <c r="F367" s="92" t="n">
        <v>27052</v>
      </c>
      <c r="G367" s="92" t="n">
        <v>0</v>
      </c>
      <c r="H367" s="92" t="n">
        <v>79005</v>
      </c>
      <c r="I367" s="92" t="n">
        <v>102727</v>
      </c>
      <c r="J367" s="92" t="n">
        <v>8739.876968668941</v>
      </c>
      <c r="K367" s="92" t="n">
        <v>0</v>
      </c>
      <c r="L367" s="94" t="n">
        <v>42418.7</v>
      </c>
      <c r="M367" s="92" t="n">
        <v>1094242.8</v>
      </c>
      <c r="N367" s="94" t="n">
        <v>37820327.28255512</v>
      </c>
      <c r="O367" s="94" t="n">
        <v>26422.7486</v>
      </c>
      <c r="P367" s="94" t="n">
        <v>2325.3605</v>
      </c>
      <c r="Q367" s="92" t="n">
        <v>59822.22</v>
      </c>
      <c r="R367" s="94" t="n">
        <v>301622847.4465</v>
      </c>
      <c r="S367" s="94" t="n">
        <v>999448821.1309</v>
      </c>
      <c r="T367" s="95">
        <f>IF(OR(R367="",R366=""),"",R367-R366)</f>
        <v/>
      </c>
      <c r="U367" s="95">
        <f>IF(OR(S367="",S366=""),"",S367-S366)</f>
        <v/>
      </c>
      <c r="V367" s="95">
        <f>IF(OR(U367="",P367=""),"",U367+P367)</f>
        <v/>
      </c>
      <c r="W367" s="95">
        <f>IF(OR(T367="",O367="",P367=""),"",T367-O367+P367)</f>
        <v/>
      </c>
    </row>
    <row r="368">
      <c r="A368" s="35" t="n">
        <v>46022</v>
      </c>
      <c r="B368" s="92" t="n">
        <v>3106935602.41472</v>
      </c>
      <c r="C368" s="92" t="n">
        <v>149349790.3441477</v>
      </c>
      <c r="D368" s="92" t="n">
        <v>233152448</v>
      </c>
      <c r="E368" s="92" t="n">
        <v>925782.04</v>
      </c>
      <c r="F368" s="92" t="n">
        <v>22873</v>
      </c>
      <c r="G368" s="92" t="n">
        <v>0</v>
      </c>
      <c r="H368" s="92" t="n">
        <v>87376</v>
      </c>
      <c r="I368" s="92" t="n">
        <v>114605</v>
      </c>
      <c r="J368" s="92" t="n">
        <v>5715.616633279446</v>
      </c>
      <c r="K368" s="92" t="n">
        <v>14291.99</v>
      </c>
      <c r="L368" s="94" t="n">
        <v>35871.89</v>
      </c>
      <c r="M368" s="92" t="n">
        <v>925782.04</v>
      </c>
      <c r="N368" s="94" t="n">
        <v>37855111.82255512</v>
      </c>
      <c r="O368" s="94" t="n">
        <v>26413.0512</v>
      </c>
      <c r="P368" s="94" t="n">
        <v>1757.3829</v>
      </c>
      <c r="Q368" s="92" t="n">
        <v>45443.28</v>
      </c>
      <c r="R368" s="94" t="n">
        <v>301590201.8335</v>
      </c>
      <c r="S368" s="94" t="n">
        <v>999447063.7481</v>
      </c>
      <c r="T368" s="95">
        <f>IF(OR(R368="",R367=""),"",R368-R367)</f>
        <v/>
      </c>
      <c r="U368" s="95">
        <f>IF(OR(S368="",S367=""),"",S368-S367)</f>
        <v/>
      </c>
      <c r="V368" s="95">
        <f>IF(OR(U368="",P368=""),"",U368+P368)</f>
        <v/>
      </c>
      <c r="W368" s="95">
        <f>IF(OR(T368="",O368="",P368=""),"",T368-O368+P368)</f>
        <v/>
      </c>
    </row>
    <row r="369">
      <c r="A369" s="35" t="n">
        <v>46023</v>
      </c>
      <c r="B369" s="92" t="n">
        <v>2213556784.886786</v>
      </c>
      <c r="C369" s="92" t="n">
        <v>158618903.5539275</v>
      </c>
      <c r="D369" s="92" t="n">
        <v>60600305</v>
      </c>
      <c r="E369" s="92" t="n">
        <v>705293.7</v>
      </c>
      <c r="F369" s="92" t="n">
        <v>10719</v>
      </c>
      <c r="G369" s="92" t="n">
        <v>0</v>
      </c>
      <c r="H369" s="92" t="n">
        <v>78377</v>
      </c>
      <c r="I369" s="92" t="n">
        <v>104358</v>
      </c>
      <c r="J369" s="92" t="n">
        <v>12253.04253594799</v>
      </c>
      <c r="K369" s="92" t="n">
        <v>12900.83</v>
      </c>
      <c r="L369" s="94" t="n">
        <v>28382.23</v>
      </c>
      <c r="M369" s="92" t="n">
        <v>705293.7</v>
      </c>
      <c r="N369" s="94" t="n">
        <v>37884623.35255512</v>
      </c>
      <c r="O369" s="94" t="n">
        <v>26402.7064</v>
      </c>
      <c r="P369" s="94" t="n">
        <v>1053.6984</v>
      </c>
      <c r="Q369" s="92" t="n">
        <v>26903.55</v>
      </c>
      <c r="R369" s="94" t="n">
        <v>301566310.9286</v>
      </c>
      <c r="S369" s="94" t="n">
        <v>999446010.0497</v>
      </c>
      <c r="T369" s="95">
        <f>IF(OR(R369="",R368=""),"",R369-R368)</f>
        <v/>
      </c>
      <c r="U369" s="95">
        <f>IF(OR(S369="",S368=""),"",S369-S368)</f>
        <v/>
      </c>
      <c r="V369" s="95">
        <f>IF(OR(U369="",P369=""),"",U369+P369)</f>
        <v/>
      </c>
      <c r="W369" s="95">
        <f>IF(OR(T369="",O369="",P369=""),"",T369-O369+P369)</f>
        <v/>
      </c>
    </row>
    <row r="370">
      <c r="A370" s="35" t="n">
        <v>46024</v>
      </c>
      <c r="B370" s="92" t="n">
        <v>6739696640.721869</v>
      </c>
      <c r="C370" s="92" t="n">
        <v>150350090.3280058</v>
      </c>
      <c r="D370" s="92" t="n">
        <v>324447883</v>
      </c>
      <c r="E370" s="92" t="n">
        <v>1898721.29</v>
      </c>
      <c r="F370" s="92" t="n">
        <v>30023</v>
      </c>
      <c r="G370" s="92" t="n">
        <v>0</v>
      </c>
      <c r="H370" s="92" t="n">
        <v>79309</v>
      </c>
      <c r="I370" s="92" t="n">
        <v>107757</v>
      </c>
      <c r="J370" s="92" t="n">
        <v>12554.25972530847</v>
      </c>
      <c r="K370" s="92" t="n">
        <v>0</v>
      </c>
      <c r="L370" s="94" t="n">
        <v>77430.46000000001</v>
      </c>
      <c r="M370" s="92" t="n">
        <v>1898721.29</v>
      </c>
      <c r="N370" s="94" t="n">
        <v>37961240.11255512</v>
      </c>
      <c r="O370" s="94" t="n">
        <v>26401.8144</v>
      </c>
      <c r="P370" s="94" t="n">
        <v>2093.0828</v>
      </c>
      <c r="Q370" s="92" t="n">
        <v>50844.12</v>
      </c>
      <c r="R370" s="94" t="n">
        <v>301546658.771</v>
      </c>
      <c r="S370" s="94" t="n">
        <v>999443916.9669</v>
      </c>
      <c r="T370" s="95">
        <f>IF(OR(R370="",R369=""),"",R370-R369)</f>
        <v/>
      </c>
      <c r="U370" s="95">
        <f>IF(OR(S370="",S369=""),"",S370-S369)</f>
        <v/>
      </c>
      <c r="V370" s="95">
        <f>IF(OR(U370="",P370=""),"",U370+P370)</f>
        <v/>
      </c>
      <c r="W370" s="95">
        <f>IF(OR(T370="",O370="",P370=""),"",T370-O370+P370)</f>
        <v/>
      </c>
    </row>
    <row r="371">
      <c r="A371" s="35" t="n">
        <v>46025</v>
      </c>
      <c r="B371" s="92" t="n">
        <v>3230692184.445707</v>
      </c>
      <c r="C371" s="92" t="n">
        <v>167935583.2956387</v>
      </c>
      <c r="D371" s="92" t="n">
        <v>79804737</v>
      </c>
      <c r="E371" s="92" t="n">
        <v>1002009.44</v>
      </c>
      <c r="F371" s="92" t="n">
        <v>14222</v>
      </c>
      <c r="G371" s="92" t="n">
        <v>0</v>
      </c>
      <c r="H371" s="92" t="n">
        <v>46188</v>
      </c>
      <c r="I371" s="92" t="n">
        <v>62476</v>
      </c>
      <c r="J371" s="92" t="n">
        <v>7939.062371925125</v>
      </c>
      <c r="K371" s="92" t="n">
        <v>12370.61</v>
      </c>
      <c r="L371" s="94" t="n">
        <v>40475</v>
      </c>
      <c r="M371" s="92" t="n">
        <v>1002009.44</v>
      </c>
      <c r="N371" s="94" t="n">
        <v>38005028.39255512</v>
      </c>
      <c r="O371" s="94" t="n">
        <v>26396.0166</v>
      </c>
      <c r="P371" s="94" t="n">
        <v>1639.5284</v>
      </c>
      <c r="Q371" s="92" t="n">
        <v>40293.87</v>
      </c>
      <c r="R371" s="94" t="n">
        <v>301480344.4821</v>
      </c>
      <c r="S371" s="94" t="n">
        <v>999442277.4385</v>
      </c>
      <c r="T371" s="95">
        <f>IF(OR(R371="",R370=""),"",R371-R370)</f>
        <v/>
      </c>
      <c r="U371" s="95">
        <f>IF(OR(S371="",S370=""),"",S371-S370)</f>
        <v/>
      </c>
      <c r="V371" s="95">
        <f>IF(OR(U371="",P371=""),"",U371+P371)</f>
        <v/>
      </c>
      <c r="W371" s="95">
        <f>IF(OR(T371="",O371="",P371=""),"",T371-O371+P371)</f>
        <v/>
      </c>
    </row>
    <row r="372">
      <c r="A372" s="35" t="n">
        <v>46026</v>
      </c>
      <c r="B372" s="92" t="n">
        <v>3511211718.395998</v>
      </c>
      <c r="C372" s="92" t="n">
        <v>118826856.1590298</v>
      </c>
      <c r="D372" s="92" t="n">
        <v>75856116</v>
      </c>
      <c r="E372" s="92" t="n">
        <v>1024144.58</v>
      </c>
      <c r="F372" s="92" t="n">
        <v>13830</v>
      </c>
      <c r="G372" s="92" t="n">
        <v>0</v>
      </c>
      <c r="H372" s="92" t="n">
        <v>29426</v>
      </c>
      <c r="I372" s="92" t="n">
        <v>39784</v>
      </c>
      <c r="J372" s="92" t="n">
        <v>9542.379886769841</v>
      </c>
      <c r="K372" s="92" t="n">
        <v>12833.11</v>
      </c>
      <c r="L372" s="94" t="n">
        <v>39990.23</v>
      </c>
      <c r="M372" s="92" t="n">
        <v>1024144.58</v>
      </c>
      <c r="N372" s="94" t="n">
        <v>38044332.31255512</v>
      </c>
      <c r="O372" s="94" t="n">
        <v>26350.9539</v>
      </c>
      <c r="P372" s="94" t="n">
        <v>2062.1422</v>
      </c>
      <c r="Q372" s="92" t="n">
        <v>51915.46</v>
      </c>
      <c r="R372" s="94" t="n">
        <v>301446385.9254</v>
      </c>
      <c r="S372" s="94" t="n">
        <v>999440215.2962</v>
      </c>
      <c r="T372" s="95">
        <f>IF(OR(R372="",R371=""),"",R372-R371)</f>
        <v/>
      </c>
      <c r="U372" s="95">
        <f>IF(OR(S372="",S371=""),"",S372-S371)</f>
        <v/>
      </c>
      <c r="V372" s="95">
        <f>IF(OR(U372="",P372=""),"",U372+P372)</f>
        <v/>
      </c>
      <c r="W372" s="95">
        <f>IF(OR(T372="",O372="",P372=""),"",T372-O372+P372)</f>
        <v/>
      </c>
    </row>
    <row r="373">
      <c r="A373" s="35" t="n">
        <v>46027</v>
      </c>
      <c r="B373" s="92" t="n">
        <v>7232345681.763306</v>
      </c>
      <c r="C373" s="92" t="n">
        <v>88312584.50234434</v>
      </c>
      <c r="D373" s="92" t="n">
        <v>332533491</v>
      </c>
      <c r="E373" s="92" t="n">
        <v>2086165.61</v>
      </c>
      <c r="F373" s="92" t="n">
        <v>42641</v>
      </c>
      <c r="G373" s="92" t="n">
        <v>0</v>
      </c>
      <c r="H373" s="92" t="n">
        <v>57987</v>
      </c>
      <c r="I373" s="92" t="n">
        <v>79063</v>
      </c>
      <c r="J373" s="92" t="n">
        <v>17385.42542818884</v>
      </c>
      <c r="K373" s="92" t="n">
        <v>13668.27</v>
      </c>
      <c r="L373" s="94" t="n">
        <v>78485.08</v>
      </c>
      <c r="M373" s="92" t="n">
        <v>2086165.61</v>
      </c>
      <c r="N373" s="94" t="n">
        <v>38120898.50255512</v>
      </c>
      <c r="O373" s="94" t="n">
        <v>26387.3723</v>
      </c>
      <c r="P373" s="94" t="n">
        <v>901.9737</v>
      </c>
      <c r="Q373" s="92" t="n">
        <v>23971.3</v>
      </c>
      <c r="R373" s="94" t="n">
        <v>301418111.2928</v>
      </c>
      <c r="S373" s="94" t="n">
        <v>999439313.3225</v>
      </c>
      <c r="T373" s="95">
        <f>IF(OR(R373="",R372=""),"",R373-R372)</f>
        <v/>
      </c>
      <c r="U373" s="95">
        <f>IF(OR(S373="",S372=""),"",S373-S372)</f>
        <v/>
      </c>
      <c r="V373" s="95">
        <f>IF(OR(U373="",P373=""),"",U373+P373)</f>
        <v/>
      </c>
      <c r="W373" s="95">
        <f>IF(OR(T373="",O373="",P373=""),"",T373-O373+P373)</f>
        <v/>
      </c>
    </row>
    <row r="374">
      <c r="A374" s="35" t="n">
        <v>46028</v>
      </c>
      <c r="B374" s="92" t="n">
        <v>7918383563.340185</v>
      </c>
      <c r="C374" s="92" t="n">
        <v>171744706.7248234</v>
      </c>
      <c r="D374" s="92" t="n">
        <v>327284750</v>
      </c>
      <c r="E374" s="92" t="n">
        <v>2374650.41</v>
      </c>
      <c r="F374" s="92" t="n">
        <v>46646</v>
      </c>
      <c r="G374" s="92" t="n">
        <v>0</v>
      </c>
      <c r="H374" s="92" t="n">
        <v>73601</v>
      </c>
      <c r="I374" s="92" t="n">
        <v>95638</v>
      </c>
      <c r="J374" s="92" t="n">
        <v>18797.20049602148</v>
      </c>
      <c r="K374" s="92" t="n">
        <v>16907.82</v>
      </c>
      <c r="L374" s="94" t="n">
        <v>88011.81</v>
      </c>
      <c r="M374" s="92" t="n">
        <v>2374650.41</v>
      </c>
      <c r="N374" s="94" t="n">
        <v>38212022.86255512</v>
      </c>
      <c r="O374" s="94" t="n">
        <v>26389.3646</v>
      </c>
      <c r="P374" s="94" t="n">
        <v>2534.2663</v>
      </c>
      <c r="Q374" s="92" t="n">
        <v>67718.13</v>
      </c>
      <c r="R374" s="94" t="n">
        <v>301350919.1186</v>
      </c>
      <c r="S374" s="94" t="n">
        <v>999436779.0563</v>
      </c>
      <c r="T374" s="95">
        <f>IF(OR(R374="",R373=""),"",R374-R373)</f>
        <v/>
      </c>
      <c r="U374" s="95">
        <f>IF(OR(S374="",S373=""),"",S374-S373)</f>
        <v/>
      </c>
      <c r="V374" s="95">
        <f>IF(OR(U374="",P374=""),"",U374+P374)</f>
        <v/>
      </c>
      <c r="W374" s="95">
        <f>IF(OR(T374="",O374="",P374=""),"",T374-O374+P374)</f>
        <v/>
      </c>
    </row>
    <row r="375">
      <c r="A375" s="35" t="n">
        <v>46029</v>
      </c>
      <c r="B375" s="92" t="n">
        <v>6094180127.359412</v>
      </c>
      <c r="C375" s="92" t="n">
        <v>210695748.420455</v>
      </c>
      <c r="D375" s="92" t="n">
        <v>331731507</v>
      </c>
      <c r="E375" s="92" t="n">
        <v>1865729.21</v>
      </c>
      <c r="F375" s="92" t="n">
        <v>38249</v>
      </c>
      <c r="G375" s="92" t="n">
        <v>0</v>
      </c>
      <c r="H375" s="92" t="n">
        <v>48158</v>
      </c>
      <c r="I375" s="92" t="n">
        <v>61994</v>
      </c>
      <c r="J375" s="92" t="n">
        <v>15018.5260501421</v>
      </c>
      <c r="K375" s="92" t="n">
        <v>0</v>
      </c>
      <c r="L375" s="94" t="n">
        <v>68872.57000000001</v>
      </c>
      <c r="M375" s="92" t="n">
        <v>1865729.21</v>
      </c>
      <c r="N375" s="94" t="n">
        <v>38277974.16255512</v>
      </c>
      <c r="O375" s="94" t="n">
        <v>26373.0482</v>
      </c>
      <c r="P375" s="94" t="n">
        <v>2947.2225</v>
      </c>
      <c r="Q375" s="92" t="n">
        <v>82563.49000000001</v>
      </c>
      <c r="R375" s="94" t="n">
        <v>302394515.5211</v>
      </c>
      <c r="S375" s="94" t="n">
        <v>999433831.8338</v>
      </c>
      <c r="T375" s="95">
        <f>IF(OR(R375="",R374=""),"",R375-R374)</f>
        <v/>
      </c>
      <c r="U375" s="95">
        <f>IF(OR(S375="",S374=""),"",S375-S374)</f>
        <v/>
      </c>
      <c r="V375" s="95">
        <f>IF(OR(U375="",P375=""),"",U375+P375)</f>
        <v/>
      </c>
      <c r="W375" s="95">
        <f>IF(OR(T375="",O375="",P375=""),"",T375-O375+P375)</f>
        <v/>
      </c>
    </row>
    <row r="376">
      <c r="A376" s="35" t="n">
        <v>46030</v>
      </c>
      <c r="B376" s="92" t="n">
        <v>7137806881.239751</v>
      </c>
      <c r="C376" s="92" t="n">
        <v>145632492.1196956</v>
      </c>
      <c r="D376" s="92" t="n">
        <v>418653698</v>
      </c>
      <c r="E376" s="92" t="n">
        <v>2091921.83</v>
      </c>
      <c r="F376" s="92" t="n">
        <v>39266</v>
      </c>
      <c r="G376" s="92" t="n">
        <v>0</v>
      </c>
      <c r="H376" s="92" t="n">
        <v>46361</v>
      </c>
      <c r="I376" s="92" t="n">
        <v>62662</v>
      </c>
      <c r="J376" s="92" t="n">
        <v>8232.556354310345</v>
      </c>
      <c r="K376" s="92" t="n">
        <v>13696.13</v>
      </c>
      <c r="L376" s="94" t="n">
        <v>80019.35000000001</v>
      </c>
      <c r="M376" s="92" t="n">
        <v>2091921.83</v>
      </c>
      <c r="N376" s="94" t="n">
        <v>38357236.18255512</v>
      </c>
      <c r="O376" s="94" t="n">
        <v>26374.6414</v>
      </c>
      <c r="P376" s="94" t="n">
        <v>1968.7768</v>
      </c>
      <c r="Q376" s="92" t="n">
        <v>52751.41</v>
      </c>
      <c r="R376" s="94" t="n">
        <v>302338490.5525</v>
      </c>
      <c r="S376" s="94" t="n">
        <v>999431863.057</v>
      </c>
      <c r="T376" s="95">
        <f>IF(OR(R376="",R375=""),"",R376-R375)</f>
        <v/>
      </c>
      <c r="U376" s="95">
        <f>IF(OR(S376="",S375=""),"",S376-S375)</f>
        <v/>
      </c>
      <c r="V376" s="95">
        <f>IF(OR(U376="",P376=""),"",U376+P376)</f>
        <v/>
      </c>
      <c r="W376" s="95">
        <f>IF(OR(T376="",O376="",P376=""),"",T376-O376+P376)</f>
        <v/>
      </c>
    </row>
    <row r="377">
      <c r="A377" s="35" t="n">
        <v>46031</v>
      </c>
      <c r="B377" s="92" t="n">
        <v>6931233968.88972</v>
      </c>
      <c r="C377" s="92" t="n">
        <v>133985143.0460019</v>
      </c>
      <c r="D377" s="92" t="n">
        <v>311595912</v>
      </c>
      <c r="E377" s="92" t="n">
        <v>1786727.57</v>
      </c>
      <c r="F377" s="92" t="n">
        <v>29912</v>
      </c>
      <c r="G377" s="92" t="n">
        <v>0</v>
      </c>
      <c r="H377" s="92" t="n">
        <v>39558</v>
      </c>
      <c r="I377" s="92" t="n">
        <v>52906</v>
      </c>
      <c r="J377" s="92" t="n">
        <v>9329.631237383208</v>
      </c>
      <c r="K377" s="92" t="n">
        <v>13068.86</v>
      </c>
      <c r="L377" s="94" t="n">
        <v>69974.7</v>
      </c>
      <c r="M377" s="92" t="n">
        <v>1786727.57</v>
      </c>
      <c r="N377" s="94" t="n">
        <v>38428013.39255512</v>
      </c>
      <c r="O377" s="94" t="n">
        <v>26370.8818</v>
      </c>
      <c r="P377" s="94" t="n">
        <v>2704.8659</v>
      </c>
      <c r="Q377" s="92" t="n">
        <v>69064.69</v>
      </c>
      <c r="R377" s="94" t="n">
        <v>302268415.0772</v>
      </c>
      <c r="S377" s="94" t="n">
        <v>999429158.1911</v>
      </c>
      <c r="T377" s="95">
        <f>IF(OR(R377="",R376=""),"",R377-R376)</f>
        <v/>
      </c>
      <c r="U377" s="95">
        <f>IF(OR(S377="",S376=""),"",S377-S376)</f>
        <v/>
      </c>
      <c r="V377" s="95">
        <f>IF(OR(U377="",P377=""),"",U377+P377)</f>
        <v/>
      </c>
      <c r="W377" s="95">
        <f>IF(OR(T377="",O377="",P377=""),"",T377-O377+P377)</f>
        <v/>
      </c>
    </row>
    <row r="378">
      <c r="A378" s="35" t="n">
        <v>46032</v>
      </c>
      <c r="B378" s="92" t="n">
        <v>1436328945.176614</v>
      </c>
      <c r="C378" s="92" t="n">
        <v>123717484.7369145</v>
      </c>
      <c r="D378" s="92" t="n">
        <v>78156263</v>
      </c>
      <c r="E378" s="92" t="n">
        <v>462563.83</v>
      </c>
      <c r="F378" s="92" t="n">
        <v>14958</v>
      </c>
      <c r="G378" s="92" t="n">
        <v>0</v>
      </c>
      <c r="H378" s="92" t="n">
        <v>25567</v>
      </c>
      <c r="I378" s="92" t="n">
        <v>29394</v>
      </c>
      <c r="J378" s="92" t="n">
        <v>6540.2466349735</v>
      </c>
      <c r="K378" s="92" t="n">
        <v>13892.53</v>
      </c>
      <c r="L378" s="94" t="n">
        <v>18968.35</v>
      </c>
      <c r="M378" s="92" t="n">
        <v>462563.83</v>
      </c>
      <c r="N378" s="94" t="n">
        <v>38446138.52255512</v>
      </c>
      <c r="O378" s="94" t="n">
        <v>26361.0916</v>
      </c>
      <c r="P378" s="94" t="n">
        <v>955.1403</v>
      </c>
      <c r="Q378" s="92" t="n">
        <v>23789.2</v>
      </c>
      <c r="R378" s="94" t="n">
        <v>302208548.4401</v>
      </c>
      <c r="S378" s="94" t="n">
        <v>999428203.0509</v>
      </c>
      <c r="T378" s="95">
        <f>IF(OR(R378="",R377=""),"",R378-R377)</f>
        <v/>
      </c>
      <c r="U378" s="95">
        <f>IF(OR(S378="",S377=""),"",S378-S377)</f>
        <v/>
      </c>
      <c r="V378" s="95">
        <f>IF(OR(U378="",P378=""),"",U378+P378)</f>
        <v/>
      </c>
      <c r="W378" s="95">
        <f>IF(OR(T378="",O378="",P378=""),"",T378-O378+P378)</f>
        <v/>
      </c>
    </row>
    <row r="379">
      <c r="A379" s="35" t="n">
        <v>46033</v>
      </c>
      <c r="B379" s="92" t="n">
        <v>2907344410.169953</v>
      </c>
      <c r="C379" s="92" t="n">
        <v>58688478.07745037</v>
      </c>
      <c r="D379" s="92" t="n">
        <v>172610355</v>
      </c>
      <c r="E379" s="92" t="n">
        <v>812593.78</v>
      </c>
      <c r="F379" s="92" t="n">
        <v>61195</v>
      </c>
      <c r="G379" s="92" t="n">
        <v>0</v>
      </c>
      <c r="H379" s="92" t="n">
        <v>18163</v>
      </c>
      <c r="I379" s="92" t="n">
        <v>28522</v>
      </c>
      <c r="J379" s="92" t="n">
        <v>3093.375142771304</v>
      </c>
      <c r="K379" s="92" t="n">
        <v>0</v>
      </c>
      <c r="L379" s="94" t="n">
        <v>33286.67</v>
      </c>
      <c r="M379" s="92" t="n">
        <v>812593.78</v>
      </c>
      <c r="N379" s="94" t="n">
        <v>38480704.90255512</v>
      </c>
      <c r="O379" s="94" t="n">
        <v>26258.6631</v>
      </c>
      <c r="P379" s="94" t="n">
        <v>2542.9764</v>
      </c>
      <c r="Q379" s="92" t="n">
        <v>61225.97</v>
      </c>
      <c r="R379" s="94" t="n">
        <v>302199655.2817</v>
      </c>
      <c r="S379" s="94" t="n">
        <v>999425660.0745</v>
      </c>
      <c r="T379" s="95">
        <f>IF(OR(R379="",R378=""),"",R379-R378)</f>
        <v/>
      </c>
      <c r="U379" s="95">
        <f>IF(OR(S379="",S378=""),"",S379-S378)</f>
        <v/>
      </c>
      <c r="V379" s="95">
        <f>IF(OR(U379="",P379=""),"",U379+P379)</f>
        <v/>
      </c>
      <c r="W379" s="95">
        <f>IF(OR(T379="",O379="",P379=""),"",T379-O379+P379)</f>
        <v/>
      </c>
    </row>
    <row r="380">
      <c r="A380" s="35" t="n">
        <v>46034</v>
      </c>
      <c r="B380" s="92" t="n">
        <v>6703130739.220157</v>
      </c>
      <c r="C380" s="92" t="n">
        <v>63859611.7814533</v>
      </c>
      <c r="D380" s="92" t="n">
        <v>446511237</v>
      </c>
      <c r="E380" s="92" t="n">
        <v>1900776.69</v>
      </c>
      <c r="F380" s="92" t="n">
        <v>67180</v>
      </c>
      <c r="G380" s="92" t="n">
        <v>0</v>
      </c>
      <c r="H380" s="92" t="n">
        <v>45377</v>
      </c>
      <c r="I380" s="92" t="n">
        <v>56846</v>
      </c>
      <c r="J380" s="92" t="n">
        <v>12861.4047105096</v>
      </c>
      <c r="K380" s="92" t="n">
        <v>12393.69</v>
      </c>
      <c r="L380" s="94" t="n">
        <v>79151.85000000001</v>
      </c>
      <c r="M380" s="92" t="n">
        <v>1900776.69</v>
      </c>
      <c r="N380" s="94" t="n">
        <v>38558757.57255512</v>
      </c>
      <c r="O380" s="94" t="n">
        <v>26359.8174</v>
      </c>
      <c r="P380" s="94" t="n">
        <v>1943.4075</v>
      </c>
      <c r="Q380" s="92" t="n">
        <v>47439.55</v>
      </c>
      <c r="R380" s="94" t="n">
        <v>302175033.2156</v>
      </c>
      <c r="S380" s="94" t="n">
        <v>999423716.6671</v>
      </c>
      <c r="T380" s="95">
        <f>IF(OR(R380="",R379=""),"",R380-R379)</f>
        <v/>
      </c>
      <c r="U380" s="95">
        <f>IF(OR(S380="",S379=""),"",S380-S379)</f>
        <v/>
      </c>
      <c r="V380" s="95">
        <f>IF(OR(U380="",P380=""),"",U380+P380)</f>
        <v/>
      </c>
      <c r="W380" s="95">
        <f>IF(OR(T380="",O380="",P380=""),"",T380-O380+P380)</f>
        <v/>
      </c>
    </row>
    <row r="381">
      <c r="A381" s="35" t="n">
        <v>46035</v>
      </c>
      <c r="B381" s="92" t="n">
        <v>8434287705.515478</v>
      </c>
      <c r="C381" s="92" t="n">
        <v>139042715.5873497</v>
      </c>
      <c r="D381" s="92" t="n">
        <v>582248001</v>
      </c>
      <c r="E381" s="92" t="n">
        <v>2300107.22</v>
      </c>
      <c r="F381" s="92" t="n">
        <v>64827</v>
      </c>
      <c r="G381" s="92" t="n">
        <v>0</v>
      </c>
      <c r="H381" s="92" t="n">
        <v>45204</v>
      </c>
      <c r="I381" s="92" t="n">
        <v>65354</v>
      </c>
      <c r="J381" s="92" t="n">
        <v>10856.77658164534</v>
      </c>
      <c r="K381" s="92" t="n">
        <v>12108.73</v>
      </c>
      <c r="L381" s="94" t="n">
        <v>92963.94</v>
      </c>
      <c r="M381" s="92" t="n">
        <v>2300107.22</v>
      </c>
      <c r="N381" s="94" t="n">
        <v>38651124.06255512</v>
      </c>
      <c r="O381" s="94" t="n">
        <v>26369.6542</v>
      </c>
      <c r="P381" s="94" t="n">
        <v>2800.1185</v>
      </c>
      <c r="Q381" s="92" t="n">
        <v>67440.85000000001</v>
      </c>
      <c r="R381" s="94" t="n">
        <v>302106061.423</v>
      </c>
      <c r="S381" s="94" t="n">
        <v>999420916.5486</v>
      </c>
      <c r="T381" s="95">
        <f>IF(OR(R381="",R380=""),"",R381-R380)</f>
        <v/>
      </c>
      <c r="U381" s="95">
        <f>IF(OR(S381="",S380=""),"",S381-S380)</f>
        <v/>
      </c>
      <c r="V381" s="95">
        <f>IF(OR(U381="",P381=""),"",U381+P381)</f>
        <v/>
      </c>
      <c r="W381" s="95">
        <f>IF(OR(T381="",O381="",P381=""),"",T381-O381+P381)</f>
        <v/>
      </c>
    </row>
    <row r="382">
      <c r="A382" s="35" t="n">
        <v>46036</v>
      </c>
      <c r="B382" s="92" t="n">
        <v>8228408664.060462</v>
      </c>
      <c r="C382" s="92" t="n">
        <v>160143759.834878</v>
      </c>
      <c r="D382" s="92" t="n">
        <v>707725156</v>
      </c>
      <c r="E382" s="92" t="n">
        <v>2313856.05</v>
      </c>
      <c r="F382" s="92" t="n">
        <v>78121</v>
      </c>
      <c r="G382" s="92" t="n">
        <v>0</v>
      </c>
      <c r="H382" s="92" t="n">
        <v>57386</v>
      </c>
      <c r="I382" s="92" t="n">
        <v>76627</v>
      </c>
      <c r="J382" s="92" t="n">
        <v>10304.37519916794</v>
      </c>
      <c r="K382" s="92" t="n">
        <v>13064.31</v>
      </c>
      <c r="L382" s="94" t="n">
        <v>88651.64</v>
      </c>
      <c r="M382" s="92" t="n">
        <v>2313856.05</v>
      </c>
      <c r="N382" s="94" t="n">
        <v>38741830.29255512</v>
      </c>
      <c r="O382" s="94" t="n">
        <v>26298.3228</v>
      </c>
      <c r="P382" s="94" t="n">
        <v>1022.0645</v>
      </c>
      <c r="Q382" s="92" t="n">
        <v>26298.23</v>
      </c>
      <c r="R382" s="94" t="n">
        <v>302024485.646</v>
      </c>
      <c r="S382" s="94" t="n">
        <v>999419894.484</v>
      </c>
      <c r="T382" s="95">
        <f>IF(OR(R382="",R381=""),"",R382-R381)</f>
        <v/>
      </c>
      <c r="U382" s="95">
        <f>IF(OR(S382="",S381=""),"",S382-S381)</f>
        <v/>
      </c>
      <c r="V382" s="95">
        <f>IF(OR(U382="",P382=""),"",U382+P382)</f>
        <v/>
      </c>
      <c r="W382" s="95">
        <f>IF(OR(T382="",O382="",P382=""),"",T382-O382+P382)</f>
        <v/>
      </c>
    </row>
    <row r="383">
      <c r="A383" s="35" t="n">
        <v>46037</v>
      </c>
      <c r="B383" s="92" t="n">
        <v>6571194099.517436</v>
      </c>
      <c r="C383" s="92" t="n">
        <v>167734310.6938577</v>
      </c>
      <c r="D383" s="92" t="n">
        <v>725515172</v>
      </c>
      <c r="E383" s="92" t="n">
        <v>1862422.03</v>
      </c>
      <c r="F383" s="92" t="n">
        <v>74016</v>
      </c>
      <c r="G383" s="92" t="n">
        <v>0</v>
      </c>
      <c r="H383" s="92" t="n">
        <v>48357</v>
      </c>
      <c r="I383" s="92" t="n">
        <v>67540</v>
      </c>
      <c r="J383" s="92" t="n">
        <v>10035.10816878126</v>
      </c>
      <c r="K383" s="92" t="n">
        <v>18621.99</v>
      </c>
      <c r="L383" s="94" t="n">
        <v>74458.25</v>
      </c>
      <c r="M383" s="92" t="n">
        <v>1862422.03</v>
      </c>
      <c r="N383" s="94" t="n">
        <v>38814233.95255512</v>
      </c>
      <c r="O383" s="94" t="n">
        <v>26149.3286</v>
      </c>
      <c r="P383" s="94" t="n">
        <v>3113.108</v>
      </c>
      <c r="Q383" s="92" t="n">
        <v>80192.11</v>
      </c>
      <c r="R383" s="94" t="n">
        <v>301942436.9912</v>
      </c>
      <c r="S383" s="94" t="n">
        <v>999416781.376</v>
      </c>
      <c r="T383" s="95">
        <f>IF(OR(R383="",R382=""),"",R383-R382)</f>
        <v/>
      </c>
      <c r="U383" s="95">
        <f>IF(OR(S383="",S382=""),"",S383-S382)</f>
        <v/>
      </c>
      <c r="V383" s="95">
        <f>IF(OR(U383="",P383=""),"",U383+P383)</f>
        <v/>
      </c>
      <c r="W383" s="95">
        <f>IF(OR(T383="",O383="",P383=""),"",T383-O383+P383)</f>
        <v/>
      </c>
    </row>
    <row r="384">
      <c r="A384" s="35" t="n">
        <v>46038</v>
      </c>
      <c r="B384" s="92" t="n">
        <v>3677538792.029215</v>
      </c>
      <c r="C384" s="92" t="n">
        <v>149030080.4846283</v>
      </c>
      <c r="D384" s="92" t="n">
        <v>545687520</v>
      </c>
      <c r="E384" s="92" t="n">
        <v>1117452.67</v>
      </c>
      <c r="F384" s="92" t="n">
        <v>68521</v>
      </c>
      <c r="G384" s="92" t="n">
        <v>0</v>
      </c>
      <c r="H384" s="92" t="n">
        <v>27726</v>
      </c>
      <c r="I384" s="92" t="n">
        <v>37561</v>
      </c>
      <c r="J384" s="92" t="n">
        <v>4890.131495158788</v>
      </c>
      <c r="K384" s="92" t="n">
        <v>27261.76</v>
      </c>
      <c r="L384" s="94" t="n">
        <v>44909.63</v>
      </c>
      <c r="M384" s="92" t="n">
        <v>1117452.67</v>
      </c>
      <c r="N384" s="94" t="n">
        <v>38859944.72255512</v>
      </c>
      <c r="O384" s="94" t="n">
        <v>26275.8944</v>
      </c>
      <c r="P384" s="94" t="n">
        <v>3062.658</v>
      </c>
      <c r="Q384" s="92" t="n">
        <v>75970.75999999999</v>
      </c>
      <c r="R384" s="94" t="n">
        <v>301878968.9845</v>
      </c>
      <c r="S384" s="94" t="n">
        <v>999413718.7180001</v>
      </c>
      <c r="T384" s="95">
        <f>IF(OR(R384="",R383=""),"",R384-R383)</f>
        <v/>
      </c>
      <c r="U384" s="95">
        <f>IF(OR(S384="",S383=""),"",S384-S383)</f>
        <v/>
      </c>
      <c r="V384" s="95">
        <f>IF(OR(U384="",P384=""),"",U384+P384)</f>
        <v/>
      </c>
      <c r="W384" s="95">
        <f>IF(OR(T384="",O384="",P384=""),"",T384-O384+P384)</f>
        <v/>
      </c>
    </row>
    <row r="385">
      <c r="A385" s="35" t="n">
        <v>46039</v>
      </c>
      <c r="B385" s="92" t="n">
        <v>1633288245.470768</v>
      </c>
      <c r="C385" s="92" t="n">
        <v>88303655.43680228</v>
      </c>
      <c r="D385" s="92" t="n">
        <v>172284379</v>
      </c>
      <c r="E385" s="92" t="n">
        <v>515585.26</v>
      </c>
      <c r="F385" s="92" t="n">
        <v>39457</v>
      </c>
      <c r="G385" s="92" t="n">
        <v>0</v>
      </c>
      <c r="H385" s="92" t="n">
        <v>20548</v>
      </c>
      <c r="I385" s="92" t="n">
        <v>26219</v>
      </c>
      <c r="J385" s="92" t="n">
        <v>3159.812827700472</v>
      </c>
      <c r="K385" s="92" t="n">
        <v>0</v>
      </c>
      <c r="L385" s="94" t="n">
        <v>20400.66</v>
      </c>
      <c r="M385" s="92" t="n">
        <v>515585.26</v>
      </c>
      <c r="N385" s="94" t="n">
        <v>38879909.61255512</v>
      </c>
      <c r="O385" s="94" t="n">
        <v>26449.2554</v>
      </c>
      <c r="P385" s="94" t="n">
        <v>3640.35</v>
      </c>
      <c r="Q385" s="92" t="n">
        <v>90945.03999999999</v>
      </c>
      <c r="R385" s="94" t="n">
        <v>301841761.5396</v>
      </c>
      <c r="S385" s="94" t="n">
        <v>999410078.368</v>
      </c>
      <c r="T385" s="95">
        <f>IF(OR(R385="",R384=""),"",R385-R384)</f>
        <v/>
      </c>
      <c r="U385" s="95">
        <f>IF(OR(S385="",S384=""),"",S385-S384)</f>
        <v/>
      </c>
      <c r="V385" s="95">
        <f>IF(OR(U385="",P385=""),"",U385+P385)</f>
        <v/>
      </c>
      <c r="W385" s="95">
        <f>IF(OR(T385="",O385="",P385=""),"",T385-O385+P385)</f>
        <v/>
      </c>
    </row>
    <row r="386">
      <c r="A386" s="35" t="n">
        <v>46040</v>
      </c>
      <c r="B386" s="92" t="n">
        <v>2697421164.059767</v>
      </c>
      <c r="C386" s="92" t="n">
        <v>54022505.40544727</v>
      </c>
      <c r="D386" s="92" t="n">
        <v>185217000</v>
      </c>
      <c r="E386" s="92" t="n">
        <v>810327.8100000001</v>
      </c>
      <c r="F386" s="92" t="n">
        <v>32039</v>
      </c>
      <c r="G386" s="92" t="n">
        <v>0</v>
      </c>
      <c r="H386" s="92" t="n">
        <v>21914</v>
      </c>
      <c r="I386" s="92" t="n">
        <v>29239</v>
      </c>
      <c r="J386" s="92" t="n">
        <v>5204.203763989413</v>
      </c>
      <c r="K386" s="92" t="n">
        <v>13669.84</v>
      </c>
      <c r="L386" s="94" t="n">
        <v>32107.65</v>
      </c>
      <c r="M386" s="92" t="n">
        <v>810327.8100000001</v>
      </c>
      <c r="N386" s="94" t="n">
        <v>38931974.93255512</v>
      </c>
      <c r="O386" s="94" t="n">
        <v>26383.4165</v>
      </c>
      <c r="P386" s="94" t="n">
        <v>205.2242</v>
      </c>
      <c r="Q386" s="92" t="n">
        <v>5235.17</v>
      </c>
      <c r="R386" s="94" t="n">
        <v>301833714.2999</v>
      </c>
      <c r="S386" s="94" t="n">
        <v>999409873.1439</v>
      </c>
      <c r="T386" s="95">
        <f>IF(OR(R386="",R385=""),"",R386-R385)</f>
        <v/>
      </c>
      <c r="U386" s="95">
        <f>IF(OR(S386="",S385=""),"",S386-S385)</f>
        <v/>
      </c>
      <c r="V386" s="95">
        <f>IF(OR(U386="",P386=""),"",U386+P386)</f>
        <v/>
      </c>
      <c r="W386" s="95">
        <f>IF(OR(T386="",O386="",P386=""),"",T386-O386+P386)</f>
        <v/>
      </c>
    </row>
    <row r="387">
      <c r="A387" s="35" t="n">
        <v>46041</v>
      </c>
      <c r="B387" s="92" t="n">
        <v>6023898951.271444</v>
      </c>
      <c r="C387" s="92" t="n">
        <v>97497657.8894137</v>
      </c>
      <c r="D387" s="92" t="n">
        <v>427030670</v>
      </c>
      <c r="E387" s="92" t="n">
        <v>1716617.49</v>
      </c>
      <c r="F387" s="92" t="n">
        <v>53119</v>
      </c>
      <c r="G387" s="92" t="n">
        <v>0</v>
      </c>
      <c r="H387" s="92" t="n">
        <v>40687</v>
      </c>
      <c r="I387" s="92" t="n">
        <v>56525</v>
      </c>
      <c r="J387" s="92" t="n">
        <v>21469.4981242083</v>
      </c>
      <c r="K387" s="92" t="n">
        <v>12419.83</v>
      </c>
      <c r="L387" s="94" t="n">
        <v>71932.35000000001</v>
      </c>
      <c r="M387" s="92" t="n">
        <v>1716617.49</v>
      </c>
      <c r="N387" s="94" t="n">
        <v>38984999.26255512</v>
      </c>
      <c r="O387" s="94" t="n">
        <v>26462.1688</v>
      </c>
      <c r="P387" s="94" t="n">
        <v>3042.965</v>
      </c>
      <c r="Q387" s="92" t="n">
        <v>72506.25</v>
      </c>
      <c r="R387" s="94" t="n">
        <v>301790762.5154</v>
      </c>
      <c r="S387" s="94" t="n">
        <v>999406830.1788</v>
      </c>
      <c r="T387" s="95">
        <f>IF(OR(R387="",R386=""),"",R387-R386)</f>
        <v/>
      </c>
      <c r="U387" s="95">
        <f>IF(OR(S387="",S386=""),"",S387-S386)</f>
        <v/>
      </c>
      <c r="V387" s="95">
        <f>IF(OR(U387="",P387=""),"",U387+P387)</f>
        <v/>
      </c>
      <c r="W387" s="95">
        <f>IF(OR(T387="",O387="",P387=""),"",T387-O387+P387)</f>
        <v/>
      </c>
    </row>
    <row r="388">
      <c r="A388" s="35" t="n">
        <v>46042</v>
      </c>
      <c r="B388" s="92" t="n">
        <v>8422157052.617374</v>
      </c>
      <c r="C388" s="92" t="n">
        <v>112878901.8879724</v>
      </c>
      <c r="D388" s="92" t="n">
        <v>761916734</v>
      </c>
      <c r="E388" s="92" t="n">
        <v>2517934.18</v>
      </c>
      <c r="F388" s="92" t="n">
        <v>73100</v>
      </c>
      <c r="G388" s="92" t="n">
        <v>0</v>
      </c>
      <c r="H388" s="92" t="n">
        <v>70546</v>
      </c>
      <c r="I388" s="92" t="n">
        <v>91965</v>
      </c>
      <c r="J388" s="92" t="n">
        <v>18372.72732450072</v>
      </c>
      <c r="K388" s="92" t="n">
        <v>0</v>
      </c>
      <c r="L388" s="94" t="n">
        <v>113308.89</v>
      </c>
      <c r="M388" s="92" t="n">
        <v>2517934.18</v>
      </c>
      <c r="N388" s="94" t="n">
        <v>39098741.18255512</v>
      </c>
      <c r="O388" s="94" t="n">
        <v>26446.4191</v>
      </c>
      <c r="P388" s="94" t="n">
        <v>4560.8335</v>
      </c>
      <c r="Q388" s="92" t="n">
        <v>107204.67</v>
      </c>
      <c r="R388" s="94" t="n">
        <v>301745315.0924</v>
      </c>
      <c r="S388" s="94" t="n">
        <v>999402269.3453</v>
      </c>
      <c r="T388" s="95">
        <f>IF(OR(R388="",R387=""),"",R388-R387)</f>
        <v/>
      </c>
      <c r="U388" s="95">
        <f>IF(OR(S388="",S387=""),"",S388-S387)</f>
        <v/>
      </c>
      <c r="V388" s="95">
        <f>IF(OR(U388="",P388=""),"",U388+P388)</f>
        <v/>
      </c>
      <c r="W388" s="95">
        <f>IF(OR(T388="",O388="",P388=""),"",T388-O388+P388)</f>
        <v/>
      </c>
    </row>
    <row r="389">
      <c r="A389" s="35" t="n">
        <v>46043</v>
      </c>
      <c r="B389" s="92" t="n">
        <v>9010687390.90888</v>
      </c>
      <c r="C389" s="92" t="n">
        <v>234922251.6912456</v>
      </c>
      <c r="D389" s="92" t="n">
        <v>983595173</v>
      </c>
      <c r="E389" s="92" t="n">
        <v>2460042.19</v>
      </c>
      <c r="F389" s="92" t="n">
        <v>105016</v>
      </c>
      <c r="G389" s="92" t="n">
        <v>0</v>
      </c>
      <c r="H389" s="92" t="n">
        <v>53892</v>
      </c>
      <c r="I389" s="92" t="n">
        <v>70936</v>
      </c>
      <c r="J389" s="92" t="n">
        <v>12242.98376322578</v>
      </c>
      <c r="K389" s="92" t="n">
        <v>0</v>
      </c>
      <c r="L389" s="94" t="n">
        <v>115805.51</v>
      </c>
      <c r="M389" s="92" t="n">
        <v>2460042.19</v>
      </c>
      <c r="N389" s="94" t="n">
        <v>39213632.08255512</v>
      </c>
      <c r="O389" s="94" t="n">
        <v>26461.826</v>
      </c>
      <c r="P389" s="94" t="n">
        <v>22480.5803</v>
      </c>
      <c r="Q389" s="92" t="n">
        <v>471979.78</v>
      </c>
      <c r="R389" s="94" t="n">
        <v>301621251.7058</v>
      </c>
      <c r="S389" s="94" t="n">
        <v>999379788.765</v>
      </c>
      <c r="T389" s="95">
        <f>IF(OR(R389="",R388=""),"",R389-R388)</f>
        <v/>
      </c>
      <c r="U389" s="95">
        <f>IF(OR(S389="",S388=""),"",S389-S388)</f>
        <v/>
      </c>
      <c r="V389" s="95">
        <f>IF(OR(U389="",P389=""),"",U389+P389)</f>
        <v/>
      </c>
      <c r="W389" s="95">
        <f>IF(OR(T389="",O389="",P389=""),"",T389-O389+P389)</f>
        <v/>
      </c>
    </row>
    <row r="390">
      <c r="A390" s="35" t="n">
        <v>46044</v>
      </c>
      <c r="B390" s="92" t="n">
        <v>5236112576.006477</v>
      </c>
      <c r="C390" s="92" t="n">
        <v>164557618.1458203</v>
      </c>
      <c r="D390" s="92" t="n">
        <v>923819230</v>
      </c>
      <c r="E390" s="92" t="n">
        <v>1420236.26</v>
      </c>
      <c r="F390" s="92" t="n">
        <v>123623</v>
      </c>
      <c r="G390" s="92" t="n">
        <v>0</v>
      </c>
      <c r="H390" s="92" t="n">
        <v>78243</v>
      </c>
      <c r="I390" s="92" t="n">
        <v>90001</v>
      </c>
      <c r="J390" s="92" t="n">
        <v>4702.83474983464</v>
      </c>
      <c r="K390" s="92" t="n">
        <v>12264.84</v>
      </c>
      <c r="L390" s="94" t="n">
        <v>65939.42</v>
      </c>
      <c r="M390" s="92" t="n">
        <v>1420236.26</v>
      </c>
      <c r="N390" s="94" t="n">
        <v>39279106.22255512</v>
      </c>
      <c r="O390" s="94" t="n">
        <v>26448.6614</v>
      </c>
      <c r="P390" s="94" t="n">
        <v>3372.392</v>
      </c>
      <c r="Q390" s="92" t="n">
        <v>73185.96000000001</v>
      </c>
      <c r="R390" s="94" t="n">
        <v>301515136.7682</v>
      </c>
      <c r="S390" s="94" t="n">
        <v>999376416.373</v>
      </c>
      <c r="T390" s="95">
        <f>IF(OR(R390="",R389=""),"",R390-R389)</f>
        <v/>
      </c>
      <c r="U390" s="95">
        <f>IF(OR(S390="",S389=""),"",S390-S389)</f>
        <v/>
      </c>
      <c r="V390" s="95">
        <f>IF(OR(U390="",P390=""),"",U390+P390)</f>
        <v/>
      </c>
      <c r="W390" s="95">
        <f>IF(OR(T390="",O390="",P390=""),"",T390-O390+P390)</f>
        <v/>
      </c>
    </row>
    <row r="391">
      <c r="A391" s="35" t="n">
        <v>46045</v>
      </c>
      <c r="B391" s="92" t="n">
        <v>6154364124.058084</v>
      </c>
      <c r="C391" s="92" t="n">
        <v>102803098.104709</v>
      </c>
      <c r="D391" s="92" t="n">
        <v>879688067</v>
      </c>
      <c r="E391" s="92" t="n">
        <v>1582594.47</v>
      </c>
      <c r="F391" s="92" t="n">
        <v>90287</v>
      </c>
      <c r="G391" s="92" t="n">
        <v>0</v>
      </c>
      <c r="H391" s="92" t="n">
        <v>178658</v>
      </c>
      <c r="I391" s="92" t="n">
        <v>190413</v>
      </c>
      <c r="J391" s="92" t="n">
        <v>8465.658842631186</v>
      </c>
      <c r="K391" s="92" t="n">
        <v>10900.49</v>
      </c>
      <c r="L391" s="94" t="n">
        <v>71996.77</v>
      </c>
      <c r="M391" s="92" t="n">
        <v>1582594.47</v>
      </c>
      <c r="N391" s="94" t="n">
        <v>39351404.04255512</v>
      </c>
      <c r="O391" s="94" t="n">
        <v>26483.302</v>
      </c>
      <c r="P391" s="94" t="n">
        <v>868.2057</v>
      </c>
      <c r="Q391" s="92" t="n">
        <v>18664.25</v>
      </c>
      <c r="R391" s="94" t="n">
        <v>301460972.3201</v>
      </c>
      <c r="S391" s="94" t="n">
        <v>999375548.1673</v>
      </c>
      <c r="T391" s="95">
        <f>IF(OR(R391="",R390=""),"",R391-R390)</f>
        <v/>
      </c>
      <c r="U391" s="95">
        <f>IF(OR(S391="",S390=""),"",S391-S390)</f>
        <v/>
      </c>
      <c r="V391" s="95">
        <f>IF(OR(U391="",P391=""),"",U391+P391)</f>
        <v/>
      </c>
      <c r="W391" s="95">
        <f>IF(OR(T391="",O391="",P391=""),"",T391-O391+P391)</f>
        <v/>
      </c>
    </row>
    <row r="392">
      <c r="A392" s="35" t="n">
        <v>46046</v>
      </c>
      <c r="B392" s="92" t="n">
        <v>1332681361.967847</v>
      </c>
      <c r="C392" s="92" t="n">
        <v>162099185.9727125</v>
      </c>
      <c r="D392" s="92" t="n">
        <v>196876545</v>
      </c>
      <c r="E392" s="92" t="n">
        <v>423383.14</v>
      </c>
      <c r="F392" s="92" t="n">
        <v>31849</v>
      </c>
      <c r="G392" s="92" t="n">
        <v>0</v>
      </c>
      <c r="H392" s="92" t="n">
        <v>33081</v>
      </c>
      <c r="I392" s="92" t="n">
        <v>44628</v>
      </c>
      <c r="J392" s="92" t="n">
        <v>6982.09060798182</v>
      </c>
      <c r="K392" s="92" t="n">
        <v>0</v>
      </c>
      <c r="L392" s="94" t="n">
        <v>18263.09</v>
      </c>
      <c r="M392" s="92" t="n">
        <v>423383.14</v>
      </c>
      <c r="N392" s="94" t="n">
        <v>39369328.12255512</v>
      </c>
      <c r="O392" s="94" t="n">
        <v>26498.5129</v>
      </c>
      <c r="P392" s="94" t="n">
        <v>3397.8179</v>
      </c>
      <c r="Q392" s="92" t="n">
        <v>76828.06</v>
      </c>
      <c r="R392" s="94" t="n">
        <v>301397487.5768</v>
      </c>
      <c r="S392" s="94" t="n">
        <v>999372150.3493</v>
      </c>
      <c r="T392" s="95">
        <f>IF(OR(R392="",R391=""),"",R392-R391)</f>
        <v/>
      </c>
      <c r="U392" s="95">
        <f>IF(OR(S392="",S391=""),"",S392-S391)</f>
        <v/>
      </c>
      <c r="V392" s="95">
        <f>IF(OR(U392="",P392=""),"",U392+P392)</f>
        <v/>
      </c>
      <c r="W392" s="95">
        <f>IF(OR(T392="",O392="",P392=""),"",T392-O392+P392)</f>
        <v/>
      </c>
    </row>
    <row r="393">
      <c r="A393" s="35" t="n">
        <v>46047</v>
      </c>
      <c r="B393" s="92" t="n">
        <v>5512051848.841095</v>
      </c>
      <c r="C393" s="92" t="n">
        <v>99503990.91410288</v>
      </c>
      <c r="D393" s="92" t="n">
        <v>446889136</v>
      </c>
      <c r="E393" s="92" t="n">
        <v>1354082.47</v>
      </c>
      <c r="F393" s="92" t="n">
        <v>90462</v>
      </c>
      <c r="G393" s="92" t="n">
        <v>0</v>
      </c>
      <c r="H393" s="92" t="n">
        <v>36242</v>
      </c>
      <c r="I393" s="92" t="n">
        <v>47236</v>
      </c>
      <c r="J393" s="92" t="n">
        <v>8127.996258586395</v>
      </c>
      <c r="K393" s="92" t="n">
        <v>11678.41</v>
      </c>
      <c r="L393" s="94" t="n">
        <v>60926.13</v>
      </c>
      <c r="M393" s="92" t="n">
        <v>1354082.47</v>
      </c>
      <c r="N393" s="94" t="n">
        <v>39436651.66255512</v>
      </c>
      <c r="O393" s="94" t="n">
        <v>26486.8658</v>
      </c>
      <c r="P393" s="94" t="n">
        <v>1634.8405</v>
      </c>
      <c r="Q393" s="92" t="n">
        <v>38034.56</v>
      </c>
      <c r="R393" s="94" t="n">
        <v>301390137.802</v>
      </c>
      <c r="S393" s="94" t="n">
        <v>999370515.5089</v>
      </c>
      <c r="T393" s="95">
        <f>IF(OR(R393="",R392=""),"",R393-R392)</f>
        <v/>
      </c>
      <c r="U393" s="95">
        <f>IF(OR(S393="",S392=""),"",S393-S392)</f>
        <v/>
      </c>
      <c r="V393" s="95">
        <f>IF(OR(U393="",P393=""),"",U393+P393)</f>
        <v/>
      </c>
      <c r="W393" s="95">
        <f>IF(OR(T393="",O393="",P393=""),"",T393-O393+P393)</f>
        <v/>
      </c>
    </row>
    <row r="394">
      <c r="A394" s="35" t="n">
        <v>46048</v>
      </c>
      <c r="B394" s="92" t="n">
        <v>5561691775.504004</v>
      </c>
      <c r="C394" s="92" t="n">
        <v>136721878.6989177</v>
      </c>
      <c r="D394" s="92" t="n">
        <v>1712251756</v>
      </c>
      <c r="E394" s="92" t="n">
        <v>1686069.29</v>
      </c>
      <c r="F394" s="92" t="n">
        <v>167818</v>
      </c>
      <c r="G394" s="92" t="n">
        <v>0</v>
      </c>
      <c r="H394" s="92" t="n">
        <v>47489</v>
      </c>
      <c r="I394" s="92" t="n">
        <v>57894</v>
      </c>
      <c r="J394" s="92" t="n">
        <v>14122.5887757327</v>
      </c>
      <c r="K394" s="92" t="n">
        <v>11141.66</v>
      </c>
      <c r="L394" s="94" t="n">
        <v>73480.55</v>
      </c>
      <c r="M394" s="92" t="n">
        <v>1686069.29</v>
      </c>
      <c r="N394" s="94" t="n">
        <v>39504435.71255512</v>
      </c>
      <c r="O394" s="94" t="n">
        <v>26515.2185</v>
      </c>
      <c r="P394" s="94" t="n">
        <v>14016.8459</v>
      </c>
      <c r="Q394" s="92" t="n">
        <v>307753.87</v>
      </c>
      <c r="R394" s="94" t="n">
        <v>301321021.0626</v>
      </c>
      <c r="S394" s="94" t="n">
        <v>999356498.663</v>
      </c>
      <c r="T394" s="95">
        <f>IF(OR(R394="",R393=""),"",R394-R393)</f>
        <v/>
      </c>
      <c r="U394" s="95">
        <f>IF(OR(S394="",S393=""),"",S394-S393)</f>
        <v/>
      </c>
      <c r="V394" s="95">
        <f>IF(OR(U394="",P394=""),"",U394+P394)</f>
        <v/>
      </c>
      <c r="W394" s="95">
        <f>IF(OR(T394="",O394="",P394=""),"",T394-O394+P394)</f>
        <v/>
      </c>
    </row>
    <row r="395">
      <c r="A395" s="35" t="n">
        <v>46049</v>
      </c>
      <c r="B395" s="92" t="n">
        <v>5183899583.506869</v>
      </c>
      <c r="C395" s="92" t="n">
        <v>143906955.4111521</v>
      </c>
      <c r="D395" s="92" t="n">
        <v>1790572989</v>
      </c>
      <c r="E395" s="92" t="n">
        <v>1379697.28</v>
      </c>
      <c r="F395" s="92" t="n">
        <v>157727</v>
      </c>
      <c r="G395" s="92" t="n">
        <v>0</v>
      </c>
      <c r="H395" s="92" t="n">
        <v>98349</v>
      </c>
      <c r="I395" s="92" t="n">
        <v>110490</v>
      </c>
      <c r="J395" s="92" t="n">
        <v>32197.88640983001</v>
      </c>
      <c r="K395" s="92" t="n">
        <v>12662.73</v>
      </c>
      <c r="L395" s="94" t="n">
        <v>49506.09</v>
      </c>
      <c r="M395" s="92" t="n">
        <v>1379697.28</v>
      </c>
      <c r="N395" s="94" t="n">
        <v>39552810.69255512</v>
      </c>
      <c r="O395" s="94" t="n">
        <v>26518.0239</v>
      </c>
      <c r="P395" s="94" t="n">
        <v>6036.8612</v>
      </c>
      <c r="Q395" s="92" t="n">
        <v>151425.61</v>
      </c>
      <c r="R395" s="94" t="n">
        <v>301259433.6546</v>
      </c>
      <c r="S395" s="94" t="n">
        <v>999350461.8018</v>
      </c>
      <c r="T395" s="95">
        <f>IF(OR(R395="",R394=""),"",R395-R394)</f>
        <v/>
      </c>
      <c r="U395" s="95">
        <f>IF(OR(S395="",S394=""),"",S395-S394)</f>
        <v/>
      </c>
      <c r="V395" s="95">
        <f>IF(OR(U395="",P395=""),"",U395+P395)</f>
        <v/>
      </c>
      <c r="W395" s="95">
        <f>IF(OR(T395="",O395="",P395=""),"",T395-O395+P395)</f>
        <v/>
      </c>
    </row>
    <row r="396">
      <c r="A396" s="35" t="n">
        <v>46050</v>
      </c>
      <c r="B396" s="92" t="n">
        <v>7234684634.9205</v>
      </c>
      <c r="C396" s="92" t="n">
        <v>263315442.649428</v>
      </c>
      <c r="D396" s="92" t="n">
        <v>2217417396</v>
      </c>
      <c r="E396" s="92" t="n">
        <v>2162127.39</v>
      </c>
      <c r="F396" s="92" t="n">
        <v>224675</v>
      </c>
      <c r="G396" s="92" t="n">
        <v>0</v>
      </c>
      <c r="H396" s="92" t="n">
        <v>141364</v>
      </c>
      <c r="I396" s="92" t="n">
        <v>158693</v>
      </c>
      <c r="J396" s="92" t="n">
        <v>53865.0501487842</v>
      </c>
      <c r="K396" s="92" t="n">
        <v>18081.49</v>
      </c>
      <c r="L396" s="94" t="n">
        <v>65062</v>
      </c>
      <c r="M396" s="92" t="n">
        <v>2162127.39</v>
      </c>
      <c r="N396" s="94" t="n">
        <v>39621747.41255512</v>
      </c>
      <c r="O396" s="94" t="n">
        <v>26544.181</v>
      </c>
      <c r="P396" s="94" t="n">
        <v>2704.7994</v>
      </c>
      <c r="Q396" s="92" t="n">
        <v>83867.72</v>
      </c>
      <c r="R396" s="94" t="n">
        <v>301220631.0797</v>
      </c>
      <c r="S396" s="94" t="n">
        <v>999347757.0024</v>
      </c>
      <c r="T396" s="95">
        <f>IF(OR(R396="",R395=""),"",R396-R395)</f>
        <v/>
      </c>
      <c r="U396" s="95">
        <f>IF(OR(S396="",S395=""),"",S396-S395)</f>
        <v/>
      </c>
      <c r="V396" s="95">
        <f>IF(OR(U396="",P396=""),"",U396+P396)</f>
        <v/>
      </c>
      <c r="W396" s="95">
        <f>IF(OR(T396="",O396="",P396=""),"",T396-O396+P396)</f>
        <v/>
      </c>
    </row>
    <row r="397">
      <c r="A397" s="35" t="n">
        <v>46051</v>
      </c>
      <c r="B397" s="92" t="n">
        <v>11517582165.16674</v>
      </c>
      <c r="C397" s="92" t="n">
        <v>340689375.4497189</v>
      </c>
      <c r="D397" s="92" t="n">
        <v>3321344474</v>
      </c>
      <c r="E397" s="92" t="n">
        <v>3327618.82</v>
      </c>
      <c r="F397" s="92" t="n">
        <v>333506</v>
      </c>
      <c r="G397" s="92" t="n">
        <v>0</v>
      </c>
      <c r="H397" s="92" t="n">
        <v>140577</v>
      </c>
      <c r="I397" s="92" t="n">
        <v>164983</v>
      </c>
      <c r="J397" s="92" t="n">
        <v>62176.31926300623</v>
      </c>
      <c r="K397" s="92" t="n">
        <v>0</v>
      </c>
      <c r="L397" s="94" t="n">
        <v>101752.49</v>
      </c>
      <c r="M397" s="92" t="n">
        <v>3327618.82</v>
      </c>
      <c r="N397" s="94" t="n">
        <v>39720956.13255512</v>
      </c>
      <c r="O397" s="94" t="n">
        <v>26419.8235</v>
      </c>
      <c r="P397" s="94" t="n">
        <v>4190.0082</v>
      </c>
      <c r="Q397" s="92" t="n">
        <v>141523.81</v>
      </c>
      <c r="R397" s="94" t="n">
        <v>301159674.1239</v>
      </c>
      <c r="S397" s="94" t="n">
        <v>999343566.9942</v>
      </c>
      <c r="T397" s="95">
        <f>IF(OR(R397="",R396=""),"",R397-R396)</f>
        <v/>
      </c>
      <c r="U397" s="95">
        <f>IF(OR(S397="",S396=""),"",S397-S396)</f>
        <v/>
      </c>
      <c r="V397" s="95">
        <f>IF(OR(U397="",P397=""),"",U397+P397)</f>
        <v/>
      </c>
      <c r="W397" s="95">
        <f>IF(OR(T397="",O397="",P397=""),"",T397-O397+P397)</f>
        <v/>
      </c>
    </row>
    <row r="398">
      <c r="A398" s="35" t="n">
        <v>46052</v>
      </c>
      <c r="B398" s="92" t="n">
        <v>10672382253.85594</v>
      </c>
      <c r="C398" s="92" t="n">
        <v>361769400.4809437</v>
      </c>
      <c r="D398" s="92" t="n">
        <v>4832638727</v>
      </c>
      <c r="E398" s="92" t="n">
        <v>3218850.03</v>
      </c>
      <c r="F398" s="92" t="n">
        <v>379619</v>
      </c>
      <c r="G398" s="92" t="n">
        <v>0</v>
      </c>
      <c r="H398" s="92" t="n">
        <v>152715</v>
      </c>
      <c r="I398" s="92" t="n">
        <v>177806</v>
      </c>
      <c r="J398" s="92" t="n">
        <v>47573.96236533747</v>
      </c>
      <c r="K398" s="92" t="n">
        <v>0</v>
      </c>
      <c r="L398" s="94" t="n">
        <v>107902.6</v>
      </c>
      <c r="M398" s="92" t="n">
        <v>3218850.03</v>
      </c>
      <c r="N398" s="94" t="n">
        <v>39827527.78255512</v>
      </c>
      <c r="O398" s="94" t="n">
        <v>26587.3493</v>
      </c>
      <c r="P398" s="94" t="n">
        <v>3337.8629</v>
      </c>
      <c r="Q398" s="92" t="n">
        <v>100302.78</v>
      </c>
      <c r="R398" s="94" t="n">
        <v>301069449.5753</v>
      </c>
      <c r="S398" s="94" t="n">
        <v>999340229.1313</v>
      </c>
      <c r="T398" s="95">
        <f>IF(OR(R398="",R397=""),"",R398-R397)</f>
        <v/>
      </c>
      <c r="U398" s="95">
        <f>IF(OR(S398="",S397=""),"",S398-S397)</f>
        <v/>
      </c>
      <c r="V398" s="95">
        <f>IF(OR(U398="",P398=""),"",U398+P398)</f>
        <v/>
      </c>
      <c r="W398" s="95">
        <f>IF(OR(T398="",O398="",P398=""),"",T398-O398+P398)</f>
        <v/>
      </c>
    </row>
    <row r="399">
      <c r="A399" s="35" t="n">
        <v>46053</v>
      </c>
      <c r="B399" s="92" t="n">
        <v>12694845234.59207</v>
      </c>
      <c r="C399" s="92" t="n">
        <v>396755482.6409406</v>
      </c>
      <c r="D399" s="92" t="n">
        <v>453482411</v>
      </c>
      <c r="E399" s="92" t="n">
        <v>3149151.15</v>
      </c>
      <c r="F399" s="92" t="n">
        <v>57081</v>
      </c>
      <c r="G399" s="92" t="n">
        <v>0</v>
      </c>
      <c r="H399" s="92" t="n">
        <v>134186</v>
      </c>
      <c r="I399" s="92" t="n">
        <v>168742</v>
      </c>
      <c r="J399" s="92" t="n">
        <v>59160.6635866111</v>
      </c>
      <c r="K399" s="92" t="n">
        <v>15438.01</v>
      </c>
      <c r="L399" s="94" t="n">
        <v>108741.69</v>
      </c>
      <c r="M399" s="92" t="n">
        <v>3149151.15</v>
      </c>
      <c r="N399" s="94" t="n">
        <v>39936269.47255512</v>
      </c>
      <c r="O399" s="94" t="n">
        <v>26594.4561</v>
      </c>
      <c r="P399" s="94" t="n">
        <v>2098.4135</v>
      </c>
      <c r="Q399" s="92" t="n">
        <v>65128.46</v>
      </c>
      <c r="R399" s="94" t="n">
        <v>300973138.4338</v>
      </c>
      <c r="S399" s="94" t="n">
        <v>999338130.7178</v>
      </c>
      <c r="T399" s="95">
        <f>IF(OR(R399="",R398=""),"",R399-R398)</f>
        <v/>
      </c>
      <c r="U399" s="95">
        <f>IF(OR(S399="",S398=""),"",S399-S398)</f>
        <v/>
      </c>
      <c r="V399" s="95">
        <f>IF(OR(U399="",P399=""),"",U399+P399)</f>
        <v/>
      </c>
      <c r="W399" s="95">
        <f>IF(OR(T399="",O399="",P399=""),"",T399-O399+P399)</f>
        <v/>
      </c>
    </row>
    <row r="400">
      <c r="A400" s="35" t="n">
        <v>46054</v>
      </c>
      <c r="B400" s="92" t="n">
        <v>7711997575.272915</v>
      </c>
      <c r="C400" s="92" t="n">
        <v>387144390.4941535</v>
      </c>
      <c r="D400" s="92" t="n">
        <v>572206943</v>
      </c>
      <c r="E400" s="92" t="n">
        <v>2372679.2</v>
      </c>
      <c r="F400" s="92" t="n">
        <v>72333</v>
      </c>
      <c r="G400" s="92" t="n">
        <v>0</v>
      </c>
      <c r="H400" s="92" t="n">
        <v>87509</v>
      </c>
      <c r="I400" s="92" t="n">
        <v>103743</v>
      </c>
      <c r="J400" s="92" t="n">
        <v>41555.79686956266</v>
      </c>
      <c r="K400" s="92" t="n">
        <v>0</v>
      </c>
      <c r="L400" s="94" t="n">
        <v>78538.12</v>
      </c>
      <c r="M400" s="92" t="n">
        <v>2372679.2</v>
      </c>
      <c r="N400" s="94" t="n">
        <v>40017749.00255512</v>
      </c>
      <c r="O400" s="94" t="n">
        <v>26605.0098</v>
      </c>
      <c r="P400" s="94" t="n">
        <v>3582.5667</v>
      </c>
      <c r="Q400" s="92" t="n">
        <v>115317.45</v>
      </c>
      <c r="R400" s="94" t="n">
        <v>300873175.306</v>
      </c>
      <c r="S400" s="94" t="n">
        <v>999334548.1511</v>
      </c>
      <c r="T400" s="95">
        <f>IF(OR(R400="",R399=""),"",R400-R399)</f>
        <v/>
      </c>
      <c r="U400" s="95">
        <f>IF(OR(S400="",S399=""),"",S400-S399)</f>
        <v/>
      </c>
      <c r="V400" s="95">
        <f>IF(OR(U400="",P400=""),"",U400+P400)</f>
        <v/>
      </c>
      <c r="W400" s="95">
        <f>IF(OR(T400="",O400="",P400=""),"",T400-O400+P400)</f>
        <v/>
      </c>
    </row>
    <row r="401">
      <c r="A401" s="35" t="n">
        <v>46055</v>
      </c>
      <c r="B401" s="92" t="n">
        <v>8376403350.417887</v>
      </c>
      <c r="C401" s="92" t="n">
        <v>232233125.6505673</v>
      </c>
      <c r="D401" s="92" t="n">
        <v>3497482625</v>
      </c>
      <c r="E401" s="92" t="n">
        <v>2661584.87</v>
      </c>
      <c r="F401" s="92" t="n">
        <v>263736</v>
      </c>
      <c r="G401" s="92" t="n">
        <v>0</v>
      </c>
      <c r="H401" s="92" t="n">
        <v>138368</v>
      </c>
      <c r="I401" s="92" t="n">
        <v>165128</v>
      </c>
      <c r="J401" s="92" t="n">
        <v>61219.4633033833</v>
      </c>
      <c r="K401" s="92" t="n">
        <v>15343.14</v>
      </c>
      <c r="L401" s="94" t="n">
        <v>84867.33</v>
      </c>
      <c r="M401" s="92" t="n">
        <v>2661584.87</v>
      </c>
      <c r="N401" s="94" t="n">
        <v>40100277.24255512</v>
      </c>
      <c r="O401" s="94" t="n">
        <v>26595.9414</v>
      </c>
      <c r="P401" s="94" t="n">
        <v>1593.839</v>
      </c>
      <c r="Q401" s="92" t="n">
        <v>49914.26</v>
      </c>
      <c r="R401" s="94" t="n">
        <v>300802436.2421</v>
      </c>
      <c r="S401" s="94" t="n">
        <v>999332954.3121001</v>
      </c>
      <c r="T401" s="95">
        <f>IF(OR(R401="",R400=""),"",R401-R400)</f>
        <v/>
      </c>
      <c r="U401" s="95">
        <f>IF(OR(S401="",S400=""),"",S401-S400)</f>
        <v/>
      </c>
      <c r="V401" s="95">
        <f>IF(OR(U401="",P401=""),"",U401+P401)</f>
        <v/>
      </c>
      <c r="W401" s="95">
        <f>IF(OR(T401="",O401="",P401=""),"",T401-O401+P401)</f>
        <v/>
      </c>
    </row>
    <row r="402">
      <c r="A402" s="35" t="n">
        <v>46056</v>
      </c>
      <c r="B402" s="92" t="n">
        <v>10418328870.23664</v>
      </c>
      <c r="C402" s="92" t="n">
        <v>350035771.9594435</v>
      </c>
      <c r="D402" s="92" t="n">
        <v>2764670755</v>
      </c>
      <c r="E402" s="92" t="n">
        <v>3033451.62</v>
      </c>
      <c r="F402" s="92" t="n">
        <v>218539</v>
      </c>
      <c r="G402" s="92" t="n">
        <v>0</v>
      </c>
      <c r="H402" s="92" t="n">
        <v>169063</v>
      </c>
      <c r="I402" s="92" t="n">
        <v>193813</v>
      </c>
      <c r="J402" s="92" t="n">
        <v>63062.75230017128</v>
      </c>
      <c r="K402" s="92" t="n">
        <v>0</v>
      </c>
      <c r="L402" s="94" t="n">
        <v>87809.98</v>
      </c>
      <c r="M402" s="92" t="n">
        <v>3033451.62</v>
      </c>
      <c r="N402" s="94" t="n">
        <v>40188408.39255512</v>
      </c>
      <c r="O402" s="94" t="n">
        <v>26582.1282</v>
      </c>
      <c r="P402" s="94" t="n">
        <v>5980.5172</v>
      </c>
      <c r="Q402" s="92" t="n">
        <v>201860.4</v>
      </c>
      <c r="R402" s="94" t="n">
        <v>300726244.3148</v>
      </c>
      <c r="S402" s="94" t="n">
        <v>999326973.7948999</v>
      </c>
      <c r="T402" s="95">
        <f>IF(OR(R402="",R401=""),"",R402-R401)</f>
        <v/>
      </c>
      <c r="U402" s="95">
        <f>IF(OR(S402="",S401=""),"",S402-S401)</f>
        <v/>
      </c>
      <c r="V402" s="95">
        <f>IF(OR(U402="",P402=""),"",U402+P402)</f>
        <v/>
      </c>
      <c r="W402" s="95">
        <f>IF(OR(T402="",O402="",P402=""),"",T402-O402+P402)</f>
        <v/>
      </c>
    </row>
    <row r="403">
      <c r="A403" s="35" t="n">
        <v>46057</v>
      </c>
      <c r="B403" s="92" t="n">
        <v>10176703295.15881</v>
      </c>
      <c r="C403" s="92" t="n">
        <v>453738201.2283666</v>
      </c>
      <c r="D403" s="92" t="n">
        <v>2646761457</v>
      </c>
      <c r="E403" s="92" t="n">
        <v>2965474.28</v>
      </c>
      <c r="F403" s="92" t="n">
        <v>171098</v>
      </c>
      <c r="G403" s="92" t="n">
        <v>0</v>
      </c>
      <c r="H403" s="92" t="n">
        <v>246598</v>
      </c>
      <c r="I403" s="92" t="n">
        <v>291087</v>
      </c>
      <c r="J403" s="92" t="n">
        <v>41142.84807417785</v>
      </c>
      <c r="K403" s="92" t="n">
        <v>17261.92</v>
      </c>
      <c r="L403" s="94" t="n">
        <v>87492.3</v>
      </c>
      <c r="M403" s="92" t="n">
        <v>2965474.28</v>
      </c>
      <c r="N403" s="94" t="n">
        <v>40276755.65255512</v>
      </c>
      <c r="O403" s="94" t="n">
        <v>26560.1302</v>
      </c>
      <c r="P403" s="94" t="n">
        <v>3229.2473</v>
      </c>
      <c r="Q403" s="92" t="n">
        <v>106469.9</v>
      </c>
      <c r="R403" s="94" t="n">
        <v>300647164.2615</v>
      </c>
      <c r="S403" s="94" t="n">
        <v>999323744.5476</v>
      </c>
      <c r="T403" s="95">
        <f>IF(OR(R403="",R402=""),"",R403-R402)</f>
        <v/>
      </c>
      <c r="U403" s="95">
        <f>IF(OR(S403="",S402=""),"",S403-S402)</f>
        <v/>
      </c>
      <c r="V403" s="95">
        <f>IF(OR(U403="",P403=""),"",U403+P403)</f>
        <v/>
      </c>
      <c r="W403" s="95">
        <f>IF(OR(T403="",O403="",P403=""),"",T403-O403+P403)</f>
        <v/>
      </c>
    </row>
    <row r="404">
      <c r="A404" s="35" t="n">
        <v>46058</v>
      </c>
      <c r="B404" s="92" t="n">
        <v>19858446820.11344</v>
      </c>
      <c r="C404" s="92" t="n">
        <v>547974937.8035188</v>
      </c>
      <c r="D404" s="92" t="n">
        <v>5176265508</v>
      </c>
      <c r="E404" s="92" t="n">
        <v>5253972.94</v>
      </c>
      <c r="F404" s="92" t="n">
        <v>216625</v>
      </c>
      <c r="G404" s="92" t="n">
        <v>0</v>
      </c>
      <c r="H404" s="92" t="n">
        <v>199828</v>
      </c>
      <c r="I404" s="92" t="n">
        <v>275345</v>
      </c>
      <c r="J404" s="92" t="n">
        <v>66507.0797556285</v>
      </c>
      <c r="K404" s="92" t="n">
        <v>18103.06</v>
      </c>
      <c r="L404" s="94" t="n">
        <v>160754.65</v>
      </c>
      <c r="M404" s="92" t="n">
        <v>5253972.94</v>
      </c>
      <c r="N404" s="94" t="n">
        <v>40448356.07255512</v>
      </c>
      <c r="O404" s="94" t="n">
        <v>26510.6708</v>
      </c>
      <c r="P404" s="94" t="n">
        <v>1549.8525</v>
      </c>
      <c r="Q404" s="92" t="n">
        <v>54654.77</v>
      </c>
      <c r="R404" s="94" t="n">
        <v>300569502.5447</v>
      </c>
      <c r="S404" s="94" t="n">
        <v>999322194.6950999</v>
      </c>
      <c r="T404" s="95">
        <f>IF(OR(R404="",R403=""),"",R404-R403)</f>
        <v/>
      </c>
      <c r="U404" s="95">
        <f>IF(OR(S404="",S403=""),"",S404-S403)</f>
        <v/>
      </c>
      <c r="V404" s="95">
        <f>IF(OR(U404="",P404=""),"",U404+P404)</f>
        <v/>
      </c>
      <c r="W404" s="95">
        <f>IF(OR(T404="",O404="",P404=""),"",T404-O404+P404)</f>
        <v/>
      </c>
    </row>
    <row r="405">
      <c r="A405" s="35" t="n">
        <v>46059</v>
      </c>
      <c r="B405" s="92" t="n">
        <v>13845938397.38826</v>
      </c>
      <c r="C405" s="92" t="n">
        <v>776033702.4876271</v>
      </c>
      <c r="D405" s="92" t="n">
        <v>3076801015</v>
      </c>
      <c r="E405" s="92" t="n">
        <v>3769215.5</v>
      </c>
      <c r="F405" s="92" t="n">
        <v>172812</v>
      </c>
      <c r="G405" s="92" t="n">
        <v>0</v>
      </c>
      <c r="H405" s="92" t="n">
        <v>156172</v>
      </c>
      <c r="I405" s="92" t="n">
        <v>217386</v>
      </c>
      <c r="J405" s="92" t="n">
        <v>77936.4778885682</v>
      </c>
      <c r="K405" s="92" t="n">
        <v>17003.19</v>
      </c>
      <c r="L405" s="94" t="n">
        <v>112041.27</v>
      </c>
      <c r="M405" s="92" t="n">
        <v>3769215.5</v>
      </c>
      <c r="N405" s="94" t="n">
        <v>40549550.85255512</v>
      </c>
      <c r="O405" s="94" t="n">
        <v>26548.2108</v>
      </c>
      <c r="P405" s="94" t="n">
        <v>3523.7199</v>
      </c>
      <c r="Q405" s="92" t="n">
        <v>115183.36</v>
      </c>
      <c r="R405" s="94" t="n">
        <v>300406623.6521</v>
      </c>
      <c r="S405" s="94" t="n">
        <v>999318670.9752001</v>
      </c>
      <c r="T405" s="95">
        <f>IF(OR(R405="",R404=""),"",R405-R404)</f>
        <v/>
      </c>
      <c r="U405" s="95">
        <f>IF(OR(S405="",S404=""),"",S405-S404)</f>
        <v/>
      </c>
      <c r="V405" s="95">
        <f>IF(OR(U405="",P405=""),"",U405+P405)</f>
        <v/>
      </c>
      <c r="W405" s="95">
        <f>IF(OR(T405="",O405="",P405=""),"",T405-O405+P405)</f>
        <v/>
      </c>
    </row>
    <row r="406">
      <c r="A406" s="35" t="n">
        <v>46060</v>
      </c>
      <c r="B406" s="92" t="n">
        <v>6254220927.542926</v>
      </c>
      <c r="C406" s="92" t="n">
        <v>500547523.0196344</v>
      </c>
      <c r="D406" s="92" t="n">
        <v>154001934</v>
      </c>
      <c r="E406" s="92" t="n">
        <v>1633492.24</v>
      </c>
      <c r="F406" s="92" t="n">
        <v>27405</v>
      </c>
      <c r="G406" s="92" t="n">
        <v>0</v>
      </c>
      <c r="H406" s="92" t="n">
        <v>52536</v>
      </c>
      <c r="I406" s="92" t="n">
        <v>73305</v>
      </c>
      <c r="J406" s="92" t="n">
        <v>32618.66486459848</v>
      </c>
      <c r="K406" s="92" t="n">
        <v>0</v>
      </c>
      <c r="L406" s="94" t="n">
        <v>50422.63</v>
      </c>
      <c r="M406" s="92" t="n">
        <v>1633492.24</v>
      </c>
      <c r="N406" s="94" t="n">
        <v>40599246.33255512</v>
      </c>
      <c r="O406" s="94" t="n">
        <v>26532.9696</v>
      </c>
      <c r="P406" s="94" t="n">
        <v>3341.9098</v>
      </c>
      <c r="Q406" s="92" t="n">
        <v>107485.85</v>
      </c>
      <c r="R406" s="94" t="n">
        <v>300454691.4623</v>
      </c>
      <c r="S406" s="94" t="n">
        <v>999315329.0654</v>
      </c>
      <c r="T406" s="95">
        <f>IF(OR(R406="",R405=""),"",R406-R405)</f>
        <v/>
      </c>
      <c r="U406" s="95">
        <f>IF(OR(S406="",S405=""),"",S406-S405)</f>
        <v/>
      </c>
      <c r="V406" s="95">
        <f>IF(OR(U406="",P406=""),"",U406+P406)</f>
        <v/>
      </c>
      <c r="W406" s="95">
        <f>IF(OR(T406="",O406="",P406=""),"",T406-O406+P406)</f>
        <v/>
      </c>
    </row>
    <row r="407">
      <c r="A407" s="35" t="n">
        <v>46061</v>
      </c>
      <c r="B407" s="92" t="n">
        <v>3628769657.810481</v>
      </c>
      <c r="C407" s="92" t="n">
        <v>212027199.4494058</v>
      </c>
      <c r="D407" s="92" t="n">
        <v>268944614</v>
      </c>
      <c r="E407" s="92" t="n">
        <v>1086013.17</v>
      </c>
      <c r="F407" s="92" t="n">
        <v>44669</v>
      </c>
      <c r="G407" s="92" t="n">
        <v>0</v>
      </c>
      <c r="H407" s="92" t="n">
        <v>34527</v>
      </c>
      <c r="I407" s="92" t="n">
        <v>44772</v>
      </c>
      <c r="J407" s="92" t="n">
        <v>19316.06384805416</v>
      </c>
      <c r="K407" s="92" t="n">
        <v>16303.83</v>
      </c>
      <c r="L407" s="94" t="n">
        <v>34080.59</v>
      </c>
      <c r="M407" s="92" t="n">
        <v>1086013.17</v>
      </c>
      <c r="N407" s="94" t="n">
        <v>40632889.54255512</v>
      </c>
      <c r="O407" s="94" t="n">
        <v>26560.8768</v>
      </c>
      <c r="P407" s="94" t="n">
        <v>360.2197</v>
      </c>
      <c r="Q407" s="92" t="n">
        <v>11253.8</v>
      </c>
      <c r="R407" s="94" t="n">
        <v>300416914.0504</v>
      </c>
      <c r="S407" s="94" t="n">
        <v>999314968.8457</v>
      </c>
      <c r="T407" s="95">
        <f>IF(OR(R407="",R406=""),"",R407-R406)</f>
        <v/>
      </c>
      <c r="U407" s="95">
        <f>IF(OR(S407="",S406=""),"",S407-S406)</f>
        <v/>
      </c>
      <c r="V407" s="95">
        <f>IF(OR(U407="",P407=""),"",U407+P407)</f>
        <v/>
      </c>
      <c r="W407" s="95">
        <f>IF(OR(T407="",O407="",P407=""),"",T407-O407+P407)</f>
        <v/>
      </c>
    </row>
    <row r="408">
      <c r="A408" s="35" t="n">
        <v>46062</v>
      </c>
      <c r="B408" s="92" t="n">
        <v>5335798683.236726</v>
      </c>
      <c r="C408" s="92" t="n">
        <v>125754489.9042546</v>
      </c>
      <c r="D408" s="92" t="n">
        <v>1365961363</v>
      </c>
      <c r="E408" s="92" t="n">
        <v>1554684.95</v>
      </c>
      <c r="F408" s="92" t="n">
        <v>92908</v>
      </c>
      <c r="G408" s="92" t="n">
        <v>0</v>
      </c>
      <c r="H408" s="92" t="n">
        <v>45487</v>
      </c>
      <c r="I408" s="92" t="n">
        <v>59450</v>
      </c>
      <c r="J408" s="92" t="n">
        <v>19013.5566594822</v>
      </c>
      <c r="K408" s="92" t="n">
        <v>57569.43</v>
      </c>
      <c r="L408" s="94" t="n">
        <v>48777.95</v>
      </c>
      <c r="M408" s="92" t="n">
        <v>1554684.95</v>
      </c>
      <c r="N408" s="94" t="n">
        <v>40681692.85255512</v>
      </c>
      <c r="O408" s="94" t="n">
        <v>26556.7694</v>
      </c>
      <c r="P408" s="94" t="n">
        <v>2523.6788</v>
      </c>
      <c r="Q408" s="92" t="n">
        <v>81926.19</v>
      </c>
      <c r="R408" s="94" t="n">
        <v>300393023.8967</v>
      </c>
      <c r="S408" s="94" t="n">
        <v>999312445.1669</v>
      </c>
      <c r="T408" s="95">
        <f>IF(OR(R408="",R407=""),"",R408-R407)</f>
        <v/>
      </c>
      <c r="U408" s="95">
        <f>IF(OR(S408="",S407=""),"",S408-S407)</f>
        <v/>
      </c>
      <c r="V408" s="95">
        <f>IF(OR(U408="",P408=""),"",U408+P408)</f>
        <v/>
      </c>
      <c r="W408" s="95">
        <f>IF(OR(T408="",O408="",P408=""),"",T408-O408+P408)</f>
        <v/>
      </c>
    </row>
    <row r="409">
      <c r="A409" s="35" t="n">
        <v>46063</v>
      </c>
      <c r="B409" s="92" t="n">
        <v>4856517467.371523</v>
      </c>
      <c r="C409" s="92" t="n">
        <v>164593649.8316678</v>
      </c>
      <c r="D409" s="92" t="n">
        <v>1122610274</v>
      </c>
      <c r="E409" s="92" t="n">
        <v>1355611.75</v>
      </c>
      <c r="F409" s="92" t="n">
        <v>68321</v>
      </c>
      <c r="G409" s="92" t="n">
        <v>0</v>
      </c>
      <c r="H409" s="92" t="n">
        <v>48654</v>
      </c>
      <c r="I409" s="92" t="n">
        <v>64530</v>
      </c>
      <c r="J409" s="92" t="n">
        <v>15254.10245373004</v>
      </c>
      <c r="K409" s="92" t="n">
        <v>0</v>
      </c>
      <c r="L409" s="94" t="n">
        <v>45261.62</v>
      </c>
      <c r="M409" s="92" t="n">
        <v>1355611.75</v>
      </c>
      <c r="N409" s="94" t="n">
        <v>40726662.00255512</v>
      </c>
      <c r="O409" s="94" t="n">
        <v>26556.0418</v>
      </c>
      <c r="P409" s="94" t="n">
        <v>3101.5672</v>
      </c>
      <c r="Q409" s="92" t="n">
        <v>96281.95</v>
      </c>
      <c r="R409" s="94" t="n">
        <v>300353386.6019</v>
      </c>
      <c r="S409" s="94" t="n">
        <v>999309343.5997</v>
      </c>
      <c r="T409" s="95">
        <f>IF(OR(R409="",R408=""),"",R409-R408)</f>
        <v/>
      </c>
      <c r="U409" s="95">
        <f>IF(OR(S409="",S408=""),"",S409-S408)</f>
        <v/>
      </c>
      <c r="V409" s="95">
        <f>IF(OR(U409="",P409=""),"",U409+P409)</f>
        <v/>
      </c>
      <c r="W409" s="95">
        <f>IF(OR(T409="",O409="",P409=""),"",T409-O409+P409)</f>
        <v/>
      </c>
    </row>
    <row r="410">
      <c r="A410" s="35" t="n">
        <v>46064</v>
      </c>
      <c r="B410" s="92" t="n">
        <v>6050903590.497311</v>
      </c>
      <c r="C410" s="92" t="n">
        <v>167947518.6931946</v>
      </c>
      <c r="D410" s="92" t="n">
        <v>1385208122</v>
      </c>
      <c r="E410" s="92" t="n">
        <v>1718110.73</v>
      </c>
      <c r="F410" s="92" t="n">
        <v>78852</v>
      </c>
      <c r="G410" s="92" t="n">
        <v>0</v>
      </c>
      <c r="H410" s="92" t="n">
        <v>57516</v>
      </c>
      <c r="I410" s="92" t="n">
        <v>74916</v>
      </c>
      <c r="J410" s="92" t="n">
        <v>15193.78369267067</v>
      </c>
      <c r="K410" s="92" t="n">
        <v>0</v>
      </c>
      <c r="L410" s="94" t="n">
        <v>59026.79</v>
      </c>
      <c r="M410" s="92" t="n">
        <v>1718110.73</v>
      </c>
      <c r="N410" s="94" t="n">
        <v>40785342.70255512</v>
      </c>
      <c r="O410" s="94" t="n">
        <v>26553.4689</v>
      </c>
      <c r="P410" s="94" t="n">
        <v>1030.2548</v>
      </c>
      <c r="Q410" s="92" t="n">
        <v>29950.54</v>
      </c>
      <c r="R410" s="94" t="n">
        <v>300319659.8984</v>
      </c>
      <c r="S410" s="94" t="n">
        <v>999308313.3449</v>
      </c>
      <c r="T410" s="95">
        <f>IF(OR(R410="",R409=""),"",R410-R409)</f>
        <v/>
      </c>
      <c r="U410" s="95">
        <f>IF(OR(S410="",S409=""),"",S410-S409)</f>
        <v/>
      </c>
      <c r="V410" s="95">
        <f>IF(OR(U410="",P410=""),"",U410+P410)</f>
        <v/>
      </c>
      <c r="W410" s="95">
        <f>IF(OR(T410="",O410="",P410=""),"",T410-O410+P410)</f>
        <v/>
      </c>
    </row>
    <row r="411">
      <c r="A411" s="35" t="n">
        <v>46065</v>
      </c>
      <c r="B411" s="92" t="n">
        <v>4969823442.18542</v>
      </c>
      <c r="C411" s="92" t="n">
        <v>175609725.2320867</v>
      </c>
      <c r="D411" s="92" t="n">
        <v>1815646192</v>
      </c>
      <c r="E411" s="92" t="n">
        <v>1356448.79</v>
      </c>
      <c r="F411" s="92" t="n">
        <v>85115</v>
      </c>
      <c r="G411" s="92" t="n">
        <v>0</v>
      </c>
      <c r="H411" s="92" t="n">
        <v>45473</v>
      </c>
      <c r="I411" s="92" t="n">
        <v>57119</v>
      </c>
      <c r="J411" s="92" t="n">
        <v>15409.7918693184</v>
      </c>
      <c r="K411" s="92" t="n">
        <v>0</v>
      </c>
      <c r="L411" s="94" t="n">
        <v>44632.74</v>
      </c>
      <c r="M411" s="92" t="n">
        <v>1356448.79</v>
      </c>
      <c r="N411" s="94" t="n">
        <v>40833357.37255512</v>
      </c>
      <c r="O411" s="94" t="n">
        <v>26549.6824</v>
      </c>
      <c r="P411" s="94" t="n">
        <v>1199.9727</v>
      </c>
      <c r="Q411" s="92" t="n">
        <v>35665.59</v>
      </c>
      <c r="R411" s="94" t="n">
        <v>300272043.7802</v>
      </c>
      <c r="S411" s="94" t="n">
        <v>999307113.3721</v>
      </c>
      <c r="T411" s="95">
        <f>IF(OR(R411="",R410=""),"",R411-R410)</f>
        <v/>
      </c>
      <c r="U411" s="95">
        <f>IF(OR(S411="",S410=""),"",S411-S410)</f>
        <v/>
      </c>
      <c r="V411" s="95">
        <f>IF(OR(U411="",P411=""),"",U411+P411)</f>
        <v/>
      </c>
      <c r="W411" s="95">
        <f>IF(OR(T411="",O411="",P411=""),"",T411-O411+P411)</f>
        <v/>
      </c>
    </row>
    <row r="412">
      <c r="A412" s="35" t="n">
        <v>46066</v>
      </c>
      <c r="B412" s="92" t="n">
        <v>4189091606.564209</v>
      </c>
      <c r="C412" s="92" t="n">
        <v>150158667.0753709</v>
      </c>
      <c r="D412" s="92" t="n">
        <v>1463905927</v>
      </c>
      <c r="E412" s="92" t="n">
        <v>1281749.07</v>
      </c>
      <c r="F412" s="92" t="n">
        <v>69237</v>
      </c>
      <c r="G412" s="92" t="n">
        <v>0</v>
      </c>
      <c r="H412" s="92" t="n">
        <v>38899</v>
      </c>
      <c r="I412" s="92" t="n">
        <v>51109</v>
      </c>
      <c r="J412" s="92" t="n">
        <v>16118.89265635431</v>
      </c>
      <c r="K412" s="92" t="n">
        <v>0</v>
      </c>
      <c r="L412" s="94" t="n">
        <v>41194.1</v>
      </c>
      <c r="M412" s="92" t="n">
        <v>1281749.07</v>
      </c>
      <c r="N412" s="94" t="n">
        <v>40871803.47255512</v>
      </c>
      <c r="O412" s="94" t="n">
        <v>26553.7658</v>
      </c>
      <c r="P412" s="94" t="n">
        <v>1215.4388</v>
      </c>
      <c r="Q412" s="92" t="n">
        <v>37425.18</v>
      </c>
      <c r="R412" s="94" t="n">
        <v>300235086.3203</v>
      </c>
      <c r="S412" s="94" t="n">
        <v>999305897.9334</v>
      </c>
      <c r="T412" s="95">
        <f>IF(OR(R412="",R411=""),"",R412-R411)</f>
        <v/>
      </c>
      <c r="U412" s="95">
        <f>IF(OR(S412="",S411=""),"",S412-S411)</f>
        <v/>
      </c>
      <c r="V412" s="95">
        <f>IF(OR(U412="",P412=""),"",U412+P412)</f>
        <v/>
      </c>
      <c r="W412" s="95">
        <f>IF(OR(T412="",O412="",P412=""),"",T412-O412+P412)</f>
        <v/>
      </c>
    </row>
    <row r="413">
      <c r="A413" s="35" t="n">
        <v>46067</v>
      </c>
      <c r="B413" s="92" t="n">
        <v>2567982404.868279</v>
      </c>
      <c r="C413" s="92" t="n">
        <v>122657003.7733092</v>
      </c>
      <c r="D413" s="92" t="n">
        <v>111040475</v>
      </c>
      <c r="E413" s="92" t="n">
        <v>747336.21</v>
      </c>
      <c r="F413" s="92" t="n">
        <v>13404</v>
      </c>
      <c r="G413" s="92" t="n">
        <v>0</v>
      </c>
      <c r="H413" s="92" t="n">
        <v>21045</v>
      </c>
      <c r="I413" s="92" t="n">
        <v>26581</v>
      </c>
      <c r="J413" s="92" t="n">
        <v>10306.41086253439</v>
      </c>
      <c r="K413" s="92" t="n">
        <v>0</v>
      </c>
      <c r="L413" s="94" t="n">
        <v>23679.76</v>
      </c>
      <c r="M413" s="92" t="n">
        <v>747336.21</v>
      </c>
      <c r="N413" s="94" t="n">
        <v>40895558.22255512</v>
      </c>
      <c r="O413" s="94" t="n">
        <v>26554.7756</v>
      </c>
      <c r="P413" s="94" t="n">
        <v>888.9465</v>
      </c>
      <c r="Q413" s="92" t="n">
        <v>28030.26</v>
      </c>
      <c r="R413" s="94" t="n">
        <v>300207990.9245</v>
      </c>
      <c r="S413" s="94" t="n">
        <v>999305008.9868</v>
      </c>
      <c r="T413" s="95">
        <f>IF(OR(R413="",R412=""),"",R413-R412)</f>
        <v/>
      </c>
      <c r="U413" s="95">
        <f>IF(OR(S413="",S412=""),"",S413-S412)</f>
        <v/>
      </c>
      <c r="V413" s="95">
        <f>IF(OR(U413="",P413=""),"",U413+P413)</f>
        <v/>
      </c>
      <c r="W413" s="95">
        <f>IF(OR(T413="",O413="",P413=""),"",T413-O413+P413)</f>
        <v/>
      </c>
    </row>
    <row r="414">
      <c r="A414" s="35" t="n">
        <v>46068</v>
      </c>
      <c r="B414" s="92" t="n">
        <v>3385161912.65744</v>
      </c>
      <c r="C414" s="92" t="n">
        <v>61531042.31230836</v>
      </c>
      <c r="D414" s="92" t="n">
        <v>261058231</v>
      </c>
      <c r="E414" s="92" t="n">
        <v>977878.9</v>
      </c>
      <c r="F414" s="92" t="n">
        <v>26345</v>
      </c>
      <c r="G414" s="92" t="n">
        <v>0</v>
      </c>
      <c r="H414" s="92" t="n">
        <v>21614</v>
      </c>
      <c r="I414" s="92" t="n">
        <v>28320</v>
      </c>
      <c r="J414" s="92" t="n">
        <v>11030.80301393154</v>
      </c>
      <c r="K414" s="92" t="n">
        <v>20665.87</v>
      </c>
      <c r="L414" s="94" t="n">
        <v>31482</v>
      </c>
      <c r="M414" s="92" t="n">
        <v>977878.9</v>
      </c>
      <c r="N414" s="94" t="n">
        <v>40926983.47255512</v>
      </c>
      <c r="O414" s="94" t="n">
        <v>26531.3212</v>
      </c>
      <c r="P414" s="94" t="n">
        <v>194.0083</v>
      </c>
      <c r="Q414" s="92" t="n">
        <v>6156.27</v>
      </c>
      <c r="R414" s="94" t="n">
        <v>300196276.8365</v>
      </c>
      <c r="S414" s="94" t="n">
        <v>999304814.9786</v>
      </c>
      <c r="T414" s="95">
        <f>IF(OR(R414="",R413=""),"",R414-R413)</f>
        <v/>
      </c>
      <c r="U414" s="95">
        <f>IF(OR(S414="",S413=""),"",S414-S413)</f>
        <v/>
      </c>
      <c r="V414" s="95">
        <f>IF(OR(U414="",P414=""),"",U414+P414)</f>
        <v/>
      </c>
      <c r="W414" s="95">
        <f>IF(OR(T414="",O414="",P414=""),"",T414-O414+P414)</f>
        <v/>
      </c>
    </row>
    <row r="415">
      <c r="A415" s="35" t="n">
        <v>46069</v>
      </c>
      <c r="B415" s="92" t="n">
        <v>3240015682.452693</v>
      </c>
      <c r="C415" s="92" t="n">
        <v>69538789.29223815</v>
      </c>
      <c r="D415" s="92" t="n">
        <v>440684404</v>
      </c>
      <c r="E415" s="92" t="n">
        <v>853035.8</v>
      </c>
      <c r="F415" s="92" t="n">
        <v>35378</v>
      </c>
      <c r="G415" s="92" t="n">
        <v>0</v>
      </c>
      <c r="H415" s="92" t="n">
        <v>24203</v>
      </c>
      <c r="I415" s="92" t="n">
        <v>32589</v>
      </c>
      <c r="J415" s="92" t="n">
        <v>8111.151967248759</v>
      </c>
      <c r="K415" s="92" t="n">
        <v>0</v>
      </c>
      <c r="L415" s="94" t="n">
        <v>28342.14</v>
      </c>
      <c r="M415" s="92" t="n">
        <v>853035.8</v>
      </c>
      <c r="N415" s="94" t="n">
        <v>40954673.44255512</v>
      </c>
      <c r="O415" s="94" t="n">
        <v>26531.7321</v>
      </c>
      <c r="P415" s="94" t="n">
        <v>1310.5528</v>
      </c>
      <c r="Q415" s="92" t="n">
        <v>40190.07</v>
      </c>
      <c r="R415" s="94" t="n">
        <v>300175771.6211</v>
      </c>
      <c r="S415" s="94" t="n">
        <v>999303504.4258</v>
      </c>
      <c r="T415" s="95">
        <f>IF(OR(R415="",R414=""),"",R415-R414)</f>
        <v/>
      </c>
      <c r="U415" s="95">
        <f>IF(OR(S415="",S414=""),"",S415-S414)</f>
        <v/>
      </c>
      <c r="V415" s="95">
        <f>IF(OR(U415="",P415=""),"",U415+P415)</f>
        <v/>
      </c>
      <c r="W415" s="95">
        <f>IF(OR(T415="",O415="",P415=""),"",T415-O415+P415)</f>
        <v/>
      </c>
    </row>
    <row r="416">
      <c r="A416" s="35" t="n">
        <v>46070</v>
      </c>
      <c r="B416" s="92" t="n">
        <v>4218389687.008978</v>
      </c>
      <c r="C416" s="92" t="n">
        <v>79147425.93783803</v>
      </c>
      <c r="D416" s="92" t="n">
        <v>1351983967</v>
      </c>
      <c r="E416" s="92" t="n">
        <v>1341596.32</v>
      </c>
      <c r="F416" s="92" t="n">
        <v>78376</v>
      </c>
      <c r="G416" s="92" t="n">
        <v>0</v>
      </c>
      <c r="H416" s="92" t="n">
        <v>31978</v>
      </c>
      <c r="I416" s="92" t="n">
        <v>41760</v>
      </c>
      <c r="J416" s="92" t="n">
        <v>7662.966195508263</v>
      </c>
      <c r="K416" s="92" t="n">
        <v>0</v>
      </c>
      <c r="L416" s="94" t="n">
        <v>44826.66</v>
      </c>
      <c r="M416" s="92" t="n">
        <v>1341596.32</v>
      </c>
      <c r="N416" s="94" t="n">
        <v>41000108.94255512</v>
      </c>
      <c r="O416" s="94" t="n">
        <v>26528.882</v>
      </c>
      <c r="P416" s="94" t="n">
        <v>248.4681</v>
      </c>
      <c r="Q416" s="92" t="n">
        <v>7760.16</v>
      </c>
      <c r="R416" s="94" t="n">
        <v>300160078.1793</v>
      </c>
      <c r="S416" s="94" t="n">
        <v>999303255.9577</v>
      </c>
      <c r="T416" s="95">
        <f>IF(OR(R416="",R415=""),"",R416-R415)</f>
        <v/>
      </c>
      <c r="U416" s="95">
        <f>IF(OR(S416="",S415=""),"",S416-S415)</f>
        <v/>
      </c>
      <c r="V416" s="95">
        <f>IF(OR(U416="",P416=""),"",U416+P416)</f>
        <v/>
      </c>
      <c r="W416" s="95">
        <f>IF(OR(T416="",O416="",P416=""),"",T416-O416+P416)</f>
        <v/>
      </c>
    </row>
    <row r="417">
      <c r="A417" s="35" t="n">
        <v>46071</v>
      </c>
      <c r="B417" s="92" t="n">
        <v>3953264766.057182</v>
      </c>
      <c r="C417" s="92" t="n">
        <v>99307509.31900755</v>
      </c>
      <c r="D417" s="92" t="n">
        <v>870609221</v>
      </c>
      <c r="E417" s="92" t="n">
        <v>1175345.66</v>
      </c>
      <c r="F417" s="92" t="n">
        <v>65773</v>
      </c>
      <c r="G417" s="92" t="n">
        <v>0</v>
      </c>
      <c r="H417" s="92" t="n">
        <v>29790</v>
      </c>
      <c r="I417" s="92" t="n">
        <v>38248</v>
      </c>
      <c r="J417" s="92" t="n">
        <v>7320.733752542559</v>
      </c>
      <c r="K417" s="92" t="n">
        <v>0</v>
      </c>
      <c r="L417" s="94" t="n">
        <v>40585.19</v>
      </c>
      <c r="M417" s="92" t="n">
        <v>1175345.66</v>
      </c>
      <c r="N417" s="94" t="n">
        <v>41040714.81255512</v>
      </c>
      <c r="O417" s="94" t="n">
        <v>26542.9805</v>
      </c>
      <c r="P417" s="94" t="n">
        <v>812.8348999999999</v>
      </c>
      <c r="Q417" s="92" t="n">
        <v>23840.04</v>
      </c>
      <c r="R417" s="94" t="n">
        <v>300126073.9639</v>
      </c>
      <c r="S417" s="94" t="n">
        <v>999302443.1227</v>
      </c>
      <c r="T417" s="95">
        <f>IF(OR(R417="",R416=""),"",R417-R416)</f>
        <v/>
      </c>
      <c r="U417" s="95">
        <f>IF(OR(S417="",S416=""),"",S417-S416)</f>
        <v/>
      </c>
      <c r="V417" s="95">
        <f>IF(OR(U417="",P417=""),"",U417+P417)</f>
        <v/>
      </c>
      <c r="W417" s="95">
        <f>IF(OR(T417="",O417="",P417=""),"",T417-O417+P417)</f>
        <v/>
      </c>
    </row>
    <row r="418">
      <c r="A418" s="35" t="n">
        <v>46072</v>
      </c>
      <c r="B418" s="92" t="n">
        <v>3394927924.220173</v>
      </c>
      <c r="C418" s="92" t="n">
        <v>92836600.12722105</v>
      </c>
      <c r="D418" s="92" t="n">
        <v>1019252814</v>
      </c>
      <c r="E418" s="92" t="n">
        <v>1031950.35</v>
      </c>
      <c r="F418" s="92" t="n">
        <v>68608</v>
      </c>
      <c r="G418" s="92" t="n">
        <v>0</v>
      </c>
      <c r="H418" s="92" t="n">
        <v>32343</v>
      </c>
      <c r="I418" s="92" t="n">
        <v>43158</v>
      </c>
      <c r="J418" s="92" t="n">
        <v>7404.647963659209</v>
      </c>
      <c r="K418" s="92" t="n">
        <v>0</v>
      </c>
      <c r="L418" s="94" t="n">
        <v>36230.94</v>
      </c>
      <c r="M418" s="92" t="n">
        <v>1031950.35</v>
      </c>
      <c r="N418" s="94" t="n">
        <v>41076661.15255512</v>
      </c>
      <c r="O418" s="94" t="n">
        <v>26479.5633</v>
      </c>
      <c r="P418" s="94" t="n">
        <v>1034.9876</v>
      </c>
      <c r="Q418" s="92" t="n">
        <v>29335.69</v>
      </c>
      <c r="R418" s="94" t="n">
        <v>300096607.1573</v>
      </c>
      <c r="S418" s="94" t="n">
        <v>999301408.1352</v>
      </c>
      <c r="T418" s="95">
        <f>IF(OR(R418="",R417=""),"",R418-R417)</f>
        <v/>
      </c>
      <c r="U418" s="95">
        <f>IF(OR(S418="",S417=""),"",S418-S417)</f>
        <v/>
      </c>
      <c r="V418" s="95">
        <f>IF(OR(U418="",P418=""),"",U418+P418)</f>
        <v/>
      </c>
      <c r="W418" s="95">
        <f>IF(OR(T418="",O418="",P418=""),"",T418-O418+P418)</f>
        <v/>
      </c>
    </row>
    <row r="419">
      <c r="A419" s="35" t="n">
        <v>46073</v>
      </c>
      <c r="B419" s="92" t="n">
        <v>4543617994.469979</v>
      </c>
      <c r="C419" s="92" t="n">
        <v>94568234.07836556</v>
      </c>
      <c r="D419" s="92" t="n">
        <v>1601645273</v>
      </c>
      <c r="E419" s="92" t="n">
        <v>1339275.29</v>
      </c>
      <c r="F419" s="92" t="n">
        <v>99315</v>
      </c>
      <c r="G419" s="92" t="n">
        <v>0</v>
      </c>
      <c r="H419" s="92" t="n">
        <v>35356</v>
      </c>
      <c r="I419" s="92" t="n">
        <v>43689</v>
      </c>
      <c r="J419" s="92" t="n">
        <v>8324.810073459781</v>
      </c>
      <c r="K419" s="92" t="n">
        <v>0</v>
      </c>
      <c r="L419" s="94" t="n">
        <v>45326.62</v>
      </c>
      <c r="M419" s="92" t="n">
        <v>1339275.29</v>
      </c>
      <c r="N419" s="94" t="n">
        <v>41121642.85255512</v>
      </c>
      <c r="O419" s="94" t="n">
        <v>26501.8341</v>
      </c>
      <c r="P419" s="94" t="n">
        <v>752.1996</v>
      </c>
      <c r="Q419" s="92" t="n">
        <v>21994.69</v>
      </c>
      <c r="R419" s="94" t="n">
        <v>300072082.7191</v>
      </c>
      <c r="S419" s="94" t="n">
        <v>999300655.9356</v>
      </c>
      <c r="T419" s="95">
        <f>IF(OR(R419="",R418=""),"",R419-R418)</f>
        <v/>
      </c>
      <c r="U419" s="95">
        <f>IF(OR(S419="",S418=""),"",S419-S418)</f>
        <v/>
      </c>
      <c r="V419" s="95">
        <f>IF(OR(U419="",P419=""),"",U419+P419)</f>
        <v/>
      </c>
      <c r="W419" s="95">
        <f>IF(OR(T419="",O419="",P419=""),"",T419-O419+P419)</f>
        <v/>
      </c>
    </row>
    <row r="420">
      <c r="A420" s="35" t="n">
        <v>46074</v>
      </c>
      <c r="B420" s="92" t="n">
        <v>1529253377.804544</v>
      </c>
      <c r="C420" s="92" t="n">
        <v>102243088.2558497</v>
      </c>
      <c r="D420" s="92" t="n">
        <v>212474514</v>
      </c>
      <c r="E420" s="92" t="n">
        <v>491477.95</v>
      </c>
      <c r="F420" s="92" t="n">
        <v>31552</v>
      </c>
      <c r="G420" s="92" t="n">
        <v>0</v>
      </c>
      <c r="H420" s="92" t="n">
        <v>16539</v>
      </c>
      <c r="I420" s="92" t="n">
        <v>21946</v>
      </c>
      <c r="J420" s="92" t="n">
        <v>3073.85166042161</v>
      </c>
      <c r="K420" s="92" t="n">
        <v>0</v>
      </c>
      <c r="L420" s="94" t="n">
        <v>16358.16</v>
      </c>
      <c r="M420" s="92" t="n">
        <v>491477.95</v>
      </c>
      <c r="N420" s="94" t="n">
        <v>41139013.93255512</v>
      </c>
      <c r="O420" s="94" t="n">
        <v>26487.1078</v>
      </c>
      <c r="P420" s="94" t="n">
        <v>384.7817</v>
      </c>
      <c r="Q420" s="92" t="n">
        <v>11682.55</v>
      </c>
      <c r="R420" s="94" t="n">
        <v>300038876.2002</v>
      </c>
      <c r="S420" s="94" t="n">
        <v>999300271.1539</v>
      </c>
      <c r="T420" s="95">
        <f>IF(OR(R420="",R419=""),"",R420-R419)</f>
        <v/>
      </c>
      <c r="U420" s="95">
        <f>IF(OR(S420="",S419=""),"",S420-S419)</f>
        <v/>
      </c>
      <c r="V420" s="95">
        <f>IF(OR(U420="",P420=""),"",U420+P420)</f>
        <v/>
      </c>
      <c r="W420" s="95">
        <f>IF(OR(T420="",O420="",P420=""),"",T420-O420+P420)</f>
        <v/>
      </c>
    </row>
    <row r="421">
      <c r="A421" s="35" t="n">
        <v>46075</v>
      </c>
      <c r="B421" s="92" t="n">
        <v>1565459841.58386</v>
      </c>
      <c r="C421" s="92" t="n">
        <v>43137204.32301202</v>
      </c>
      <c r="D421" s="92" t="n">
        <v>339005979</v>
      </c>
      <c r="E421" s="92" t="n">
        <v>506060.04</v>
      </c>
      <c r="F421" s="92" t="n">
        <v>45393</v>
      </c>
      <c r="G421" s="92" t="n">
        <v>0</v>
      </c>
      <c r="H421" s="92" t="n">
        <v>18858</v>
      </c>
      <c r="I421" s="92" t="n">
        <v>24651</v>
      </c>
      <c r="J421" s="92" t="n">
        <v>2430.548840088878</v>
      </c>
      <c r="K421" s="92" t="n">
        <v>0</v>
      </c>
      <c r="L421" s="94" t="n">
        <v>17276.29</v>
      </c>
      <c r="M421" s="92" t="n">
        <v>506060.04</v>
      </c>
      <c r="N421" s="94" t="n">
        <v>41155757.23255512</v>
      </c>
      <c r="O421" s="94" t="n">
        <v>26482.0784</v>
      </c>
      <c r="P421" s="94" t="n">
        <v>130.4432</v>
      </c>
      <c r="Q421" s="92" t="n">
        <v>3869.92</v>
      </c>
      <c r="R421" s="94" t="n">
        <v>300033530.9534</v>
      </c>
      <c r="S421" s="94" t="n">
        <v>999300140.7107</v>
      </c>
      <c r="T421" s="95">
        <f>IF(OR(R421="",R420=""),"",R421-R420)</f>
        <v/>
      </c>
      <c r="U421" s="95">
        <f>IF(OR(S421="",S420=""),"",S421-S420)</f>
        <v/>
      </c>
      <c r="V421" s="95">
        <f>IF(OR(U421="",P421=""),"",U421+P421)</f>
        <v/>
      </c>
      <c r="W421" s="95">
        <f>IF(OR(T421="",O421="",P421=""),"",T421-O421+P421)</f>
        <v/>
      </c>
    </row>
    <row r="422">
      <c r="A422" s="35" t="n">
        <v>46076</v>
      </c>
      <c r="B422" s="92" t="n">
        <v>5445651039.588127</v>
      </c>
      <c r="C422" s="92" t="n">
        <v>48044153.39350587</v>
      </c>
      <c r="D422" s="92" t="n">
        <v>1332197351</v>
      </c>
      <c r="E422" s="92" t="n">
        <v>1728909.29</v>
      </c>
      <c r="F422" s="92" t="n">
        <v>98132</v>
      </c>
      <c r="G422" s="92" t="n">
        <v>0</v>
      </c>
      <c r="H422" s="92" t="n">
        <v>56747</v>
      </c>
      <c r="I422" s="92" t="n">
        <v>74281</v>
      </c>
      <c r="J422" s="92" t="n">
        <v>26950.55076667941</v>
      </c>
      <c r="K422" s="92" t="n">
        <v>14484.15</v>
      </c>
      <c r="L422" s="94" t="n">
        <v>63679.71</v>
      </c>
      <c r="M422" s="92" t="n">
        <v>1728909.29</v>
      </c>
      <c r="N422" s="94" t="n">
        <v>41218957.01255512</v>
      </c>
      <c r="O422" s="94" t="n">
        <v>26485.1915</v>
      </c>
      <c r="P422" s="94" t="n">
        <v>607.4312</v>
      </c>
      <c r="Q422" s="92" t="n">
        <v>17498.88</v>
      </c>
      <c r="R422" s="94" t="n">
        <v>300028335.5945</v>
      </c>
      <c r="S422" s="94" t="n">
        <v>999299533.2795</v>
      </c>
      <c r="T422" s="95">
        <f>IF(OR(R422="",R421=""),"",R422-R421)</f>
        <v/>
      </c>
      <c r="U422" s="95">
        <f>IF(OR(S422="",S421=""),"",S422-S421)</f>
        <v/>
      </c>
      <c r="V422" s="95">
        <f>IF(OR(U422="",P422=""),"",U422+P422)</f>
        <v/>
      </c>
      <c r="W422" s="95">
        <f>IF(OR(T422="",O422="",P422=""),"",T422-O422+P422)</f>
        <v/>
      </c>
    </row>
    <row r="423">
      <c r="A423" s="35" t="n">
        <v>46077</v>
      </c>
      <c r="B423" s="92" t="n">
        <v>4885948487.189704</v>
      </c>
      <c r="C423" s="92" t="n">
        <v>180534362.4078595</v>
      </c>
      <c r="D423" s="92" t="n">
        <v>1546025613</v>
      </c>
      <c r="E423" s="92" t="n">
        <v>1524885.95</v>
      </c>
      <c r="F423" s="92" t="n">
        <v>93806</v>
      </c>
      <c r="G423" s="92" t="n">
        <v>0</v>
      </c>
      <c r="H423" s="92" t="n">
        <v>38833</v>
      </c>
      <c r="I423" s="92" t="n">
        <v>56014</v>
      </c>
      <c r="J423" s="92" t="n">
        <v>8364.22371656235</v>
      </c>
      <c r="K423" s="92" t="n">
        <v>0</v>
      </c>
      <c r="L423" s="94" t="n">
        <v>57394.04</v>
      </c>
      <c r="M423" s="92" t="n">
        <v>1524885.95</v>
      </c>
      <c r="N423" s="94" t="n">
        <v>41276918.64255512</v>
      </c>
      <c r="O423" s="94" t="n">
        <v>26481.1904</v>
      </c>
      <c r="P423" s="94" t="n">
        <v>1147.6151</v>
      </c>
      <c r="Q423" s="92" t="n">
        <v>30364.75</v>
      </c>
      <c r="R423" s="94" t="n">
        <v>299976135.0744</v>
      </c>
      <c r="S423" s="94" t="n">
        <v>999298385.6644</v>
      </c>
      <c r="T423" s="95">
        <f>IF(OR(R423="",R422=""),"",R423-R422)</f>
        <v/>
      </c>
      <c r="U423" s="95">
        <f>IF(OR(S423="",S422=""),"",S423-S422)</f>
        <v/>
      </c>
      <c r="V423" s="95">
        <f>IF(OR(U423="",P423=""),"",U423+P423)</f>
        <v/>
      </c>
      <c r="W423" s="95">
        <f>IF(OR(T423="",O423="",P423=""),"",T423-O423+P423)</f>
        <v/>
      </c>
    </row>
    <row r="424">
      <c r="A424" s="35" t="n">
        <v>46078</v>
      </c>
      <c r="B424" s="92" t="n">
        <v>6793605832.277603</v>
      </c>
      <c r="C424" s="92" t="n">
        <v>132338251.4473771</v>
      </c>
      <c r="D424" s="92" t="n">
        <v>1941630139</v>
      </c>
      <c r="E424" s="92" t="n">
        <v>2068588.58</v>
      </c>
      <c r="F424" s="92" t="n">
        <v>112481</v>
      </c>
      <c r="G424" s="92" t="n">
        <v>0</v>
      </c>
      <c r="H424" s="92" t="n">
        <v>45209</v>
      </c>
      <c r="I424" s="92" t="n">
        <v>63522</v>
      </c>
      <c r="J424" s="92" t="n">
        <v>10130.15959359432</v>
      </c>
      <c r="K424" s="92" t="n">
        <v>13599.66</v>
      </c>
      <c r="L424" s="94" t="n">
        <v>73876</v>
      </c>
      <c r="M424" s="92" t="n">
        <v>2068588.58</v>
      </c>
      <c r="N424" s="94" t="n">
        <v>41351763.56255512</v>
      </c>
      <c r="O424" s="94" t="n">
        <v>26474.0927</v>
      </c>
      <c r="P424" s="94" t="n">
        <v>295.225</v>
      </c>
      <c r="Q424" s="92" t="n">
        <v>8046.8</v>
      </c>
      <c r="R424" s="94" t="n">
        <v>299930019.1292</v>
      </c>
      <c r="S424" s="94" t="n">
        <v>999298090.4394</v>
      </c>
      <c r="T424" s="95">
        <f>IF(OR(R424="",R423=""),"",R424-R423)</f>
        <v/>
      </c>
      <c r="U424" s="95">
        <f>IF(OR(S424="",S423=""),"",S424-S423)</f>
        <v/>
      </c>
      <c r="V424" s="95">
        <f>IF(OR(U424="",P424=""),"",U424+P424)</f>
        <v/>
      </c>
      <c r="W424" s="95">
        <f>IF(OR(T424="",O424="",P424=""),"",T424-O424+P424)</f>
        <v/>
      </c>
    </row>
    <row r="425">
      <c r="A425" s="35" t="n">
        <v>46079</v>
      </c>
      <c r="B425" s="92" t="n">
        <v>4577596407.702198</v>
      </c>
      <c r="C425" s="92" t="n">
        <v>183375789.9497478</v>
      </c>
      <c r="D425" s="92" t="n">
        <v>1710116033</v>
      </c>
      <c r="E425" s="92" t="n">
        <v>1384956.11</v>
      </c>
      <c r="F425" s="92" t="n">
        <v>97006</v>
      </c>
      <c r="G425" s="92" t="n">
        <v>0</v>
      </c>
      <c r="H425" s="92" t="n">
        <v>33766</v>
      </c>
      <c r="I425" s="92" t="n">
        <v>43110</v>
      </c>
      <c r="J425" s="92" t="n">
        <v>12597.55184442779</v>
      </c>
      <c r="K425" s="92" t="n">
        <v>0</v>
      </c>
      <c r="L425" s="94" t="n">
        <v>48734.85</v>
      </c>
      <c r="M425" s="92" t="n">
        <v>1384956.11</v>
      </c>
      <c r="N425" s="94" t="n">
        <v>41399624.50255512</v>
      </c>
      <c r="O425" s="94" t="n">
        <v>26479.4029</v>
      </c>
      <c r="P425" s="94" t="n">
        <v>1540.2927</v>
      </c>
      <c r="Q425" s="92" t="n">
        <v>43366.94</v>
      </c>
      <c r="R425" s="94" t="n">
        <v>299865788.12</v>
      </c>
      <c r="S425" s="94" t="n">
        <v>999296550.1467</v>
      </c>
      <c r="T425" s="95">
        <f>IF(OR(R425="",R424=""),"",R425-R424)</f>
        <v/>
      </c>
      <c r="U425" s="95">
        <f>IF(OR(S425="",S424=""),"",S425-S424)</f>
        <v/>
      </c>
      <c r="V425" s="95">
        <f>IF(OR(U425="",P425=""),"",U425+P425)</f>
        <v/>
      </c>
      <c r="W425" s="95">
        <f>IF(OR(T425="",O425="",P425=""),"",T425-O425+P425)</f>
        <v/>
      </c>
    </row>
    <row r="426">
      <c r="A426" s="35" t="n">
        <v>46080</v>
      </c>
      <c r="B426" s="92" t="n">
        <v>4093472433.997845</v>
      </c>
      <c r="C426" s="92" t="n">
        <v>105931308.5572196</v>
      </c>
      <c r="D426" s="92" t="n">
        <v>1488138246</v>
      </c>
      <c r="E426" s="92" t="n">
        <v>1241030.22</v>
      </c>
      <c r="F426" s="92" t="n">
        <v>112685</v>
      </c>
      <c r="G426" s="92" t="n">
        <v>0</v>
      </c>
      <c r="H426" s="92" t="n">
        <v>41532</v>
      </c>
      <c r="I426" s="92" t="n">
        <v>52593</v>
      </c>
      <c r="J426" s="92" t="n">
        <v>10600.93229495406</v>
      </c>
      <c r="K426" s="92" t="n">
        <v>0</v>
      </c>
      <c r="L426" s="94" t="n">
        <v>43891.24</v>
      </c>
      <c r="M426" s="92" t="n">
        <v>1241030.22</v>
      </c>
      <c r="N426" s="94" t="n">
        <v>41442853.14255512</v>
      </c>
      <c r="O426" s="94" t="n">
        <v>26477.5351</v>
      </c>
      <c r="P426" s="94" t="n">
        <v>942.6275000000001</v>
      </c>
      <c r="Q426" s="92" t="n">
        <v>26518.47</v>
      </c>
      <c r="R426" s="94" t="n">
        <v>299829140.2874</v>
      </c>
      <c r="S426" s="94" t="n">
        <v>999295607.5192</v>
      </c>
      <c r="T426" s="95">
        <f>IF(OR(R426="",R425=""),"",R426-R425)</f>
        <v/>
      </c>
      <c r="U426" s="95">
        <f>IF(OR(S426="",S425=""),"",S426-S425)</f>
        <v/>
      </c>
      <c r="V426" s="95">
        <f>IF(OR(U426="",P426=""),"",U426+P426)</f>
        <v/>
      </c>
      <c r="W426" s="95">
        <f>IF(OR(T426="",O426="",P426=""),"",T426-O426+P426)</f>
        <v/>
      </c>
    </row>
    <row r="427">
      <c r="A427" s="35" t="n">
        <v>46081</v>
      </c>
      <c r="B427" s="92" t="n">
        <v>5813852206.821278</v>
      </c>
      <c r="C427" s="92" t="n">
        <v>122529432.6806771</v>
      </c>
      <c r="D427" s="92" t="n">
        <v>803029432</v>
      </c>
      <c r="E427" s="92" t="n">
        <v>1816154.84</v>
      </c>
      <c r="F427" s="92" t="n">
        <v>136651</v>
      </c>
      <c r="G427" s="92" t="n">
        <v>0</v>
      </c>
      <c r="H427" s="92" t="n">
        <v>62751</v>
      </c>
      <c r="I427" s="92" t="n">
        <v>80534</v>
      </c>
      <c r="J427" s="92" t="n">
        <v>16631.4832218985</v>
      </c>
      <c r="K427" s="92" t="n">
        <v>0</v>
      </c>
      <c r="L427" s="94" t="n">
        <v>64310.67</v>
      </c>
      <c r="M427" s="92" t="n">
        <v>1816154.84</v>
      </c>
      <c r="N427" s="94" t="n">
        <v>41510423.48255512</v>
      </c>
      <c r="O427" s="94" t="n">
        <v>26484.8512</v>
      </c>
      <c r="P427" s="94" t="n">
        <v>944.5691</v>
      </c>
      <c r="Q427" s="92" t="n">
        <v>25847.19</v>
      </c>
      <c r="R427" s="94" t="n">
        <v>299797152.8106</v>
      </c>
      <c r="S427" s="94" t="n">
        <v>999294662.9500999</v>
      </c>
      <c r="T427" s="95">
        <f>IF(OR(R427="",R426=""),"",R427-R426)</f>
        <v/>
      </c>
      <c r="U427" s="95">
        <f>IF(OR(S427="",S426=""),"",S427-S426)</f>
        <v/>
      </c>
      <c r="V427" s="95">
        <f>IF(OR(U427="",P427=""),"",U427+P427)</f>
        <v/>
      </c>
      <c r="W427" s="95">
        <f>IF(OR(T427="",O427="",P427=""),"",T427-O427+P427)</f>
        <v/>
      </c>
    </row>
    <row r="428">
      <c r="A428" s="35" t="n">
        <v>46082</v>
      </c>
      <c r="B428" s="92" t="n">
        <v>4562569398.598157</v>
      </c>
      <c r="C428" s="92" t="n">
        <v>181318711.1609584</v>
      </c>
      <c r="D428" s="92" t="n">
        <v>678617837</v>
      </c>
      <c r="E428" s="92" t="n">
        <v>1523583.7</v>
      </c>
      <c r="F428" s="92" t="n">
        <v>95551</v>
      </c>
      <c r="G428" s="92" t="n">
        <v>0</v>
      </c>
      <c r="H428" s="92" t="n">
        <v>47317</v>
      </c>
      <c r="I428" s="92" t="n">
        <v>65418</v>
      </c>
      <c r="J428" s="92" t="n">
        <v>22563.90426013438</v>
      </c>
      <c r="K428" s="92" t="n">
        <v>0</v>
      </c>
      <c r="L428" s="94" t="n">
        <v>48978.8</v>
      </c>
      <c r="M428" s="92" t="n">
        <v>1523583.7</v>
      </c>
      <c r="N428" s="94" t="n">
        <v>41556617.11255512</v>
      </c>
      <c r="O428" s="94" t="n">
        <v>26501.2141</v>
      </c>
      <c r="P428" s="94" t="n">
        <v>1317.0529</v>
      </c>
      <c r="Q428" s="92" t="n">
        <v>40679.81</v>
      </c>
      <c r="R428" s="94" t="n">
        <v>299740449.2713</v>
      </c>
      <c r="S428" s="94" t="n">
        <v>999293345.8972</v>
      </c>
      <c r="T428" s="95">
        <f>IF(OR(R428="",R427=""),"",R428-R427)</f>
        <v/>
      </c>
      <c r="U428" s="95">
        <f>IF(OR(S428="",S427=""),"",S428-S427)</f>
        <v/>
      </c>
      <c r="V428" s="95">
        <f>IF(OR(U428="",P428=""),"",U428+P428)</f>
        <v/>
      </c>
      <c r="W428" s="95">
        <f>IF(OR(T428="",O428="",P428=""),"",T428-O428+P428)</f>
        <v/>
      </c>
    </row>
    <row r="429">
      <c r="A429" s="35" t="n">
        <v>46083</v>
      </c>
      <c r="B429" s="92" t="n">
        <v>6232167814.296595</v>
      </c>
      <c r="C429" s="92" t="n">
        <v>155673348.13754</v>
      </c>
      <c r="D429" s="92" t="n">
        <v>2613061360</v>
      </c>
      <c r="E429" s="92" t="n">
        <v>1947703.99</v>
      </c>
      <c r="F429" s="92" t="n">
        <v>172898</v>
      </c>
      <c r="G429" s="92" t="n">
        <v>0</v>
      </c>
      <c r="H429" s="92" t="n">
        <v>67367</v>
      </c>
      <c r="I429" s="92" t="n">
        <v>83228</v>
      </c>
      <c r="J429" s="92" t="n">
        <v>21404.02469278491</v>
      </c>
      <c r="K429" s="92" t="n">
        <v>0</v>
      </c>
      <c r="L429" s="94" t="n">
        <v>60737.14</v>
      </c>
      <c r="M429" s="92" t="n">
        <v>1947703.99</v>
      </c>
      <c r="N429" s="94" t="n">
        <v>41617798.21255512</v>
      </c>
      <c r="O429" s="94" t="n">
        <v>26486.9061</v>
      </c>
      <c r="P429" s="94" t="n">
        <v>452.1227</v>
      </c>
      <c r="Q429" s="92" t="n">
        <v>14729.25</v>
      </c>
      <c r="R429" s="94" t="n">
        <v>299705975.6761</v>
      </c>
      <c r="S429" s="94" t="n">
        <v>999292893.7745</v>
      </c>
      <c r="T429" s="95">
        <f>IF(OR(R429="",R428=""),"",R429-R428)</f>
        <v/>
      </c>
      <c r="U429" s="95">
        <f>IF(OR(S429="",S428=""),"",S429-S428)</f>
        <v/>
      </c>
      <c r="V429" s="95">
        <f>IF(OR(U429="",P429=""),"",U429+P429)</f>
        <v/>
      </c>
      <c r="W429" s="95">
        <f>IF(OR(T429="",O429="",P429=""),"",T429-O429+P429)</f>
        <v/>
      </c>
    </row>
    <row r="430">
      <c r="A430" s="35" t="n">
        <v>46084</v>
      </c>
      <c r="B430" s="92" t="n">
        <v>6206429312.823861</v>
      </c>
      <c r="C430" s="92" t="n">
        <v>190929155.9220417</v>
      </c>
      <c r="D430" s="92" t="n">
        <v>3920561923</v>
      </c>
      <c r="E430" s="92" t="n">
        <v>1953548.3</v>
      </c>
      <c r="F430" s="92" t="n">
        <v>244427</v>
      </c>
      <c r="G430" s="92" t="n">
        <v>0</v>
      </c>
      <c r="H430" s="92" t="n">
        <v>54133</v>
      </c>
      <c r="I430" s="92" t="n">
        <v>69875</v>
      </c>
      <c r="J430" s="92" t="n">
        <v>17606.68084190243</v>
      </c>
      <c r="K430" s="92" t="n">
        <v>0</v>
      </c>
      <c r="L430" s="94" t="n">
        <v>61086.15</v>
      </c>
      <c r="M430" s="92" t="n">
        <v>1953548.3</v>
      </c>
      <c r="N430" s="94" t="n">
        <v>41678676.45255512</v>
      </c>
      <c r="O430" s="94" t="n">
        <v>26494.6815</v>
      </c>
      <c r="P430" s="94" t="n">
        <v>1275.1256</v>
      </c>
      <c r="Q430" s="92" t="n">
        <v>41264.34</v>
      </c>
      <c r="R430" s="94" t="n">
        <v>299655698.449</v>
      </c>
      <c r="S430" s="94" t="n">
        <v>999291618.6489</v>
      </c>
      <c r="T430" s="95">
        <f>IF(OR(R430="",R429=""),"",R430-R429)</f>
        <v/>
      </c>
      <c r="U430" s="95">
        <f>IF(OR(S430="",S429=""),"",S430-S429)</f>
        <v/>
      </c>
      <c r="V430" s="95">
        <f>IF(OR(U430="",P430=""),"",U430+P430)</f>
        <v/>
      </c>
      <c r="W430" s="95">
        <f>IF(OR(T430="",O430="",P430=""),"",T430-O430+P430)</f>
        <v/>
      </c>
    </row>
    <row r="431">
      <c r="A431" s="35" t="n">
        <v>46085</v>
      </c>
      <c r="B431" s="92" t="n">
        <v>7725337061.111838</v>
      </c>
      <c r="C431" s="92" t="n">
        <v>173677275.3822729</v>
      </c>
      <c r="D431" s="92" t="n">
        <v>2633171701</v>
      </c>
      <c r="E431" s="92" t="n">
        <v>2329772.04</v>
      </c>
      <c r="F431" s="92" t="n">
        <v>143151</v>
      </c>
      <c r="G431" s="92" t="n">
        <v>0</v>
      </c>
      <c r="H431" s="92" t="n">
        <v>77670</v>
      </c>
      <c r="I431" s="92" t="n">
        <v>113394</v>
      </c>
      <c r="J431" s="92" t="n">
        <v>15481.6770500763</v>
      </c>
      <c r="K431" s="92" t="n">
        <v>0</v>
      </c>
      <c r="L431" s="94" t="n">
        <v>72184.46000000001</v>
      </c>
      <c r="M431" s="92" t="n">
        <v>2329772.04</v>
      </c>
      <c r="N431" s="94" t="n">
        <v>41752866.62255512</v>
      </c>
      <c r="O431" s="94" t="n">
        <v>26499.3397</v>
      </c>
      <c r="P431" s="94" t="n">
        <v>1026.5822</v>
      </c>
      <c r="Q431" s="92" t="n">
        <v>32267.53</v>
      </c>
      <c r="R431" s="94" t="n">
        <v>299605975.8915</v>
      </c>
      <c r="S431" s="94" t="n">
        <v>999290592.0668</v>
      </c>
      <c r="T431" s="95">
        <f>IF(OR(R431="",R430=""),"",R431-R430)</f>
        <v/>
      </c>
      <c r="U431" s="95">
        <f>IF(OR(S431="",S430=""),"",S431-S430)</f>
        <v/>
      </c>
      <c r="V431" s="95">
        <f>IF(OR(U431="",P431=""),"",U431+P431)</f>
        <v/>
      </c>
      <c r="W431" s="95">
        <f>IF(OR(T431="",O431="",P431=""),"",T431-O431+P431)</f>
        <v/>
      </c>
    </row>
    <row r="432">
      <c r="A432" s="35" t="n">
        <v>46086</v>
      </c>
      <c r="B432" s="92" t="n">
        <v>5198267884.762289</v>
      </c>
      <c r="C432" s="92" t="n">
        <v>241897815.0816816</v>
      </c>
      <c r="D432" s="92" t="n">
        <v>2311825079</v>
      </c>
      <c r="E432" s="92" t="n">
        <v>1685907.84</v>
      </c>
      <c r="F432" s="92" t="n">
        <v>129849</v>
      </c>
      <c r="G432" s="92" t="n">
        <v>0</v>
      </c>
      <c r="H432" s="92" t="n">
        <v>44998</v>
      </c>
      <c r="I432" s="92" t="n">
        <v>58371</v>
      </c>
      <c r="J432" s="92" t="n">
        <v>8859.187003504519</v>
      </c>
      <c r="K432" s="92" t="n">
        <v>16152.93</v>
      </c>
      <c r="L432" s="94" t="n">
        <v>53765.04</v>
      </c>
      <c r="M432" s="92" t="n">
        <v>1685907.84</v>
      </c>
      <c r="N432" s="94" t="n">
        <v>41804260.86255512</v>
      </c>
      <c r="O432" s="94" t="n">
        <v>26504.5709</v>
      </c>
      <c r="P432" s="94" t="n">
        <v>1153.7756</v>
      </c>
      <c r="Q432" s="92" t="n">
        <v>37014.27</v>
      </c>
      <c r="R432" s="94" t="n">
        <v>299542817.8725</v>
      </c>
      <c r="S432" s="94" t="n">
        <v>999289438.2912</v>
      </c>
      <c r="T432" s="95">
        <f>IF(OR(R432="",R431=""),"",R432-R431)</f>
        <v/>
      </c>
      <c r="U432" s="95">
        <f>IF(OR(S432="",S431=""),"",S432-S431)</f>
        <v/>
      </c>
      <c r="V432" s="95">
        <f>IF(OR(U432="",P432=""),"",U432+P432)</f>
        <v/>
      </c>
      <c r="W432" s="95">
        <f>IF(OR(T432="",O432="",P432=""),"",T432-O432+P432)</f>
        <v/>
      </c>
    </row>
    <row r="433">
      <c r="A433" s="35" t="n">
        <v>46087</v>
      </c>
      <c r="B433" s="92" t="n">
        <v>5726175319.797177</v>
      </c>
      <c r="C433" s="92" t="n">
        <v>155121640.5515064</v>
      </c>
      <c r="D433" s="92" t="n">
        <v>2362857166</v>
      </c>
      <c r="E433" s="92" t="n">
        <v>1835993.67</v>
      </c>
      <c r="F433" s="92" t="n">
        <v>142097</v>
      </c>
      <c r="G433" s="92" t="n">
        <v>0</v>
      </c>
      <c r="H433" s="92" t="n">
        <v>49166</v>
      </c>
      <c r="I433" s="92" t="n">
        <v>68818</v>
      </c>
      <c r="J433" s="92" t="n">
        <v>8731.701377270916</v>
      </c>
      <c r="K433" s="92" t="n">
        <v>0</v>
      </c>
      <c r="L433" s="94" t="n">
        <v>60658.81</v>
      </c>
      <c r="M433" s="92" t="n">
        <v>1835993.67</v>
      </c>
      <c r="N433" s="94" t="n">
        <v>41865293.19255512</v>
      </c>
      <c r="O433" s="94" t="n">
        <v>26356.9344</v>
      </c>
      <c r="P433" s="94" t="n">
        <v>1343.8283</v>
      </c>
      <c r="Q433" s="92" t="n">
        <v>41045.22</v>
      </c>
      <c r="R433" s="94" t="n">
        <v>299502149.3171</v>
      </c>
      <c r="S433" s="94" t="n">
        <v>999288094.4629</v>
      </c>
      <c r="T433" s="95">
        <f>IF(OR(R433="",R432=""),"",R433-R432)</f>
        <v/>
      </c>
      <c r="U433" s="95">
        <f>IF(OR(S433="",S432=""),"",S433-S432)</f>
        <v/>
      </c>
      <c r="V433" s="95">
        <f>IF(OR(U433="",P433=""),"",U433+P433)</f>
        <v/>
      </c>
      <c r="W433" s="95">
        <f>IF(OR(T433="",O433="",P433=""),"",T433-O433+P433)</f>
        <v/>
      </c>
    </row>
    <row r="434">
      <c r="A434" s="35" t="n">
        <v>46088</v>
      </c>
      <c r="B434" s="92" t="n">
        <v>2487110160.545983</v>
      </c>
      <c r="C434" s="92" t="n">
        <v>152919913.357963</v>
      </c>
      <c r="D434" s="92" t="n">
        <v>441532014</v>
      </c>
      <c r="E434" s="92" t="n">
        <v>714837.63</v>
      </c>
      <c r="F434" s="92" t="n">
        <v>51734</v>
      </c>
      <c r="G434" s="92" t="n">
        <v>0</v>
      </c>
      <c r="H434" s="92" t="n">
        <v>25966</v>
      </c>
      <c r="I434" s="92" t="n">
        <v>32483</v>
      </c>
      <c r="J434" s="92" t="n">
        <v>5127.511987042103</v>
      </c>
      <c r="K434" s="92" t="n">
        <v>0</v>
      </c>
      <c r="L434" s="94" t="n">
        <v>23407.54</v>
      </c>
      <c r="M434" s="92" t="n">
        <v>714837.63</v>
      </c>
      <c r="N434" s="94" t="n">
        <v>41889416.39255512</v>
      </c>
      <c r="O434" s="94" t="n">
        <v>26487.1971</v>
      </c>
      <c r="P434" s="94" t="n">
        <v>340.9178</v>
      </c>
      <c r="Q434" s="92" t="n">
        <v>10542.88</v>
      </c>
      <c r="R434" s="94" t="n">
        <v>299452936.4758</v>
      </c>
      <c r="S434" s="94" t="n">
        <v>999287753.5452</v>
      </c>
      <c r="T434" s="95">
        <f>IF(OR(R434="",R433=""),"",R434-R433)</f>
        <v/>
      </c>
      <c r="U434" s="95">
        <f>IF(OR(S434="",S433=""),"",S434-S433)</f>
        <v/>
      </c>
      <c r="V434" s="95">
        <f>IF(OR(U434="",P434=""),"",U434+P434)</f>
        <v/>
      </c>
      <c r="W434" s="95">
        <f>IF(OR(T434="",O434="",P434=""),"",T434-O434+P434)</f>
        <v/>
      </c>
    </row>
    <row r="435">
      <c r="A435" s="35" t="n">
        <v>46089</v>
      </c>
      <c r="B435" s="92" t="n">
        <v>3768067429.352449</v>
      </c>
      <c r="C435" s="92" t="n">
        <v>85139487.8723619</v>
      </c>
      <c r="D435" s="92" t="n">
        <v>880743817</v>
      </c>
      <c r="E435" s="92" t="n">
        <v>1172058.74</v>
      </c>
      <c r="F435" s="92" t="n">
        <v>83858</v>
      </c>
      <c r="G435" s="92" t="n">
        <v>0</v>
      </c>
      <c r="H435" s="92" t="n">
        <v>29097</v>
      </c>
      <c r="I435" s="92" t="n">
        <v>38422</v>
      </c>
      <c r="J435" s="92" t="n">
        <v>6250.33854180976</v>
      </c>
      <c r="K435" s="92" t="n">
        <v>0</v>
      </c>
      <c r="L435" s="94" t="n">
        <v>38591.87</v>
      </c>
      <c r="M435" s="92" t="n">
        <v>1172058.74</v>
      </c>
      <c r="N435" s="94" t="n">
        <v>41927546.43255512</v>
      </c>
      <c r="O435" s="94" t="n">
        <v>26503.372</v>
      </c>
      <c r="P435" s="94" t="n">
        <v>231.1789</v>
      </c>
      <c r="Q435" s="92" t="n">
        <v>6966.58</v>
      </c>
      <c r="R435" s="94" t="n">
        <v>299613986.9461</v>
      </c>
      <c r="S435" s="94" t="n">
        <v>999287522.3663</v>
      </c>
      <c r="T435" s="95">
        <f>IF(OR(R435="",R434=""),"",R435-R434)</f>
        <v/>
      </c>
      <c r="U435" s="95">
        <f>IF(OR(S435="",S434=""),"",S435-S434)</f>
        <v/>
      </c>
      <c r="V435" s="95">
        <f>IF(OR(U435="",P435=""),"",U435+P435)</f>
        <v/>
      </c>
      <c r="W435" s="95">
        <f>IF(OR(T435="",O435="",P435=""),"",T435-O435+P435)</f>
        <v/>
      </c>
    </row>
    <row r="436">
      <c r="A436" s="35" t="n">
        <v>46090</v>
      </c>
      <c r="B436" s="92" t="n">
        <v>6179133871.353393</v>
      </c>
      <c r="C436" s="92" t="n">
        <v>99156016.74448563</v>
      </c>
      <c r="D436" s="92" t="n">
        <v>4095930269</v>
      </c>
      <c r="E436" s="92" t="n">
        <v>1937249.57</v>
      </c>
      <c r="F436" s="92" t="n">
        <v>244859</v>
      </c>
      <c r="G436" s="92" t="n">
        <v>0</v>
      </c>
      <c r="H436" s="92" t="n">
        <v>74733</v>
      </c>
      <c r="I436" s="92" t="n">
        <v>97117</v>
      </c>
      <c r="J436" s="92" t="n">
        <v>25955.27629612908</v>
      </c>
      <c r="K436" s="92" t="n">
        <v>0</v>
      </c>
      <c r="L436" s="94" t="n">
        <v>59871.67</v>
      </c>
      <c r="M436" s="92" t="n">
        <v>1937249.57</v>
      </c>
      <c r="N436" s="94" t="n">
        <v>41987626.60255512</v>
      </c>
      <c r="O436" s="94" t="n">
        <v>26508.149</v>
      </c>
      <c r="P436" s="94" t="n">
        <v>697.6186</v>
      </c>
      <c r="Q436" s="92" t="n">
        <v>21603.85</v>
      </c>
      <c r="R436" s="94" t="n">
        <v>299587352.3021</v>
      </c>
      <c r="S436" s="94" t="n">
        <v>999286824.7477</v>
      </c>
      <c r="T436" s="95">
        <f>IF(OR(R436="",R435=""),"",R436-R435)</f>
        <v/>
      </c>
      <c r="U436" s="95">
        <f>IF(OR(S436="",S435=""),"",S436-S435)</f>
        <v/>
      </c>
      <c r="V436" s="95">
        <f>IF(OR(U436="",P436=""),"",U436+P436)</f>
        <v/>
      </c>
      <c r="W436" s="95">
        <f>IF(OR(T436="",O436="",P436=""),"",T436-O436+P436)</f>
        <v/>
      </c>
    </row>
    <row r="437">
      <c r="A437" s="35" t="n">
        <v>46091</v>
      </c>
      <c r="B437" s="92" t="n">
        <v>5351407094.128197</v>
      </c>
      <c r="C437" s="92" t="n">
        <v>226490527.9130067</v>
      </c>
      <c r="D437" s="92" t="n">
        <v>2701675592</v>
      </c>
      <c r="E437" s="92" t="n">
        <v>1644876.41</v>
      </c>
      <c r="F437" s="92" t="n">
        <v>165552</v>
      </c>
      <c r="G437" s="92" t="n">
        <v>0</v>
      </c>
      <c r="H437" s="92" t="n">
        <v>50782</v>
      </c>
      <c r="I437" s="92" t="n">
        <v>65840</v>
      </c>
      <c r="J437" s="92" t="n">
        <v>16822.41544782527</v>
      </c>
      <c r="K437" s="92" t="n">
        <v>0</v>
      </c>
      <c r="L437" s="94" t="n">
        <v>47849.84</v>
      </c>
      <c r="M437" s="92" t="n">
        <v>1644876.41</v>
      </c>
      <c r="N437" s="94" t="n">
        <v>42035734.44255512</v>
      </c>
      <c r="O437" s="94" t="n">
        <v>26499.9421</v>
      </c>
      <c r="P437" s="94" t="n">
        <v>1303.5364</v>
      </c>
      <c r="Q437" s="92" t="n">
        <v>44581.6</v>
      </c>
      <c r="R437" s="94" t="n">
        <v>299538162.5687</v>
      </c>
      <c r="S437" s="94" t="n">
        <v>999285521.2113</v>
      </c>
      <c r="T437" s="95">
        <f>IF(OR(R437="",R436=""),"",R437-R436)</f>
        <v/>
      </c>
      <c r="U437" s="95">
        <f>IF(OR(S437="",S436=""),"",S437-S436)</f>
        <v/>
      </c>
      <c r="V437" s="95">
        <f>IF(OR(U437="",P437=""),"",U437+P437)</f>
        <v/>
      </c>
      <c r="W437" s="95">
        <f>IF(OR(T437="",O437="",P437=""),"",T437-O437+P437)</f>
        <v/>
      </c>
    </row>
    <row r="438">
      <c r="A438" s="35" t="n">
        <v>46092</v>
      </c>
      <c r="B438" s="92" t="n">
        <v>4414778386.257051</v>
      </c>
      <c r="C438" s="92" t="n">
        <v>141351863.8007376</v>
      </c>
      <c r="D438" s="92" t="n">
        <v>2294076704</v>
      </c>
      <c r="E438" s="92" t="n">
        <v>1392462.79</v>
      </c>
      <c r="F438" s="92" t="n">
        <v>114037</v>
      </c>
      <c r="G438" s="92" t="n">
        <v>0</v>
      </c>
      <c r="H438" s="92" t="n">
        <v>63829</v>
      </c>
      <c r="I438" s="92" t="n">
        <v>79918</v>
      </c>
      <c r="J438" s="92" t="n">
        <v>12195.85981347196</v>
      </c>
      <c r="K438" s="92" t="n">
        <v>0</v>
      </c>
      <c r="L438" s="94" t="n">
        <v>38974.26</v>
      </c>
      <c r="M438" s="92" t="n">
        <v>1392462.79</v>
      </c>
      <c r="N438" s="94" t="n">
        <v>42073712.93255512</v>
      </c>
      <c r="O438" s="94" t="n">
        <v>26523.2199</v>
      </c>
      <c r="P438" s="94" t="n">
        <v>1078.4004</v>
      </c>
      <c r="Q438" s="92" t="n">
        <v>36989.13</v>
      </c>
      <c r="R438" s="94" t="n">
        <v>299501188.2938</v>
      </c>
      <c r="S438" s="94" t="n">
        <v>999284442.8109</v>
      </c>
      <c r="T438" s="95">
        <f>IF(OR(R438="",R437=""),"",R438-R437)</f>
        <v/>
      </c>
      <c r="U438" s="95">
        <f>IF(OR(S438="",S437=""),"",S438-S437)</f>
        <v/>
      </c>
      <c r="V438" s="95">
        <f>IF(OR(U438="",P438=""),"",U438+P438)</f>
        <v/>
      </c>
      <c r="W438" s="95">
        <f>IF(OR(T438="",O438="",P438=""),"",T438-O438+P438)</f>
        <v/>
      </c>
    </row>
    <row r="439">
      <c r="A439" s="35" t="n">
        <v>46093</v>
      </c>
      <c r="B439" s="92" t="n">
        <v>4226932530.752885</v>
      </c>
      <c r="C439" s="92" t="n">
        <v>171424756.2817958</v>
      </c>
      <c r="D439" s="92" t="n">
        <v>2717272316</v>
      </c>
      <c r="E439" s="92" t="n">
        <v>1366566.18</v>
      </c>
      <c r="F439" s="92" t="n">
        <v>153245</v>
      </c>
      <c r="G439" s="92" t="n">
        <v>0</v>
      </c>
      <c r="H439" s="92" t="n">
        <v>54617</v>
      </c>
      <c r="I439" s="92" t="n">
        <v>74559</v>
      </c>
      <c r="J439" s="92" t="n">
        <v>10948.83405114849</v>
      </c>
      <c r="K439" s="92" t="n">
        <v>0</v>
      </c>
      <c r="L439" s="94" t="n">
        <v>36803.51</v>
      </c>
      <c r="M439" s="92" t="n">
        <v>1366566.18</v>
      </c>
      <c r="N439" s="94" t="n">
        <v>42110129.65255512</v>
      </c>
      <c r="O439" s="94" t="n">
        <v>26526.8227</v>
      </c>
      <c r="P439" s="94" t="n">
        <v>608.4577</v>
      </c>
      <c r="Q439" s="92" t="n">
        <v>22132.65</v>
      </c>
      <c r="R439" s="94" t="n">
        <v>299474823.4809</v>
      </c>
      <c r="S439" s="94" t="n">
        <v>999283834.3532</v>
      </c>
      <c r="T439" s="95">
        <f>IF(OR(R439="",R438=""),"",R439-R438)</f>
        <v/>
      </c>
      <c r="U439" s="95">
        <f>IF(OR(S439="",S438=""),"",S439-S438)</f>
        <v/>
      </c>
      <c r="V439" s="95">
        <f>IF(OR(U439="",P439=""),"",U439+P439)</f>
        <v/>
      </c>
      <c r="W439" s="95">
        <f>IF(OR(T439="",O439="",P439=""),"",T439-O439+P439)</f>
        <v/>
      </c>
    </row>
    <row r="440">
      <c r="A440" s="35" t="n">
        <v>46094</v>
      </c>
      <c r="B440" s="92" t="n">
        <v>5962079384.884871</v>
      </c>
      <c r="C440" s="92" t="n">
        <v>186496713.3063975</v>
      </c>
      <c r="D440" s="92" t="n">
        <v>2099264511</v>
      </c>
      <c r="E440" s="92" t="n">
        <v>1830670.62</v>
      </c>
      <c r="F440" s="92" t="n">
        <v>116904</v>
      </c>
      <c r="G440" s="92" t="n">
        <v>0</v>
      </c>
      <c r="H440" s="92" t="n">
        <v>65639</v>
      </c>
      <c r="I440" s="92" t="n">
        <v>81922</v>
      </c>
      <c r="J440" s="92" t="n">
        <v>14537.46282295613</v>
      </c>
      <c r="K440" s="92" t="n">
        <v>0</v>
      </c>
      <c r="L440" s="94" t="n">
        <v>49323.48</v>
      </c>
      <c r="M440" s="92" t="n">
        <v>1830670.62</v>
      </c>
      <c r="N440" s="94" t="n">
        <v>42160887.05255512</v>
      </c>
      <c r="O440" s="94" t="n">
        <v>26531.6758</v>
      </c>
      <c r="P440" s="94" t="n">
        <v>1118.0109</v>
      </c>
      <c r="Q440" s="92" t="n">
        <v>42274.23</v>
      </c>
      <c r="R440" s="94" t="n">
        <v>299449505.8242</v>
      </c>
      <c r="S440" s="94" t="n">
        <v>999282716.3422</v>
      </c>
      <c r="T440" s="95">
        <f>IF(OR(R440="",R439=""),"",R440-R439)</f>
        <v/>
      </c>
      <c r="U440" s="95">
        <f>IF(OR(S440="",S439=""),"",S440-S439)</f>
        <v/>
      </c>
      <c r="V440" s="95">
        <f>IF(OR(U440="",P440=""),"",U440+P440)</f>
        <v/>
      </c>
      <c r="W440" s="95">
        <f>IF(OR(T440="",O440="",P440=""),"",T440-O440+P440)</f>
        <v/>
      </c>
    </row>
    <row r="441">
      <c r="A441" s="35" t="n">
        <v>46095</v>
      </c>
      <c r="B441" s="92" t="n">
        <v>1956272288.628753</v>
      </c>
      <c r="C441" s="92" t="n">
        <v>186603930.1799989</v>
      </c>
      <c r="D441" s="92" t="n">
        <v>639797548</v>
      </c>
      <c r="E441" s="92" t="n">
        <v>628780.0600000001</v>
      </c>
      <c r="F441" s="92" t="n">
        <v>57292</v>
      </c>
      <c r="G441" s="92" t="n">
        <v>0</v>
      </c>
      <c r="H441" s="92" t="n">
        <v>34134</v>
      </c>
      <c r="I441" s="92" t="n">
        <v>42502</v>
      </c>
      <c r="J441" s="92" t="n">
        <v>7548.847382987662</v>
      </c>
      <c r="K441" s="92" t="n">
        <v>0</v>
      </c>
      <c r="L441" s="94" t="n">
        <v>16809.89</v>
      </c>
      <c r="M441" s="92" t="n">
        <v>628780.0600000001</v>
      </c>
      <c r="N441" s="94" t="n">
        <v>42176729.40255512</v>
      </c>
      <c r="O441" s="94" t="n">
        <v>26522.5569</v>
      </c>
      <c r="P441" s="94" t="n">
        <v>1169.2845</v>
      </c>
      <c r="Q441" s="92" t="n">
        <v>42788.8</v>
      </c>
      <c r="R441" s="94" t="n">
        <v>299409786.0938</v>
      </c>
      <c r="S441" s="94" t="n">
        <v>999281547.0577</v>
      </c>
      <c r="T441" s="95">
        <f>IF(OR(R441="",R440=""),"",R441-R440)</f>
        <v/>
      </c>
      <c r="U441" s="95">
        <f>IF(OR(S441="",S440=""),"",S441-S440)</f>
        <v/>
      </c>
      <c r="V441" s="95">
        <f>IF(OR(U441="",P441=""),"",U441+P441)</f>
        <v/>
      </c>
      <c r="W441" s="95">
        <f>IF(OR(T441="",O441="",P441=""),"",T441-O441+P441)</f>
        <v/>
      </c>
    </row>
    <row r="442">
      <c r="A442" s="35" t="n">
        <v>46096</v>
      </c>
      <c r="B442" s="92" t="n">
        <v>2943046050.441281</v>
      </c>
      <c r="C442" s="92" t="n">
        <v>86907762.43767184</v>
      </c>
      <c r="D442" s="92" t="n">
        <v>965658589</v>
      </c>
      <c r="E442" s="92" t="n">
        <v>929730.28</v>
      </c>
      <c r="F442" s="92" t="n">
        <v>78934</v>
      </c>
      <c r="G442" s="92" t="n">
        <v>0</v>
      </c>
      <c r="H442" s="92" t="n">
        <v>22322</v>
      </c>
      <c r="I442" s="92" t="n">
        <v>31407</v>
      </c>
      <c r="J442" s="92" t="n">
        <v>6731.896899871463</v>
      </c>
      <c r="K442" s="92" t="n">
        <v>0</v>
      </c>
      <c r="L442" s="94" t="n">
        <v>24882.62</v>
      </c>
      <c r="M442" s="92" t="n">
        <v>929730.28</v>
      </c>
      <c r="N442" s="94" t="n">
        <v>42202159.96255512</v>
      </c>
      <c r="O442" s="94" t="n">
        <v>26513.68</v>
      </c>
      <c r="P442" s="94" t="n">
        <v>280.2648</v>
      </c>
      <c r="Q442" s="92" t="n">
        <v>10558.27</v>
      </c>
      <c r="R442" s="94" t="n">
        <v>299405846.2805</v>
      </c>
      <c r="S442" s="94" t="n">
        <v>999281266.793</v>
      </c>
      <c r="T442" s="95">
        <f>IF(OR(R442="",R441=""),"",R442-R441)</f>
        <v/>
      </c>
      <c r="U442" s="95">
        <f>IF(OR(S442="",S441=""),"",S442-S441)</f>
        <v/>
      </c>
      <c r="V442" s="95">
        <f>IF(OR(U442="",P442=""),"",U442+P442)</f>
        <v/>
      </c>
      <c r="W442" s="95">
        <f>IF(OR(T442="",O442="",P442=""),"",T442-O442+P442)</f>
        <v/>
      </c>
    </row>
    <row r="443">
      <c r="A443" s="35" t="n">
        <v>46097</v>
      </c>
      <c r="B443" s="92" t="n">
        <v>6548471543.035807</v>
      </c>
      <c r="C443" s="92" t="n">
        <v>80040948.69352907</v>
      </c>
      <c r="D443" s="92" t="n">
        <v>2053387348</v>
      </c>
      <c r="E443" s="92" t="n">
        <v>2056534.62</v>
      </c>
      <c r="F443" s="92" t="n">
        <v>121437</v>
      </c>
      <c r="G443" s="92" t="n">
        <v>0</v>
      </c>
      <c r="H443" s="92" t="n">
        <v>69669</v>
      </c>
      <c r="I443" s="92" t="n">
        <v>90856</v>
      </c>
      <c r="J443" s="92" t="n">
        <v>18142.36376332987</v>
      </c>
      <c r="K443" s="92" t="n">
        <v>0</v>
      </c>
      <c r="L443" s="94" t="n">
        <v>52403.88</v>
      </c>
      <c r="M443" s="92" t="n">
        <v>2056534.62</v>
      </c>
      <c r="N443" s="94" t="n">
        <v>42256895.91255512</v>
      </c>
      <c r="O443" s="94" t="n">
        <v>26158.1654</v>
      </c>
      <c r="P443" s="94" t="n">
        <v>690.6835</v>
      </c>
      <c r="Q443" s="92" t="n">
        <v>25819.48</v>
      </c>
      <c r="R443" s="94" t="n">
        <v>299391746.5244</v>
      </c>
      <c r="S443" s="94" t="n">
        <v>999280576.1095001</v>
      </c>
      <c r="T443" s="95">
        <f>IF(OR(R443="",R442=""),"",R443-R442)</f>
        <v/>
      </c>
      <c r="U443" s="95">
        <f>IF(OR(S443="",S442=""),"",S443-S442)</f>
        <v/>
      </c>
      <c r="V443" s="95">
        <f>IF(OR(U443="",P443=""),"",U443+P443)</f>
        <v/>
      </c>
      <c r="W443" s="95">
        <f>IF(OR(T443="",O443="",P443=""),"",T443-O443+P443)</f>
        <v/>
      </c>
    </row>
    <row r="444">
      <c r="A444" s="35" t="n">
        <v>46098</v>
      </c>
      <c r="B444" s="92" t="n">
        <v>5631386518.162672</v>
      </c>
      <c r="C444" s="92" t="n">
        <v>216207870.8173871</v>
      </c>
      <c r="D444" s="92" t="n">
        <v>1419520859</v>
      </c>
      <c r="E444" s="92" t="n">
        <v>1717663.47</v>
      </c>
      <c r="F444" s="92" t="n">
        <v>85816</v>
      </c>
      <c r="G444" s="92" t="n">
        <v>0</v>
      </c>
      <c r="H444" s="92" t="n">
        <v>54316</v>
      </c>
      <c r="I444" s="92" t="n">
        <v>71225</v>
      </c>
      <c r="J444" s="92" t="n">
        <v>16207.24801841554</v>
      </c>
      <c r="K444" s="92" t="n">
        <v>0</v>
      </c>
      <c r="L444" s="94" t="n">
        <v>42168.48</v>
      </c>
      <c r="M444" s="92" t="n">
        <v>1717663.47</v>
      </c>
      <c r="N444" s="94" t="n">
        <v>42296551.71255512</v>
      </c>
      <c r="O444" s="94" t="n">
        <v>25920.2501</v>
      </c>
      <c r="P444" s="94" t="n">
        <v>688.104</v>
      </c>
      <c r="Q444" s="92" t="n">
        <v>27954.91</v>
      </c>
      <c r="R444" s="94" t="n">
        <v>299348082.7477</v>
      </c>
      <c r="S444" s="94" t="n">
        <v>999279888.0055</v>
      </c>
      <c r="T444" s="95">
        <f>IF(OR(R444="",R443=""),"",R444-R443)</f>
        <v/>
      </c>
      <c r="U444" s="95">
        <f>IF(OR(S444="",S443=""),"",S444-S443)</f>
        <v/>
      </c>
      <c r="V444" s="95">
        <f>IF(OR(U444="",P444=""),"",U444+P444)</f>
        <v/>
      </c>
      <c r="W444" s="95">
        <f>IF(OR(T444="",O444="",P444=""),"",T444-O444+P444)</f>
        <v/>
      </c>
    </row>
    <row r="445">
      <c r="A445" s="35" t="n">
        <v>46099</v>
      </c>
      <c r="B445" s="92" t="n">
        <v>6093361269.391833</v>
      </c>
      <c r="C445" s="92" t="n">
        <v>163398516.5322244</v>
      </c>
      <c r="D445" s="92" t="n">
        <v>2455343214</v>
      </c>
      <c r="E445" s="92" t="n">
        <v>1931952.06</v>
      </c>
      <c r="F445" s="92" t="n">
        <v>136564</v>
      </c>
      <c r="G445" s="92" t="n">
        <v>0</v>
      </c>
      <c r="H445" s="92" t="n">
        <v>85894</v>
      </c>
      <c r="I445" s="92" t="n">
        <v>100923</v>
      </c>
      <c r="J445" s="92" t="n">
        <v>37957.11321834336</v>
      </c>
      <c r="K445" s="92" t="n">
        <v>0</v>
      </c>
      <c r="L445" s="94" t="n">
        <v>46408.79</v>
      </c>
      <c r="M445" s="92" t="n">
        <v>1931952.06</v>
      </c>
      <c r="N445" s="94" t="n">
        <v>42343472.10255512</v>
      </c>
      <c r="O445" s="94" t="n">
        <v>26481.1709</v>
      </c>
      <c r="P445" s="94" t="n">
        <v>1001.0048</v>
      </c>
      <c r="Q445" s="92" t="n">
        <v>40770.43</v>
      </c>
      <c r="R445" s="94" t="n">
        <v>299319559.7461</v>
      </c>
      <c r="S445" s="94" t="n">
        <v>999278887.0007</v>
      </c>
      <c r="T445" s="95">
        <f>IF(OR(R445="",R444=""),"",R445-R444)</f>
        <v/>
      </c>
      <c r="U445" s="95">
        <f>IF(OR(S445="",S444=""),"",S445-S444)</f>
        <v/>
      </c>
      <c r="V445" s="95">
        <f>IF(OR(U445="",P445=""),"",U445+P445)</f>
        <v/>
      </c>
      <c r="W445" s="95">
        <f>IF(OR(T445="",O445="",P445=""),"",T445-O445+P445)</f>
        <v/>
      </c>
    </row>
    <row r="446">
      <c r="A446" s="35" t="n">
        <v>46100</v>
      </c>
      <c r="B446" s="92" t="n">
        <v>5771547049.6126</v>
      </c>
      <c r="C446" s="92" t="n">
        <v>220284790.447655</v>
      </c>
      <c r="D446" s="92" t="n">
        <v>3916618768</v>
      </c>
      <c r="E446" s="92" t="n">
        <v>1919269.57</v>
      </c>
      <c r="F446" s="92" t="n">
        <v>240404</v>
      </c>
      <c r="G446" s="92" t="n">
        <v>0</v>
      </c>
      <c r="H446" s="92" t="n">
        <v>72863</v>
      </c>
      <c r="I446" s="92" t="n">
        <v>85429</v>
      </c>
      <c r="J446" s="92" t="n">
        <v>20312.05724812334</v>
      </c>
      <c r="K446" s="92" t="n">
        <v>0</v>
      </c>
      <c r="L446" s="94" t="n">
        <v>48083.94</v>
      </c>
      <c r="M446" s="92" t="n">
        <v>1919269.57</v>
      </c>
      <c r="N446" s="94" t="n">
        <v>42390511.50255512</v>
      </c>
      <c r="O446" s="94" t="n">
        <v>26434.5099</v>
      </c>
      <c r="P446" s="94" t="n">
        <v>1559.2383</v>
      </c>
      <c r="Q446" s="92" t="n">
        <v>65601.83</v>
      </c>
      <c r="R446" s="94" t="n">
        <v>299283166.7978</v>
      </c>
      <c r="S446" s="94" t="n">
        <v>999277327.7625</v>
      </c>
      <c r="T446" s="95">
        <f>IF(OR(R446="",R445=""),"",R446-R445)</f>
        <v/>
      </c>
      <c r="U446" s="95">
        <f>IF(OR(S446="",S445=""),"",S446-S445)</f>
        <v/>
      </c>
      <c r="V446" s="95">
        <f>IF(OR(U446="",P446=""),"",U446+P446)</f>
        <v/>
      </c>
      <c r="W446" s="95">
        <f>IF(OR(T446="",O446="",P446=""),"",T446-O446+P446)</f>
        <v/>
      </c>
    </row>
    <row r="447">
      <c r="A447" s="35" t="n">
        <v>46101</v>
      </c>
      <c r="B447" s="92" t="n">
        <v>4387405471.321034</v>
      </c>
      <c r="C447" s="92" t="n">
        <v>184213402.9615119</v>
      </c>
      <c r="D447" s="92" t="n">
        <v>2327726300</v>
      </c>
      <c r="E447" s="92" t="n">
        <v>1398791.89</v>
      </c>
      <c r="F447" s="92" t="n">
        <v>147882</v>
      </c>
      <c r="G447" s="92" t="n">
        <v>0</v>
      </c>
      <c r="H447" s="92" t="n">
        <v>44927</v>
      </c>
      <c r="I447" s="92" t="n">
        <v>55418</v>
      </c>
      <c r="J447" s="92" t="n">
        <v>20215.87673919038</v>
      </c>
      <c r="K447" s="92" t="n">
        <v>0</v>
      </c>
      <c r="L447" s="94" t="n">
        <v>35474.14</v>
      </c>
      <c r="M447" s="92" t="n">
        <v>1398791.89</v>
      </c>
      <c r="N447" s="94" t="n">
        <v>42426049.16255512</v>
      </c>
      <c r="O447" s="94" t="n">
        <v>26463.4663</v>
      </c>
      <c r="P447" s="94" t="n">
        <v>563.0605</v>
      </c>
      <c r="Q447" s="92" t="n">
        <v>22415.16</v>
      </c>
      <c r="R447" s="94" t="n">
        <v>299247678.4361</v>
      </c>
      <c r="S447" s="94" t="n">
        <v>999276764.702</v>
      </c>
      <c r="T447" s="95">
        <f>IF(OR(R447="",R446=""),"",R447-R446)</f>
        <v/>
      </c>
      <c r="U447" s="95">
        <f>IF(OR(S447="",S446=""),"",S447-S446)</f>
        <v/>
      </c>
      <c r="V447" s="95">
        <f>IF(OR(U447="",P447=""),"",U447+P447)</f>
        <v/>
      </c>
      <c r="W447" s="95">
        <f>IF(OR(T447="",O447="",P447=""),"",T447-O447+P447)</f>
        <v/>
      </c>
    </row>
    <row r="448">
      <c r="A448" s="35" t="n">
        <v>46102</v>
      </c>
      <c r="B448" s="92" t="n">
        <v>1820769490.56175</v>
      </c>
      <c r="C448" s="92" t="n">
        <v>130241782.6984513</v>
      </c>
      <c r="D448" s="92" t="n">
        <v>385886655</v>
      </c>
      <c r="E448" s="92" t="n">
        <v>565820.13</v>
      </c>
      <c r="F448" s="92" t="n">
        <v>48618</v>
      </c>
      <c r="G448" s="92" t="n">
        <v>8655</v>
      </c>
      <c r="H448" s="92" t="n">
        <v>20586</v>
      </c>
      <c r="I448" s="92" t="n">
        <v>25527</v>
      </c>
      <c r="J448" s="92" t="n">
        <v>4802.687313533955</v>
      </c>
      <c r="K448" s="92" t="n">
        <v>0</v>
      </c>
      <c r="L448" s="94" t="n">
        <v>14254.91</v>
      </c>
      <c r="M448" s="92" t="n">
        <v>565820.13</v>
      </c>
      <c r="N448" s="94" t="n">
        <v>42443640.52255512</v>
      </c>
      <c r="O448" s="94" t="n">
        <v>26474.8084</v>
      </c>
      <c r="P448" s="94" t="n">
        <v>863.7541</v>
      </c>
      <c r="Q448" s="92" t="n">
        <v>34269.44</v>
      </c>
      <c r="R448" s="94" t="n">
        <v>299223411.2035</v>
      </c>
      <c r="S448" s="94" t="n">
        <v>999275900.9479001</v>
      </c>
      <c r="T448" s="95">
        <f>IF(OR(R448="",R447=""),"",R448-R447)</f>
        <v/>
      </c>
      <c r="U448" s="95">
        <f>IF(OR(S448="",S447=""),"",S448-S447)</f>
        <v/>
      </c>
      <c r="V448" s="95">
        <f>IF(OR(U448="",P448=""),"",U448+P448)</f>
        <v/>
      </c>
      <c r="W448" s="95">
        <f>IF(OR(T448="",O448="",P448=""),"",T448-O448+P448)</f>
        <v/>
      </c>
    </row>
    <row r="449">
      <c r="A449" s="35" t="n">
        <v>46103</v>
      </c>
      <c r="B449" s="92" t="n">
        <v>4123380155.302806</v>
      </c>
      <c r="C449" s="92" t="n">
        <v>60945818.35635647</v>
      </c>
      <c r="D449" s="92" t="n">
        <v>931981429</v>
      </c>
      <c r="E449" s="92" t="n">
        <v>1226196.43</v>
      </c>
      <c r="F449" s="92" t="n">
        <v>83123</v>
      </c>
      <c r="G449" s="92" t="n">
        <v>27974</v>
      </c>
      <c r="H449" s="92" t="n">
        <v>34921</v>
      </c>
      <c r="I449" s="92" t="n">
        <v>46563</v>
      </c>
      <c r="J449" s="92" t="n">
        <v>8939.900559362892</v>
      </c>
      <c r="K449" s="92" t="n">
        <v>0</v>
      </c>
      <c r="L449" s="94" t="n">
        <v>31939.5</v>
      </c>
      <c r="M449" s="92" t="n">
        <v>1226196.43</v>
      </c>
      <c r="N449" s="94" t="n">
        <v>42472662.50255512</v>
      </c>
      <c r="O449" s="94" t="n">
        <v>26473.247</v>
      </c>
      <c r="P449" s="94" t="n">
        <v>166.6936</v>
      </c>
      <c r="Q449" s="92" t="n">
        <v>6562.48</v>
      </c>
      <c r="R449" s="94" t="n">
        <v>299217786.0155</v>
      </c>
      <c r="S449" s="94" t="n">
        <v>999275734.2543</v>
      </c>
      <c r="T449" s="95">
        <f>IF(OR(R449="",R448=""),"",R449-R448)</f>
        <v/>
      </c>
      <c r="U449" s="95">
        <f>IF(OR(S449="",S448=""),"",S449-S448)</f>
        <v/>
      </c>
      <c r="V449" s="95">
        <f>IF(OR(U449="",P449=""),"",U449+P449)</f>
        <v/>
      </c>
      <c r="W449" s="95">
        <f>IF(OR(T449="",O449="",P449=""),"",T449-O449+P449)</f>
        <v/>
      </c>
    </row>
    <row r="450">
      <c r="A450" s="35" t="n">
        <v>46104</v>
      </c>
      <c r="B450" s="92" t="n">
        <v>6547837013.612579</v>
      </c>
      <c r="C450" s="92" t="n">
        <v>102290418.4477309</v>
      </c>
      <c r="D450" s="92" t="n">
        <v>5939022744</v>
      </c>
      <c r="E450" s="92" t="n">
        <v>2320660.87</v>
      </c>
      <c r="F450" s="92" t="n">
        <v>377852</v>
      </c>
      <c r="G450" s="92" t="n">
        <v>153142</v>
      </c>
      <c r="H450" s="92" t="n">
        <v>92233</v>
      </c>
      <c r="I450" s="92" t="n">
        <v>112724</v>
      </c>
      <c r="J450" s="92" t="n">
        <v>26925.80792680451</v>
      </c>
      <c r="K450" s="92" t="n">
        <v>0</v>
      </c>
      <c r="L450" s="94" t="n">
        <v>61301.8</v>
      </c>
      <c r="M450" s="92" t="n">
        <v>2320660.87</v>
      </c>
      <c r="N450" s="94" t="n">
        <v>42533972.38255512</v>
      </c>
      <c r="O450" s="94" t="n">
        <v>26478.5054</v>
      </c>
      <c r="P450" s="94" t="n">
        <v>229.8099</v>
      </c>
      <c r="Q450" s="92" t="n">
        <v>8702.9</v>
      </c>
      <c r="R450" s="94" t="n">
        <v>299200668.7542</v>
      </c>
      <c r="S450" s="94" t="n">
        <v>999275504.4443001</v>
      </c>
      <c r="T450" s="95">
        <f>IF(OR(R450="",R449=""),"",R450-R449)</f>
        <v/>
      </c>
      <c r="U450" s="95">
        <f>IF(OR(S450="",S449=""),"",S450-S449)</f>
        <v/>
      </c>
      <c r="V450" s="95">
        <f>IF(OR(U450="",P450=""),"",U450+P450)</f>
        <v/>
      </c>
      <c r="W450" s="95">
        <f>IF(OR(T450="",O450="",P450=""),"",T450-O450+P450)</f>
        <v/>
      </c>
    </row>
    <row r="451">
      <c r="A451" s="35" t="n">
        <v>46105</v>
      </c>
      <c r="B451" s="92" t="n">
        <v>4639293562.555333</v>
      </c>
      <c r="C451" s="92" t="n">
        <v>251112953.3421047</v>
      </c>
      <c r="D451" s="92" t="n">
        <v>3469124699</v>
      </c>
      <c r="E451" s="92" t="n">
        <v>1474551.66</v>
      </c>
      <c r="F451" s="92" t="n">
        <v>214719</v>
      </c>
      <c r="G451" s="92" t="n">
        <v>84331</v>
      </c>
      <c r="H451" s="92" t="n">
        <v>46696</v>
      </c>
      <c r="I451" s="92" t="n">
        <v>57914</v>
      </c>
      <c r="J451" s="92" t="n">
        <v>12817.79610248204</v>
      </c>
      <c r="K451" s="92" t="n">
        <v>18599.6</v>
      </c>
      <c r="L451" s="94" t="n">
        <v>38003.95</v>
      </c>
      <c r="M451" s="92" t="n">
        <v>1474551.66</v>
      </c>
      <c r="N451" s="94" t="n">
        <v>42571128.28255512</v>
      </c>
      <c r="O451" s="94" t="n">
        <v>26477.2033</v>
      </c>
      <c r="P451" s="94" t="n">
        <v>1259.6123</v>
      </c>
      <c r="Q451" s="92" t="n">
        <v>47323.64</v>
      </c>
      <c r="R451" s="94" t="n">
        <v>299150227.485</v>
      </c>
      <c r="S451" s="94" t="n">
        <v>999274244.832</v>
      </c>
      <c r="T451" s="95">
        <f>IF(OR(R451="",R450=""),"",R451-R450)</f>
        <v/>
      </c>
      <c r="U451" s="95">
        <f>IF(OR(S451="",S450=""),"",S451-S450)</f>
        <v/>
      </c>
      <c r="V451" s="95">
        <f>IF(OR(U451="",P451=""),"",U451+P451)</f>
        <v/>
      </c>
      <c r="W451" s="95">
        <f>IF(OR(T451="",O451="",P451=""),"",T451-O451+P451)</f>
        <v/>
      </c>
    </row>
    <row r="452">
      <c r="A452" s="35" t="n">
        <v>46106</v>
      </c>
      <c r="B452" s="92" t="n">
        <v>4594188154.542759</v>
      </c>
      <c r="C452" s="92" t="n">
        <v>126821355.1988578</v>
      </c>
      <c r="D452" s="92" t="n">
        <v>2544010665</v>
      </c>
      <c r="E452" s="92" t="n">
        <v>1489905.01</v>
      </c>
      <c r="F452" s="92" t="n">
        <v>146699</v>
      </c>
      <c r="G452" s="92" t="n">
        <v>51843</v>
      </c>
      <c r="H452" s="92" t="n">
        <v>38141</v>
      </c>
      <c r="I452" s="92" t="n">
        <v>46508</v>
      </c>
      <c r="J452" s="92" t="n">
        <v>8814.31290329727</v>
      </c>
      <c r="K452" s="92" t="n">
        <v>0</v>
      </c>
      <c r="L452" s="94" t="n">
        <v>36745.44</v>
      </c>
      <c r="M452" s="92" t="n">
        <v>1489905.01</v>
      </c>
      <c r="N452" s="94" t="n">
        <v>42608216.20255512</v>
      </c>
      <c r="O452" s="94" t="n">
        <v>26474.6328</v>
      </c>
      <c r="P452" s="94" t="n">
        <v>1004.2188</v>
      </c>
      <c r="Q452" s="92" t="n">
        <v>40829.53</v>
      </c>
      <c r="R452" s="94" t="n">
        <v>299124196.548</v>
      </c>
      <c r="S452" s="94" t="n">
        <v>999273240.6131999</v>
      </c>
      <c r="T452" s="95">
        <f>IF(OR(R452="",R451=""),"",R452-R451)</f>
        <v/>
      </c>
      <c r="U452" s="95">
        <f>IF(OR(S452="",S451=""),"",S452-S451)</f>
        <v/>
      </c>
      <c r="V452" s="95">
        <f>IF(OR(U452="",P452=""),"",U452+P452)</f>
        <v/>
      </c>
      <c r="W452" s="95">
        <f>IF(OR(T452="",O452="",P452=""),"",T452-O452+P452)</f>
        <v/>
      </c>
    </row>
    <row r="453">
      <c r="A453" s="35" t="n">
        <v>46107</v>
      </c>
      <c r="B453" s="92" t="n">
        <v>4466575963.918232</v>
      </c>
      <c r="C453" s="92" t="n">
        <v>101150775.2930952</v>
      </c>
      <c r="D453" s="92" t="n">
        <v>2413494093</v>
      </c>
      <c r="E453" s="92" t="n">
        <v>1376153.56</v>
      </c>
      <c r="F453" s="92" t="n">
        <v>146611</v>
      </c>
      <c r="G453" s="92" t="n">
        <v>49014</v>
      </c>
      <c r="H453" s="92" t="n">
        <v>38198</v>
      </c>
      <c r="I453" s="92" t="n">
        <v>52042</v>
      </c>
      <c r="J453" s="92" t="n">
        <v>7089.566958894238</v>
      </c>
      <c r="K453" s="92" t="n">
        <v>20132.06</v>
      </c>
      <c r="L453" s="94" t="n">
        <v>35190.32</v>
      </c>
      <c r="M453" s="92" t="n">
        <v>1376153.56</v>
      </c>
      <c r="N453" s="94" t="n">
        <v>42643822.48255512</v>
      </c>
      <c r="O453" s="94" t="n">
        <v>26439.4326</v>
      </c>
      <c r="P453" s="94" t="n">
        <v>798.0862</v>
      </c>
      <c r="Q453" s="92" t="n">
        <v>32079.47</v>
      </c>
      <c r="R453" s="94" t="n">
        <v>299098408.9834</v>
      </c>
      <c r="S453" s="94" t="n">
        <v>999272442.5271</v>
      </c>
      <c r="T453" s="95">
        <f>IF(OR(R453="",R452=""),"",R453-R452)</f>
        <v/>
      </c>
      <c r="U453" s="95">
        <f>IF(OR(S453="",S452=""),"",S453-S452)</f>
        <v/>
      </c>
      <c r="V453" s="95">
        <f>IF(OR(U453="",P453=""),"",U453+P453)</f>
        <v/>
      </c>
      <c r="W453" s="95">
        <f>IF(OR(T453="",O453="",P453=""),"",T453-O453+P453)</f>
        <v/>
      </c>
    </row>
    <row r="454">
      <c r="A454" s="35" t="n">
        <v>46108</v>
      </c>
      <c r="B454" s="92" t="n">
        <v>4078234900.574286</v>
      </c>
      <c r="C454" s="92" t="n">
        <v>112875680.5417804</v>
      </c>
      <c r="D454" s="92" t="n">
        <v>2331741264</v>
      </c>
      <c r="E454" s="92" t="n">
        <v>1328434.1</v>
      </c>
      <c r="F454" s="92" t="n">
        <v>161694</v>
      </c>
      <c r="G454" s="92" t="n">
        <v>52842</v>
      </c>
      <c r="H454" s="92" t="n">
        <v>40677</v>
      </c>
      <c r="I454" s="92" t="n">
        <v>56514</v>
      </c>
      <c r="J454" s="92" t="n">
        <v>7081.633351007457</v>
      </c>
      <c r="K454" s="92" t="n">
        <v>0</v>
      </c>
      <c r="L454" s="94" t="n">
        <v>34495.71</v>
      </c>
      <c r="M454" s="92" t="n">
        <v>1328434.1</v>
      </c>
      <c r="N454" s="94" t="n">
        <v>42678566.08255512</v>
      </c>
      <c r="O454" s="94" t="n">
        <v>26488.8466</v>
      </c>
      <c r="P454" s="94" t="n">
        <v>1296.0589</v>
      </c>
      <c r="Q454" s="92" t="n">
        <v>50712.19</v>
      </c>
      <c r="R454" s="94" t="n">
        <v>299073653.019</v>
      </c>
      <c r="S454" s="94" t="n">
        <v>999271146.4682</v>
      </c>
      <c r="T454" s="95">
        <f>IF(OR(R454="",R453=""),"",R454-R453)</f>
        <v/>
      </c>
      <c r="U454" s="95">
        <f>IF(OR(S454="",S453=""),"",S454-S453)</f>
        <v/>
      </c>
      <c r="V454" s="95">
        <f>IF(OR(U454="",P454=""),"",U454+P454)</f>
        <v/>
      </c>
      <c r="W454" s="95">
        <f>IF(OR(T454="",O454="",P454=""),"",T454-O454+P454)</f>
        <v/>
      </c>
    </row>
    <row r="455">
      <c r="A455" s="35" t="n">
        <v>46109</v>
      </c>
      <c r="B455" s="92" t="n">
        <v>2013556741.770011</v>
      </c>
      <c r="C455" s="92" t="n">
        <v>136060025.9179392</v>
      </c>
      <c r="D455" s="92" t="n">
        <v>386148347</v>
      </c>
      <c r="E455" s="92" t="n">
        <v>646955.66</v>
      </c>
      <c r="F455" s="92" t="n">
        <v>38935</v>
      </c>
      <c r="G455" s="92" t="n">
        <v>9378</v>
      </c>
      <c r="H455" s="92" t="n">
        <v>28275</v>
      </c>
      <c r="I455" s="92" t="n">
        <v>36535</v>
      </c>
      <c r="J455" s="92" t="n">
        <v>4089.846242555367</v>
      </c>
      <c r="K455" s="92" t="n">
        <v>0</v>
      </c>
      <c r="L455" s="94" t="n">
        <v>16409.18</v>
      </c>
      <c r="M455" s="92" t="n">
        <v>646955.66</v>
      </c>
      <c r="N455" s="94" t="n">
        <v>42694298.92255512</v>
      </c>
      <c r="O455" s="94" t="n">
        <v>26478.2252</v>
      </c>
      <c r="P455" s="94" t="n">
        <v>884.5664</v>
      </c>
      <c r="Q455" s="92" t="n">
        <v>33685.61</v>
      </c>
      <c r="R455" s="94" t="n">
        <v>299050164.9614</v>
      </c>
      <c r="S455" s="94" t="n">
        <v>999270261.9019001</v>
      </c>
      <c r="T455" s="95">
        <f>IF(OR(R455="",R454=""),"",R455-R454)</f>
        <v/>
      </c>
      <c r="U455" s="95">
        <f>IF(OR(S455="",S454=""),"",S455-S454)</f>
        <v/>
      </c>
      <c r="V455" s="95">
        <f>IF(OR(U455="",P455=""),"",U455+P455)</f>
        <v/>
      </c>
      <c r="W455" s="95">
        <f>IF(OR(T455="",O455="",P455=""),"",T455-O455+P455)</f>
        <v/>
      </c>
    </row>
    <row r="456">
      <c r="A456" s="35" t="n">
        <v>46110</v>
      </c>
      <c r="B456" s="92" t="n">
        <v>2207313174.095588</v>
      </c>
      <c r="C456" s="92" t="n">
        <v>82146976.40137269</v>
      </c>
      <c r="D456" s="92" t="n">
        <v>644708859</v>
      </c>
      <c r="E456" s="92" t="n">
        <v>700025.42</v>
      </c>
      <c r="F456" s="92" t="n">
        <v>54281</v>
      </c>
      <c r="G456" s="92" t="n">
        <v>15431</v>
      </c>
      <c r="H456" s="92" t="n">
        <v>24415</v>
      </c>
      <c r="I456" s="92" t="n">
        <v>31483</v>
      </c>
      <c r="J456" s="92" t="n">
        <v>4275.559562977322</v>
      </c>
      <c r="K456" s="92" t="n">
        <v>19737.21</v>
      </c>
      <c r="L456" s="94" t="n">
        <v>18038.83</v>
      </c>
      <c r="M456" s="92" t="n">
        <v>700025.42</v>
      </c>
      <c r="N456" s="94" t="n">
        <v>42712619.23255512</v>
      </c>
      <c r="O456" s="94" t="n">
        <v>26489.1993</v>
      </c>
      <c r="P456" s="94" t="n">
        <v>252.1519</v>
      </c>
      <c r="Q456" s="92" t="n">
        <v>9946.639999999999</v>
      </c>
      <c r="R456" s="94" t="n">
        <v>299046325.1907</v>
      </c>
      <c r="S456" s="94" t="n">
        <v>999270009.7499</v>
      </c>
      <c r="T456" s="95">
        <f>IF(OR(R456="",R455=""),"",R456-R455)</f>
        <v/>
      </c>
      <c r="U456" s="95">
        <f>IF(OR(S456="",S455=""),"",S456-S455)</f>
        <v/>
      </c>
      <c r="V456" s="95">
        <f>IF(OR(U456="",P456=""),"",U456+P456)</f>
        <v/>
      </c>
      <c r="W456" s="95">
        <f>IF(OR(T456="",O456="",P456=""),"",T456-O456+P456)</f>
        <v/>
      </c>
    </row>
    <row r="457">
      <c r="A457" s="35" t="n">
        <v>46111</v>
      </c>
      <c r="B457" s="92" t="n">
        <v>3854816458.590339</v>
      </c>
      <c r="C457" s="92" t="n">
        <v>79367279.21817394</v>
      </c>
      <c r="D457" s="92" t="n">
        <v>2297079678</v>
      </c>
      <c r="E457" s="92" t="n">
        <v>1240450.63</v>
      </c>
      <c r="F457" s="92" t="n">
        <v>119402</v>
      </c>
      <c r="G457" s="92" t="n">
        <v>42372</v>
      </c>
      <c r="H457" s="92" t="n">
        <v>47024</v>
      </c>
      <c r="I457" s="92" t="n">
        <v>54539</v>
      </c>
      <c r="J457" s="92" t="n">
        <v>13433.30876071424</v>
      </c>
      <c r="K457" s="92" t="n">
        <v>19945.95</v>
      </c>
      <c r="L457" s="94" t="n">
        <v>32787.89</v>
      </c>
      <c r="M457" s="92" t="n">
        <v>1240450.63</v>
      </c>
      <c r="N457" s="94" t="n">
        <v>42745268.37255512</v>
      </c>
      <c r="O457" s="94" t="n">
        <v>26454.5544</v>
      </c>
      <c r="P457" s="94" t="n">
        <v>1138.5131</v>
      </c>
      <c r="Q457" s="92" t="n">
        <v>43695.57</v>
      </c>
      <c r="R457" s="94" t="n">
        <v>299038986.6481</v>
      </c>
      <c r="S457" s="94" t="n">
        <v>999268871.2368</v>
      </c>
      <c r="T457" s="95">
        <f>IF(OR(R457="",R456=""),"",R457-R456)</f>
        <v/>
      </c>
      <c r="U457" s="95">
        <f>IF(OR(S457="",S456=""),"",S457-S456)</f>
        <v/>
      </c>
      <c r="V457" s="95">
        <f>IF(OR(U457="",P457=""),"",U457+P457)</f>
        <v/>
      </c>
      <c r="W457" s="95">
        <f>IF(OR(T457="",O457="",P457=""),"",T457-O457+P457)</f>
        <v/>
      </c>
    </row>
    <row r="458">
      <c r="A458" s="35" t="n">
        <v>46112</v>
      </c>
      <c r="B458" s="92" t="n">
        <v>6136073697.283797</v>
      </c>
      <c r="C458" s="92" t="n">
        <v>118096372.7576319</v>
      </c>
      <c r="D458" s="92" t="n">
        <v>3631296644</v>
      </c>
      <c r="E458" s="92" t="n">
        <v>1834915.22</v>
      </c>
      <c r="F458" s="92" t="n">
        <v>184617</v>
      </c>
      <c r="G458" s="92" t="n">
        <v>70753</v>
      </c>
      <c r="H458" s="92" t="n">
        <v>52106</v>
      </c>
      <c r="I458" s="92" t="n">
        <v>62621</v>
      </c>
      <c r="J458" s="92" t="n">
        <v>8633.906741899928</v>
      </c>
      <c r="K458" s="92" t="n">
        <v>0</v>
      </c>
      <c r="L458" s="94" t="n">
        <v>50158.6</v>
      </c>
      <c r="M458" s="92" t="n">
        <v>1834915.22</v>
      </c>
      <c r="N458" s="94" t="n">
        <v>42797054.99255512</v>
      </c>
      <c r="O458" s="94" t="n">
        <v>26387.6955</v>
      </c>
      <c r="P458" s="94" t="n">
        <v>794.1036</v>
      </c>
      <c r="Q458" s="92" t="n">
        <v>29264.3</v>
      </c>
      <c r="R458" s="94" t="n">
        <v>299017614.5581</v>
      </c>
      <c r="S458" s="94" t="n">
        <v>999268077.1332</v>
      </c>
      <c r="T458" s="95">
        <f>IF(OR(R458="",R457=""),"",R458-R457)</f>
        <v/>
      </c>
      <c r="U458" s="95">
        <f>IF(OR(S458="",S457=""),"",S458-S457)</f>
        <v/>
      </c>
      <c r="V458" s="95">
        <f>IF(OR(U458="",P458=""),"",U458+P458)</f>
        <v/>
      </c>
      <c r="W458" s="95">
        <f>IF(OR(T458="",O458="",P458=""),"",T458-O458+P458)</f>
        <v/>
      </c>
    </row>
    <row r="459">
      <c r="A459" s="35" t="n">
        <v>46113</v>
      </c>
      <c r="B459" s="92" t="n">
        <v>5004687724.666999</v>
      </c>
      <c r="C459" s="92" t="n">
        <v>144809136.1577418</v>
      </c>
      <c r="D459" s="92" t="n">
        <v>3215167235</v>
      </c>
      <c r="E459" s="92" t="n">
        <v>1608560.48</v>
      </c>
      <c r="F459" s="92" t="n">
        <v>171162</v>
      </c>
      <c r="G459" s="92" t="n">
        <v>59465</v>
      </c>
      <c r="H459" s="92" t="n">
        <v>34405</v>
      </c>
      <c r="I459" s="92" t="n">
        <v>47354</v>
      </c>
      <c r="J459" s="92" t="n">
        <v>6777.793290454058</v>
      </c>
      <c r="K459" s="92" t="n">
        <v>0</v>
      </c>
      <c r="L459" s="94" t="n">
        <v>43749.54</v>
      </c>
      <c r="M459" s="92" t="n">
        <v>1608560.48</v>
      </c>
      <c r="N459" s="94" t="n">
        <v>42839299.65255512</v>
      </c>
      <c r="O459" s="94" t="n">
        <v>26478.4995</v>
      </c>
      <c r="P459" s="94" t="n">
        <v>971.313</v>
      </c>
      <c r="Q459" s="92" t="n">
        <v>35454.38</v>
      </c>
      <c r="R459" s="94" t="n">
        <v>298977020.8685</v>
      </c>
      <c r="S459" s="94" t="n">
        <v>999267105.8202</v>
      </c>
      <c r="T459" s="95">
        <f>IF(OR(R459="",R458=""),"",R459-R458)</f>
        <v/>
      </c>
      <c r="U459" s="95">
        <f>IF(OR(S459="",S458=""),"",S459-S458)</f>
        <v/>
      </c>
      <c r="V459" s="95">
        <f>IF(OR(U459="",P459=""),"",U459+P459)</f>
        <v/>
      </c>
      <c r="W459" s="95">
        <f>IF(OR(T459="",O459="",P459=""),"",T459-O459+P459)</f>
        <v/>
      </c>
    </row>
    <row r="460">
      <c r="A460" s="35" t="n">
        <v>46114</v>
      </c>
      <c r="B460" s="92" t="n">
        <v>5255683063.223988</v>
      </c>
      <c r="C460" s="92" t="n">
        <v>108279589.3855927</v>
      </c>
      <c r="D460" s="92" t="n">
        <v>4284546572</v>
      </c>
      <c r="E460" s="92" t="n">
        <v>1732229.66</v>
      </c>
      <c r="F460" s="92" t="n">
        <v>256950</v>
      </c>
      <c r="G460" s="92" t="n">
        <v>96227</v>
      </c>
      <c r="H460" s="92" t="n">
        <v>49147</v>
      </c>
      <c r="I460" s="92" t="n">
        <v>58823</v>
      </c>
      <c r="J460" s="92" t="n">
        <v>5138.851470896767</v>
      </c>
      <c r="K460" s="92" t="n">
        <v>0</v>
      </c>
      <c r="L460" s="94" t="n">
        <v>49360.33</v>
      </c>
      <c r="M460" s="92" t="n">
        <v>1732229.66</v>
      </c>
      <c r="N460" s="94" t="n">
        <v>42888622.73255512</v>
      </c>
      <c r="O460" s="94" t="n">
        <v>26459.0968</v>
      </c>
      <c r="P460" s="94" t="n">
        <v>283.5728</v>
      </c>
      <c r="Q460" s="92" t="n">
        <v>10209.75</v>
      </c>
      <c r="R460" s="94" t="n">
        <v>298946538.5256</v>
      </c>
      <c r="S460" s="94" t="n">
        <v>999266822.2474</v>
      </c>
      <c r="T460" s="95">
        <f>IF(OR(R460="",R459=""),"",R460-R459)</f>
        <v/>
      </c>
      <c r="U460" s="95">
        <f>IF(OR(S460="",S459=""),"",S460-S459)</f>
        <v/>
      </c>
      <c r="V460" s="95">
        <f>IF(OR(U460="",P460=""),"",U460+P460)</f>
        <v/>
      </c>
      <c r="W460" s="95">
        <f>IF(OR(T460="",O460="",P460=""),"",T460-O460+P460)</f>
        <v/>
      </c>
    </row>
    <row r="461">
      <c r="A461" s="35" t="n">
        <v>46115</v>
      </c>
      <c r="B461" s="92" t="n">
        <v>2430668319.93978</v>
      </c>
      <c r="C461" s="92" t="n">
        <v>139050159.3879819</v>
      </c>
      <c r="D461" s="92" t="n">
        <v>475921997</v>
      </c>
      <c r="E461" s="92" t="n">
        <v>750398.22</v>
      </c>
      <c r="F461" s="92" t="n">
        <v>43742</v>
      </c>
      <c r="G461" s="92" t="n">
        <v>12000</v>
      </c>
      <c r="H461" s="92" t="n">
        <v>22768</v>
      </c>
      <c r="I461" s="92" t="n">
        <v>28451</v>
      </c>
      <c r="J461" s="92" t="n">
        <v>2730.180522242762</v>
      </c>
      <c r="K461" s="92" t="n">
        <v>0</v>
      </c>
      <c r="L461" s="94" t="n">
        <v>21013.16</v>
      </c>
      <c r="M461" s="92" t="n">
        <v>750398.22</v>
      </c>
      <c r="N461" s="94" t="n">
        <v>42909162.12255512</v>
      </c>
      <c r="O461" s="94" t="n">
        <v>26361.2491</v>
      </c>
      <c r="P461" s="94" t="n">
        <v>985.9113</v>
      </c>
      <c r="Q461" s="92" t="n">
        <v>34735.13</v>
      </c>
      <c r="R461" s="94" t="n">
        <v>298908202.9179</v>
      </c>
      <c r="S461" s="94" t="n">
        <v>999265836.3361</v>
      </c>
      <c r="T461" s="95">
        <f>IF(OR(R461="",R460=""),"",R461-R460)</f>
        <v/>
      </c>
      <c r="U461" s="95">
        <f>IF(OR(S461="",S460=""),"",S461-S460)</f>
        <v/>
      </c>
      <c r="V461" s="95">
        <f>IF(OR(U461="",P461=""),"",U461+P461)</f>
        <v/>
      </c>
      <c r="W461" s="95">
        <f>IF(OR(T461="",O461="",P461=""),"",T461-O461+P461)</f>
        <v/>
      </c>
    </row>
    <row r="462">
      <c r="A462" s="35" t="n">
        <v>46116</v>
      </c>
      <c r="B462" s="92" t="n">
        <v>1226038192.495134</v>
      </c>
      <c r="C462" s="92" t="n">
        <v>72708449.84804694</v>
      </c>
      <c r="D462" s="92" t="n">
        <v>213968572</v>
      </c>
      <c r="E462" s="92" t="n">
        <v>387540.53</v>
      </c>
      <c r="F462" s="92" t="n">
        <v>22577</v>
      </c>
      <c r="G462" s="92" t="n">
        <v>5076</v>
      </c>
      <c r="H462" s="92" t="n">
        <v>16977</v>
      </c>
      <c r="I462" s="92" t="n">
        <v>23303</v>
      </c>
      <c r="J462" s="92" t="n">
        <v>1772.13652051325</v>
      </c>
      <c r="K462" s="92" t="n">
        <v>0</v>
      </c>
      <c r="L462" s="94" t="n">
        <v>10794.08</v>
      </c>
      <c r="M462" s="92" t="n">
        <v>387540.53</v>
      </c>
      <c r="N462" s="94" t="n">
        <v>42920232.58255512</v>
      </c>
      <c r="O462" s="94" t="n">
        <v>26401.5238</v>
      </c>
      <c r="P462" s="94" t="n">
        <v>800.5732</v>
      </c>
      <c r="Q462" s="92" t="n">
        <v>28521.62</v>
      </c>
      <c r="R462" s="94" t="n">
        <v>298898899.9127</v>
      </c>
      <c r="S462" s="94" t="n">
        <v>999265035.7629</v>
      </c>
      <c r="T462" s="95">
        <f>IF(OR(R462="",R461=""),"",R462-R461)</f>
        <v/>
      </c>
      <c r="U462" s="95">
        <f>IF(OR(S462="",S461=""),"",S462-S461)</f>
        <v/>
      </c>
      <c r="V462" s="95">
        <f>IF(OR(U462="",P462=""),"",U462+P462)</f>
        <v/>
      </c>
      <c r="W462" s="95">
        <f>IF(OR(T462="",O462="",P462=""),"",T462-O462+P462)</f>
        <v/>
      </c>
    </row>
    <row r="463">
      <c r="A463" s="35" t="n">
        <v>46117</v>
      </c>
      <c r="B463" s="92" t="n">
        <v>2432535927.297774</v>
      </c>
      <c r="C463" s="92" t="n">
        <v>44176365.32007252</v>
      </c>
      <c r="D463" s="92" t="n">
        <v>760846881</v>
      </c>
      <c r="E463" s="92" t="n">
        <v>584199.17</v>
      </c>
      <c r="F463" s="92" t="n">
        <v>50131</v>
      </c>
      <c r="G463" s="92" t="n">
        <v>17048</v>
      </c>
      <c r="H463" s="92" t="n">
        <v>25904</v>
      </c>
      <c r="I463" s="92" t="n">
        <v>33119</v>
      </c>
      <c r="J463" s="92" t="n">
        <v>2894.024783761015</v>
      </c>
      <c r="K463" s="92" t="n">
        <v>0</v>
      </c>
      <c r="L463" s="94" t="n">
        <v>16362.22</v>
      </c>
      <c r="M463" s="92" t="n">
        <v>584199.17</v>
      </c>
      <c r="N463" s="94" t="n">
        <v>42945222.82255512</v>
      </c>
      <c r="O463" s="94" t="n">
        <v>26393.4448</v>
      </c>
      <c r="P463" s="94" t="n">
        <v>125.9566</v>
      </c>
      <c r="Q463" s="92" t="n">
        <v>4563.72</v>
      </c>
      <c r="R463" s="94" t="n">
        <v>298899737.2242</v>
      </c>
      <c r="S463" s="94" t="n">
        <v>999264909.8063999</v>
      </c>
      <c r="T463" s="95">
        <f>IF(OR(R463="",R462=""),"",R463-R462)</f>
        <v/>
      </c>
      <c r="U463" s="95">
        <f>IF(OR(S463="",S462=""),"",S463-S462)</f>
        <v/>
      </c>
      <c r="V463" s="95">
        <f>IF(OR(U463="",P463=""),"",U463+P463)</f>
        <v/>
      </c>
      <c r="W463" s="95">
        <f>IF(OR(T463="",O463="",P463=""),"",T463-O463+P463)</f>
        <v/>
      </c>
    </row>
    <row r="464">
      <c r="A464" s="35" t="n">
        <v>46118</v>
      </c>
      <c r="B464" s="92" t="n">
        <v>4590159582.750603</v>
      </c>
      <c r="C464" s="92" t="n">
        <v>66191263.26683038</v>
      </c>
      <c r="D464" s="92" t="n">
        <v>2682336979</v>
      </c>
      <c r="E464" s="92" t="n">
        <v>1704830.87</v>
      </c>
      <c r="F464" s="92" t="n">
        <v>135791</v>
      </c>
      <c r="G464" s="92" t="n">
        <v>47895</v>
      </c>
      <c r="H464" s="92" t="n">
        <v>34608</v>
      </c>
      <c r="I464" s="92" t="n">
        <v>47287</v>
      </c>
      <c r="J464" s="92" t="n">
        <v>6572.948748723747</v>
      </c>
      <c r="K464" s="92" t="n">
        <v>0</v>
      </c>
      <c r="L464" s="94" t="n">
        <v>46080.62</v>
      </c>
      <c r="M464" s="92" t="n">
        <v>1704830.87</v>
      </c>
      <c r="N464" s="94" t="n">
        <v>42982589.28255512</v>
      </c>
      <c r="O464" s="94" t="n">
        <v>26398.4528</v>
      </c>
      <c r="P464" s="94" t="n">
        <v>170.212</v>
      </c>
      <c r="Q464" s="92" t="n">
        <v>6242.53</v>
      </c>
      <c r="R464" s="94" t="n">
        <v>298886612.1286</v>
      </c>
      <c r="S464" s="94" t="n">
        <v>999264739.5943</v>
      </c>
      <c r="T464" s="95">
        <f>IF(OR(R464="",R463=""),"",R464-R463)</f>
        <v/>
      </c>
      <c r="U464" s="95">
        <f>IF(OR(S464="",S463=""),"",S464-S463)</f>
        <v/>
      </c>
      <c r="V464" s="95">
        <f>IF(OR(U464="",P464=""),"",U464+P464)</f>
        <v/>
      </c>
      <c r="W464" s="95">
        <f>IF(OR(T464="",O464="",P464=""),"",T464-O464+P464)</f>
        <v/>
      </c>
    </row>
    <row r="465">
      <c r="A465" s="35" t="n">
        <v>46119</v>
      </c>
      <c r="B465" s="92" t="n">
        <v>6302578550.97724</v>
      </c>
      <c r="C465" s="92" t="n">
        <v>99855394.43560618</v>
      </c>
      <c r="D465" s="92" t="n">
        <v>5528092258</v>
      </c>
      <c r="E465" s="92" t="n">
        <v>1312533.34</v>
      </c>
      <c r="F465" s="92" t="n">
        <v>253114</v>
      </c>
      <c r="G465" s="92" t="n">
        <v>95340</v>
      </c>
      <c r="H465" s="92" t="n">
        <v>53908</v>
      </c>
      <c r="I465" s="92" t="n">
        <v>75695</v>
      </c>
      <c r="J465" s="92" t="n">
        <v>9696.05685814286</v>
      </c>
      <c r="K465" s="92" t="n">
        <v>18167.93</v>
      </c>
      <c r="L465" s="94" t="n">
        <v>35674.93</v>
      </c>
      <c r="M465" s="92" t="n">
        <v>1312533.34</v>
      </c>
      <c r="N465" s="94" t="n">
        <v>43028187.78255512</v>
      </c>
      <c r="O465" s="94" t="n">
        <v>26394.3754</v>
      </c>
      <c r="P465" s="94" t="n">
        <v>1310.5848</v>
      </c>
      <c r="Q465" s="92" t="n">
        <v>47794.41</v>
      </c>
      <c r="R465" s="94" t="n">
        <v>299193305.0433</v>
      </c>
      <c r="S465" s="94" t="n">
        <v>999263429.0095</v>
      </c>
      <c r="T465" s="95">
        <f>IF(OR(R465="",R464=""),"",R465-R464)</f>
        <v/>
      </c>
      <c r="U465" s="95">
        <f>IF(OR(S465="",S464=""),"",S465-S464)</f>
        <v/>
      </c>
      <c r="V465" s="95">
        <f>IF(OR(U465="",P465=""),"",U465+P465)</f>
        <v/>
      </c>
      <c r="W465" s="95">
        <f>IF(OR(T465="",O465="",P465=""),"",T465-O465+P465)</f>
        <v/>
      </c>
    </row>
    <row r="466">
      <c r="A466" s="35" t="n">
        <v>46120</v>
      </c>
      <c r="B466" s="92" t="n">
        <v>5063425032.275625</v>
      </c>
      <c r="C466" s="92" t="n">
        <v>174585200.9165753</v>
      </c>
      <c r="D466" s="92" t="n">
        <v>4699564622</v>
      </c>
      <c r="E466" s="92" t="n">
        <v>2524696.89</v>
      </c>
      <c r="F466" s="92" t="n">
        <v>189252</v>
      </c>
      <c r="G466" s="92" t="n">
        <v>74140</v>
      </c>
      <c r="H466" s="92" t="n">
        <v>74580</v>
      </c>
      <c r="I466" s="92" t="n">
        <v>97142</v>
      </c>
      <c r="J466" s="92" t="n">
        <v>12612.89212441474</v>
      </c>
      <c r="K466" s="92" t="n">
        <v>0</v>
      </c>
      <c r="L466" s="94" t="n">
        <v>65114.98</v>
      </c>
      <c r="M466" s="92" t="n">
        <v>2524696.89</v>
      </c>
      <c r="N466" s="94" t="n">
        <v>43083756.47255512</v>
      </c>
      <c r="O466" s="94" t="n">
        <v>26391.4274</v>
      </c>
      <c r="P466" s="94" t="n">
        <v>961.1906</v>
      </c>
      <c r="Q466" s="92" t="n">
        <v>37090.42</v>
      </c>
      <c r="R466" s="94" t="n">
        <v>299158782.7241</v>
      </c>
      <c r="S466" s="94" t="n">
        <v>999262467.8189</v>
      </c>
      <c r="T466" s="95">
        <f>IF(OR(R466="",R465=""),"",R466-R465)</f>
        <v/>
      </c>
      <c r="U466" s="95">
        <f>IF(OR(S466="",S465=""),"",S466-S465)</f>
        <v/>
      </c>
      <c r="V466" s="95">
        <f>IF(OR(U466="",P466=""),"",U466+P466)</f>
        <v/>
      </c>
      <c r="W466" s="95">
        <f>IF(OR(T466="",O466="",P466=""),"",T466-O466+P466)</f>
        <v/>
      </c>
    </row>
    <row r="467">
      <c r="A467" s="35" t="n">
        <v>46121</v>
      </c>
      <c r="B467" s="92" t="n">
        <v>5133468929.505552</v>
      </c>
      <c r="C467" s="92" t="n">
        <v>217216099.0531068</v>
      </c>
      <c r="D467" s="92" t="n">
        <v>3302527668</v>
      </c>
      <c r="E467" s="92" t="n">
        <v>1671725.46</v>
      </c>
      <c r="F467" s="92" t="n">
        <v>150897</v>
      </c>
      <c r="G467" s="92" t="n">
        <v>57680</v>
      </c>
      <c r="H467" s="92" t="n">
        <v>45143</v>
      </c>
      <c r="I467" s="92" t="n">
        <v>60612</v>
      </c>
      <c r="J467" s="92" t="n">
        <v>7924.158229249182</v>
      </c>
      <c r="K467" s="92" t="n">
        <v>19396.77</v>
      </c>
      <c r="L467" s="94" t="n">
        <v>42446.07</v>
      </c>
      <c r="M467" s="92" t="n">
        <v>1671725.46</v>
      </c>
      <c r="N467" s="94" t="n">
        <v>43125924.83255512</v>
      </c>
      <c r="O467" s="94" t="n">
        <v>26388.9572</v>
      </c>
      <c r="P467" s="94" t="n">
        <v>1181.5189</v>
      </c>
      <c r="Q467" s="92" t="n">
        <v>45311.25</v>
      </c>
      <c r="R467" s="94" t="n">
        <v>299114078.7858</v>
      </c>
      <c r="S467" s="94" t="n">
        <v>999261286.3</v>
      </c>
      <c r="T467" s="95">
        <f>IF(OR(R467="",R466=""),"",R467-R466)</f>
        <v/>
      </c>
      <c r="U467" s="95">
        <f>IF(OR(S467="",S466=""),"",S467-S466)</f>
        <v/>
      </c>
      <c r="V467" s="95">
        <f>IF(OR(U467="",P467=""),"",U467+P467)</f>
        <v/>
      </c>
      <c r="W467" s="95">
        <f>IF(OR(T467="",O467="",P467=""),"",T467-O467+P467)</f>
        <v/>
      </c>
    </row>
    <row r="468">
      <c r="A468" s="35" t="n">
        <v>46122</v>
      </c>
      <c r="B468" s="92" t="n">
        <v>3918901951.825997</v>
      </c>
      <c r="C468" s="92" t="n">
        <v>127150110.44166</v>
      </c>
      <c r="D468" s="92" t="n">
        <v>2007679018</v>
      </c>
      <c r="E468" s="92" t="n">
        <v>1295503.62</v>
      </c>
      <c r="F468" s="92" t="n">
        <v>101567</v>
      </c>
      <c r="G468" s="92" t="n">
        <v>37464</v>
      </c>
      <c r="H468" s="92" t="n">
        <v>56613</v>
      </c>
      <c r="I468" s="92" t="n">
        <v>69574</v>
      </c>
      <c r="J468" s="92" t="n">
        <v>10642.36891291499</v>
      </c>
      <c r="K468" s="92" t="n">
        <v>0</v>
      </c>
      <c r="L468" s="94" t="n">
        <v>31405.46</v>
      </c>
      <c r="M468" s="92" t="n">
        <v>1295503.62</v>
      </c>
      <c r="N468" s="94" t="n">
        <v>43157463.56255512</v>
      </c>
      <c r="O468" s="94" t="n">
        <v>26243.2147</v>
      </c>
      <c r="P468" s="94" t="n">
        <v>841.2268</v>
      </c>
      <c r="Q468" s="92" t="n">
        <v>33605.33</v>
      </c>
      <c r="R468" s="94" t="n">
        <v>299082847.4439</v>
      </c>
      <c r="S468" s="94" t="n">
        <v>999260445.0732</v>
      </c>
      <c r="T468" s="95">
        <f>IF(OR(R468="",R467=""),"",R468-R467)</f>
        <v/>
      </c>
      <c r="U468" s="95">
        <f>IF(OR(S468="",S467=""),"",S468-S467)</f>
        <v/>
      </c>
      <c r="V468" s="95">
        <f>IF(OR(U468="",P468=""),"",U468+P468)</f>
        <v/>
      </c>
      <c r="W468" s="95">
        <f>IF(OR(T468="",O468="",P468=""),"",T468-O468+P468)</f>
        <v/>
      </c>
    </row>
    <row r="469">
      <c r="A469" s="35" t="n">
        <v>46123</v>
      </c>
      <c r="B469" s="92" t="n">
        <v>2262767375.178993</v>
      </c>
      <c r="C469" s="92" t="n">
        <v>138249908.4593867</v>
      </c>
      <c r="D469" s="92" t="n">
        <v>545436419</v>
      </c>
      <c r="E469" s="92" t="n">
        <v>751239.75</v>
      </c>
      <c r="F469" s="92" t="n">
        <v>46194</v>
      </c>
      <c r="G469" s="92" t="n">
        <v>11967</v>
      </c>
      <c r="H469" s="92" t="n">
        <v>36400</v>
      </c>
      <c r="I469" s="92" t="n">
        <v>49045</v>
      </c>
      <c r="J469" s="92" t="n">
        <v>6216.601956952431</v>
      </c>
      <c r="K469" s="92" t="n">
        <v>0</v>
      </c>
      <c r="L469" s="94" t="n">
        <v>17727.89</v>
      </c>
      <c r="M469" s="92" t="n">
        <v>751239.75</v>
      </c>
      <c r="N469" s="94" t="n">
        <v>43175392.31255512</v>
      </c>
      <c r="O469" s="94" t="n">
        <v>26333.5006</v>
      </c>
      <c r="P469" s="94" t="n">
        <v>435.9036</v>
      </c>
      <c r="Q469" s="92" t="n">
        <v>18129.89</v>
      </c>
      <c r="R469" s="94" t="n">
        <v>299062790.4496</v>
      </c>
      <c r="S469" s="94" t="n">
        <v>999260009.1696</v>
      </c>
      <c r="T469" s="95">
        <f>IF(OR(R469="",R468=""),"",R469-R468)</f>
        <v/>
      </c>
      <c r="U469" s="95">
        <f>IF(OR(S469="",S468=""),"",S469-S468)</f>
        <v/>
      </c>
      <c r="V469" s="95">
        <f>IF(OR(U469="",P469=""),"",U469+P469)</f>
        <v/>
      </c>
      <c r="W469" s="95">
        <f>IF(OR(T469="",O469="",P469=""),"",T469-O469+P469)</f>
        <v/>
      </c>
    </row>
    <row r="470">
      <c r="A470" s="35" t="n">
        <v>46124</v>
      </c>
      <c r="B470" s="92" t="n">
        <v>3468909566.284431</v>
      </c>
      <c r="C470" s="92" t="n">
        <v>88217601.30907029</v>
      </c>
      <c r="D470" s="92" t="n">
        <v>1980231785</v>
      </c>
      <c r="E470" s="92" t="n">
        <v>1138369.82</v>
      </c>
      <c r="F470" s="92" t="n">
        <v>132906</v>
      </c>
      <c r="G470" s="92" t="n">
        <v>43429</v>
      </c>
      <c r="H470" s="92" t="n">
        <v>31665</v>
      </c>
      <c r="I470" s="92" t="n">
        <v>42336</v>
      </c>
      <c r="J470" s="92" t="n">
        <v>7164.283884746272</v>
      </c>
      <c r="K470" s="92" t="n">
        <v>0</v>
      </c>
      <c r="L470" s="94" t="n">
        <v>27717.87</v>
      </c>
      <c r="M470" s="92" t="n">
        <v>1138369.82</v>
      </c>
      <c r="N470" s="94" t="n">
        <v>43202403.85255512</v>
      </c>
      <c r="O470" s="94" t="n">
        <v>26419.8127</v>
      </c>
      <c r="P470" s="94" t="n">
        <v>718.5359</v>
      </c>
      <c r="Q470" s="92" t="n">
        <v>30568.67</v>
      </c>
      <c r="R470" s="94" t="n">
        <v>299056151.4334</v>
      </c>
      <c r="S470" s="94" t="n">
        <v>999259290.6337</v>
      </c>
      <c r="T470" s="95">
        <f>IF(OR(R470="",R469=""),"",R470-R469)</f>
        <v/>
      </c>
      <c r="U470" s="95">
        <f>IF(OR(S470="",S469=""),"",S470-S469)</f>
        <v/>
      </c>
      <c r="V470" s="95">
        <f>IF(OR(U470="",P470=""),"",U470+P470)</f>
        <v/>
      </c>
      <c r="W470" s="95">
        <f>IF(OR(T470="",O470="",P470=""),"",T470-O470+P470)</f>
        <v/>
      </c>
    </row>
    <row r="471">
      <c r="A471" s="35" t="n">
        <v>46125</v>
      </c>
      <c r="B471" s="92" t="n">
        <v>5230481568.688015</v>
      </c>
      <c r="C471" s="92" t="n">
        <v>96866263.05458033</v>
      </c>
      <c r="D471" s="92" t="n">
        <v>2678545110</v>
      </c>
      <c r="E471" s="92" t="n">
        <v>1682047.23</v>
      </c>
      <c r="F471" s="92" t="n">
        <v>141637</v>
      </c>
      <c r="G471" s="92" t="n">
        <v>50175</v>
      </c>
      <c r="H471" s="92" t="n">
        <v>48527</v>
      </c>
      <c r="I471" s="92" t="n">
        <v>59322</v>
      </c>
      <c r="J471" s="92" t="n">
        <v>11927.58847312924</v>
      </c>
      <c r="K471" s="92" t="n">
        <v>0</v>
      </c>
      <c r="L471" s="94" t="n">
        <v>39230.22</v>
      </c>
      <c r="M471" s="92" t="n">
        <v>1682047.23</v>
      </c>
      <c r="N471" s="94" t="n">
        <v>43242557.68255512</v>
      </c>
      <c r="O471" s="94" t="n">
        <v>26416.9001</v>
      </c>
      <c r="P471" s="94" t="n">
        <v>228.6712</v>
      </c>
      <c r="Q471" s="92" t="n">
        <v>9385.92</v>
      </c>
      <c r="R471" s="94" t="n">
        <v>299040913.9903</v>
      </c>
      <c r="S471" s="94" t="n">
        <v>999259061.9625</v>
      </c>
      <c r="T471" s="95">
        <f>IF(OR(R471="",R470=""),"",R471-R470)</f>
        <v/>
      </c>
      <c r="U471" s="95">
        <f>IF(OR(S471="",S470=""),"",S471-S470)</f>
        <v/>
      </c>
      <c r="V471" s="95">
        <f>IF(OR(U471="",P471=""),"",U471+P471)</f>
        <v/>
      </c>
      <c r="W471" s="95">
        <f>IF(OR(T471="",O471="",P471=""),"",T471-O471+P471)</f>
        <v/>
      </c>
    </row>
    <row r="472">
      <c r="A472" s="35" t="n">
        <v>46126</v>
      </c>
      <c r="B472" s="92" t="n">
        <v>5644182220.435517</v>
      </c>
      <c r="C472" s="92" t="n">
        <v>141907133.3442721</v>
      </c>
      <c r="D472" s="92" t="n">
        <v>2231679330</v>
      </c>
      <c r="E472" s="92" t="n">
        <v>1896392.55</v>
      </c>
      <c r="F472" s="92" t="n">
        <v>111623</v>
      </c>
      <c r="G472" s="92" t="n">
        <v>39313</v>
      </c>
      <c r="H472" s="92" t="n">
        <v>64541</v>
      </c>
      <c r="I472" s="92" t="n">
        <v>83581</v>
      </c>
      <c r="J472" s="92" t="n">
        <v>13024.60045250609</v>
      </c>
      <c r="K472" s="92" t="n">
        <v>0</v>
      </c>
      <c r="L472" s="94" t="n">
        <v>42938.42</v>
      </c>
      <c r="M472" s="92" t="n">
        <v>1896392.55</v>
      </c>
      <c r="N472" s="94" t="n">
        <v>43285637.74255512</v>
      </c>
      <c r="O472" s="94" t="n">
        <v>26453.2855</v>
      </c>
      <c r="P472" s="94" t="n">
        <v>997.557</v>
      </c>
      <c r="Q472" s="92" t="n">
        <v>44660.13</v>
      </c>
      <c r="R472" s="94" t="n">
        <v>299011827.7756</v>
      </c>
      <c r="S472" s="94" t="n">
        <v>999258064.4055001</v>
      </c>
      <c r="T472" s="95">
        <f>IF(OR(R472="",R471=""),"",R472-R471)</f>
        <v/>
      </c>
      <c r="U472" s="95">
        <f>IF(OR(S472="",S471=""),"",S472-S471)</f>
        <v/>
      </c>
      <c r="V472" s="95">
        <f>IF(OR(U472="",P472=""),"",U472+P472)</f>
        <v/>
      </c>
      <c r="W472" s="95">
        <f>IF(OR(T472="",O472="",P472=""),"",T472-O472+P472)</f>
        <v/>
      </c>
    </row>
    <row r="473">
      <c r="A473" s="35" t="n">
        <v>46127</v>
      </c>
      <c r="B473" s="92" t="n">
        <v>3989379482.780704</v>
      </c>
      <c r="C473" s="92" t="n">
        <v>171403754.2884946</v>
      </c>
      <c r="D473" s="92" t="n">
        <v>2053939952</v>
      </c>
      <c r="E473" s="92" t="n">
        <v>1324651.59</v>
      </c>
      <c r="F473" s="92" t="n">
        <v>108923</v>
      </c>
      <c r="G473" s="92" t="n">
        <v>39406</v>
      </c>
      <c r="H473" s="92" t="n">
        <v>44217</v>
      </c>
      <c r="I473" s="92" t="n">
        <v>58909</v>
      </c>
      <c r="J473" s="92" t="n">
        <v>10306.39943497868</v>
      </c>
      <c r="K473" s="92" t="n">
        <v>21750.05</v>
      </c>
      <c r="L473" s="94" t="n">
        <v>29919.89</v>
      </c>
      <c r="M473" s="92" t="n">
        <v>1324651.59</v>
      </c>
      <c r="N473" s="94" t="n">
        <v>43315329.98255512</v>
      </c>
      <c r="O473" s="94" t="n">
        <v>26464.6572</v>
      </c>
      <c r="P473" s="94" t="n">
        <v>421.2748</v>
      </c>
      <c r="Q473" s="92" t="n">
        <v>18450.78</v>
      </c>
      <c r="R473" s="94" t="n">
        <v>298980404.585</v>
      </c>
      <c r="S473" s="94" t="n">
        <v>999257643.1308</v>
      </c>
      <c r="T473" s="95">
        <f>IF(OR(R473="",R472=""),"",R473-R472)</f>
        <v/>
      </c>
      <c r="U473" s="95">
        <f>IF(OR(S473="",S472=""),"",S473-S472)</f>
        <v/>
      </c>
      <c r="V473" s="95">
        <f>IF(OR(U473="",P473=""),"",U473+P473)</f>
        <v/>
      </c>
      <c r="W473" s="95">
        <f>IF(OR(T473="",O473="",P473=""),"",T473-O473+P473)</f>
        <v/>
      </c>
    </row>
    <row r="474">
      <c r="A474" s="35" t="n">
        <v>46128</v>
      </c>
      <c r="B474" s="92" t="n">
        <v>5154986534.60062</v>
      </c>
      <c r="C474" s="92" t="n">
        <v>124970589.2392997</v>
      </c>
      <c r="D474" s="92" t="n">
        <v>1795518681</v>
      </c>
      <c r="E474" s="92" t="n">
        <v>1662817.42</v>
      </c>
      <c r="F474" s="92" t="n">
        <v>89009</v>
      </c>
      <c r="G474" s="92" t="n">
        <v>30197</v>
      </c>
      <c r="H474" s="92" t="n">
        <v>62800</v>
      </c>
      <c r="I474" s="92" t="n">
        <v>79066</v>
      </c>
      <c r="J474" s="92" t="n">
        <v>9956.86262909146</v>
      </c>
      <c r="K474" s="92" t="n">
        <v>0</v>
      </c>
      <c r="L474" s="94" t="n">
        <v>37404.67</v>
      </c>
      <c r="M474" s="92" t="n">
        <v>1662817.42</v>
      </c>
      <c r="N474" s="94" t="n">
        <v>43352296.74255512</v>
      </c>
      <c r="O474" s="94" t="n">
        <v>26464.5846</v>
      </c>
      <c r="P474" s="94" t="n">
        <v>1297.7344</v>
      </c>
      <c r="Q474" s="92" t="n">
        <v>57784.87</v>
      </c>
      <c r="R474" s="94" t="n">
        <v>298961489.8644</v>
      </c>
      <c r="S474" s="94" t="n">
        <v>999256345.3963</v>
      </c>
      <c r="T474" s="95">
        <f>IF(OR(R474="",R473=""),"",R474-R473)</f>
        <v/>
      </c>
      <c r="U474" s="95">
        <f>IF(OR(S474="",S473=""),"",S474-S473)</f>
        <v/>
      </c>
      <c r="V474" s="95">
        <f>IF(OR(U474="",P474=""),"",U474+P474)</f>
        <v/>
      </c>
      <c r="W474" s="95">
        <f>IF(OR(T474="",O474="",P474=""),"",T474-O474+P474)</f>
        <v/>
      </c>
    </row>
    <row r="475">
      <c r="A475" s="35" t="n">
        <v>46129</v>
      </c>
      <c r="B475" s="92" t="n">
        <v>5841059466.279771</v>
      </c>
      <c r="C475" s="92" t="n">
        <v>172639204.0934757</v>
      </c>
      <c r="D475" s="92" t="n">
        <v>2653685902</v>
      </c>
      <c r="E475" s="92" t="n">
        <v>1926748.5</v>
      </c>
      <c r="F475" s="92" t="n">
        <v>131751</v>
      </c>
      <c r="G475" s="92" t="n">
        <v>46442</v>
      </c>
      <c r="H475" s="92" t="n">
        <v>62537</v>
      </c>
      <c r="I475" s="92" t="n">
        <v>84416</v>
      </c>
      <c r="J475" s="92" t="n">
        <v>11526.6433888988</v>
      </c>
      <c r="K475" s="92" t="n">
        <v>22399.3</v>
      </c>
      <c r="L475" s="94" t="n">
        <v>43321.04</v>
      </c>
      <c r="M475" s="92" t="n">
        <v>1926748.5</v>
      </c>
      <c r="N475" s="94" t="n">
        <v>43395448.83255512</v>
      </c>
      <c r="O475" s="94" t="n">
        <v>26437.0983</v>
      </c>
      <c r="P475" s="94" t="n">
        <v>555.5300999999999</v>
      </c>
      <c r="Q475" s="92" t="n">
        <v>24494.99</v>
      </c>
      <c r="R475" s="94" t="n">
        <v>298936003.2527</v>
      </c>
      <c r="S475" s="94" t="n">
        <v>999255789.8663</v>
      </c>
      <c r="T475" s="95">
        <f>IF(OR(R475="",R474=""),"",R475-R474)</f>
        <v/>
      </c>
      <c r="U475" s="95">
        <f>IF(OR(S475="",S474=""),"",S475-S474)</f>
        <v/>
      </c>
      <c r="V475" s="95">
        <f>IF(OR(U475="",P475=""),"",U475+P475)</f>
        <v/>
      </c>
      <c r="W475" s="95">
        <f>IF(OR(T475="",O475="",P475=""),"",T475-O475+P475)</f>
        <v/>
      </c>
    </row>
    <row r="476">
      <c r="A476" s="35" t="n">
        <v>46130</v>
      </c>
      <c r="B476" s="92" t="n">
        <v>2687587472.868296</v>
      </c>
      <c r="C476" s="92" t="n">
        <v>184828362.4795361</v>
      </c>
      <c r="D476" s="92" t="n">
        <v>706595265</v>
      </c>
      <c r="E476" s="92" t="n">
        <v>877262.95</v>
      </c>
      <c r="F476" s="92" t="n">
        <v>64035</v>
      </c>
      <c r="G476" s="92" t="n">
        <v>18996</v>
      </c>
      <c r="H476" s="92" t="n">
        <v>30391</v>
      </c>
      <c r="I476" s="92" t="n">
        <v>38508</v>
      </c>
      <c r="J476" s="92" t="n">
        <v>6439.845551258521</v>
      </c>
      <c r="K476" s="92" t="n">
        <v>0</v>
      </c>
      <c r="L476" s="94" t="n">
        <v>19741.81</v>
      </c>
      <c r="M476" s="92" t="n">
        <v>877262.95</v>
      </c>
      <c r="N476" s="94" t="n">
        <v>43415762.77255512</v>
      </c>
      <c r="O476" s="94" t="n">
        <v>26451.3725</v>
      </c>
      <c r="P476" s="94" t="n">
        <v>1425.6598</v>
      </c>
      <c r="Q476" s="92" t="n">
        <v>63823.94</v>
      </c>
      <c r="R476" s="94" t="n">
        <v>298903478.0055</v>
      </c>
      <c r="S476" s="94" t="n">
        <v>999254364.2064</v>
      </c>
      <c r="T476" s="95">
        <f>IF(OR(R476="",R475=""),"",R476-R475)</f>
        <v/>
      </c>
      <c r="U476" s="95">
        <f>IF(OR(S476="",S475=""),"",S476-S475)</f>
        <v/>
      </c>
      <c r="V476" s="95">
        <f>IF(OR(U476="",P476=""),"",U476+P476)</f>
        <v/>
      </c>
      <c r="W476" s="95">
        <f>IF(OR(T476="",O476="",P476=""),"",T476-O476+P476)</f>
        <v/>
      </c>
    </row>
    <row r="477">
      <c r="A477" s="35" t="n">
        <v>46131</v>
      </c>
      <c r="B477" s="92" t="n">
        <v>4209440973.015116</v>
      </c>
      <c r="C477" s="92" t="n">
        <v>79542948.86399107</v>
      </c>
      <c r="D477" s="92" t="n">
        <v>1108742979</v>
      </c>
      <c r="E477" s="92" t="n">
        <v>1367863.42</v>
      </c>
      <c r="F477" s="92" t="n">
        <v>79880</v>
      </c>
      <c r="G477" s="92" t="n">
        <v>25193</v>
      </c>
      <c r="H477" s="92" t="n">
        <v>48237</v>
      </c>
      <c r="I477" s="92" t="n">
        <v>60343</v>
      </c>
      <c r="J477" s="92" t="n">
        <v>8494.466492733029</v>
      </c>
      <c r="K477" s="92" t="n">
        <v>0</v>
      </c>
      <c r="L477" s="94" t="n">
        <v>32142.71</v>
      </c>
      <c r="M477" s="92" t="n">
        <v>1367863.42</v>
      </c>
      <c r="N477" s="94" t="n">
        <v>43447726.66255512</v>
      </c>
      <c r="O477" s="94" t="n">
        <v>26456.7739</v>
      </c>
      <c r="P477" s="94" t="n">
        <v>153.5438</v>
      </c>
      <c r="Q477" s="92" t="n">
        <v>6711.01</v>
      </c>
      <c r="R477" s="94" t="n">
        <v>298895048.179</v>
      </c>
      <c r="S477" s="94" t="n">
        <v>999254210.6627001</v>
      </c>
      <c r="T477" s="95">
        <f>IF(OR(R477="",R476=""),"",R477-R476)</f>
        <v/>
      </c>
      <c r="U477" s="95">
        <f>IF(OR(S477="",S476=""),"",S477-S476)</f>
        <v/>
      </c>
      <c r="V477" s="95">
        <f>IF(OR(U477="",P477=""),"",U477+P477)</f>
        <v/>
      </c>
      <c r="W477" s="95">
        <f>IF(OR(T477="",O477="",P477=""),"",T477-O477+P477)</f>
        <v/>
      </c>
    </row>
    <row r="478">
      <c r="A478" s="35" t="n">
        <v>46132</v>
      </c>
      <c r="B478" s="92" t="n">
        <v>4065641182.017642</v>
      </c>
      <c r="C478" s="92" t="n">
        <v>138287498.5227357</v>
      </c>
      <c r="D478" s="92" t="n">
        <v>2138804366</v>
      </c>
      <c r="E478" s="92" t="n">
        <v>1298285.79</v>
      </c>
      <c r="F478" s="92" t="n">
        <v>105281</v>
      </c>
      <c r="G478" s="92" t="n">
        <v>38269</v>
      </c>
      <c r="H478" s="92" t="n">
        <v>35796</v>
      </c>
      <c r="I478" s="92" t="n">
        <v>49071</v>
      </c>
      <c r="J478" s="92" t="n">
        <v>8332.265406746117</v>
      </c>
      <c r="K478" s="92" t="n">
        <v>20321.64</v>
      </c>
      <c r="L478" s="94" t="n">
        <v>31533.61</v>
      </c>
      <c r="M478" s="92" t="n">
        <v>1298285.79</v>
      </c>
      <c r="N478" s="94" t="n">
        <v>43479794.67255512</v>
      </c>
      <c r="O478" s="94" t="n">
        <v>26450.7888</v>
      </c>
      <c r="P478" s="94" t="n">
        <v>773.1407</v>
      </c>
      <c r="Q478" s="92" t="n">
        <v>31767.97</v>
      </c>
      <c r="R478" s="94" t="n">
        <v>298874352.6987</v>
      </c>
      <c r="S478" s="94" t="n">
        <v>999253437.5219001</v>
      </c>
      <c r="T478" s="95">
        <f>IF(OR(R478="",R477=""),"",R478-R477)</f>
        <v/>
      </c>
      <c r="U478" s="95">
        <f>IF(OR(S478="",S477=""),"",S478-S477)</f>
        <v/>
      </c>
      <c r="V478" s="95">
        <f>IF(OR(U478="",P478=""),"",U478+P478)</f>
        <v/>
      </c>
      <c r="W478" s="95">
        <f>IF(OR(T478="",O478="",P478=""),"",T478-O478+P478)</f>
        <v/>
      </c>
    </row>
    <row r="479">
      <c r="A479" s="35" t="n">
        <v>46133</v>
      </c>
      <c r="B479" s="92" t="n">
        <v>4958760244.691219</v>
      </c>
      <c r="C479" s="92" t="n">
        <v>122420465.0404546</v>
      </c>
      <c r="D479" s="92" t="n">
        <v>2529732384</v>
      </c>
      <c r="E479" s="92" t="n">
        <v>1613418.45</v>
      </c>
      <c r="F479" s="92" t="n">
        <v>133363</v>
      </c>
      <c r="G479" s="92" t="n">
        <v>47499</v>
      </c>
      <c r="H479" s="92" t="n">
        <v>56201</v>
      </c>
      <c r="I479" s="92" t="n">
        <v>74746</v>
      </c>
      <c r="J479" s="92" t="n">
        <v>10976.8931625734</v>
      </c>
      <c r="K479" s="92" t="n">
        <v>20338.26</v>
      </c>
      <c r="L479" s="94" t="n">
        <v>40177.93</v>
      </c>
      <c r="M479" s="92" t="n">
        <v>1613418.45</v>
      </c>
      <c r="N479" s="94" t="n">
        <v>43520699.47255512</v>
      </c>
      <c r="O479" s="94" t="n">
        <v>26412.1852</v>
      </c>
      <c r="P479" s="94" t="n">
        <v>847.5674</v>
      </c>
      <c r="Q479" s="92" t="n">
        <v>34367.16</v>
      </c>
      <c r="R479" s="94" t="n">
        <v>298853454.0276</v>
      </c>
      <c r="S479" s="94" t="n">
        <v>999252589.9545</v>
      </c>
      <c r="T479" s="95">
        <f>IF(OR(R479="",R478=""),"",R479-R478)</f>
        <v/>
      </c>
      <c r="U479" s="95">
        <f>IF(OR(S479="",S478=""),"",S479-S478)</f>
        <v/>
      </c>
      <c r="V479" s="95">
        <f>IF(OR(U479="",P479=""),"",U479+P479)</f>
        <v/>
      </c>
      <c r="W479" s="95">
        <f>IF(OR(T479="",O479="",P479=""),"",T479-O479+P479)</f>
        <v/>
      </c>
    </row>
    <row r="480">
      <c r="A480" s="35" t="n">
        <v>46134</v>
      </c>
      <c r="B480" s="92" t="n">
        <v>4868076687.016136</v>
      </c>
      <c r="C480" s="92" t="n">
        <v>145899534.1127788</v>
      </c>
      <c r="D480" s="92" t="n">
        <v>1824491494</v>
      </c>
      <c r="E480" s="92" t="n">
        <v>1599024.3</v>
      </c>
      <c r="F480" s="92" t="n">
        <v>104584</v>
      </c>
      <c r="G480" s="92" t="n">
        <v>38229</v>
      </c>
      <c r="H480" s="92" t="n">
        <v>47656</v>
      </c>
      <c r="I480" s="92" t="n">
        <v>67009</v>
      </c>
      <c r="J480" s="92" t="n">
        <v>8501.708875351695</v>
      </c>
      <c r="K480" s="92" t="n">
        <v>0</v>
      </c>
      <c r="L480" s="94" t="n">
        <v>39255.84</v>
      </c>
      <c r="M480" s="92" t="n">
        <v>1599024.3</v>
      </c>
      <c r="N480" s="94" t="n">
        <v>43560852.33255512</v>
      </c>
      <c r="O480" s="94" t="n">
        <v>26430.8213</v>
      </c>
      <c r="P480" s="94" t="n">
        <v>985.4899</v>
      </c>
      <c r="Q480" s="92" t="n">
        <v>39235.8</v>
      </c>
      <c r="R480" s="94" t="n">
        <v>298823575.5293</v>
      </c>
      <c r="S480" s="94" t="n">
        <v>999251604.4646</v>
      </c>
      <c r="T480" s="95">
        <f>IF(OR(R480="",R479=""),"",R480-R479)</f>
        <v/>
      </c>
      <c r="U480" s="95">
        <f>IF(OR(S480="",S479=""),"",S480-S479)</f>
        <v/>
      </c>
      <c r="V480" s="95">
        <f>IF(OR(U480="",P480=""),"",U480+P480)</f>
        <v/>
      </c>
      <c r="W480" s="95">
        <f>IF(OR(T480="",O480="",P480=""),"",T480-O480+P480)</f>
        <v/>
      </c>
    </row>
    <row r="481">
      <c r="A481" s="35" t="n">
        <v>46135</v>
      </c>
      <c r="B481" s="92" t="n">
        <v>4940418400.298647</v>
      </c>
      <c r="C481" s="92" t="n">
        <v>133853956.7311297</v>
      </c>
      <c r="D481" s="92" t="n">
        <v>2696815733</v>
      </c>
      <c r="E481" s="92" t="n">
        <v>1550566.83</v>
      </c>
      <c r="F481" s="92" t="n">
        <v>123878</v>
      </c>
      <c r="G481" s="92" t="n">
        <v>42729</v>
      </c>
      <c r="H481" s="92" t="n">
        <v>38869</v>
      </c>
      <c r="I481" s="92" t="n">
        <v>53928</v>
      </c>
      <c r="J481" s="92" t="n">
        <v>9838.29461309434</v>
      </c>
      <c r="K481" s="92" t="n">
        <v>0</v>
      </c>
      <c r="L481" s="94" t="n">
        <v>37675.3</v>
      </c>
      <c r="M481" s="92" t="n">
        <v>1550566.83</v>
      </c>
      <c r="N481" s="94" t="n">
        <v>43596546.74255512</v>
      </c>
      <c r="O481" s="94" t="n">
        <v>26430.9951</v>
      </c>
      <c r="P481" s="94" t="n">
        <v>990.9312</v>
      </c>
      <c r="Q481" s="92" t="n">
        <v>40886.32</v>
      </c>
      <c r="R481" s="94" t="n">
        <v>298794440.1407</v>
      </c>
      <c r="S481" s="94" t="n">
        <v>999250613.5334001</v>
      </c>
      <c r="T481" s="95">
        <f>IF(OR(R481="",R480=""),"",R481-R480)</f>
        <v/>
      </c>
      <c r="U481" s="95">
        <f>IF(OR(S481="",S480=""),"",S481-S480)</f>
        <v/>
      </c>
      <c r="V481" s="95">
        <f>IF(OR(U481="",P481=""),"",U481+P481)</f>
        <v/>
      </c>
      <c r="W481" s="95">
        <f>IF(OR(T481="",O481="",P481=""),"",T481-O481+P481)</f>
        <v/>
      </c>
    </row>
    <row r="482">
      <c r="A482" s="35" t="n">
        <v>46136</v>
      </c>
      <c r="B482" s="92" t="n">
        <v>3303601452.698253</v>
      </c>
      <c r="C482" s="92" t="n">
        <v>106687405.3416997</v>
      </c>
      <c r="D482" s="92" t="n">
        <v>2240203300</v>
      </c>
      <c r="E482" s="92" t="n">
        <v>1038979.35</v>
      </c>
      <c r="F482" s="92" t="n">
        <v>104354</v>
      </c>
      <c r="G482" s="92" t="n">
        <v>35163</v>
      </c>
      <c r="H482" s="92" t="n">
        <v>31477</v>
      </c>
      <c r="I482" s="92" t="n">
        <v>44984</v>
      </c>
      <c r="J482" s="92" t="n">
        <v>3602.895434012749</v>
      </c>
      <c r="K482" s="92" t="n">
        <v>0</v>
      </c>
      <c r="L482" s="94" t="n">
        <v>25292.92</v>
      </c>
      <c r="M482" s="92" t="n">
        <v>1038979.35</v>
      </c>
      <c r="N482" s="94" t="n">
        <v>43621280.75255512</v>
      </c>
      <c r="O482" s="94" t="n">
        <v>26417.9951</v>
      </c>
      <c r="P482" s="94" t="n">
        <v>356.0936</v>
      </c>
      <c r="Q482" s="92" t="n">
        <v>14705.06</v>
      </c>
      <c r="R482" s="94" t="n">
        <v>298770375.4407</v>
      </c>
      <c r="S482" s="94" t="n">
        <v>999250257.4399</v>
      </c>
      <c r="T482" s="95">
        <f>IF(OR(R482="",R481=""),"",R482-R481)</f>
        <v/>
      </c>
      <c r="U482" s="95">
        <f>IF(OR(S482="",S481=""),"",S482-S481)</f>
        <v/>
      </c>
      <c r="V482" s="95">
        <f>IF(OR(U482="",P482=""),"",U482+P482)</f>
        <v/>
      </c>
      <c r="W482" s="95">
        <f>IF(OR(T482="",O482="",P482=""),"",T482-O482+P482)</f>
        <v/>
      </c>
    </row>
    <row r="483">
      <c r="A483" s="35" t="n">
        <v>46137</v>
      </c>
      <c r="B483" s="92" t="n">
        <v>1381000860.840746</v>
      </c>
      <c r="C483" s="92" t="n">
        <v>92234972.6876805</v>
      </c>
      <c r="D483" s="92" t="n">
        <v>317463935</v>
      </c>
      <c r="E483" s="92" t="n">
        <v>420523.08</v>
      </c>
      <c r="F483" s="92" t="n">
        <v>26377</v>
      </c>
      <c r="G483" s="92" t="n">
        <v>7370</v>
      </c>
      <c r="H483" s="92" t="n">
        <v>21311</v>
      </c>
      <c r="I483" s="92" t="n">
        <v>28026</v>
      </c>
      <c r="J483" s="92" t="n">
        <v>2575.353904557463</v>
      </c>
      <c r="K483" s="92" t="n">
        <v>0</v>
      </c>
      <c r="L483" s="94" t="n">
        <v>10174.42</v>
      </c>
      <c r="M483" s="92" t="n">
        <v>420523.08</v>
      </c>
      <c r="N483" s="94" t="n">
        <v>43631915.15255512</v>
      </c>
      <c r="O483" s="94" t="n">
        <v>26409.5577</v>
      </c>
      <c r="P483" s="94" t="n">
        <v>924.3055000000001</v>
      </c>
      <c r="Q483" s="92" t="n">
        <v>37925.64</v>
      </c>
      <c r="R483" s="94" t="n">
        <v>298756698.5192</v>
      </c>
      <c r="S483" s="94" t="n">
        <v>999249333.1344</v>
      </c>
      <c r="T483" s="95">
        <f>IF(OR(R483="",R482=""),"",R483-R482)</f>
        <v/>
      </c>
      <c r="U483" s="95">
        <f>IF(OR(S483="",S482=""),"",S483-S482)</f>
        <v/>
      </c>
      <c r="V483" s="95">
        <f>IF(OR(U483="",P483=""),"",U483+P483)</f>
        <v/>
      </c>
      <c r="W483" s="95">
        <f>IF(OR(T483="",O483="",P483=""),"",T483-O483+P483)</f>
        <v/>
      </c>
    </row>
    <row r="484">
      <c r="A484" s="35" t="n">
        <v>46138</v>
      </c>
      <c r="B484" s="92" t="n">
        <v>2116032089.716197</v>
      </c>
      <c r="C484" s="92" t="n">
        <v>45717665.66779094</v>
      </c>
      <c r="D484" s="92" t="n">
        <v>600112586</v>
      </c>
      <c r="E484" s="92" t="n">
        <v>674414.1</v>
      </c>
      <c r="F484" s="92" t="n">
        <v>61882</v>
      </c>
      <c r="G484" s="92" t="n">
        <v>23199</v>
      </c>
      <c r="H484" s="92" t="n">
        <v>27303</v>
      </c>
      <c r="I484" s="92" t="n">
        <v>38494</v>
      </c>
      <c r="J484" s="92" t="n">
        <v>3342.005660513506</v>
      </c>
      <c r="K484" s="92" t="n">
        <v>0</v>
      </c>
      <c r="L484" s="94" t="n">
        <v>16236.7</v>
      </c>
      <c r="M484" s="92" t="n">
        <v>674414.1</v>
      </c>
      <c r="N484" s="94" t="n">
        <v>43648827.96255512</v>
      </c>
      <c r="O484" s="94" t="n">
        <v>26388.9231</v>
      </c>
      <c r="P484" s="94" t="n">
        <v>207.8372</v>
      </c>
      <c r="Q484" s="92" t="n">
        <v>8597.08</v>
      </c>
      <c r="R484" s="94" t="n">
        <v>298757824.8433</v>
      </c>
      <c r="S484" s="94" t="n">
        <v>999249125.2972</v>
      </c>
      <c r="T484" s="95">
        <f>IF(OR(R484="",R483=""),"",R484-R483)</f>
        <v/>
      </c>
      <c r="U484" s="95">
        <f>IF(OR(S484="",S483=""),"",S484-S483)</f>
        <v/>
      </c>
      <c r="V484" s="95">
        <f>IF(OR(U484="",P484=""),"",U484+P484)</f>
        <v/>
      </c>
      <c r="W484" s="95">
        <f>IF(OR(T484="",O484="",P484=""),"",T484-O484+P484)</f>
        <v/>
      </c>
    </row>
    <row r="485">
      <c r="A485" s="35" t="n">
        <v>46139</v>
      </c>
      <c r="B485" s="92" t="n">
        <v>4019555900.439218</v>
      </c>
      <c r="C485" s="92" t="n">
        <v>77354686.38303907</v>
      </c>
      <c r="D485" s="92" t="n">
        <v>1708465194</v>
      </c>
      <c r="E485" s="92" t="n">
        <v>1313096.15</v>
      </c>
      <c r="F485" s="92" t="n">
        <v>87245</v>
      </c>
      <c r="G485" s="92" t="n">
        <v>31474</v>
      </c>
      <c r="H485" s="92" t="n">
        <v>40452</v>
      </c>
      <c r="I485" s="92" t="n">
        <v>58044</v>
      </c>
      <c r="J485" s="92" t="n">
        <v>7543.868745531192</v>
      </c>
      <c r="K485" s="92" t="n">
        <v>0</v>
      </c>
      <c r="L485" s="94" t="n">
        <v>31064.46</v>
      </c>
      <c r="M485" s="92" t="n">
        <v>1313096.15</v>
      </c>
      <c r="N485" s="94" t="n">
        <v>43678511.34255512</v>
      </c>
      <c r="O485" s="94" t="n">
        <v>26407.345</v>
      </c>
      <c r="P485" s="94" t="n">
        <v>283.5182</v>
      </c>
      <c r="Q485" s="92" t="n">
        <v>12046.12</v>
      </c>
      <c r="R485" s="94" t="n">
        <v>298752606.7237</v>
      </c>
      <c r="S485" s="94" t="n">
        <v>999248841.779</v>
      </c>
      <c r="T485" s="95">
        <f>IF(OR(R485="",R484=""),"",R485-R484)</f>
        <v/>
      </c>
      <c r="U485" s="95">
        <f>IF(OR(S485="",S484=""),"",S485-S484)</f>
        <v/>
      </c>
      <c r="V485" s="95">
        <f>IF(OR(U485="",P485=""),"",U485+P485)</f>
        <v/>
      </c>
      <c r="W485" s="95">
        <f>IF(OR(T485="",O485="",P485=""),"",T485-O485+P485)</f>
        <v/>
      </c>
    </row>
    <row r="486">
      <c r="A486" s="35" t="n">
        <v>46140</v>
      </c>
      <c r="B486" s="92" t="n">
        <v>3400449849.656139</v>
      </c>
      <c r="C486" s="92" t="n">
        <v>127110960.2871392</v>
      </c>
      <c r="D486" s="92" t="n">
        <v>2420248727</v>
      </c>
      <c r="E486" s="92" t="n">
        <v>1154158.92</v>
      </c>
      <c r="F486" s="92" t="n">
        <v>117406</v>
      </c>
      <c r="G486" s="92" t="n">
        <v>42497</v>
      </c>
      <c r="H486" s="92" t="n">
        <v>41351</v>
      </c>
      <c r="I486" s="92" t="n">
        <v>51372</v>
      </c>
      <c r="J486" s="92" t="n">
        <v>6028.578662241444</v>
      </c>
      <c r="K486" s="92" t="n">
        <v>0</v>
      </c>
      <c r="L486" s="94" t="n">
        <v>28585.59</v>
      </c>
      <c r="M486" s="92" t="n">
        <v>1154158.92</v>
      </c>
      <c r="N486" s="94" t="n">
        <v>43707525.31255512</v>
      </c>
      <c r="O486" s="94" t="n">
        <v>26404.9879</v>
      </c>
      <c r="P486" s="94" t="n">
        <v>938.8835</v>
      </c>
      <c r="Q486" s="92" t="n">
        <v>39130.32</v>
      </c>
      <c r="R486" s="94" t="n">
        <v>298733978.5624</v>
      </c>
      <c r="S486" s="94" t="n">
        <v>999247902.8954999</v>
      </c>
      <c r="T486" s="95">
        <f>IF(OR(R486="",R485=""),"",R486-R485)</f>
        <v/>
      </c>
      <c r="U486" s="95">
        <f>IF(OR(S486="",S485=""),"",S486-S485)</f>
        <v/>
      </c>
      <c r="V486" s="95">
        <f>IF(OR(U486="",P486=""),"",U486+P486)</f>
        <v/>
      </c>
      <c r="W486" s="95">
        <f>IF(OR(T486="",O486="",P486=""),"",T486-O486+P486)</f>
        <v/>
      </c>
    </row>
    <row r="487">
      <c r="A487" s="35" t="n">
        <v>46141</v>
      </c>
      <c r="B487" s="92" t="n">
        <v>4867206843.13945</v>
      </c>
      <c r="C487" s="92" t="n">
        <v>94847219.42316581</v>
      </c>
      <c r="D487" s="92" t="n">
        <v>2935442747</v>
      </c>
      <c r="E487" s="92" t="n">
        <v>1585554.2</v>
      </c>
      <c r="F487" s="92" t="n">
        <v>149590</v>
      </c>
      <c r="G487" s="92" t="n">
        <v>54832</v>
      </c>
      <c r="H487" s="92" t="n">
        <v>38117</v>
      </c>
      <c r="I487" s="92" t="n">
        <v>54836</v>
      </c>
      <c r="J487" s="92" t="n">
        <v>6346.323261222924</v>
      </c>
      <c r="K487" s="92" t="n">
        <v>0</v>
      </c>
      <c r="L487" s="94" t="n">
        <v>39692.08</v>
      </c>
      <c r="M487" s="92" t="n">
        <v>1585554.2</v>
      </c>
      <c r="N487" s="94" t="n">
        <v>43747331.68255512</v>
      </c>
      <c r="O487" s="94" t="n">
        <v>26395.1682</v>
      </c>
      <c r="P487" s="94" t="n">
        <v>538.9661</v>
      </c>
      <c r="Q487" s="92" t="n">
        <v>21546.52</v>
      </c>
      <c r="R487" s="94" t="n">
        <v>298716404.9677</v>
      </c>
      <c r="S487" s="94" t="n">
        <v>999247363.9294</v>
      </c>
      <c r="T487" s="95">
        <f>IF(OR(R487="",R486=""),"",R487-R486)</f>
        <v/>
      </c>
      <c r="U487" s="95">
        <f>IF(OR(S487="",S486=""),"",S487-S486)</f>
        <v/>
      </c>
      <c r="V487" s="95">
        <f>IF(OR(U487="",P487=""),"",U487+P487)</f>
        <v/>
      </c>
      <c r="W487" s="95">
        <f>IF(OR(T487="",O487="",P487=""),"",T487-O487+P487)</f>
        <v/>
      </c>
    </row>
    <row r="488">
      <c r="A488" s="35" t="n">
        <v>46142</v>
      </c>
      <c r="B488" s="92" t="n">
        <v>3633545497.779272</v>
      </c>
      <c r="C488" s="92" t="n">
        <v>120108432.0035411</v>
      </c>
      <c r="D488" s="92" t="n">
        <v>2846404489</v>
      </c>
      <c r="E488" s="92" t="n">
        <v>1087242.53</v>
      </c>
      <c r="F488" s="92" t="n">
        <v>140441</v>
      </c>
      <c r="G488" s="92" t="n">
        <v>49834</v>
      </c>
      <c r="H488" s="92" t="n">
        <v>33383</v>
      </c>
      <c r="I488" s="92" t="n">
        <v>44667</v>
      </c>
      <c r="J488" s="92" t="n">
        <v>3714.748926953404</v>
      </c>
      <c r="K488" s="92" t="n">
        <v>0</v>
      </c>
      <c r="L488" s="94" t="n">
        <v>27607.63</v>
      </c>
      <c r="M488" s="92" t="n">
        <v>1087242.53</v>
      </c>
      <c r="N488" s="94" t="n">
        <v>43774396.64255512</v>
      </c>
      <c r="O488" s="94" t="n">
        <v>26383.3908</v>
      </c>
      <c r="P488" s="94" t="n">
        <v>1196.8639</v>
      </c>
      <c r="Q488" s="92" t="n">
        <v>47721.96</v>
      </c>
      <c r="R488" s="94" t="n">
        <v>298687359.3563</v>
      </c>
      <c r="S488" s="94" t="n">
        <v>999246167.0655</v>
      </c>
      <c r="T488" s="95">
        <f>IF(OR(R488="",R487=""),"",R488-R487)</f>
        <v/>
      </c>
      <c r="U488" s="95">
        <f>IF(OR(S488="",S487=""),"",S488-S487)</f>
        <v/>
      </c>
      <c r="V488" s="95">
        <f>IF(OR(U488="",P488=""),"",U488+P488)</f>
        <v/>
      </c>
      <c r="W488" s="95">
        <f>IF(OR(T488="",O488="",P488=""),"",T488-O488+P488)</f>
        <v/>
      </c>
    </row>
    <row r="489">
      <c r="A489" s="35" t="n">
        <v>46143</v>
      </c>
      <c r="B489" s="92" t="n">
        <v>3897568982.286367</v>
      </c>
      <c r="C489" s="92" t="n">
        <v>108157330.5319127</v>
      </c>
      <c r="D489" s="92" t="n">
        <v>2323703914</v>
      </c>
      <c r="E489" s="92" t="n">
        <v>1346278.64</v>
      </c>
      <c r="F489" s="92" t="n">
        <v>115284</v>
      </c>
      <c r="G489" s="92" t="n">
        <v>41008</v>
      </c>
      <c r="H489" s="92" t="n">
        <v>40707</v>
      </c>
      <c r="I489" s="92" t="n">
        <v>56089</v>
      </c>
      <c r="J489" s="92" t="n">
        <v>4206.753062842559</v>
      </c>
      <c r="K489" s="92" t="n">
        <v>0</v>
      </c>
      <c r="L489" s="94" t="n">
        <v>33095.68</v>
      </c>
      <c r="M489" s="92" t="n">
        <v>1346278.64</v>
      </c>
      <c r="N489" s="94" t="n">
        <v>43808451.45255512</v>
      </c>
      <c r="O489" s="94" t="n">
        <v>26378.221</v>
      </c>
      <c r="P489" s="94" t="n">
        <v>1011.633</v>
      </c>
      <c r="Q489" s="92" t="n">
        <v>40341.9</v>
      </c>
      <c r="R489" s="94" t="n">
        <v>298671237.9801</v>
      </c>
      <c r="S489" s="94" t="n">
        <v>999245155.4325</v>
      </c>
      <c r="T489" s="95">
        <f>IF(OR(R489="",R488=""),"",R489-R488)</f>
        <v/>
      </c>
      <c r="U489" s="95">
        <f>IF(OR(S489="",S488=""),"",S489-S488)</f>
        <v/>
      </c>
      <c r="V489" s="95">
        <f>IF(OR(U489="",P489=""),"",U489+P489)</f>
        <v/>
      </c>
      <c r="W489" s="95">
        <f>IF(OR(T489="",O489="",P489=""),"",T489-O489+P489)</f>
        <v/>
      </c>
    </row>
    <row r="490">
      <c r="A490" s="35" t="n">
        <v>46144</v>
      </c>
      <c r="B490" s="92" t="n">
        <v>1730786593.88156</v>
      </c>
      <c r="C490" s="92" t="n">
        <v>117949188.3306083</v>
      </c>
      <c r="D490" s="92" t="n">
        <v>230045975</v>
      </c>
      <c r="E490" s="92" t="n">
        <v>554995.4300000001</v>
      </c>
      <c r="F490" s="92" t="n">
        <v>26162</v>
      </c>
      <c r="G490" s="92" t="n">
        <v>5558</v>
      </c>
      <c r="H490" s="92" t="n">
        <v>24289</v>
      </c>
      <c r="I490" s="92" t="n">
        <v>29270</v>
      </c>
      <c r="J490" s="92" t="n">
        <v>2585.464050852146</v>
      </c>
      <c r="K490" s="92" t="n">
        <v>0</v>
      </c>
      <c r="L490" s="94" t="n">
        <v>13368.7</v>
      </c>
      <c r="M490" s="92" t="n">
        <v>554995.4300000001</v>
      </c>
      <c r="N490" s="94" t="n">
        <v>43821103.22255512</v>
      </c>
      <c r="O490" s="94" t="n">
        <v>26480.6541</v>
      </c>
      <c r="P490" s="94" t="n">
        <v>493.8365</v>
      </c>
      <c r="Q490" s="92" t="n">
        <v>20291</v>
      </c>
      <c r="R490" s="94" t="n">
        <v>298648753.9313</v>
      </c>
      <c r="S490" s="94" t="n">
        <v>999244661.596</v>
      </c>
      <c r="T490" s="95">
        <f>IF(OR(R490="",R489=""),"",R490-R489)</f>
        <v/>
      </c>
      <c r="U490" s="95">
        <f>IF(OR(S490="",S489=""),"",S490-S489)</f>
        <v/>
      </c>
      <c r="V490" s="95">
        <f>IF(OR(U490="",P490=""),"",U490+P490)</f>
        <v/>
      </c>
      <c r="W490" s="95">
        <f>IF(OR(T490="",O490="",P490=""),"",T490-O490+P490)</f>
        <v/>
      </c>
    </row>
    <row r="491">
      <c r="A491" s="35" t="n">
        <v>46145</v>
      </c>
      <c r="B491" s="92" t="n">
        <v>2280774592.841398</v>
      </c>
      <c r="C491" s="92" t="n">
        <v>68110382.20351072</v>
      </c>
      <c r="D491" s="92" t="n">
        <v>689094133</v>
      </c>
      <c r="E491" s="92" t="n">
        <v>727226.9399999999</v>
      </c>
      <c r="F491" s="92" t="n">
        <v>58285</v>
      </c>
      <c r="G491" s="92" t="n">
        <v>14368</v>
      </c>
      <c r="H491" s="92" t="n">
        <v>24716</v>
      </c>
      <c r="I491" s="92" t="n">
        <v>32707</v>
      </c>
      <c r="J491" s="92" t="n">
        <v>2255.680675941935</v>
      </c>
      <c r="K491" s="92" t="n">
        <v>0</v>
      </c>
      <c r="L491" s="94" t="n">
        <v>17662.43</v>
      </c>
      <c r="M491" s="92" t="n">
        <v>727226.9399999999</v>
      </c>
      <c r="N491" s="94" t="n">
        <v>43839831.02255512</v>
      </c>
      <c r="O491" s="94" t="n">
        <v>26491.9497</v>
      </c>
      <c r="P491" s="94" t="n">
        <v>336.579</v>
      </c>
      <c r="Q491" s="92" t="n">
        <v>13908.29</v>
      </c>
      <c r="R491" s="94" t="n">
        <v>298647835.288</v>
      </c>
      <c r="S491" s="94" t="n">
        <v>999244325.0168999</v>
      </c>
      <c r="T491" s="95">
        <f>IF(OR(R491="",R490=""),"",R491-R490)</f>
        <v/>
      </c>
      <c r="U491" s="95">
        <f>IF(OR(S491="",S490=""),"",S491-S490)</f>
        <v/>
      </c>
      <c r="V491" s="95">
        <f>IF(OR(U491="",P491=""),"",U491+P491)</f>
        <v/>
      </c>
      <c r="W491" s="95">
        <f>IF(OR(T491="",O491="",P491=""),"",T491-O491+P491)</f>
        <v/>
      </c>
    </row>
    <row r="492">
      <c r="A492" s="35" t="n">
        <v>46146</v>
      </c>
      <c r="B492" s="92" t="n">
        <v>6000716740.896771</v>
      </c>
      <c r="C492" s="92" t="n">
        <v>114888326.4425076</v>
      </c>
      <c r="D492" s="92" t="n">
        <v>3319107020</v>
      </c>
      <c r="E492" s="92" t="n">
        <v>1908903.31</v>
      </c>
      <c r="F492" s="92" t="n">
        <v>160885</v>
      </c>
      <c r="G492" s="92" t="n">
        <v>57608</v>
      </c>
      <c r="H492" s="92" t="n">
        <v>49812</v>
      </c>
      <c r="I492" s="92" t="n">
        <v>68796</v>
      </c>
      <c r="J492" s="92" t="n">
        <v>6941.697392663881</v>
      </c>
      <c r="K492" s="92" t="n">
        <v>0</v>
      </c>
      <c r="L492" s="94" t="n">
        <v>45885.24</v>
      </c>
      <c r="M492" s="92" t="n">
        <v>1908903.31</v>
      </c>
      <c r="N492" s="94" t="n">
        <v>43885214.42255512</v>
      </c>
      <c r="O492" s="94" t="n">
        <v>26492.991</v>
      </c>
      <c r="P492" s="94" t="n">
        <v>830.7372</v>
      </c>
      <c r="Q492" s="92" t="n">
        <v>34269.16</v>
      </c>
      <c r="R492" s="94" t="n">
        <v>298640350.2025</v>
      </c>
      <c r="S492" s="94" t="n">
        <v>999243494.2798001</v>
      </c>
      <c r="T492" s="95">
        <f>IF(OR(R492="",R491=""),"",R492-R491)</f>
        <v/>
      </c>
      <c r="U492" s="95">
        <f>IF(OR(S492="",S491=""),"",S492-S491)</f>
        <v/>
      </c>
      <c r="V492" s="95">
        <f>IF(OR(U492="",P492=""),"",U492+P492)</f>
        <v/>
      </c>
      <c r="W492" s="95">
        <f>IF(OR(T492="",O492="",P492=""),"",T492-O492+P492)</f>
        <v/>
      </c>
    </row>
    <row r="493">
      <c r="A493" s="35" t="n">
        <v>46147</v>
      </c>
      <c r="B493" s="92" t="n">
        <v>4953210783.771757</v>
      </c>
      <c r="C493" s="92" t="n">
        <v>151600204.1456126</v>
      </c>
      <c r="D493" s="92" t="n">
        <v>2364574289</v>
      </c>
      <c r="E493" s="92" t="n">
        <v>1636317.05</v>
      </c>
      <c r="F493" s="92" t="n">
        <v>118614</v>
      </c>
      <c r="G493" s="92" t="n">
        <v>41776</v>
      </c>
      <c r="H493" s="92" t="n">
        <v>55602</v>
      </c>
      <c r="I493" s="92" t="n">
        <v>70963</v>
      </c>
      <c r="J493" s="92" t="n">
        <v>6431.871938815751</v>
      </c>
      <c r="K493" s="92" t="n">
        <v>0</v>
      </c>
      <c r="L493" s="94" t="n">
        <v>37568.98</v>
      </c>
      <c r="M493" s="92" t="n">
        <v>1636317.05</v>
      </c>
      <c r="N493" s="94" t="n">
        <v>43923183.10255512</v>
      </c>
      <c r="O493" s="94" t="n">
        <v>26499.8887</v>
      </c>
      <c r="P493" s="94" t="n">
        <v>839.074</v>
      </c>
      <c r="Q493" s="92" t="n">
        <v>35062.81</v>
      </c>
      <c r="R493" s="94" t="n">
        <v>298606205.1701</v>
      </c>
      <c r="S493" s="94" t="n">
        <v>999242655.2057</v>
      </c>
      <c r="T493" s="95">
        <f>IF(OR(R493="",R492=""),"",R493-R492)</f>
        <v/>
      </c>
      <c r="U493" s="95">
        <f>IF(OR(S493="",S492=""),"",S493-S492)</f>
        <v/>
      </c>
      <c r="V493" s="95">
        <f>IF(OR(U493="",P493=""),"",U493+P493)</f>
        <v/>
      </c>
      <c r="W493" s="95">
        <f>IF(OR(T493="",O493="",P493=""),"",T493-O493+P493)</f>
        <v/>
      </c>
    </row>
    <row r="494">
      <c r="A494" s="35" t="n">
        <v>46148</v>
      </c>
      <c r="B494" s="92" t="n">
        <v>6011192009.286958</v>
      </c>
      <c r="C494" s="92" t="n">
        <v>166682273.7658749</v>
      </c>
      <c r="D494" s="92" t="n">
        <v>3561033304</v>
      </c>
      <c r="E494" s="92" t="n">
        <v>1962791.95</v>
      </c>
      <c r="F494" s="92" t="n">
        <v>172316</v>
      </c>
      <c r="G494" s="92" t="n">
        <v>63142</v>
      </c>
      <c r="H494" s="92" t="n">
        <v>48312</v>
      </c>
      <c r="I494" s="92" t="n">
        <v>62363</v>
      </c>
      <c r="J494" s="92" t="n">
        <v>6759.073798727839</v>
      </c>
      <c r="K494" s="92" t="n">
        <v>0</v>
      </c>
      <c r="L494" s="94" t="n">
        <v>44694.09</v>
      </c>
      <c r="M494" s="92" t="n">
        <v>1962791.95</v>
      </c>
      <c r="N494" s="94" t="n">
        <v>43967293.59255512</v>
      </c>
      <c r="O494" s="94" t="n">
        <v>26556.0013</v>
      </c>
      <c r="P494" s="94" t="n">
        <v>1357.3483</v>
      </c>
      <c r="Q494" s="92" t="n">
        <v>59505.47</v>
      </c>
      <c r="R494" s="94" t="n">
        <v>298579039.0024</v>
      </c>
      <c r="S494" s="94" t="n">
        <v>999241297.8573999</v>
      </c>
      <c r="T494" s="95">
        <f>IF(OR(R494="",R493=""),"",R494-R493)</f>
        <v/>
      </c>
      <c r="U494" s="95">
        <f>IF(OR(S494="",S493=""),"",S494-S493)</f>
        <v/>
      </c>
      <c r="V494" s="95">
        <f>IF(OR(U494="",P494=""),"",U494+P494)</f>
        <v/>
      </c>
      <c r="W494" s="95">
        <f>IF(OR(T494="",O494="",P494=""),"",T494-O494+P494)</f>
        <v/>
      </c>
    </row>
    <row r="495">
      <c r="A495" s="35" t="n">
        <v>46149</v>
      </c>
      <c r="B495" s="92" t="n">
        <v>4987338177.547359</v>
      </c>
      <c r="C495" s="92" t="n">
        <v>181142114.3006114</v>
      </c>
      <c r="D495" s="92" t="n">
        <v>3650186230</v>
      </c>
      <c r="E495" s="92" t="n">
        <v>1614943.04</v>
      </c>
      <c r="F495" s="92" t="n">
        <v>163228</v>
      </c>
      <c r="G495" s="92" t="n">
        <v>61884</v>
      </c>
      <c r="H495" s="92" t="n">
        <v>38455</v>
      </c>
      <c r="I495" s="92" t="n">
        <v>51769</v>
      </c>
      <c r="J495" s="92" t="n">
        <v>5298.360199875602</v>
      </c>
      <c r="K495" s="92" t="n">
        <v>0</v>
      </c>
      <c r="L495" s="94" t="n">
        <v>37930.16</v>
      </c>
      <c r="M495" s="92" t="n">
        <v>1614943.04</v>
      </c>
      <c r="N495" s="94" t="n">
        <v>44004836.83255512</v>
      </c>
      <c r="O495" s="94" t="n">
        <v>26566.7638</v>
      </c>
      <c r="P495" s="94" t="n">
        <v>1003.4753</v>
      </c>
      <c r="Q495" s="92" t="n">
        <v>43067.66</v>
      </c>
      <c r="R495" s="94" t="n">
        <v>298967994.0757</v>
      </c>
      <c r="S495" s="94" t="n">
        <v>999240294.3821</v>
      </c>
      <c r="T495" s="95">
        <f>IF(OR(R495="",R494=""),"",R495-R494)</f>
        <v/>
      </c>
      <c r="U495" s="95">
        <f>IF(OR(S495="",S494=""),"",S495-S494)</f>
        <v/>
      </c>
      <c r="V495" s="95">
        <f>IF(OR(U495="",P495=""),"",U495+P495)</f>
        <v/>
      </c>
      <c r="W495" s="95">
        <f>IF(OR(T495="",O495="",P495=""),"",T495-O495+P495)</f>
        <v/>
      </c>
    </row>
    <row r="496">
      <c r="A496" s="35" t="n">
        <v>46150</v>
      </c>
      <c r="B496" s="92" t="n">
        <v>4286714219.688167</v>
      </c>
      <c r="C496" s="92" t="n">
        <v>140153430.8084117</v>
      </c>
      <c r="D496" s="92" t="n">
        <v>2412480014</v>
      </c>
      <c r="E496" s="92" t="n">
        <v>1353339.61</v>
      </c>
      <c r="F496" s="92" t="n">
        <v>121091</v>
      </c>
      <c r="G496" s="92" t="n">
        <v>42084</v>
      </c>
      <c r="H496" s="92" t="n">
        <v>29153</v>
      </c>
      <c r="I496" s="92" t="n">
        <v>41401</v>
      </c>
      <c r="J496" s="92" t="n">
        <v>4425.628351036708</v>
      </c>
      <c r="K496" s="92" t="n">
        <v>0</v>
      </c>
      <c r="L496" s="94" t="n">
        <v>31682.1</v>
      </c>
      <c r="M496" s="92" t="n">
        <v>1353339.61</v>
      </c>
      <c r="N496" s="94" t="n">
        <v>44036284.02255512</v>
      </c>
      <c r="O496" s="94" t="n">
        <v>26584.0171</v>
      </c>
      <c r="P496" s="94" t="n">
        <v>2068.2801</v>
      </c>
      <c r="Q496" s="92" t="n">
        <v>88275.23</v>
      </c>
      <c r="R496" s="94" t="n">
        <v>298940591.2991</v>
      </c>
      <c r="S496" s="94" t="n">
        <v>999238226.102</v>
      </c>
      <c r="T496" s="95">
        <f>IF(OR(R496="",R495=""),"",R496-R495)</f>
        <v/>
      </c>
      <c r="U496" s="95">
        <f>IF(OR(S496="",S495=""),"",S496-S495)</f>
        <v/>
      </c>
      <c r="V496" s="95">
        <f>IF(OR(U496="",P496=""),"",U496+P496)</f>
        <v/>
      </c>
      <c r="W496" s="95">
        <f>IF(OR(T496="",O496="",P496=""),"",T496-O496+P496)</f>
        <v/>
      </c>
    </row>
    <row r="497">
      <c r="A497" s="35" t="n">
        <v>46151</v>
      </c>
      <c r="B497" s="92" t="n">
        <v>2582692469.678334</v>
      </c>
      <c r="C497" s="92" t="n">
        <v>101417892.0863487</v>
      </c>
      <c r="D497" s="92" t="n">
        <v>311628203</v>
      </c>
      <c r="E497" s="92" t="n">
        <v>839949.0699999999</v>
      </c>
      <c r="F497" s="92" t="n">
        <v>31739</v>
      </c>
      <c r="G497" s="92" t="n">
        <v>8834</v>
      </c>
      <c r="H497" s="92" t="n">
        <v>29565</v>
      </c>
      <c r="I497" s="92" t="n">
        <v>36744</v>
      </c>
      <c r="J497" s="92" t="n">
        <v>5394.016303383018</v>
      </c>
      <c r="K497" s="92" t="n">
        <v>0</v>
      </c>
      <c r="L497" s="94" t="n">
        <v>19300.73</v>
      </c>
      <c r="M497" s="92" t="n">
        <v>839949.0699999999</v>
      </c>
      <c r="N497" s="94" t="n">
        <v>44056402.03255512</v>
      </c>
      <c r="O497" s="94" t="n">
        <v>26600.8439</v>
      </c>
      <c r="P497" s="94" t="n">
        <v>814.8742999999999</v>
      </c>
      <c r="Q497" s="92" t="n">
        <v>35340.69</v>
      </c>
      <c r="R497" s="94" t="n">
        <v>298920562.3335</v>
      </c>
      <c r="S497" s="94" t="n">
        <v>999237411.2277</v>
      </c>
      <c r="T497" s="95">
        <f>IF(OR(R497="",R496=""),"",R497-R496)</f>
        <v/>
      </c>
      <c r="U497" s="95">
        <f>IF(OR(S497="",S496=""),"",S497-S496)</f>
        <v/>
      </c>
      <c r="V497" s="95">
        <f>IF(OR(U497="",P497=""),"",U497+P497)</f>
        <v/>
      </c>
      <c r="W497" s="95">
        <f>IF(OR(T497="",O497="",P497=""),"",T497-O497+P497)</f>
        <v/>
      </c>
    </row>
    <row r="498">
      <c r="A498" s="35" t="n">
        <v>46152</v>
      </c>
      <c r="B498" s="92" t="n">
        <v>3754075741.13281</v>
      </c>
      <c r="C498" s="92" t="n">
        <v>81335192.2177619</v>
      </c>
      <c r="D498" s="92" t="n">
        <v>835126724</v>
      </c>
      <c r="E498" s="92" t="n">
        <v>1107992.98</v>
      </c>
      <c r="F498" s="92" t="n">
        <v>57956</v>
      </c>
      <c r="G498" s="92" t="n">
        <v>19544</v>
      </c>
      <c r="H498" s="92" t="n">
        <v>29726</v>
      </c>
      <c r="I498" s="92" t="n">
        <v>37280</v>
      </c>
      <c r="J498" s="92" t="n">
        <v>4284.61452895567</v>
      </c>
      <c r="K498" s="92" t="n">
        <v>0</v>
      </c>
      <c r="L498" s="94" t="n">
        <v>25784.42</v>
      </c>
      <c r="M498" s="92" t="n">
        <v>1107992.98</v>
      </c>
      <c r="N498" s="94" t="n">
        <v>44084955.45255512</v>
      </c>
      <c r="O498" s="94" t="n">
        <v>26614.6055</v>
      </c>
      <c r="P498" s="94" t="n">
        <v>1133.6262</v>
      </c>
      <c r="Q498" s="92" t="n">
        <v>48496.53</v>
      </c>
      <c r="R498" s="94" t="n">
        <v>298911552.903</v>
      </c>
      <c r="S498" s="94" t="n">
        <v>999236277.6014</v>
      </c>
      <c r="T498" s="95">
        <f>IF(OR(R498="",R497=""),"",R498-R497)</f>
        <v/>
      </c>
      <c r="U498" s="95">
        <f>IF(OR(S498="",S497=""),"",S498-S497)</f>
        <v/>
      </c>
      <c r="V498" s="95">
        <f>IF(OR(U498="",P498=""),"",U498+P498)</f>
        <v/>
      </c>
      <c r="W498" s="95">
        <f>IF(OR(T498="",O498="",P498=""),"",T498-O498+P498)</f>
        <v/>
      </c>
    </row>
    <row r="499">
      <c r="A499" s="35" t="n">
        <v>46153</v>
      </c>
      <c r="B499" s="92" t="n">
        <v>4406834192.99072</v>
      </c>
      <c r="C499" s="92" t="n">
        <v>89993478.36728664</v>
      </c>
      <c r="D499" s="92" t="n">
        <v>2545256246</v>
      </c>
      <c r="E499" s="92" t="n">
        <v>1503455.78</v>
      </c>
      <c r="F499" s="92" t="n">
        <v>132361</v>
      </c>
      <c r="G499" s="92" t="n">
        <v>48153</v>
      </c>
      <c r="H499" s="92" t="n">
        <v>32988</v>
      </c>
      <c r="I499" s="92" t="n">
        <v>44212</v>
      </c>
      <c r="J499" s="92" t="n">
        <v>4776.564113413137</v>
      </c>
      <c r="K499" s="92" t="n">
        <v>0</v>
      </c>
      <c r="L499" s="94" t="n">
        <v>35854.16</v>
      </c>
      <c r="M499" s="92" t="n">
        <v>1503455.78</v>
      </c>
      <c r="N499" s="94" t="n">
        <v>44118026.48255512</v>
      </c>
      <c r="O499" s="94" t="n">
        <v>26610.2038</v>
      </c>
      <c r="P499" s="94" t="n">
        <v>579.2063000000001</v>
      </c>
      <c r="Q499" s="92" t="n">
        <v>24902.69</v>
      </c>
      <c r="R499" s="94" t="n">
        <v>298894655.4852</v>
      </c>
      <c r="S499" s="94" t="n">
        <v>999235698.3951</v>
      </c>
      <c r="T499" s="95">
        <f>IF(OR(R499="",R498=""),"",R499-R498)</f>
        <v/>
      </c>
      <c r="U499" s="95">
        <f>IF(OR(S499="",S498=""),"",S499-S498)</f>
        <v/>
      </c>
      <c r="V499" s="95">
        <f>IF(OR(U499="",P499=""),"",U499+P499)</f>
        <v/>
      </c>
      <c r="W499" s="95">
        <f>IF(OR(T499="",O499="",P499=""),"",T499-O499+P499)</f>
        <v/>
      </c>
    </row>
    <row r="500">
      <c r="A500" s="35" t="n">
        <v>46154</v>
      </c>
      <c r="B500" s="92" t="n">
        <v>3827311168.516718</v>
      </c>
      <c r="C500" s="92" t="n">
        <v>104068488.0561991</v>
      </c>
      <c r="D500" s="92" t="n">
        <v>2473916223</v>
      </c>
      <c r="E500" s="92" t="n">
        <v>1301986.49</v>
      </c>
      <c r="F500" s="92" t="n">
        <v>120857</v>
      </c>
      <c r="G500" s="92" t="n">
        <v>43025</v>
      </c>
      <c r="H500" s="92" t="n">
        <v>37575</v>
      </c>
      <c r="I500" s="92" t="n">
        <v>47865</v>
      </c>
      <c r="J500" s="92" t="n">
        <v>4902.0212589886</v>
      </c>
      <c r="K500" s="92" t="n">
        <v>0</v>
      </c>
      <c r="L500" s="94" t="n">
        <v>31952.45</v>
      </c>
      <c r="M500" s="92" t="n">
        <v>1301986.49</v>
      </c>
      <c r="N500" s="94" t="n">
        <v>44149672.24255512</v>
      </c>
      <c r="O500" s="94" t="n">
        <v>26614.0178</v>
      </c>
      <c r="P500" s="94" t="n">
        <v>1471.4833</v>
      </c>
      <c r="Q500" s="92" t="n">
        <v>61521.98</v>
      </c>
      <c r="R500" s="94" t="n">
        <v>298872352.7935</v>
      </c>
      <c r="S500" s="94" t="n">
        <v>999234226.9118</v>
      </c>
      <c r="T500" s="95">
        <f>IF(OR(R500="",R499=""),"",R500-R499)</f>
        <v/>
      </c>
      <c r="U500" s="95">
        <f>IF(OR(S500="",S499=""),"",S500-S499)</f>
        <v/>
      </c>
      <c r="V500" s="95">
        <f>IF(OR(U500="",P500=""),"",U500+P500)</f>
        <v/>
      </c>
      <c r="W500" s="95">
        <f>IF(OR(T500="",O500="",P500=""),"",T500-O500+P500)</f>
        <v/>
      </c>
    </row>
    <row r="501">
      <c r="A501" s="35" t="n">
        <v>46155</v>
      </c>
      <c r="B501" s="92" t="n">
        <v>4161634079.41018</v>
      </c>
      <c r="C501" s="92" t="n">
        <v>115173178.0022728</v>
      </c>
      <c r="D501" s="92" t="n">
        <v>2379224166</v>
      </c>
      <c r="E501" s="92" t="n">
        <v>1387474.39</v>
      </c>
      <c r="F501" s="92" t="n">
        <v>124511</v>
      </c>
      <c r="G501" s="92" t="n">
        <v>43920</v>
      </c>
      <c r="H501" s="92" t="n">
        <v>41602</v>
      </c>
      <c r="I501" s="92" t="n">
        <v>52693</v>
      </c>
      <c r="J501" s="92" t="n">
        <v>5587.262890372446</v>
      </c>
      <c r="K501" s="92" t="n">
        <v>0</v>
      </c>
      <c r="L501" s="94" t="n">
        <v>35195.46</v>
      </c>
      <c r="M501" s="92" t="n">
        <v>1387474.39</v>
      </c>
      <c r="N501" s="94" t="n">
        <v>44185039.26255512</v>
      </c>
      <c r="O501" s="94" t="n">
        <v>26616.4908</v>
      </c>
      <c r="P501" s="94" t="n">
        <v>902.4404</v>
      </c>
      <c r="Q501" s="92" t="n">
        <v>36181.54</v>
      </c>
      <c r="R501" s="94" t="n">
        <v>298852048.1747</v>
      </c>
      <c r="S501" s="94" t="n">
        <v>999233324.4715</v>
      </c>
      <c r="T501" s="95">
        <f>IF(OR(R501="",R500=""),"",R501-R500)</f>
        <v/>
      </c>
      <c r="U501" s="95">
        <f>IF(OR(S501="",S500=""),"",S501-S500)</f>
        <v/>
      </c>
      <c r="V501" s="95">
        <f>IF(OR(U501="",P501=""),"",U501+P501)</f>
        <v/>
      </c>
      <c r="W501" s="95">
        <f>IF(OR(T501="",O501="",P501=""),"",T501-O501+P501)</f>
        <v/>
      </c>
    </row>
    <row r="502">
      <c r="A502" s="35" t="n">
        <v>46156</v>
      </c>
      <c r="B502" s="92" t="n">
        <v>5319008470.62474</v>
      </c>
      <c r="C502" s="92" t="n">
        <v>135621684.8130482</v>
      </c>
      <c r="D502" s="92" t="n">
        <v>2779947750</v>
      </c>
      <c r="E502" s="92" t="n">
        <v>1748781.04</v>
      </c>
      <c r="F502" s="92" t="n">
        <v>138079</v>
      </c>
      <c r="G502" s="92" t="n">
        <v>47947</v>
      </c>
      <c r="H502" s="92" t="n">
        <v>90313</v>
      </c>
      <c r="I502" s="92" t="n">
        <v>103348</v>
      </c>
      <c r="J502" s="92" t="n">
        <v>33086.83666207616</v>
      </c>
      <c r="K502" s="92" t="n">
        <v>0</v>
      </c>
      <c r="L502" s="94" t="n">
        <v>41200.4</v>
      </c>
      <c r="M502" s="92" t="n">
        <v>1748781.04</v>
      </c>
      <c r="N502" s="94" t="n">
        <v>44226023.88255512</v>
      </c>
      <c r="O502" s="94" t="n">
        <v>26607.3908</v>
      </c>
      <c r="P502" s="94" t="n">
        <v>1385.9429</v>
      </c>
      <c r="Q502" s="92" t="n">
        <v>53760.03</v>
      </c>
      <c r="R502" s="94" t="n">
        <v>298827527.2622</v>
      </c>
      <c r="S502" s="94" t="n">
        <v>999231938.5286</v>
      </c>
      <c r="T502" s="95">
        <f>IF(OR(R502="",R501=""),"",R502-R501)</f>
        <v/>
      </c>
      <c r="U502" s="95">
        <f>IF(OR(S502="",S501=""),"",S502-S501)</f>
        <v/>
      </c>
      <c r="V502" s="95">
        <f>IF(OR(U502="",P502=""),"",U502+P502)</f>
        <v/>
      </c>
      <c r="W502" s="95">
        <f>IF(OR(T502="",O502="",P502=""),"",T502-O502+P502)</f>
        <v/>
      </c>
    </row>
    <row r="503">
      <c r="A503" s="35" t="n">
        <v>46157</v>
      </c>
      <c r="B503" s="92" t="n">
        <v>5168551052.770032</v>
      </c>
      <c r="C503" s="92" t="n">
        <v>244203830.9344203</v>
      </c>
      <c r="D503" s="92" t="n">
        <v>2943036195</v>
      </c>
      <c r="E503" s="92" t="n">
        <v>1737412.39</v>
      </c>
      <c r="F503" s="92" t="n">
        <v>142714</v>
      </c>
      <c r="G503" s="92" t="n">
        <v>51664</v>
      </c>
      <c r="H503" s="92" t="n">
        <v>84143</v>
      </c>
      <c r="I503" s="92" t="n">
        <v>94867</v>
      </c>
      <c r="J503" s="92" t="n">
        <v>56910.89217132915</v>
      </c>
      <c r="K503" s="92" t="n">
        <v>0</v>
      </c>
      <c r="L503" s="94" t="n">
        <v>38942.45</v>
      </c>
      <c r="M503" s="92" t="n">
        <v>1737412.39</v>
      </c>
      <c r="N503" s="94" t="n">
        <v>44264838.12255512</v>
      </c>
      <c r="O503" s="94" t="n">
        <v>25631.4399</v>
      </c>
      <c r="P503" s="94" t="n">
        <v>1654.86</v>
      </c>
      <c r="Q503" s="92" t="n">
        <v>74201.44</v>
      </c>
      <c r="R503" s="94" t="n">
        <v>298796189.0613</v>
      </c>
      <c r="S503" s="94" t="n">
        <v>999230283.6686</v>
      </c>
      <c r="T503" s="95">
        <f>IF(OR(R503="",R502=""),"",R503-R502)</f>
        <v/>
      </c>
      <c r="U503" s="95">
        <f>IF(OR(S503="",S502=""),"",S503-S502)</f>
        <v/>
      </c>
      <c r="V503" s="95">
        <f>IF(OR(U503="",P503=""),"",U503+P503)</f>
        <v/>
      </c>
      <c r="W503" s="95">
        <f>IF(OR(T503="",O503="",P503=""),"",T503-O503+P503)</f>
        <v/>
      </c>
    </row>
    <row r="504">
      <c r="A504" s="35" t="n">
        <v>46158</v>
      </c>
      <c r="B504" s="92" t="n">
        <v>3145515159.623175</v>
      </c>
      <c r="C504" s="92" t="n">
        <v>208127883.1026363</v>
      </c>
      <c r="D504" s="92" t="n">
        <v>303261829</v>
      </c>
      <c r="E504" s="92" t="n">
        <v>985592.61</v>
      </c>
      <c r="F504" s="92" t="n">
        <v>31983</v>
      </c>
      <c r="G504" s="92" t="n">
        <v>9785</v>
      </c>
      <c r="H504" s="92" t="n">
        <v>54626</v>
      </c>
      <c r="I504" s="92" t="n">
        <v>60919</v>
      </c>
      <c r="J504" s="92" t="n">
        <v>24980.3079939444</v>
      </c>
      <c r="K504" s="92" t="n">
        <v>0</v>
      </c>
      <c r="L504" s="94" t="n">
        <v>23679.72</v>
      </c>
      <c r="M504" s="92" t="n">
        <v>985592.61</v>
      </c>
      <c r="N504" s="94" t="n">
        <v>44288634.98255512</v>
      </c>
      <c r="O504" s="94" t="n">
        <v>25664.8527</v>
      </c>
      <c r="P504" s="94" t="n">
        <v>1916.8977</v>
      </c>
      <c r="Q504" s="92" t="n">
        <v>84793.00999999999</v>
      </c>
      <c r="R504" s="94" t="n">
        <v>298766836.6974</v>
      </c>
      <c r="S504" s="94" t="n">
        <v>999228366.7708</v>
      </c>
      <c r="T504" s="95">
        <f>IF(OR(R504="",R503=""),"",R504-R503)</f>
        <v/>
      </c>
      <c r="U504" s="95">
        <f>IF(OR(S504="",S503=""),"",S504-S503)</f>
        <v/>
      </c>
      <c r="V504" s="95">
        <f>IF(OR(U504="",P504=""),"",U504+P504)</f>
        <v/>
      </c>
      <c r="W504" s="95">
        <f>IF(OR(T504="",O504="",P504=""),"",T504-O504+P504)</f>
        <v/>
      </c>
    </row>
    <row r="505">
      <c r="A505" s="35" t="n">
        <v>46159</v>
      </c>
      <c r="B505" s="92" t="n">
        <v>3505125172.101313</v>
      </c>
      <c r="C505" s="92" t="n">
        <v>141001529.8350937</v>
      </c>
      <c r="D505" s="92" t="n">
        <v>481797307</v>
      </c>
      <c r="E505" s="92" t="n">
        <v>1092883.03</v>
      </c>
      <c r="F505" s="92" t="n">
        <v>34159</v>
      </c>
      <c r="G505" s="92" t="n">
        <v>10075</v>
      </c>
      <c r="H505" s="92" t="n">
        <v>66106</v>
      </c>
      <c r="I505" s="92" t="n">
        <v>74652</v>
      </c>
      <c r="J505" s="92" t="n">
        <v>48359.77412216016</v>
      </c>
      <c r="K505" s="92" t="n">
        <v>0</v>
      </c>
      <c r="L505" s="94" t="n">
        <v>24689.87</v>
      </c>
      <c r="M505" s="92" t="n">
        <v>1092883.03</v>
      </c>
      <c r="N505" s="94" t="n">
        <v>44313760.83255512</v>
      </c>
      <c r="O505" s="94" t="n">
        <v>26298.559</v>
      </c>
      <c r="P505" s="94" t="n">
        <v>1340.9038</v>
      </c>
      <c r="Q505" s="92" t="n">
        <v>56264.33</v>
      </c>
      <c r="R505" s="94" t="n">
        <v>298753621.1191</v>
      </c>
      <c r="S505" s="94" t="n">
        <v>999227025.867</v>
      </c>
      <c r="T505" s="95">
        <f>IF(OR(R505="",R504=""),"",R505-R504)</f>
        <v/>
      </c>
      <c r="U505" s="95">
        <f>IF(OR(S505="",S504=""),"",S505-S504)</f>
        <v/>
      </c>
      <c r="V505" s="95">
        <f>IF(OR(U505="",P505=""),"",U505+P505)</f>
        <v/>
      </c>
      <c r="W505" s="95">
        <f>IF(OR(T505="",O505="",P505=""),"",T505-O505+P505)</f>
        <v/>
      </c>
    </row>
    <row r="506">
      <c r="A506" s="35" t="n">
        <v>46160</v>
      </c>
      <c r="B506" s="92" t="n">
        <v>5333036664.993383</v>
      </c>
      <c r="C506" s="92" t="n">
        <v>174221542.4659849</v>
      </c>
      <c r="D506" s="92" t="n">
        <v>3474360784</v>
      </c>
      <c r="E506" s="92" t="n">
        <v>1728259.86</v>
      </c>
      <c r="F506" s="92" t="n">
        <v>150603</v>
      </c>
      <c r="G506" s="92" t="n">
        <v>54984</v>
      </c>
      <c r="H506" s="92" t="n">
        <v>70649</v>
      </c>
      <c r="I506" s="92" t="n">
        <v>81857</v>
      </c>
      <c r="J506" s="92" t="n">
        <v>44307.3132510822</v>
      </c>
      <c r="K506" s="92" t="n">
        <v>22656.8</v>
      </c>
      <c r="L506" s="94" t="n">
        <v>37853.12</v>
      </c>
      <c r="M506" s="92" t="n">
        <v>1728259.86</v>
      </c>
      <c r="N506" s="94" t="n">
        <v>44350736.80255512</v>
      </c>
      <c r="O506" s="94" t="n">
        <v>26279.7806</v>
      </c>
      <c r="P506" s="94" t="n">
        <v>1626.2893</v>
      </c>
      <c r="Q506" s="92" t="n">
        <v>74911.77</v>
      </c>
      <c r="R506" s="94" t="n">
        <v>298738766.9608</v>
      </c>
      <c r="S506" s="94" t="n">
        <v>999225399.5777</v>
      </c>
      <c r="T506" s="95">
        <f>IF(OR(R506="",R505=""),"",R506-R505)</f>
        <v/>
      </c>
      <c r="U506" s="95">
        <f>IF(OR(S506="",S505=""),"",S506-S505)</f>
        <v/>
      </c>
      <c r="V506" s="95">
        <f>IF(OR(U506="",P506=""),"",U506+P506)</f>
        <v/>
      </c>
      <c r="W506" s="95">
        <f>IF(OR(T506="",O506="",P506=""),"",T506-O506+P506)</f>
        <v/>
      </c>
    </row>
    <row r="507">
      <c r="A507" s="35" t="n">
        <v>46161</v>
      </c>
      <c r="B507" s="92" t="n">
        <v>3287734942.849661</v>
      </c>
      <c r="C507" s="92" t="n">
        <v>191591052.4506435</v>
      </c>
      <c r="D507" s="92" t="n">
        <v>2810077104</v>
      </c>
      <c r="E507" s="92" t="n">
        <v>1177698.13</v>
      </c>
      <c r="F507" s="92" t="n">
        <v>181907</v>
      </c>
      <c r="G507" s="92" t="n">
        <v>76157</v>
      </c>
      <c r="H507" s="92" t="n">
        <v>64462</v>
      </c>
      <c r="I507" s="92" t="n">
        <v>71739</v>
      </c>
      <c r="J507" s="92" t="n">
        <v>26167.70206471928</v>
      </c>
      <c r="K507" s="92" t="n">
        <v>27897.72</v>
      </c>
      <c r="L507" s="94" t="n">
        <v>24597.4</v>
      </c>
      <c r="M507" s="92" t="n">
        <v>1177698.13</v>
      </c>
      <c r="N507" s="94" t="n">
        <v>44376098.84255512</v>
      </c>
      <c r="O507" s="94" t="n">
        <v>26262.5039</v>
      </c>
      <c r="P507" s="94" t="n">
        <v>2206.8993</v>
      </c>
      <c r="Q507" s="92" t="n">
        <v>106624.13</v>
      </c>
      <c r="R507" s="94" t="n">
        <v>298711498.8698</v>
      </c>
      <c r="S507" s="94" t="n">
        <v>999223192.6783</v>
      </c>
      <c r="T507" s="95">
        <f>IF(OR(R507="",R506=""),"",R507-R506)</f>
        <v/>
      </c>
      <c r="U507" s="95">
        <f>IF(OR(S507="",S506=""),"",S507-S506)</f>
        <v/>
      </c>
      <c r="V507" s="95">
        <f>IF(OR(U507="",P507=""),"",U507+P507)</f>
        <v/>
      </c>
      <c r="W507" s="95">
        <f>IF(OR(T507="",O507="",P507=""),"",T507-O507+P507)</f>
        <v/>
      </c>
    </row>
    <row r="508">
      <c r="A508" s="35" t="n">
        <v>46162</v>
      </c>
      <c r="B508" s="92" t="n">
        <v>4267552952.784301</v>
      </c>
      <c r="C508" s="92" t="n">
        <v>163748420.5698046</v>
      </c>
      <c r="D508" s="92" t="n">
        <v>162338930</v>
      </c>
      <c r="E508" s="92" t="n">
        <v>1430631.52</v>
      </c>
      <c r="F508" s="92" t="n">
        <v>7922</v>
      </c>
      <c r="G508" s="92" t="n">
        <v>3098</v>
      </c>
      <c r="H508" s="92" t="n">
        <v>89934</v>
      </c>
      <c r="I508" s="92" t="n">
        <v>101035</v>
      </c>
      <c r="J508" s="92" t="n">
        <v>25850.59732692321</v>
      </c>
      <c r="K508" s="92" t="n">
        <v>0</v>
      </c>
      <c r="L508" s="94" t="n">
        <v>28292.52</v>
      </c>
      <c r="M508" s="92" t="n">
        <v>1430631.52</v>
      </c>
      <c r="N508" s="94" t="n">
        <v>44403626.72255512</v>
      </c>
      <c r="O508" s="94" t="n">
        <v>26231.8736</v>
      </c>
      <c r="P508" s="94" t="n">
        <v>2166.9293</v>
      </c>
      <c r="Q508" s="92" t="n">
        <v>103052.66</v>
      </c>
      <c r="R508" s="94" t="n">
        <v>298695930.4932</v>
      </c>
      <c r="S508" s="94" t="n">
        <v>999221025.749</v>
      </c>
      <c r="T508" s="95">
        <f>IF(OR(R508="",R507=""),"",R508-R507)</f>
        <v/>
      </c>
      <c r="U508" s="95">
        <f>IF(OR(S508="",S507=""),"",S508-S507)</f>
        <v/>
      </c>
      <c r="V508" s="95">
        <f>IF(OR(U508="",P508=""),"",U508+P508)</f>
        <v/>
      </c>
      <c r="W508" s="95">
        <f>IF(OR(T508="",O508="",P508=""),"",T508-O508+P508)</f>
        <v/>
      </c>
    </row>
  </sheetData>
  <autoFilter ref="A3:W508"/>
  <mergeCells count="1"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40" customHeight="1">
      <c r="A1" s="101" t="inlineStr">
        <is>
          <t>HIP-3 CATEGORIES — daily $ volume per category, all DEXs combined. Source: Hyperliquid /info candleSnapshot per coin (v × close). Cross-check vs Daily Data perpHip3Vol → should match within rounding.</t>
        </is>
      </c>
    </row>
    <row r="3" ht="36" customHeight="1">
      <c r="A3" s="33" t="inlineStr">
        <is>
          <t>Date</t>
        </is>
      </c>
      <c r="B3" s="33" t="inlineStr">
        <is>
          <t>Daily Data perpHip3Vol</t>
        </is>
      </c>
      <c r="C3" s="102" t="inlineStr">
        <is>
          <t>Energy</t>
        </is>
      </c>
      <c r="D3" s="103" t="inlineStr">
        <is>
          <t>Metals</t>
        </is>
      </c>
      <c r="E3" s="104" t="inlineStr">
        <is>
          <t>Agriculture</t>
        </is>
      </c>
      <c r="F3" s="105" t="inlineStr">
        <is>
          <t>Indices/ETFs</t>
        </is>
      </c>
      <c r="G3" s="106" t="inlineStr">
        <is>
          <t>Stocks</t>
        </is>
      </c>
      <c r="H3" s="107" t="inlineStr">
        <is>
          <t>Pre-IPO</t>
        </is>
      </c>
      <c r="I3" s="108" t="inlineStr">
        <is>
          <t>Crypto</t>
        </is>
      </c>
      <c r="J3" s="109" t="inlineStr">
        <is>
          <t>FX</t>
        </is>
      </c>
      <c r="K3" s="33" t="inlineStr">
        <is>
          <t>Bonds</t>
        </is>
      </c>
      <c r="L3" s="33" t="inlineStr">
        <is>
          <t>Sum (Categories)</t>
        </is>
      </c>
      <c r="M3" s="33" t="inlineStr">
        <is>
          <t>Δ (Sum − Daily Data)</t>
        </is>
      </c>
    </row>
    <row r="4">
      <c r="A4" s="110" t="inlineStr">
        <is>
          <t>2025-10-13</t>
        </is>
      </c>
      <c r="B4" s="90" t="n">
        <v>24047820</v>
      </c>
      <c r="C4" s="91" t="n">
        <v>0</v>
      </c>
      <c r="D4" s="91" t="n">
        <v>0</v>
      </c>
      <c r="E4" s="91" t="n">
        <v>0</v>
      </c>
      <c r="F4" s="91" t="n">
        <v>24026098.629</v>
      </c>
      <c r="G4" s="91" t="n">
        <v>0</v>
      </c>
      <c r="H4" s="91" t="n">
        <v>0</v>
      </c>
      <c r="I4" s="91" t="n">
        <v>0</v>
      </c>
      <c r="J4" s="91" t="n">
        <v>0</v>
      </c>
      <c r="K4" s="91" t="n">
        <v>0</v>
      </c>
      <c r="L4" s="93">
        <f>SUM(C4:K4)</f>
        <v/>
      </c>
      <c r="M4" s="111">
        <f>IF(B4="","",L4-B4)</f>
        <v/>
      </c>
    </row>
    <row r="5">
      <c r="A5" s="110" t="inlineStr">
        <is>
          <t>2025-10-14</t>
        </is>
      </c>
      <c r="B5" s="90" t="n">
        <v>21857347</v>
      </c>
      <c r="C5" s="91" t="n">
        <v>0</v>
      </c>
      <c r="D5" s="91" t="n">
        <v>0</v>
      </c>
      <c r="E5" s="91" t="n">
        <v>0</v>
      </c>
      <c r="F5" s="91" t="n">
        <v>21886976.74</v>
      </c>
      <c r="G5" s="91" t="n">
        <v>0</v>
      </c>
      <c r="H5" s="91" t="n">
        <v>0</v>
      </c>
      <c r="I5" s="91" t="n">
        <v>0</v>
      </c>
      <c r="J5" s="91" t="n">
        <v>0</v>
      </c>
      <c r="K5" s="91" t="n">
        <v>0</v>
      </c>
      <c r="L5" s="93">
        <f>SUM(C5:K5)</f>
        <v/>
      </c>
      <c r="M5" s="111">
        <f>IF(B5="","",L5-B5)</f>
        <v/>
      </c>
    </row>
    <row r="6">
      <c r="A6" s="110" t="inlineStr">
        <is>
          <t>2025-10-15</t>
        </is>
      </c>
      <c r="B6" s="90" t="n">
        <v>20629520</v>
      </c>
      <c r="C6" s="91" t="n">
        <v>0</v>
      </c>
      <c r="D6" s="91" t="n">
        <v>0</v>
      </c>
      <c r="E6" s="91" t="n">
        <v>0</v>
      </c>
      <c r="F6" s="91" t="n">
        <v>20640523.6665</v>
      </c>
      <c r="G6" s="91" t="n">
        <v>0</v>
      </c>
      <c r="H6" s="91" t="n">
        <v>0</v>
      </c>
      <c r="I6" s="91" t="n">
        <v>0</v>
      </c>
      <c r="J6" s="91" t="n">
        <v>0</v>
      </c>
      <c r="K6" s="91" t="n">
        <v>0</v>
      </c>
      <c r="L6" s="93">
        <f>SUM(C6:K6)</f>
        <v/>
      </c>
      <c r="M6" s="111">
        <f>IF(B6="","",L6-B6)</f>
        <v/>
      </c>
    </row>
    <row r="7">
      <c r="A7" s="110" t="inlineStr">
        <is>
          <t>2025-10-16</t>
        </is>
      </c>
      <c r="B7" s="90" t="n">
        <v>19168299</v>
      </c>
      <c r="C7" s="91" t="n">
        <v>0</v>
      </c>
      <c r="D7" s="91" t="n">
        <v>0</v>
      </c>
      <c r="E7" s="91" t="n">
        <v>0</v>
      </c>
      <c r="F7" s="91" t="n">
        <v>19051011.1071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3">
        <f>SUM(C7:K7)</f>
        <v/>
      </c>
      <c r="M7" s="111">
        <f>IF(B7="","",L7-B7)</f>
        <v/>
      </c>
    </row>
    <row r="8">
      <c r="A8" s="110" t="inlineStr">
        <is>
          <t>2025-10-17</t>
        </is>
      </c>
      <c r="B8" s="90" t="n">
        <v>15072187</v>
      </c>
      <c r="C8" s="91" t="n">
        <v>0</v>
      </c>
      <c r="D8" s="91" t="n">
        <v>0</v>
      </c>
      <c r="E8" s="91" t="n">
        <v>0</v>
      </c>
      <c r="F8" s="91" t="n">
        <v>15221619</v>
      </c>
      <c r="G8" s="91" t="n">
        <v>0</v>
      </c>
      <c r="H8" s="91" t="n">
        <v>0</v>
      </c>
      <c r="I8" s="91" t="n">
        <v>0</v>
      </c>
      <c r="J8" s="91" t="n">
        <v>0</v>
      </c>
      <c r="K8" s="91" t="n">
        <v>0</v>
      </c>
      <c r="L8" s="93">
        <f>SUM(C8:K8)</f>
        <v/>
      </c>
      <c r="M8" s="111">
        <f>IF(B8="","",L8-B8)</f>
        <v/>
      </c>
    </row>
    <row r="9">
      <c r="A9" s="110" t="inlineStr">
        <is>
          <t>2025-10-18</t>
        </is>
      </c>
      <c r="B9" s="90" t="n">
        <v>6244622</v>
      </c>
      <c r="C9" s="91" t="n">
        <v>0</v>
      </c>
      <c r="D9" s="91" t="n">
        <v>0</v>
      </c>
      <c r="E9" s="91" t="n">
        <v>0</v>
      </c>
      <c r="F9" s="91" t="n">
        <v>6244141.0705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3">
        <f>SUM(C9:K9)</f>
        <v/>
      </c>
      <c r="M9" s="111">
        <f>IF(B9="","",L9-B9)</f>
        <v/>
      </c>
    </row>
    <row r="10">
      <c r="A10" s="110" t="inlineStr">
        <is>
          <t>2025-10-19</t>
        </is>
      </c>
      <c r="B10" s="90" t="n">
        <v>7839092</v>
      </c>
      <c r="C10" s="91" t="n">
        <v>0</v>
      </c>
      <c r="D10" s="91" t="n">
        <v>0</v>
      </c>
      <c r="E10" s="91" t="n">
        <v>0</v>
      </c>
      <c r="F10" s="91" t="n">
        <v>7834107.533</v>
      </c>
      <c r="G10" s="91" t="n">
        <v>0</v>
      </c>
      <c r="H10" s="91" t="n">
        <v>0</v>
      </c>
      <c r="I10" s="91" t="n">
        <v>0</v>
      </c>
      <c r="J10" s="91" t="n">
        <v>0</v>
      </c>
      <c r="K10" s="91" t="n">
        <v>0</v>
      </c>
      <c r="L10" s="93">
        <f>SUM(C10:K10)</f>
        <v/>
      </c>
      <c r="M10" s="111">
        <f>IF(B10="","",L10-B10)</f>
        <v/>
      </c>
    </row>
    <row r="11">
      <c r="A11" s="110" t="inlineStr">
        <is>
          <t>2025-10-20</t>
        </is>
      </c>
      <c r="B11" s="90" t="n">
        <v>10611401</v>
      </c>
      <c r="C11" s="91" t="n">
        <v>0</v>
      </c>
      <c r="D11" s="91" t="n">
        <v>0</v>
      </c>
      <c r="E11" s="91" t="n">
        <v>0</v>
      </c>
      <c r="F11" s="91" t="n">
        <v>10659590.862</v>
      </c>
      <c r="G11" s="91" t="n">
        <v>0</v>
      </c>
      <c r="H11" s="91" t="n">
        <v>0</v>
      </c>
      <c r="I11" s="91" t="n">
        <v>0</v>
      </c>
      <c r="J11" s="91" t="n">
        <v>0</v>
      </c>
      <c r="K11" s="91" t="n">
        <v>0</v>
      </c>
      <c r="L11" s="93">
        <f>SUM(C11:K11)</f>
        <v/>
      </c>
      <c r="M11" s="111">
        <f>IF(B11="","",L11-B11)</f>
        <v/>
      </c>
    </row>
    <row r="12">
      <c r="A12" s="110" t="inlineStr">
        <is>
          <t>2025-10-21</t>
        </is>
      </c>
      <c r="B12" s="90" t="n">
        <v>23310245</v>
      </c>
      <c r="C12" s="91" t="n">
        <v>0</v>
      </c>
      <c r="D12" s="91" t="n">
        <v>0</v>
      </c>
      <c r="E12" s="91" t="n">
        <v>0</v>
      </c>
      <c r="F12" s="91" t="n">
        <v>23275405.2314</v>
      </c>
      <c r="G12" s="91" t="n">
        <v>0</v>
      </c>
      <c r="H12" s="91" t="n">
        <v>0</v>
      </c>
      <c r="I12" s="91" t="n">
        <v>0</v>
      </c>
      <c r="J12" s="91" t="n">
        <v>0</v>
      </c>
      <c r="K12" s="91" t="n">
        <v>0</v>
      </c>
      <c r="L12" s="93">
        <f>SUM(C12:K12)</f>
        <v/>
      </c>
      <c r="M12" s="111">
        <f>IF(B12="","",L12-B12)</f>
        <v/>
      </c>
    </row>
    <row r="13">
      <c r="A13" s="110" t="inlineStr">
        <is>
          <t>2025-10-22</t>
        </is>
      </c>
      <c r="B13" s="90" t="n">
        <v>36699372</v>
      </c>
      <c r="C13" s="91" t="n">
        <v>0</v>
      </c>
      <c r="D13" s="91" t="n">
        <v>0</v>
      </c>
      <c r="E13" s="91" t="n">
        <v>0</v>
      </c>
      <c r="F13" s="91" t="n">
        <v>36607235.49</v>
      </c>
      <c r="G13" s="91" t="n">
        <v>0</v>
      </c>
      <c r="H13" s="91" t="n">
        <v>0</v>
      </c>
      <c r="I13" s="91" t="n">
        <v>0</v>
      </c>
      <c r="J13" s="91" t="n">
        <v>0</v>
      </c>
      <c r="K13" s="91" t="n">
        <v>0</v>
      </c>
      <c r="L13" s="93">
        <f>SUM(C13:K13)</f>
        <v/>
      </c>
      <c r="M13" s="111">
        <f>IF(B13="","",L13-B13)</f>
        <v/>
      </c>
    </row>
    <row r="14">
      <c r="A14" s="110" t="inlineStr">
        <is>
          <t>2025-10-23</t>
        </is>
      </c>
      <c r="B14" s="90" t="n">
        <v>30172562</v>
      </c>
      <c r="C14" s="91" t="n">
        <v>0</v>
      </c>
      <c r="D14" s="91" t="n">
        <v>0</v>
      </c>
      <c r="E14" s="91" t="n">
        <v>0</v>
      </c>
      <c r="F14" s="91" t="n">
        <v>30362688.72</v>
      </c>
      <c r="G14" s="91" t="n">
        <v>0</v>
      </c>
      <c r="H14" s="91" t="n">
        <v>0</v>
      </c>
      <c r="I14" s="91" t="n">
        <v>0</v>
      </c>
      <c r="J14" s="91" t="n">
        <v>0</v>
      </c>
      <c r="K14" s="91" t="n">
        <v>0</v>
      </c>
      <c r="L14" s="93">
        <f>SUM(C14:K14)</f>
        <v/>
      </c>
      <c r="M14" s="111">
        <f>IF(B14="","",L14-B14)</f>
        <v/>
      </c>
    </row>
    <row r="15">
      <c r="A15" s="110" t="inlineStr">
        <is>
          <t>2025-10-24</t>
        </is>
      </c>
      <c r="B15" s="90" t="n">
        <v>27345918</v>
      </c>
      <c r="C15" s="91" t="n">
        <v>0</v>
      </c>
      <c r="D15" s="91" t="n">
        <v>0</v>
      </c>
      <c r="E15" s="91" t="n">
        <v>0</v>
      </c>
      <c r="F15" s="91" t="n">
        <v>27390789.4068</v>
      </c>
      <c r="G15" s="91" t="n">
        <v>0</v>
      </c>
      <c r="H15" s="91" t="n">
        <v>0</v>
      </c>
      <c r="I15" s="91" t="n">
        <v>0</v>
      </c>
      <c r="J15" s="91" t="n">
        <v>0</v>
      </c>
      <c r="K15" s="91" t="n">
        <v>0</v>
      </c>
      <c r="L15" s="93">
        <f>SUM(C15:K15)</f>
        <v/>
      </c>
      <c r="M15" s="111">
        <f>IF(B15="","",L15-B15)</f>
        <v/>
      </c>
    </row>
    <row r="16">
      <c r="A16" s="110" t="inlineStr">
        <is>
          <t>2025-10-25</t>
        </is>
      </c>
      <c r="B16" s="90" t="n">
        <v>48997606</v>
      </c>
      <c r="C16" s="91" t="n">
        <v>0</v>
      </c>
      <c r="D16" s="91" t="n">
        <v>0</v>
      </c>
      <c r="E16" s="91" t="n">
        <v>0</v>
      </c>
      <c r="F16" s="91" t="n">
        <v>48981271.5866</v>
      </c>
      <c r="G16" s="91" t="n">
        <v>0</v>
      </c>
      <c r="H16" s="91" t="n">
        <v>0</v>
      </c>
      <c r="I16" s="91" t="n">
        <v>0</v>
      </c>
      <c r="J16" s="91" t="n">
        <v>0</v>
      </c>
      <c r="K16" s="91" t="n">
        <v>0</v>
      </c>
      <c r="L16" s="93">
        <f>SUM(C16:K16)</f>
        <v/>
      </c>
      <c r="M16" s="111">
        <f>IF(B16="","",L16-B16)</f>
        <v/>
      </c>
    </row>
    <row r="17">
      <c r="A17" s="110" t="inlineStr">
        <is>
          <t>2025-10-26</t>
        </is>
      </c>
      <c r="B17" s="90" t="n">
        <v>47016155</v>
      </c>
      <c r="C17" s="91" t="n">
        <v>0</v>
      </c>
      <c r="D17" s="91" t="n">
        <v>0</v>
      </c>
      <c r="E17" s="91" t="n">
        <v>0</v>
      </c>
      <c r="F17" s="91" t="n">
        <v>47213086.6468</v>
      </c>
      <c r="G17" s="91" t="n">
        <v>0</v>
      </c>
      <c r="H17" s="91" t="n">
        <v>0</v>
      </c>
      <c r="I17" s="91" t="n">
        <v>0</v>
      </c>
      <c r="J17" s="91" t="n">
        <v>0</v>
      </c>
      <c r="K17" s="91" t="n">
        <v>0</v>
      </c>
      <c r="L17" s="93">
        <f>SUM(C17:K17)</f>
        <v/>
      </c>
      <c r="M17" s="111">
        <f>IF(B17="","",L17-B17)</f>
        <v/>
      </c>
    </row>
    <row r="18">
      <c r="A18" s="110" t="inlineStr">
        <is>
          <t>2025-10-27</t>
        </is>
      </c>
      <c r="B18" s="90" t="n">
        <v>65446643</v>
      </c>
      <c r="C18" s="91" t="n">
        <v>0</v>
      </c>
      <c r="D18" s="91" t="n">
        <v>0</v>
      </c>
      <c r="E18" s="91" t="n">
        <v>0</v>
      </c>
      <c r="F18" s="91" t="n">
        <v>65755694.05460001</v>
      </c>
      <c r="G18" s="91" t="n">
        <v>0</v>
      </c>
      <c r="H18" s="91" t="n">
        <v>0</v>
      </c>
      <c r="I18" s="91" t="n">
        <v>0</v>
      </c>
      <c r="J18" s="91" t="n">
        <v>0</v>
      </c>
      <c r="K18" s="91" t="n">
        <v>0</v>
      </c>
      <c r="L18" s="93">
        <f>SUM(C18:K18)</f>
        <v/>
      </c>
      <c r="M18" s="111">
        <f>IF(B18="","",L18-B18)</f>
        <v/>
      </c>
    </row>
    <row r="19">
      <c r="A19" s="110" t="inlineStr">
        <is>
          <t>2025-10-28</t>
        </is>
      </c>
      <c r="B19" s="90" t="n">
        <v>80478854</v>
      </c>
      <c r="C19" s="91" t="n">
        <v>0</v>
      </c>
      <c r="D19" s="91" t="n">
        <v>0</v>
      </c>
      <c r="E19" s="91" t="n">
        <v>0</v>
      </c>
      <c r="F19" s="91" t="n">
        <v>80809594.2454</v>
      </c>
      <c r="G19" s="91" t="n">
        <v>0</v>
      </c>
      <c r="H19" s="91" t="n">
        <v>0</v>
      </c>
      <c r="I19" s="91" t="n">
        <v>0</v>
      </c>
      <c r="J19" s="91" t="n">
        <v>0</v>
      </c>
      <c r="K19" s="91" t="n">
        <v>0</v>
      </c>
      <c r="L19" s="93">
        <f>SUM(C19:K19)</f>
        <v/>
      </c>
      <c r="M19" s="111">
        <f>IF(B19="","",L19-B19)</f>
        <v/>
      </c>
    </row>
    <row r="20">
      <c r="A20" s="110" t="inlineStr">
        <is>
          <t>2025-10-29</t>
        </is>
      </c>
      <c r="B20" s="90" t="n">
        <v>94293418</v>
      </c>
      <c r="C20" s="91" t="n">
        <v>0</v>
      </c>
      <c r="D20" s="91" t="n">
        <v>0</v>
      </c>
      <c r="E20" s="91" t="n">
        <v>0</v>
      </c>
      <c r="F20" s="91" t="n">
        <v>94336577.12639999</v>
      </c>
      <c r="G20" s="91" t="n">
        <v>0</v>
      </c>
      <c r="H20" s="91" t="n">
        <v>0</v>
      </c>
      <c r="I20" s="91" t="n">
        <v>0</v>
      </c>
      <c r="J20" s="91" t="n">
        <v>0</v>
      </c>
      <c r="K20" s="91" t="n">
        <v>0</v>
      </c>
      <c r="L20" s="93">
        <f>SUM(C20:K20)</f>
        <v/>
      </c>
      <c r="M20" s="111">
        <f>IF(B20="","",L20-B20)</f>
        <v/>
      </c>
    </row>
    <row r="21">
      <c r="A21" s="110" t="inlineStr">
        <is>
          <t>2025-10-30</t>
        </is>
      </c>
      <c r="B21" s="90" t="n">
        <v>116073044</v>
      </c>
      <c r="C21" s="91" t="n">
        <v>0</v>
      </c>
      <c r="D21" s="91" t="n">
        <v>0</v>
      </c>
      <c r="E21" s="91" t="n">
        <v>0</v>
      </c>
      <c r="F21" s="91" t="n">
        <v>116102415.5967</v>
      </c>
      <c r="G21" s="91" t="n">
        <v>0</v>
      </c>
      <c r="H21" s="91" t="n">
        <v>0</v>
      </c>
      <c r="I21" s="91" t="n">
        <v>0</v>
      </c>
      <c r="J21" s="91" t="n">
        <v>0</v>
      </c>
      <c r="K21" s="91" t="n">
        <v>0</v>
      </c>
      <c r="L21" s="93">
        <f>SUM(C21:K21)</f>
        <v/>
      </c>
      <c r="M21" s="111">
        <f>IF(B21="","",L21-B21)</f>
        <v/>
      </c>
    </row>
    <row r="22">
      <c r="A22" s="110" t="inlineStr">
        <is>
          <t>2025-10-31</t>
        </is>
      </c>
      <c r="B22" s="90" t="n">
        <v>60260348</v>
      </c>
      <c r="C22" s="91" t="n">
        <v>0</v>
      </c>
      <c r="D22" s="91" t="n">
        <v>0</v>
      </c>
      <c r="E22" s="91" t="n">
        <v>0</v>
      </c>
      <c r="F22" s="91" t="n">
        <v>59946764.3136</v>
      </c>
      <c r="G22" s="91" t="n">
        <v>0</v>
      </c>
      <c r="H22" s="91" t="n">
        <v>0</v>
      </c>
      <c r="I22" s="91" t="n">
        <v>0</v>
      </c>
      <c r="J22" s="91" t="n">
        <v>0</v>
      </c>
      <c r="K22" s="91" t="n">
        <v>0</v>
      </c>
      <c r="L22" s="93">
        <f>SUM(C22:K22)</f>
        <v/>
      </c>
      <c r="M22" s="111">
        <f>IF(B22="","",L22-B22)</f>
        <v/>
      </c>
    </row>
    <row r="23">
      <c r="A23" s="110" t="inlineStr">
        <is>
          <t>2025-11-01</t>
        </is>
      </c>
      <c r="B23" s="90" t="n">
        <v>44942141</v>
      </c>
      <c r="C23" s="91" t="n">
        <v>0</v>
      </c>
      <c r="D23" s="91" t="n">
        <v>0</v>
      </c>
      <c r="E23" s="91" t="n">
        <v>0</v>
      </c>
      <c r="F23" s="91" t="n">
        <v>44939665.0458</v>
      </c>
      <c r="G23" s="91" t="n">
        <v>0</v>
      </c>
      <c r="H23" s="91" t="n">
        <v>0</v>
      </c>
      <c r="I23" s="91" t="n">
        <v>0</v>
      </c>
      <c r="J23" s="91" t="n">
        <v>0</v>
      </c>
      <c r="K23" s="91" t="n">
        <v>0</v>
      </c>
      <c r="L23" s="93">
        <f>SUM(C23:K23)</f>
        <v/>
      </c>
      <c r="M23" s="111">
        <f>IF(B23="","",L23-B23)</f>
        <v/>
      </c>
    </row>
    <row r="24">
      <c r="A24" s="110" t="inlineStr">
        <is>
          <t>2025-11-02</t>
        </is>
      </c>
      <c r="B24" s="90" t="n">
        <v>32898300</v>
      </c>
      <c r="C24" s="91" t="n">
        <v>0</v>
      </c>
      <c r="D24" s="91" t="n">
        <v>0</v>
      </c>
      <c r="E24" s="91" t="n">
        <v>0</v>
      </c>
      <c r="F24" s="91" t="n">
        <v>32993468.4465</v>
      </c>
      <c r="G24" s="91" t="n">
        <v>0</v>
      </c>
      <c r="H24" s="91" t="n">
        <v>0</v>
      </c>
      <c r="I24" s="91" t="n">
        <v>0</v>
      </c>
      <c r="J24" s="91" t="n">
        <v>0</v>
      </c>
      <c r="K24" s="91" t="n">
        <v>0</v>
      </c>
      <c r="L24" s="93">
        <f>SUM(C24:K24)</f>
        <v/>
      </c>
      <c r="M24" s="111">
        <f>IF(B24="","",L24-B24)</f>
        <v/>
      </c>
    </row>
    <row r="25">
      <c r="A25" s="110" t="inlineStr">
        <is>
          <t>2025-11-03</t>
        </is>
      </c>
      <c r="B25" s="90" t="n">
        <v>76786337</v>
      </c>
      <c r="C25" s="91" t="n">
        <v>0</v>
      </c>
      <c r="D25" s="91" t="n">
        <v>0</v>
      </c>
      <c r="E25" s="91" t="n">
        <v>0</v>
      </c>
      <c r="F25" s="91" t="n">
        <v>76596805.0166</v>
      </c>
      <c r="G25" s="91" t="n">
        <v>0</v>
      </c>
      <c r="H25" s="91" t="n">
        <v>0</v>
      </c>
      <c r="I25" s="91" t="n">
        <v>0</v>
      </c>
      <c r="J25" s="91" t="n">
        <v>0</v>
      </c>
      <c r="K25" s="91" t="n">
        <v>0</v>
      </c>
      <c r="L25" s="93">
        <f>SUM(C25:K25)</f>
        <v/>
      </c>
      <c r="M25" s="111">
        <f>IF(B25="","",L25-B25)</f>
        <v/>
      </c>
    </row>
    <row r="26">
      <c r="A26" s="110" t="inlineStr">
        <is>
          <t>2025-11-04</t>
        </is>
      </c>
      <c r="B26" s="90" t="n">
        <v>76973279</v>
      </c>
      <c r="C26" s="91" t="n">
        <v>0</v>
      </c>
      <c r="D26" s="91" t="n">
        <v>0</v>
      </c>
      <c r="E26" s="91" t="n">
        <v>0</v>
      </c>
      <c r="F26" s="91" t="n">
        <v>76312817.1744</v>
      </c>
      <c r="G26" s="91" t="n">
        <v>0</v>
      </c>
      <c r="H26" s="91" t="n">
        <v>0</v>
      </c>
      <c r="I26" s="91" t="n">
        <v>0</v>
      </c>
      <c r="J26" s="91" t="n">
        <v>0</v>
      </c>
      <c r="K26" s="91" t="n">
        <v>0</v>
      </c>
      <c r="L26" s="93">
        <f>SUM(C26:K26)</f>
        <v/>
      </c>
      <c r="M26" s="111">
        <f>IF(B26="","",L26-B26)</f>
        <v/>
      </c>
    </row>
    <row r="27">
      <c r="A27" s="110" t="inlineStr">
        <is>
          <t>2025-11-05</t>
        </is>
      </c>
      <c r="B27" s="90" t="n">
        <v>74172106</v>
      </c>
      <c r="C27" s="91" t="n">
        <v>0</v>
      </c>
      <c r="D27" s="91" t="n">
        <v>0</v>
      </c>
      <c r="E27" s="91" t="n">
        <v>0</v>
      </c>
      <c r="F27" s="91" t="n">
        <v>74686419.2958</v>
      </c>
      <c r="G27" s="91" t="n">
        <v>0</v>
      </c>
      <c r="H27" s="91" t="n">
        <v>0</v>
      </c>
      <c r="I27" s="91" t="n">
        <v>0</v>
      </c>
      <c r="J27" s="91" t="n">
        <v>0</v>
      </c>
      <c r="K27" s="91" t="n">
        <v>0</v>
      </c>
      <c r="L27" s="93">
        <f>SUM(C27:K27)</f>
        <v/>
      </c>
      <c r="M27" s="111">
        <f>IF(B27="","",L27-B27)</f>
        <v/>
      </c>
    </row>
    <row r="28">
      <c r="A28" s="110" t="inlineStr">
        <is>
          <t>2025-11-06</t>
        </is>
      </c>
      <c r="B28" s="90" t="n">
        <v>72408906</v>
      </c>
      <c r="C28" s="91" t="n">
        <v>0</v>
      </c>
      <c r="D28" s="91" t="n">
        <v>0</v>
      </c>
      <c r="E28" s="91" t="n">
        <v>0</v>
      </c>
      <c r="F28" s="91" t="n">
        <v>71954005.96349999</v>
      </c>
      <c r="G28" s="91" t="n">
        <v>0</v>
      </c>
      <c r="H28" s="91" t="n">
        <v>0</v>
      </c>
      <c r="I28" s="91" t="n">
        <v>0</v>
      </c>
      <c r="J28" s="91" t="n">
        <v>0</v>
      </c>
      <c r="K28" s="91" t="n">
        <v>0</v>
      </c>
      <c r="L28" s="93">
        <f>SUM(C28:K28)</f>
        <v/>
      </c>
      <c r="M28" s="111">
        <f>IF(B28="","",L28-B28)</f>
        <v/>
      </c>
    </row>
    <row r="29">
      <c r="A29" s="110" t="inlineStr">
        <is>
          <t>2025-11-07</t>
        </is>
      </c>
      <c r="B29" s="90" t="n">
        <v>86339593</v>
      </c>
      <c r="C29" s="91" t="n">
        <v>0</v>
      </c>
      <c r="D29" s="91" t="n">
        <v>0</v>
      </c>
      <c r="E29" s="91" t="n">
        <v>0</v>
      </c>
      <c r="F29" s="91" t="n">
        <v>86867222.3627</v>
      </c>
      <c r="G29" s="91" t="n">
        <v>0</v>
      </c>
      <c r="H29" s="91" t="n">
        <v>0</v>
      </c>
      <c r="I29" s="91" t="n">
        <v>0</v>
      </c>
      <c r="J29" s="91" t="n">
        <v>0</v>
      </c>
      <c r="K29" s="91" t="n">
        <v>0</v>
      </c>
      <c r="L29" s="93">
        <f>SUM(C29:K29)</f>
        <v/>
      </c>
      <c r="M29" s="111">
        <f>IF(B29="","",L29-B29)</f>
        <v/>
      </c>
    </row>
    <row r="30">
      <c r="A30" s="110" t="inlineStr">
        <is>
          <t>2025-11-08</t>
        </is>
      </c>
      <c r="B30" s="90" t="n">
        <v>17353200</v>
      </c>
      <c r="C30" s="91" t="n">
        <v>0</v>
      </c>
      <c r="D30" s="91" t="n">
        <v>0</v>
      </c>
      <c r="E30" s="91" t="n">
        <v>0</v>
      </c>
      <c r="F30" s="91" t="n">
        <v>17341498.2372</v>
      </c>
      <c r="G30" s="91" t="n">
        <v>0</v>
      </c>
      <c r="H30" s="91" t="n">
        <v>0</v>
      </c>
      <c r="I30" s="91" t="n">
        <v>0</v>
      </c>
      <c r="J30" s="91" t="n">
        <v>0</v>
      </c>
      <c r="K30" s="91" t="n">
        <v>0</v>
      </c>
      <c r="L30" s="93">
        <f>SUM(C30:K30)</f>
        <v/>
      </c>
      <c r="M30" s="111">
        <f>IF(B30="","",L30-B30)</f>
        <v/>
      </c>
    </row>
    <row r="31">
      <c r="A31" s="110" t="inlineStr">
        <is>
          <t>2025-11-09</t>
        </is>
      </c>
      <c r="B31" s="90" t="n">
        <v>35940775</v>
      </c>
      <c r="C31" s="91" t="n">
        <v>0</v>
      </c>
      <c r="D31" s="91" t="n">
        <v>0</v>
      </c>
      <c r="E31" s="91" t="n">
        <v>0</v>
      </c>
      <c r="F31" s="91" t="n">
        <v>36029725.8954</v>
      </c>
      <c r="G31" s="91" t="n">
        <v>0</v>
      </c>
      <c r="H31" s="91" t="n">
        <v>0</v>
      </c>
      <c r="I31" s="91" t="n">
        <v>0</v>
      </c>
      <c r="J31" s="91" t="n">
        <v>0</v>
      </c>
      <c r="K31" s="91" t="n">
        <v>0</v>
      </c>
      <c r="L31" s="93">
        <f>SUM(C31:K31)</f>
        <v/>
      </c>
      <c r="M31" s="111">
        <f>IF(B31="","",L31-B31)</f>
        <v/>
      </c>
    </row>
    <row r="32">
      <c r="A32" s="110" t="inlineStr">
        <is>
          <t>2025-11-10</t>
        </is>
      </c>
      <c r="B32" s="90" t="n">
        <v>48277276</v>
      </c>
      <c r="C32" s="91" t="n">
        <v>0</v>
      </c>
      <c r="D32" s="91" t="n">
        <v>0</v>
      </c>
      <c r="E32" s="91" t="n">
        <v>0</v>
      </c>
      <c r="F32" s="91" t="n">
        <v>48647089.49659999</v>
      </c>
      <c r="G32" s="91" t="n">
        <v>0</v>
      </c>
      <c r="H32" s="91" t="n">
        <v>0</v>
      </c>
      <c r="I32" s="91" t="n">
        <v>0</v>
      </c>
      <c r="J32" s="91" t="n">
        <v>0</v>
      </c>
      <c r="K32" s="91" t="n">
        <v>0</v>
      </c>
      <c r="L32" s="93">
        <f>SUM(C32:K32)</f>
        <v/>
      </c>
      <c r="M32" s="111">
        <f>IF(B32="","",L32-B32)</f>
        <v/>
      </c>
    </row>
    <row r="33">
      <c r="A33" s="110" t="inlineStr">
        <is>
          <t>2025-11-11</t>
        </is>
      </c>
      <c r="B33" s="90" t="n">
        <v>51882733</v>
      </c>
      <c r="C33" s="91" t="n">
        <v>0</v>
      </c>
      <c r="D33" s="91" t="n">
        <v>0</v>
      </c>
      <c r="E33" s="91" t="n">
        <v>0</v>
      </c>
      <c r="F33" s="91" t="n">
        <v>51956747.5059</v>
      </c>
      <c r="G33" s="91" t="n">
        <v>0</v>
      </c>
      <c r="H33" s="91" t="n">
        <v>0</v>
      </c>
      <c r="I33" s="91" t="n">
        <v>0</v>
      </c>
      <c r="J33" s="91" t="n">
        <v>0</v>
      </c>
      <c r="K33" s="91" t="n">
        <v>0</v>
      </c>
      <c r="L33" s="93">
        <f>SUM(C33:K33)</f>
        <v/>
      </c>
      <c r="M33" s="111">
        <f>IF(B33="","",L33-B33)</f>
        <v/>
      </c>
    </row>
    <row r="34">
      <c r="A34" s="110" t="inlineStr">
        <is>
          <t>2025-11-12</t>
        </is>
      </c>
      <c r="B34" s="90" t="n">
        <v>55323533</v>
      </c>
      <c r="C34" s="91" t="n">
        <v>0</v>
      </c>
      <c r="D34" s="91" t="n">
        <v>0</v>
      </c>
      <c r="E34" s="91" t="n">
        <v>0</v>
      </c>
      <c r="F34" s="91" t="n">
        <v>48203758.5561</v>
      </c>
      <c r="G34" s="91" t="n">
        <v>6846968.218679999</v>
      </c>
      <c r="H34" s="91" t="n">
        <v>0</v>
      </c>
      <c r="I34" s="91" t="n">
        <v>0</v>
      </c>
      <c r="J34" s="91" t="n">
        <v>0</v>
      </c>
      <c r="K34" s="91" t="n">
        <v>0</v>
      </c>
      <c r="L34" s="93">
        <f>SUM(C34:K34)</f>
        <v/>
      </c>
      <c r="M34" s="111">
        <f>IF(B34="","",L34-B34)</f>
        <v/>
      </c>
    </row>
    <row r="35">
      <c r="A35" s="110" t="inlineStr">
        <is>
          <t>2025-11-13</t>
        </is>
      </c>
      <c r="B35" s="90" t="n">
        <v>77882780</v>
      </c>
      <c r="C35" s="91" t="n">
        <v>0</v>
      </c>
      <c r="D35" s="91" t="n">
        <v>0</v>
      </c>
      <c r="E35" s="91" t="n">
        <v>0</v>
      </c>
      <c r="F35" s="91" t="n">
        <v>47548165.626</v>
      </c>
      <c r="G35" s="91" t="n">
        <v>29254346.03596</v>
      </c>
      <c r="H35" s="91" t="n">
        <v>234382.63599</v>
      </c>
      <c r="I35" s="91" t="n">
        <v>0</v>
      </c>
      <c r="J35" s="91" t="n">
        <v>0</v>
      </c>
      <c r="K35" s="91" t="n">
        <v>0</v>
      </c>
      <c r="L35" s="93">
        <f>SUM(C35:K35)</f>
        <v/>
      </c>
      <c r="M35" s="111">
        <f>IF(B35="","",L35-B35)</f>
        <v/>
      </c>
    </row>
    <row r="36">
      <c r="A36" s="110" t="inlineStr">
        <is>
          <t>2025-11-14</t>
        </is>
      </c>
      <c r="B36" s="90" t="n">
        <v>82876659</v>
      </c>
      <c r="C36" s="91" t="n">
        <v>0</v>
      </c>
      <c r="D36" s="91" t="n">
        <v>0</v>
      </c>
      <c r="E36" s="91" t="n">
        <v>0</v>
      </c>
      <c r="F36" s="91" t="n">
        <v>46764469.3014</v>
      </c>
      <c r="G36" s="91" t="n">
        <v>36689098.42948</v>
      </c>
      <c r="H36" s="91" t="n">
        <v>274843.992</v>
      </c>
      <c r="I36" s="91" t="n">
        <v>0</v>
      </c>
      <c r="J36" s="91" t="n">
        <v>0</v>
      </c>
      <c r="K36" s="91" t="n">
        <v>0</v>
      </c>
      <c r="L36" s="93">
        <f>SUM(C36:K36)</f>
        <v/>
      </c>
      <c r="M36" s="111">
        <f>IF(B36="","",L36-B36)</f>
        <v/>
      </c>
    </row>
    <row r="37">
      <c r="A37" s="110" t="inlineStr">
        <is>
          <t>2025-11-15</t>
        </is>
      </c>
      <c r="B37" s="90" t="n">
        <v>28938455</v>
      </c>
      <c r="C37" s="91" t="n">
        <v>0</v>
      </c>
      <c r="D37" s="91" t="n">
        <v>0</v>
      </c>
      <c r="E37" s="91" t="n">
        <v>0</v>
      </c>
      <c r="F37" s="91" t="n">
        <v>17799988.1241</v>
      </c>
      <c r="G37" s="91" t="n">
        <v>10880431.56646</v>
      </c>
      <c r="H37" s="91" t="n">
        <v>266209.30016</v>
      </c>
      <c r="I37" s="91" t="n">
        <v>0</v>
      </c>
      <c r="J37" s="91" t="n">
        <v>0</v>
      </c>
      <c r="K37" s="91" t="n">
        <v>0</v>
      </c>
      <c r="L37" s="93">
        <f>SUM(C37:K37)</f>
        <v/>
      </c>
      <c r="M37" s="111">
        <f>IF(B37="","",L37-B37)</f>
        <v/>
      </c>
    </row>
    <row r="38">
      <c r="A38" s="110" t="inlineStr">
        <is>
          <t>2025-11-16</t>
        </is>
      </c>
      <c r="B38" s="90" t="n">
        <v>39021394</v>
      </c>
      <c r="C38" s="91" t="n">
        <v>0</v>
      </c>
      <c r="D38" s="91" t="n">
        <v>0</v>
      </c>
      <c r="E38" s="91" t="n">
        <v>0</v>
      </c>
      <c r="F38" s="91" t="n">
        <v>27901732.2597</v>
      </c>
      <c r="G38" s="91" t="n">
        <v>10587485.94543</v>
      </c>
      <c r="H38" s="91" t="n">
        <v>556057.0719100001</v>
      </c>
      <c r="I38" s="91" t="n">
        <v>0</v>
      </c>
      <c r="J38" s="91" t="n">
        <v>0</v>
      </c>
      <c r="K38" s="91" t="n">
        <v>0</v>
      </c>
      <c r="L38" s="93">
        <f>SUM(C38:K38)</f>
        <v/>
      </c>
      <c r="M38" s="111">
        <f>IF(B38="","",L38-B38)</f>
        <v/>
      </c>
    </row>
    <row r="39">
      <c r="A39" s="110" t="inlineStr">
        <is>
          <t>2025-11-17</t>
        </is>
      </c>
      <c r="B39" s="90" t="n">
        <v>124865202</v>
      </c>
      <c r="C39" s="91" t="n">
        <v>0</v>
      </c>
      <c r="D39" s="91" t="n">
        <v>0</v>
      </c>
      <c r="E39" s="91" t="n">
        <v>0</v>
      </c>
      <c r="F39" s="91" t="n">
        <v>67994871.7586</v>
      </c>
      <c r="G39" s="91" t="n">
        <v>55935588.43731999</v>
      </c>
      <c r="H39" s="91" t="n">
        <v>156319.11122</v>
      </c>
      <c r="I39" s="91" t="n">
        <v>0</v>
      </c>
      <c r="J39" s="91" t="n">
        <v>0</v>
      </c>
      <c r="K39" s="91" t="n">
        <v>0</v>
      </c>
      <c r="L39" s="93">
        <f>SUM(C39:K39)</f>
        <v/>
      </c>
      <c r="M39" s="111">
        <f>IF(B39="","",L39-B39)</f>
        <v/>
      </c>
    </row>
    <row r="40">
      <c r="A40" s="110" t="inlineStr">
        <is>
          <t>2025-11-18</t>
        </is>
      </c>
      <c r="B40" s="90" t="n">
        <v>143664862</v>
      </c>
      <c r="C40" s="91" t="n">
        <v>0</v>
      </c>
      <c r="D40" s="91" t="n">
        <v>0</v>
      </c>
      <c r="E40" s="91" t="n">
        <v>0</v>
      </c>
      <c r="F40" s="91" t="n">
        <v>79677556.83679999</v>
      </c>
      <c r="G40" s="91" t="n">
        <v>62801316.6987</v>
      </c>
      <c r="H40" s="91" t="n">
        <v>420636.4097</v>
      </c>
      <c r="I40" s="91" t="n">
        <v>0</v>
      </c>
      <c r="J40" s="91" t="n">
        <v>0</v>
      </c>
      <c r="K40" s="91" t="n">
        <v>0</v>
      </c>
      <c r="L40" s="93">
        <f>SUM(C40:K40)</f>
        <v/>
      </c>
      <c r="M40" s="111">
        <f>IF(B40="","",L40-B40)</f>
        <v/>
      </c>
    </row>
    <row r="41">
      <c r="A41" s="110" t="inlineStr">
        <is>
          <t>2025-11-19</t>
        </is>
      </c>
      <c r="B41" s="90" t="n">
        <v>230705185</v>
      </c>
      <c r="C41" s="91" t="n">
        <v>0</v>
      </c>
      <c r="D41" s="91" t="n">
        <v>0</v>
      </c>
      <c r="E41" s="91" t="n">
        <v>0</v>
      </c>
      <c r="F41" s="91" t="n">
        <v>83954366.8636</v>
      </c>
      <c r="G41" s="91" t="n">
        <v>151480952.18509</v>
      </c>
      <c r="H41" s="91" t="n">
        <v>748778.9445499999</v>
      </c>
      <c r="I41" s="91" t="n">
        <v>0</v>
      </c>
      <c r="J41" s="91" t="n">
        <v>0</v>
      </c>
      <c r="K41" s="91" t="n">
        <v>0</v>
      </c>
      <c r="L41" s="93">
        <f>SUM(C41:K41)</f>
        <v/>
      </c>
      <c r="M41" s="111">
        <f>IF(B41="","",L41-B41)</f>
        <v/>
      </c>
    </row>
    <row r="42">
      <c r="A42" s="110" t="inlineStr">
        <is>
          <t>2025-11-20</t>
        </is>
      </c>
      <c r="B42" s="90" t="n">
        <v>316335677</v>
      </c>
      <c r="C42" s="91" t="n">
        <v>0</v>
      </c>
      <c r="D42" s="91" t="n">
        <v>0</v>
      </c>
      <c r="E42" s="91" t="n">
        <v>0</v>
      </c>
      <c r="F42" s="91" t="n">
        <v>145959337.1064</v>
      </c>
      <c r="G42" s="91" t="n">
        <v>158250943.558</v>
      </c>
      <c r="H42" s="91" t="n">
        <v>1681997.115</v>
      </c>
      <c r="I42" s="91" t="n">
        <v>0</v>
      </c>
      <c r="J42" s="91" t="n">
        <v>0</v>
      </c>
      <c r="K42" s="91" t="n">
        <v>0</v>
      </c>
      <c r="L42" s="93">
        <f>SUM(C42:K42)</f>
        <v/>
      </c>
      <c r="M42" s="111">
        <f>IF(B42="","",L42-B42)</f>
        <v/>
      </c>
    </row>
    <row r="43">
      <c r="A43" s="110" t="inlineStr">
        <is>
          <t>2025-11-21</t>
        </is>
      </c>
      <c r="B43" s="90" t="n">
        <v>320977745</v>
      </c>
      <c r="C43" s="91" t="n">
        <v>0</v>
      </c>
      <c r="D43" s="91" t="n">
        <v>0</v>
      </c>
      <c r="E43" s="91" t="n">
        <v>0</v>
      </c>
      <c r="F43" s="91" t="n">
        <v>129152864.4672</v>
      </c>
      <c r="G43" s="91" t="n">
        <v>192151299.47903</v>
      </c>
      <c r="H43" s="91" t="n">
        <v>1715840.46402</v>
      </c>
      <c r="I43" s="91" t="n">
        <v>0</v>
      </c>
      <c r="J43" s="91" t="n">
        <v>0</v>
      </c>
      <c r="K43" s="91" t="n">
        <v>0</v>
      </c>
      <c r="L43" s="93">
        <f>SUM(C43:K43)</f>
        <v/>
      </c>
      <c r="M43" s="111">
        <f>IF(B43="","",L43-B43)</f>
        <v/>
      </c>
    </row>
    <row r="44">
      <c r="A44" s="110" t="inlineStr">
        <is>
          <t>2025-11-22</t>
        </is>
      </c>
      <c r="B44" s="90" t="n">
        <v>56501925</v>
      </c>
      <c r="C44" s="91" t="n">
        <v>0</v>
      </c>
      <c r="D44" s="91" t="n">
        <v>0</v>
      </c>
      <c r="E44" s="91" t="n">
        <v>0</v>
      </c>
      <c r="F44" s="91" t="n">
        <v>34502419.3872</v>
      </c>
      <c r="G44" s="91" t="n">
        <v>19574255.5945</v>
      </c>
      <c r="H44" s="91" t="n">
        <v>2337655.48827</v>
      </c>
      <c r="I44" s="91" t="n">
        <v>0</v>
      </c>
      <c r="J44" s="91" t="n">
        <v>0</v>
      </c>
      <c r="K44" s="91" t="n">
        <v>0</v>
      </c>
      <c r="L44" s="93">
        <f>SUM(C44:K44)</f>
        <v/>
      </c>
      <c r="M44" s="111">
        <f>IF(B44="","",L44-B44)</f>
        <v/>
      </c>
    </row>
    <row r="45">
      <c r="A45" s="110" t="inlineStr">
        <is>
          <t>2025-11-23</t>
        </is>
      </c>
      <c r="B45" s="90" t="n">
        <v>54397552</v>
      </c>
      <c r="C45" s="91" t="n">
        <v>0</v>
      </c>
      <c r="D45" s="91" t="n">
        <v>0</v>
      </c>
      <c r="E45" s="91" t="n">
        <v>0</v>
      </c>
      <c r="F45" s="91" t="n">
        <v>32477790.3758</v>
      </c>
      <c r="G45" s="91" t="n">
        <v>20153646.20823</v>
      </c>
      <c r="H45" s="91" t="n">
        <v>1896249.80595</v>
      </c>
      <c r="I45" s="91" t="n">
        <v>0</v>
      </c>
      <c r="J45" s="91" t="n">
        <v>0</v>
      </c>
      <c r="K45" s="91" t="n">
        <v>0</v>
      </c>
      <c r="L45" s="93">
        <f>SUM(C45:K45)</f>
        <v/>
      </c>
      <c r="M45" s="111">
        <f>IF(B45="","",L45-B45)</f>
        <v/>
      </c>
    </row>
    <row r="46">
      <c r="A46" s="110" t="inlineStr">
        <is>
          <t>2025-11-24</t>
        </is>
      </c>
      <c r="B46" s="90" t="n">
        <v>446733399</v>
      </c>
      <c r="C46" s="91" t="n">
        <v>0</v>
      </c>
      <c r="D46" s="91" t="n">
        <v>0</v>
      </c>
      <c r="E46" s="91" t="n">
        <v>0</v>
      </c>
      <c r="F46" s="91" t="n">
        <v>289241838.6066</v>
      </c>
      <c r="G46" s="91" t="n">
        <v>158036720.62486</v>
      </c>
      <c r="H46" s="91" t="n">
        <v>4671882.12524</v>
      </c>
      <c r="I46" s="91" t="n">
        <v>0</v>
      </c>
      <c r="J46" s="91" t="n">
        <v>0</v>
      </c>
      <c r="K46" s="91" t="n">
        <v>0</v>
      </c>
      <c r="L46" s="93">
        <f>SUM(C46:K46)</f>
        <v/>
      </c>
      <c r="M46" s="111">
        <f>IF(B46="","",L46-B46)</f>
        <v/>
      </c>
    </row>
    <row r="47">
      <c r="A47" s="110" t="inlineStr">
        <is>
          <t>2025-11-25</t>
        </is>
      </c>
      <c r="B47" s="90" t="n">
        <v>525535455</v>
      </c>
      <c r="C47" s="91" t="n">
        <v>0</v>
      </c>
      <c r="D47" s="91" t="n">
        <v>0</v>
      </c>
      <c r="E47" s="91" t="n">
        <v>0</v>
      </c>
      <c r="F47" s="91" t="n">
        <v>316110229.101</v>
      </c>
      <c r="G47" s="91" t="n">
        <v>207920074.1323</v>
      </c>
      <c r="H47" s="91" t="n">
        <v>6005808.405810001</v>
      </c>
      <c r="I47" s="91" t="n">
        <v>0</v>
      </c>
      <c r="J47" s="91" t="n">
        <v>0</v>
      </c>
      <c r="K47" s="91" t="n">
        <v>0</v>
      </c>
      <c r="L47" s="93">
        <f>SUM(C47:K47)</f>
        <v/>
      </c>
      <c r="M47" s="111">
        <f>IF(B47="","",L47-B47)</f>
        <v/>
      </c>
    </row>
    <row r="48">
      <c r="A48" s="110" t="inlineStr">
        <is>
          <t>2025-11-26</t>
        </is>
      </c>
      <c r="B48" s="90" t="n">
        <v>398953790</v>
      </c>
      <c r="C48" s="91" t="n">
        <v>0</v>
      </c>
      <c r="D48" s="91" t="n">
        <v>0</v>
      </c>
      <c r="E48" s="91" t="n">
        <v>0</v>
      </c>
      <c r="F48" s="91" t="n">
        <v>230064244.6158</v>
      </c>
      <c r="G48" s="91" t="n">
        <v>160740896.71993</v>
      </c>
      <c r="H48" s="91" t="n">
        <v>9646057.054089999</v>
      </c>
      <c r="I48" s="91" t="n">
        <v>0</v>
      </c>
      <c r="J48" s="91" t="n">
        <v>0</v>
      </c>
      <c r="K48" s="91" t="n">
        <v>0</v>
      </c>
      <c r="L48" s="93">
        <f>SUM(C48:K48)</f>
        <v/>
      </c>
      <c r="M48" s="111">
        <f>IF(B48="","",L48-B48)</f>
        <v/>
      </c>
    </row>
    <row r="49">
      <c r="A49" s="110" t="inlineStr">
        <is>
          <t>2025-11-27</t>
        </is>
      </c>
      <c r="B49" s="90" t="n">
        <v>188922825</v>
      </c>
      <c r="C49" s="91" t="n">
        <v>0</v>
      </c>
      <c r="D49" s="91" t="n">
        <v>0</v>
      </c>
      <c r="E49" s="91" t="n">
        <v>0</v>
      </c>
      <c r="F49" s="91" t="n">
        <v>141271720.205</v>
      </c>
      <c r="G49" s="91" t="n">
        <v>44734542.35565001</v>
      </c>
      <c r="H49" s="91" t="n">
        <v>3094235.55934</v>
      </c>
      <c r="I49" s="91" t="n">
        <v>0</v>
      </c>
      <c r="J49" s="91" t="n">
        <v>0</v>
      </c>
      <c r="K49" s="91" t="n">
        <v>0</v>
      </c>
      <c r="L49" s="93">
        <f>SUM(C49:K49)</f>
        <v/>
      </c>
      <c r="M49" s="111">
        <f>IF(B49="","",L49-B49)</f>
        <v/>
      </c>
    </row>
    <row r="50">
      <c r="A50" s="110" t="inlineStr">
        <is>
          <t>2025-11-28</t>
        </is>
      </c>
      <c r="B50" s="90" t="n">
        <v>258786551</v>
      </c>
      <c r="C50" s="91" t="n">
        <v>0</v>
      </c>
      <c r="D50" s="91" t="n">
        <v>0</v>
      </c>
      <c r="E50" s="91" t="n">
        <v>0</v>
      </c>
      <c r="F50" s="91" t="n">
        <v>157812091.2348</v>
      </c>
      <c r="G50" s="91" t="n">
        <v>95701181.28611</v>
      </c>
      <c r="H50" s="91" t="n">
        <v>5664120.77993</v>
      </c>
      <c r="I50" s="91" t="n">
        <v>0</v>
      </c>
      <c r="J50" s="91" t="n">
        <v>0</v>
      </c>
      <c r="K50" s="91" t="n">
        <v>0</v>
      </c>
      <c r="L50" s="93">
        <f>SUM(C50:K50)</f>
        <v/>
      </c>
      <c r="M50" s="111">
        <f>IF(B50="","",L50-B50)</f>
        <v/>
      </c>
    </row>
    <row r="51">
      <c r="A51" s="110" t="inlineStr">
        <is>
          <t>2025-11-29</t>
        </is>
      </c>
      <c r="B51" s="90" t="n">
        <v>138182239</v>
      </c>
      <c r="C51" s="91" t="n">
        <v>0</v>
      </c>
      <c r="D51" s="91" t="n">
        <v>0</v>
      </c>
      <c r="E51" s="91" t="n">
        <v>0</v>
      </c>
      <c r="F51" s="91" t="n">
        <v>115796439.8688</v>
      </c>
      <c r="G51" s="91" t="n">
        <v>20071525.13888</v>
      </c>
      <c r="H51" s="91" t="n">
        <v>1976251.65067</v>
      </c>
      <c r="I51" s="91" t="n">
        <v>0</v>
      </c>
      <c r="J51" s="91" t="n">
        <v>0</v>
      </c>
      <c r="K51" s="91" t="n">
        <v>0</v>
      </c>
      <c r="L51" s="93">
        <f>SUM(C51:K51)</f>
        <v/>
      </c>
      <c r="M51" s="111">
        <f>IF(B51="","",L51-B51)</f>
        <v/>
      </c>
    </row>
    <row r="52">
      <c r="A52" s="110" t="inlineStr">
        <is>
          <t>2025-11-30</t>
        </is>
      </c>
      <c r="B52" s="90" t="n">
        <v>103667471</v>
      </c>
      <c r="C52" s="91" t="n">
        <v>0</v>
      </c>
      <c r="D52" s="91" t="n">
        <v>0</v>
      </c>
      <c r="E52" s="91" t="n">
        <v>0</v>
      </c>
      <c r="F52" s="91" t="n">
        <v>80343144.55139999</v>
      </c>
      <c r="G52" s="91" t="n">
        <v>21170263.47274</v>
      </c>
      <c r="H52" s="91" t="n">
        <v>2279330.1307</v>
      </c>
      <c r="I52" s="91" t="n">
        <v>0</v>
      </c>
      <c r="J52" s="91" t="n">
        <v>0</v>
      </c>
      <c r="K52" s="91" t="n">
        <v>0</v>
      </c>
      <c r="L52" s="93">
        <f>SUM(C52:K52)</f>
        <v/>
      </c>
      <c r="M52" s="111">
        <f>IF(B52="","",L52-B52)</f>
        <v/>
      </c>
    </row>
    <row r="53">
      <c r="A53" s="110" t="inlineStr">
        <is>
          <t>2025-12-01</t>
        </is>
      </c>
      <c r="B53" s="90" t="n">
        <v>397070365</v>
      </c>
      <c r="C53" s="91" t="n">
        <v>0</v>
      </c>
      <c r="D53" s="91" t="n">
        <v>0</v>
      </c>
      <c r="E53" s="91" t="n">
        <v>0</v>
      </c>
      <c r="F53" s="91" t="n">
        <v>236341162.005</v>
      </c>
      <c r="G53" s="91" t="n">
        <v>157402079.65822</v>
      </c>
      <c r="H53" s="91" t="n">
        <v>4811195.00673</v>
      </c>
      <c r="I53" s="91" t="n">
        <v>0</v>
      </c>
      <c r="J53" s="91" t="n">
        <v>0</v>
      </c>
      <c r="K53" s="91" t="n">
        <v>0</v>
      </c>
      <c r="L53" s="93">
        <f>SUM(C53:K53)</f>
        <v/>
      </c>
      <c r="M53" s="111">
        <f>IF(B53="","",L53-B53)</f>
        <v/>
      </c>
    </row>
    <row r="54">
      <c r="A54" s="110" t="inlineStr">
        <is>
          <t>2025-12-02</t>
        </is>
      </c>
      <c r="B54" s="90" t="n">
        <v>380463264</v>
      </c>
      <c r="C54" s="91" t="n">
        <v>0</v>
      </c>
      <c r="D54" s="91" t="n">
        <v>0</v>
      </c>
      <c r="E54" s="91" t="n">
        <v>0</v>
      </c>
      <c r="F54" s="91" t="n">
        <v>218364807.4778</v>
      </c>
      <c r="G54" s="91" t="n">
        <v>156558506.80589</v>
      </c>
      <c r="H54" s="91" t="n">
        <v>6387762.670499999</v>
      </c>
      <c r="I54" s="91" t="n">
        <v>0</v>
      </c>
      <c r="J54" s="91" t="n">
        <v>0</v>
      </c>
      <c r="K54" s="91" t="n">
        <v>0</v>
      </c>
      <c r="L54" s="93">
        <f>SUM(C54:K54)</f>
        <v/>
      </c>
      <c r="M54" s="111">
        <f>IF(B54="","",L54-B54)</f>
        <v/>
      </c>
    </row>
    <row r="55">
      <c r="A55" s="110" t="inlineStr">
        <is>
          <t>2025-12-03</t>
        </is>
      </c>
      <c r="B55" s="90" t="n">
        <v>408944628</v>
      </c>
      <c r="C55" s="91" t="n">
        <v>0</v>
      </c>
      <c r="D55" s="91" t="n">
        <v>0</v>
      </c>
      <c r="E55" s="91" t="n">
        <v>0</v>
      </c>
      <c r="F55" s="91" t="n">
        <v>245110807.04</v>
      </c>
      <c r="G55" s="91" t="n">
        <v>159493117.79619</v>
      </c>
      <c r="H55" s="91" t="n">
        <v>6138870.09879</v>
      </c>
      <c r="I55" s="91" t="n">
        <v>90.944</v>
      </c>
      <c r="J55" s="91" t="n">
        <v>0</v>
      </c>
      <c r="K55" s="91" t="n">
        <v>0</v>
      </c>
      <c r="L55" s="93">
        <f>SUM(C55:K55)</f>
        <v/>
      </c>
      <c r="M55" s="111">
        <f>IF(B55="","",L55-B55)</f>
        <v/>
      </c>
    </row>
    <row r="56">
      <c r="A56" s="110" t="inlineStr">
        <is>
          <t>2025-12-04</t>
        </is>
      </c>
      <c r="B56" s="90" t="n">
        <v>513842492</v>
      </c>
      <c r="C56" s="91" t="n">
        <v>0</v>
      </c>
      <c r="D56" s="91" t="n">
        <v>0</v>
      </c>
      <c r="E56" s="91" t="n">
        <v>0</v>
      </c>
      <c r="F56" s="91" t="n">
        <v>345883908.8574</v>
      </c>
      <c r="G56" s="91" t="n">
        <v>162593075.39039</v>
      </c>
      <c r="H56" s="91" t="n">
        <v>5935955.84624</v>
      </c>
      <c r="I56" s="91" t="n">
        <v>14.0832</v>
      </c>
      <c r="J56" s="91" t="n">
        <v>0</v>
      </c>
      <c r="K56" s="91" t="n">
        <v>0</v>
      </c>
      <c r="L56" s="93">
        <f>SUM(C56:K56)</f>
        <v/>
      </c>
      <c r="M56" s="111">
        <f>IF(B56="","",L56-B56)</f>
        <v/>
      </c>
    </row>
    <row r="57">
      <c r="A57" s="110" t="inlineStr">
        <is>
          <t>2025-12-05</t>
        </is>
      </c>
      <c r="B57" s="90" t="n">
        <v>337623925</v>
      </c>
      <c r="C57" s="91" t="n">
        <v>0</v>
      </c>
      <c r="D57" s="91" t="n">
        <v>0</v>
      </c>
      <c r="E57" s="91" t="n">
        <v>0</v>
      </c>
      <c r="F57" s="91" t="n">
        <v>183473045.2332</v>
      </c>
      <c r="G57" s="91" t="n">
        <v>146315010.05509</v>
      </c>
      <c r="H57" s="91" t="n">
        <v>7873864.63388</v>
      </c>
      <c r="I57" s="91" t="n">
        <v>269.005</v>
      </c>
      <c r="J57" s="91" t="n">
        <v>0</v>
      </c>
      <c r="K57" s="91" t="n">
        <v>0</v>
      </c>
      <c r="L57" s="93">
        <f>SUM(C57:K57)</f>
        <v/>
      </c>
      <c r="M57" s="111">
        <f>IF(B57="","",L57-B57)</f>
        <v/>
      </c>
    </row>
    <row r="58">
      <c r="A58" s="110" t="inlineStr">
        <is>
          <t>2025-12-06</t>
        </is>
      </c>
      <c r="B58" s="90" t="n">
        <v>60229991</v>
      </c>
      <c r="C58" s="91" t="n">
        <v>0</v>
      </c>
      <c r="D58" s="91" t="n">
        <v>0</v>
      </c>
      <c r="E58" s="91" t="n">
        <v>0</v>
      </c>
      <c r="F58" s="91" t="n">
        <v>46897827.3888</v>
      </c>
      <c r="G58" s="91" t="n">
        <v>11691313.95392</v>
      </c>
      <c r="H58" s="91" t="n">
        <v>1641252.67945</v>
      </c>
      <c r="I58" s="91" t="n">
        <v>1616.52474</v>
      </c>
      <c r="J58" s="91" t="n">
        <v>0</v>
      </c>
      <c r="K58" s="91" t="n">
        <v>0</v>
      </c>
      <c r="L58" s="93">
        <f>SUM(C58:K58)</f>
        <v/>
      </c>
      <c r="M58" s="111">
        <f>IF(B58="","",L58-B58)</f>
        <v/>
      </c>
    </row>
    <row r="59">
      <c r="A59" s="110" t="inlineStr">
        <is>
          <t>2025-12-07</t>
        </is>
      </c>
      <c r="B59" s="90" t="n">
        <v>101264758</v>
      </c>
      <c r="C59" s="91" t="n">
        <v>0</v>
      </c>
      <c r="D59" s="91" t="n">
        <v>0</v>
      </c>
      <c r="E59" s="91" t="n">
        <v>0</v>
      </c>
      <c r="F59" s="91" t="n">
        <v>88619130.9008</v>
      </c>
      <c r="G59" s="91" t="n">
        <v>12046048.98771</v>
      </c>
      <c r="H59" s="91" t="n">
        <v>793278.1916499999</v>
      </c>
      <c r="I59" s="91" t="n">
        <v>101.85168</v>
      </c>
      <c r="J59" s="91" t="n">
        <v>0</v>
      </c>
      <c r="K59" s="91" t="n">
        <v>0</v>
      </c>
      <c r="L59" s="93">
        <f>SUM(C59:K59)</f>
        <v/>
      </c>
      <c r="M59" s="111">
        <f>IF(B59="","",L59-B59)</f>
        <v/>
      </c>
    </row>
    <row r="60">
      <c r="A60" s="110" t="inlineStr">
        <is>
          <t>2025-12-08</t>
        </is>
      </c>
      <c r="B60" s="90" t="n">
        <v>303023605</v>
      </c>
      <c r="C60" s="91" t="n">
        <v>0</v>
      </c>
      <c r="D60" s="91" t="n">
        <v>0</v>
      </c>
      <c r="E60" s="91" t="n">
        <v>0</v>
      </c>
      <c r="F60" s="91" t="n">
        <v>172014188.896</v>
      </c>
      <c r="G60" s="91" t="n">
        <v>128394061.887937</v>
      </c>
      <c r="H60" s="91" t="n">
        <v>3280870.34799</v>
      </c>
      <c r="I60" s="91" t="n">
        <v>6216.87262</v>
      </c>
      <c r="J60" s="91" t="n">
        <v>0</v>
      </c>
      <c r="K60" s="91" t="n">
        <v>0</v>
      </c>
      <c r="L60" s="93">
        <f>SUM(C60:K60)</f>
        <v/>
      </c>
      <c r="M60" s="111">
        <f>IF(B60="","",L60-B60)</f>
        <v/>
      </c>
    </row>
    <row r="61">
      <c r="A61" s="110" t="inlineStr">
        <is>
          <t>2025-12-09</t>
        </is>
      </c>
      <c r="B61" s="90" t="n">
        <v>288606481</v>
      </c>
      <c r="C61" s="91" t="n">
        <v>0</v>
      </c>
      <c r="D61" s="91" t="n">
        <v>0</v>
      </c>
      <c r="E61" s="91" t="n">
        <v>0</v>
      </c>
      <c r="F61" s="91" t="n">
        <v>158246532.7628</v>
      </c>
      <c r="G61" s="91" t="n">
        <v>112372971.67383</v>
      </c>
      <c r="H61" s="91" t="n">
        <v>2754980.4358</v>
      </c>
      <c r="I61" s="91" t="n">
        <v>15324897.8684</v>
      </c>
      <c r="J61" s="91" t="n">
        <v>0</v>
      </c>
      <c r="K61" s="91" t="n">
        <v>0</v>
      </c>
      <c r="L61" s="93">
        <f>SUM(C61:K61)</f>
        <v/>
      </c>
      <c r="M61" s="111">
        <f>IF(B61="","",L61-B61)</f>
        <v/>
      </c>
    </row>
    <row r="62">
      <c r="A62" s="110" t="inlineStr">
        <is>
          <t>2025-12-10</t>
        </is>
      </c>
      <c r="B62" s="90" t="n">
        <v>397006526</v>
      </c>
      <c r="C62" s="91" t="n">
        <v>0</v>
      </c>
      <c r="D62" s="91" t="n">
        <v>0</v>
      </c>
      <c r="E62" s="91" t="n">
        <v>0</v>
      </c>
      <c r="F62" s="91" t="n">
        <v>214077852.2751</v>
      </c>
      <c r="G62" s="91" t="n">
        <v>159740951.119244</v>
      </c>
      <c r="H62" s="91" t="n">
        <v>2038733.87726</v>
      </c>
      <c r="I62" s="91" t="n">
        <v>20436072.16469</v>
      </c>
      <c r="J62" s="91" t="n">
        <v>0</v>
      </c>
      <c r="K62" s="91" t="n">
        <v>0</v>
      </c>
      <c r="L62" s="93">
        <f>SUM(C62:K62)</f>
        <v/>
      </c>
      <c r="M62" s="111">
        <f>IF(B62="","",L62-B62)</f>
        <v/>
      </c>
    </row>
    <row r="63">
      <c r="A63" s="110" t="inlineStr">
        <is>
          <t>2025-12-11</t>
        </is>
      </c>
      <c r="B63" s="90" t="n">
        <v>474736380</v>
      </c>
      <c r="C63" s="91" t="n">
        <v>0</v>
      </c>
      <c r="D63" s="91" t="n">
        <v>0</v>
      </c>
      <c r="E63" s="91" t="n">
        <v>0</v>
      </c>
      <c r="F63" s="91" t="n">
        <v>321801248.934</v>
      </c>
      <c r="G63" s="91" t="n">
        <v>133664823.609448</v>
      </c>
      <c r="H63" s="91" t="n">
        <v>944132.0207700001</v>
      </c>
      <c r="I63" s="91" t="n">
        <v>20297435.28353</v>
      </c>
      <c r="J63" s="91" t="n">
        <v>0</v>
      </c>
      <c r="K63" s="91" t="n">
        <v>0</v>
      </c>
      <c r="L63" s="93">
        <f>SUM(C63:K63)</f>
        <v/>
      </c>
      <c r="M63" s="111">
        <f>IF(B63="","",L63-B63)</f>
        <v/>
      </c>
    </row>
    <row r="64">
      <c r="A64" s="110" t="inlineStr">
        <is>
          <t>2025-12-12</t>
        </is>
      </c>
      <c r="B64" s="90" t="n">
        <v>490804079</v>
      </c>
      <c r="C64" s="91" t="n">
        <v>0</v>
      </c>
      <c r="D64" s="91" t="n">
        <v>513946.3342999999</v>
      </c>
      <c r="E64" s="91" t="n">
        <v>0</v>
      </c>
      <c r="F64" s="91" t="n">
        <v>341435630.9784</v>
      </c>
      <c r="G64" s="91" t="n">
        <v>127997859.146135</v>
      </c>
      <c r="H64" s="91" t="n">
        <v>1216517.76123</v>
      </c>
      <c r="I64" s="91" t="n">
        <v>15448918.59877</v>
      </c>
      <c r="J64" s="91" t="n">
        <v>0</v>
      </c>
      <c r="K64" s="91" t="n">
        <v>0</v>
      </c>
      <c r="L64" s="93">
        <f>SUM(C64:K64)</f>
        <v/>
      </c>
      <c r="M64" s="111">
        <f>IF(B64="","",L64-B64)</f>
        <v/>
      </c>
    </row>
    <row r="65">
      <c r="A65" s="110" t="inlineStr">
        <is>
          <t>2025-12-13</t>
        </is>
      </c>
      <c r="B65" s="90" t="n">
        <v>46592994</v>
      </c>
      <c r="C65" s="91" t="n">
        <v>0</v>
      </c>
      <c r="D65" s="91" t="n">
        <v>178517.9422</v>
      </c>
      <c r="E65" s="91" t="n">
        <v>0</v>
      </c>
      <c r="F65" s="91" t="n">
        <v>32000419.715</v>
      </c>
      <c r="G65" s="91" t="n">
        <v>5739967.4024</v>
      </c>
      <c r="H65" s="91" t="n">
        <v>264553.99905</v>
      </c>
      <c r="I65" s="91" t="n">
        <v>8435385.377009999</v>
      </c>
      <c r="J65" s="91" t="n">
        <v>0</v>
      </c>
      <c r="K65" s="91" t="n">
        <v>0</v>
      </c>
      <c r="L65" s="93">
        <f>SUM(C65:K65)</f>
        <v/>
      </c>
      <c r="M65" s="111">
        <f>IF(B65="","",L65-B65)</f>
        <v/>
      </c>
    </row>
    <row r="66">
      <c r="A66" s="110" t="inlineStr">
        <is>
          <t>2025-12-14</t>
        </is>
      </c>
      <c r="B66" s="90" t="n">
        <v>143395668</v>
      </c>
      <c r="C66" s="91" t="n">
        <v>0</v>
      </c>
      <c r="D66" s="91" t="n">
        <v>187788.8554</v>
      </c>
      <c r="E66" s="91" t="n">
        <v>0</v>
      </c>
      <c r="F66" s="91" t="n">
        <v>118441217.7475</v>
      </c>
      <c r="G66" s="91" t="n">
        <v>12020553.82281</v>
      </c>
      <c r="H66" s="91" t="n">
        <v>671502.1523</v>
      </c>
      <c r="I66" s="91" t="n">
        <v>12028774.76967</v>
      </c>
      <c r="J66" s="91" t="n">
        <v>0</v>
      </c>
      <c r="K66" s="91" t="n">
        <v>0</v>
      </c>
      <c r="L66" s="93">
        <f>SUM(C66:K66)</f>
        <v/>
      </c>
      <c r="M66" s="111">
        <f>IF(B66="","",L66-B66)</f>
        <v/>
      </c>
    </row>
    <row r="67">
      <c r="A67" s="110" t="inlineStr">
        <is>
          <t>2025-12-15</t>
        </is>
      </c>
      <c r="B67" s="90" t="n">
        <v>341771879</v>
      </c>
      <c r="C67" s="91" t="n">
        <v>0</v>
      </c>
      <c r="D67" s="91" t="n">
        <v>828780.5034999999</v>
      </c>
      <c r="E67" s="91" t="n">
        <v>0</v>
      </c>
      <c r="F67" s="91" t="n">
        <v>224784954.7148</v>
      </c>
      <c r="G67" s="91" t="n">
        <v>95034070.451288</v>
      </c>
      <c r="H67" s="91" t="n">
        <v>1262915.94473</v>
      </c>
      <c r="I67" s="91" t="n">
        <v>17193343.98956</v>
      </c>
      <c r="J67" s="91" t="n">
        <v>0</v>
      </c>
      <c r="K67" s="91" t="n">
        <v>0</v>
      </c>
      <c r="L67" s="93">
        <f>SUM(C67:K67)</f>
        <v/>
      </c>
      <c r="M67" s="111">
        <f>IF(B67="","",L67-B67)</f>
        <v/>
      </c>
    </row>
    <row r="68">
      <c r="A68" s="110" t="inlineStr">
        <is>
          <t>2025-12-16</t>
        </is>
      </c>
      <c r="B68" s="90" t="n">
        <v>376443433</v>
      </c>
      <c r="C68" s="91" t="n">
        <v>0</v>
      </c>
      <c r="D68" s="91" t="n">
        <v>1445871.7856</v>
      </c>
      <c r="E68" s="91" t="n">
        <v>0</v>
      </c>
      <c r="F68" s="91" t="n">
        <v>244596130.7904</v>
      </c>
      <c r="G68" s="91" t="n">
        <v>112676537.228928</v>
      </c>
      <c r="H68" s="91" t="n">
        <v>4704175.442988001</v>
      </c>
      <c r="I68" s="91" t="n">
        <v>15067736.79839</v>
      </c>
      <c r="J68" s="91" t="n">
        <v>0</v>
      </c>
      <c r="K68" s="91" t="n">
        <v>0</v>
      </c>
      <c r="L68" s="93">
        <f>SUM(C68:K68)</f>
        <v/>
      </c>
      <c r="M68" s="111">
        <f>IF(B68="","",L68-B68)</f>
        <v/>
      </c>
    </row>
    <row r="69">
      <c r="A69" s="110" t="inlineStr">
        <is>
          <t>2025-12-17</t>
        </is>
      </c>
      <c r="B69" s="90" t="n">
        <v>377056299</v>
      </c>
      <c r="C69" s="91" t="n">
        <v>0</v>
      </c>
      <c r="D69" s="91" t="n">
        <v>1837557.8855</v>
      </c>
      <c r="E69" s="91" t="n">
        <v>0</v>
      </c>
      <c r="F69" s="91" t="n">
        <v>211744083.125</v>
      </c>
      <c r="G69" s="91" t="n">
        <v>136474387.360711</v>
      </c>
      <c r="H69" s="91" t="n">
        <v>3784703.66409</v>
      </c>
      <c r="I69" s="91" t="n">
        <v>16984800.13175</v>
      </c>
      <c r="J69" s="91" t="n">
        <v>0</v>
      </c>
      <c r="K69" s="91" t="n">
        <v>0</v>
      </c>
      <c r="L69" s="93">
        <f>SUM(C69:K69)</f>
        <v/>
      </c>
      <c r="M69" s="111">
        <f>IF(B69="","",L69-B69)</f>
        <v/>
      </c>
    </row>
    <row r="70">
      <c r="A70" s="110" t="inlineStr">
        <is>
          <t>2025-12-18</t>
        </is>
      </c>
      <c r="B70" s="90" t="n">
        <v>381839682</v>
      </c>
      <c r="C70" s="91" t="n">
        <v>0</v>
      </c>
      <c r="D70" s="91" t="n">
        <v>5573378.2425</v>
      </c>
      <c r="E70" s="91" t="n">
        <v>0</v>
      </c>
      <c r="F70" s="91" t="n">
        <v>239245618.8192</v>
      </c>
      <c r="G70" s="91" t="n">
        <v>118752522.988459</v>
      </c>
      <c r="H70" s="91" t="n">
        <v>3537252.921412</v>
      </c>
      <c r="I70" s="91" t="n">
        <v>15310157.90246</v>
      </c>
      <c r="J70" s="91" t="n">
        <v>0</v>
      </c>
      <c r="K70" s="91" t="n">
        <v>0</v>
      </c>
      <c r="L70" s="93">
        <f>SUM(C70:K70)</f>
        <v/>
      </c>
      <c r="M70" s="111">
        <f>IF(B70="","",L70-B70)</f>
        <v/>
      </c>
    </row>
    <row r="71">
      <c r="A71" s="110" t="inlineStr">
        <is>
          <t>2025-12-19</t>
        </is>
      </c>
      <c r="B71" s="90" t="n">
        <v>280798258</v>
      </c>
      <c r="C71" s="91" t="n">
        <v>0</v>
      </c>
      <c r="D71" s="91" t="n">
        <v>5631776.702</v>
      </c>
      <c r="E71" s="91" t="n">
        <v>0</v>
      </c>
      <c r="F71" s="91" t="n">
        <v>171040287.936</v>
      </c>
      <c r="G71" s="91" t="n">
        <v>92313242.41351399</v>
      </c>
      <c r="H71" s="91" t="n">
        <v>1977531.241264</v>
      </c>
      <c r="I71" s="91" t="n">
        <v>12049009.76416</v>
      </c>
      <c r="J71" s="91" t="n">
        <v>0</v>
      </c>
      <c r="K71" s="91" t="n">
        <v>0</v>
      </c>
      <c r="L71" s="93">
        <f>SUM(C71:K71)</f>
        <v/>
      </c>
      <c r="M71" s="111">
        <f>IF(B71="","",L71-B71)</f>
        <v/>
      </c>
    </row>
    <row r="72">
      <c r="A72" s="110" t="inlineStr">
        <is>
          <t>2025-12-20</t>
        </is>
      </c>
      <c r="B72" s="90" t="n">
        <v>63473225</v>
      </c>
      <c r="C72" s="91" t="n">
        <v>0</v>
      </c>
      <c r="D72" s="91" t="n">
        <v>315326.6054</v>
      </c>
      <c r="E72" s="91" t="n">
        <v>0</v>
      </c>
      <c r="F72" s="91" t="n">
        <v>33151355.5494</v>
      </c>
      <c r="G72" s="91" t="n">
        <v>13061971.730732</v>
      </c>
      <c r="H72" s="91" t="n">
        <v>2139513.33274</v>
      </c>
      <c r="I72" s="91" t="n">
        <v>14889430.25664</v>
      </c>
      <c r="J72" s="91" t="n">
        <v>0</v>
      </c>
      <c r="K72" s="91" t="n">
        <v>0</v>
      </c>
      <c r="L72" s="93">
        <f>SUM(C72:K72)</f>
        <v/>
      </c>
      <c r="M72" s="111">
        <f>IF(B72="","",L72-B72)</f>
        <v/>
      </c>
    </row>
    <row r="73">
      <c r="A73" s="110" t="inlineStr">
        <is>
          <t>2025-12-21</t>
        </is>
      </c>
      <c r="B73" s="90" t="n">
        <v>57499448</v>
      </c>
      <c r="C73" s="91" t="n">
        <v>0</v>
      </c>
      <c r="D73" s="91" t="n">
        <v>1061979.0553</v>
      </c>
      <c r="E73" s="91" t="n">
        <v>0</v>
      </c>
      <c r="F73" s="91" t="n">
        <v>39255153.11939999</v>
      </c>
      <c r="G73" s="91" t="n">
        <v>5814369.034024001</v>
      </c>
      <c r="H73" s="91" t="n">
        <v>909036.0633810001</v>
      </c>
      <c r="I73" s="91" t="n">
        <v>10545316.27306</v>
      </c>
      <c r="J73" s="91" t="n">
        <v>0</v>
      </c>
      <c r="K73" s="91" t="n">
        <v>0</v>
      </c>
      <c r="L73" s="93">
        <f>SUM(C73:K73)</f>
        <v/>
      </c>
      <c r="M73" s="111">
        <f>IF(B73="","",L73-B73)</f>
        <v/>
      </c>
    </row>
    <row r="74">
      <c r="A74" s="110" t="inlineStr">
        <is>
          <t>2025-12-22</t>
        </is>
      </c>
      <c r="B74" s="90" t="n">
        <v>201233855</v>
      </c>
      <c r="C74" s="91" t="n">
        <v>0</v>
      </c>
      <c r="D74" s="91" t="n">
        <v>6504191.7893</v>
      </c>
      <c r="E74" s="91" t="n">
        <v>0</v>
      </c>
      <c r="F74" s="91" t="n">
        <v>98105911.1124</v>
      </c>
      <c r="G74" s="91" t="n">
        <v>78191587.89792599</v>
      </c>
      <c r="H74" s="91" t="n">
        <v>1582792.19792</v>
      </c>
      <c r="I74" s="91" t="n">
        <v>16310182.49137</v>
      </c>
      <c r="J74" s="91" t="n">
        <v>0</v>
      </c>
      <c r="K74" s="91" t="n">
        <v>0</v>
      </c>
      <c r="L74" s="93">
        <f>SUM(C74:K74)</f>
        <v/>
      </c>
      <c r="M74" s="111">
        <f>IF(B74="","",L74-B74)</f>
        <v/>
      </c>
    </row>
    <row r="75">
      <c r="A75" s="110" t="inlineStr">
        <is>
          <t>2025-12-23</t>
        </is>
      </c>
      <c r="B75" s="90" t="n">
        <v>273946895</v>
      </c>
      <c r="C75" s="91" t="n">
        <v>0</v>
      </c>
      <c r="D75" s="91" t="n">
        <v>8844484.658749999</v>
      </c>
      <c r="E75" s="91" t="n">
        <v>0</v>
      </c>
      <c r="F75" s="91" t="n">
        <v>187172287.513</v>
      </c>
      <c r="G75" s="91" t="n">
        <v>58608460.81123202</v>
      </c>
      <c r="H75" s="91" t="n">
        <v>4704023.677085999</v>
      </c>
      <c r="I75" s="91" t="n">
        <v>14760842.82591</v>
      </c>
      <c r="J75" s="91" t="n">
        <v>748240.9785200001</v>
      </c>
      <c r="K75" s="91" t="n">
        <v>0</v>
      </c>
      <c r="L75" s="93">
        <f>SUM(C75:K75)</f>
        <v/>
      </c>
      <c r="M75" s="111">
        <f>IF(B75="","",L75-B75)</f>
        <v/>
      </c>
    </row>
    <row r="76">
      <c r="A76" s="110" t="inlineStr">
        <is>
          <t>2025-12-24</t>
        </is>
      </c>
      <c r="B76" s="90" t="n">
        <v>153570548</v>
      </c>
      <c r="C76" s="91" t="n">
        <v>0</v>
      </c>
      <c r="D76" s="91" t="n">
        <v>8267158.098</v>
      </c>
      <c r="E76" s="91" t="n">
        <v>0</v>
      </c>
      <c r="F76" s="91" t="n">
        <v>78476379.4737</v>
      </c>
      <c r="G76" s="91" t="n">
        <v>53414744.072739</v>
      </c>
      <c r="H76" s="91" t="n">
        <v>4167144.54518</v>
      </c>
      <c r="I76" s="91" t="n">
        <v>8671957.93987</v>
      </c>
      <c r="J76" s="91" t="n">
        <v>961450.18086</v>
      </c>
      <c r="K76" s="91" t="n">
        <v>0</v>
      </c>
      <c r="L76" s="93">
        <f>SUM(C76:K76)</f>
        <v/>
      </c>
      <c r="M76" s="111">
        <f>IF(B76="","",L76-B76)</f>
        <v/>
      </c>
    </row>
    <row r="77">
      <c r="A77" s="110" t="inlineStr">
        <is>
          <t>2025-12-25</t>
        </is>
      </c>
      <c r="B77" s="90" t="n">
        <v>61337988</v>
      </c>
      <c r="C77" s="91" t="n">
        <v>0</v>
      </c>
      <c r="D77" s="91" t="n">
        <v>3008440.25969</v>
      </c>
      <c r="E77" s="91" t="n">
        <v>0</v>
      </c>
      <c r="F77" s="91" t="n">
        <v>36148343.0976</v>
      </c>
      <c r="G77" s="91" t="n">
        <v>8938336.800259998</v>
      </c>
      <c r="H77" s="91" t="n">
        <v>1261588.069238</v>
      </c>
      <c r="I77" s="91" t="n">
        <v>11614140.42102</v>
      </c>
      <c r="J77" s="91" t="n">
        <v>262509.9265000001</v>
      </c>
      <c r="K77" s="91" t="n">
        <v>0</v>
      </c>
      <c r="L77" s="93">
        <f>SUM(C77:K77)</f>
        <v/>
      </c>
      <c r="M77" s="111">
        <f>IF(B77="","",L77-B77)</f>
        <v/>
      </c>
    </row>
    <row r="78">
      <c r="A78" s="110" t="inlineStr">
        <is>
          <t>2025-12-26</t>
        </is>
      </c>
      <c r="B78" s="90" t="n">
        <v>230839091</v>
      </c>
      <c r="C78" s="91" t="n">
        <v>0</v>
      </c>
      <c r="D78" s="91" t="n">
        <v>25448296.825</v>
      </c>
      <c r="E78" s="91" t="n">
        <v>0</v>
      </c>
      <c r="F78" s="91" t="n">
        <v>149854008.612</v>
      </c>
      <c r="G78" s="91" t="n">
        <v>40316650.298377</v>
      </c>
      <c r="H78" s="91" t="n">
        <v>2047955.47626</v>
      </c>
      <c r="I78" s="91" t="n">
        <v>13073058.46789</v>
      </c>
      <c r="J78" s="91" t="n">
        <v>523566.1290599999</v>
      </c>
      <c r="K78" s="91" t="n">
        <v>0</v>
      </c>
      <c r="L78" s="93">
        <f>SUM(C78:K78)</f>
        <v/>
      </c>
      <c r="M78" s="111">
        <f>IF(B78="","",L78-B78)</f>
        <v/>
      </c>
    </row>
    <row r="79">
      <c r="A79" s="110" t="inlineStr">
        <is>
          <t>2025-12-27</t>
        </is>
      </c>
      <c r="B79" s="90" t="n">
        <v>64057194</v>
      </c>
      <c r="C79" s="91" t="n">
        <v>0</v>
      </c>
      <c r="D79" s="91" t="n">
        <v>9955601.636050001</v>
      </c>
      <c r="E79" s="91" t="n">
        <v>0</v>
      </c>
      <c r="F79" s="91" t="n">
        <v>31627662.2304</v>
      </c>
      <c r="G79" s="91" t="n">
        <v>9267567.486674</v>
      </c>
      <c r="H79" s="91" t="n">
        <v>958868.805895</v>
      </c>
      <c r="I79" s="91" t="n">
        <v>12358836.54822</v>
      </c>
      <c r="J79" s="91" t="n">
        <v>88041.14129999999</v>
      </c>
      <c r="K79" s="91" t="n">
        <v>0</v>
      </c>
      <c r="L79" s="93">
        <f>SUM(C79:K79)</f>
        <v/>
      </c>
      <c r="M79" s="111">
        <f>IF(B79="","",L79-B79)</f>
        <v/>
      </c>
    </row>
    <row r="80">
      <c r="A80" s="110" t="inlineStr">
        <is>
          <t>2025-12-28</t>
        </is>
      </c>
      <c r="B80" s="90" t="n">
        <v>75029525</v>
      </c>
      <c r="C80" s="91" t="n">
        <v>0</v>
      </c>
      <c r="D80" s="91" t="n">
        <v>26281816.23664</v>
      </c>
      <c r="E80" s="91" t="n">
        <v>0</v>
      </c>
      <c r="F80" s="91" t="n">
        <v>28190945.3588</v>
      </c>
      <c r="G80" s="91" t="n">
        <v>13564649.21366</v>
      </c>
      <c r="H80" s="91" t="n">
        <v>116161.24624</v>
      </c>
      <c r="I80" s="91" t="n">
        <v>6786483.668470001</v>
      </c>
      <c r="J80" s="91" t="n">
        <v>56705.2885</v>
      </c>
      <c r="K80" s="91" t="n">
        <v>0</v>
      </c>
      <c r="L80" s="93">
        <f>SUM(C80:K80)</f>
        <v/>
      </c>
      <c r="M80" s="111">
        <f>IF(B80="","",L80-B80)</f>
        <v/>
      </c>
    </row>
    <row r="81">
      <c r="A81" s="110" t="inlineStr">
        <is>
          <t>2025-12-29</t>
        </is>
      </c>
      <c r="B81" s="90" t="n">
        <v>298579658</v>
      </c>
      <c r="C81" s="91" t="n">
        <v>0</v>
      </c>
      <c r="D81" s="91" t="n">
        <v>84828440.54403999</v>
      </c>
      <c r="E81" s="91" t="n">
        <v>0</v>
      </c>
      <c r="F81" s="91" t="n">
        <v>131187966.4164</v>
      </c>
      <c r="G81" s="91" t="n">
        <v>63638500.98049399</v>
      </c>
      <c r="H81" s="91" t="n">
        <v>1315446.251778</v>
      </c>
      <c r="I81" s="91" t="n">
        <v>12796645.72247</v>
      </c>
      <c r="J81" s="91" t="n">
        <v>1204717.4302</v>
      </c>
      <c r="K81" s="91" t="n">
        <v>0</v>
      </c>
      <c r="L81" s="93">
        <f>SUM(C81:K81)</f>
        <v/>
      </c>
      <c r="M81" s="111">
        <f>IF(B81="","",L81-B81)</f>
        <v/>
      </c>
    </row>
    <row r="82">
      <c r="A82" s="110" t="inlineStr">
        <is>
          <t>2025-12-30</t>
        </is>
      </c>
      <c r="B82" s="90" t="n">
        <v>317139673</v>
      </c>
      <c r="C82" s="91" t="n">
        <v>0</v>
      </c>
      <c r="D82" s="91" t="n">
        <v>57645076.64347</v>
      </c>
      <c r="E82" s="91" t="n">
        <v>0</v>
      </c>
      <c r="F82" s="91" t="n">
        <v>189739640.6528</v>
      </c>
      <c r="G82" s="91" t="n">
        <v>56538073.723259</v>
      </c>
      <c r="H82" s="91" t="n">
        <v>1053866.808562</v>
      </c>
      <c r="I82" s="91" t="n">
        <v>9935108.375359999</v>
      </c>
      <c r="J82" s="91" t="n">
        <v>1099359.54772</v>
      </c>
      <c r="K82" s="91" t="n">
        <v>0</v>
      </c>
      <c r="L82" s="93">
        <f>SUM(C82:K82)</f>
        <v/>
      </c>
      <c r="M82" s="111">
        <f>IF(B82="","",L82-B82)</f>
        <v/>
      </c>
    </row>
    <row r="83">
      <c r="A83" s="110" t="inlineStr">
        <is>
          <t>2025-12-31</t>
        </is>
      </c>
      <c r="B83" s="90" t="n">
        <v>233152448</v>
      </c>
      <c r="C83" s="91" t="n">
        <v>0</v>
      </c>
      <c r="D83" s="91" t="n">
        <v>53753538.74901</v>
      </c>
      <c r="E83" s="91" t="n">
        <v>0</v>
      </c>
      <c r="F83" s="91" t="n">
        <v>104058782.8104</v>
      </c>
      <c r="G83" s="91" t="n">
        <v>59434884.28813399</v>
      </c>
      <c r="H83" s="91" t="n">
        <v>5198673.853437999</v>
      </c>
      <c r="I83" s="91" t="n">
        <v>7613093.520249999</v>
      </c>
      <c r="J83" s="91" t="n">
        <v>1238493.87744</v>
      </c>
      <c r="K83" s="91" t="n">
        <v>0</v>
      </c>
      <c r="L83" s="93">
        <f>SUM(C83:K83)</f>
        <v/>
      </c>
      <c r="M83" s="111">
        <f>IF(B83="","",L83-B83)</f>
        <v/>
      </c>
    </row>
    <row r="84">
      <c r="A84" s="110" t="inlineStr">
        <is>
          <t>2026-01-01</t>
        </is>
      </c>
      <c r="B84" s="90" t="n">
        <v>60600305</v>
      </c>
      <c r="C84" s="91" t="n">
        <v>0</v>
      </c>
      <c r="D84" s="91" t="n">
        <v>7735418.80451</v>
      </c>
      <c r="E84" s="91" t="n">
        <v>0</v>
      </c>
      <c r="F84" s="91" t="n">
        <v>36800080.7244</v>
      </c>
      <c r="G84" s="91" t="n">
        <v>9002643.95582</v>
      </c>
      <c r="H84" s="91" t="n">
        <v>230464.39345</v>
      </c>
      <c r="I84" s="91" t="n">
        <v>6777950.661459999</v>
      </c>
      <c r="J84" s="91" t="n">
        <v>231559.51039</v>
      </c>
      <c r="K84" s="91" t="n">
        <v>0</v>
      </c>
      <c r="L84" s="93">
        <f>SUM(C84:K84)</f>
        <v/>
      </c>
      <c r="M84" s="111">
        <f>IF(B84="","",L84-B84)</f>
        <v/>
      </c>
    </row>
    <row r="85">
      <c r="A85" s="110" t="inlineStr">
        <is>
          <t>2026-01-02</t>
        </is>
      </c>
      <c r="B85" s="90" t="n">
        <v>324447883</v>
      </c>
      <c r="C85" s="91" t="n">
        <v>0</v>
      </c>
      <c r="D85" s="91" t="n">
        <v>39303846.35802001</v>
      </c>
      <c r="E85" s="91" t="n">
        <v>0</v>
      </c>
      <c r="F85" s="91" t="n">
        <v>189986681.0184</v>
      </c>
      <c r="G85" s="91" t="n">
        <v>75491328.797682</v>
      </c>
      <c r="H85" s="91" t="n">
        <v>1891038.903874</v>
      </c>
      <c r="I85" s="91" t="n">
        <v>15015319.50248</v>
      </c>
      <c r="J85" s="91" t="n">
        <v>1599746.71512</v>
      </c>
      <c r="K85" s="91" t="n">
        <v>0</v>
      </c>
      <c r="L85" s="93">
        <f>SUM(C85:K85)</f>
        <v/>
      </c>
      <c r="M85" s="111">
        <f>IF(B85="","",L85-B85)</f>
        <v/>
      </c>
    </row>
    <row r="86">
      <c r="A86" s="110" t="inlineStr">
        <is>
          <t>2026-01-03</t>
        </is>
      </c>
      <c r="B86" s="90" t="n">
        <v>79804737</v>
      </c>
      <c r="C86" s="91" t="n">
        <v>0</v>
      </c>
      <c r="D86" s="91" t="n">
        <v>8394838.237229999</v>
      </c>
      <c r="E86" s="91" t="n">
        <v>0</v>
      </c>
      <c r="F86" s="91" t="n">
        <v>37616889.5895</v>
      </c>
      <c r="G86" s="91" t="n">
        <v>22352549.393837</v>
      </c>
      <c r="H86" s="91" t="n">
        <v>764296.6514379999</v>
      </c>
      <c r="I86" s="91" t="n">
        <v>10251478.49028</v>
      </c>
      <c r="J86" s="91" t="n">
        <v>832220.7772</v>
      </c>
      <c r="K86" s="91" t="n">
        <v>0</v>
      </c>
      <c r="L86" s="93">
        <f>SUM(C86:K86)</f>
        <v/>
      </c>
      <c r="M86" s="111">
        <f>IF(B86="","",L86-B86)</f>
        <v/>
      </c>
    </row>
    <row r="87">
      <c r="A87" s="110" t="inlineStr">
        <is>
          <t>2026-01-04</t>
        </is>
      </c>
      <c r="B87" s="90" t="n">
        <v>75856116</v>
      </c>
      <c r="C87" s="91" t="n">
        <v>0</v>
      </c>
      <c r="D87" s="91" t="n">
        <v>10096417.36387</v>
      </c>
      <c r="E87" s="91" t="n">
        <v>0</v>
      </c>
      <c r="F87" s="91" t="n">
        <v>37525185.3621</v>
      </c>
      <c r="G87" s="91" t="n">
        <v>13814645.527674</v>
      </c>
      <c r="H87" s="91" t="n">
        <v>239968.74927</v>
      </c>
      <c r="I87" s="91" t="n">
        <v>12532279.28017</v>
      </c>
      <c r="J87" s="91" t="n">
        <v>1774515.28188</v>
      </c>
      <c r="K87" s="91" t="n">
        <v>0</v>
      </c>
      <c r="L87" s="93">
        <f>SUM(C87:K87)</f>
        <v/>
      </c>
      <c r="M87" s="111">
        <f>IF(B87="","",L87-B87)</f>
        <v/>
      </c>
    </row>
    <row r="88">
      <c r="A88" s="110" t="inlineStr">
        <is>
          <t>2026-01-05</t>
        </is>
      </c>
      <c r="B88" s="90" t="n">
        <v>332533491</v>
      </c>
      <c r="C88" s="91" t="n">
        <v>0</v>
      </c>
      <c r="D88" s="91" t="n">
        <v>42748130.12965</v>
      </c>
      <c r="E88" s="91" t="n">
        <v>0</v>
      </c>
      <c r="F88" s="91" t="n">
        <v>176132204.8244</v>
      </c>
      <c r="G88" s="91" t="n">
        <v>89842316.2955</v>
      </c>
      <c r="H88" s="91" t="n">
        <v>1773162.000808</v>
      </c>
      <c r="I88" s="91" t="n">
        <v>21079188.31544</v>
      </c>
      <c r="J88" s="91" t="n">
        <v>1493164.5216</v>
      </c>
      <c r="K88" s="91" t="n">
        <v>0</v>
      </c>
      <c r="L88" s="93">
        <f>SUM(C88:K88)</f>
        <v/>
      </c>
      <c r="M88" s="111">
        <f>IF(B88="","",L88-B88)</f>
        <v/>
      </c>
    </row>
    <row r="89">
      <c r="A89" s="110" t="inlineStr">
        <is>
          <t>2026-01-06</t>
        </is>
      </c>
      <c r="B89" s="90" t="n">
        <v>327284750</v>
      </c>
      <c r="C89" s="91" t="n">
        <v>624547.3318320001</v>
      </c>
      <c r="D89" s="91" t="n">
        <v>75764954.17030001</v>
      </c>
      <c r="E89" s="91" t="n">
        <v>0</v>
      </c>
      <c r="F89" s="91" t="n">
        <v>150307988.479</v>
      </c>
      <c r="G89" s="91" t="n">
        <v>76978669.59066999</v>
      </c>
      <c r="H89" s="91" t="n">
        <v>2112836.13584</v>
      </c>
      <c r="I89" s="91" t="n">
        <v>22747490.56611</v>
      </c>
      <c r="J89" s="91" t="n">
        <v>2211411.71114</v>
      </c>
      <c r="K89" s="91" t="n">
        <v>0</v>
      </c>
      <c r="L89" s="93">
        <f>SUM(C89:K89)</f>
        <v/>
      </c>
      <c r="M89" s="111">
        <f>IF(B89="","",L89-B89)</f>
        <v/>
      </c>
    </row>
    <row r="90">
      <c r="A90" s="110" t="inlineStr">
        <is>
          <t>2026-01-07</t>
        </is>
      </c>
      <c r="B90" s="90" t="n">
        <v>331731507</v>
      </c>
      <c r="C90" s="91" t="n">
        <v>743000.84005</v>
      </c>
      <c r="D90" s="91" t="n">
        <v>72366002.17327</v>
      </c>
      <c r="E90" s="91" t="n">
        <v>0</v>
      </c>
      <c r="F90" s="91" t="n">
        <v>151513220.3616</v>
      </c>
      <c r="G90" s="91" t="n">
        <v>82609830.34284699</v>
      </c>
      <c r="H90" s="91" t="n">
        <v>1454315.69197</v>
      </c>
      <c r="I90" s="91" t="n">
        <v>18684007.81009</v>
      </c>
      <c r="J90" s="91" t="n">
        <v>3643909.1061</v>
      </c>
      <c r="K90" s="91" t="n">
        <v>0</v>
      </c>
      <c r="L90" s="93">
        <f>SUM(C90:K90)</f>
        <v/>
      </c>
      <c r="M90" s="111">
        <f>IF(B90="","",L90-B90)</f>
        <v/>
      </c>
    </row>
    <row r="91">
      <c r="A91" s="110" t="inlineStr">
        <is>
          <t>2026-01-08</t>
        </is>
      </c>
      <c r="B91" s="90" t="n">
        <v>418653698</v>
      </c>
      <c r="C91" s="91" t="n">
        <v>1141581.939381</v>
      </c>
      <c r="D91" s="91" t="n">
        <v>46554106.26569</v>
      </c>
      <c r="E91" s="91" t="n">
        <v>0</v>
      </c>
      <c r="F91" s="91" t="n">
        <v>211264175.4558</v>
      </c>
      <c r="G91" s="91" t="n">
        <v>129751600.558188</v>
      </c>
      <c r="H91" s="91" t="n">
        <v>4524944.69909</v>
      </c>
      <c r="I91" s="91" t="n">
        <v>23080730.67289</v>
      </c>
      <c r="J91" s="91" t="n">
        <v>2476871.64585</v>
      </c>
      <c r="K91" s="91" t="n">
        <v>0</v>
      </c>
      <c r="L91" s="93">
        <f>SUM(C91:K91)</f>
        <v/>
      </c>
      <c r="M91" s="111">
        <f>IF(B91="","",L91-B91)</f>
        <v/>
      </c>
    </row>
    <row r="92">
      <c r="A92" s="110" t="inlineStr">
        <is>
          <t>2026-01-09</t>
        </is>
      </c>
      <c r="B92" s="90" t="n">
        <v>311595912</v>
      </c>
      <c r="C92" s="91" t="n">
        <v>1770426.114026</v>
      </c>
      <c r="D92" s="91" t="n">
        <v>47465250.49188</v>
      </c>
      <c r="E92" s="91" t="n">
        <v>0</v>
      </c>
      <c r="F92" s="91" t="n">
        <v>179976950.8659</v>
      </c>
      <c r="G92" s="91" t="n">
        <v>62051316.24326801</v>
      </c>
      <c r="H92" s="91" t="n">
        <v>1488425.6883</v>
      </c>
      <c r="I92" s="91" t="n">
        <v>18789454.46157</v>
      </c>
      <c r="J92" s="91" t="n">
        <v>2177992.78637</v>
      </c>
      <c r="K92" s="91" t="n">
        <v>0</v>
      </c>
      <c r="L92" s="93">
        <f>SUM(C92:K92)</f>
        <v/>
      </c>
      <c r="M92" s="111">
        <f>IF(B92="","",L92-B92)</f>
        <v/>
      </c>
    </row>
    <row r="93">
      <c r="A93" s="110" t="inlineStr">
        <is>
          <t>2026-01-10</t>
        </is>
      </c>
      <c r="B93" s="90" t="n">
        <v>78156263</v>
      </c>
      <c r="C93" s="91" t="n">
        <v>265929.35159</v>
      </c>
      <c r="D93" s="91" t="n">
        <v>16116736.35766</v>
      </c>
      <c r="E93" s="91" t="n">
        <v>0</v>
      </c>
      <c r="F93" s="91" t="n">
        <v>38498275.5036</v>
      </c>
      <c r="G93" s="91" t="n">
        <v>13554421.62315999</v>
      </c>
      <c r="H93" s="91" t="n">
        <v>74755.32419500001</v>
      </c>
      <c r="I93" s="91" t="n">
        <v>9306590.61018</v>
      </c>
      <c r="J93" s="91" t="n">
        <v>421050.82636</v>
      </c>
      <c r="K93" s="91" t="n">
        <v>0</v>
      </c>
      <c r="L93" s="93">
        <f>SUM(C93:K93)</f>
        <v/>
      </c>
      <c r="M93" s="111">
        <f>IF(B93="","",L93-B93)</f>
        <v/>
      </c>
    </row>
    <row r="94">
      <c r="A94" s="110" t="inlineStr">
        <is>
          <t>2026-01-11</t>
        </is>
      </c>
      <c r="B94" s="90" t="n">
        <v>172610355</v>
      </c>
      <c r="C94" s="91" t="n">
        <v>665254.4448000001</v>
      </c>
      <c r="D94" s="91" t="n">
        <v>15968025.70149</v>
      </c>
      <c r="E94" s="91" t="n">
        <v>0</v>
      </c>
      <c r="F94" s="91" t="n">
        <v>49871146.3716</v>
      </c>
      <c r="G94" s="91" t="n">
        <v>25381155.364451</v>
      </c>
      <c r="H94" s="91" t="n">
        <v>634252.56124</v>
      </c>
      <c r="I94" s="91" t="n">
        <v>8918391.857380001</v>
      </c>
      <c r="J94" s="91" t="n">
        <v>72052175.53200001</v>
      </c>
      <c r="K94" s="91" t="n">
        <v>0</v>
      </c>
      <c r="L94" s="93">
        <f>SUM(C94:K94)</f>
        <v/>
      </c>
      <c r="M94" s="111">
        <f>IF(B94="","",L94-B94)</f>
        <v/>
      </c>
    </row>
    <row r="95">
      <c r="A95" s="110" t="inlineStr">
        <is>
          <t>2026-01-12</t>
        </is>
      </c>
      <c r="B95" s="90" t="n">
        <v>446511237</v>
      </c>
      <c r="C95" s="91" t="n">
        <v>1634514.419456</v>
      </c>
      <c r="D95" s="91" t="n">
        <v>112026926.83607</v>
      </c>
      <c r="E95" s="91" t="n">
        <v>0</v>
      </c>
      <c r="F95" s="91" t="n">
        <v>193484989.0917</v>
      </c>
      <c r="G95" s="91" t="n">
        <v>106657618.509897</v>
      </c>
      <c r="H95" s="91" t="n">
        <v>2372742.66018</v>
      </c>
      <c r="I95" s="91" t="n">
        <v>22499633.28412</v>
      </c>
      <c r="J95" s="91" t="n">
        <v>8798155.541789999</v>
      </c>
      <c r="K95" s="91" t="n">
        <v>0</v>
      </c>
      <c r="L95" s="93">
        <f>SUM(C95:K95)</f>
        <v/>
      </c>
      <c r="M95" s="111">
        <f>IF(B95="","",L95-B95)</f>
        <v/>
      </c>
    </row>
    <row r="96">
      <c r="A96" s="110" t="inlineStr">
        <is>
          <t>2026-01-13</t>
        </is>
      </c>
      <c r="B96" s="90" t="n">
        <v>582248001</v>
      </c>
      <c r="C96" s="91" t="n">
        <v>1667782.1919</v>
      </c>
      <c r="D96" s="91" t="n">
        <v>137413631.25294</v>
      </c>
      <c r="E96" s="91" t="n">
        <v>0</v>
      </c>
      <c r="F96" s="91" t="n">
        <v>262210960.98266</v>
      </c>
      <c r="G96" s="91" t="n">
        <v>146149520.624514</v>
      </c>
      <c r="H96" s="91" t="n">
        <v>9460672.66323</v>
      </c>
      <c r="I96" s="91" t="n">
        <v>23823668.7994</v>
      </c>
      <c r="J96" s="91" t="n">
        <v>4357873.989</v>
      </c>
      <c r="K96" s="91" t="n">
        <v>0</v>
      </c>
      <c r="L96" s="93">
        <f>SUM(C96:K96)</f>
        <v/>
      </c>
      <c r="M96" s="111">
        <f>IF(B96="","",L96-B96)</f>
        <v/>
      </c>
    </row>
    <row r="97">
      <c r="A97" s="110" t="inlineStr">
        <is>
          <t>2026-01-14</t>
        </is>
      </c>
      <c r="B97" s="90" t="n">
        <v>707725156</v>
      </c>
      <c r="C97" s="91" t="n">
        <v>2082155.154706</v>
      </c>
      <c r="D97" s="91" t="n">
        <v>195934376.447343</v>
      </c>
      <c r="E97" s="91" t="n">
        <v>0</v>
      </c>
      <c r="F97" s="91" t="n">
        <v>332925654.2525</v>
      </c>
      <c r="G97" s="91" t="n">
        <v>141828935.080304</v>
      </c>
      <c r="H97" s="91" t="n">
        <v>7904129.123458</v>
      </c>
      <c r="I97" s="91" t="n">
        <v>24076475.42342</v>
      </c>
      <c r="J97" s="91" t="n">
        <v>2898206.93356</v>
      </c>
      <c r="K97" s="91" t="n">
        <v>0</v>
      </c>
      <c r="L97" s="93">
        <f>SUM(C97:K97)</f>
        <v/>
      </c>
      <c r="M97" s="111">
        <f>IF(B97="","",L97-B97)</f>
        <v/>
      </c>
    </row>
    <row r="98">
      <c r="A98" s="110" t="inlineStr">
        <is>
          <t>2026-01-15</t>
        </is>
      </c>
      <c r="B98" s="90" t="n">
        <v>725515172</v>
      </c>
      <c r="C98" s="91" t="n">
        <v>1626224.632065</v>
      </c>
      <c r="D98" s="91" t="n">
        <v>257105009.60417</v>
      </c>
      <c r="E98" s="91" t="n">
        <v>0</v>
      </c>
      <c r="F98" s="91" t="n">
        <v>309076659.30108</v>
      </c>
      <c r="G98" s="91" t="n">
        <v>127613228.924789</v>
      </c>
      <c r="H98" s="91" t="n">
        <v>5506964.201529</v>
      </c>
      <c r="I98" s="91" t="n">
        <v>22026354.81508</v>
      </c>
      <c r="J98" s="91" t="n">
        <v>3723712.0257</v>
      </c>
      <c r="K98" s="91" t="n">
        <v>0</v>
      </c>
      <c r="L98" s="93">
        <f>SUM(C98:K98)</f>
        <v/>
      </c>
      <c r="M98" s="111">
        <f>IF(B98="","",L98-B98)</f>
        <v/>
      </c>
    </row>
    <row r="99">
      <c r="A99" s="110" t="inlineStr">
        <is>
          <t>2026-01-16</t>
        </is>
      </c>
      <c r="B99" s="90" t="n">
        <v>545687520</v>
      </c>
      <c r="C99" s="91" t="n">
        <v>921531.646899</v>
      </c>
      <c r="D99" s="91" t="n">
        <v>207051125.639306</v>
      </c>
      <c r="E99" s="91" t="n">
        <v>0</v>
      </c>
      <c r="F99" s="91" t="n">
        <v>212837831.84584</v>
      </c>
      <c r="G99" s="91" t="n">
        <v>102280190.997573</v>
      </c>
      <c r="H99" s="91" t="n">
        <v>4754848.104281999</v>
      </c>
      <c r="I99" s="91" t="n">
        <v>13723514.97273</v>
      </c>
      <c r="J99" s="91" t="n">
        <v>3607265.39523</v>
      </c>
      <c r="K99" s="91" t="n">
        <v>0</v>
      </c>
      <c r="L99" s="93">
        <f>SUM(C99:K99)</f>
        <v/>
      </c>
      <c r="M99" s="111">
        <f>IF(B99="","",L99-B99)</f>
        <v/>
      </c>
    </row>
    <row r="100">
      <c r="A100" s="110" t="inlineStr">
        <is>
          <t>2026-01-17</t>
        </is>
      </c>
      <c r="B100" s="90" t="n">
        <v>172284379</v>
      </c>
      <c r="C100" s="91" t="n">
        <v>242872.219276</v>
      </c>
      <c r="D100" s="91" t="n">
        <v>13387795.057536</v>
      </c>
      <c r="E100" s="91" t="n">
        <v>0</v>
      </c>
      <c r="F100" s="91" t="n">
        <v>122829330.52124</v>
      </c>
      <c r="G100" s="91" t="n">
        <v>19290736.939365</v>
      </c>
      <c r="H100" s="91" t="n">
        <v>629329.2135240001</v>
      </c>
      <c r="I100" s="91" t="n">
        <v>13276489.59709</v>
      </c>
      <c r="J100" s="91" t="n">
        <v>2200295.89695</v>
      </c>
      <c r="K100" s="91" t="n">
        <v>0</v>
      </c>
      <c r="L100" s="93">
        <f>SUM(C100:K100)</f>
        <v/>
      </c>
      <c r="M100" s="111">
        <f>IF(B100="","",L100-B100)</f>
        <v/>
      </c>
    </row>
    <row r="101">
      <c r="A101" s="110" t="inlineStr">
        <is>
          <t>2026-01-18</t>
        </is>
      </c>
      <c r="B101" s="90" t="n">
        <v>185217000</v>
      </c>
      <c r="C101" s="91" t="n">
        <v>212664.206361</v>
      </c>
      <c r="D101" s="91" t="n">
        <v>60039991.717566</v>
      </c>
      <c r="E101" s="91" t="n">
        <v>0</v>
      </c>
      <c r="F101" s="91" t="n">
        <v>90745836.56442</v>
      </c>
      <c r="G101" s="91" t="n">
        <v>15141703.929584</v>
      </c>
      <c r="H101" s="91" t="n">
        <v>778970.9459800001</v>
      </c>
      <c r="I101" s="91" t="n">
        <v>15495329.01874</v>
      </c>
      <c r="J101" s="91" t="n">
        <v>2749441.98262</v>
      </c>
      <c r="K101" s="91" t="n">
        <v>0</v>
      </c>
      <c r="L101" s="93">
        <f>SUM(C101:K101)</f>
        <v/>
      </c>
      <c r="M101" s="111">
        <f>IF(B101="","",L101-B101)</f>
        <v/>
      </c>
    </row>
    <row r="102">
      <c r="A102" s="110" t="inlineStr">
        <is>
          <t>2026-01-19</t>
        </is>
      </c>
      <c r="B102" s="90" t="n">
        <v>427030670</v>
      </c>
      <c r="C102" s="91" t="n">
        <v>1009085.517486</v>
      </c>
      <c r="D102" s="91" t="n">
        <v>149644404.424474</v>
      </c>
      <c r="E102" s="91" t="n">
        <v>0</v>
      </c>
      <c r="F102" s="91" t="n">
        <v>186783897.387</v>
      </c>
      <c r="G102" s="91" t="n">
        <v>56981172.030958</v>
      </c>
      <c r="H102" s="91" t="n">
        <v>1287308.097594</v>
      </c>
      <c r="I102" s="91" t="n">
        <v>28528823.6285</v>
      </c>
      <c r="J102" s="91" t="n">
        <v>3308738.4941</v>
      </c>
      <c r="K102" s="91" t="n">
        <v>0</v>
      </c>
      <c r="L102" s="93">
        <f>SUM(C102:K102)</f>
        <v/>
      </c>
      <c r="M102" s="111">
        <f>IF(B102="","",L102-B102)</f>
        <v/>
      </c>
    </row>
    <row r="103">
      <c r="A103" s="110" t="inlineStr">
        <is>
          <t>2026-01-20</t>
        </is>
      </c>
      <c r="B103" s="90" t="n">
        <v>761916734</v>
      </c>
      <c r="C103" s="91" t="n">
        <v>919691.8198389999</v>
      </c>
      <c r="D103" s="91" t="n">
        <v>219513602.847774</v>
      </c>
      <c r="E103" s="91" t="n">
        <v>0</v>
      </c>
      <c r="F103" s="91" t="n">
        <v>307010888.66564</v>
      </c>
      <c r="G103" s="91" t="n">
        <v>184686566.758056</v>
      </c>
      <c r="H103" s="91" t="n">
        <v>5289012.724979999</v>
      </c>
      <c r="I103" s="91" t="n">
        <v>33998695.17218</v>
      </c>
      <c r="J103" s="91" t="n">
        <v>6311358.97012</v>
      </c>
      <c r="K103" s="91" t="n">
        <v>0</v>
      </c>
      <c r="L103" s="93">
        <f>SUM(C103:K103)</f>
        <v/>
      </c>
      <c r="M103" s="111">
        <f>IF(B103="","",L103-B103)</f>
        <v/>
      </c>
    </row>
    <row r="104">
      <c r="A104" s="110" t="inlineStr">
        <is>
          <t>2026-01-21</t>
        </is>
      </c>
      <c r="B104" s="90" t="n">
        <v>983595173</v>
      </c>
      <c r="C104" s="91" t="n">
        <v>2340131.793678</v>
      </c>
      <c r="D104" s="91" t="n">
        <v>335993785.4733371</v>
      </c>
      <c r="E104" s="91" t="n">
        <v>0</v>
      </c>
      <c r="F104" s="91" t="n">
        <v>398216015.3321999</v>
      </c>
      <c r="G104" s="91" t="n">
        <v>203762924.810204</v>
      </c>
      <c r="H104" s="91" t="n">
        <v>6740830.928749999</v>
      </c>
      <c r="I104" s="91" t="n">
        <v>33522987.62286</v>
      </c>
      <c r="J104" s="91" t="n">
        <v>4626402.27991</v>
      </c>
      <c r="K104" s="91" t="n">
        <v>167575.553236</v>
      </c>
      <c r="L104" s="93">
        <f>SUM(C104:K104)</f>
        <v/>
      </c>
      <c r="M104" s="111">
        <f>IF(B104="","",L104-B104)</f>
        <v/>
      </c>
    </row>
    <row r="105">
      <c r="A105" s="110" t="inlineStr">
        <is>
          <t>2026-01-22</t>
        </is>
      </c>
      <c r="B105" s="90" t="n">
        <v>923819230</v>
      </c>
      <c r="C105" s="91" t="n">
        <v>14001477.009496</v>
      </c>
      <c r="D105" s="91" t="n">
        <v>241576907.230184</v>
      </c>
      <c r="E105" s="91" t="n">
        <v>0</v>
      </c>
      <c r="F105" s="91" t="n">
        <v>429297443.66304</v>
      </c>
      <c r="G105" s="91" t="n">
        <v>212373243.048307</v>
      </c>
      <c r="H105" s="91" t="n">
        <v>4002253.799978</v>
      </c>
      <c r="I105" s="91" t="n">
        <v>19670022.33350001</v>
      </c>
      <c r="J105" s="91" t="n">
        <v>4434898.31317</v>
      </c>
      <c r="K105" s="91" t="n">
        <v>263448.231147</v>
      </c>
      <c r="L105" s="93">
        <f>SUM(C105:K105)</f>
        <v/>
      </c>
      <c r="M105" s="111">
        <f>IF(B105="","",L105-B105)</f>
        <v/>
      </c>
    </row>
    <row r="106">
      <c r="A106" s="110" t="inlineStr">
        <is>
          <t>2026-01-23</t>
        </is>
      </c>
      <c r="B106" s="90" t="n">
        <v>879688067</v>
      </c>
      <c r="C106" s="91" t="n">
        <v>8590332.6218</v>
      </c>
      <c r="D106" s="91" t="n">
        <v>401394720.324226</v>
      </c>
      <c r="E106" s="91" t="n">
        <v>0</v>
      </c>
      <c r="F106" s="91" t="n">
        <v>266837973.5075</v>
      </c>
      <c r="G106" s="91" t="n">
        <v>174160356.9738541</v>
      </c>
      <c r="H106" s="91" t="n">
        <v>2932319.53732</v>
      </c>
      <c r="I106" s="91" t="n">
        <v>26183257.18691</v>
      </c>
      <c r="J106" s="91" t="n">
        <v>7876999.59544</v>
      </c>
      <c r="K106" s="91" t="n">
        <v>633770.4793370001</v>
      </c>
      <c r="L106" s="93">
        <f>SUM(C106:K106)</f>
        <v/>
      </c>
      <c r="M106" s="111">
        <f>IF(B106="","",L106-B106)</f>
        <v/>
      </c>
    </row>
    <row r="107">
      <c r="A107" s="110" t="inlineStr">
        <is>
          <t>2026-01-24</t>
        </is>
      </c>
      <c r="B107" s="90" t="n">
        <v>196876545</v>
      </c>
      <c r="C107" s="91" t="n">
        <v>8617443.294312</v>
      </c>
      <c r="D107" s="91" t="n">
        <v>91982972.33649999</v>
      </c>
      <c r="E107" s="91" t="n">
        <v>0</v>
      </c>
      <c r="F107" s="91" t="n">
        <v>60860480.31445</v>
      </c>
      <c r="G107" s="91" t="n">
        <v>16156216.771219</v>
      </c>
      <c r="H107" s="91" t="n">
        <v>223999.725471</v>
      </c>
      <c r="I107" s="91" t="n">
        <v>17259989.08057</v>
      </c>
      <c r="J107" s="91" t="n">
        <v>1970424.27349</v>
      </c>
      <c r="K107" s="91" t="n">
        <v>214752.724428</v>
      </c>
      <c r="L107" s="93">
        <f>SUM(C107:K107)</f>
        <v/>
      </c>
      <c r="M107" s="111">
        <f>IF(B107="","",L107-B107)</f>
        <v/>
      </c>
    </row>
    <row r="108">
      <c r="A108" s="110" t="inlineStr">
        <is>
          <t>2026-01-25</t>
        </is>
      </c>
      <c r="B108" s="90" t="n">
        <v>446889136</v>
      </c>
      <c r="C108" s="91" t="n">
        <v>10010651.263118</v>
      </c>
      <c r="D108" s="91" t="n">
        <v>177611658.114974</v>
      </c>
      <c r="E108" s="91" t="n">
        <v>0</v>
      </c>
      <c r="F108" s="91" t="n">
        <v>108543902.97094</v>
      </c>
      <c r="G108" s="91" t="n">
        <v>57364269.028593</v>
      </c>
      <c r="H108" s="91" t="n">
        <v>583297.0171299999</v>
      </c>
      <c r="I108" s="91" t="n">
        <v>32410500.44906</v>
      </c>
      <c r="J108" s="91" t="n">
        <v>59441881.81147999</v>
      </c>
      <c r="K108" s="91" t="n">
        <v>126746.724148</v>
      </c>
      <c r="L108" s="93">
        <f>SUM(C108:K108)</f>
        <v/>
      </c>
      <c r="M108" s="111">
        <f>IF(B108="","",L108-B108)</f>
        <v/>
      </c>
    </row>
    <row r="109">
      <c r="A109" s="110" t="inlineStr">
        <is>
          <t>2026-01-26</t>
        </is>
      </c>
      <c r="B109" s="90" t="n">
        <v>1712251756</v>
      </c>
      <c r="C109" s="91" t="n">
        <v>16878822.92722</v>
      </c>
      <c r="D109" s="91" t="n">
        <v>1173756049.052285</v>
      </c>
      <c r="E109" s="91" t="n">
        <v>0</v>
      </c>
      <c r="F109" s="91" t="n">
        <v>289952186.9932</v>
      </c>
      <c r="G109" s="91" t="n">
        <v>161422298.793829</v>
      </c>
      <c r="H109" s="91" t="n">
        <v>3883850.90625</v>
      </c>
      <c r="I109" s="91" t="n">
        <v>28881573.57962</v>
      </c>
      <c r="J109" s="91" t="n">
        <v>10882545.3048</v>
      </c>
      <c r="K109" s="91" t="n">
        <v>1206154.127464</v>
      </c>
      <c r="L109" s="93">
        <f>SUM(C109:K109)</f>
        <v/>
      </c>
      <c r="M109" s="111">
        <f>IF(B109="","",L109-B109)</f>
        <v/>
      </c>
    </row>
    <row r="110">
      <c r="A110" s="110" t="inlineStr">
        <is>
          <t>2026-01-27</t>
        </is>
      </c>
      <c r="B110" s="90" t="n">
        <v>1790572989</v>
      </c>
      <c r="C110" s="91" t="n">
        <v>11353942.469158</v>
      </c>
      <c r="D110" s="91" t="n">
        <v>1362254773.083038</v>
      </c>
      <c r="E110" s="91" t="n">
        <v>0</v>
      </c>
      <c r="F110" s="91" t="n">
        <v>249202266.09162</v>
      </c>
      <c r="G110" s="91" t="n">
        <v>152340569.924807</v>
      </c>
      <c r="H110" s="91" t="n">
        <v>5934533.835084</v>
      </c>
      <c r="I110" s="91" t="n">
        <v>34762100.77826999</v>
      </c>
      <c r="J110" s="91" t="n">
        <v>12146608.4949</v>
      </c>
      <c r="K110" s="91" t="n">
        <v>859985.5730020001</v>
      </c>
      <c r="L110" s="93">
        <f>SUM(C110:K110)</f>
        <v/>
      </c>
      <c r="M110" s="111">
        <f>IF(B110="","",L110-B110)</f>
        <v/>
      </c>
    </row>
    <row r="111">
      <c r="A111" s="110" t="inlineStr">
        <is>
          <t>2026-01-28</t>
        </is>
      </c>
      <c r="B111" s="90" t="n">
        <v>2217417396</v>
      </c>
      <c r="C111" s="91" t="n">
        <v>17460298.9318</v>
      </c>
      <c r="D111" s="91" t="n">
        <v>1544721972.948853</v>
      </c>
      <c r="E111" s="91" t="n">
        <v>0</v>
      </c>
      <c r="F111" s="91" t="n">
        <v>387700739.56627</v>
      </c>
      <c r="G111" s="91" t="n">
        <v>250777522.2131871</v>
      </c>
      <c r="H111" s="91" t="n">
        <v>10745744.934198</v>
      </c>
      <c r="I111" s="91" t="n">
        <v>37605347.97341</v>
      </c>
      <c r="J111" s="91" t="n">
        <v>12883410.71818</v>
      </c>
      <c r="K111" s="91" t="n">
        <v>787497.194088</v>
      </c>
      <c r="L111" s="93">
        <f>SUM(C111:K111)</f>
        <v/>
      </c>
      <c r="M111" s="111">
        <f>IF(B111="","",L111-B111)</f>
        <v/>
      </c>
    </row>
    <row r="112">
      <c r="A112" s="110" t="inlineStr">
        <is>
          <t>2026-01-29</t>
        </is>
      </c>
      <c r="B112" s="90" t="n">
        <v>3321344474</v>
      </c>
      <c r="C112" s="91" t="n">
        <v>25760087.009145</v>
      </c>
      <c r="D112" s="91" t="n">
        <v>2479889085.034107</v>
      </c>
      <c r="E112" s="91" t="n">
        <v>0</v>
      </c>
      <c r="F112" s="91" t="n">
        <v>459530140.16864</v>
      </c>
      <c r="G112" s="91" t="n">
        <v>335531670.119421</v>
      </c>
      <c r="H112" s="91" t="n">
        <v>5815727.821829</v>
      </c>
      <c r="I112" s="91" t="n">
        <v>48661684.90839</v>
      </c>
      <c r="J112" s="91" t="n">
        <v>8683421.121099999</v>
      </c>
      <c r="K112" s="91" t="n">
        <v>382549.647234</v>
      </c>
      <c r="L112" s="93">
        <f>SUM(C112:K112)</f>
        <v/>
      </c>
      <c r="M112" s="111">
        <f>IF(B112="","",L112-B112)</f>
        <v/>
      </c>
    </row>
    <row r="113">
      <c r="A113" s="110" t="inlineStr">
        <is>
          <t>2026-01-30</t>
        </is>
      </c>
      <c r="B113" s="90" t="n">
        <v>4832638727</v>
      </c>
      <c r="C113" s="91" t="n">
        <v>18786571.764485</v>
      </c>
      <c r="D113" s="91" t="n">
        <v>3631911336.276372</v>
      </c>
      <c r="E113" s="91" t="n">
        <v>0</v>
      </c>
      <c r="F113" s="91" t="n">
        <v>518205075.2658399</v>
      </c>
      <c r="G113" s="91" t="n">
        <v>283644029.6751251</v>
      </c>
      <c r="H113" s="91" t="n">
        <v>6420396.363630001</v>
      </c>
      <c r="I113" s="91" t="n">
        <v>52414208.67704</v>
      </c>
      <c r="J113" s="91" t="n">
        <v>8805188.692559998</v>
      </c>
      <c r="K113" s="91" t="n">
        <v>241432.522702</v>
      </c>
      <c r="L113" s="93">
        <f>SUM(C113:K113)</f>
        <v/>
      </c>
      <c r="M113" s="111">
        <f>IF(B113="","",L113-B113)</f>
        <v/>
      </c>
    </row>
    <row r="114">
      <c r="A114" s="110" t="inlineStr">
        <is>
          <t>2026-01-31</t>
        </is>
      </c>
      <c r="B114" s="90" t="n">
        <v>453482411</v>
      </c>
      <c r="C114" s="91" t="n">
        <v>1930101.228975</v>
      </c>
      <c r="D114" s="91" t="n">
        <v>256612905.7752331</v>
      </c>
      <c r="E114" s="91" t="n">
        <v>0</v>
      </c>
      <c r="F114" s="91" t="n">
        <v>80306878.44256999</v>
      </c>
      <c r="G114" s="91" t="n">
        <v>53015651.01370199</v>
      </c>
      <c r="H114" s="91" t="n">
        <v>1270516.592402</v>
      </c>
      <c r="I114" s="91" t="n">
        <v>54021011.05618</v>
      </c>
      <c r="J114" s="91" t="n">
        <v>2197611.88598</v>
      </c>
      <c r="K114" s="91" t="n">
        <v>649235.1680000001</v>
      </c>
      <c r="L114" s="93">
        <f>SUM(C114:K114)</f>
        <v/>
      </c>
      <c r="M114" s="111">
        <f>IF(B114="","",L114-B114)</f>
        <v/>
      </c>
    </row>
    <row r="115">
      <c r="A115" s="110" t="inlineStr">
        <is>
          <t>2026-02-01</t>
        </is>
      </c>
      <c r="B115" s="90" t="n">
        <v>572206943</v>
      </c>
      <c r="C115" s="91" t="n">
        <v>5740736.070831</v>
      </c>
      <c r="D115" s="91" t="n">
        <v>341759197.3083889</v>
      </c>
      <c r="E115" s="91" t="n">
        <v>0</v>
      </c>
      <c r="F115" s="91" t="n">
        <v>95703304.33205999</v>
      </c>
      <c r="G115" s="91" t="n">
        <v>86661202.77922</v>
      </c>
      <c r="H115" s="91" t="n">
        <v>748779.7831220001</v>
      </c>
      <c r="I115" s="91" t="n">
        <v>35704926.81707</v>
      </c>
      <c r="J115" s="91" t="n">
        <v>2900547.32027</v>
      </c>
      <c r="K115" s="91" t="n">
        <v>262262.540439</v>
      </c>
      <c r="L115" s="93">
        <f>SUM(C115:K115)</f>
        <v/>
      </c>
      <c r="M115" s="111">
        <f>IF(B115="","",L115-B115)</f>
        <v/>
      </c>
    </row>
    <row r="116">
      <c r="A116" s="110" t="inlineStr">
        <is>
          <t>2026-02-02</t>
        </is>
      </c>
      <c r="B116" s="90" t="n">
        <v>3497482625</v>
      </c>
      <c r="C116" s="91" t="n">
        <v>24903133.14738</v>
      </c>
      <c r="D116" s="91" t="n">
        <v>2432437715.535819</v>
      </c>
      <c r="E116" s="91" t="n">
        <v>0</v>
      </c>
      <c r="F116" s="91" t="n">
        <v>684477944.2883599</v>
      </c>
      <c r="G116" s="91" t="n">
        <v>384786110.165457</v>
      </c>
      <c r="H116" s="91" t="n">
        <v>7491332.695054</v>
      </c>
      <c r="I116" s="91" t="n">
        <v>51980312.43778</v>
      </c>
      <c r="J116" s="91" t="n">
        <v>7397519.181599999</v>
      </c>
      <c r="K116" s="91" t="n">
        <v>359522.6255119999</v>
      </c>
      <c r="L116" s="93">
        <f>SUM(C116:K116)</f>
        <v/>
      </c>
      <c r="M116" s="111">
        <f>IF(B116="","",L116-B116)</f>
        <v/>
      </c>
    </row>
    <row r="117">
      <c r="A117" s="110" t="inlineStr">
        <is>
          <t>2026-02-03</t>
        </is>
      </c>
      <c r="B117" s="90" t="n">
        <v>2764670755</v>
      </c>
      <c r="C117" s="91" t="n">
        <v>27776851.63254</v>
      </c>
      <c r="D117" s="91" t="n">
        <v>1842979312.930429</v>
      </c>
      <c r="E117" s="91" t="n">
        <v>0</v>
      </c>
      <c r="F117" s="91" t="n">
        <v>394412548.554</v>
      </c>
      <c r="G117" s="91" t="n">
        <v>408180458.846812</v>
      </c>
      <c r="H117" s="91" t="n">
        <v>7693002.495243</v>
      </c>
      <c r="I117" s="91" t="n">
        <v>61216862.10376</v>
      </c>
      <c r="J117" s="91" t="n">
        <v>5576746.3009</v>
      </c>
      <c r="K117" s="91" t="n">
        <v>235485.164211</v>
      </c>
      <c r="L117" s="93">
        <f>SUM(C117:K117)</f>
        <v/>
      </c>
      <c r="M117" s="111">
        <f>IF(B117="","",L117-B117)</f>
        <v/>
      </c>
    </row>
    <row r="118">
      <c r="A118" s="110" t="inlineStr">
        <is>
          <t>2026-02-04</t>
        </is>
      </c>
      <c r="B118" s="90" t="n">
        <v>2646761457</v>
      </c>
      <c r="C118" s="91" t="n">
        <v>19293000.315293</v>
      </c>
      <c r="D118" s="91" t="n">
        <v>1719671538.152607</v>
      </c>
      <c r="E118" s="91" t="n">
        <v>0</v>
      </c>
      <c r="F118" s="91" t="n">
        <v>507692207.4698501</v>
      </c>
      <c r="G118" s="91" t="n">
        <v>354135483.3167871</v>
      </c>
      <c r="H118" s="91" t="n">
        <v>5504123.067322</v>
      </c>
      <c r="I118" s="91" t="n">
        <v>53682028.88502999</v>
      </c>
      <c r="J118" s="91" t="n">
        <v>6915791.447</v>
      </c>
      <c r="K118" s="91" t="n">
        <v>571504.5062320001</v>
      </c>
      <c r="L118" s="93">
        <f>SUM(C118:K118)</f>
        <v/>
      </c>
      <c r="M118" s="111">
        <f>IF(B118="","",L118-B118)</f>
        <v/>
      </c>
    </row>
    <row r="119">
      <c r="A119" s="110" t="inlineStr">
        <is>
          <t>2026-02-05</t>
        </is>
      </c>
      <c r="B119" s="90" t="n">
        <v>5176265508</v>
      </c>
      <c r="C119" s="91" t="n">
        <v>14602487.943554</v>
      </c>
      <c r="D119" s="91" t="n">
        <v>3395943397.205492</v>
      </c>
      <c r="E119" s="91" t="n">
        <v>0</v>
      </c>
      <c r="F119" s="91" t="n">
        <v>759396739.6031801</v>
      </c>
      <c r="G119" s="91" t="n">
        <v>452867477.383075</v>
      </c>
      <c r="H119" s="91" t="n">
        <v>8484686.098115999</v>
      </c>
      <c r="I119" s="91" t="n">
        <v>90797929.65321</v>
      </c>
      <c r="J119" s="91" t="n">
        <v>5082527.777039999</v>
      </c>
      <c r="K119" s="91" t="n">
        <v>558676.900782</v>
      </c>
      <c r="L119" s="93">
        <f>SUM(C119:K119)</f>
        <v/>
      </c>
      <c r="M119" s="111">
        <f>IF(B119="","",L119-B119)</f>
        <v/>
      </c>
    </row>
    <row r="120">
      <c r="A120" s="110" t="inlineStr">
        <is>
          <t>2026-02-06</t>
        </is>
      </c>
      <c r="B120" s="90" t="n">
        <v>3076801015</v>
      </c>
      <c r="C120" s="91" t="n">
        <v>9100106.44066</v>
      </c>
      <c r="D120" s="91" t="n">
        <v>2200018480.64341</v>
      </c>
      <c r="E120" s="91" t="n">
        <v>0</v>
      </c>
      <c r="F120" s="91" t="n">
        <v>549275469.4232</v>
      </c>
      <c r="G120" s="91" t="n">
        <v>414274426.9452719</v>
      </c>
      <c r="H120" s="91" t="n">
        <v>7338306.820272001</v>
      </c>
      <c r="I120" s="91" t="n">
        <v>80206432.851798</v>
      </c>
      <c r="J120" s="91" t="n">
        <v>6108109.199929999</v>
      </c>
      <c r="K120" s="91" t="n">
        <v>307600.308465</v>
      </c>
      <c r="L120" s="93">
        <f>SUM(C120:K120)</f>
        <v/>
      </c>
      <c r="M120" s="111">
        <f>IF(B120="","",L120-B120)</f>
        <v/>
      </c>
    </row>
    <row r="121">
      <c r="A121" s="110" t="inlineStr">
        <is>
          <t>2026-02-07</t>
        </is>
      </c>
      <c r="B121" s="90" t="n">
        <v>154001934</v>
      </c>
      <c r="C121" s="91" t="n">
        <v>879474.8449800001</v>
      </c>
      <c r="D121" s="91" t="n">
        <v>36413783.50855999</v>
      </c>
      <c r="E121" s="91" t="n">
        <v>0</v>
      </c>
      <c r="F121" s="91" t="n">
        <v>50321096.89906</v>
      </c>
      <c r="G121" s="91" t="n">
        <v>29844918.25647301</v>
      </c>
      <c r="H121" s="91" t="n">
        <v>3119960.23698</v>
      </c>
      <c r="I121" s="91" t="n">
        <v>32677020.095184</v>
      </c>
      <c r="J121" s="91" t="n">
        <v>1016030.68018</v>
      </c>
      <c r="K121" s="91" t="n">
        <v>40083.560885</v>
      </c>
      <c r="L121" s="93">
        <f>SUM(C121:K121)</f>
        <v/>
      </c>
      <c r="M121" s="111">
        <f>IF(B121="","",L121-B121)</f>
        <v/>
      </c>
    </row>
    <row r="122">
      <c r="A122" s="110" t="inlineStr">
        <is>
          <t>2026-02-08</t>
        </is>
      </c>
      <c r="B122" s="90" t="n">
        <v>268944614</v>
      </c>
      <c r="C122" s="91" t="n">
        <v>1655022.066464</v>
      </c>
      <c r="D122" s="91" t="n">
        <v>162554869.728528</v>
      </c>
      <c r="E122" s="91" t="n">
        <v>0</v>
      </c>
      <c r="F122" s="91" t="n">
        <v>61587406.81373</v>
      </c>
      <c r="G122" s="91" t="n">
        <v>20261694.707872</v>
      </c>
      <c r="H122" s="91" t="n">
        <v>2170029.763631</v>
      </c>
      <c r="I122" s="91" t="n">
        <v>18136887.523408</v>
      </c>
      <c r="J122" s="91" t="n">
        <v>3886895.8872</v>
      </c>
      <c r="K122" s="91" t="n">
        <v>41271.40674</v>
      </c>
      <c r="L122" s="93">
        <f>SUM(C122:K122)</f>
        <v/>
      </c>
      <c r="M122" s="111">
        <f>IF(B122="","",L122-B122)</f>
        <v/>
      </c>
    </row>
    <row r="123">
      <c r="A123" s="110" t="inlineStr">
        <is>
          <t>2026-02-09</t>
        </is>
      </c>
      <c r="B123" s="90" t="n">
        <v>1365961363</v>
      </c>
      <c r="C123" s="91" t="n">
        <v>4308074.146759999</v>
      </c>
      <c r="D123" s="91" t="n">
        <v>722010072.183962</v>
      </c>
      <c r="E123" s="91" t="n">
        <v>0</v>
      </c>
      <c r="F123" s="91" t="n">
        <v>342105405.29362</v>
      </c>
      <c r="G123" s="91" t="n">
        <v>270609625.9161599</v>
      </c>
      <c r="H123" s="91" t="n">
        <v>4246885.115888</v>
      </c>
      <c r="I123" s="91" t="n">
        <v>22848812.84323001</v>
      </c>
      <c r="J123" s="91" t="n">
        <v>6367250.35207</v>
      </c>
      <c r="K123" s="91" t="n">
        <v>191465.136802</v>
      </c>
      <c r="L123" s="93">
        <f>SUM(C123:K123)</f>
        <v/>
      </c>
      <c r="M123" s="111">
        <f>IF(B123="","",L123-B123)</f>
        <v/>
      </c>
    </row>
    <row r="124">
      <c r="A124" s="110" t="inlineStr">
        <is>
          <t>2026-02-10</t>
        </is>
      </c>
      <c r="B124" s="90" t="n">
        <v>1122610274</v>
      </c>
      <c r="C124" s="91" t="n">
        <v>4646659.917649</v>
      </c>
      <c r="D124" s="91" t="n">
        <v>471817816.8530001</v>
      </c>
      <c r="E124" s="91" t="n">
        <v>0</v>
      </c>
      <c r="F124" s="91" t="n">
        <v>343825646.88235</v>
      </c>
      <c r="G124" s="91" t="n">
        <v>269978201.743005</v>
      </c>
      <c r="H124" s="91" t="n">
        <v>3803291.27145</v>
      </c>
      <c r="I124" s="91" t="n">
        <v>19187802.614106</v>
      </c>
      <c r="J124" s="91" t="n">
        <v>3543048.57378</v>
      </c>
      <c r="K124" s="91" t="n">
        <v>186048.129084</v>
      </c>
      <c r="L124" s="93">
        <f>SUM(C124:K124)</f>
        <v/>
      </c>
      <c r="M124" s="111">
        <f>IF(B124="","",L124-B124)</f>
        <v/>
      </c>
    </row>
    <row r="125">
      <c r="A125" s="110" t="inlineStr">
        <is>
          <t>2026-02-11</t>
        </is>
      </c>
      <c r="B125" s="90" t="n">
        <v>1385208122</v>
      </c>
      <c r="C125" s="91" t="n">
        <v>2847542.265475</v>
      </c>
      <c r="D125" s="91" t="n">
        <v>595724133.7006351</v>
      </c>
      <c r="E125" s="91" t="n">
        <v>0</v>
      </c>
      <c r="F125" s="91" t="n">
        <v>455933994.11692</v>
      </c>
      <c r="G125" s="91" t="n">
        <v>270910260.541109</v>
      </c>
      <c r="H125" s="91" t="n">
        <v>4383815.572275001</v>
      </c>
      <c r="I125" s="91" t="n">
        <v>40414742.84481001</v>
      </c>
      <c r="J125" s="91" t="n">
        <v>7035759.647319999</v>
      </c>
      <c r="K125" s="91" t="n">
        <v>162553.442228</v>
      </c>
      <c r="L125" s="93">
        <f>SUM(C125:K125)</f>
        <v/>
      </c>
      <c r="M125" s="111">
        <f>IF(B125="","",L125-B125)</f>
        <v/>
      </c>
    </row>
    <row r="126">
      <c r="A126" s="110" t="inlineStr">
        <is>
          <t>2026-02-12</t>
        </is>
      </c>
      <c r="B126" s="90" t="n">
        <v>1815646192</v>
      </c>
      <c r="C126" s="91" t="n">
        <v>3239908.168864</v>
      </c>
      <c r="D126" s="91" t="n">
        <v>896057733.8663923</v>
      </c>
      <c r="E126" s="91" t="n">
        <v>0</v>
      </c>
      <c r="F126" s="91" t="n">
        <v>556880559.1935101</v>
      </c>
      <c r="G126" s="91" t="n">
        <v>260221884.37813</v>
      </c>
      <c r="H126" s="91" t="n">
        <v>5360842.670640001</v>
      </c>
      <c r="I126" s="91" t="n">
        <v>40475642.08641999</v>
      </c>
      <c r="J126" s="91" t="n">
        <v>5017147.74608</v>
      </c>
      <c r="K126" s="91" t="n">
        <v>271471.589468</v>
      </c>
      <c r="L126" s="93">
        <f>SUM(C126:K126)</f>
        <v/>
      </c>
      <c r="M126" s="111">
        <f>IF(B126="","",L126-B126)</f>
        <v/>
      </c>
    </row>
    <row r="127">
      <c r="A127" s="110" t="inlineStr">
        <is>
          <t>2026-02-13</t>
        </is>
      </c>
      <c r="B127" s="90" t="n">
        <v>1463905927</v>
      </c>
      <c r="C127" s="91" t="n">
        <v>5005693.427399999</v>
      </c>
      <c r="D127" s="91" t="n">
        <v>560711119.418811</v>
      </c>
      <c r="E127" s="91" t="n">
        <v>0</v>
      </c>
      <c r="F127" s="91" t="n">
        <v>594739206.48772</v>
      </c>
      <c r="G127" s="91" t="n">
        <v>266699529.997113</v>
      </c>
      <c r="H127" s="91" t="n">
        <v>5187422.636008002</v>
      </c>
      <c r="I127" s="91" t="n">
        <v>30105872.368184</v>
      </c>
      <c r="J127" s="91" t="n">
        <v>2409067.42322</v>
      </c>
      <c r="K127" s="91" t="n">
        <v>671434.917094</v>
      </c>
      <c r="L127" s="93">
        <f>SUM(C127:K127)</f>
        <v/>
      </c>
      <c r="M127" s="111">
        <f>IF(B127="","",L127-B127)</f>
        <v/>
      </c>
    </row>
    <row r="128">
      <c r="A128" s="110" t="inlineStr">
        <is>
          <t>2026-02-14</t>
        </is>
      </c>
      <c r="B128" s="90" t="n">
        <v>111040475</v>
      </c>
      <c r="C128" s="91" t="n">
        <v>980207.6814240001</v>
      </c>
      <c r="D128" s="91" t="n">
        <v>16822200.853926</v>
      </c>
      <c r="E128" s="91" t="n">
        <v>0</v>
      </c>
      <c r="F128" s="91" t="n">
        <v>46991718.71953001</v>
      </c>
      <c r="G128" s="91" t="n">
        <v>28883974.46352299</v>
      </c>
      <c r="H128" s="91" t="n">
        <v>577399.0798440001</v>
      </c>
      <c r="I128" s="91" t="n">
        <v>16229254.66589</v>
      </c>
      <c r="J128" s="91" t="n">
        <v>588263.1468099999</v>
      </c>
      <c r="K128" s="91" t="n">
        <v>165654.266932</v>
      </c>
      <c r="L128" s="93">
        <f>SUM(C128:K128)</f>
        <v/>
      </c>
      <c r="M128" s="111">
        <f>IF(B128="","",L128-B128)</f>
        <v/>
      </c>
    </row>
    <row r="129">
      <c r="A129" s="110" t="inlineStr">
        <is>
          <t>2026-02-15</t>
        </is>
      </c>
      <c r="B129" s="90" t="n">
        <v>261058231</v>
      </c>
      <c r="C129" s="91" t="n">
        <v>1259435.055649</v>
      </c>
      <c r="D129" s="91" t="n">
        <v>112009935.581531</v>
      </c>
      <c r="E129" s="91" t="n">
        <v>0</v>
      </c>
      <c r="F129" s="91" t="n">
        <v>84522686.76161999</v>
      </c>
      <c r="G129" s="91" t="n">
        <v>36839476.33212001</v>
      </c>
      <c r="H129" s="91" t="n">
        <v>353567.6224859999</v>
      </c>
      <c r="I129" s="91" t="n">
        <v>24552845.76506</v>
      </c>
      <c r="J129" s="91" t="n">
        <v>1012610.71728</v>
      </c>
      <c r="K129" s="91" t="n">
        <v>180918.221211</v>
      </c>
      <c r="L129" s="93">
        <f>SUM(C129:K129)</f>
        <v/>
      </c>
      <c r="M129" s="111">
        <f>IF(B129="","",L129-B129)</f>
        <v/>
      </c>
    </row>
    <row r="130">
      <c r="A130" s="110" t="inlineStr">
        <is>
          <t>2026-02-16</t>
        </is>
      </c>
      <c r="B130" s="90" t="n">
        <v>440684404</v>
      </c>
      <c r="C130" s="91" t="n">
        <v>3344904.415796</v>
      </c>
      <c r="D130" s="91" t="n">
        <v>214040988.6617</v>
      </c>
      <c r="E130" s="91" t="n">
        <v>0</v>
      </c>
      <c r="F130" s="91" t="n">
        <v>145500277.388</v>
      </c>
      <c r="G130" s="91" t="n">
        <v>59775249.62392801</v>
      </c>
      <c r="H130" s="91" t="n">
        <v>713685.95686</v>
      </c>
      <c r="I130" s="91" t="n">
        <v>15225052.76776</v>
      </c>
      <c r="J130" s="91" t="n">
        <v>2208164.66994</v>
      </c>
      <c r="K130" s="91" t="n">
        <v>142984.917204</v>
      </c>
      <c r="L130" s="93">
        <f>SUM(C130:K130)</f>
        <v/>
      </c>
      <c r="M130" s="111">
        <f>IF(B130="","",L130-B130)</f>
        <v/>
      </c>
    </row>
    <row r="131">
      <c r="A131" s="110" t="inlineStr">
        <is>
          <t>2026-02-17</t>
        </is>
      </c>
      <c r="B131" s="90" t="n">
        <v>1351983967</v>
      </c>
      <c r="C131" s="91" t="n">
        <v>9792763.051743999</v>
      </c>
      <c r="D131" s="91" t="n">
        <v>571473473.865995</v>
      </c>
      <c r="E131" s="91" t="n">
        <v>0</v>
      </c>
      <c r="F131" s="91" t="n">
        <v>490856134.09779</v>
      </c>
      <c r="G131" s="91" t="n">
        <v>241913701.502378</v>
      </c>
      <c r="H131" s="91" t="n">
        <v>3077643.583712</v>
      </c>
      <c r="I131" s="91" t="n">
        <v>21855667.70786</v>
      </c>
      <c r="J131" s="91" t="n">
        <v>3029777.87988</v>
      </c>
      <c r="K131" s="91" t="n">
        <v>761860.6836740001</v>
      </c>
      <c r="L131" s="93">
        <f>SUM(C131:K131)</f>
        <v/>
      </c>
      <c r="M131" s="111">
        <f>IF(B131="","",L131-B131)</f>
        <v/>
      </c>
    </row>
    <row r="132">
      <c r="A132" s="110" t="inlineStr">
        <is>
          <t>2026-02-18</t>
        </is>
      </c>
      <c r="B132" s="90" t="n">
        <v>870609221</v>
      </c>
      <c r="C132" s="91" t="n">
        <v>9067655.128435001</v>
      </c>
      <c r="D132" s="91" t="n">
        <v>305989347.718267</v>
      </c>
      <c r="E132" s="91" t="n">
        <v>0</v>
      </c>
      <c r="F132" s="91" t="n">
        <v>327291893.20704</v>
      </c>
      <c r="G132" s="91" t="n">
        <v>200618348.7817621</v>
      </c>
      <c r="H132" s="91" t="n">
        <v>2363226.797284</v>
      </c>
      <c r="I132" s="91" t="n">
        <v>23581940.850346</v>
      </c>
      <c r="J132" s="91" t="n">
        <v>4345776.3907</v>
      </c>
      <c r="K132" s="91" t="n">
        <v>603986.428031</v>
      </c>
      <c r="L132" s="93">
        <f>SUM(C132:K132)</f>
        <v/>
      </c>
      <c r="M132" s="111">
        <f>IF(B132="","",L132-B132)</f>
        <v/>
      </c>
    </row>
    <row r="133">
      <c r="A133" s="110" t="inlineStr">
        <is>
          <t>2026-02-19</t>
        </is>
      </c>
      <c r="B133" s="90" t="n">
        <v>1019252814</v>
      </c>
      <c r="C133" s="91" t="n">
        <v>23956084.97488</v>
      </c>
      <c r="D133" s="91" t="n">
        <v>321852718.5048221</v>
      </c>
      <c r="E133" s="91" t="n">
        <v>0</v>
      </c>
      <c r="F133" s="91" t="n">
        <v>451868633.37034</v>
      </c>
      <c r="G133" s="91" t="n">
        <v>182766346.375244</v>
      </c>
      <c r="H133" s="91" t="n">
        <v>3926854.921826</v>
      </c>
      <c r="I133" s="91" t="n">
        <v>25282828.67045701</v>
      </c>
      <c r="J133" s="91" t="n">
        <v>9601409.2114</v>
      </c>
      <c r="K133" s="91" t="n">
        <v>806486.64855</v>
      </c>
      <c r="L133" s="93">
        <f>SUM(C133:K133)</f>
        <v/>
      </c>
      <c r="M133" s="111">
        <f>IF(B133="","",L133-B133)</f>
        <v/>
      </c>
    </row>
    <row r="134">
      <c r="A134" s="110" t="inlineStr">
        <is>
          <t>2026-02-20</t>
        </is>
      </c>
      <c r="B134" s="90" t="n">
        <v>1601645273</v>
      </c>
      <c r="C134" s="91" t="n">
        <v>20523965.64732</v>
      </c>
      <c r="D134" s="91" t="n">
        <v>643093158.0429589</v>
      </c>
      <c r="E134" s="91" t="n">
        <v>0</v>
      </c>
      <c r="F134" s="91" t="n">
        <v>673823785.9979401</v>
      </c>
      <c r="G134" s="91" t="n">
        <v>249436603.8978919</v>
      </c>
      <c r="H134" s="91" t="n">
        <v>3447884.2466</v>
      </c>
      <c r="I134" s="91" t="n">
        <v>27663206.99396</v>
      </c>
      <c r="J134" s="91" t="n">
        <v>11498510.9832</v>
      </c>
      <c r="K134" s="91" t="n">
        <v>450115.017335</v>
      </c>
      <c r="L134" s="93">
        <f>SUM(C134:K134)</f>
        <v/>
      </c>
      <c r="M134" s="111">
        <f>IF(B134="","",L134-B134)</f>
        <v/>
      </c>
    </row>
    <row r="135">
      <c r="A135" s="110" t="inlineStr">
        <is>
          <t>2026-02-21</t>
        </is>
      </c>
      <c r="B135" s="90" t="n">
        <v>212474514</v>
      </c>
      <c r="C135" s="91" t="n">
        <v>1110671.236644</v>
      </c>
      <c r="D135" s="91" t="n">
        <v>48080193.09616001</v>
      </c>
      <c r="E135" s="91" t="n">
        <v>0</v>
      </c>
      <c r="F135" s="91" t="n">
        <v>117422595.341</v>
      </c>
      <c r="G135" s="91" t="n">
        <v>28274216.86231101</v>
      </c>
      <c r="H135" s="91" t="n">
        <v>979752.3823390001</v>
      </c>
      <c r="I135" s="91" t="n">
        <v>11656354.649821</v>
      </c>
      <c r="J135" s="91" t="n">
        <v>4757196.4822</v>
      </c>
      <c r="K135" s="91" t="n">
        <v>4707.427500000001</v>
      </c>
      <c r="L135" s="93">
        <f>SUM(C135:K135)</f>
        <v/>
      </c>
      <c r="M135" s="111">
        <f>IF(B135="","",L135-B135)</f>
        <v/>
      </c>
    </row>
    <row r="136">
      <c r="A136" s="110" t="inlineStr">
        <is>
          <t>2026-02-22</t>
        </is>
      </c>
      <c r="B136" s="90" t="n">
        <v>339005979</v>
      </c>
      <c r="C136" s="91" t="n">
        <v>7021986.158158999</v>
      </c>
      <c r="D136" s="91" t="n">
        <v>193546320.344908</v>
      </c>
      <c r="E136" s="91" t="n">
        <v>0</v>
      </c>
      <c r="F136" s="91" t="n">
        <v>92436060.49322</v>
      </c>
      <c r="G136" s="91" t="n">
        <v>26811663.853037</v>
      </c>
      <c r="H136" s="91" t="n">
        <v>575197.92052</v>
      </c>
      <c r="I136" s="91" t="n">
        <v>12357493.425876</v>
      </c>
      <c r="J136" s="91" t="n">
        <v>8249048.47748</v>
      </c>
      <c r="K136" s="91" t="n">
        <v>5821.599249999999</v>
      </c>
      <c r="L136" s="93">
        <f>SUM(C136:K136)</f>
        <v/>
      </c>
      <c r="M136" s="111">
        <f>IF(B136="","",L136-B136)</f>
        <v/>
      </c>
    </row>
    <row r="137">
      <c r="A137" s="110" t="inlineStr">
        <is>
          <t>2026-02-23</t>
        </is>
      </c>
      <c r="B137" s="90" t="n">
        <v>1332197351</v>
      </c>
      <c r="C137" s="91" t="n">
        <v>24715125.521968</v>
      </c>
      <c r="D137" s="91" t="n">
        <v>627749668.6111019</v>
      </c>
      <c r="E137" s="91" t="n">
        <v>0</v>
      </c>
      <c r="F137" s="91" t="n">
        <v>425905251.66681</v>
      </c>
      <c r="G137" s="91" t="n">
        <v>214537485.9704701</v>
      </c>
      <c r="H137" s="91" t="n">
        <v>2971480.474924</v>
      </c>
      <c r="I137" s="91" t="n">
        <v>31741830.754969</v>
      </c>
      <c r="J137" s="91" t="n">
        <v>8562153.98209</v>
      </c>
      <c r="K137" s="91" t="n">
        <v>59575.8513</v>
      </c>
      <c r="L137" s="93">
        <f>SUM(C137:K137)</f>
        <v/>
      </c>
      <c r="M137" s="111">
        <f>IF(B137="","",L137-B137)</f>
        <v/>
      </c>
    </row>
    <row r="138">
      <c r="A138" s="110" t="inlineStr">
        <is>
          <t>2026-02-24</t>
        </is>
      </c>
      <c r="B138" s="90" t="n">
        <v>1546025613</v>
      </c>
      <c r="C138" s="91" t="n">
        <v>29942557.151838</v>
      </c>
      <c r="D138" s="91" t="n">
        <v>880791396.83109</v>
      </c>
      <c r="E138" s="91" t="n">
        <v>0</v>
      </c>
      <c r="F138" s="91" t="n">
        <v>343000064.40622</v>
      </c>
      <c r="G138" s="91" t="n">
        <v>257372763.383299</v>
      </c>
      <c r="H138" s="91" t="n">
        <v>3623149.725374999</v>
      </c>
      <c r="I138" s="91" t="n">
        <v>27430366.257125</v>
      </c>
      <c r="J138" s="91" t="n">
        <v>6880208.53186</v>
      </c>
      <c r="K138" s="91" t="n">
        <v>277155.057148</v>
      </c>
      <c r="L138" s="93">
        <f>SUM(C138:K138)</f>
        <v/>
      </c>
      <c r="M138" s="111">
        <f>IF(B138="","",L138-B138)</f>
        <v/>
      </c>
    </row>
    <row r="139">
      <c r="A139" s="110" t="inlineStr">
        <is>
          <t>2026-02-25</t>
        </is>
      </c>
      <c r="B139" s="90" t="n">
        <v>1941630139</v>
      </c>
      <c r="C139" s="91" t="n">
        <v>18080262.348878</v>
      </c>
      <c r="D139" s="91" t="n">
        <v>1098696631.509568</v>
      </c>
      <c r="E139" s="91" t="n">
        <v>0</v>
      </c>
      <c r="F139" s="91" t="n">
        <v>396605408.5541</v>
      </c>
      <c r="G139" s="91" t="n">
        <v>290778403.2976959</v>
      </c>
      <c r="H139" s="91" t="n">
        <v>38708629.01790399</v>
      </c>
      <c r="I139" s="91" t="n">
        <v>59586926.31324999</v>
      </c>
      <c r="J139" s="91" t="n">
        <v>16765680.24066</v>
      </c>
      <c r="K139" s="91" t="n">
        <v>33289.70436</v>
      </c>
      <c r="L139" s="93">
        <f>SUM(C139:K139)</f>
        <v/>
      </c>
      <c r="M139" s="111">
        <f>IF(B139="","",L139-B139)</f>
        <v/>
      </c>
    </row>
    <row r="140">
      <c r="A140" s="110" t="inlineStr">
        <is>
          <t>2026-02-26</t>
        </is>
      </c>
      <c r="B140" s="90" t="n">
        <v>1710116033</v>
      </c>
      <c r="C140" s="91" t="n">
        <v>27052011.700139</v>
      </c>
      <c r="D140" s="91" t="n">
        <v>809030805.0889719</v>
      </c>
      <c r="E140" s="91" t="n">
        <v>0</v>
      </c>
      <c r="F140" s="91" t="n">
        <v>443989984.27068</v>
      </c>
      <c r="G140" s="91" t="n">
        <v>340125307.866895</v>
      </c>
      <c r="H140" s="91" t="n">
        <v>39003945.09328801</v>
      </c>
      <c r="I140" s="91" t="n">
        <v>33840033.99649999</v>
      </c>
      <c r="J140" s="91" t="n">
        <v>13953852.52</v>
      </c>
      <c r="K140" s="91" t="n">
        <v>159430.746006</v>
      </c>
      <c r="L140" s="93">
        <f>SUM(C140:K140)</f>
        <v/>
      </c>
      <c r="M140" s="111">
        <f>IF(B140="","",L140-B140)</f>
        <v/>
      </c>
    </row>
    <row r="141">
      <c r="A141" s="110" t="inlineStr">
        <is>
          <t>2026-02-27</t>
        </is>
      </c>
      <c r="B141" s="90" t="n">
        <v>1488138246</v>
      </c>
      <c r="C141" s="91" t="n">
        <v>32204605.587844</v>
      </c>
      <c r="D141" s="91" t="n">
        <v>691511039.9947474</v>
      </c>
      <c r="E141" s="91" t="n">
        <v>0</v>
      </c>
      <c r="F141" s="91" t="n">
        <v>429011780.59991</v>
      </c>
      <c r="G141" s="91" t="n">
        <v>273837815.8485999</v>
      </c>
      <c r="H141" s="91" t="n">
        <v>19702408.161256</v>
      </c>
      <c r="I141" s="91" t="n">
        <v>33696537.514048</v>
      </c>
      <c r="J141" s="91" t="n">
        <v>21203143.58158</v>
      </c>
      <c r="K141" s="91" t="n">
        <v>337781.79917</v>
      </c>
      <c r="L141" s="93">
        <f>SUM(C141:K141)</f>
        <v/>
      </c>
      <c r="M141" s="111">
        <f>IF(B141="","",L141-B141)</f>
        <v/>
      </c>
    </row>
    <row r="142">
      <c r="A142" s="110" t="inlineStr">
        <is>
          <t>2026-02-28</t>
        </is>
      </c>
      <c r="B142" s="90" t="n">
        <v>803029432</v>
      </c>
      <c r="C142" s="91" t="n">
        <v>10785795.952936</v>
      </c>
      <c r="D142" s="91" t="n">
        <v>450429725.8932159</v>
      </c>
      <c r="E142" s="91" t="n">
        <v>0</v>
      </c>
      <c r="F142" s="91" t="n">
        <v>129948251.58004</v>
      </c>
      <c r="G142" s="91" t="n">
        <v>138142383.558205</v>
      </c>
      <c r="H142" s="91" t="n">
        <v>13801436.155668</v>
      </c>
      <c r="I142" s="91" t="n">
        <v>43865378.94699201</v>
      </c>
      <c r="J142" s="91" t="n">
        <v>17963875.96993</v>
      </c>
      <c r="K142" s="91" t="n">
        <v>88056.87470299999</v>
      </c>
      <c r="L142" s="93">
        <f>SUM(C142:K142)</f>
        <v/>
      </c>
      <c r="M142" s="111">
        <f>IF(B142="","",L142-B142)</f>
        <v/>
      </c>
    </row>
    <row r="143">
      <c r="A143" s="110" t="inlineStr">
        <is>
          <t>2026-03-01</t>
        </is>
      </c>
      <c r="B143" s="90" t="n">
        <v>678617837</v>
      </c>
      <c r="C143" s="91" t="n">
        <v>32018920.987944</v>
      </c>
      <c r="D143" s="91" t="n">
        <v>361839875.1304001</v>
      </c>
      <c r="E143" s="91" t="n">
        <v>0</v>
      </c>
      <c r="F143" s="91" t="n">
        <v>122718105.67902</v>
      </c>
      <c r="G143" s="91" t="n">
        <v>98642662.52303499</v>
      </c>
      <c r="H143" s="91" t="n">
        <v>3237319.226838</v>
      </c>
      <c r="I143" s="91" t="n">
        <v>35518278.477462</v>
      </c>
      <c r="J143" s="91" t="n">
        <v>20436830.25156</v>
      </c>
      <c r="K143" s="91" t="n">
        <v>40703.06827800001</v>
      </c>
      <c r="L143" s="93">
        <f>SUM(C143:K143)</f>
        <v/>
      </c>
      <c r="M143" s="111">
        <f>IF(B143="","",L143-B143)</f>
        <v/>
      </c>
    </row>
    <row r="144">
      <c r="A144" s="110" t="inlineStr">
        <is>
          <t>2026-03-02</t>
        </is>
      </c>
      <c r="B144" s="90" t="n">
        <v>2613061360</v>
      </c>
      <c r="C144" s="91" t="n">
        <v>121806411.755644</v>
      </c>
      <c r="D144" s="91" t="n">
        <v>1359891901.657465</v>
      </c>
      <c r="E144" s="91" t="n">
        <v>0</v>
      </c>
      <c r="F144" s="91" t="n">
        <v>645622292.1427999</v>
      </c>
      <c r="G144" s="91" t="n">
        <v>380309818.921666</v>
      </c>
      <c r="H144" s="91" t="n">
        <v>33528386.950124</v>
      </c>
      <c r="I144" s="91" t="n">
        <v>42299884.752896</v>
      </c>
      <c r="J144" s="91" t="n">
        <v>22209553.68939</v>
      </c>
      <c r="K144" s="91" t="n">
        <v>665394.05157</v>
      </c>
      <c r="L144" s="93">
        <f>SUM(C144:K144)</f>
        <v/>
      </c>
      <c r="M144" s="111">
        <f>IF(B144="","",L144-B144)</f>
        <v/>
      </c>
    </row>
    <row r="145">
      <c r="A145" s="110" t="inlineStr">
        <is>
          <t>2026-03-03</t>
        </is>
      </c>
      <c r="B145" s="90" t="n">
        <v>3920561923</v>
      </c>
      <c r="C145" s="91" t="n">
        <v>274829527.794407</v>
      </c>
      <c r="D145" s="91" t="n">
        <v>1972305069.116679</v>
      </c>
      <c r="E145" s="91" t="n">
        <v>0</v>
      </c>
      <c r="F145" s="91" t="n">
        <v>1089138621.69207</v>
      </c>
      <c r="G145" s="91" t="n">
        <v>463541280.3870251</v>
      </c>
      <c r="H145" s="91" t="n">
        <v>50822210.638012</v>
      </c>
      <c r="I145" s="91" t="n">
        <v>39018205.634965</v>
      </c>
      <c r="J145" s="91" t="n">
        <v>21478715.55733</v>
      </c>
      <c r="K145" s="91" t="n">
        <v>1199744.469671</v>
      </c>
      <c r="L145" s="93">
        <f>SUM(C145:K145)</f>
        <v/>
      </c>
      <c r="M145" s="111">
        <f>IF(B145="","",L145-B145)</f>
        <v/>
      </c>
    </row>
    <row r="146">
      <c r="A146" s="110" t="inlineStr">
        <is>
          <t>2026-03-04</t>
        </is>
      </c>
      <c r="B146" s="90" t="n">
        <v>2633171701</v>
      </c>
      <c r="C146" s="91" t="n">
        <v>241294335.00664</v>
      </c>
      <c r="D146" s="91" t="n">
        <v>1163809286.172359</v>
      </c>
      <c r="E146" s="91" t="n">
        <v>0</v>
      </c>
      <c r="F146" s="91" t="n">
        <v>792046603.3885999</v>
      </c>
      <c r="G146" s="91" t="n">
        <v>331207178.1108771</v>
      </c>
      <c r="H146" s="91" t="n">
        <v>33840870.58399</v>
      </c>
      <c r="I146" s="91" t="n">
        <v>60034049.500325</v>
      </c>
      <c r="J146" s="91" t="n">
        <v>24938305.5303</v>
      </c>
      <c r="K146" s="91" t="n">
        <v>350074.7019</v>
      </c>
      <c r="L146" s="93">
        <f>SUM(C146:K146)</f>
        <v/>
      </c>
      <c r="M146" s="111">
        <f>IF(B146="","",L146-B146)</f>
        <v/>
      </c>
    </row>
    <row r="147">
      <c r="A147" s="110" t="inlineStr">
        <is>
          <t>2026-03-05</t>
        </is>
      </c>
      <c r="B147" s="90" t="n">
        <v>2311825079</v>
      </c>
      <c r="C147" s="91" t="n">
        <v>289515195.674799</v>
      </c>
      <c r="D147" s="91" t="n">
        <v>943910194.872333</v>
      </c>
      <c r="E147" s="91" t="n">
        <v>0</v>
      </c>
      <c r="F147" s="91" t="n">
        <v>640152159.58743</v>
      </c>
      <c r="G147" s="91" t="n">
        <v>344714780.6264381</v>
      </c>
      <c r="H147" s="91" t="n">
        <v>28220036.69676</v>
      </c>
      <c r="I147" s="91" t="n">
        <v>35502326.85987201</v>
      </c>
      <c r="J147" s="91" t="n">
        <v>26169707.94184</v>
      </c>
      <c r="K147" s="91" t="n">
        <v>266637.191522</v>
      </c>
      <c r="L147" s="93">
        <f>SUM(C147:K147)</f>
        <v/>
      </c>
      <c r="M147" s="111">
        <f>IF(B147="","",L147-B147)</f>
        <v/>
      </c>
    </row>
    <row r="148">
      <c r="A148" s="110" t="inlineStr">
        <is>
          <t>2026-03-06</t>
        </is>
      </c>
      <c r="B148" s="90" t="n">
        <v>2362857166</v>
      </c>
      <c r="C148" s="91" t="n">
        <v>505404453.789191</v>
      </c>
      <c r="D148" s="91" t="n">
        <v>686030433.4035399</v>
      </c>
      <c r="E148" s="91" t="n">
        <v>0</v>
      </c>
      <c r="F148" s="91" t="n">
        <v>726769034.52684</v>
      </c>
      <c r="G148" s="91" t="n">
        <v>365342129.6134709</v>
      </c>
      <c r="H148" s="91" t="n">
        <v>28508455.63084</v>
      </c>
      <c r="I148" s="91" t="n">
        <v>29727449.2765</v>
      </c>
      <c r="J148" s="91" t="n">
        <v>29432160.4616</v>
      </c>
      <c r="K148" s="91" t="n">
        <v>238812.689934</v>
      </c>
      <c r="L148" s="93">
        <f>SUM(C148:K148)</f>
        <v/>
      </c>
      <c r="M148" s="111">
        <f>IF(B148="","",L148-B148)</f>
        <v/>
      </c>
    </row>
    <row r="149">
      <c r="A149" s="110" t="inlineStr">
        <is>
          <t>2026-03-07</t>
        </is>
      </c>
      <c r="B149" s="90" t="n">
        <v>441532014</v>
      </c>
      <c r="C149" s="91" t="n">
        <v>167504171.07153</v>
      </c>
      <c r="D149" s="91" t="n">
        <v>27064382.342564</v>
      </c>
      <c r="E149" s="91" t="n">
        <v>0</v>
      </c>
      <c r="F149" s="91" t="n">
        <v>80530734.42533</v>
      </c>
      <c r="G149" s="91" t="n">
        <v>127887445.742482</v>
      </c>
      <c r="H149" s="91" t="n">
        <v>3627628.519625999</v>
      </c>
      <c r="I149" s="91" t="n">
        <v>12772888.730544</v>
      </c>
      <c r="J149" s="91" t="n">
        <v>26173391.52721</v>
      </c>
      <c r="K149" s="91" t="n">
        <v>89504.95232</v>
      </c>
      <c r="L149" s="93">
        <f>SUM(C149:K149)</f>
        <v/>
      </c>
      <c r="M149" s="111">
        <f>IF(B149="","",L149-B149)</f>
        <v/>
      </c>
    </row>
    <row r="150">
      <c r="A150" s="110" t="inlineStr">
        <is>
          <t>2026-03-08</t>
        </is>
      </c>
      <c r="B150" s="90" t="n">
        <v>880743817</v>
      </c>
      <c r="C150" s="91" t="n">
        <v>403465091.6206</v>
      </c>
      <c r="D150" s="91" t="n">
        <v>159543883.704897</v>
      </c>
      <c r="E150" s="91" t="n">
        <v>0</v>
      </c>
      <c r="F150" s="91" t="n">
        <v>147148948.07134</v>
      </c>
      <c r="G150" s="91" t="n">
        <v>128763336.727206</v>
      </c>
      <c r="H150" s="91" t="n">
        <v>5850424.89989</v>
      </c>
      <c r="I150" s="91" t="n">
        <v>20650382.068802</v>
      </c>
      <c r="J150" s="91" t="n">
        <v>29264504.22438</v>
      </c>
      <c r="K150" s="91" t="n">
        <v>10029.20256</v>
      </c>
      <c r="L150" s="93">
        <f>SUM(C150:K150)</f>
        <v/>
      </c>
      <c r="M150" s="111">
        <f>IF(B150="","",L150-B150)</f>
        <v/>
      </c>
    </row>
    <row r="151">
      <c r="A151" s="110" t="inlineStr">
        <is>
          <t>2026-03-09</t>
        </is>
      </c>
      <c r="B151" s="90" t="n">
        <v>4095930269</v>
      </c>
      <c r="C151" s="91" t="n">
        <v>1991603973.90356</v>
      </c>
      <c r="D151" s="91" t="n">
        <v>659206580.8561201</v>
      </c>
      <c r="E151" s="91" t="n">
        <v>0</v>
      </c>
      <c r="F151" s="91" t="n">
        <v>767113608.9886899</v>
      </c>
      <c r="G151" s="91" t="n">
        <v>399846268.897904</v>
      </c>
      <c r="H151" s="91" t="n">
        <v>32761605.83619</v>
      </c>
      <c r="I151" s="91" t="n">
        <v>51048701.35922001</v>
      </c>
      <c r="J151" s="91" t="n">
        <v>35276428.88995</v>
      </c>
      <c r="K151" s="91" t="n">
        <v>315301.781795</v>
      </c>
      <c r="L151" s="93">
        <f>SUM(C151:K151)</f>
        <v/>
      </c>
      <c r="M151" s="111">
        <f>IF(B151="","",L151-B151)</f>
        <v/>
      </c>
    </row>
    <row r="152">
      <c r="A152" s="110" t="inlineStr">
        <is>
          <t>2026-03-10</t>
        </is>
      </c>
      <c r="B152" s="90" t="n">
        <v>2701675592</v>
      </c>
      <c r="C152" s="91" t="n">
        <v>1392821256.93161</v>
      </c>
      <c r="D152" s="91" t="n">
        <v>376920064.534039</v>
      </c>
      <c r="E152" s="91" t="n">
        <v>0</v>
      </c>
      <c r="F152" s="91" t="n">
        <v>523892063.7505</v>
      </c>
      <c r="G152" s="91" t="n">
        <v>311977909.179027</v>
      </c>
      <c r="H152" s="91" t="n">
        <v>30570242.27208</v>
      </c>
      <c r="I152" s="91" t="n">
        <v>43639753.03436</v>
      </c>
      <c r="J152" s="91" t="n">
        <v>25860107.3096</v>
      </c>
      <c r="K152" s="91" t="n">
        <v>162997.19488</v>
      </c>
      <c r="L152" s="93">
        <f>SUM(C152:K152)</f>
        <v/>
      </c>
      <c r="M152" s="111">
        <f>IF(B152="","",L152-B152)</f>
        <v/>
      </c>
    </row>
    <row r="153">
      <c r="A153" s="110" t="inlineStr">
        <is>
          <t>2026-03-11</t>
        </is>
      </c>
      <c r="B153" s="90" t="n">
        <v>2294076704</v>
      </c>
      <c r="C153" s="91" t="n">
        <v>1321207677.14665</v>
      </c>
      <c r="D153" s="91" t="n">
        <v>356142757.7224911</v>
      </c>
      <c r="E153" s="91" t="n">
        <v>0</v>
      </c>
      <c r="F153" s="91" t="n">
        <v>351651161.59372</v>
      </c>
      <c r="G153" s="91" t="n">
        <v>257598461.4957539</v>
      </c>
      <c r="H153" s="91" t="n">
        <v>30814865.3392</v>
      </c>
      <c r="I153" s="91" t="n">
        <v>33261198.44803</v>
      </c>
      <c r="J153" s="91" t="n">
        <v>14893108.95464</v>
      </c>
      <c r="K153" s="91" t="n">
        <v>113175.864954</v>
      </c>
      <c r="L153" s="93">
        <f>SUM(C153:K153)</f>
        <v/>
      </c>
      <c r="M153" s="111">
        <f>IF(B153="","",L153-B153)</f>
        <v/>
      </c>
    </row>
    <row r="154">
      <c r="A154" s="110" t="inlineStr">
        <is>
          <t>2026-03-12</t>
        </is>
      </c>
      <c r="B154" s="90" t="n">
        <v>2717272316</v>
      </c>
      <c r="C154" s="91" t="n">
        <v>1553814399.38773</v>
      </c>
      <c r="D154" s="91" t="n">
        <v>414872521.7653419</v>
      </c>
      <c r="E154" s="91" t="n">
        <v>0</v>
      </c>
      <c r="F154" s="91" t="n">
        <v>407761279.90693</v>
      </c>
      <c r="G154" s="91" t="n">
        <v>279414702.056865</v>
      </c>
      <c r="H154" s="91" t="n">
        <v>26855578.18899</v>
      </c>
      <c r="I154" s="91" t="n">
        <v>29739647.775686</v>
      </c>
      <c r="J154" s="91" t="n">
        <v>29782652.1979</v>
      </c>
      <c r="K154" s="91" t="n">
        <v>279179.58384</v>
      </c>
      <c r="L154" s="93">
        <f>SUM(C154:K154)</f>
        <v/>
      </c>
      <c r="M154" s="111">
        <f>IF(B154="","",L154-B154)</f>
        <v/>
      </c>
    </row>
    <row r="155">
      <c r="A155" s="110" t="inlineStr">
        <is>
          <t>2026-03-13</t>
        </is>
      </c>
      <c r="B155" s="90" t="n">
        <v>2099264511</v>
      </c>
      <c r="C155" s="91" t="n">
        <v>923234893.5123051</v>
      </c>
      <c r="D155" s="91" t="n">
        <v>413626577.1332419</v>
      </c>
      <c r="E155" s="91" t="n">
        <v>0</v>
      </c>
      <c r="F155" s="91" t="n">
        <v>399962697.88217</v>
      </c>
      <c r="G155" s="91" t="n">
        <v>281339613.9505369</v>
      </c>
      <c r="H155" s="91" t="n">
        <v>18094173.35587</v>
      </c>
      <c r="I155" s="91" t="n">
        <v>38987513.307702</v>
      </c>
      <c r="J155" s="91" t="n">
        <v>19209573.87746</v>
      </c>
      <c r="K155" s="91" t="n">
        <v>357769.122795</v>
      </c>
      <c r="L155" s="93">
        <f>SUM(C155:K155)</f>
        <v/>
      </c>
      <c r="M155" s="111">
        <f>IF(B155="","",L155-B155)</f>
        <v/>
      </c>
    </row>
    <row r="156">
      <c r="A156" s="110" t="inlineStr">
        <is>
          <t>2026-03-14</t>
        </is>
      </c>
      <c r="B156" s="90" t="n">
        <v>639797548</v>
      </c>
      <c r="C156" s="91" t="n">
        <v>383876646.07622</v>
      </c>
      <c r="D156" s="91" t="n">
        <v>30867432.680774</v>
      </c>
      <c r="E156" s="91" t="n">
        <v>0</v>
      </c>
      <c r="F156" s="91" t="n">
        <v>142533378.30466</v>
      </c>
      <c r="G156" s="91" t="n">
        <v>50424497.18504599</v>
      </c>
      <c r="H156" s="91" t="n">
        <v>3511994.08888</v>
      </c>
      <c r="I156" s="91" t="n">
        <v>10769544.686174</v>
      </c>
      <c r="J156" s="91" t="n">
        <v>14716345.94184</v>
      </c>
      <c r="K156" s="91" t="n">
        <v>56645.118521</v>
      </c>
      <c r="L156" s="93">
        <f>SUM(C156:K156)</f>
        <v/>
      </c>
      <c r="M156" s="111">
        <f>IF(B156="","",L156-B156)</f>
        <v/>
      </c>
    </row>
    <row r="157">
      <c r="A157" s="110" t="inlineStr">
        <is>
          <t>2026-03-15</t>
        </is>
      </c>
      <c r="B157" s="90" t="n">
        <v>965658589</v>
      </c>
      <c r="C157" s="91" t="n">
        <v>518210369.359298</v>
      </c>
      <c r="D157" s="91" t="n">
        <v>109530551.845382</v>
      </c>
      <c r="E157" s="91" t="n">
        <v>0</v>
      </c>
      <c r="F157" s="91" t="n">
        <v>200519250.75121</v>
      </c>
      <c r="G157" s="91" t="n">
        <v>83216620.03027298</v>
      </c>
      <c r="H157" s="91" t="n">
        <v>3717041.06782</v>
      </c>
      <c r="I157" s="91" t="n">
        <v>19512894.202195</v>
      </c>
      <c r="J157" s="91" t="n">
        <v>19250311.308</v>
      </c>
      <c r="K157" s="91" t="n">
        <v>52989.16032</v>
      </c>
      <c r="L157" s="93">
        <f>SUM(C157:K157)</f>
        <v/>
      </c>
      <c r="M157" s="111">
        <f>IF(B157="","",L157-B157)</f>
        <v/>
      </c>
    </row>
    <row r="158">
      <c r="A158" s="110" t="inlineStr">
        <is>
          <t>2026-03-16</t>
        </is>
      </c>
      <c r="B158" s="90" t="n">
        <v>2053387348</v>
      </c>
      <c r="C158" s="91" t="n">
        <v>920782550.2909441</v>
      </c>
      <c r="D158" s="91" t="n">
        <v>434333977.324777</v>
      </c>
      <c r="E158" s="91" t="n">
        <v>0</v>
      </c>
      <c r="F158" s="91" t="n">
        <v>349561258.92015</v>
      </c>
      <c r="G158" s="91" t="n">
        <v>249377690.3389281</v>
      </c>
      <c r="H158" s="91" t="n">
        <v>20482325.84555</v>
      </c>
      <c r="I158" s="91" t="n">
        <v>61368340.53137001</v>
      </c>
      <c r="J158" s="91" t="n">
        <v>19733394.01642</v>
      </c>
      <c r="K158" s="91" t="n">
        <v>465322.4169760001</v>
      </c>
      <c r="L158" s="93">
        <f>SUM(C158:K158)</f>
        <v/>
      </c>
      <c r="M158" s="111">
        <f>IF(B158="","",L158-B158)</f>
        <v/>
      </c>
    </row>
    <row r="159">
      <c r="A159" s="110" t="inlineStr">
        <is>
          <t>2026-03-17</t>
        </is>
      </c>
      <c r="B159" s="90" t="n">
        <v>1419520859</v>
      </c>
      <c r="C159" s="91" t="n">
        <v>567833418.99393</v>
      </c>
      <c r="D159" s="91" t="n">
        <v>238557788.240769</v>
      </c>
      <c r="E159" s="91" t="n">
        <v>0</v>
      </c>
      <c r="F159" s="91" t="n">
        <v>328190492.56247</v>
      </c>
      <c r="G159" s="91" t="n">
        <v>204262483.425674</v>
      </c>
      <c r="H159" s="91" t="n">
        <v>23922231.41127</v>
      </c>
      <c r="I159" s="91" t="n">
        <v>36097480.92511</v>
      </c>
      <c r="J159" s="91" t="n">
        <v>19256248.7113</v>
      </c>
      <c r="K159" s="91" t="n">
        <v>1784270.253383</v>
      </c>
      <c r="L159" s="93">
        <f>SUM(C159:K159)</f>
        <v/>
      </c>
      <c r="M159" s="111">
        <f>IF(B159="","",L159-B159)</f>
        <v/>
      </c>
    </row>
    <row r="160">
      <c r="A160" s="110" t="inlineStr">
        <is>
          <t>2026-03-18</t>
        </is>
      </c>
      <c r="B160" s="90" t="n">
        <v>2455343214</v>
      </c>
      <c r="C160" s="91" t="n">
        <v>1193902070.66926</v>
      </c>
      <c r="D160" s="91" t="n">
        <v>476709681.5523291</v>
      </c>
      <c r="E160" s="91" t="n">
        <v>0</v>
      </c>
      <c r="F160" s="91" t="n">
        <v>452169759.77737</v>
      </c>
      <c r="G160" s="91" t="n">
        <v>252720308.923133</v>
      </c>
      <c r="H160" s="91" t="n">
        <v>26709904.99764</v>
      </c>
      <c r="I160" s="91" t="n">
        <v>41047387.152974</v>
      </c>
      <c r="J160" s="91" t="n">
        <v>20066138.8713</v>
      </c>
      <c r="K160" s="91" t="n">
        <v>334906.399999</v>
      </c>
      <c r="L160" s="93">
        <f>SUM(C160:K160)</f>
        <v/>
      </c>
      <c r="M160" s="111">
        <f>IF(B160="","",L160-B160)</f>
        <v/>
      </c>
    </row>
    <row r="161">
      <c r="A161" s="110" t="inlineStr">
        <is>
          <t>2026-03-19</t>
        </is>
      </c>
      <c r="B161" s="90" t="n">
        <v>3916618768</v>
      </c>
      <c r="C161" s="91" t="n">
        <v>1640055934.466122</v>
      </c>
      <c r="D161" s="91" t="n">
        <v>1292312531.107535</v>
      </c>
      <c r="E161" s="91" t="n">
        <v>0</v>
      </c>
      <c r="F161" s="91" t="n">
        <v>604598176.4418</v>
      </c>
      <c r="G161" s="91" t="n">
        <v>262865983.839387</v>
      </c>
      <c r="H161" s="91" t="n">
        <v>49441894.38303</v>
      </c>
      <c r="I161" s="91" t="n">
        <v>34172404.745098</v>
      </c>
      <c r="J161" s="91" t="n">
        <v>19678916.77037</v>
      </c>
      <c r="K161" s="91" t="n">
        <v>14002.049992</v>
      </c>
      <c r="L161" s="93">
        <f>SUM(C161:K161)</f>
        <v/>
      </c>
      <c r="M161" s="111">
        <f>IF(B161="","",L161-B161)</f>
        <v/>
      </c>
    </row>
    <row r="162">
      <c r="A162" s="110" t="inlineStr">
        <is>
          <t>2026-03-20</t>
        </is>
      </c>
      <c r="B162" s="90" t="n">
        <v>2327726300</v>
      </c>
      <c r="C162" s="91" t="n">
        <v>802669864.64632</v>
      </c>
      <c r="D162" s="91" t="n">
        <v>682452228.6018927</v>
      </c>
      <c r="E162" s="91" t="n">
        <v>0</v>
      </c>
      <c r="F162" s="91" t="n">
        <v>467898049.32631</v>
      </c>
      <c r="G162" s="91" t="n">
        <v>254563958.1796311</v>
      </c>
      <c r="H162" s="91" t="n">
        <v>49691861.23710999</v>
      </c>
      <c r="I162" s="91" t="n">
        <v>24895957.031561</v>
      </c>
      <c r="J162" s="91" t="n">
        <v>23021623.0394</v>
      </c>
      <c r="K162" s="91" t="n">
        <v>96974.84052299999</v>
      </c>
      <c r="L162" s="93">
        <f>SUM(C162:K162)</f>
        <v/>
      </c>
      <c r="M162" s="111">
        <f>IF(B162="","",L162-B162)</f>
        <v/>
      </c>
    </row>
    <row r="163">
      <c r="A163" s="110" t="inlineStr">
        <is>
          <t>2026-03-21</t>
        </is>
      </c>
      <c r="B163" s="90" t="n">
        <v>385886655</v>
      </c>
      <c r="C163" s="91" t="n">
        <v>156171352.402433</v>
      </c>
      <c r="D163" s="91" t="n">
        <v>88078423.20825998</v>
      </c>
      <c r="E163" s="91" t="n">
        <v>0</v>
      </c>
      <c r="F163" s="91" t="n">
        <v>67834715.21508999</v>
      </c>
      <c r="G163" s="91" t="n">
        <v>45654794.506244</v>
      </c>
      <c r="H163" s="91" t="n">
        <v>5139020.471299999</v>
      </c>
      <c r="I163" s="91" t="n">
        <v>9661962.280001998</v>
      </c>
      <c r="J163" s="91" t="n">
        <v>15815570.93915</v>
      </c>
      <c r="K163" s="91" t="n">
        <v>8649.629076000001</v>
      </c>
      <c r="L163" s="93">
        <f>SUM(C163:K163)</f>
        <v/>
      </c>
      <c r="M163" s="111">
        <f>IF(B163="","",L163-B163)</f>
        <v/>
      </c>
    </row>
    <row r="164">
      <c r="A164" s="110" t="inlineStr">
        <is>
          <t>2026-03-22</t>
        </is>
      </c>
      <c r="B164" s="90" t="n">
        <v>931981429</v>
      </c>
      <c r="C164" s="91" t="n">
        <v>429680752.2539151</v>
      </c>
      <c r="D164" s="91" t="n">
        <v>226354182.270638</v>
      </c>
      <c r="E164" s="91" t="n">
        <v>0</v>
      </c>
      <c r="F164" s="91" t="n">
        <v>150243741.91438</v>
      </c>
      <c r="G164" s="91" t="n">
        <v>79745656.034694</v>
      </c>
      <c r="H164" s="91" t="n">
        <v>5661681.566919999</v>
      </c>
      <c r="I164" s="91" t="n">
        <v>17738993.927528</v>
      </c>
      <c r="J164" s="91" t="n">
        <v>18969076.4752</v>
      </c>
      <c r="K164" s="91" t="n">
        <v>302038.51205</v>
      </c>
      <c r="L164" s="93">
        <f>SUM(C164:K164)</f>
        <v/>
      </c>
      <c r="M164" s="111">
        <f>IF(B164="","",L164-B164)</f>
        <v/>
      </c>
    </row>
    <row r="165">
      <c r="A165" s="110" t="inlineStr">
        <is>
          <t>2026-03-23</t>
        </is>
      </c>
      <c r="B165" s="90" t="n">
        <v>5939022744</v>
      </c>
      <c r="C165" s="91" t="n">
        <v>2190665372.92623</v>
      </c>
      <c r="D165" s="91" t="n">
        <v>2286748570.018644</v>
      </c>
      <c r="E165" s="91" t="n">
        <v>0</v>
      </c>
      <c r="F165" s="91" t="n">
        <v>895109127.19038</v>
      </c>
      <c r="G165" s="91" t="n">
        <v>456254702.5209129</v>
      </c>
      <c r="H165" s="91" t="n">
        <v>64738899.90423998</v>
      </c>
      <c r="I165" s="91" t="n">
        <v>36425326.07283</v>
      </c>
      <c r="J165" s="91" t="n">
        <v>21361288.7627</v>
      </c>
      <c r="K165" s="91" t="n">
        <v>871314.2124059999</v>
      </c>
      <c r="L165" s="93">
        <f>SUM(C165:K165)</f>
        <v/>
      </c>
      <c r="M165" s="111">
        <f>IF(B165="","",L165-B165)</f>
        <v/>
      </c>
    </row>
    <row r="166">
      <c r="A166" s="110" t="inlineStr">
        <is>
          <t>2026-03-24</t>
        </is>
      </c>
      <c r="B166" s="90" t="n">
        <v>3469124699</v>
      </c>
      <c r="C166" s="91" t="n">
        <v>1360186554.09774</v>
      </c>
      <c r="D166" s="91" t="n">
        <v>1008899843.846189</v>
      </c>
      <c r="E166" s="91" t="n">
        <v>0</v>
      </c>
      <c r="F166" s="91" t="n">
        <v>697543297.26638</v>
      </c>
      <c r="G166" s="91" t="n">
        <v>279175970.4950649</v>
      </c>
      <c r="H166" s="91" t="n">
        <v>98094250.12783998</v>
      </c>
      <c r="I166" s="91" t="n">
        <v>23810948.26021999</v>
      </c>
      <c r="J166" s="91" t="n">
        <v>21488963.13519</v>
      </c>
      <c r="K166" s="91" t="n">
        <v>893905.972064</v>
      </c>
      <c r="L166" s="93">
        <f>SUM(C166:K166)</f>
        <v/>
      </c>
      <c r="M166" s="111">
        <f>IF(B166="","",L166-B166)</f>
        <v/>
      </c>
    </row>
    <row r="167">
      <c r="A167" s="110" t="inlineStr">
        <is>
          <t>2026-03-25</t>
        </is>
      </c>
      <c r="B167" s="90" t="n">
        <v>2544010665</v>
      </c>
      <c r="C167" s="91" t="n">
        <v>1004235948.510292</v>
      </c>
      <c r="D167" s="91" t="n">
        <v>660898559.4941829</v>
      </c>
      <c r="E167" s="91" t="n">
        <v>0</v>
      </c>
      <c r="F167" s="91" t="n">
        <v>478133814.00596</v>
      </c>
      <c r="G167" s="91" t="n">
        <v>280551322.137227</v>
      </c>
      <c r="H167" s="91" t="n">
        <v>75732481.58096001</v>
      </c>
      <c r="I167" s="91" t="n">
        <v>23644858.15557</v>
      </c>
      <c r="J167" s="91" t="n">
        <v>23624792.63754001</v>
      </c>
      <c r="K167" s="91" t="n">
        <v>99766.13722600002</v>
      </c>
      <c r="L167" s="93">
        <f>SUM(C167:K167)</f>
        <v/>
      </c>
      <c r="M167" s="111">
        <f>IF(B167="","",L167-B167)</f>
        <v/>
      </c>
    </row>
    <row r="168">
      <c r="A168" s="110" t="inlineStr">
        <is>
          <t>2026-03-26</t>
        </is>
      </c>
      <c r="B168" s="90" t="n">
        <v>2413494093</v>
      </c>
      <c r="C168" s="91" t="n">
        <v>822962303.793348</v>
      </c>
      <c r="D168" s="91" t="n">
        <v>764146985.2786809</v>
      </c>
      <c r="E168" s="91" t="n">
        <v>0</v>
      </c>
      <c r="F168" s="91" t="n">
        <v>469629088.38721</v>
      </c>
      <c r="G168" s="91" t="n">
        <v>259462620.4685239</v>
      </c>
      <c r="H168" s="91" t="n">
        <v>41260528.95615999</v>
      </c>
      <c r="I168" s="91" t="n">
        <v>20781182.750652</v>
      </c>
      <c r="J168" s="91" t="n">
        <v>27256328.48832</v>
      </c>
      <c r="K168" s="91" t="n">
        <v>28739.203805</v>
      </c>
      <c r="L168" s="93">
        <f>SUM(C168:K168)</f>
        <v/>
      </c>
      <c r="M168" s="111">
        <f>IF(B168="","",L168-B168)</f>
        <v/>
      </c>
    </row>
    <row r="169">
      <c r="A169" s="110" t="inlineStr">
        <is>
          <t>2026-03-27</t>
        </is>
      </c>
      <c r="B169" s="90" t="n">
        <v>2331741264</v>
      </c>
      <c r="C169" s="91" t="n">
        <v>813828706.2124</v>
      </c>
      <c r="D169" s="91" t="n">
        <v>619499206.0105091</v>
      </c>
      <c r="E169" s="91" t="n">
        <v>0</v>
      </c>
      <c r="F169" s="91" t="n">
        <v>484574943.71942</v>
      </c>
      <c r="G169" s="91" t="n">
        <v>341039866.0231951</v>
      </c>
      <c r="H169" s="91" t="n">
        <v>40786123.27594</v>
      </c>
      <c r="I169" s="91" t="n">
        <v>22347985.51632299</v>
      </c>
      <c r="J169" s="91" t="n">
        <v>30314476.95824</v>
      </c>
      <c r="K169" s="91" t="n">
        <v>24803.928072</v>
      </c>
      <c r="L169" s="93">
        <f>SUM(C169:K169)</f>
        <v/>
      </c>
      <c r="M169" s="111">
        <f>IF(B169="","",L169-B169)</f>
        <v/>
      </c>
    </row>
    <row r="170">
      <c r="A170" s="110" t="inlineStr">
        <is>
          <t>2026-03-28</t>
        </is>
      </c>
      <c r="B170" s="90" t="n">
        <v>386148347</v>
      </c>
      <c r="C170" s="91" t="n">
        <v>203718316.68904</v>
      </c>
      <c r="D170" s="91" t="n">
        <v>18415878.520338</v>
      </c>
      <c r="E170" s="91" t="n">
        <v>0</v>
      </c>
      <c r="F170" s="91" t="n">
        <v>73258201.12204999</v>
      </c>
      <c r="G170" s="91" t="n">
        <v>54587143.833604</v>
      </c>
      <c r="H170" s="91" t="n">
        <v>3277745.324444</v>
      </c>
      <c r="I170" s="91" t="n">
        <v>10961981.001038</v>
      </c>
      <c r="J170" s="91" t="n">
        <v>24001750.43098</v>
      </c>
      <c r="K170" s="91" t="n">
        <v>7779.55554</v>
      </c>
      <c r="L170" s="93">
        <f>SUM(C170:K170)</f>
        <v/>
      </c>
      <c r="M170" s="111">
        <f>IF(B170="","",L170-B170)</f>
        <v/>
      </c>
    </row>
    <row r="171">
      <c r="A171" s="110" t="inlineStr">
        <is>
          <t>2026-03-29</t>
        </is>
      </c>
      <c r="B171" s="90" t="n">
        <v>644708859</v>
      </c>
      <c r="C171" s="91" t="n">
        <v>319921293.83605</v>
      </c>
      <c r="D171" s="91" t="n">
        <v>105450603.257135</v>
      </c>
      <c r="E171" s="91" t="n">
        <v>0</v>
      </c>
      <c r="F171" s="91" t="n">
        <v>131667080.99442</v>
      </c>
      <c r="G171" s="91" t="n">
        <v>43733163.734457</v>
      </c>
      <c r="H171" s="91" t="n">
        <v>3092805.89061</v>
      </c>
      <c r="I171" s="91" t="n">
        <v>13608083.430236</v>
      </c>
      <c r="J171" s="91" t="n">
        <v>26989460.38843</v>
      </c>
      <c r="K171" s="91" t="n">
        <v>10906.030713</v>
      </c>
      <c r="L171" s="93">
        <f>SUM(C171:K171)</f>
        <v/>
      </c>
      <c r="M171" s="111">
        <f>IF(B171="","",L171-B171)</f>
        <v/>
      </c>
    </row>
    <row r="172">
      <c r="A172" s="110" t="inlineStr">
        <is>
          <t>2026-03-30</t>
        </is>
      </c>
      <c r="B172" s="90" t="n">
        <v>2297079678</v>
      </c>
      <c r="C172" s="91" t="n">
        <v>975722255.9293401</v>
      </c>
      <c r="D172" s="91" t="n">
        <v>434401837.9202491</v>
      </c>
      <c r="E172" s="91" t="n">
        <v>0</v>
      </c>
      <c r="F172" s="91" t="n">
        <v>506823375.7425</v>
      </c>
      <c r="G172" s="91" t="n">
        <v>304622346.002558</v>
      </c>
      <c r="H172" s="91" t="n">
        <v>31653582.295506</v>
      </c>
      <c r="I172" s="91" t="n">
        <v>22317136.561026</v>
      </c>
      <c r="J172" s="91" t="n">
        <v>28914933.0971</v>
      </c>
      <c r="K172" s="91" t="n">
        <v>927476.9136639999</v>
      </c>
      <c r="L172" s="93">
        <f>SUM(C172:K172)</f>
        <v/>
      </c>
      <c r="M172" s="111">
        <f>IF(B172="","",L172-B172)</f>
        <v/>
      </c>
    </row>
    <row r="173">
      <c r="A173" s="110" t="inlineStr">
        <is>
          <t>2026-03-31</t>
        </is>
      </c>
      <c r="B173" s="90" t="n">
        <v>3631296644</v>
      </c>
      <c r="C173" s="91" t="n">
        <v>1529736700.098666</v>
      </c>
      <c r="D173" s="91" t="n">
        <v>559310524.8254881</v>
      </c>
      <c r="E173" s="91" t="n">
        <v>0</v>
      </c>
      <c r="F173" s="91" t="n">
        <v>1064602872.57398</v>
      </c>
      <c r="G173" s="91" t="n">
        <v>413877870.2693191</v>
      </c>
      <c r="H173" s="91" t="n">
        <v>35498651.50497</v>
      </c>
      <c r="I173" s="91" t="n">
        <v>30050367.753518</v>
      </c>
      <c r="J173" s="91" t="n">
        <v>22829420.12752</v>
      </c>
      <c r="K173" s="91" t="n">
        <v>593601.043344</v>
      </c>
      <c r="L173" s="93">
        <f>SUM(C173:K173)</f>
        <v/>
      </c>
      <c r="M173" s="111">
        <f>IF(B173="","",L173-B173)</f>
        <v/>
      </c>
    </row>
    <row r="174">
      <c r="A174" s="110" t="inlineStr">
        <is>
          <t>2026-04-01</t>
        </is>
      </c>
      <c r="B174" s="90" t="n">
        <v>3215167235</v>
      </c>
      <c r="C174" s="91" t="n">
        <v>1578194877.368435</v>
      </c>
      <c r="D174" s="91" t="n">
        <v>455594695.540812</v>
      </c>
      <c r="E174" s="91" t="n">
        <v>0</v>
      </c>
      <c r="F174" s="91" t="n">
        <v>776112019.7954001</v>
      </c>
      <c r="G174" s="91" t="n">
        <v>314229650.9554421</v>
      </c>
      <c r="H174" s="91" t="n">
        <v>40904901.54499</v>
      </c>
      <c r="I174" s="91" t="n">
        <v>15297980.194591</v>
      </c>
      <c r="J174" s="91" t="n">
        <v>25809570.74985</v>
      </c>
      <c r="K174" s="91" t="n">
        <v>1088830.161432</v>
      </c>
      <c r="L174" s="93">
        <f>SUM(C174:K174)</f>
        <v/>
      </c>
      <c r="M174" s="111">
        <f>IF(B174="","",L174-B174)</f>
        <v/>
      </c>
    </row>
    <row r="175">
      <c r="A175" s="110" t="inlineStr">
        <is>
          <t>2026-04-02</t>
        </is>
      </c>
      <c r="B175" s="90" t="n">
        <v>4284546572</v>
      </c>
      <c r="C175" s="91" t="n">
        <v>2134234672.26172</v>
      </c>
      <c r="D175" s="91" t="n">
        <v>673410322.6729391</v>
      </c>
      <c r="E175" s="91" t="n">
        <v>0</v>
      </c>
      <c r="F175" s="91" t="n">
        <v>1067906879.74338</v>
      </c>
      <c r="G175" s="91" t="n">
        <v>396739241.0149482</v>
      </c>
      <c r="H175" s="91" t="n">
        <v>41356205.36664</v>
      </c>
      <c r="I175" s="91" t="n">
        <v>21368477.7827</v>
      </c>
      <c r="J175" s="91" t="n">
        <v>25586891.53005</v>
      </c>
      <c r="K175" s="91" t="n">
        <v>261899.508441</v>
      </c>
      <c r="L175" s="93">
        <f>SUM(C175:K175)</f>
        <v/>
      </c>
      <c r="M175" s="111">
        <f>IF(B175="","",L175-B175)</f>
        <v/>
      </c>
    </row>
    <row r="176">
      <c r="A176" s="110" t="inlineStr">
        <is>
          <t>2026-04-03</t>
        </is>
      </c>
      <c r="B176" s="90" t="n">
        <v>475921997</v>
      </c>
      <c r="C176" s="91" t="n">
        <v>223777345.810621</v>
      </c>
      <c r="D176" s="91" t="n">
        <v>31403855.271222</v>
      </c>
      <c r="E176" s="91" t="n">
        <v>0</v>
      </c>
      <c r="F176" s="91" t="n">
        <v>151030955.87592</v>
      </c>
      <c r="G176" s="91" t="n">
        <v>46544854.924255</v>
      </c>
      <c r="H176" s="91" t="n">
        <v>4289068.004050001</v>
      </c>
      <c r="I176" s="91" t="n">
        <v>9498302.920792</v>
      </c>
      <c r="J176" s="91" t="n">
        <v>9520920.60942</v>
      </c>
      <c r="K176" s="91" t="n">
        <v>53026.141554</v>
      </c>
      <c r="L176" s="93">
        <f>SUM(C176:K176)</f>
        <v/>
      </c>
      <c r="M176" s="111">
        <f>IF(B176="","",L176-B176)</f>
        <v/>
      </c>
    </row>
    <row r="177">
      <c r="A177" s="110" t="inlineStr">
        <is>
          <t>2026-04-04</t>
        </is>
      </c>
      <c r="B177" s="90" t="n">
        <v>213968572</v>
      </c>
      <c r="C177" s="91" t="n">
        <v>109333850.719058</v>
      </c>
      <c r="D177" s="91" t="n">
        <v>13872383.032516</v>
      </c>
      <c r="E177" s="91" t="n">
        <v>0</v>
      </c>
      <c r="F177" s="91" t="n">
        <v>52975094.60027999</v>
      </c>
      <c r="G177" s="91" t="n">
        <v>22435011.62108899</v>
      </c>
      <c r="H177" s="91" t="n">
        <v>1222497.16587</v>
      </c>
      <c r="I177" s="91" t="n">
        <v>5792617.850449</v>
      </c>
      <c r="J177" s="91" t="n">
        <v>8630953.997640001</v>
      </c>
      <c r="K177" s="91" t="n">
        <v>524.282466</v>
      </c>
      <c r="L177" s="93">
        <f>SUM(C177:K177)</f>
        <v/>
      </c>
      <c r="M177" s="111">
        <f>IF(B177="","",L177-B177)</f>
        <v/>
      </c>
    </row>
    <row r="178">
      <c r="A178" s="110" t="inlineStr">
        <is>
          <t>2026-04-05</t>
        </is>
      </c>
      <c r="B178" s="90" t="n">
        <v>760846881</v>
      </c>
      <c r="C178" s="91" t="n">
        <v>408967942.57809</v>
      </c>
      <c r="D178" s="91" t="n">
        <v>136421585.528293</v>
      </c>
      <c r="E178" s="91" t="n">
        <v>0</v>
      </c>
      <c r="F178" s="91" t="n">
        <v>142026995.27814</v>
      </c>
      <c r="G178" s="91" t="n">
        <v>53842760.316221</v>
      </c>
      <c r="H178" s="91" t="n">
        <v>4750273.47323</v>
      </c>
      <c r="I178" s="91" t="n">
        <v>11029550.224106</v>
      </c>
      <c r="J178" s="91" t="n">
        <v>5655515.62153</v>
      </c>
      <c r="K178" s="91" t="n">
        <v>13346.1816</v>
      </c>
      <c r="L178" s="93">
        <f>SUM(C178:K178)</f>
        <v/>
      </c>
      <c r="M178" s="111">
        <f>IF(B178="","",L178-B178)</f>
        <v/>
      </c>
    </row>
    <row r="179">
      <c r="A179" s="110" t="inlineStr">
        <is>
          <t>2026-04-06</t>
        </is>
      </c>
      <c r="B179" s="90" t="n">
        <v>2682336979</v>
      </c>
      <c r="C179" s="91" t="n">
        <v>1430814307.853448</v>
      </c>
      <c r="D179" s="91" t="n">
        <v>370455481.598487</v>
      </c>
      <c r="E179" s="91" t="n">
        <v>0</v>
      </c>
      <c r="F179" s="91" t="n">
        <v>593698051.9496998</v>
      </c>
      <c r="G179" s="91" t="n">
        <v>244084873.6725059</v>
      </c>
      <c r="H179" s="91" t="n">
        <v>30534362.6754</v>
      </c>
      <c r="I179" s="91" t="n">
        <v>16826288.921797</v>
      </c>
      <c r="J179" s="91" t="n">
        <v>19577010.55225</v>
      </c>
      <c r="K179" s="91" t="n">
        <v>36695.25518</v>
      </c>
      <c r="L179" s="93">
        <f>SUM(C179:K179)</f>
        <v/>
      </c>
      <c r="M179" s="111">
        <f>IF(B179="","",L179-B179)</f>
        <v/>
      </c>
    </row>
    <row r="180">
      <c r="A180" s="110" t="inlineStr">
        <is>
          <t>2026-04-07</t>
        </is>
      </c>
      <c r="B180" s="90" t="n">
        <v>5528092258</v>
      </c>
      <c r="C180" s="91" t="n">
        <v>3004097516.48213</v>
      </c>
      <c r="D180" s="91" t="n">
        <v>648189335.965898</v>
      </c>
      <c r="E180" s="91" t="n">
        <v>59945.1615</v>
      </c>
      <c r="F180" s="91" t="n">
        <v>1166698857.82859</v>
      </c>
      <c r="G180" s="91" t="n">
        <v>382022116.5835579</v>
      </c>
      <c r="H180" s="91" t="n">
        <v>36651003.51808999</v>
      </c>
      <c r="I180" s="91" t="n">
        <v>25024588.562982</v>
      </c>
      <c r="J180" s="91" t="n">
        <v>16594731.11075</v>
      </c>
      <c r="K180" s="91" t="n">
        <v>14529.710285</v>
      </c>
      <c r="L180" s="93">
        <f>SUM(C180:K180)</f>
        <v/>
      </c>
      <c r="M180" s="111">
        <f>IF(B180="","",L180-B180)</f>
        <v/>
      </c>
    </row>
    <row r="181">
      <c r="A181" s="110" t="inlineStr">
        <is>
          <t>2026-04-08</t>
        </is>
      </c>
      <c r="B181" s="90" t="n">
        <v>4699564622</v>
      </c>
      <c r="C181" s="91" t="n">
        <v>3017171195.21212</v>
      </c>
      <c r="D181" s="91" t="n">
        <v>392830943.204925</v>
      </c>
      <c r="E181" s="91" t="n">
        <v>649442.64252</v>
      </c>
      <c r="F181" s="91" t="n">
        <v>848133019.3737501</v>
      </c>
      <c r="G181" s="91" t="n">
        <v>407624520.9655548</v>
      </c>
      <c r="H181" s="91" t="n">
        <v>32654761.46673499</v>
      </c>
      <c r="I181" s="91" t="n">
        <v>19346500.19831</v>
      </c>
      <c r="J181" s="91" t="n">
        <v>12253897.56008</v>
      </c>
      <c r="K181" s="91" t="n">
        <v>29360.865317</v>
      </c>
      <c r="L181" s="93">
        <f>SUM(C181:K181)</f>
        <v/>
      </c>
      <c r="M181" s="111">
        <f>IF(B181="","",L181-B181)</f>
        <v/>
      </c>
    </row>
    <row r="182">
      <c r="A182" s="110" t="inlineStr">
        <is>
          <t>2026-04-09</t>
        </is>
      </c>
      <c r="B182" s="90" t="n">
        <v>3302527668</v>
      </c>
      <c r="C182" s="91" t="n">
        <v>2025595849.2792</v>
      </c>
      <c r="D182" s="91" t="n">
        <v>276909811.28939</v>
      </c>
      <c r="E182" s="91" t="n">
        <v>4933601.196</v>
      </c>
      <c r="F182" s="91" t="n">
        <v>618015102.6940701</v>
      </c>
      <c r="G182" s="91" t="n">
        <v>292184378.61041</v>
      </c>
      <c r="H182" s="91" t="n">
        <v>49663980.73063299</v>
      </c>
      <c r="I182" s="91" t="n">
        <v>20008018.20684</v>
      </c>
      <c r="J182" s="91" t="n">
        <v>3140678.96224</v>
      </c>
      <c r="K182" s="91" t="n">
        <v>3951.071231</v>
      </c>
      <c r="L182" s="93">
        <f>SUM(C182:K182)</f>
        <v/>
      </c>
      <c r="M182" s="111">
        <f>IF(B182="","",L182-B182)</f>
        <v/>
      </c>
    </row>
    <row r="183">
      <c r="A183" s="110" t="inlineStr">
        <is>
          <t>2026-04-10</t>
        </is>
      </c>
      <c r="B183" s="90" t="n">
        <v>2007679018</v>
      </c>
      <c r="C183" s="91" t="n">
        <v>1003045753.67532</v>
      </c>
      <c r="D183" s="91" t="n">
        <v>207707527.810218</v>
      </c>
      <c r="E183" s="91" t="n">
        <v>1435343.53452</v>
      </c>
      <c r="F183" s="91" t="n">
        <v>436739980.5797999</v>
      </c>
      <c r="G183" s="91" t="n">
        <v>272910020.939887</v>
      </c>
      <c r="H183" s="91" t="n">
        <v>44168781.093326</v>
      </c>
      <c r="I183" s="91" t="n">
        <v>18805726.408746</v>
      </c>
      <c r="J183" s="91" t="n">
        <v>3426202.2783</v>
      </c>
      <c r="K183" s="91" t="n">
        <v>362979.69</v>
      </c>
      <c r="L183" s="93">
        <f>SUM(C183:K183)</f>
        <v/>
      </c>
      <c r="M183" s="111">
        <f>IF(B183="","",L183-B183)</f>
        <v/>
      </c>
    </row>
    <row r="184">
      <c r="A184" s="110" t="inlineStr">
        <is>
          <t>2026-04-11</t>
        </is>
      </c>
      <c r="B184" s="90" t="n">
        <v>545436419</v>
      </c>
      <c r="C184" s="91" t="n">
        <v>339139120.838564</v>
      </c>
      <c r="D184" s="91" t="n">
        <v>13798976.433339</v>
      </c>
      <c r="E184" s="91" t="n">
        <v>6653.447590000001</v>
      </c>
      <c r="F184" s="91" t="n">
        <v>104759114.25993</v>
      </c>
      <c r="G184" s="91" t="n">
        <v>63840061.951846</v>
      </c>
      <c r="H184" s="91" t="n">
        <v>4930817.312404</v>
      </c>
      <c r="I184" s="91" t="n">
        <v>8755909.847647</v>
      </c>
      <c r="J184" s="91" t="n">
        <v>9898133.29408</v>
      </c>
      <c r="K184" s="91" t="n">
        <v>79759.722287</v>
      </c>
      <c r="L184" s="93">
        <f>SUM(C184:K184)</f>
        <v/>
      </c>
      <c r="M184" s="111">
        <f>IF(B184="","",L184-B184)</f>
        <v/>
      </c>
    </row>
    <row r="185">
      <c r="A185" s="110" t="inlineStr">
        <is>
          <t>2026-04-12</t>
        </is>
      </c>
      <c r="B185" s="90" t="n">
        <v>1980231785</v>
      </c>
      <c r="C185" s="91" t="n">
        <v>1325419678.214855</v>
      </c>
      <c r="D185" s="91" t="n">
        <v>132662243.318735</v>
      </c>
      <c r="E185" s="91" t="n">
        <v>8206.153330000001</v>
      </c>
      <c r="F185" s="91" t="n">
        <v>387796520.47692</v>
      </c>
      <c r="G185" s="91" t="n">
        <v>130996590.977016</v>
      </c>
      <c r="H185" s="91" t="n">
        <v>11219578.037256</v>
      </c>
      <c r="I185" s="91" t="n">
        <v>12461250.830444</v>
      </c>
      <c r="J185" s="91" t="n">
        <v>14481785.78103</v>
      </c>
      <c r="K185" s="91" t="n">
        <v>241.6204</v>
      </c>
      <c r="L185" s="93">
        <f>SUM(C185:K185)</f>
        <v/>
      </c>
      <c r="M185" s="111">
        <f>IF(B185="","",L185-B185)</f>
        <v/>
      </c>
    </row>
    <row r="186">
      <c r="A186" s="110" t="inlineStr">
        <is>
          <t>2026-04-13</t>
        </is>
      </c>
      <c r="B186" s="90" t="n">
        <v>2678545110</v>
      </c>
      <c r="C186" s="91" t="n">
        <v>1450301503.436418</v>
      </c>
      <c r="D186" s="91" t="n">
        <v>238819834.909665</v>
      </c>
      <c r="E186" s="91" t="n">
        <v>1480368.0442</v>
      </c>
      <c r="F186" s="91" t="n">
        <v>652342213.55042</v>
      </c>
      <c r="G186" s="91" t="n">
        <v>238897361.0102699</v>
      </c>
      <c r="H186" s="91" t="n">
        <v>29532260.93454999</v>
      </c>
      <c r="I186" s="91" t="n">
        <v>17073155.712823</v>
      </c>
      <c r="J186" s="91" t="n">
        <v>12957374.96906</v>
      </c>
      <c r="K186" s="91" t="n">
        <v>1333.806496</v>
      </c>
      <c r="L186" s="93">
        <f>SUM(C186:K186)</f>
        <v/>
      </c>
      <c r="M186" s="111">
        <f>IF(B186="","",L186-B186)</f>
        <v/>
      </c>
    </row>
    <row r="187">
      <c r="A187" s="110" t="inlineStr">
        <is>
          <t>2026-04-14</t>
        </is>
      </c>
      <c r="B187" s="90" t="n">
        <v>2231679330</v>
      </c>
      <c r="C187" s="91" t="n">
        <v>1198654407.373284</v>
      </c>
      <c r="D187" s="91" t="n">
        <v>213999207.082733</v>
      </c>
      <c r="E187" s="91" t="n">
        <v>325612.4331799999</v>
      </c>
      <c r="F187" s="91" t="n">
        <v>491885977.79162</v>
      </c>
      <c r="G187" s="91" t="n">
        <v>241241992.2042679</v>
      </c>
      <c r="H187" s="91" t="n">
        <v>44290755.75047</v>
      </c>
      <c r="I187" s="91" t="n">
        <v>15773717.76486</v>
      </c>
      <c r="J187" s="91" t="n">
        <v>6693525.11314</v>
      </c>
      <c r="K187" s="91" t="n">
        <v>106159.43283</v>
      </c>
      <c r="L187" s="93">
        <f>SUM(C187:K187)</f>
        <v/>
      </c>
      <c r="M187" s="111">
        <f>IF(B187="","",L187-B187)</f>
        <v/>
      </c>
    </row>
    <row r="188">
      <c r="A188" s="110" t="inlineStr">
        <is>
          <t>2026-04-15</t>
        </is>
      </c>
      <c r="B188" s="90" t="n">
        <v>2053939952</v>
      </c>
      <c r="C188" s="91" t="n">
        <v>853233821.6016039</v>
      </c>
      <c r="D188" s="91" t="n">
        <v>295347753.2061681</v>
      </c>
      <c r="E188" s="91" t="n">
        <v>82788.80724000001</v>
      </c>
      <c r="F188" s="91" t="n">
        <v>629826311.2601601</v>
      </c>
      <c r="G188" s="91" t="n">
        <v>228731006.267293</v>
      </c>
      <c r="H188" s="91" t="n">
        <v>30168306.4227</v>
      </c>
      <c r="I188" s="91" t="n">
        <v>9465271.984257998</v>
      </c>
      <c r="J188" s="91" t="n">
        <v>8504455.542799998</v>
      </c>
      <c r="K188" s="91" t="n">
        <v>4479.689568</v>
      </c>
      <c r="L188" s="93">
        <f>SUM(C188:K188)</f>
        <v/>
      </c>
      <c r="M188" s="111">
        <f>IF(B188="","",L188-B188)</f>
        <v/>
      </c>
    </row>
    <row r="189">
      <c r="A189" s="110" t="inlineStr">
        <is>
          <t>2026-04-16</t>
        </is>
      </c>
      <c r="B189" s="90" t="n">
        <v>1795518681</v>
      </c>
      <c r="C189" s="91" t="n">
        <v>715453112.946714</v>
      </c>
      <c r="D189" s="91" t="n">
        <v>196381538.71428</v>
      </c>
      <c r="E189" s="91" t="n">
        <v>909449.22609</v>
      </c>
      <c r="F189" s="91" t="n">
        <v>609401830.53859</v>
      </c>
      <c r="G189" s="91" t="n">
        <v>231498517.482274</v>
      </c>
      <c r="H189" s="91" t="n">
        <v>22667793.5298</v>
      </c>
      <c r="I189" s="91" t="n">
        <v>17845852.45064</v>
      </c>
      <c r="J189" s="91" t="n">
        <v>3821502.57738</v>
      </c>
      <c r="K189" s="91" t="n">
        <v>895.5254790000001</v>
      </c>
      <c r="L189" s="93">
        <f>SUM(C189:K189)</f>
        <v/>
      </c>
      <c r="M189" s="111">
        <f>IF(B189="","",L189-B189)</f>
        <v/>
      </c>
    </row>
    <row r="190">
      <c r="A190" s="110" t="inlineStr">
        <is>
          <t>2026-04-17</t>
        </is>
      </c>
      <c r="B190" s="90" t="n">
        <v>2653685902</v>
      </c>
      <c r="C190" s="91" t="n">
        <v>1465510307.113624</v>
      </c>
      <c r="D190" s="91" t="n">
        <v>268239757.771812</v>
      </c>
      <c r="E190" s="91" t="n">
        <v>319145.319</v>
      </c>
      <c r="F190" s="91" t="n">
        <v>636951567.3154098</v>
      </c>
      <c r="G190" s="91" t="n">
        <v>221106401.9443351</v>
      </c>
      <c r="H190" s="91" t="n">
        <v>32529556.3473</v>
      </c>
      <c r="I190" s="91" t="n">
        <v>30379903.16365</v>
      </c>
      <c r="J190" s="91" t="n">
        <v>9226678.62802</v>
      </c>
      <c r="K190" s="91" t="n">
        <v>4906.293076999999</v>
      </c>
      <c r="L190" s="93">
        <f>SUM(C190:K190)</f>
        <v/>
      </c>
      <c r="M190" s="111">
        <f>IF(B190="","",L190-B190)</f>
        <v/>
      </c>
    </row>
    <row r="191">
      <c r="A191" s="110" t="inlineStr">
        <is>
          <t>2026-04-18</t>
        </is>
      </c>
      <c r="B191" s="90" t="n">
        <v>706595265</v>
      </c>
      <c r="C191" s="91" t="n">
        <v>433700815.71041</v>
      </c>
      <c r="D191" s="91" t="n">
        <v>36850784.619066</v>
      </c>
      <c r="E191" s="91" t="n">
        <v>8359.444640000002</v>
      </c>
      <c r="F191" s="91" t="n">
        <v>127503398.83349</v>
      </c>
      <c r="G191" s="91" t="n">
        <v>79978482.48267402</v>
      </c>
      <c r="H191" s="91" t="n">
        <v>5647620.60267</v>
      </c>
      <c r="I191" s="91" t="n">
        <v>9321438.473579003</v>
      </c>
      <c r="J191" s="91" t="n">
        <v>12889262.5584</v>
      </c>
      <c r="K191" s="91" t="n">
        <v>6763.932</v>
      </c>
      <c r="L191" s="93">
        <f>SUM(C191:K191)</f>
        <v/>
      </c>
      <c r="M191" s="111">
        <f>IF(B191="","",L191-B191)</f>
        <v/>
      </c>
    </row>
    <row r="192">
      <c r="A192" s="110" t="inlineStr">
        <is>
          <t>2026-04-19</t>
        </is>
      </c>
      <c r="B192" s="90" t="n">
        <v>1108742979</v>
      </c>
      <c r="C192" s="91" t="n">
        <v>712394751.8893049</v>
      </c>
      <c r="D192" s="91" t="n">
        <v>106112538.308956</v>
      </c>
      <c r="E192" s="91" t="n">
        <v>25985.49921</v>
      </c>
      <c r="F192" s="91" t="n">
        <v>176698472.44764</v>
      </c>
      <c r="G192" s="91" t="n">
        <v>84476107.92878805</v>
      </c>
      <c r="H192" s="91" t="n">
        <v>9535413.557999998</v>
      </c>
      <c r="I192" s="91" t="n">
        <v>11632787.704198</v>
      </c>
      <c r="J192" s="91" t="n">
        <v>14417025.69024</v>
      </c>
      <c r="K192" s="91" t="n">
        <v>4183.653726</v>
      </c>
      <c r="L192" s="93">
        <f>SUM(C192:K192)</f>
        <v/>
      </c>
      <c r="M192" s="111">
        <f>IF(B192="","",L192-B192)</f>
        <v/>
      </c>
    </row>
    <row r="193">
      <c r="A193" s="110" t="inlineStr">
        <is>
          <t>2026-04-20</t>
        </is>
      </c>
      <c r="B193" s="90" t="n">
        <v>2138804366</v>
      </c>
      <c r="C193" s="91" t="n">
        <v>1082950916.383103</v>
      </c>
      <c r="D193" s="91" t="n">
        <v>231420044.640306</v>
      </c>
      <c r="E193" s="91" t="n">
        <v>89334.82004999999</v>
      </c>
      <c r="F193" s="91" t="n">
        <v>524247979.3664501</v>
      </c>
      <c r="G193" s="91" t="n">
        <v>241002567.85526</v>
      </c>
      <c r="H193" s="91" t="n">
        <v>23535550.92693</v>
      </c>
      <c r="I193" s="91" t="n">
        <v>24701396.79790299</v>
      </c>
      <c r="J193" s="91" t="n">
        <v>6011761.81289</v>
      </c>
      <c r="K193" s="91" t="n">
        <v>98.20039</v>
      </c>
      <c r="L193" s="93">
        <f>SUM(C193:K193)</f>
        <v/>
      </c>
      <c r="M193" s="111">
        <f>IF(B193="","",L193-B193)</f>
        <v/>
      </c>
    </row>
    <row r="194">
      <c r="A194" s="110" t="inlineStr">
        <is>
          <t>2026-04-21</t>
        </is>
      </c>
      <c r="B194" s="90" t="n">
        <v>2529732384</v>
      </c>
      <c r="C194" s="91" t="n">
        <v>1367138425.322606</v>
      </c>
      <c r="D194" s="91" t="n">
        <v>370419432.061442</v>
      </c>
      <c r="E194" s="91" t="n">
        <v>5815.51534</v>
      </c>
      <c r="F194" s="91" t="n">
        <v>584942579.66644</v>
      </c>
      <c r="G194" s="91" t="n">
        <v>184373493.405518</v>
      </c>
      <c r="H194" s="91" t="n">
        <v>16433228.21161</v>
      </c>
      <c r="I194" s="91" t="n">
        <v>13286822.1545</v>
      </c>
      <c r="J194" s="91" t="n">
        <v>16498511.29305</v>
      </c>
      <c r="K194" s="91" t="n">
        <v>299675.8297</v>
      </c>
      <c r="L194" s="93">
        <f>SUM(C194:K194)</f>
        <v/>
      </c>
      <c r="M194" s="111">
        <f>IF(B194="","",L194-B194)</f>
        <v/>
      </c>
    </row>
    <row r="195">
      <c r="A195" s="110" t="inlineStr">
        <is>
          <t>2026-04-22</t>
        </is>
      </c>
      <c r="B195" s="90" t="n">
        <v>1824491494</v>
      </c>
      <c r="C195" s="91" t="n">
        <v>928180357.436478</v>
      </c>
      <c r="D195" s="91" t="n">
        <v>245086864.515727</v>
      </c>
      <c r="E195" s="91" t="n">
        <v>74359.35906</v>
      </c>
      <c r="F195" s="91" t="n">
        <v>436487507.18576</v>
      </c>
      <c r="G195" s="91" t="n">
        <v>183699082.9616139</v>
      </c>
      <c r="H195" s="91" t="n">
        <v>17585061.2151</v>
      </c>
      <c r="I195" s="91" t="n">
        <v>22116207.20504</v>
      </c>
      <c r="J195" s="91" t="n">
        <v>8265750.134099999</v>
      </c>
      <c r="K195" s="91" t="n">
        <v>860961.2702599999</v>
      </c>
      <c r="L195" s="93">
        <f>SUM(C195:K195)</f>
        <v/>
      </c>
      <c r="M195" s="111">
        <f>IF(B195="","",L195-B195)</f>
        <v/>
      </c>
    </row>
    <row r="196">
      <c r="A196" s="110" t="inlineStr">
        <is>
          <t>2026-04-23</t>
        </is>
      </c>
      <c r="B196" s="90" t="n">
        <v>2696815733</v>
      </c>
      <c r="C196" s="91" t="n">
        <v>1316560391.929766</v>
      </c>
      <c r="D196" s="91" t="n">
        <v>358412427.553065</v>
      </c>
      <c r="E196" s="91" t="n">
        <v>42063.7968</v>
      </c>
      <c r="F196" s="91" t="n">
        <v>695962690.2268002</v>
      </c>
      <c r="G196" s="91" t="n">
        <v>295007302.9786779</v>
      </c>
      <c r="H196" s="91" t="n">
        <v>15248233.92398</v>
      </c>
      <c r="I196" s="91" t="n">
        <v>34328841.62422</v>
      </c>
      <c r="J196" s="91" t="n">
        <v>8575082.557539999</v>
      </c>
      <c r="K196" s="91" t="n">
        <v>713665.62051</v>
      </c>
      <c r="L196" s="93">
        <f>SUM(C196:K196)</f>
        <v/>
      </c>
      <c r="M196" s="111">
        <f>IF(B196="","",L196-B196)</f>
        <v/>
      </c>
    </row>
    <row r="197">
      <c r="A197" s="110" t="inlineStr">
        <is>
          <t>2026-04-24</t>
        </is>
      </c>
      <c r="B197" s="90" t="n">
        <v>2240203300</v>
      </c>
      <c r="C197" s="91" t="n">
        <v>1016166333.465127</v>
      </c>
      <c r="D197" s="91" t="n">
        <v>314359352.906251</v>
      </c>
      <c r="E197" s="91" t="n">
        <v>39697.58</v>
      </c>
      <c r="F197" s="91" t="n">
        <v>536119576.71672</v>
      </c>
      <c r="G197" s="91" t="n">
        <v>345668966.1101589</v>
      </c>
      <c r="H197" s="91" t="n">
        <v>15590838.387617</v>
      </c>
      <c r="I197" s="91" t="n">
        <v>7100263.43401</v>
      </c>
      <c r="J197" s="91" t="n">
        <v>7112350.000999999</v>
      </c>
      <c r="K197" s="91" t="n">
        <v>963912.4215180001</v>
      </c>
      <c r="L197" s="93">
        <f>SUM(C197:K197)</f>
        <v/>
      </c>
      <c r="M197" s="111">
        <f>IF(B197="","",L197-B197)</f>
        <v/>
      </c>
    </row>
    <row r="198">
      <c r="A198" s="110" t="inlineStr">
        <is>
          <t>2026-04-25</t>
        </is>
      </c>
      <c r="B198" s="90" t="n">
        <v>317463935</v>
      </c>
      <c r="C198" s="91" t="n">
        <v>160956768.241175</v>
      </c>
      <c r="D198" s="91" t="n">
        <v>27839576.954524</v>
      </c>
      <c r="E198" s="91" t="n">
        <v>4688.97135</v>
      </c>
      <c r="F198" s="91" t="n">
        <v>77703603.60645001</v>
      </c>
      <c r="G198" s="91" t="n">
        <v>43330163.31798702</v>
      </c>
      <c r="H198" s="91" t="n">
        <v>1200277.7422</v>
      </c>
      <c r="I198" s="91" t="n">
        <v>4940445.36887</v>
      </c>
      <c r="J198" s="91" t="n">
        <v>692560.9859</v>
      </c>
      <c r="K198" s="91" t="n">
        <v>832232.3062700001</v>
      </c>
      <c r="L198" s="93">
        <f>SUM(C198:K198)</f>
        <v/>
      </c>
      <c r="M198" s="111">
        <f>IF(B198="","",L198-B198)</f>
        <v/>
      </c>
    </row>
    <row r="199">
      <c r="A199" s="110" t="inlineStr">
        <is>
          <t>2026-04-26</t>
        </is>
      </c>
      <c r="B199" s="90" t="n">
        <v>600112586</v>
      </c>
      <c r="C199" s="91" t="n">
        <v>210095989.592358</v>
      </c>
      <c r="D199" s="91" t="n">
        <v>77732190.28556801</v>
      </c>
      <c r="E199" s="91" t="n">
        <v>14132.48</v>
      </c>
      <c r="F199" s="91" t="n">
        <v>198123508.16366</v>
      </c>
      <c r="G199" s="91" t="n">
        <v>100341055.4741199</v>
      </c>
      <c r="H199" s="91" t="n">
        <v>3128174.34871</v>
      </c>
      <c r="I199" s="91" t="n">
        <v>8132565.980279999</v>
      </c>
      <c r="J199" s="91" t="n">
        <v>2711189.4285</v>
      </c>
      <c r="K199" s="91" t="n">
        <v>173281.962588</v>
      </c>
      <c r="L199" s="93">
        <f>SUM(C199:K199)</f>
        <v/>
      </c>
      <c r="M199" s="111">
        <f>IF(B199="","",L199-B199)</f>
        <v/>
      </c>
    </row>
    <row r="200">
      <c r="A200" s="110" t="inlineStr">
        <is>
          <t>2026-04-27</t>
        </is>
      </c>
      <c r="B200" s="90" t="n">
        <v>1708465194</v>
      </c>
      <c r="C200" s="91" t="n">
        <v>565792228.6278551</v>
      </c>
      <c r="D200" s="91" t="n">
        <v>251347021.475609</v>
      </c>
      <c r="E200" s="91" t="n">
        <v>30315.53295</v>
      </c>
      <c r="F200" s="91" t="n">
        <v>456931866.71864</v>
      </c>
      <c r="G200" s="91" t="n">
        <v>402418988.2212588</v>
      </c>
      <c r="H200" s="91" t="n">
        <v>21423278.404025</v>
      </c>
      <c r="I200" s="91" t="n">
        <v>12167205.45725</v>
      </c>
      <c r="J200" s="91" t="n">
        <v>6651722.455279999</v>
      </c>
      <c r="K200" s="91" t="n">
        <v>25412.501653</v>
      </c>
      <c r="L200" s="93">
        <f>SUM(C200:K200)</f>
        <v/>
      </c>
      <c r="M200" s="111">
        <f>IF(B200="","",L200-B200)</f>
        <v/>
      </c>
    </row>
    <row r="201">
      <c r="A201" s="110" t="inlineStr">
        <is>
          <t>2026-04-28</t>
        </is>
      </c>
      <c r="B201" s="90" t="n">
        <v>2420248727</v>
      </c>
      <c r="C201" s="91" t="n">
        <v>1017511687.047343</v>
      </c>
      <c r="D201" s="91" t="n">
        <v>524544802.590719</v>
      </c>
      <c r="E201" s="91" t="n">
        <v>181602.48723</v>
      </c>
      <c r="F201" s="91" t="n">
        <v>461903461.96942</v>
      </c>
      <c r="G201" s="91" t="n">
        <v>377890586.3220801</v>
      </c>
      <c r="H201" s="91" t="n">
        <v>18326933.531906</v>
      </c>
      <c r="I201" s="91" t="n">
        <v>5157344.562737998</v>
      </c>
      <c r="J201" s="91" t="n">
        <v>11092019.43138</v>
      </c>
      <c r="K201" s="91" t="n">
        <v>1407181.205584</v>
      </c>
      <c r="L201" s="93">
        <f>SUM(C201:K201)</f>
        <v/>
      </c>
      <c r="M201" s="111">
        <f>IF(B201="","",L201-B201)</f>
        <v/>
      </c>
    </row>
    <row r="202">
      <c r="A202" s="110" t="inlineStr">
        <is>
          <t>2026-04-29</t>
        </is>
      </c>
      <c r="B202" s="90" t="n">
        <v>2935442747</v>
      </c>
      <c r="C202" s="91" t="n">
        <v>1242020789.38718</v>
      </c>
      <c r="D202" s="91" t="n">
        <v>377096366.5515881</v>
      </c>
      <c r="E202" s="91" t="n">
        <v>1137877.68974</v>
      </c>
      <c r="F202" s="91" t="n">
        <v>746997263.5710301</v>
      </c>
      <c r="G202" s="91" t="n">
        <v>570944639.5603927</v>
      </c>
      <c r="H202" s="91" t="n">
        <v>32018460.894356</v>
      </c>
      <c r="I202" s="91" t="n">
        <v>7870092.99993</v>
      </c>
      <c r="J202" s="91" t="n">
        <v>10756411.8849</v>
      </c>
      <c r="K202" s="91" t="n">
        <v>361895.6988</v>
      </c>
      <c r="L202" s="93">
        <f>SUM(C202:K202)</f>
        <v/>
      </c>
      <c r="M202" s="111">
        <f>IF(B202="","",L202-B202)</f>
        <v/>
      </c>
    </row>
    <row r="203">
      <c r="A203" s="110" t="inlineStr">
        <is>
          <t>2026-04-30</t>
        </is>
      </c>
      <c r="B203" s="90" t="n">
        <v>2846404489</v>
      </c>
      <c r="C203" s="91" t="n">
        <v>1175660483.14383</v>
      </c>
      <c r="D203" s="91" t="n">
        <v>305641376.5247779</v>
      </c>
      <c r="E203" s="91" t="n">
        <v>1006008.12496</v>
      </c>
      <c r="F203" s="91" t="n">
        <v>737411906.8323199</v>
      </c>
      <c r="G203" s="91" t="n">
        <v>573231944.0771691</v>
      </c>
      <c r="H203" s="91" t="n">
        <v>19173533.777397</v>
      </c>
      <c r="I203" s="91" t="n">
        <v>4047091.46624</v>
      </c>
      <c r="J203" s="91" t="n">
        <v>30850506.45139</v>
      </c>
      <c r="K203" s="91" t="n">
        <v>2276898.165549</v>
      </c>
      <c r="L203" s="93">
        <f>SUM(C203:K203)</f>
        <v/>
      </c>
      <c r="M203" s="111">
        <f>IF(B203="","",L203-B203)</f>
        <v/>
      </c>
    </row>
    <row r="204">
      <c r="A204" s="110" t="inlineStr">
        <is>
          <t>2026-05-01</t>
        </is>
      </c>
      <c r="B204" s="90" t="n">
        <v>2323703914</v>
      </c>
      <c r="C204" s="91" t="n">
        <v>1117339181.86157</v>
      </c>
      <c r="D204" s="91" t="n">
        <v>275074509.082402</v>
      </c>
      <c r="E204" s="91" t="n">
        <v>1952668.28</v>
      </c>
      <c r="F204" s="91" t="n">
        <v>418580374.2099101</v>
      </c>
      <c r="G204" s="91" t="n">
        <v>461054969.209982</v>
      </c>
      <c r="H204" s="91" t="n">
        <v>25671773.25402</v>
      </c>
      <c r="I204" s="91" t="n">
        <v>6420035.80686</v>
      </c>
      <c r="J204" s="91" t="n">
        <v>16377480.11324</v>
      </c>
      <c r="K204" s="91" t="n">
        <v>5108527.541734</v>
      </c>
      <c r="L204" s="93">
        <f>SUM(C204:K204)</f>
        <v/>
      </c>
      <c r="M204" s="111">
        <f>IF(B204="","",L204-B204)</f>
        <v/>
      </c>
    </row>
    <row r="205">
      <c r="A205" s="110" t="inlineStr">
        <is>
          <t>2026-05-02</t>
        </is>
      </c>
      <c r="B205" s="90" t="n">
        <v>230045975</v>
      </c>
      <c r="C205" s="91" t="n">
        <v>78181362.35479499</v>
      </c>
      <c r="D205" s="91" t="n">
        <v>12316169.714624</v>
      </c>
      <c r="E205" s="91" t="n">
        <v>5192.778160000001</v>
      </c>
      <c r="F205" s="91" t="n">
        <v>75009539.75723001</v>
      </c>
      <c r="G205" s="91" t="n">
        <v>50230643.22867597</v>
      </c>
      <c r="H205" s="91" t="n">
        <v>1520444.78129</v>
      </c>
      <c r="I205" s="91" t="n">
        <v>3318945.17028</v>
      </c>
      <c r="J205" s="91" t="n">
        <v>8690980.057800001</v>
      </c>
      <c r="K205" s="91" t="n">
        <v>1398645.925614</v>
      </c>
      <c r="L205" s="93">
        <f>SUM(C205:K205)</f>
        <v/>
      </c>
      <c r="M205" s="111">
        <f>IF(B205="","",L205-B205)</f>
        <v/>
      </c>
    </row>
    <row r="206">
      <c r="A206" s="110" t="inlineStr">
        <is>
          <t>2026-05-03</t>
        </is>
      </c>
      <c r="B206" s="90" t="n">
        <v>689094133</v>
      </c>
      <c r="C206" s="91" t="n">
        <v>385123671.684796</v>
      </c>
      <c r="D206" s="91" t="n">
        <v>109275577.791614</v>
      </c>
      <c r="E206" s="91" t="n">
        <v>10548.96427</v>
      </c>
      <c r="F206" s="91" t="n">
        <v>112449266.5</v>
      </c>
      <c r="G206" s="91" t="n">
        <v>67673031.54565297</v>
      </c>
      <c r="H206" s="91" t="n">
        <v>1918306.59448</v>
      </c>
      <c r="I206" s="91" t="n">
        <v>4041784.02499</v>
      </c>
      <c r="J206" s="91" t="n">
        <v>11093993.0647</v>
      </c>
      <c r="K206" s="91" t="n">
        <v>1206920.90628</v>
      </c>
      <c r="L206" s="93">
        <f>SUM(C206:K206)</f>
        <v/>
      </c>
      <c r="M206" s="111">
        <f>IF(B206="","",L206-B206)</f>
        <v/>
      </c>
    </row>
    <row r="207">
      <c r="A207" s="110" t="inlineStr">
        <is>
          <t>2026-05-04</t>
        </is>
      </c>
      <c r="B207" s="90" t="n">
        <v>3319107020</v>
      </c>
      <c r="C207" s="91" t="n">
        <v>1674116679.30529</v>
      </c>
      <c r="D207" s="91" t="n">
        <v>367564402.7675709</v>
      </c>
      <c r="E207" s="91" t="n">
        <v>1340191.31562</v>
      </c>
      <c r="F207" s="91" t="n">
        <v>706298349.43998</v>
      </c>
      <c r="G207" s="91" t="n">
        <v>492857098.972768</v>
      </c>
      <c r="H207" s="91" t="n">
        <v>47573938.5531</v>
      </c>
      <c r="I207" s="91" t="n">
        <v>17218455.091559</v>
      </c>
      <c r="J207" s="91" t="n">
        <v>26558678.18355</v>
      </c>
      <c r="K207" s="91" t="n">
        <v>362988.80904</v>
      </c>
      <c r="L207" s="93">
        <f>SUM(C207:K207)</f>
        <v/>
      </c>
      <c r="M207" s="111">
        <f>IF(B207="","",L207-B207)</f>
        <v/>
      </c>
    </row>
    <row r="208">
      <c r="A208" s="110" t="inlineStr">
        <is>
          <t>2026-05-05</t>
        </is>
      </c>
      <c r="B208" s="90" t="n">
        <v>2364574289</v>
      </c>
      <c r="C208" s="91" t="n">
        <v>1022712906.088576</v>
      </c>
      <c r="D208" s="91" t="n">
        <v>227031730.657801</v>
      </c>
      <c r="E208" s="91" t="n">
        <v>1058635.37664</v>
      </c>
      <c r="F208" s="91" t="n">
        <v>471449876.1356801</v>
      </c>
      <c r="G208" s="91" t="n">
        <v>561335438.881572</v>
      </c>
      <c r="H208" s="91" t="n">
        <v>51528946.15859</v>
      </c>
      <c r="I208" s="91" t="n">
        <v>10635010.09847</v>
      </c>
      <c r="J208" s="91" t="n">
        <v>10533474.25329</v>
      </c>
      <c r="K208" s="91" t="n">
        <v>201624.14286</v>
      </c>
      <c r="L208" s="93">
        <f>SUM(C208:K208)</f>
        <v/>
      </c>
      <c r="M208" s="111">
        <f>IF(B208="","",L208-B208)</f>
        <v/>
      </c>
    </row>
    <row r="209">
      <c r="A209" s="110" t="inlineStr">
        <is>
          <t>2026-05-06</t>
        </is>
      </c>
      <c r="B209" s="90" t="n">
        <v>3561033304</v>
      </c>
      <c r="C209" s="91" t="n">
        <v>1969776797.26141</v>
      </c>
      <c r="D209" s="91" t="n">
        <v>338930951.391734</v>
      </c>
      <c r="E209" s="91" t="n">
        <v>949838.4380399999</v>
      </c>
      <c r="F209" s="91" t="n">
        <v>604371215.7462502</v>
      </c>
      <c r="G209" s="91" t="n">
        <v>599283337.391167</v>
      </c>
      <c r="H209" s="91" t="n">
        <v>42599775.75789999</v>
      </c>
      <c r="I209" s="91" t="n">
        <v>10921202.2659</v>
      </c>
      <c r="J209" s="91" t="n">
        <v>11880412.46079</v>
      </c>
      <c r="K209" s="91" t="n">
        <v>598180.68152</v>
      </c>
      <c r="L209" s="93">
        <f>SUM(C209:K209)</f>
        <v/>
      </c>
      <c r="M209" s="111">
        <f>IF(B209="","",L209-B209)</f>
        <v/>
      </c>
    </row>
    <row r="210">
      <c r="A210" s="110" t="inlineStr">
        <is>
          <t>2026-05-07</t>
        </is>
      </c>
      <c r="B210" s="90" t="n">
        <v>3650186230</v>
      </c>
      <c r="C210" s="91" t="n">
        <v>1934414055.891842</v>
      </c>
      <c r="D210" s="91" t="n">
        <v>400235215.6224121</v>
      </c>
      <c r="E210" s="91" t="n">
        <v>431938.23548</v>
      </c>
      <c r="F210" s="91" t="n">
        <v>668176201.7943401</v>
      </c>
      <c r="G210" s="91" t="n">
        <v>620173699.8212311</v>
      </c>
      <c r="H210" s="91" t="n">
        <v>39388391.27084</v>
      </c>
      <c r="I210" s="91" t="n">
        <v>7716177.607586999</v>
      </c>
      <c r="J210" s="91" t="n">
        <v>5964120.33544</v>
      </c>
      <c r="K210" s="91" t="n">
        <v>81641.04156</v>
      </c>
      <c r="L210" s="93">
        <f>SUM(C210:K210)</f>
        <v/>
      </c>
      <c r="M210" s="111">
        <f>IF(B210="","",L210-B210)</f>
        <v/>
      </c>
    </row>
    <row r="211">
      <c r="A211" s="110" t="inlineStr">
        <is>
          <t>2026-05-08</t>
        </is>
      </c>
      <c r="B211" s="90" t="n">
        <v>2412480014</v>
      </c>
      <c r="C211" s="91" t="n">
        <v>893708900.6849</v>
      </c>
      <c r="D211" s="91" t="n">
        <v>302879127.440767</v>
      </c>
      <c r="E211" s="91" t="n">
        <v>652385.0303999999</v>
      </c>
      <c r="F211" s="91" t="n">
        <v>540719938.06356</v>
      </c>
      <c r="G211" s="91" t="n">
        <v>652566110.8641307</v>
      </c>
      <c r="H211" s="91" t="n">
        <v>26180914.5594</v>
      </c>
      <c r="I211" s="91" t="n">
        <v>7141100.591934</v>
      </c>
      <c r="J211" s="91" t="n">
        <v>6216287.8499</v>
      </c>
      <c r="K211" s="91" t="n">
        <v>161725.689524</v>
      </c>
      <c r="L211" s="93">
        <f>SUM(C211:K211)</f>
        <v/>
      </c>
      <c r="M211" s="111">
        <f>IF(B211="","",L211-B211)</f>
        <v/>
      </c>
    </row>
    <row r="212">
      <c r="A212" s="110" t="inlineStr">
        <is>
          <t>2026-05-09</t>
        </is>
      </c>
      <c r="B212" s="90" t="n">
        <v>311628203</v>
      </c>
      <c r="C212" s="91" t="n">
        <v>116177543.429615</v>
      </c>
      <c r="D212" s="91" t="n">
        <v>27678515.879652</v>
      </c>
      <c r="E212" s="91" t="n">
        <v>27401.718</v>
      </c>
      <c r="F212" s="91" t="n">
        <v>78993552.92562002</v>
      </c>
      <c r="G212" s="91" t="n">
        <v>75298558.25895195</v>
      </c>
      <c r="H212" s="91" t="n">
        <v>11895306.72306</v>
      </c>
      <c r="I212" s="91" t="n">
        <v>3133837.868160001</v>
      </c>
      <c r="J212" s="91" t="n">
        <v>488293.3181</v>
      </c>
      <c r="K212" s="91" t="n">
        <v>1815.174854</v>
      </c>
      <c r="L212" s="93">
        <f>SUM(C212:K212)</f>
        <v/>
      </c>
      <c r="M212" s="111">
        <f>IF(B212="","",L212-B212)</f>
        <v/>
      </c>
    </row>
    <row r="213">
      <c r="A213" s="110" t="inlineStr">
        <is>
          <t>2026-05-10</t>
        </is>
      </c>
      <c r="B213" s="90" t="n">
        <v>835126724</v>
      </c>
      <c r="C213" s="91" t="n">
        <v>346964692.462692</v>
      </c>
      <c r="D213" s="91" t="n">
        <v>125143204.78961</v>
      </c>
      <c r="E213" s="91" t="n">
        <v>14471.14396</v>
      </c>
      <c r="F213" s="91" t="n">
        <v>212845264.93645</v>
      </c>
      <c r="G213" s="91" t="n">
        <v>133338142.030766</v>
      </c>
      <c r="H213" s="91" t="n">
        <v>11578864.55456</v>
      </c>
      <c r="I213" s="91" t="n">
        <v>7513815.068910001</v>
      </c>
      <c r="J213" s="91" t="n">
        <v>4102622.37164</v>
      </c>
      <c r="K213" s="91" t="n">
        <v>15818.411856</v>
      </c>
      <c r="L213" s="93">
        <f>SUM(C213:K213)</f>
        <v/>
      </c>
      <c r="M213" s="111">
        <f>IF(B213="","",L213-B213)</f>
        <v/>
      </c>
    </row>
    <row r="214">
      <c r="A214" s="110" t="inlineStr">
        <is>
          <t>2026-05-11</t>
        </is>
      </c>
      <c r="B214" s="90" t="n">
        <v>2545256246</v>
      </c>
      <c r="C214" s="91" t="n">
        <v>799224168.8634969</v>
      </c>
      <c r="D214" s="91" t="n">
        <v>425098327.7348281</v>
      </c>
      <c r="E214" s="91" t="n">
        <v>239348.86846</v>
      </c>
      <c r="F214" s="91" t="n">
        <v>422245164.58645</v>
      </c>
      <c r="G214" s="91" t="n">
        <v>799155505.7336352</v>
      </c>
      <c r="H214" s="91" t="n">
        <v>110907704.39295</v>
      </c>
      <c r="I214" s="91" t="n">
        <v>8066811.398430001</v>
      </c>
      <c r="J214" s="91" t="n">
        <v>4664998.37863</v>
      </c>
      <c r="K214" s="91" t="n">
        <v>89326.99735200001</v>
      </c>
      <c r="L214" s="93">
        <f>SUM(C214:K214)</f>
        <v/>
      </c>
      <c r="M214" s="111">
        <f>IF(B214="","",L214-B214)</f>
        <v/>
      </c>
    </row>
    <row r="215">
      <c r="A215" s="110" t="inlineStr">
        <is>
          <t>2026-05-12</t>
        </is>
      </c>
      <c r="B215" s="90" t="n">
        <v>2473916223</v>
      </c>
      <c r="C215" s="91" t="n">
        <v>579379931.00467</v>
      </c>
      <c r="D215" s="91" t="n">
        <v>465495510.6262511</v>
      </c>
      <c r="E215" s="91" t="n">
        <v>1794019.1808</v>
      </c>
      <c r="F215" s="91" t="n">
        <v>584042885.0088701</v>
      </c>
      <c r="G215" s="91" t="n">
        <v>774183339.6077223</v>
      </c>
      <c r="H215" s="91" t="n">
        <v>57039148.98571</v>
      </c>
      <c r="I215" s="91" t="n">
        <v>5247187.748620001</v>
      </c>
      <c r="J215" s="91" t="n">
        <v>4083716.80609</v>
      </c>
      <c r="K215" s="91" t="n">
        <v>18225.47021</v>
      </c>
      <c r="L215" s="93">
        <f>SUM(C215:K215)</f>
        <v/>
      </c>
      <c r="M215" s="111">
        <f>IF(B215="","",L215-B215)</f>
        <v/>
      </c>
    </row>
    <row r="216">
      <c r="A216" s="110" t="inlineStr">
        <is>
          <t>2026-05-13</t>
        </is>
      </c>
      <c r="B216" s="90" t="n">
        <v>2379224166</v>
      </c>
      <c r="C216" s="91" t="n">
        <v>603817146.4195809</v>
      </c>
      <c r="D216" s="91" t="n">
        <v>400886037.771339</v>
      </c>
      <c r="E216" s="91" t="n">
        <v>703279.3320000001</v>
      </c>
      <c r="F216" s="91" t="n">
        <v>596512906.4719198</v>
      </c>
      <c r="G216" s="91" t="n">
        <v>716164863.4811968</v>
      </c>
      <c r="H216" s="91" t="n">
        <v>42551945.7895</v>
      </c>
      <c r="I216" s="91" t="n">
        <v>7109083.900280002</v>
      </c>
      <c r="J216" s="91" t="n">
        <v>11768992.87177</v>
      </c>
      <c r="K216" s="91" t="n">
        <v>811244.595618</v>
      </c>
      <c r="L216" s="93">
        <f>SUM(C216:K216)</f>
        <v/>
      </c>
      <c r="M216" s="111">
        <f>IF(B216="","",L216-B216)</f>
        <v/>
      </c>
    </row>
    <row r="217">
      <c r="A217" s="110" t="inlineStr">
        <is>
          <t>2026-05-14</t>
        </is>
      </c>
      <c r="B217" s="90" t="n">
        <v>2779947750</v>
      </c>
      <c r="C217" s="91" t="n">
        <v>589680790.1542851</v>
      </c>
      <c r="D217" s="91" t="n">
        <v>352758074.244453</v>
      </c>
      <c r="E217" s="91" t="n">
        <v>434703.49265</v>
      </c>
      <c r="F217" s="91" t="n">
        <v>716618641.7869098</v>
      </c>
      <c r="G217" s="91" t="n">
        <v>1012575961.25004</v>
      </c>
      <c r="H217" s="91" t="n">
        <v>77151666.81199998</v>
      </c>
      <c r="I217" s="91" t="n">
        <v>7607310.402480001</v>
      </c>
      <c r="J217" s="91" t="n">
        <v>10534215.90848</v>
      </c>
      <c r="K217" s="91" t="n">
        <v>600433.242304</v>
      </c>
      <c r="L217" s="93">
        <f>SUM(C217:K217)</f>
        <v/>
      </c>
      <c r="M217" s="111">
        <f>IF(B217="","",L217-B217)</f>
        <v/>
      </c>
    </row>
    <row r="218">
      <c r="A218" s="110" t="inlineStr">
        <is>
          <t>2026-05-15</t>
        </is>
      </c>
      <c r="B218" s="90" t="n">
        <v>2943036195</v>
      </c>
      <c r="C218" s="91" t="n">
        <v>448479628.0659279</v>
      </c>
      <c r="D218" s="91" t="n">
        <v>466190635.9484491</v>
      </c>
      <c r="E218" s="91" t="n">
        <v>2006204.04796</v>
      </c>
      <c r="F218" s="91" t="n">
        <v>1000255421.68565</v>
      </c>
      <c r="G218" s="91" t="n">
        <v>929059668.8825325</v>
      </c>
      <c r="H218" s="91" t="n">
        <v>35011835.211</v>
      </c>
      <c r="I218" s="91" t="n">
        <v>13556714.85698</v>
      </c>
      <c r="J218" s="91" t="n">
        <v>10428193.39653</v>
      </c>
      <c r="K218" s="91" t="n">
        <v>870081.5509499999</v>
      </c>
      <c r="L218" s="93">
        <f>SUM(C218:K218)</f>
        <v/>
      </c>
      <c r="M218" s="111">
        <f>IF(B218="","",L218-B218)</f>
        <v/>
      </c>
    </row>
    <row r="219">
      <c r="A219" s="110" t="inlineStr">
        <is>
          <t>2026-05-16</t>
        </is>
      </c>
      <c r="B219" s="90" t="n">
        <v>303261829</v>
      </c>
      <c r="C219" s="91" t="n">
        <v>81023814.30201401</v>
      </c>
      <c r="D219" s="91" t="n">
        <v>65480682.95363002</v>
      </c>
      <c r="E219" s="91" t="n">
        <v>46907.3637</v>
      </c>
      <c r="F219" s="91" t="n">
        <v>70977075.18081</v>
      </c>
      <c r="G219" s="91" t="n">
        <v>74892383.53513099</v>
      </c>
      <c r="H219" s="91" t="n">
        <v>3028848.57806</v>
      </c>
      <c r="I219" s="91" t="n">
        <v>6965914.070499999</v>
      </c>
      <c r="J219" s="91" t="n">
        <v>863701.5348</v>
      </c>
      <c r="K219" s="91" t="n">
        <v>351786.180381</v>
      </c>
      <c r="L219" s="93">
        <f>SUM(C219:K219)</f>
        <v/>
      </c>
      <c r="M219" s="111">
        <f>IF(B219="","",L219-B219)</f>
        <v/>
      </c>
    </row>
    <row r="220">
      <c r="A220" s="110" t="inlineStr">
        <is>
          <t>2026-05-17</t>
        </is>
      </c>
      <c r="B220" s="90" t="n">
        <v>481797307</v>
      </c>
      <c r="C220" s="91" t="n">
        <v>142097973.911076</v>
      </c>
      <c r="D220" s="91" t="n">
        <v>69534823.55763902</v>
      </c>
      <c r="E220" s="91" t="n">
        <v>19819.9721</v>
      </c>
      <c r="F220" s="91" t="n">
        <v>159852739.68704</v>
      </c>
      <c r="G220" s="91" t="n">
        <v>92790466.12467594</v>
      </c>
      <c r="H220" s="91" t="n">
        <v>4745818.2701</v>
      </c>
      <c r="I220" s="91" t="n">
        <v>12074595.679934</v>
      </c>
      <c r="J220" s="91" t="n">
        <v>1107862.26828</v>
      </c>
      <c r="K220" s="91" t="n">
        <v>3932.645500000001</v>
      </c>
      <c r="L220" s="93">
        <f>SUM(C220:K220)</f>
        <v/>
      </c>
      <c r="M220" s="111">
        <f>IF(B220="","",L220-B220)</f>
        <v/>
      </c>
    </row>
    <row r="221">
      <c r="A221" s="110" t="inlineStr">
        <is>
          <t>2026-05-18</t>
        </is>
      </c>
      <c r="B221" s="90" t="n">
        <v>3474360784</v>
      </c>
      <c r="C221" s="91" t="n">
        <v>973014326.5628821</v>
      </c>
      <c r="D221" s="91" t="n">
        <v>342976913.579565</v>
      </c>
      <c r="E221" s="91" t="n">
        <v>1068107.29451</v>
      </c>
      <c r="F221" s="91" t="n">
        <v>1192631230.09782</v>
      </c>
      <c r="G221" s="91" t="n">
        <v>913922218.902957</v>
      </c>
      <c r="H221" s="91" t="n">
        <v>31424227.4388</v>
      </c>
      <c r="I221" s="91" t="n">
        <v>21623733.626201</v>
      </c>
      <c r="J221" s="91" t="n">
        <v>3724633.12497</v>
      </c>
      <c r="K221" s="91" t="n">
        <v>1518807.7752</v>
      </c>
      <c r="L221" s="93">
        <f>SUM(C221:K221)</f>
        <v/>
      </c>
      <c r="M221" s="111">
        <f>IF(B221="","",L221-B221)</f>
        <v/>
      </c>
    </row>
    <row r="222">
      <c r="A222" s="110" t="inlineStr">
        <is>
          <t>2026-05-19</t>
        </is>
      </c>
      <c r="B222" s="90" t="n">
        <v>2810077104</v>
      </c>
      <c r="C222" s="91" t="n">
        <v>466963841.718496</v>
      </c>
      <c r="D222" s="91" t="n">
        <v>530750137.3407289</v>
      </c>
      <c r="E222" s="91" t="n">
        <v>475227.29517</v>
      </c>
      <c r="F222" s="91" t="n">
        <v>820920717.17767</v>
      </c>
      <c r="G222" s="91" t="n">
        <v>936421339.9565465</v>
      </c>
      <c r="H222" s="91" t="n">
        <v>45704211.62944001</v>
      </c>
      <c r="I222" s="91" t="n">
        <v>12321424.20064</v>
      </c>
      <c r="J222" s="91" t="n">
        <v>5574836.84854</v>
      </c>
      <c r="K222" s="91" t="n">
        <v>168615.81737</v>
      </c>
      <c r="L222" s="93">
        <f>SUM(C222:K222)</f>
        <v/>
      </c>
      <c r="M222" s="111">
        <f>IF(B222="","",L222-B222)</f>
        <v/>
      </c>
    </row>
    <row r="223">
      <c r="A223" s="110" t="inlineStr">
        <is>
          <t>2026-05-20</t>
        </is>
      </c>
      <c r="B223" s="90" t="n">
        <v>162338930</v>
      </c>
      <c r="C223" s="91" t="n">
        <v>917129553.386708</v>
      </c>
      <c r="D223" s="91" t="n">
        <v>325841341.1058189</v>
      </c>
      <c r="E223" s="91" t="n">
        <v>531643.1780399999</v>
      </c>
      <c r="F223" s="91" t="n">
        <v>864638157.81681</v>
      </c>
      <c r="G223" s="91" t="n">
        <v>909978249.9822409</v>
      </c>
      <c r="H223" s="91" t="n">
        <v>26154587.02858</v>
      </c>
      <c r="I223" s="91" t="n">
        <v>9245659.734889001</v>
      </c>
      <c r="J223" s="91" t="n">
        <v>4249615.66598</v>
      </c>
      <c r="K223" s="91" t="n">
        <v>703108.699605</v>
      </c>
      <c r="L223" s="93">
        <f>SUM(C223:K223)</f>
        <v/>
      </c>
      <c r="M223" s="111">
        <f>IF(B223="","",L223-B223)</f>
        <v/>
      </c>
    </row>
    <row r="224">
      <c r="A224" s="110" t="inlineStr">
        <is>
          <t>2026-05-21</t>
        </is>
      </c>
      <c r="B224" s="90" t="inlineStr"/>
      <c r="C224" s="91" t="n">
        <v>1295739438.703937</v>
      </c>
      <c r="D224" s="91" t="n">
        <v>315287117.502025</v>
      </c>
      <c r="E224" s="91" t="n">
        <v>131052.816</v>
      </c>
      <c r="F224" s="91" t="n">
        <v>685402160.60018</v>
      </c>
      <c r="G224" s="91" t="n">
        <v>835890513.0866982</v>
      </c>
      <c r="H224" s="91" t="n">
        <v>37073516.1668</v>
      </c>
      <c r="I224" s="91" t="n">
        <v>12553464.6512</v>
      </c>
      <c r="J224" s="91" t="n">
        <v>4100462.6055</v>
      </c>
      <c r="K224" s="91" t="n">
        <v>270825.627057</v>
      </c>
      <c r="L224" s="93">
        <f>SUM(C224:K224)</f>
        <v/>
      </c>
      <c r="M224" s="111">
        <f>IF(B224="","",L224-B224)</f>
        <v/>
      </c>
    </row>
    <row r="225">
      <c r="A225" s="110" t="inlineStr">
        <is>
          <t>2026-05-22</t>
        </is>
      </c>
      <c r="B225" s="90" t="inlineStr"/>
      <c r="C225" s="91" t="n">
        <v>884770741.0221862</v>
      </c>
      <c r="D225" s="91" t="n">
        <v>168431234.31368</v>
      </c>
      <c r="E225" s="91" t="n">
        <v>304060.95932</v>
      </c>
      <c r="F225" s="91" t="n">
        <v>555781993.81041</v>
      </c>
      <c r="G225" s="91" t="n">
        <v>580262675.3256704</v>
      </c>
      <c r="H225" s="91" t="n">
        <v>28909717.51067</v>
      </c>
      <c r="I225" s="91" t="n">
        <v>10013418.91519</v>
      </c>
      <c r="J225" s="91" t="n">
        <v>2978417.88081</v>
      </c>
      <c r="K225" s="91" t="n">
        <v>93225.76329500001</v>
      </c>
      <c r="L225" s="93">
        <f>SUM(C225:K225)</f>
        <v/>
      </c>
      <c r="M225" s="111">
        <f>IF(B225="","",L225-B225)</f>
        <v/>
      </c>
    </row>
    <row r="226">
      <c r="A226" s="110" t="inlineStr">
        <is>
          <t>2026-05-23</t>
        </is>
      </c>
      <c r="B226" s="90" t="inlineStr"/>
      <c r="C226" s="91" t="n">
        <v>658161249.570922</v>
      </c>
      <c r="D226" s="91" t="n">
        <v>69686599.661632</v>
      </c>
      <c r="E226" s="91" t="n">
        <v>112871.961</v>
      </c>
      <c r="F226" s="91" t="n">
        <v>329623779.7080699</v>
      </c>
      <c r="G226" s="91" t="n">
        <v>151512536.165631</v>
      </c>
      <c r="H226" s="91" t="n">
        <v>7514526.747</v>
      </c>
      <c r="I226" s="91" t="n">
        <v>11264782.700799</v>
      </c>
      <c r="J226" s="91" t="n">
        <v>1419798.03578</v>
      </c>
      <c r="K226" s="91" t="n">
        <v>363261.48084</v>
      </c>
      <c r="L226" s="93">
        <f>SUM(C226:K226)</f>
        <v/>
      </c>
      <c r="M226" s="111">
        <f>IF(B226="","",L226-B226)</f>
        <v/>
      </c>
    </row>
    <row r="227">
      <c r="A227" s="110" t="inlineStr">
        <is>
          <t>2026-05-24</t>
        </is>
      </c>
      <c r="B227" s="90" t="inlineStr"/>
      <c r="C227" s="91" t="n">
        <v>428990633.03296</v>
      </c>
      <c r="D227" s="91" t="n">
        <v>172747708.9733811</v>
      </c>
      <c r="E227" s="91" t="n">
        <v>10444.12758</v>
      </c>
      <c r="F227" s="91" t="n">
        <v>209225163.31744</v>
      </c>
      <c r="G227" s="91" t="n">
        <v>98933988.67071301</v>
      </c>
      <c r="H227" s="91" t="n">
        <v>3881631.98389</v>
      </c>
      <c r="I227" s="91" t="n">
        <v>16832401.22063</v>
      </c>
      <c r="J227" s="91" t="n">
        <v>1251617.4583</v>
      </c>
      <c r="K227" s="91" t="n">
        <v>632753.957312</v>
      </c>
      <c r="L227" s="93">
        <f>SUM(C227:K227)</f>
        <v/>
      </c>
      <c r="M227" s="111">
        <f>IF(B227="","",L227-B227)</f>
        <v/>
      </c>
    </row>
    <row r="230" ht="18" customHeight="1">
      <c r="A230" s="53" t="inlineStr">
        <is>
          <t>PERIOD TOTALS  (Σ across all dates)</t>
        </is>
      </c>
    </row>
    <row r="231">
      <c r="A231" s="112" t="inlineStr">
        <is>
          <t>Total $ vol</t>
        </is>
      </c>
      <c r="B231" s="93">
        <f>SUM(B4:B227)</f>
        <v/>
      </c>
      <c r="C231" s="93">
        <f>SUM(C4:C227)</f>
        <v/>
      </c>
      <c r="D231" s="93">
        <f>SUM(D4:D227)</f>
        <v/>
      </c>
      <c r="E231" s="93">
        <f>SUM(E4:E227)</f>
        <v/>
      </c>
      <c r="F231" s="93">
        <f>SUM(F4:F227)</f>
        <v/>
      </c>
      <c r="G231" s="93">
        <f>SUM(G4:G227)</f>
        <v/>
      </c>
      <c r="H231" s="93">
        <f>SUM(H4:H227)</f>
        <v/>
      </c>
      <c r="I231" s="93">
        <f>SUM(I4:I227)</f>
        <v/>
      </c>
      <c r="J231" s="93">
        <f>SUM(J4:J227)</f>
        <v/>
      </c>
      <c r="K231" s="93">
        <f>SUM(K4:K227)</f>
        <v/>
      </c>
      <c r="L231" s="93">
        <f>SUM(L4:L227)</f>
        <v/>
      </c>
      <c r="M231" s="111">
        <f>L231-B231</f>
        <v/>
      </c>
    </row>
  </sheetData>
  <autoFilter ref="A3:M227"/>
  <mergeCells count="2">
    <mergeCell ref="A1:M1"/>
    <mergeCell ref="A230:M2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2" t="inlineStr">
        <is>
          <t>HIP-3 SYMBOLS — period $ volume by base symbol, combined across all DEXs</t>
        </is>
      </c>
    </row>
    <row r="2" ht="28" customHeight="1">
      <c r="A2" s="113" t="inlineStr">
        <is>
          <t>Symbol</t>
        </is>
      </c>
      <c r="B2" s="113" t="inlineStr">
        <is>
          <t>Category</t>
        </is>
      </c>
      <c r="C2" s="113" t="inlineStr">
        <is>
          <t># DEXs</t>
        </is>
      </c>
      <c r="D2" s="113" t="inlineStr">
        <is>
          <t>DEXs</t>
        </is>
      </c>
      <c r="E2" s="113" t="inlineStr">
        <is>
          <t>First trade date</t>
        </is>
      </c>
      <c r="F2" s="113" t="inlineStr">
        <is>
          <t>Last trade date</t>
        </is>
      </c>
      <c r="G2" s="113" t="inlineStr">
        <is>
          <t>Total $ vol (period)</t>
        </is>
      </c>
    </row>
    <row r="3">
      <c r="A3" s="114" t="inlineStr">
        <is>
          <t>SILVER</t>
        </is>
      </c>
      <c r="B3" s="114" t="inlineStr">
        <is>
          <t>Metals</t>
        </is>
      </c>
      <c r="C3" s="114" t="n">
        <v>4</v>
      </c>
      <c r="D3" s="114" t="inlineStr">
        <is>
          <t>cash, flx, km, xyz</t>
        </is>
      </c>
      <c r="E3" s="115" t="inlineStr">
        <is>
          <t>2025-12-17</t>
        </is>
      </c>
      <c r="F3" s="115" t="inlineStr">
        <is>
          <t>2026-05-24</t>
        </is>
      </c>
      <c r="G3" s="91" t="n">
        <v>53340832694.43478</v>
      </c>
    </row>
    <row r="4">
      <c r="A4" s="114" t="inlineStr">
        <is>
          <t>CL</t>
        </is>
      </c>
      <c r="B4" s="114" t="inlineStr">
        <is>
          <t>Energy</t>
        </is>
      </c>
      <c r="C4" s="114" t="n">
        <v>1</v>
      </c>
      <c r="D4" s="114" t="inlineStr">
        <is>
          <t>xyz</t>
        </is>
      </c>
      <c r="E4" s="115" t="inlineStr">
        <is>
          <t>2026-01-06</t>
        </is>
      </c>
      <c r="F4" s="115" t="inlineStr">
        <is>
          <t>2026-05-24</t>
        </is>
      </c>
      <c r="G4" s="91" t="n">
        <v>51845586389.0284</v>
      </c>
    </row>
    <row r="5">
      <c r="A5" s="114" t="inlineStr">
        <is>
          <t>XYZ100</t>
        </is>
      </c>
      <c r="B5" s="114" t="inlineStr">
        <is>
          <t>Indices/ETFs</t>
        </is>
      </c>
      <c r="C5" s="114" t="n">
        <v>1</v>
      </c>
      <c r="D5" s="114" t="inlineStr">
        <is>
          <t>xyz</t>
        </is>
      </c>
      <c r="E5" s="115" t="inlineStr">
        <is>
          <t>2025-10-13</t>
        </is>
      </c>
      <c r="F5" s="115" t="inlineStr">
        <is>
          <t>2026-05-24</t>
        </is>
      </c>
      <c r="G5" s="91" t="n">
        <v>40126732557.45831</v>
      </c>
    </row>
    <row r="6">
      <c r="A6" s="114" t="inlineStr">
        <is>
          <t>BRENTOIL</t>
        </is>
      </c>
      <c r="B6" s="114" t="inlineStr">
        <is>
          <t>Energy</t>
        </is>
      </c>
      <c r="C6" s="114" t="n">
        <v>1</v>
      </c>
      <c r="D6" s="114" t="inlineStr">
        <is>
          <t>xyz</t>
        </is>
      </c>
      <c r="E6" s="115" t="inlineStr">
        <is>
          <t>2026-03-04</t>
        </is>
      </c>
      <c r="F6" s="115" t="inlineStr">
        <is>
          <t>2026-05-24</t>
        </is>
      </c>
      <c r="G6" s="91" t="n">
        <v>23300922016.65824</v>
      </c>
    </row>
    <row r="7">
      <c r="A7" s="114" t="inlineStr">
        <is>
          <t>SP500</t>
        </is>
      </c>
      <c r="B7" s="114" t="inlineStr">
        <is>
          <t>Indices/ETFs</t>
        </is>
      </c>
      <c r="C7" s="114" t="n">
        <v>1</v>
      </c>
      <c r="D7" s="114" t="inlineStr">
        <is>
          <t>xyz</t>
        </is>
      </c>
      <c r="E7" s="115" t="inlineStr">
        <is>
          <t>2026-03-18</t>
        </is>
      </c>
      <c r="F7" s="115" t="inlineStr">
        <is>
          <t>2026-05-24</t>
        </is>
      </c>
      <c r="G7" s="91" t="n">
        <v>15406654187.038</v>
      </c>
    </row>
    <row r="8">
      <c r="A8" s="114" t="inlineStr">
        <is>
          <t>GOLD</t>
        </is>
      </c>
      <c r="B8" s="114" t="inlineStr">
        <is>
          <t>Metals</t>
        </is>
      </c>
      <c r="C8" s="114" t="n">
        <v>4</v>
      </c>
      <c r="D8" s="114" t="inlineStr">
        <is>
          <t>cash, flx, km, xyz</t>
        </is>
      </c>
      <c r="E8" s="115" t="inlineStr">
        <is>
          <t>2025-12-12</t>
        </is>
      </c>
      <c r="F8" s="115" t="inlineStr">
        <is>
          <t>2026-05-24</t>
        </is>
      </c>
      <c r="G8" s="91" t="n">
        <v>12216319673.15365</v>
      </c>
    </row>
    <row r="9">
      <c r="A9" s="114" t="inlineStr">
        <is>
          <t>USA500</t>
        </is>
      </c>
      <c r="B9" s="114" t="inlineStr">
        <is>
          <t>Indices/ETFs</t>
        </is>
      </c>
      <c r="C9" s="114" t="n">
        <v>2</v>
      </c>
      <c r="D9" s="114" t="inlineStr">
        <is>
          <t>cash, flx</t>
        </is>
      </c>
      <c r="E9" s="115" t="inlineStr">
        <is>
          <t>2026-01-20</t>
        </is>
      </c>
      <c r="F9" s="115" t="inlineStr">
        <is>
          <t>2026-05-24</t>
        </is>
      </c>
      <c r="G9" s="91" t="n">
        <v>7530905856.916853</v>
      </c>
    </row>
    <row r="10">
      <c r="A10" s="114" t="inlineStr">
        <is>
          <t>NVDA</t>
        </is>
      </c>
      <c r="B10" s="114" t="inlineStr">
        <is>
          <t>Stocks</t>
        </is>
      </c>
      <c r="C10" s="114" t="n">
        <v>4</v>
      </c>
      <c r="D10" s="114" t="inlineStr">
        <is>
          <t>cash, flx, km, xyz</t>
        </is>
      </c>
      <c r="E10" s="115" t="inlineStr">
        <is>
          <t>2025-11-12</t>
        </is>
      </c>
      <c r="F10" s="115" t="inlineStr">
        <is>
          <t>2026-05-24</t>
        </is>
      </c>
      <c r="G10" s="91" t="n">
        <v>5877283645.77259</v>
      </c>
    </row>
    <row r="11">
      <c r="A11" s="114" t="inlineStr">
        <is>
          <t>TSLA</t>
        </is>
      </c>
      <c r="B11" s="114" t="inlineStr">
        <is>
          <t>Stocks</t>
        </is>
      </c>
      <c r="C11" s="114" t="n">
        <v>4</v>
      </c>
      <c r="D11" s="114" t="inlineStr">
        <is>
          <t>cash, flx, km, xyz</t>
        </is>
      </c>
      <c r="E11" s="115" t="inlineStr">
        <is>
          <t>2025-11-13</t>
        </is>
      </c>
      <c r="F11" s="115" t="inlineStr">
        <is>
          <t>2026-05-24</t>
        </is>
      </c>
      <c r="G11" s="91" t="n">
        <v>4555347493.228096</v>
      </c>
    </row>
    <row r="12">
      <c r="A12" s="114" t="inlineStr">
        <is>
          <t>INTC</t>
        </is>
      </c>
      <c r="B12" s="114" t="inlineStr">
        <is>
          <t>Stocks</t>
        </is>
      </c>
      <c r="C12" s="114" t="n">
        <v>2</v>
      </c>
      <c r="D12" s="114" t="inlineStr">
        <is>
          <t>cash, xyz</t>
        </is>
      </c>
      <c r="E12" s="115" t="inlineStr">
        <is>
          <t>2025-12-03</t>
        </is>
      </c>
      <c r="F12" s="115" t="inlineStr">
        <is>
          <t>2026-05-24</t>
        </is>
      </c>
      <c r="G12" s="91" t="n">
        <v>3921005743.241461</v>
      </c>
    </row>
    <row r="13">
      <c r="A13" s="114" t="inlineStr">
        <is>
          <t>MU</t>
        </is>
      </c>
      <c r="B13" s="114" t="inlineStr">
        <is>
          <t>Stocks</t>
        </is>
      </c>
      <c r="C13" s="114" t="n">
        <v>2</v>
      </c>
      <c r="D13" s="114" t="inlineStr">
        <is>
          <t>km, xyz</t>
        </is>
      </c>
      <c r="E13" s="115" t="inlineStr">
        <is>
          <t>2025-12-19</t>
        </is>
      </c>
      <c r="F13" s="115" t="inlineStr">
        <is>
          <t>2026-05-24</t>
        </is>
      </c>
      <c r="G13" s="91" t="n">
        <v>3294992478.78646</v>
      </c>
    </row>
    <row r="14">
      <c r="A14" s="114" t="inlineStr">
        <is>
          <t>SNDK</t>
        </is>
      </c>
      <c r="B14" s="114" t="inlineStr">
        <is>
          <t>Stocks</t>
        </is>
      </c>
      <c r="C14" s="114" t="n">
        <v>1</v>
      </c>
      <c r="D14" s="114" t="inlineStr">
        <is>
          <t>xyz</t>
        </is>
      </c>
      <c r="E14" s="115" t="inlineStr">
        <is>
          <t>2026-01-12</t>
        </is>
      </c>
      <c r="F14" s="115" t="inlineStr">
        <is>
          <t>2026-05-24</t>
        </is>
      </c>
      <c r="G14" s="91" t="n">
        <v>3254091206.23582</v>
      </c>
    </row>
    <row r="15">
      <c r="A15" s="114" t="inlineStr">
        <is>
          <t>HOOD</t>
        </is>
      </c>
      <c r="B15" s="114" t="inlineStr">
        <is>
          <t>Stocks</t>
        </is>
      </c>
      <c r="C15" s="114" t="n">
        <v>2</v>
      </c>
      <c r="D15" s="114" t="inlineStr">
        <is>
          <t>cash, xyz</t>
        </is>
      </c>
      <c r="E15" s="115" t="inlineStr">
        <is>
          <t>2025-11-26</t>
        </is>
      </c>
      <c r="F15" s="115" t="inlineStr">
        <is>
          <t>2026-05-24</t>
        </is>
      </c>
      <c r="G15" s="91" t="n">
        <v>2731625371.431879</v>
      </c>
    </row>
    <row r="16">
      <c r="A16" s="114" t="inlineStr">
        <is>
          <t>CRCL</t>
        </is>
      </c>
      <c r="B16" s="114" t="inlineStr">
        <is>
          <t>Pre-IPO</t>
        </is>
      </c>
      <c r="C16" s="114" t="n">
        <v>2</v>
      </c>
      <c r="D16" s="114" t="inlineStr">
        <is>
          <t>flx, xyz</t>
        </is>
      </c>
      <c r="E16" s="115" t="inlineStr">
        <is>
          <t>2025-11-24</t>
        </is>
      </c>
      <c r="F16" s="115" t="inlineStr">
        <is>
          <t>2026-05-24</t>
        </is>
      </c>
      <c r="G16" s="91" t="n">
        <v>2632717544.45674</v>
      </c>
    </row>
    <row r="17">
      <c r="A17" s="114" t="inlineStr">
        <is>
          <t>COPPER</t>
        </is>
      </c>
      <c r="B17" s="114" t="inlineStr">
        <is>
          <t>Metals</t>
        </is>
      </c>
      <c r="C17" s="114" t="n">
        <v>2</v>
      </c>
      <c r="D17" s="114" t="inlineStr">
        <is>
          <t>flx, xyz</t>
        </is>
      </c>
      <c r="E17" s="115" t="inlineStr">
        <is>
          <t>2026-01-14</t>
        </is>
      </c>
      <c r="F17" s="115" t="inlineStr">
        <is>
          <t>2026-05-24</t>
        </is>
      </c>
      <c r="G17" s="91" t="n">
        <v>2422571333.649329</v>
      </c>
    </row>
    <row r="18">
      <c r="A18" s="114" t="inlineStr">
        <is>
          <t>GOOGL</t>
        </is>
      </c>
      <c r="B18" s="114" t="inlineStr">
        <is>
          <t>Stocks</t>
        </is>
      </c>
      <c r="C18" s="114" t="n">
        <v>3</v>
      </c>
      <c r="D18" s="114" t="inlineStr">
        <is>
          <t>cash, km, xyz</t>
        </is>
      </c>
      <c r="E18" s="115" t="inlineStr">
        <is>
          <t>2025-11-18</t>
        </is>
      </c>
      <c r="F18" s="115" t="inlineStr">
        <is>
          <t>2026-05-24</t>
        </is>
      </c>
      <c r="G18" s="91" t="n">
        <v>2249769146.468549</v>
      </c>
    </row>
    <row r="19">
      <c r="A19" s="114" t="inlineStr">
        <is>
          <t>BTC</t>
        </is>
      </c>
      <c r="B19" s="114" t="inlineStr">
        <is>
          <t>Crypto</t>
        </is>
      </c>
      <c r="C19" s="114" t="n">
        <v>1</v>
      </c>
      <c r="D19" s="114" t="inlineStr">
        <is>
          <t>hyna</t>
        </is>
      </c>
      <c r="E19" s="115" t="inlineStr">
        <is>
          <t>2025-12-03</t>
        </is>
      </c>
      <c r="F19" s="115" t="inlineStr">
        <is>
          <t>2026-05-24</t>
        </is>
      </c>
      <c r="G19" s="91" t="n">
        <v>1906776853.550659</v>
      </c>
    </row>
    <row r="20">
      <c r="A20" s="114" t="inlineStr">
        <is>
          <t>US500</t>
        </is>
      </c>
      <c r="B20" s="114" t="inlineStr">
        <is>
          <t>Indices/ETFs</t>
        </is>
      </c>
      <c r="C20" s="114" t="n">
        <v>1</v>
      </c>
      <c r="D20" s="114" t="inlineStr">
        <is>
          <t>km</t>
        </is>
      </c>
      <c r="E20" s="115" t="inlineStr">
        <is>
          <t>2026-01-12</t>
        </is>
      </c>
      <c r="F20" s="115" t="inlineStr">
        <is>
          <t>2026-05-24</t>
        </is>
      </c>
      <c r="G20" s="91" t="n">
        <v>1695238173.287871</v>
      </c>
    </row>
    <row r="21">
      <c r="A21" s="114" t="inlineStr">
        <is>
          <t>NATGAS</t>
        </is>
      </c>
      <c r="B21" s="114" t="inlineStr">
        <is>
          <t>Energy</t>
        </is>
      </c>
      <c r="C21" s="114" t="n">
        <v>1</v>
      </c>
      <c r="D21" s="114" t="inlineStr">
        <is>
          <t>xyz</t>
        </is>
      </c>
      <c r="E21" s="115" t="inlineStr">
        <is>
          <t>2026-01-21</t>
        </is>
      </c>
      <c r="F21" s="115" t="inlineStr">
        <is>
          <t>2026-05-24</t>
        </is>
      </c>
      <c r="G21" s="91" t="n">
        <v>1623790602.79231</v>
      </c>
    </row>
    <row r="22">
      <c r="A22" s="114" t="inlineStr">
        <is>
          <t>COIN</t>
        </is>
      </c>
      <c r="B22" s="114" t="inlineStr">
        <is>
          <t>Stocks</t>
        </is>
      </c>
      <c r="C22" s="114" t="n">
        <v>2</v>
      </c>
      <c r="D22" s="114" t="inlineStr">
        <is>
          <t>flx, xyz</t>
        </is>
      </c>
      <c r="E22" s="115" t="inlineStr">
        <is>
          <t>2025-11-25</t>
        </is>
      </c>
      <c r="F22" s="115" t="inlineStr">
        <is>
          <t>2026-05-24</t>
        </is>
      </c>
      <c r="G22" s="91" t="n">
        <v>1379270018.901911</v>
      </c>
    </row>
    <row r="23">
      <c r="A23" s="114" t="inlineStr">
        <is>
          <t>PLTR</t>
        </is>
      </c>
      <c r="B23" s="114" t="inlineStr">
        <is>
          <t>Stocks</t>
        </is>
      </c>
      <c r="C23" s="114" t="n">
        <v>2</v>
      </c>
      <c r="D23" s="114" t="inlineStr">
        <is>
          <t>km, xyz</t>
        </is>
      </c>
      <c r="E23" s="115" t="inlineStr">
        <is>
          <t>2025-11-14</t>
        </is>
      </c>
      <c r="F23" s="115" t="inlineStr">
        <is>
          <t>2026-05-24</t>
        </is>
      </c>
      <c r="G23" s="91" t="n">
        <v>1315225310.39887</v>
      </c>
    </row>
    <row r="24">
      <c r="A24" s="114" t="inlineStr">
        <is>
          <t>AMZN</t>
        </is>
      </c>
      <c r="B24" s="114" t="inlineStr">
        <is>
          <t>Stocks</t>
        </is>
      </c>
      <c r="C24" s="114" t="n">
        <v>2</v>
      </c>
      <c r="D24" s="114" t="inlineStr">
        <is>
          <t>cash, xyz</t>
        </is>
      </c>
      <c r="E24" s="115" t="inlineStr">
        <is>
          <t>2025-11-18</t>
        </is>
      </c>
      <c r="F24" s="115" t="inlineStr">
        <is>
          <t>2026-05-24</t>
        </is>
      </c>
      <c r="G24" s="91" t="n">
        <v>1295564192.884231</v>
      </c>
    </row>
    <row r="25">
      <c r="A25" s="114" t="inlineStr">
        <is>
          <t>EWY</t>
        </is>
      </c>
      <c r="B25" s="114" t="inlineStr">
        <is>
          <t>Indices/ETFs</t>
        </is>
      </c>
      <c r="C25" s="114" t="n">
        <v>2</v>
      </c>
      <c r="D25" s="114" t="inlineStr">
        <is>
          <t>cash, xyz</t>
        </is>
      </c>
      <c r="E25" s="115" t="inlineStr">
        <is>
          <t>2026-03-02</t>
        </is>
      </c>
      <c r="F25" s="115" t="inlineStr">
        <is>
          <t>2026-05-24</t>
        </is>
      </c>
      <c r="G25" s="91" t="n">
        <v>1286722221.739201</v>
      </c>
    </row>
    <row r="26">
      <c r="A26" s="114" t="inlineStr">
        <is>
          <t>MSTR</t>
        </is>
      </c>
      <c r="B26" s="114" t="inlineStr">
        <is>
          <t>Stocks</t>
        </is>
      </c>
      <c r="C26" s="114" t="n">
        <v>1</v>
      </c>
      <c r="D26" s="114" t="inlineStr">
        <is>
          <t>xyz</t>
        </is>
      </c>
      <c r="E26" s="115" t="inlineStr">
        <is>
          <t>2025-12-02</t>
        </is>
      </c>
      <c r="F26" s="115" t="inlineStr">
        <is>
          <t>2026-05-24</t>
        </is>
      </c>
      <c r="G26" s="91" t="n">
        <v>1268355374.4525</v>
      </c>
    </row>
    <row r="27">
      <c r="A27" s="114" t="inlineStr">
        <is>
          <t>PLATINUM</t>
        </is>
      </c>
      <c r="B27" s="114" t="inlineStr">
        <is>
          <t>Metals</t>
        </is>
      </c>
      <c r="C27" s="114" t="n">
        <v>2</v>
      </c>
      <c r="D27" s="114" t="inlineStr">
        <is>
          <t>flx, xyz</t>
        </is>
      </c>
      <c r="E27" s="115" t="inlineStr">
        <is>
          <t>2026-01-27</t>
        </is>
      </c>
      <c r="F27" s="115" t="inlineStr">
        <is>
          <t>2026-05-24</t>
        </is>
      </c>
      <c r="G27" s="91" t="n">
        <v>1152675828.38993</v>
      </c>
    </row>
    <row r="28">
      <c r="A28" s="114" t="inlineStr">
        <is>
          <t>META</t>
        </is>
      </c>
      <c r="B28" s="114" t="inlineStr">
        <is>
          <t>Stocks</t>
        </is>
      </c>
      <c r="C28" s="114" t="n">
        <v>2</v>
      </c>
      <c r="D28" s="114" t="inlineStr">
        <is>
          <t>cash, xyz</t>
        </is>
      </c>
      <c r="E28" s="115" t="inlineStr">
        <is>
          <t>2025-11-20</t>
        </is>
      </c>
      <c r="F28" s="115" t="inlineStr">
        <is>
          <t>2026-05-24</t>
        </is>
      </c>
      <c r="G28" s="91" t="n">
        <v>1023635730.410991</v>
      </c>
    </row>
    <row r="29">
      <c r="A29" s="114" t="inlineStr">
        <is>
          <t>MSFT</t>
        </is>
      </c>
      <c r="B29" s="114" t="inlineStr">
        <is>
          <t>Stocks</t>
        </is>
      </c>
      <c r="C29" s="114" t="n">
        <v>2</v>
      </c>
      <c r="D29" s="114" t="inlineStr">
        <is>
          <t>cash, xyz</t>
        </is>
      </c>
      <c r="E29" s="115" t="inlineStr">
        <is>
          <t>2025-11-19</t>
        </is>
      </c>
      <c r="F29" s="115" t="inlineStr">
        <is>
          <t>2026-05-24</t>
        </is>
      </c>
      <c r="G29" s="91" t="n">
        <v>947013231.4179503</v>
      </c>
    </row>
    <row r="30">
      <c r="A30" s="114" t="inlineStr">
        <is>
          <t>EUR</t>
        </is>
      </c>
      <c r="B30" s="114" t="inlineStr">
        <is>
          <t>FX</t>
        </is>
      </c>
      <c r="C30" s="114" t="n">
        <v>2</v>
      </c>
      <c r="D30" s="114" t="inlineStr">
        <is>
          <t>km, xyz</t>
        </is>
      </c>
      <c r="E30" s="115" t="inlineStr">
        <is>
          <t>2025-12-23</t>
        </is>
      </c>
      <c r="F30" s="115" t="inlineStr">
        <is>
          <t>2026-05-24</t>
        </is>
      </c>
      <c r="G30" s="91" t="n">
        <v>894922532.1789497</v>
      </c>
    </row>
    <row r="31">
      <c r="A31" s="114" t="inlineStr">
        <is>
          <t>ETH</t>
        </is>
      </c>
      <c r="B31" s="114" t="inlineStr">
        <is>
          <t>Crypto</t>
        </is>
      </c>
      <c r="C31" s="114" t="n">
        <v>1</v>
      </c>
      <c r="D31" s="114" t="inlineStr">
        <is>
          <t>hyna</t>
        </is>
      </c>
      <c r="E31" s="115" t="inlineStr">
        <is>
          <t>2025-12-08</t>
        </is>
      </c>
      <c r="F31" s="115" t="inlineStr">
        <is>
          <t>2026-05-24</t>
        </is>
      </c>
      <c r="G31" s="91" t="n">
        <v>870093139.6707801</v>
      </c>
    </row>
    <row r="32">
      <c r="A32" s="114" t="inlineStr">
        <is>
          <t>JPY</t>
        </is>
      </c>
      <c r="B32" s="114" t="inlineStr">
        <is>
          <t>FX</t>
        </is>
      </c>
      <c r="C32" s="114" t="n">
        <v>1</v>
      </c>
      <c r="D32" s="114" t="inlineStr">
        <is>
          <t>xyz</t>
        </is>
      </c>
      <c r="E32" s="115" t="inlineStr">
        <is>
          <t>2025-12-23</t>
        </is>
      </c>
      <c r="F32" s="115" t="inlineStr">
        <is>
          <t>2026-05-24</t>
        </is>
      </c>
      <c r="G32" s="91" t="n">
        <v>788658670.1368997</v>
      </c>
    </row>
    <row r="33">
      <c r="A33" s="114" t="inlineStr">
        <is>
          <t>AMD</t>
        </is>
      </c>
      <c r="B33" s="114" t="inlineStr">
        <is>
          <t>Stocks</t>
        </is>
      </c>
      <c r="C33" s="114" t="n">
        <v>1</v>
      </c>
      <c r="D33" s="114" t="inlineStr">
        <is>
          <t>xyz</t>
        </is>
      </c>
      <c r="E33" s="115" t="inlineStr">
        <is>
          <t>2025-12-04</t>
        </is>
      </c>
      <c r="F33" s="115" t="inlineStr">
        <is>
          <t>2026-05-24</t>
        </is>
      </c>
      <c r="G33" s="91" t="n">
        <v>781939953.5147799</v>
      </c>
    </row>
    <row r="34">
      <c r="A34" s="114" t="inlineStr">
        <is>
          <t>WTI</t>
        </is>
      </c>
      <c r="B34" s="114" t="inlineStr">
        <is>
          <t>Energy</t>
        </is>
      </c>
      <c r="C34" s="114" t="n">
        <v>1</v>
      </c>
      <c r="D34" s="114" t="inlineStr">
        <is>
          <t>cash</t>
        </is>
      </c>
      <c r="E34" s="115" t="inlineStr">
        <is>
          <t>2026-03-11</t>
        </is>
      </c>
      <c r="F34" s="115" t="inlineStr">
        <is>
          <t>2026-05-24</t>
        </is>
      </c>
      <c r="G34" s="91" t="n">
        <v>677197196.8508303</v>
      </c>
    </row>
    <row r="35">
      <c r="A35" s="114" t="inlineStr">
        <is>
          <t>CBRS</t>
        </is>
      </c>
      <c r="B35" s="114" t="inlineStr">
        <is>
          <t>Stocks</t>
        </is>
      </c>
      <c r="C35" s="114" t="n">
        <v>1</v>
      </c>
      <c r="D35" s="114" t="inlineStr">
        <is>
          <t>xyz</t>
        </is>
      </c>
      <c r="E35" s="115" t="inlineStr">
        <is>
          <t>2026-05-01</t>
        </is>
      </c>
      <c r="F35" s="115" t="inlineStr">
        <is>
          <t>2026-05-24</t>
        </is>
      </c>
      <c r="G35" s="91" t="n">
        <v>647701209.8754998</v>
      </c>
    </row>
    <row r="36">
      <c r="A36" s="114" t="inlineStr">
        <is>
          <t>ORCL</t>
        </is>
      </c>
      <c r="B36" s="114" t="inlineStr">
        <is>
          <t>Stocks</t>
        </is>
      </c>
      <c r="C36" s="114" t="n">
        <v>1</v>
      </c>
      <c r="D36" s="114" t="inlineStr">
        <is>
          <t>xyz</t>
        </is>
      </c>
      <c r="E36" s="115" t="inlineStr">
        <is>
          <t>2025-12-05</t>
        </is>
      </c>
      <c r="F36" s="115" t="inlineStr">
        <is>
          <t>2026-05-24</t>
        </is>
      </c>
      <c r="G36" s="91" t="n">
        <v>621625005.6913202</v>
      </c>
    </row>
    <row r="37">
      <c r="A37" s="114" t="inlineStr">
        <is>
          <t>AAPL</t>
        </is>
      </c>
      <c r="B37" s="114" t="inlineStr">
        <is>
          <t>Stocks</t>
        </is>
      </c>
      <c r="C37" s="114" t="n">
        <v>2</v>
      </c>
      <c r="D37" s="114" t="inlineStr">
        <is>
          <t>km, xyz</t>
        </is>
      </c>
      <c r="E37" s="115" t="inlineStr">
        <is>
          <t>2025-11-21</t>
        </is>
      </c>
      <c r="F37" s="115" t="inlineStr">
        <is>
          <t>2026-05-24</t>
        </is>
      </c>
      <c r="G37" s="91" t="n">
        <v>589932457.02863</v>
      </c>
    </row>
    <row r="38">
      <c r="A38" s="114" t="inlineStr">
        <is>
          <t>HYPE</t>
        </is>
      </c>
      <c r="B38" s="114" t="inlineStr">
        <is>
          <t>Crypto</t>
        </is>
      </c>
      <c r="C38" s="114" t="n">
        <v>1</v>
      </c>
      <c r="D38" s="114" t="inlineStr">
        <is>
          <t>hyna</t>
        </is>
      </c>
      <c r="E38" s="115" t="inlineStr">
        <is>
          <t>2025-12-06</t>
        </is>
      </c>
      <c r="F38" s="115" t="inlineStr">
        <is>
          <t>2026-05-24</t>
        </is>
      </c>
      <c r="G38" s="91" t="n">
        <v>509889982.2108603</v>
      </c>
    </row>
    <row r="39">
      <c r="A39" s="114" t="inlineStr">
        <is>
          <t>OIL</t>
        </is>
      </c>
      <c r="B39" s="114" t="inlineStr">
        <is>
          <t>Stocks</t>
        </is>
      </c>
      <c r="C39" s="114" t="n">
        <v>1</v>
      </c>
      <c r="D39" s="114" t="inlineStr">
        <is>
          <t>flx</t>
        </is>
      </c>
      <c r="E39" s="115" t="inlineStr">
        <is>
          <t>2026-01-09</t>
        </is>
      </c>
      <c r="F39" s="115" t="inlineStr">
        <is>
          <t>2026-05-24</t>
        </is>
      </c>
      <c r="G39" s="91" t="n">
        <v>508859628.047879</v>
      </c>
    </row>
    <row r="40">
      <c r="A40" s="114" t="inlineStr">
        <is>
          <t>USTECH</t>
        </is>
      </c>
      <c r="B40" s="114" t="inlineStr">
        <is>
          <t>Stocks</t>
        </is>
      </c>
      <c r="C40" s="114" t="n">
        <v>1</v>
      </c>
      <c r="D40" s="114" t="inlineStr">
        <is>
          <t>km</t>
        </is>
      </c>
      <c r="E40" s="115" t="inlineStr">
        <is>
          <t>2026-01-13</t>
        </is>
      </c>
      <c r="F40" s="115" t="inlineStr">
        <is>
          <t>2026-05-24</t>
        </is>
      </c>
      <c r="G40" s="91" t="n">
        <v>399483295.7375602</v>
      </c>
    </row>
    <row r="41">
      <c r="A41" s="114" t="inlineStr">
        <is>
          <t>SKHX</t>
        </is>
      </c>
      <c r="B41" s="114" t="inlineStr">
        <is>
          <t>Stocks</t>
        </is>
      </c>
      <c r="C41" s="114" t="n">
        <v>1</v>
      </c>
      <c r="D41" s="114" t="inlineStr">
        <is>
          <t>xyz</t>
        </is>
      </c>
      <c r="E41" s="115" t="inlineStr">
        <is>
          <t>2026-02-19</t>
        </is>
      </c>
      <c r="F41" s="115" t="inlineStr">
        <is>
          <t>2026-05-24</t>
        </is>
      </c>
      <c r="G41" s="91" t="n">
        <v>398005352.0149099</v>
      </c>
    </row>
    <row r="42">
      <c r="A42" s="114" t="inlineStr">
        <is>
          <t>USOIL</t>
        </is>
      </c>
      <c r="B42" s="114" t="inlineStr">
        <is>
          <t>Stocks</t>
        </is>
      </c>
      <c r="C42" s="114" t="n">
        <v>1</v>
      </c>
      <c r="D42" s="114" t="inlineStr">
        <is>
          <t>km</t>
        </is>
      </c>
      <c r="E42" s="115" t="inlineStr">
        <is>
          <t>2026-01-22</t>
        </is>
      </c>
      <c r="F42" s="115" t="inlineStr">
        <is>
          <t>2026-05-24</t>
        </is>
      </c>
      <c r="G42" s="91" t="n">
        <v>325877357.793193</v>
      </c>
    </row>
    <row r="43">
      <c r="A43" s="114" t="inlineStr">
        <is>
          <t>TSM</t>
        </is>
      </c>
      <c r="B43" s="114" t="inlineStr">
        <is>
          <t>Stocks</t>
        </is>
      </c>
      <c r="C43" s="114" t="n">
        <v>1</v>
      </c>
      <c r="D43" s="114" t="inlineStr">
        <is>
          <t>xyz</t>
        </is>
      </c>
      <c r="E43" s="115" t="inlineStr">
        <is>
          <t>2026-02-03</t>
        </is>
      </c>
      <c r="F43" s="115" t="inlineStr">
        <is>
          <t>2026-05-24</t>
        </is>
      </c>
      <c r="G43" s="91" t="n">
        <v>291407131.15485</v>
      </c>
    </row>
    <row r="44">
      <c r="A44" s="114" t="inlineStr">
        <is>
          <t>BABA</t>
        </is>
      </c>
      <c r="B44" s="114" t="inlineStr">
        <is>
          <t>Stocks</t>
        </is>
      </c>
      <c r="C44" s="114" t="n">
        <v>2</v>
      </c>
      <c r="D44" s="114" t="inlineStr">
        <is>
          <t>km, xyz</t>
        </is>
      </c>
      <c r="E44" s="115" t="inlineStr">
        <is>
          <t>2026-01-15</t>
        </is>
      </c>
      <c r="F44" s="115" t="inlineStr">
        <is>
          <t>2026-05-24</t>
        </is>
      </c>
      <c r="G44" s="91" t="n">
        <v>290174852.60943</v>
      </c>
    </row>
    <row r="45">
      <c r="A45" s="114" t="inlineStr">
        <is>
          <t>CRWV</t>
        </is>
      </c>
      <c r="B45" s="114" t="inlineStr">
        <is>
          <t>Stocks</t>
        </is>
      </c>
      <c r="C45" s="114" t="n">
        <v>1</v>
      </c>
      <c r="D45" s="114" t="inlineStr">
        <is>
          <t>xyz</t>
        </is>
      </c>
      <c r="E45" s="115" t="inlineStr">
        <is>
          <t>2026-01-27</t>
        </is>
      </c>
      <c r="F45" s="115" t="inlineStr">
        <is>
          <t>2026-05-24</t>
        </is>
      </c>
      <c r="G45" s="91" t="n">
        <v>259799648.59064</v>
      </c>
    </row>
    <row r="46">
      <c r="A46" s="114" t="inlineStr">
        <is>
          <t>NFLX</t>
        </is>
      </c>
      <c r="B46" s="114" t="inlineStr">
        <is>
          <t>Stocks</t>
        </is>
      </c>
      <c r="C46" s="114" t="n">
        <v>1</v>
      </c>
      <c r="D46" s="114" t="inlineStr">
        <is>
          <t>xyz</t>
        </is>
      </c>
      <c r="E46" s="115" t="inlineStr">
        <is>
          <t>2025-12-08</t>
        </is>
      </c>
      <c r="F46" s="115" t="inlineStr">
        <is>
          <t>2026-05-24</t>
        </is>
      </c>
      <c r="G46" s="91" t="n">
        <v>235181862.192205</v>
      </c>
    </row>
    <row r="47">
      <c r="A47" s="114" t="inlineStr">
        <is>
          <t>SMALL2000</t>
        </is>
      </c>
      <c r="B47" s="114" t="inlineStr">
        <is>
          <t>Stocks</t>
        </is>
      </c>
      <c r="C47" s="114" t="n">
        <v>1</v>
      </c>
      <c r="D47" s="114" t="inlineStr">
        <is>
          <t>km</t>
        </is>
      </c>
      <c r="E47" s="115" t="inlineStr">
        <is>
          <t>2026-01-14</t>
        </is>
      </c>
      <c r="F47" s="115" t="inlineStr">
        <is>
          <t>2026-05-24</t>
        </is>
      </c>
      <c r="G47" s="91" t="n">
        <v>221832891.76069</v>
      </c>
    </row>
    <row r="48">
      <c r="A48" s="114" t="inlineStr">
        <is>
          <t>MAG7</t>
        </is>
      </c>
      <c r="B48" s="114" t="inlineStr">
        <is>
          <t>Stocks</t>
        </is>
      </c>
      <c r="C48" s="114" t="n">
        <v>1</v>
      </c>
      <c r="D48" s="114" t="inlineStr">
        <is>
          <t>vntl</t>
        </is>
      </c>
      <c r="E48" s="115" t="inlineStr">
        <is>
          <t>2025-12-10</t>
        </is>
      </c>
      <c r="F48" s="115" t="inlineStr">
        <is>
          <t>2026-05-24</t>
        </is>
      </c>
      <c r="G48" s="91" t="n">
        <v>219351898.6302879</v>
      </c>
    </row>
    <row r="49">
      <c r="A49" s="114" t="inlineStr">
        <is>
          <t>SOL</t>
        </is>
      </c>
      <c r="B49" s="114" t="inlineStr">
        <is>
          <t>Crypto</t>
        </is>
      </c>
      <c r="C49" s="114" t="n">
        <v>1</v>
      </c>
      <c r="D49" s="114" t="inlineStr">
        <is>
          <t>hyna</t>
        </is>
      </c>
      <c r="E49" s="115" t="inlineStr">
        <is>
          <t>2025-12-08</t>
        </is>
      </c>
      <c r="F49" s="115" t="inlineStr">
        <is>
          <t>2026-05-24</t>
        </is>
      </c>
      <c r="G49" s="91" t="n">
        <v>212523853.9356599</v>
      </c>
    </row>
    <row r="50">
      <c r="A50" s="114" t="inlineStr">
        <is>
          <t>DRAM</t>
        </is>
      </c>
      <c r="B50" s="114" t="inlineStr">
        <is>
          <t>Stocks</t>
        </is>
      </c>
      <c r="C50" s="114" t="n">
        <v>1</v>
      </c>
      <c r="D50" s="114" t="inlineStr">
        <is>
          <t>xyz</t>
        </is>
      </c>
      <c r="E50" s="115" t="inlineStr">
        <is>
          <t>2026-05-04</t>
        </is>
      </c>
      <c r="F50" s="115" t="inlineStr">
        <is>
          <t>2026-05-24</t>
        </is>
      </c>
      <c r="G50" s="91" t="n">
        <v>192911999.1554</v>
      </c>
    </row>
    <row r="51">
      <c r="A51" s="114" t="inlineStr">
        <is>
          <t>HIMS</t>
        </is>
      </c>
      <c r="B51" s="114" t="inlineStr">
        <is>
          <t>Stocks</t>
        </is>
      </c>
      <c r="C51" s="114" t="n">
        <v>1</v>
      </c>
      <c r="D51" s="114" t="inlineStr">
        <is>
          <t>xyz</t>
        </is>
      </c>
      <c r="E51" s="115" t="inlineStr">
        <is>
          <t>2026-03-25</t>
        </is>
      </c>
      <c r="F51" s="115" t="inlineStr">
        <is>
          <t>2026-05-24</t>
        </is>
      </c>
      <c r="G51" s="91" t="n">
        <v>190854580.80025</v>
      </c>
    </row>
    <row r="52">
      <c r="A52" s="114" t="inlineStr">
        <is>
          <t>RIVN</t>
        </is>
      </c>
      <c r="B52" s="114" t="inlineStr">
        <is>
          <t>Stocks</t>
        </is>
      </c>
      <c r="C52" s="114" t="n">
        <v>1</v>
      </c>
      <c r="D52" s="114" t="inlineStr">
        <is>
          <t>xyz</t>
        </is>
      </c>
      <c r="E52" s="115" t="inlineStr">
        <is>
          <t>2026-01-14</t>
        </is>
      </c>
      <c r="F52" s="115" t="inlineStr">
        <is>
          <t>2026-05-24</t>
        </is>
      </c>
      <c r="G52" s="91" t="n">
        <v>175276278.3350199</v>
      </c>
    </row>
    <row r="53">
      <c r="A53" s="114" t="inlineStr">
        <is>
          <t>SPCX</t>
        </is>
      </c>
      <c r="B53" s="114" t="inlineStr">
        <is>
          <t>Indices/ETFs</t>
        </is>
      </c>
      <c r="C53" s="114" t="n">
        <v>1</v>
      </c>
      <c r="D53" s="114" t="inlineStr">
        <is>
          <t>xyz</t>
        </is>
      </c>
      <c r="E53" s="115" t="inlineStr">
        <is>
          <t>2026-05-17</t>
        </is>
      </c>
      <c r="F53" s="115" t="inlineStr">
        <is>
          <t>2026-05-24</t>
        </is>
      </c>
      <c r="G53" s="91" t="n">
        <v>170986911.7129</v>
      </c>
    </row>
    <row r="54">
      <c r="A54" s="114" t="inlineStr">
        <is>
          <t>USAR</t>
        </is>
      </c>
      <c r="B54" s="114" t="inlineStr">
        <is>
          <t>Stocks</t>
        </is>
      </c>
      <c r="C54" s="114" t="n">
        <v>1</v>
      </c>
      <c r="D54" s="114" t="inlineStr">
        <is>
          <t>xyz</t>
        </is>
      </c>
      <c r="E54" s="115" t="inlineStr">
        <is>
          <t>2026-01-26</t>
        </is>
      </c>
      <c r="F54" s="115" t="inlineStr">
        <is>
          <t>2026-05-24</t>
        </is>
      </c>
      <c r="G54" s="91" t="n">
        <v>148538676.46974</v>
      </c>
    </row>
    <row r="55">
      <c r="A55" s="114" t="inlineStr">
        <is>
          <t>SMSN</t>
        </is>
      </c>
      <c r="B55" s="114" t="inlineStr">
        <is>
          <t>Stocks</t>
        </is>
      </c>
      <c r="C55" s="114" t="n">
        <v>1</v>
      </c>
      <c r="D55" s="114" t="inlineStr">
        <is>
          <t>xyz</t>
        </is>
      </c>
      <c r="E55" s="115" t="inlineStr">
        <is>
          <t>2026-02-20</t>
        </is>
      </c>
      <c r="F55" s="115" t="inlineStr">
        <is>
          <t>2026-05-24</t>
        </is>
      </c>
      <c r="G55" s="91" t="n">
        <v>145039628.47818</v>
      </c>
    </row>
    <row r="56">
      <c r="A56" s="114" t="inlineStr">
        <is>
          <t>XMR</t>
        </is>
      </c>
      <c r="B56" s="114" t="inlineStr">
        <is>
          <t>Stocks</t>
        </is>
      </c>
      <c r="C56" s="114" t="n">
        <v>2</v>
      </c>
      <c r="D56" s="114" t="inlineStr">
        <is>
          <t>flx, hyna</t>
        </is>
      </c>
      <c r="E56" s="115" t="inlineStr">
        <is>
          <t>2025-12-16</t>
        </is>
      </c>
      <c r="F56" s="115" t="inlineStr">
        <is>
          <t>2026-05-24</t>
        </is>
      </c>
      <c r="G56" s="91" t="n">
        <v>123389759.6859</v>
      </c>
    </row>
    <row r="57">
      <c r="A57" s="114" t="inlineStr">
        <is>
          <t>RKLB</t>
        </is>
      </c>
      <c r="B57" s="114" t="inlineStr">
        <is>
          <t>Stocks</t>
        </is>
      </c>
      <c r="C57" s="114" t="n">
        <v>1</v>
      </c>
      <c r="D57" s="114" t="inlineStr">
        <is>
          <t>xyz</t>
        </is>
      </c>
      <c r="E57" s="115" t="inlineStr">
        <is>
          <t>2026-05-04</t>
        </is>
      </c>
      <c r="F57" s="115" t="inlineStr">
        <is>
          <t>2026-05-24</t>
        </is>
      </c>
      <c r="G57" s="91" t="n">
        <v>85534706.50335999</v>
      </c>
    </row>
    <row r="58">
      <c r="A58" s="114" t="inlineStr">
        <is>
          <t>URNM</t>
        </is>
      </c>
      <c r="B58" s="114" t="inlineStr">
        <is>
          <t>Stocks</t>
        </is>
      </c>
      <c r="C58" s="114" t="n">
        <v>1</v>
      </c>
      <c r="D58" s="114" t="inlineStr">
        <is>
          <t>xyz</t>
        </is>
      </c>
      <c r="E58" s="115" t="inlineStr">
        <is>
          <t>2026-01-29</t>
        </is>
      </c>
      <c r="F58" s="115" t="inlineStr">
        <is>
          <t>2026-05-24</t>
        </is>
      </c>
      <c r="G58" s="91" t="n">
        <v>82002902.00104001</v>
      </c>
    </row>
    <row r="59">
      <c r="A59" s="114" t="inlineStr">
        <is>
          <t>LITE</t>
        </is>
      </c>
      <c r="B59" s="114" t="inlineStr">
        <is>
          <t>Stocks</t>
        </is>
      </c>
      <c r="C59" s="114" t="n">
        <v>1</v>
      </c>
      <c r="D59" s="114" t="inlineStr">
        <is>
          <t>xyz</t>
        </is>
      </c>
      <c r="E59" s="115" t="inlineStr">
        <is>
          <t>2026-05-04</t>
        </is>
      </c>
      <c r="F59" s="115" t="inlineStr">
        <is>
          <t>2026-05-24</t>
        </is>
      </c>
      <c r="G59" s="91" t="n">
        <v>78638735.03922001</v>
      </c>
    </row>
    <row r="60">
      <c r="A60" s="114" t="inlineStr">
        <is>
          <t>TOTAL2</t>
        </is>
      </c>
      <c r="B60" s="114" t="inlineStr">
        <is>
          <t>Indices/ETFs</t>
        </is>
      </c>
      <c r="C60" s="114" t="n">
        <v>1</v>
      </c>
      <c r="D60" s="114" t="inlineStr">
        <is>
          <t>para</t>
        </is>
      </c>
      <c r="E60" s="115" t="inlineStr">
        <is>
          <t>2026-04-01</t>
        </is>
      </c>
      <c r="F60" s="115" t="inlineStr">
        <is>
          <t>2026-05-24</t>
        </is>
      </c>
      <c r="G60" s="91" t="n">
        <v>65389981.93048999</v>
      </c>
    </row>
    <row r="61">
      <c r="A61" s="114" t="inlineStr">
        <is>
          <t>EWJ</t>
        </is>
      </c>
      <c r="B61" s="114" t="inlineStr">
        <is>
          <t>Stocks</t>
        </is>
      </c>
      <c r="C61" s="114" t="n">
        <v>1</v>
      </c>
      <c r="D61" s="114" t="inlineStr">
        <is>
          <t>xyz</t>
        </is>
      </c>
      <c r="E61" s="115" t="inlineStr">
        <is>
          <t>2026-03-02</t>
        </is>
      </c>
      <c r="F61" s="115" t="inlineStr">
        <is>
          <t>2026-05-24</t>
        </is>
      </c>
      <c r="G61" s="91" t="n">
        <v>57841165.600431</v>
      </c>
    </row>
    <row r="62">
      <c r="A62" s="114" t="inlineStr">
        <is>
          <t>ANTHROPIC</t>
        </is>
      </c>
      <c r="B62" s="114" t="inlineStr">
        <is>
          <t>Pre-IPO</t>
        </is>
      </c>
      <c r="C62" s="114" t="n">
        <v>1</v>
      </c>
      <c r="D62" s="114" t="inlineStr">
        <is>
          <t>vntl</t>
        </is>
      </c>
      <c r="E62" s="115" t="inlineStr">
        <is>
          <t>2025-11-25</t>
        </is>
      </c>
      <c r="F62" s="115" t="inlineStr">
        <is>
          <t>2026-05-24</t>
        </is>
      </c>
      <c r="G62" s="91" t="n">
        <v>50554929.47803999</v>
      </c>
    </row>
    <row r="63">
      <c r="A63" s="114" t="inlineStr">
        <is>
          <t>USBOND</t>
        </is>
      </c>
      <c r="B63" s="114" t="inlineStr">
        <is>
          <t>Bonds</t>
        </is>
      </c>
      <c r="C63" s="114" t="n">
        <v>1</v>
      </c>
      <c r="D63" s="114" t="inlineStr">
        <is>
          <t>km</t>
        </is>
      </c>
      <c r="E63" s="115" t="inlineStr">
        <is>
          <t>2026-01-21</t>
        </is>
      </c>
      <c r="F63" s="115" t="inlineStr">
        <is>
          <t>2026-05-24</t>
        </is>
      </c>
      <c r="G63" s="91" t="n">
        <v>49756368.52282203</v>
      </c>
    </row>
    <row r="64">
      <c r="A64" s="114" t="inlineStr">
        <is>
          <t>SEMIS</t>
        </is>
      </c>
      <c r="B64" s="114" t="inlineStr">
        <is>
          <t>Stocks</t>
        </is>
      </c>
      <c r="C64" s="114" t="n">
        <v>1</v>
      </c>
      <c r="D64" s="114" t="inlineStr">
        <is>
          <t>vntl</t>
        </is>
      </c>
      <c r="E64" s="115" t="inlineStr">
        <is>
          <t>2026-01-06</t>
        </is>
      </c>
      <c r="F64" s="115" t="inlineStr">
        <is>
          <t>2026-05-24</t>
        </is>
      </c>
      <c r="G64" s="91" t="n">
        <v>48209157.89781001</v>
      </c>
    </row>
    <row r="65">
      <c r="A65" s="114" t="inlineStr">
        <is>
          <t>ZEC</t>
        </is>
      </c>
      <c r="B65" s="114" t="inlineStr">
        <is>
          <t>Stocks</t>
        </is>
      </c>
      <c r="C65" s="114" t="n">
        <v>1</v>
      </c>
      <c r="D65" s="114" t="inlineStr">
        <is>
          <t>hyna</t>
        </is>
      </c>
      <c r="E65" s="115" t="inlineStr">
        <is>
          <t>2025-12-15</t>
        </is>
      </c>
      <c r="F65" s="115" t="inlineStr">
        <is>
          <t>2026-05-24</t>
        </is>
      </c>
      <c r="G65" s="91" t="n">
        <v>47556348.07730001</v>
      </c>
    </row>
    <row r="66">
      <c r="A66" s="114" t="inlineStr">
        <is>
          <t>XRP</t>
        </is>
      </c>
      <c r="B66" s="114" t="inlineStr">
        <is>
          <t>Crypto</t>
        </is>
      </c>
      <c r="C66" s="114" t="n">
        <v>1</v>
      </c>
      <c r="D66" s="114" t="inlineStr">
        <is>
          <t>hyna</t>
        </is>
      </c>
      <c r="E66" s="115" t="inlineStr">
        <is>
          <t>2026-01-05</t>
        </is>
      </c>
      <c r="F66" s="115" t="inlineStr">
        <is>
          <t>2026-05-24</t>
        </is>
      </c>
      <c r="G66" s="91" t="n">
        <v>46472127.91140002</v>
      </c>
    </row>
    <row r="67">
      <c r="A67" s="114" t="inlineStr">
        <is>
          <t>PALLADIUM</t>
        </is>
      </c>
      <c r="B67" s="114" t="inlineStr">
        <is>
          <t>Metals</t>
        </is>
      </c>
      <c r="C67" s="114" t="n">
        <v>2</v>
      </c>
      <c r="D67" s="114" t="inlineStr">
        <is>
          <t>flx, xyz</t>
        </is>
      </c>
      <c r="E67" s="115" t="inlineStr">
        <is>
          <t>2026-01-28</t>
        </is>
      </c>
      <c r="F67" s="115" t="inlineStr">
        <is>
          <t>2026-05-24</t>
        </is>
      </c>
      <c r="G67" s="91" t="n">
        <v>45601369.93622998</v>
      </c>
    </row>
    <row r="68">
      <c r="A68" s="114" t="inlineStr">
        <is>
          <t>SPACEX</t>
        </is>
      </c>
      <c r="B68" s="114" t="inlineStr">
        <is>
          <t>Pre-IPO</t>
        </is>
      </c>
      <c r="C68" s="114" t="n">
        <v>1</v>
      </c>
      <c r="D68" s="114" t="inlineStr">
        <is>
          <t>vntl</t>
        </is>
      </c>
      <c r="E68" s="115" t="inlineStr">
        <is>
          <t>2025-11-13</t>
        </is>
      </c>
      <c r="F68" s="115" t="inlineStr">
        <is>
          <t>2026-05-24</t>
        </is>
      </c>
      <c r="G68" s="91" t="n">
        <v>45082940.93022998</v>
      </c>
    </row>
    <row r="69">
      <c r="A69" s="114" t="inlineStr">
        <is>
          <t>HYUNDAI</t>
        </is>
      </c>
      <c r="B69" s="114" t="inlineStr">
        <is>
          <t>Stocks</t>
        </is>
      </c>
      <c r="C69" s="114" t="n">
        <v>1</v>
      </c>
      <c r="D69" s="114" t="inlineStr">
        <is>
          <t>xyz</t>
        </is>
      </c>
      <c r="E69" s="115" t="inlineStr">
        <is>
          <t>2026-02-20</t>
        </is>
      </c>
      <c r="F69" s="115" t="inlineStr">
        <is>
          <t>2026-05-24</t>
        </is>
      </c>
      <c r="G69" s="91" t="n">
        <v>42514054.95665</v>
      </c>
    </row>
    <row r="70">
      <c r="A70" s="114" t="inlineStr">
        <is>
          <t>OPENAI</t>
        </is>
      </c>
      <c r="B70" s="114" t="inlineStr">
        <is>
          <t>Pre-IPO</t>
        </is>
      </c>
      <c r="C70" s="114" t="n">
        <v>1</v>
      </c>
      <c r="D70" s="114" t="inlineStr">
        <is>
          <t>vntl</t>
        </is>
      </c>
      <c r="E70" s="115" t="inlineStr">
        <is>
          <t>2025-11-20</t>
        </is>
      </c>
      <c r="F70" s="115" t="inlineStr">
        <is>
          <t>2026-05-24</t>
        </is>
      </c>
      <c r="G70" s="91" t="n">
        <v>42313389.52383001</v>
      </c>
    </row>
    <row r="71">
      <c r="A71" s="114" t="inlineStr">
        <is>
          <t>FARTCOIN</t>
        </is>
      </c>
      <c r="B71" s="114" t="inlineStr">
        <is>
          <t>Stocks</t>
        </is>
      </c>
      <c r="C71" s="114" t="n">
        <v>1</v>
      </c>
      <c r="D71" s="114" t="inlineStr">
        <is>
          <t>hyna</t>
        </is>
      </c>
      <c r="E71" s="115" t="inlineStr">
        <is>
          <t>2026-01-14</t>
        </is>
      </c>
      <c r="F71" s="115" t="inlineStr">
        <is>
          <t>2026-05-24</t>
        </is>
      </c>
      <c r="G71" s="91" t="n">
        <v>42158221.98201402</v>
      </c>
    </row>
    <row r="72">
      <c r="A72" s="114" t="inlineStr">
        <is>
          <t>BNB</t>
        </is>
      </c>
      <c r="B72" s="114" t="inlineStr">
        <is>
          <t>Crypto</t>
        </is>
      </c>
      <c r="C72" s="114" t="n">
        <v>1</v>
      </c>
      <c r="D72" s="114" t="inlineStr">
        <is>
          <t>hyna</t>
        </is>
      </c>
      <c r="E72" s="115" t="inlineStr">
        <is>
          <t>2026-01-07</t>
        </is>
      </c>
      <c r="F72" s="115" t="inlineStr">
        <is>
          <t>2026-05-24</t>
        </is>
      </c>
      <c r="G72" s="91" t="n">
        <v>40367839.54601996</v>
      </c>
    </row>
    <row r="73">
      <c r="A73" s="114" t="inlineStr">
        <is>
          <t>PURRDAT</t>
        </is>
      </c>
      <c r="B73" s="114" t="inlineStr">
        <is>
          <t>Stocks</t>
        </is>
      </c>
      <c r="C73" s="114" t="n">
        <v>1</v>
      </c>
      <c r="D73" s="114" t="inlineStr">
        <is>
          <t>xyz</t>
        </is>
      </c>
      <c r="E73" s="115" t="inlineStr">
        <is>
          <t>2026-05-14</t>
        </is>
      </c>
      <c r="F73" s="115" t="inlineStr">
        <is>
          <t>2026-05-24</t>
        </is>
      </c>
      <c r="G73" s="91" t="n">
        <v>38577483.4254</v>
      </c>
    </row>
    <row r="74">
      <c r="A74" s="114" t="inlineStr">
        <is>
          <t>ENERGY</t>
        </is>
      </c>
      <c r="B74" s="114" t="inlineStr">
        <is>
          <t>Indices/ETFs</t>
        </is>
      </c>
      <c r="C74" s="114" t="n">
        <v>1</v>
      </c>
      <c r="D74" s="114" t="inlineStr">
        <is>
          <t>vntl</t>
        </is>
      </c>
      <c r="E74" s="115" t="inlineStr">
        <is>
          <t>2026-02-02</t>
        </is>
      </c>
      <c r="F74" s="115" t="inlineStr">
        <is>
          <t>2026-05-24</t>
        </is>
      </c>
      <c r="G74" s="91" t="n">
        <v>35795760.58241999</v>
      </c>
    </row>
    <row r="75">
      <c r="A75" s="114" t="inlineStr">
        <is>
          <t>KWEB</t>
        </is>
      </c>
      <c r="B75" s="114" t="inlineStr">
        <is>
          <t>Stocks</t>
        </is>
      </c>
      <c r="C75" s="114" t="n">
        <v>1</v>
      </c>
      <c r="D75" s="114" t="inlineStr">
        <is>
          <t>cash</t>
        </is>
      </c>
      <c r="E75" s="115" t="inlineStr">
        <is>
          <t>2026-03-18</t>
        </is>
      </c>
      <c r="F75" s="115" t="inlineStr">
        <is>
          <t>2026-05-24</t>
        </is>
      </c>
      <c r="G75" s="91" t="n">
        <v>34335155.35350002</v>
      </c>
    </row>
    <row r="76">
      <c r="A76" s="114" t="inlineStr">
        <is>
          <t>MRVL</t>
        </is>
      </c>
      <c r="B76" s="114" t="inlineStr">
        <is>
          <t>Stocks</t>
        </is>
      </c>
      <c r="C76" s="114" t="n">
        <v>1</v>
      </c>
      <c r="D76" s="114" t="inlineStr">
        <is>
          <t>xyz</t>
        </is>
      </c>
      <c r="E76" s="115" t="inlineStr">
        <is>
          <t>2026-05-04</t>
        </is>
      </c>
      <c r="F76" s="115" t="inlineStr">
        <is>
          <t>2026-05-24</t>
        </is>
      </c>
      <c r="G76" s="91" t="n">
        <v>32166443.8825</v>
      </c>
    </row>
    <row r="77">
      <c r="A77" s="114" t="inlineStr">
        <is>
          <t>BIRD</t>
        </is>
      </c>
      <c r="B77" s="114" t="inlineStr">
        <is>
          <t>Stocks</t>
        </is>
      </c>
      <c r="C77" s="114" t="n">
        <v>1</v>
      </c>
      <c r="D77" s="114" t="inlineStr">
        <is>
          <t>xyz</t>
        </is>
      </c>
      <c r="E77" s="115" t="inlineStr">
        <is>
          <t>2026-04-16</t>
        </is>
      </c>
      <c r="F77" s="115" t="inlineStr">
        <is>
          <t>2026-05-24</t>
        </is>
      </c>
      <c r="G77" s="91" t="n">
        <v>32146852.13404</v>
      </c>
    </row>
    <row r="78">
      <c r="A78" s="114" t="inlineStr">
        <is>
          <t>INFOTECH</t>
        </is>
      </c>
      <c r="B78" s="114" t="inlineStr">
        <is>
          <t>Stocks</t>
        </is>
      </c>
      <c r="C78" s="114" t="n">
        <v>1</v>
      </c>
      <c r="D78" s="114" t="inlineStr">
        <is>
          <t>vntl</t>
        </is>
      </c>
      <c r="E78" s="115" t="inlineStr">
        <is>
          <t>2026-01-08</t>
        </is>
      </c>
      <c r="F78" s="115" t="inlineStr">
        <is>
          <t>2026-05-24</t>
        </is>
      </c>
      <c r="G78" s="91" t="n">
        <v>31679419.06381999</v>
      </c>
    </row>
    <row r="79">
      <c r="A79" s="114" t="inlineStr">
        <is>
          <t>ROBOT</t>
        </is>
      </c>
      <c r="B79" s="114" t="inlineStr">
        <is>
          <t>Stocks</t>
        </is>
      </c>
      <c r="C79" s="114" t="n">
        <v>1</v>
      </c>
      <c r="D79" s="114" t="inlineStr">
        <is>
          <t>vntl</t>
        </is>
      </c>
      <c r="E79" s="115" t="inlineStr">
        <is>
          <t>2026-01-07</t>
        </is>
      </c>
      <c r="F79" s="115" t="inlineStr">
        <is>
          <t>2026-05-24</t>
        </is>
      </c>
      <c r="G79" s="91" t="n">
        <v>31675205.1661</v>
      </c>
    </row>
    <row r="80">
      <c r="A80" s="114" t="inlineStr">
        <is>
          <t>1000PEPE</t>
        </is>
      </c>
      <c r="B80" s="114" t="inlineStr">
        <is>
          <t>Stocks</t>
        </is>
      </c>
      <c r="C80" s="114" t="n">
        <v>1</v>
      </c>
      <c r="D80" s="114" t="inlineStr">
        <is>
          <t>hyna</t>
        </is>
      </c>
      <c r="E80" s="115" t="inlineStr">
        <is>
          <t>2026-02-11</t>
        </is>
      </c>
      <c r="F80" s="115" t="inlineStr">
        <is>
          <t>2026-05-24</t>
        </is>
      </c>
      <c r="G80" s="91" t="n">
        <v>29917056.888516</v>
      </c>
    </row>
    <row r="81">
      <c r="A81" s="114" t="inlineStr">
        <is>
          <t>DEFENSE</t>
        </is>
      </c>
      <c r="B81" s="114" t="inlineStr">
        <is>
          <t>Indices/ETFs</t>
        </is>
      </c>
      <c r="C81" s="114" t="n">
        <v>1</v>
      </c>
      <c r="D81" s="114" t="inlineStr">
        <is>
          <t>vntl</t>
        </is>
      </c>
      <c r="E81" s="115" t="inlineStr">
        <is>
          <t>2026-01-30</t>
        </is>
      </c>
      <c r="F81" s="115" t="inlineStr">
        <is>
          <t>2026-05-24</t>
        </is>
      </c>
      <c r="G81" s="91" t="n">
        <v>28230039.39195001</v>
      </c>
    </row>
    <row r="82">
      <c r="A82" s="114" t="inlineStr">
        <is>
          <t>USENERGY</t>
        </is>
      </c>
      <c r="B82" s="114" t="inlineStr">
        <is>
          <t>Stocks</t>
        </is>
      </c>
      <c r="C82" s="114" t="n">
        <v>1</v>
      </c>
      <c r="D82" s="114" t="inlineStr">
        <is>
          <t>km</t>
        </is>
      </c>
      <c r="E82" s="115" t="inlineStr">
        <is>
          <t>2026-02-04</t>
        </is>
      </c>
      <c r="F82" s="115" t="inlineStr">
        <is>
          <t>2026-05-24</t>
        </is>
      </c>
      <c r="G82" s="91" t="n">
        <v>28004395.846086</v>
      </c>
    </row>
    <row r="83">
      <c r="A83" s="114" t="inlineStr">
        <is>
          <t>COST</t>
        </is>
      </c>
      <c r="B83" s="114" t="inlineStr">
        <is>
          <t>Stocks</t>
        </is>
      </c>
      <c r="C83" s="114" t="n">
        <v>1</v>
      </c>
      <c r="D83" s="114" t="inlineStr">
        <is>
          <t>xyz</t>
        </is>
      </c>
      <c r="E83" s="115" t="inlineStr">
        <is>
          <t>2026-03-25</t>
        </is>
      </c>
      <c r="F83" s="115" t="inlineStr">
        <is>
          <t>2026-05-24</t>
        </is>
      </c>
      <c r="G83" s="91" t="n">
        <v>27539700.87061</v>
      </c>
    </row>
    <row r="84">
      <c r="A84" s="114" t="inlineStr">
        <is>
          <t>WHEAT</t>
        </is>
      </c>
      <c r="B84" s="114" t="inlineStr">
        <is>
          <t>Agriculture</t>
        </is>
      </c>
      <c r="C84" s="114" t="n">
        <v>1</v>
      </c>
      <c r="D84" s="114" t="inlineStr">
        <is>
          <t>vntl</t>
        </is>
      </c>
      <c r="E84" s="115" t="inlineStr">
        <is>
          <t>2026-04-07</t>
        </is>
      </c>
      <c r="F84" s="115" t="inlineStr">
        <is>
          <t>2026-05-24</t>
        </is>
      </c>
      <c r="G84" s="91" t="n">
        <v>27191758.43635999</v>
      </c>
    </row>
    <row r="85">
      <c r="A85" s="114" t="inlineStr">
        <is>
          <t>NUCLEAR</t>
        </is>
      </c>
      <c r="B85" s="114" t="inlineStr">
        <is>
          <t>Stocks</t>
        </is>
      </c>
      <c r="C85" s="114" t="n">
        <v>1</v>
      </c>
      <c r="D85" s="114" t="inlineStr">
        <is>
          <t>vntl</t>
        </is>
      </c>
      <c r="E85" s="115" t="inlineStr">
        <is>
          <t>2026-01-30</t>
        </is>
      </c>
      <c r="F85" s="115" t="inlineStr">
        <is>
          <t>2026-05-24</t>
        </is>
      </c>
      <c r="G85" s="91" t="n">
        <v>27172049.54031001</v>
      </c>
    </row>
    <row r="86">
      <c r="A86" s="114" t="inlineStr">
        <is>
          <t>LIGHTER</t>
        </is>
      </c>
      <c r="B86" s="114" t="inlineStr">
        <is>
          <t>Stocks</t>
        </is>
      </c>
      <c r="C86" s="114" t="n">
        <v>1</v>
      </c>
      <c r="D86" s="114" t="inlineStr">
        <is>
          <t>hyna</t>
        </is>
      </c>
      <c r="E86" s="115" t="inlineStr">
        <is>
          <t>2025-12-22</t>
        </is>
      </c>
      <c r="F86" s="115" t="inlineStr">
        <is>
          <t>2026-05-24</t>
        </is>
      </c>
      <c r="G86" s="91" t="n">
        <v>23699654.66971999</v>
      </c>
    </row>
    <row r="87">
      <c r="A87" s="114" t="inlineStr">
        <is>
          <t>LLY</t>
        </is>
      </c>
      <c r="B87" s="114" t="inlineStr">
        <is>
          <t>Stocks</t>
        </is>
      </c>
      <c r="C87" s="114" t="n">
        <v>1</v>
      </c>
      <c r="D87" s="114" t="inlineStr">
        <is>
          <t>xyz</t>
        </is>
      </c>
      <c r="E87" s="115" t="inlineStr">
        <is>
          <t>2026-03-25</t>
        </is>
      </c>
      <c r="F87" s="115" t="inlineStr">
        <is>
          <t>2026-05-24</t>
        </is>
      </c>
      <c r="G87" s="91" t="n">
        <v>23000156.602095</v>
      </c>
    </row>
    <row r="88">
      <c r="A88" s="114" t="inlineStr">
        <is>
          <t>LINK</t>
        </is>
      </c>
      <c r="B88" s="114" t="inlineStr">
        <is>
          <t>Crypto</t>
        </is>
      </c>
      <c r="C88" s="114" t="n">
        <v>1</v>
      </c>
      <c r="D88" s="114" t="inlineStr">
        <is>
          <t>hyna</t>
        </is>
      </c>
      <c r="E88" s="115" t="inlineStr">
        <is>
          <t>2026-01-20</t>
        </is>
      </c>
      <c r="F88" s="115" t="inlineStr">
        <is>
          <t>2026-05-24</t>
        </is>
      </c>
      <c r="G88" s="91" t="n">
        <v>20481195.46193</v>
      </c>
    </row>
    <row r="89">
      <c r="A89" s="114" t="inlineStr">
        <is>
          <t>PUMP</t>
        </is>
      </c>
      <c r="B89" s="114" t="inlineStr">
        <is>
          <t>Stocks</t>
        </is>
      </c>
      <c r="C89" s="114" t="n">
        <v>1</v>
      </c>
      <c r="D89" s="114" t="inlineStr">
        <is>
          <t>hyna</t>
        </is>
      </c>
      <c r="E89" s="115" t="inlineStr">
        <is>
          <t>2026-01-15</t>
        </is>
      </c>
      <c r="F89" s="115" t="inlineStr">
        <is>
          <t>2026-05-24</t>
        </is>
      </c>
      <c r="G89" s="91" t="n">
        <v>19549723.085101</v>
      </c>
    </row>
    <row r="90">
      <c r="A90" s="114" t="inlineStr">
        <is>
          <t>GAS</t>
        </is>
      </c>
      <c r="B90" s="114" t="inlineStr">
        <is>
          <t>Energy</t>
        </is>
      </c>
      <c r="C90" s="114" t="n">
        <v>1</v>
      </c>
      <c r="D90" s="114" t="inlineStr">
        <is>
          <t>flx</t>
        </is>
      </c>
      <c r="E90" s="115" t="inlineStr">
        <is>
          <t>2026-03-31</t>
        </is>
      </c>
      <c r="F90" s="115" t="inlineStr">
        <is>
          <t>2026-05-24</t>
        </is>
      </c>
      <c r="G90" s="91" t="n">
        <v>19342587.335081</v>
      </c>
    </row>
    <row r="91">
      <c r="A91" s="114" t="inlineStr">
        <is>
          <t>GME</t>
        </is>
      </c>
      <c r="B91" s="114" t="inlineStr">
        <is>
          <t>Stocks</t>
        </is>
      </c>
      <c r="C91" s="114" t="n">
        <v>1</v>
      </c>
      <c r="D91" s="114" t="inlineStr">
        <is>
          <t>xyz</t>
        </is>
      </c>
      <c r="E91" s="115" t="inlineStr">
        <is>
          <t>2026-05-04</t>
        </is>
      </c>
      <c r="F91" s="115" t="inlineStr">
        <is>
          <t>2026-05-24</t>
        </is>
      </c>
      <c r="G91" s="91" t="n">
        <v>18619743.81223001</v>
      </c>
    </row>
    <row r="92">
      <c r="A92" s="114" t="inlineStr">
        <is>
          <t>SUI</t>
        </is>
      </c>
      <c r="B92" s="114" t="inlineStr">
        <is>
          <t>Stocks</t>
        </is>
      </c>
      <c r="C92" s="114" t="n">
        <v>1</v>
      </c>
      <c r="D92" s="114" t="inlineStr">
        <is>
          <t>hyna</t>
        </is>
      </c>
      <c r="E92" s="115" t="inlineStr">
        <is>
          <t>2026-01-12</t>
        </is>
      </c>
      <c r="F92" s="115" t="inlineStr">
        <is>
          <t>2026-05-24</t>
        </is>
      </c>
      <c r="G92" s="91" t="n">
        <v>18344416.971241</v>
      </c>
    </row>
    <row r="93">
      <c r="A93" s="114" t="inlineStr">
        <is>
          <t>DOGE</t>
        </is>
      </c>
      <c r="B93" s="114" t="inlineStr">
        <is>
          <t>Crypto</t>
        </is>
      </c>
      <c r="C93" s="114" t="n">
        <v>1</v>
      </c>
      <c r="D93" s="114" t="inlineStr">
        <is>
          <t>hyna</t>
        </is>
      </c>
      <c r="E93" s="115" t="inlineStr">
        <is>
          <t>2026-01-09</t>
        </is>
      </c>
      <c r="F93" s="115" t="inlineStr">
        <is>
          <t>2026-05-24</t>
        </is>
      </c>
      <c r="G93" s="91" t="n">
        <v>17728375.93450999</v>
      </c>
    </row>
    <row r="94">
      <c r="A94" s="114" t="inlineStr">
        <is>
          <t>XPL</t>
        </is>
      </c>
      <c r="B94" s="114" t="inlineStr">
        <is>
          <t>Stocks</t>
        </is>
      </c>
      <c r="C94" s="114" t="n">
        <v>1</v>
      </c>
      <c r="D94" s="114" t="inlineStr">
        <is>
          <t>hyna</t>
        </is>
      </c>
      <c r="E94" s="115" t="inlineStr">
        <is>
          <t>2026-01-20</t>
        </is>
      </c>
      <c r="F94" s="115" t="inlineStr">
        <is>
          <t>2026-05-24</t>
        </is>
      </c>
      <c r="G94" s="91" t="n">
        <v>17231776.840571</v>
      </c>
    </row>
    <row r="95">
      <c r="A95" s="114" t="inlineStr">
        <is>
          <t>JP225</t>
        </is>
      </c>
      <c r="B95" s="114" t="inlineStr">
        <is>
          <t>Stocks</t>
        </is>
      </c>
      <c r="C95" s="114" t="n">
        <v>1</v>
      </c>
      <c r="D95" s="114" t="inlineStr">
        <is>
          <t>xyz</t>
        </is>
      </c>
      <c r="E95" s="115" t="inlineStr">
        <is>
          <t>2026-04-09</t>
        </is>
      </c>
      <c r="F95" s="115" t="inlineStr">
        <is>
          <t>2026-05-24</t>
        </is>
      </c>
      <c r="G95" s="91" t="n">
        <v>17015211.78705</v>
      </c>
    </row>
    <row r="96">
      <c r="A96" s="114" t="inlineStr">
        <is>
          <t>ENA</t>
        </is>
      </c>
      <c r="B96" s="114" t="inlineStr">
        <is>
          <t>Stocks</t>
        </is>
      </c>
      <c r="C96" s="114" t="n">
        <v>1</v>
      </c>
      <c r="D96" s="114" t="inlineStr">
        <is>
          <t>hyna</t>
        </is>
      </c>
      <c r="E96" s="115" t="inlineStr">
        <is>
          <t>2026-01-19</t>
        </is>
      </c>
      <c r="F96" s="115" t="inlineStr">
        <is>
          <t>2026-05-24</t>
        </is>
      </c>
      <c r="G96" s="91" t="n">
        <v>14884609.015667</v>
      </c>
    </row>
    <row r="97">
      <c r="A97" s="114" t="inlineStr">
        <is>
          <t>XLE</t>
        </is>
      </c>
      <c r="B97" s="114" t="inlineStr">
        <is>
          <t>Indices/ETFs</t>
        </is>
      </c>
      <c r="C97" s="114" t="n">
        <v>1</v>
      </c>
      <c r="D97" s="114" t="inlineStr">
        <is>
          <t>xyz</t>
        </is>
      </c>
      <c r="E97" s="115" t="inlineStr">
        <is>
          <t>2026-05-04</t>
        </is>
      </c>
      <c r="F97" s="115" t="inlineStr">
        <is>
          <t>2026-05-24</t>
        </is>
      </c>
      <c r="G97" s="91" t="n">
        <v>13956330.81185</v>
      </c>
    </row>
    <row r="98">
      <c r="A98" s="114" t="inlineStr">
        <is>
          <t>BIOTECH</t>
        </is>
      </c>
      <c r="B98" s="114" t="inlineStr">
        <is>
          <t>Indices/ETFs</t>
        </is>
      </c>
      <c r="C98" s="114" t="n">
        <v>1</v>
      </c>
      <c r="D98" s="114" t="inlineStr">
        <is>
          <t>vntl</t>
        </is>
      </c>
      <c r="E98" s="115" t="inlineStr">
        <is>
          <t>2026-02-02</t>
        </is>
      </c>
      <c r="F98" s="115" t="inlineStr">
        <is>
          <t>2026-05-24</t>
        </is>
      </c>
      <c r="G98" s="91" t="n">
        <v>13741813.04407001</v>
      </c>
    </row>
    <row r="99">
      <c r="A99" s="114" t="inlineStr">
        <is>
          <t>OTHERS</t>
        </is>
      </c>
      <c r="B99" s="114" t="inlineStr">
        <is>
          <t>Indices/ETFs</t>
        </is>
      </c>
      <c r="C99" s="114" t="n">
        <v>1</v>
      </c>
      <c r="D99" s="114" t="inlineStr">
        <is>
          <t>para</t>
        </is>
      </c>
      <c r="E99" s="115" t="inlineStr">
        <is>
          <t>2026-04-01</t>
        </is>
      </c>
      <c r="F99" s="115" t="inlineStr">
        <is>
          <t>2026-05-24</t>
        </is>
      </c>
      <c r="G99" s="91" t="n">
        <v>13569701.747</v>
      </c>
    </row>
    <row r="100">
      <c r="A100" s="114" t="inlineStr">
        <is>
          <t>BMNR</t>
        </is>
      </c>
      <c r="B100" s="114" t="inlineStr">
        <is>
          <t>Stocks</t>
        </is>
      </c>
      <c r="C100" s="114" t="n">
        <v>1</v>
      </c>
      <c r="D100" s="114" t="inlineStr">
        <is>
          <t>km</t>
        </is>
      </c>
      <c r="E100" s="115" t="inlineStr">
        <is>
          <t>2026-03-12</t>
        </is>
      </c>
      <c r="F100" s="115" t="inlineStr">
        <is>
          <t>2026-05-24</t>
        </is>
      </c>
      <c r="G100" s="91" t="n">
        <v>13295611.663491</v>
      </c>
    </row>
    <row r="101">
      <c r="A101" s="114" t="inlineStr">
        <is>
          <t>IP</t>
        </is>
      </c>
      <c r="B101" s="114" t="inlineStr">
        <is>
          <t>Stocks</t>
        </is>
      </c>
      <c r="C101" s="114" t="n">
        <v>1</v>
      </c>
      <c r="D101" s="114" t="inlineStr">
        <is>
          <t>hyna</t>
        </is>
      </c>
      <c r="E101" s="115" t="inlineStr">
        <is>
          <t>2026-01-20</t>
        </is>
      </c>
      <c r="F101" s="115" t="inlineStr">
        <is>
          <t>2026-05-24</t>
        </is>
      </c>
      <c r="G101" s="91" t="n">
        <v>11304732.016756</v>
      </c>
    </row>
    <row r="102">
      <c r="A102" s="114" t="inlineStr">
        <is>
          <t>TENCENT</t>
        </is>
      </c>
      <c r="B102" s="114" t="inlineStr">
        <is>
          <t>Stocks</t>
        </is>
      </c>
      <c r="C102" s="114" t="n">
        <v>1</v>
      </c>
      <c r="D102" s="114" t="inlineStr">
        <is>
          <t>km</t>
        </is>
      </c>
      <c r="E102" s="115" t="inlineStr">
        <is>
          <t>2026-04-09</t>
        </is>
      </c>
      <c r="F102" s="115" t="inlineStr">
        <is>
          <t>2026-05-24</t>
        </is>
      </c>
      <c r="G102" s="91" t="n">
        <v>9374022.4749</v>
      </c>
    </row>
    <row r="103">
      <c r="A103" s="114" t="inlineStr">
        <is>
          <t>KR200</t>
        </is>
      </c>
      <c r="B103" s="114" t="inlineStr">
        <is>
          <t>Stocks</t>
        </is>
      </c>
      <c r="C103" s="114" t="n">
        <v>1</v>
      </c>
      <c r="D103" s="114" t="inlineStr">
        <is>
          <t>xyz</t>
        </is>
      </c>
      <c r="E103" s="115" t="inlineStr">
        <is>
          <t>2026-04-09</t>
        </is>
      </c>
      <c r="F103" s="115" t="inlineStr">
        <is>
          <t>2026-05-24</t>
        </is>
      </c>
      <c r="G103" s="91" t="n">
        <v>8267368.249355</v>
      </c>
    </row>
    <row r="104">
      <c r="A104" s="114" t="inlineStr">
        <is>
          <t>USDE</t>
        </is>
      </c>
      <c r="B104" s="114" t="inlineStr">
        <is>
          <t>Stocks</t>
        </is>
      </c>
      <c r="C104" s="114" t="n">
        <v>1</v>
      </c>
      <c r="D104" s="114" t="inlineStr">
        <is>
          <t>flx</t>
        </is>
      </c>
      <c r="E104" s="115" t="inlineStr">
        <is>
          <t>2026-02-19</t>
        </is>
      </c>
      <c r="F104" s="115" t="inlineStr">
        <is>
          <t>2026-05-24</t>
        </is>
      </c>
      <c r="G104" s="91" t="n">
        <v>6743324.643399999</v>
      </c>
    </row>
    <row r="105">
      <c r="A105" s="114" t="inlineStr">
        <is>
          <t>BTCD</t>
        </is>
      </c>
      <c r="B105" s="114" t="inlineStr">
        <is>
          <t>Indices/ETFs</t>
        </is>
      </c>
      <c r="C105" s="114" t="n">
        <v>1</v>
      </c>
      <c r="D105" s="114" t="inlineStr">
        <is>
          <t>para</t>
        </is>
      </c>
      <c r="E105" s="115" t="inlineStr">
        <is>
          <t>2026-04-01</t>
        </is>
      </c>
      <c r="F105" s="115" t="inlineStr">
        <is>
          <t>2026-05-24</t>
        </is>
      </c>
      <c r="G105" s="91" t="n">
        <v>6343706.0053</v>
      </c>
    </row>
    <row r="106">
      <c r="A106" s="114" t="inlineStr">
        <is>
          <t>ADA</t>
        </is>
      </c>
      <c r="B106" s="114" t="inlineStr">
        <is>
          <t>Crypto</t>
        </is>
      </c>
      <c r="C106" s="114" t="n">
        <v>1</v>
      </c>
      <c r="D106" s="114" t="inlineStr">
        <is>
          <t>hyna</t>
        </is>
      </c>
      <c r="E106" s="115" t="inlineStr">
        <is>
          <t>2026-01-20</t>
        </is>
      </c>
      <c r="F106" s="115" t="inlineStr">
        <is>
          <t>2026-05-24</t>
        </is>
      </c>
      <c r="G106" s="91" t="n">
        <v>6229100.389489999</v>
      </c>
    </row>
    <row r="107">
      <c r="A107" s="114" t="inlineStr">
        <is>
          <t>DKNG</t>
        </is>
      </c>
      <c r="B107" s="114" t="inlineStr">
        <is>
          <t>Stocks</t>
        </is>
      </c>
      <c r="C107" s="114" t="n">
        <v>1</v>
      </c>
      <c r="D107" s="114" t="inlineStr">
        <is>
          <t>xyz</t>
        </is>
      </c>
      <c r="E107" s="115" t="inlineStr">
        <is>
          <t>2026-03-25</t>
        </is>
      </c>
      <c r="F107" s="115" t="inlineStr">
        <is>
          <t>2026-05-24</t>
        </is>
      </c>
      <c r="G107" s="91" t="n">
        <v>6177367.176139999</v>
      </c>
    </row>
    <row r="108">
      <c r="A108" s="114" t="inlineStr">
        <is>
          <t>BCH</t>
        </is>
      </c>
      <c r="B108" s="114" t="inlineStr">
        <is>
          <t>Crypto</t>
        </is>
      </c>
      <c r="C108" s="114" t="n">
        <v>1</v>
      </c>
      <c r="D108" s="114" t="inlineStr">
        <is>
          <t>hyna</t>
        </is>
      </c>
      <c r="E108" s="115" t="inlineStr">
        <is>
          <t>2026-01-20</t>
        </is>
      </c>
      <c r="F108" s="115" t="inlineStr">
        <is>
          <t>2026-05-24</t>
        </is>
      </c>
      <c r="G108" s="91" t="n">
        <v>6055452.973499998</v>
      </c>
    </row>
    <row r="109">
      <c r="A109" s="114" t="inlineStr">
        <is>
          <t>XIAOMI</t>
        </is>
      </c>
      <c r="B109" s="114" t="inlineStr">
        <is>
          <t>Stocks</t>
        </is>
      </c>
      <c r="C109" s="114" t="n">
        <v>1</v>
      </c>
      <c r="D109" s="114" t="inlineStr">
        <is>
          <t>km</t>
        </is>
      </c>
      <c r="E109" s="115" t="inlineStr">
        <is>
          <t>2026-04-09</t>
        </is>
      </c>
      <c r="F109" s="115" t="inlineStr">
        <is>
          <t>2026-05-24</t>
        </is>
      </c>
      <c r="G109" s="91" t="n">
        <v>5907354.935566</v>
      </c>
    </row>
    <row r="110">
      <c r="A110" s="114" t="inlineStr">
        <is>
          <t>LTC</t>
        </is>
      </c>
      <c r="B110" s="114" t="inlineStr">
        <is>
          <t>Crypto</t>
        </is>
      </c>
      <c r="C110" s="114" t="n">
        <v>1</v>
      </c>
      <c r="D110" s="114" t="inlineStr">
        <is>
          <t>hyna</t>
        </is>
      </c>
      <c r="E110" s="115" t="inlineStr">
        <is>
          <t>2026-01-20</t>
        </is>
      </c>
      <c r="F110" s="115" t="inlineStr">
        <is>
          <t>2026-05-24</t>
        </is>
      </c>
      <c r="G110" s="91" t="n">
        <v>5834798.116470001</v>
      </c>
    </row>
    <row r="111">
      <c r="A111" s="114" t="inlineStr">
        <is>
          <t>SOY</t>
        </is>
      </c>
      <c r="B111" s="114" t="inlineStr">
        <is>
          <t>Stocks</t>
        </is>
      </c>
      <c r="C111" s="114" t="n">
        <v>1</v>
      </c>
      <c r="D111" s="114" t="inlineStr">
        <is>
          <t>vntl</t>
        </is>
      </c>
      <c r="E111" s="115" t="inlineStr">
        <is>
          <t>2026-04-20</t>
        </is>
      </c>
      <c r="F111" s="115" t="inlineStr">
        <is>
          <t>2026-05-24</t>
        </is>
      </c>
      <c r="G111" s="91" t="n">
        <v>5820462.919100001</v>
      </c>
    </row>
    <row r="112">
      <c r="A112" s="114" t="inlineStr">
        <is>
          <t>CAR</t>
        </is>
      </c>
      <c r="B112" s="114" t="inlineStr">
        <is>
          <t>Stocks</t>
        </is>
      </c>
      <c r="C112" s="114" t="n">
        <v>1</v>
      </c>
      <c r="D112" s="114" t="inlineStr">
        <is>
          <t>cash</t>
        </is>
      </c>
      <c r="E112" s="115" t="inlineStr">
        <is>
          <t>2026-04-30</t>
        </is>
      </c>
      <c r="F112" s="115" t="inlineStr">
        <is>
          <t>2026-05-24</t>
        </is>
      </c>
      <c r="G112" s="91" t="n">
        <v>5241618.3438</v>
      </c>
    </row>
    <row r="113">
      <c r="A113" s="114" t="inlineStr">
        <is>
          <t>ZM</t>
        </is>
      </c>
      <c r="B113" s="114" t="inlineStr">
        <is>
          <t>Stocks</t>
        </is>
      </c>
      <c r="C113" s="114" t="n">
        <v>1</v>
      </c>
      <c r="D113" s="114" t="inlineStr">
        <is>
          <t>xyz</t>
        </is>
      </c>
      <c r="E113" s="115" t="inlineStr">
        <is>
          <t>2026-05-05</t>
        </is>
      </c>
      <c r="F113" s="115" t="inlineStr">
        <is>
          <t>2026-05-24</t>
        </is>
      </c>
      <c r="G113" s="91" t="n">
        <v>5153403.85422</v>
      </c>
    </row>
    <row r="114">
      <c r="A114" s="114" t="inlineStr">
        <is>
          <t>BASED</t>
        </is>
      </c>
      <c r="B114" s="114" t="inlineStr">
        <is>
          <t>Crypto</t>
        </is>
      </c>
      <c r="C114" s="114" t="n">
        <v>1</v>
      </c>
      <c r="D114" s="114" t="inlineStr">
        <is>
          <t>hyna</t>
        </is>
      </c>
      <c r="E114" s="115" t="inlineStr">
        <is>
          <t>2026-04-02</t>
        </is>
      </c>
      <c r="F114" s="115" t="inlineStr">
        <is>
          <t>2026-05-24</t>
        </is>
      </c>
      <c r="G114" s="91" t="n">
        <v>5024358.893509001</v>
      </c>
    </row>
    <row r="115">
      <c r="A115" s="114" t="inlineStr">
        <is>
          <t>AVGO</t>
        </is>
      </c>
      <c r="B115" s="114" t="inlineStr">
        <is>
          <t>Stocks</t>
        </is>
      </c>
      <c r="C115" s="114" t="n">
        <v>1</v>
      </c>
      <c r="D115" s="114" t="inlineStr">
        <is>
          <t>para</t>
        </is>
      </c>
      <c r="E115" s="115" t="inlineStr">
        <is>
          <t>2026-05-21</t>
        </is>
      </c>
      <c r="F115" s="115" t="inlineStr">
        <is>
          <t>2026-05-24</t>
        </is>
      </c>
      <c r="G115" s="91" t="n">
        <v>2930305.0162</v>
      </c>
    </row>
    <row r="116">
      <c r="A116" s="114" t="inlineStr">
        <is>
          <t>USA100</t>
        </is>
      </c>
      <c r="B116" s="114" t="inlineStr">
        <is>
          <t>Stocks</t>
        </is>
      </c>
      <c r="C116" s="114" t="n">
        <v>1</v>
      </c>
      <c r="D116" s="114" t="inlineStr">
        <is>
          <t>flx</t>
        </is>
      </c>
      <c r="E116" s="115" t="inlineStr">
        <is>
          <t>2026-03-30</t>
        </is>
      </c>
      <c r="F116" s="115" t="inlineStr">
        <is>
          <t>2026-05-24</t>
        </is>
      </c>
      <c r="G116" s="91" t="n">
        <v>2852135.038360001</v>
      </c>
    </row>
    <row r="117">
      <c r="A117" s="114" t="inlineStr">
        <is>
          <t>SEMI</t>
        </is>
      </c>
      <c r="B117" s="114" t="inlineStr">
        <is>
          <t>Stocks</t>
        </is>
      </c>
      <c r="C117" s="114" t="n">
        <v>1</v>
      </c>
      <c r="D117" s="114" t="inlineStr">
        <is>
          <t>km</t>
        </is>
      </c>
      <c r="E117" s="115" t="inlineStr">
        <is>
          <t>2026-02-26</t>
        </is>
      </c>
      <c r="F117" s="115" t="inlineStr">
        <is>
          <t>2026-05-24</t>
        </is>
      </c>
      <c r="G117" s="91" t="n">
        <v>2172905.16123</v>
      </c>
    </row>
    <row r="118">
      <c r="A118" s="114" t="inlineStr">
        <is>
          <t>GLDMINE</t>
        </is>
      </c>
      <c r="B118" s="114" t="inlineStr">
        <is>
          <t>Metals</t>
        </is>
      </c>
      <c r="C118" s="114" t="n">
        <v>1</v>
      </c>
      <c r="D118" s="114" t="inlineStr">
        <is>
          <t>km</t>
        </is>
      </c>
      <c r="E118" s="115" t="inlineStr">
        <is>
          <t>2026-02-26</t>
        </is>
      </c>
      <c r="F118" s="115" t="inlineStr">
        <is>
          <t>2026-05-24</t>
        </is>
      </c>
      <c r="G118" s="91" t="n">
        <v>1999518.158412999</v>
      </c>
    </row>
    <row r="119">
      <c r="A119" s="114" t="inlineStr">
        <is>
          <t>BX</t>
        </is>
      </c>
      <c r="B119" s="114" t="inlineStr">
        <is>
          <t>Stocks</t>
        </is>
      </c>
      <c r="C119" s="114" t="n">
        <v>1</v>
      </c>
      <c r="D119" s="114" t="inlineStr">
        <is>
          <t>xyz</t>
        </is>
      </c>
      <c r="E119" s="115" t="inlineStr">
        <is>
          <t>2026-05-04</t>
        </is>
      </c>
      <c r="F119" s="115" t="inlineStr">
        <is>
          <t>2026-05-24</t>
        </is>
      </c>
      <c r="G119" s="91" t="n">
        <v>1944262.283</v>
      </c>
    </row>
    <row r="120">
      <c r="A120" s="114" t="inlineStr">
        <is>
          <t>ARM</t>
        </is>
      </c>
      <c r="B120" s="114" t="inlineStr">
        <is>
          <t>Stocks</t>
        </is>
      </c>
      <c r="C120" s="114" t="n">
        <v>1</v>
      </c>
      <c r="D120" s="114" t="inlineStr">
        <is>
          <t>xyz</t>
        </is>
      </c>
      <c r="E120" s="115" t="inlineStr">
        <is>
          <t>2026-05-21</t>
        </is>
      </c>
      <c r="F120" s="115" t="inlineStr">
        <is>
          <t>2026-05-24</t>
        </is>
      </c>
      <c r="G120" s="91" t="n">
        <v>1714153.7884</v>
      </c>
    </row>
    <row r="121">
      <c r="A121" s="114" t="inlineStr">
        <is>
          <t>RTX</t>
        </is>
      </c>
      <c r="B121" s="114" t="inlineStr">
        <is>
          <t>Stocks</t>
        </is>
      </c>
      <c r="C121" s="114" t="n">
        <v>1</v>
      </c>
      <c r="D121" s="114" t="inlineStr">
        <is>
          <t>km</t>
        </is>
      </c>
      <c r="E121" s="115" t="inlineStr">
        <is>
          <t>2026-03-10</t>
        </is>
      </c>
      <c r="F121" s="115" t="inlineStr">
        <is>
          <t>2026-05-24</t>
        </is>
      </c>
      <c r="G121" s="91" t="n">
        <v>1647302.628760001</v>
      </c>
    </row>
    <row r="122">
      <c r="A122" s="114" t="inlineStr">
        <is>
          <t>EBAY</t>
        </is>
      </c>
      <c r="B122" s="114" t="inlineStr">
        <is>
          <t>Stocks</t>
        </is>
      </c>
      <c r="C122" s="114" t="n">
        <v>1</v>
      </c>
      <c r="D122" s="114" t="inlineStr">
        <is>
          <t>xyz</t>
        </is>
      </c>
      <c r="E122" s="115" t="inlineStr">
        <is>
          <t>2026-05-05</t>
        </is>
      </c>
      <c r="F122" s="115" t="inlineStr">
        <is>
          <t>2026-05-24</t>
        </is>
      </c>
      <c r="G122" s="91" t="n">
        <v>1491510.3026</v>
      </c>
    </row>
    <row r="123">
      <c r="A123" s="114" t="inlineStr">
        <is>
          <t>EWZ</t>
        </is>
      </c>
      <c r="B123" s="114" t="inlineStr">
        <is>
          <t>Stocks</t>
        </is>
      </c>
      <c r="C123" s="114" t="n">
        <v>1</v>
      </c>
      <c r="D123" s="114" t="inlineStr">
        <is>
          <t>xyz</t>
        </is>
      </c>
      <c r="E123" s="115" t="inlineStr">
        <is>
          <t>2026-05-04</t>
        </is>
      </c>
      <c r="F123" s="115" t="inlineStr">
        <is>
          <t>2026-05-24</t>
        </is>
      </c>
      <c r="G123" s="91" t="n">
        <v>1260506.74815</v>
      </c>
    </row>
    <row r="124">
      <c r="A124" s="114" t="inlineStr">
        <is>
          <t>GBP</t>
        </is>
      </c>
      <c r="B124" s="114" t="inlineStr">
        <is>
          <t>FX</t>
        </is>
      </c>
      <c r="C124" s="114" t="n">
        <v>1</v>
      </c>
      <c r="D124" s="114" t="inlineStr">
        <is>
          <t>xyz</t>
        </is>
      </c>
      <c r="E124" s="115" t="inlineStr">
        <is>
          <t>2026-05-18</t>
        </is>
      </c>
      <c r="F124" s="115" t="inlineStr">
        <is>
          <t>2026-05-24</t>
        </is>
      </c>
      <c r="G124" s="91" t="n">
        <v>672525.5072000001</v>
      </c>
    </row>
    <row r="125">
      <c r="A125" s="114" t="inlineStr">
        <is>
          <t>LIT</t>
        </is>
      </c>
      <c r="B125" s="114" t="inlineStr">
        <is>
          <t>Stocks</t>
        </is>
      </c>
      <c r="C125" s="114" t="n">
        <v>1</v>
      </c>
      <c r="D125" s="114" t="inlineStr">
        <is>
          <t>hyna</t>
        </is>
      </c>
      <c r="E125" s="115" t="inlineStr">
        <is>
          <t>2025-12-21</t>
        </is>
      </c>
      <c r="F125" s="115" t="inlineStr">
        <is>
          <t>2025-12-22</t>
        </is>
      </c>
      <c r="G125" s="91" t="n">
        <v>386805.364381</v>
      </c>
    </row>
    <row r="126">
      <c r="A126" s="114" t="inlineStr">
        <is>
          <t>EWT</t>
        </is>
      </c>
      <c r="B126" s="114" t="inlineStr">
        <is>
          <t>Stocks</t>
        </is>
      </c>
      <c r="C126" s="114" t="n">
        <v>1</v>
      </c>
      <c r="D126" s="114" t="inlineStr">
        <is>
          <t>xyz</t>
        </is>
      </c>
      <c r="E126" s="115" t="inlineStr">
        <is>
          <t>2026-05-21</t>
        </is>
      </c>
      <c r="F126" s="115" t="inlineStr">
        <is>
          <t>2026-05-24</t>
        </is>
      </c>
      <c r="G126" s="91" t="n">
        <v>114513.04067</v>
      </c>
    </row>
  </sheetData>
  <autoFilter ref="A2:G126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50" customWidth="1" min="4" max="4"/>
  </cols>
  <sheetData>
    <row r="1">
      <c r="A1" s="53" t="inlineStr">
        <is>
          <t>SOURCES</t>
        </is>
      </c>
    </row>
    <row r="2">
      <c r="A2" s="13" t="inlineStr">
        <is>
          <t>Data</t>
        </is>
      </c>
      <c r="B2" s="13" t="inlineStr">
        <is>
          <t>Source</t>
        </is>
      </c>
      <c r="C2" s="13" t="inlineStr">
        <is>
          <t>Endpoint / reference</t>
        </is>
      </c>
      <c r="D2" s="13" t="inlineStr">
        <is>
          <t>Notes</t>
        </is>
      </c>
    </row>
    <row r="3" ht="38" customHeight="1">
      <c r="A3" s="79" t="inlineStr">
        <is>
          <t>Total perp &amp; spot volume</t>
        </is>
      </c>
      <c r="B3" s="79" t="inlineStr">
        <is>
          <t>hyperscreener.asxn.xyz</t>
        </is>
      </c>
      <c r="C3" s="79" t="inlineStr">
        <is>
          <t>API /cloudfront/total_volume, /spot-ecosystem</t>
        </is>
      </c>
      <c r="D3" s="79" t="inlineStr">
        <is>
          <t>Daily.</t>
        </is>
      </c>
    </row>
    <row r="4" ht="38" customHeight="1">
      <c r="A4" s="79" t="inlineStr">
        <is>
          <t>HyperCore revenue (NORTH STAR)</t>
        </is>
      </c>
      <c r="B4" s="79" t="inlineStr">
        <is>
          <t>hyperscreener.asxn.xyz</t>
        </is>
      </c>
      <c r="C4" s="79" t="inlineStr">
        <is>
          <t>API /buyback/revenues</t>
        </is>
      </c>
      <c r="D4" s="79" t="inlineStr">
        <is>
          <t>Actual revenue / buyback. hyperscreener's series starts 2025-03-20 — a data-coverage start, NOT when buybacks began (the AF was buying back earlier).</t>
        </is>
      </c>
    </row>
    <row r="5" ht="38" customHeight="1">
      <c r="A5" s="79" t="inlineStr">
        <is>
          <t>Pre-2025-03-20 HyperCore revenue</t>
        </is>
      </c>
      <c r="B5" s="79" t="inlineStr">
        <is>
          <t>DefiLlama</t>
        </is>
      </c>
      <c r="C5" s="79" t="inlineStr">
        <is>
          <t>api.llama.fi /summary/fees/hyperliquid-perps</t>
        </is>
      </c>
      <c r="D5" s="79" t="inlineStr">
        <is>
          <t>dailyHoldersRevenue (perp) + spot, for 2025-01-01..2025-03-19. hyperscreener's series does not reach back this far. Cross-checks vs the AF's actual HYPE accumulation to ~2%.</t>
        </is>
      </c>
    </row>
    <row r="6" ht="38" customHeight="1">
      <c r="A6" s="79" t="inlineStr">
        <is>
          <t>Buyback, AF, emissions, burns, supply</t>
        </is>
      </c>
      <c r="B6" s="79" t="inlineStr">
        <is>
          <t>hyperscreener.asxn.xyz</t>
        </is>
      </c>
      <c r="C6" s="79" t="inlineStr">
        <is>
          <t>API /buyback/*, /validators/daily-emissions</t>
        </is>
      </c>
      <c r="D6" s="79" t="inlineStr">
        <is>
          <t>On the Daily Data tab.</t>
        </is>
      </c>
    </row>
    <row r="7" ht="38" customHeight="1">
      <c r="A7" s="79" t="inlineStr">
        <is>
          <t>HIP-3 volume, gross fees, deployer fees</t>
        </is>
      </c>
      <c r="B7" s="79" t="inlineStr">
        <is>
          <t>Loris</t>
        </is>
      </c>
      <c r="C7" s="79" t="inlineStr">
        <is>
          <t>loris.tools/hip3 (via v3 workbook)</t>
        </is>
      </c>
      <c r="D7" s="79" t="inlineStr">
        <is>
          <t>Daily. HIP-3 fees from 2025-10-13; deployer fees from 2026-03-21.</t>
        </is>
      </c>
    </row>
    <row r="8" ht="38" customHeight="1">
      <c r="A8" s="79" t="inlineStr">
        <is>
          <t>Spot revenue &amp; spot fees</t>
        </is>
      </c>
      <c r="B8" s="79" t="inlineStr">
        <is>
          <t>DefiLlama</t>
        </is>
      </c>
      <c r="C8" s="79" t="inlineStr">
        <is>
          <t>api.llama.fi /summary/fees/hyperliquid-spot-orderbook</t>
        </is>
      </c>
      <c r="D8" s="79" t="inlineStr">
        <is>
          <t>dailyHoldersRevenue &amp; dailyFees. Daily.</t>
        </is>
      </c>
    </row>
    <row r="9" ht="38" customHeight="1">
      <c r="A9" s="79" t="inlineStr">
        <is>
          <t>HLP cut ($) — DERIVED, not extracted</t>
        </is>
      </c>
      <c r="B9" s="79" t="inlineStr">
        <is>
          <t>DefiLlama methodology</t>
        </is>
      </c>
      <c r="C9" s="79" t="inlineStr">
        <is>
          <t>api.llama.fi /summary/fees/hyperliquid-spot-orderbook + /summary/fees/hyperliquid-perps</t>
        </is>
      </c>
      <c r="D9" s="79" t="inlineStr">
        <is>
          <t>THE HLP USD NUMBER IS CALCULATED — there is no daily HLP-revenue feed. Formula: HLP cut = (Core Perp Fees + HIP-3 Gross + Spot Fees) × HLP rate. Rate = 3% before 2025-08-30, 1% from 2025-08-30. Per DefiLlama spot-orderbook methodology: "1% of the spot fees go to HLP vault (used to be 3% before 30 Aug 2025)." Per DefiLlama perps methodology: same 1%/3% on perp fees. Daily Model cols Q/R/S split the cut across core / HIP-3 / spot; col P is the total. Empirical check vs the independent /summary/fees/unit endpoint: Q1/Q2 2026 implied Unit fees match actual Unit fees to within $0.01M, confirming HLP applies to all three.</t>
        </is>
      </c>
    </row>
    <row r="10" ht="38" customHeight="1">
      <c r="A10" s="79" t="inlineStr">
        <is>
          <t>HLP share rule (1% / 3%)</t>
        </is>
      </c>
      <c r="B10" s="79" t="inlineStr">
        <is>
          <t>DefiLlama</t>
        </is>
      </c>
      <c r="C10" s="79" t="inlineStr">
        <is>
          <t>Hyperliquid fees methodology (perps + spot endpoints)</t>
        </is>
      </c>
      <c r="D10" s="79" t="inlineStr">
        <is>
          <t>The rate parameter. HLP got 3% before 2025-08-30, 1% after. Same rate applies to core perp fees, HIP-3 gross, and spot fees.</t>
        </is>
      </c>
    </row>
    <row r="11" ht="38" customHeight="1">
      <c r="A11" s="79" t="inlineStr">
        <is>
          <t>Total HYPE Staked (monthly, Active+Inactive)</t>
        </is>
      </c>
      <c r="B11" s="79" t="inlineStr">
        <is>
          <t>ASXN dashboard (hyperscreener.asxn.xyz)</t>
        </is>
      </c>
      <c r="C11" s="79" t="inlineStr">
        <is>
          <t>"Total HYPE Staked" chart, monthly bars (Active + Inactive)</t>
        </is>
      </c>
      <c r="D11" s="79" t="inlineStr">
        <is>
          <t>ACTUAL monthly values from ASXN, Dec-2024 through May-2026. Cross-checks vs HL /info validatorSummaries (today: 431.43M total). Range 352.80M (Dec-24, partial first month) to 438.15M (Jan-26). Held flat within each month. "Inactive" = stake on jailed/inactive validators + HYPE in 7-day unbonding cooldown (does not earn). "Active" = stake on isActive=true validators (earns rewards). HL API /info type=validatorSummaries is the auth-free snapshot anchor.</t>
        </is>
      </c>
    </row>
    <row r="12" ht="38" customHeight="1">
      <c r="A12" s="79" t="inlineStr">
        <is>
          <t>Implied Staking APR</t>
        </is>
      </c>
      <c r="B12" s="79" t="inlineStr">
        <is>
          <t>Computed</t>
        </is>
      </c>
      <c r="C12" s="79" t="inlineStr">
        <is>
          <t>Daily Emission × 365 ÷ Total Stake (HYPE)</t>
        </is>
      </c>
      <c r="D12" s="79" t="inlineStr">
        <is>
          <t>Hovers in 2.20–2.34% across the full period, averaging ~2.25% — matches HL's published formula yield = 2.37% × √(400M / stake) calibrated at 400M total. Independent yield aggregators report 2.25–2.38% (StakingRewards 2.26%, HL Calc 2.37%, Coinbase 2.25%, P2P 2.30%). Total stake (not active) is the correct denominator for the published rate.</t>
        </is>
      </c>
    </row>
    <row r="13" ht="38" customHeight="1">
      <c r="A13" s="79" t="inlineStr">
        <is>
          <t>Builder code fees</t>
        </is>
      </c>
      <c r="B13" s="79" t="inlineStr">
        <is>
          <t>hyperscreener.asxn.xyz</t>
        </is>
      </c>
      <c r="C13" s="79" t="inlineStr">
        <is>
          <t>API /node/builders/stacked-fees-chart?timeperiod=all</t>
        </is>
      </c>
      <c r="D13" s="79" t="inlineStr">
        <is>
          <t>Actual daily, top-20 builders, from 2025-09-13. ~65% of the $75.5M all-builder total (API has no daily series for the long tail). Blank before 2025-09-13 — no data.</t>
        </is>
      </c>
    </row>
    <row r="14" ht="38" customHeight="1">
      <c r="A14" s="79" t="inlineStr">
        <is>
          <t>HIP-3 fee structure</t>
        </is>
      </c>
      <c r="B14" s="79" t="inlineStr">
        <is>
          <t>Hyperliquid docs</t>
        </is>
      </c>
      <c r="C14" s="79" t="inlineStr">
        <is>
          <t>HIP-3 builder-deployed perpetuals</t>
        </is>
      </c>
      <c r="D14" s="79" t="inlineStr">
        <is>
          <t>Users pay ~2x; markets currently in growth mode (low realised fees).</t>
        </is>
      </c>
    </row>
    <row r="15" ht="38" customHeight="1">
      <c r="A15" s="79" t="inlineStr">
        <is>
          <t>Hyper Foundation / Community Grants</t>
        </is>
      </c>
      <c r="B15" s="79" t="inlineStr">
        <is>
          <t>Hyperliquid genesis tokenomics</t>
        </is>
      </c>
      <c r="C15" s="79" t="inlineStr">
        <is>
          <t>Hyper Foundation blog — HYPE Genesis</t>
        </is>
      </c>
      <c r="D15" s="79" t="inlineStr">
        <is>
          <t>Fixed genesis allocations: 60,000,000 HYPE (6.0%) and 3,000,000 HYPE (0.3%); held as reserves, not yet released into OTS.</t>
        </is>
      </c>
    </row>
    <row r="16" ht="38" customHeight="1">
      <c r="A16" s="79" t="inlineStr">
        <is>
          <t>Team / core-contributor token unlocks (vesting)</t>
        </is>
      </c>
      <c r="B16" s="79" t="inlineStr">
        <is>
          <t>insights.unlocks.app, tokenomist.ai</t>
        </is>
      </c>
      <c r="C16" s="79" t="inlineStr">
        <is>
          <t>Public unlock trackers</t>
        </is>
      </c>
      <c r="D16" s="79" t="inlineStr">
        <is>
          <t>ACTUAL discretionary claims (~330K–1.75M/month), well below the ~9.92M/month theoretical schedule. Nov-2025..Apr-2026 captured; Dec-2025 = 0; May-2026 pending.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2026-05-26T06:27:53Z</dcterms:created>
  <dcterms:modified xsi:type="dcterms:W3CDTF">2026-05-26T08:29:06Z</dcterms:modified>
</cp:coreProperties>
</file>